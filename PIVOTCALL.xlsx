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pivotTables/pivotTable4.xml" ContentType="application/vnd.openxmlformats-officedocument.spreadsheetml.pivotTable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orld\Desktop\MARSIntMap\"/>
    </mc:Choice>
  </mc:AlternateContent>
  <xr:revisionPtr revIDLastSave="0" documentId="13_ncr:1_{E94A903E-507B-4065-9922-40D10AD4CF1C}" xr6:coauthVersionLast="47" xr6:coauthVersionMax="47" xr10:uidLastSave="{00000000-0000-0000-0000-000000000000}"/>
  <bookViews>
    <workbookView xWindow="-120" yWindow="-120" windowWidth="38640" windowHeight="21120" tabRatio="836" activeTab="1" xr2:uid="{557A26C6-F21E-4F13-8F97-2AB80881C4B7}"/>
  </bookViews>
  <sheets>
    <sheet name="Belarus" sheetId="5" r:id="rId1"/>
    <sheet name="Распределение TSL" sheetId="16" r:id="rId2"/>
    <sheet name="Moscow" sheetId="19" r:id="rId3"/>
    <sheet name="Far East" sheetId="7" r:id="rId4"/>
    <sheet name="North" sheetId="18" r:id="rId5"/>
    <sheet name="Center" sheetId="6" r:id="rId6"/>
    <sheet name="South" sheetId="4" r:id="rId7"/>
    <sheet name="PIVOT" sheetId="20" r:id="rId8"/>
    <sheet name="Siberia" sheetId="2" r:id="rId9"/>
    <sheet name="by HSR" sheetId="21" r:id="rId10"/>
    <sheet name="by Mngrs" sheetId="22" r:id="rId11"/>
    <sheet name="by Territory" sheetId="23" r:id="rId12"/>
    <sheet name="EAST" sheetId="25" state="hidden" r:id="rId13"/>
    <sheet name="Scenarios" sheetId="26" r:id="rId14"/>
    <sheet name="Sheet5" sheetId="28" state="hidden" r:id="rId15"/>
    <sheet name="PIVOT NEW NORTH" sheetId="27" r:id="rId16"/>
  </sheets>
  <definedNames>
    <definedName name="_xlnm._FilterDatabase" localSheetId="5" hidden="1">Center!$A$3:$AN$268</definedName>
    <definedName name="_xlnm._FilterDatabase" localSheetId="3" hidden="1">'Far East'!$A$3:$AN$268</definedName>
    <definedName name="_xlnm._FilterDatabase" localSheetId="2" hidden="1">Moscow!$A$3:$AP$268</definedName>
    <definedName name="_xlnm._FilterDatabase" localSheetId="4" hidden="1">North!$A$3:$AQ$268</definedName>
    <definedName name="_xlnm._FilterDatabase" localSheetId="7" hidden="1">PIVOT!$A$1:$Q$786</definedName>
    <definedName name="_xlnm._FilterDatabase" localSheetId="15" hidden="1">'PIVOT NEW NORTH'!$A$1:$T$786</definedName>
    <definedName name="_xlnm._FilterDatabase" localSheetId="8" hidden="1">Siberia!$A$3:$AM$116</definedName>
    <definedName name="_xlnm._FilterDatabase" localSheetId="6" hidden="1">South!$A$3:$AM$268</definedName>
    <definedName name="_xlnm._FilterDatabase" localSheetId="1" hidden="1">'Распределение TSL'!$A$1:$O$265</definedName>
  </definedNames>
  <calcPr calcId="191028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65" i="16" l="1"/>
  <c r="N265" i="16"/>
  <c r="O264" i="16"/>
  <c r="N264" i="16"/>
  <c r="O263" i="16"/>
  <c r="N263" i="16"/>
  <c r="O262" i="16"/>
  <c r="N262" i="16"/>
  <c r="O261" i="16"/>
  <c r="N261" i="16"/>
  <c r="N13" i="16"/>
  <c r="O13" i="16"/>
  <c r="O260" i="16"/>
  <c r="N260" i="16"/>
  <c r="O259" i="16"/>
  <c r="N259" i="16"/>
  <c r="O258" i="16"/>
  <c r="N258" i="16"/>
  <c r="O257" i="16"/>
  <c r="N257" i="16"/>
  <c r="O256" i="16"/>
  <c r="N256" i="16"/>
  <c r="O255" i="16"/>
  <c r="N255" i="16"/>
  <c r="O254" i="16"/>
  <c r="N254" i="16"/>
  <c r="O253" i="16"/>
  <c r="N253" i="16"/>
  <c r="O252" i="16"/>
  <c r="N252" i="16"/>
  <c r="O251" i="16"/>
  <c r="N251" i="16"/>
  <c r="O250" i="16"/>
  <c r="N250" i="16"/>
  <c r="O249" i="16"/>
  <c r="N249" i="16"/>
  <c r="O248" i="16"/>
  <c r="N248" i="16"/>
  <c r="O247" i="16"/>
  <c r="N247" i="16"/>
  <c r="O246" i="16"/>
  <c r="N246" i="16"/>
  <c r="N245" i="16"/>
  <c r="O245" i="16"/>
  <c r="O244" i="16"/>
  <c r="N244" i="16"/>
  <c r="O243" i="16"/>
  <c r="N243" i="16"/>
  <c r="O242" i="16"/>
  <c r="N242" i="16"/>
  <c r="O5" i="16"/>
  <c r="O6" i="16"/>
  <c r="O7" i="16"/>
  <c r="O8" i="16"/>
  <c r="O9" i="16"/>
  <c r="O10" i="16"/>
  <c r="O11" i="16"/>
  <c r="O12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60" i="16"/>
  <c r="O61" i="16"/>
  <c r="O62" i="16"/>
  <c r="O63" i="16"/>
  <c r="O64" i="16"/>
  <c r="O65" i="16"/>
  <c r="O66" i="16"/>
  <c r="O67" i="16"/>
  <c r="O68" i="16"/>
  <c r="O69" i="16"/>
  <c r="O70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3" i="16"/>
  <c r="O4" i="16"/>
  <c r="O2" i="16"/>
  <c r="N102" i="16"/>
  <c r="N3" i="16"/>
  <c r="N4" i="16"/>
  <c r="N5" i="16"/>
  <c r="N6" i="16"/>
  <c r="N7" i="16"/>
  <c r="N8" i="16"/>
  <c r="N9" i="16"/>
  <c r="N10" i="16"/>
  <c r="N11" i="16"/>
  <c r="N12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60" i="16"/>
  <c r="N61" i="16"/>
  <c r="N62" i="16"/>
  <c r="N63" i="16"/>
  <c r="N64" i="16"/>
  <c r="N65" i="16"/>
  <c r="N66" i="16"/>
  <c r="N67" i="16"/>
  <c r="N68" i="16"/>
  <c r="N69" i="16"/>
  <c r="N70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" i="16"/>
  <c r="M121" i="16"/>
  <c r="M122" i="16"/>
  <c r="M120" i="16"/>
  <c r="N106" i="26"/>
  <c r="O106" i="26"/>
  <c r="N107" i="26"/>
  <c r="O107" i="26"/>
  <c r="N108" i="26"/>
  <c r="O108" i="26"/>
  <c r="G106" i="26"/>
  <c r="I106" i="26"/>
  <c r="J106" i="26"/>
  <c r="K106" i="26"/>
  <c r="L106" i="26"/>
  <c r="M106" i="26"/>
  <c r="H106" i="26"/>
  <c r="G107" i="26"/>
  <c r="I107" i="26"/>
  <c r="J107" i="26"/>
  <c r="K107" i="26"/>
  <c r="L107" i="26"/>
  <c r="M107" i="26"/>
  <c r="H107" i="26"/>
  <c r="G108" i="26"/>
  <c r="I108" i="26"/>
  <c r="J108" i="26"/>
  <c r="K108" i="26"/>
  <c r="L108" i="26"/>
  <c r="M108" i="26"/>
  <c r="H108" i="26"/>
  <c r="B109" i="26"/>
  <c r="B108" i="26"/>
  <c r="B107" i="26"/>
  <c r="B106" i="26"/>
  <c r="D92" i="26"/>
  <c r="D89" i="26"/>
  <c r="C78" i="26"/>
  <c r="D78" i="26" s="1"/>
  <c r="D107" i="26" s="1"/>
  <c r="D77" i="26"/>
  <c r="D73" i="26"/>
  <c r="C93" i="26"/>
  <c r="D93" i="26" s="1"/>
  <c r="C99" i="26"/>
  <c r="D99" i="26" s="1"/>
  <c r="C87" i="26"/>
  <c r="C108" i="26" s="1"/>
  <c r="C72" i="26"/>
  <c r="C106" i="26" s="1"/>
  <c r="G103" i="26"/>
  <c r="I103" i="26"/>
  <c r="J103" i="26"/>
  <c r="K103" i="26"/>
  <c r="L103" i="26"/>
  <c r="M103" i="26"/>
  <c r="H103" i="26"/>
  <c r="N103" i="26"/>
  <c r="O103" i="26"/>
  <c r="F92" i="26"/>
  <c r="E92" i="26" s="1"/>
  <c r="F91" i="26"/>
  <c r="E91" i="26" s="1"/>
  <c r="F90" i="26"/>
  <c r="E90" i="26" s="1"/>
  <c r="F89" i="26"/>
  <c r="E89" i="26" s="1"/>
  <c r="F88" i="26"/>
  <c r="E88" i="26" s="1"/>
  <c r="F87" i="26"/>
  <c r="E87" i="26" s="1"/>
  <c r="E108" i="26" s="1"/>
  <c r="F102" i="26"/>
  <c r="E102" i="26" s="1"/>
  <c r="F101" i="26"/>
  <c r="E101" i="26" s="1"/>
  <c r="F100" i="26"/>
  <c r="E100" i="26" s="1"/>
  <c r="F99" i="26"/>
  <c r="E99" i="26" s="1"/>
  <c r="F98" i="26"/>
  <c r="E98" i="26" s="1"/>
  <c r="F97" i="26"/>
  <c r="E97" i="26" s="1"/>
  <c r="F96" i="26"/>
  <c r="E96" i="26" s="1"/>
  <c r="F95" i="26"/>
  <c r="E95" i="26" s="1"/>
  <c r="F94" i="26"/>
  <c r="E94" i="26" s="1"/>
  <c r="F93" i="26"/>
  <c r="E93" i="26" s="1"/>
  <c r="F86" i="26"/>
  <c r="E86" i="26" s="1"/>
  <c r="F85" i="26"/>
  <c r="E85" i="26" s="1"/>
  <c r="F84" i="26"/>
  <c r="E84" i="26" s="1"/>
  <c r="F83" i="26"/>
  <c r="E83" i="26" s="1"/>
  <c r="F82" i="26"/>
  <c r="E82" i="26" s="1"/>
  <c r="F81" i="26"/>
  <c r="E81" i="26" s="1"/>
  <c r="F80" i="26"/>
  <c r="E80" i="26" s="1"/>
  <c r="F79" i="26"/>
  <c r="E79" i="26" s="1"/>
  <c r="F78" i="26"/>
  <c r="E78" i="26" s="1"/>
  <c r="E107" i="26" s="1"/>
  <c r="F77" i="26"/>
  <c r="E77" i="26" s="1"/>
  <c r="F76" i="26"/>
  <c r="E76" i="26" s="1"/>
  <c r="F75" i="26"/>
  <c r="E75" i="26" s="1"/>
  <c r="F74" i="26"/>
  <c r="E74" i="26" s="1"/>
  <c r="F73" i="26"/>
  <c r="E73" i="26" s="1"/>
  <c r="F72" i="26"/>
  <c r="E72" i="26" s="1"/>
  <c r="E106" i="26" s="1"/>
  <c r="E786" i="27"/>
  <c r="E785" i="27"/>
  <c r="E784" i="27"/>
  <c r="E783" i="27"/>
  <c r="E782" i="27"/>
  <c r="E781" i="27"/>
  <c r="E780" i="27"/>
  <c r="E779" i="27"/>
  <c r="E778" i="27"/>
  <c r="E777" i="27"/>
  <c r="E776" i="27"/>
  <c r="E775" i="27"/>
  <c r="E774" i="27"/>
  <c r="E773" i="27"/>
  <c r="E772" i="27"/>
  <c r="E771" i="27"/>
  <c r="E770" i="27"/>
  <c r="E769" i="27"/>
  <c r="E768" i="27"/>
  <c r="E767" i="27"/>
  <c r="E766" i="27"/>
  <c r="E765" i="27"/>
  <c r="E764" i="27"/>
  <c r="E763" i="27"/>
  <c r="E762" i="27"/>
  <c r="E761" i="27"/>
  <c r="E760" i="27"/>
  <c r="E759" i="27"/>
  <c r="E758" i="27"/>
  <c r="E757" i="27"/>
  <c r="E756" i="27"/>
  <c r="E755" i="27"/>
  <c r="E754" i="27"/>
  <c r="E753" i="27"/>
  <c r="E752" i="27"/>
  <c r="E751" i="27"/>
  <c r="E750" i="27"/>
  <c r="E749" i="27"/>
  <c r="E748" i="27"/>
  <c r="E747" i="27"/>
  <c r="E746" i="27"/>
  <c r="E745" i="27"/>
  <c r="E744" i="27"/>
  <c r="E743" i="27"/>
  <c r="E742" i="27"/>
  <c r="E741" i="27"/>
  <c r="E740" i="27"/>
  <c r="E739" i="27"/>
  <c r="E738" i="27"/>
  <c r="E737" i="27"/>
  <c r="E736" i="27"/>
  <c r="E735" i="27"/>
  <c r="E734" i="27"/>
  <c r="E733" i="27"/>
  <c r="E732" i="27"/>
  <c r="E731" i="27"/>
  <c r="E730" i="27"/>
  <c r="E729" i="27"/>
  <c r="E728" i="27"/>
  <c r="E727" i="27"/>
  <c r="E726" i="27"/>
  <c r="E725" i="27"/>
  <c r="E724" i="27"/>
  <c r="E723" i="27"/>
  <c r="E719" i="27"/>
  <c r="E718" i="27"/>
  <c r="E717" i="27"/>
  <c r="E716" i="27"/>
  <c r="E714" i="27"/>
  <c r="E713" i="27"/>
  <c r="E712" i="27"/>
  <c r="E711" i="27"/>
  <c r="E710" i="27"/>
  <c r="E709" i="27"/>
  <c r="E708" i="27"/>
  <c r="E707" i="27"/>
  <c r="E706" i="27"/>
  <c r="E705" i="27"/>
  <c r="E704" i="27"/>
  <c r="E703" i="27"/>
  <c r="E702" i="27"/>
  <c r="E701" i="27"/>
  <c r="E699" i="27"/>
  <c r="E698" i="27"/>
  <c r="E697" i="27"/>
  <c r="E696" i="27"/>
  <c r="E694" i="27"/>
  <c r="E693" i="27"/>
  <c r="E692" i="27"/>
  <c r="E691" i="27"/>
  <c r="E690" i="27"/>
  <c r="E689" i="27"/>
  <c r="E688" i="27"/>
  <c r="E687" i="27"/>
  <c r="E686" i="27"/>
  <c r="E685" i="27"/>
  <c r="E684" i="27"/>
  <c r="E683" i="27"/>
  <c r="E682" i="27"/>
  <c r="E681" i="27"/>
  <c r="E680" i="27"/>
  <c r="E679" i="27"/>
  <c r="E678" i="27"/>
  <c r="E677" i="27"/>
  <c r="E676" i="27"/>
  <c r="E675" i="27"/>
  <c r="E674" i="27"/>
  <c r="E673" i="27"/>
  <c r="E672" i="27"/>
  <c r="E671" i="27"/>
  <c r="E670" i="27"/>
  <c r="E669" i="27"/>
  <c r="E668" i="27"/>
  <c r="E667" i="27"/>
  <c r="E666" i="27"/>
  <c r="E665" i="27"/>
  <c r="E664" i="27"/>
  <c r="E663" i="27"/>
  <c r="E662" i="27"/>
  <c r="E661" i="27"/>
  <c r="E660" i="27"/>
  <c r="E659" i="27"/>
  <c r="E658" i="27"/>
  <c r="E657" i="27"/>
  <c r="E656" i="27"/>
  <c r="E655" i="27"/>
  <c r="E654" i="27"/>
  <c r="E653" i="27"/>
  <c r="E652" i="27"/>
  <c r="E651" i="27"/>
  <c r="E650" i="27"/>
  <c r="E649" i="27"/>
  <c r="E648" i="27"/>
  <c r="E647" i="27"/>
  <c r="E646" i="27"/>
  <c r="E645" i="27"/>
  <c r="E644" i="27"/>
  <c r="E643" i="27"/>
  <c r="E642" i="27"/>
  <c r="E641" i="27"/>
  <c r="E640" i="27"/>
  <c r="E639" i="27"/>
  <c r="E638" i="27"/>
  <c r="E637" i="27"/>
  <c r="E636" i="27"/>
  <c r="E635" i="27"/>
  <c r="E634" i="27"/>
  <c r="E633" i="27"/>
  <c r="E632" i="27"/>
  <c r="E631" i="27"/>
  <c r="E630" i="27"/>
  <c r="E629" i="27"/>
  <c r="E628" i="27"/>
  <c r="E627" i="27"/>
  <c r="E626" i="27"/>
  <c r="E625" i="27"/>
  <c r="E624" i="27"/>
  <c r="E623" i="27"/>
  <c r="E622" i="27"/>
  <c r="E621" i="27"/>
  <c r="E620" i="27"/>
  <c r="E619" i="27"/>
  <c r="E618" i="27"/>
  <c r="E617" i="27"/>
  <c r="E616" i="27"/>
  <c r="E615" i="27"/>
  <c r="E614" i="27"/>
  <c r="E613" i="27"/>
  <c r="E612" i="27"/>
  <c r="E611" i="27"/>
  <c r="E610" i="27"/>
  <c r="E609" i="27"/>
  <c r="E608" i="27"/>
  <c r="E607" i="27"/>
  <c r="E606" i="27"/>
  <c r="E605" i="27"/>
  <c r="E604" i="27"/>
  <c r="E603" i="27"/>
  <c r="E602" i="27"/>
  <c r="E601" i="27"/>
  <c r="E600" i="27"/>
  <c r="E599" i="27"/>
  <c r="E598" i="27"/>
  <c r="E597" i="27"/>
  <c r="E596" i="27"/>
  <c r="E595" i="27"/>
  <c r="E594" i="27"/>
  <c r="E593" i="27"/>
  <c r="E592" i="27"/>
  <c r="E591" i="27"/>
  <c r="E590" i="27"/>
  <c r="E589" i="27"/>
  <c r="E588" i="27"/>
  <c r="E587" i="27"/>
  <c r="E586" i="27"/>
  <c r="E585" i="27"/>
  <c r="E584" i="27"/>
  <c r="E583" i="27"/>
  <c r="E582" i="27"/>
  <c r="E581" i="27"/>
  <c r="E580" i="27"/>
  <c r="E579" i="27"/>
  <c r="E578" i="27"/>
  <c r="E577" i="27"/>
  <c r="E576" i="27"/>
  <c r="E575" i="27"/>
  <c r="E574" i="27"/>
  <c r="E573" i="27"/>
  <c r="E572" i="27"/>
  <c r="E571" i="27"/>
  <c r="E570" i="27"/>
  <c r="E569" i="27"/>
  <c r="E568" i="27"/>
  <c r="E567" i="27"/>
  <c r="E566" i="27"/>
  <c r="E565" i="27"/>
  <c r="E564" i="27"/>
  <c r="E563" i="27"/>
  <c r="E562" i="27"/>
  <c r="E561" i="27"/>
  <c r="E560" i="27"/>
  <c r="E559" i="27"/>
  <c r="E558" i="27"/>
  <c r="E557" i="27"/>
  <c r="E556" i="27"/>
  <c r="E555" i="27"/>
  <c r="E554" i="27"/>
  <c r="E553" i="27"/>
  <c r="E552" i="27"/>
  <c r="E551" i="27"/>
  <c r="E550" i="27"/>
  <c r="E549" i="27"/>
  <c r="E548" i="27"/>
  <c r="E547" i="27"/>
  <c r="E546" i="27"/>
  <c r="E545" i="27"/>
  <c r="E544" i="27"/>
  <c r="E543" i="27"/>
  <c r="E542" i="27"/>
  <c r="E541" i="27"/>
  <c r="E540" i="27"/>
  <c r="E539" i="27"/>
  <c r="E538" i="27"/>
  <c r="E537" i="27"/>
  <c r="E536" i="27"/>
  <c r="E535" i="27"/>
  <c r="E534" i="27"/>
  <c r="E533" i="27"/>
  <c r="E532" i="27"/>
  <c r="E531" i="27"/>
  <c r="E530" i="27"/>
  <c r="E529" i="27"/>
  <c r="E528" i="27"/>
  <c r="E527" i="27"/>
  <c r="E526" i="27"/>
  <c r="E525" i="27"/>
  <c r="E524" i="27"/>
  <c r="E523" i="27"/>
  <c r="E522" i="27"/>
  <c r="E521" i="27"/>
  <c r="E520" i="27"/>
  <c r="E519" i="27"/>
  <c r="E518" i="27"/>
  <c r="E517" i="27"/>
  <c r="E516" i="27"/>
  <c r="E515" i="27"/>
  <c r="E514" i="27"/>
  <c r="E513" i="27"/>
  <c r="E512" i="27"/>
  <c r="E511" i="27"/>
  <c r="E510" i="27"/>
  <c r="E509" i="27"/>
  <c r="E508" i="27"/>
  <c r="E507" i="27"/>
  <c r="E506" i="27"/>
  <c r="E505" i="27"/>
  <c r="E504" i="27"/>
  <c r="E503" i="27"/>
  <c r="E502" i="27"/>
  <c r="E501" i="27"/>
  <c r="E500" i="27"/>
  <c r="E499" i="27"/>
  <c r="E498" i="27"/>
  <c r="E497" i="27"/>
  <c r="E496" i="27"/>
  <c r="E495" i="27"/>
  <c r="E494" i="27"/>
  <c r="E493" i="27"/>
  <c r="E492" i="27"/>
  <c r="E491" i="27"/>
  <c r="E490" i="27"/>
  <c r="E489" i="27"/>
  <c r="E488" i="27"/>
  <c r="E487" i="27"/>
  <c r="E486" i="27"/>
  <c r="E485" i="27"/>
  <c r="E484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71" i="27"/>
  <c r="E470" i="27"/>
  <c r="E469" i="27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55" i="27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39" i="27"/>
  <c r="E438" i="27"/>
  <c r="E437" i="27"/>
  <c r="E436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22" i="27"/>
  <c r="E421" i="27"/>
  <c r="E420" i="27"/>
  <c r="E419" i="27"/>
  <c r="E418" i="27"/>
  <c r="E417" i="27"/>
  <c r="E416" i="27"/>
  <c r="E415" i="27"/>
  <c r="E414" i="27"/>
  <c r="E413" i="27"/>
  <c r="E412" i="27"/>
  <c r="E411" i="27"/>
  <c r="E410" i="27"/>
  <c r="E409" i="27"/>
  <c r="E408" i="27"/>
  <c r="E407" i="27"/>
  <c r="E406" i="27"/>
  <c r="E405" i="27"/>
  <c r="E404" i="27"/>
  <c r="E403" i="27"/>
  <c r="E402" i="27"/>
  <c r="E401" i="27"/>
  <c r="E400" i="27"/>
  <c r="E399" i="27"/>
  <c r="E398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80" i="27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67" i="27"/>
  <c r="E366" i="27"/>
  <c r="E365" i="27"/>
  <c r="E364" i="27"/>
  <c r="E363" i="27"/>
  <c r="E362" i="27"/>
  <c r="E361" i="27"/>
  <c r="E360" i="27"/>
  <c r="E359" i="27"/>
  <c r="E358" i="27"/>
  <c r="E357" i="27"/>
  <c r="E356" i="27"/>
  <c r="E355" i="27"/>
  <c r="E354" i="27"/>
  <c r="E353" i="27"/>
  <c r="E352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37" i="27"/>
  <c r="E336" i="27"/>
  <c r="E335" i="27"/>
  <c r="E334" i="27"/>
  <c r="E333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20" i="27"/>
  <c r="E319" i="27"/>
  <c r="E318" i="27"/>
  <c r="E317" i="27"/>
  <c r="E316" i="27"/>
  <c r="E315" i="27"/>
  <c r="E314" i="27"/>
  <c r="E313" i="27"/>
  <c r="E312" i="27"/>
  <c r="E311" i="27"/>
  <c r="E310" i="27"/>
  <c r="E309" i="27"/>
  <c r="E308" i="27"/>
  <c r="E307" i="27"/>
  <c r="E306" i="27"/>
  <c r="E305" i="27"/>
  <c r="E304" i="27"/>
  <c r="E303" i="27"/>
  <c r="E302" i="27"/>
  <c r="E301" i="27"/>
  <c r="E300" i="27"/>
  <c r="E299" i="27"/>
  <c r="E298" i="27"/>
  <c r="E297" i="27"/>
  <c r="E296" i="27"/>
  <c r="E295" i="27"/>
  <c r="E294" i="27"/>
  <c r="E293" i="27"/>
  <c r="E292" i="27"/>
  <c r="E291" i="27"/>
  <c r="E290" i="27"/>
  <c r="E289" i="27"/>
  <c r="E288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72" i="27"/>
  <c r="E271" i="27"/>
  <c r="E270" i="27"/>
  <c r="E269" i="27"/>
  <c r="E268" i="27"/>
  <c r="E267" i="27"/>
  <c r="E266" i="27"/>
  <c r="E265" i="27"/>
  <c r="E264" i="27"/>
  <c r="E263" i="27"/>
  <c r="E262" i="27"/>
  <c r="E261" i="27"/>
  <c r="E260" i="27"/>
  <c r="C719" i="27"/>
  <c r="C718" i="27"/>
  <c r="C717" i="27"/>
  <c r="C716" i="27"/>
  <c r="C714" i="27"/>
  <c r="C713" i="27"/>
  <c r="C712" i="27"/>
  <c r="C711" i="27"/>
  <c r="C710" i="27"/>
  <c r="C709" i="27"/>
  <c r="C708" i="27"/>
  <c r="C707" i="27"/>
  <c r="C706" i="27"/>
  <c r="C705" i="27"/>
  <c r="C704" i="27"/>
  <c r="C703" i="27"/>
  <c r="C702" i="27"/>
  <c r="C701" i="27"/>
  <c r="C699" i="27"/>
  <c r="C698" i="27"/>
  <c r="C697" i="27"/>
  <c r="C696" i="27"/>
  <c r="C694" i="27"/>
  <c r="C693" i="27"/>
  <c r="C692" i="27"/>
  <c r="C691" i="27"/>
  <c r="C690" i="27"/>
  <c r="C689" i="27"/>
  <c r="C688" i="27"/>
  <c r="C687" i="27"/>
  <c r="C686" i="27"/>
  <c r="C685" i="27"/>
  <c r="C684" i="27"/>
  <c r="C683" i="27"/>
  <c r="C682" i="27"/>
  <c r="C681" i="27"/>
  <c r="C680" i="27"/>
  <c r="C679" i="27"/>
  <c r="C678" i="27"/>
  <c r="C677" i="27"/>
  <c r="C676" i="27"/>
  <c r="C675" i="27"/>
  <c r="C674" i="27"/>
  <c r="C673" i="27"/>
  <c r="C672" i="27"/>
  <c r="C671" i="27"/>
  <c r="C670" i="27"/>
  <c r="C669" i="27"/>
  <c r="C668" i="27"/>
  <c r="C667" i="27"/>
  <c r="C666" i="27"/>
  <c r="C665" i="27"/>
  <c r="C664" i="27"/>
  <c r="C663" i="27"/>
  <c r="C662" i="27"/>
  <c r="C661" i="27"/>
  <c r="C660" i="27"/>
  <c r="C659" i="27"/>
  <c r="C658" i="27"/>
  <c r="C657" i="27"/>
  <c r="C656" i="27"/>
  <c r="C655" i="27"/>
  <c r="C654" i="27"/>
  <c r="C653" i="27"/>
  <c r="C652" i="27"/>
  <c r="C651" i="27"/>
  <c r="C650" i="27"/>
  <c r="C649" i="27"/>
  <c r="C648" i="27"/>
  <c r="C647" i="27"/>
  <c r="C646" i="27"/>
  <c r="C645" i="27"/>
  <c r="C644" i="27"/>
  <c r="C643" i="27"/>
  <c r="C642" i="27"/>
  <c r="C641" i="27"/>
  <c r="C640" i="27"/>
  <c r="C639" i="27"/>
  <c r="C638" i="27"/>
  <c r="C637" i="27"/>
  <c r="C636" i="27"/>
  <c r="C635" i="27"/>
  <c r="C634" i="27"/>
  <c r="C633" i="27"/>
  <c r="C632" i="27"/>
  <c r="C631" i="27"/>
  <c r="C630" i="27"/>
  <c r="C629" i="27"/>
  <c r="C628" i="27"/>
  <c r="C627" i="27"/>
  <c r="C626" i="27"/>
  <c r="C625" i="27"/>
  <c r="C624" i="27"/>
  <c r="C623" i="27"/>
  <c r="C622" i="27"/>
  <c r="C621" i="27"/>
  <c r="C620" i="27"/>
  <c r="C619" i="27"/>
  <c r="C618" i="27"/>
  <c r="C617" i="27"/>
  <c r="C616" i="27"/>
  <c r="C615" i="27"/>
  <c r="C614" i="27"/>
  <c r="C613" i="27"/>
  <c r="C612" i="27"/>
  <c r="C611" i="27"/>
  <c r="C610" i="27"/>
  <c r="C609" i="27"/>
  <c r="C608" i="27"/>
  <c r="C607" i="27"/>
  <c r="C606" i="27"/>
  <c r="C605" i="27"/>
  <c r="C604" i="27"/>
  <c r="C603" i="27"/>
  <c r="C602" i="27"/>
  <c r="C601" i="27"/>
  <c r="C600" i="27"/>
  <c r="C599" i="27"/>
  <c r="C598" i="27"/>
  <c r="C597" i="27"/>
  <c r="C596" i="27"/>
  <c r="C595" i="27"/>
  <c r="C594" i="27"/>
  <c r="C593" i="27"/>
  <c r="C592" i="27"/>
  <c r="C591" i="27"/>
  <c r="C590" i="27"/>
  <c r="C589" i="27"/>
  <c r="C588" i="27"/>
  <c r="C587" i="27"/>
  <c r="C586" i="27"/>
  <c r="C585" i="27"/>
  <c r="C584" i="27"/>
  <c r="C583" i="27"/>
  <c r="C582" i="27"/>
  <c r="C581" i="27"/>
  <c r="C580" i="27"/>
  <c r="C579" i="27"/>
  <c r="C578" i="27"/>
  <c r="C577" i="27"/>
  <c r="C576" i="27"/>
  <c r="C575" i="27"/>
  <c r="C574" i="27"/>
  <c r="C573" i="27"/>
  <c r="C572" i="27"/>
  <c r="C571" i="27"/>
  <c r="C570" i="27"/>
  <c r="C569" i="27"/>
  <c r="C568" i="27"/>
  <c r="C567" i="27"/>
  <c r="C566" i="27"/>
  <c r="C565" i="27"/>
  <c r="C564" i="27"/>
  <c r="C563" i="27"/>
  <c r="C562" i="27"/>
  <c r="C561" i="27"/>
  <c r="C560" i="27"/>
  <c r="C559" i="27"/>
  <c r="C558" i="27"/>
  <c r="C557" i="27"/>
  <c r="C556" i="27"/>
  <c r="C555" i="27"/>
  <c r="C554" i="27"/>
  <c r="C553" i="27"/>
  <c r="C552" i="27"/>
  <c r="C551" i="27"/>
  <c r="C550" i="27"/>
  <c r="C549" i="27"/>
  <c r="C548" i="27"/>
  <c r="C547" i="27"/>
  <c r="C546" i="27"/>
  <c r="C545" i="27"/>
  <c r="C544" i="27"/>
  <c r="C543" i="27"/>
  <c r="C542" i="27"/>
  <c r="C541" i="27"/>
  <c r="C540" i="27"/>
  <c r="C539" i="27"/>
  <c r="C538" i="27"/>
  <c r="C537" i="27"/>
  <c r="C536" i="27"/>
  <c r="C535" i="27"/>
  <c r="C534" i="27"/>
  <c r="C533" i="27"/>
  <c r="C532" i="27"/>
  <c r="C531" i="27"/>
  <c r="C530" i="27"/>
  <c r="C529" i="27"/>
  <c r="C528" i="27"/>
  <c r="C527" i="27"/>
  <c r="C526" i="27"/>
  <c r="C525" i="27"/>
  <c r="C524" i="27"/>
  <c r="C523" i="27"/>
  <c r="C522" i="27"/>
  <c r="C521" i="27"/>
  <c r="C520" i="27"/>
  <c r="C519" i="27"/>
  <c r="C518" i="27"/>
  <c r="C517" i="27"/>
  <c r="C516" i="27"/>
  <c r="C515" i="27"/>
  <c r="C514" i="27"/>
  <c r="C513" i="27"/>
  <c r="C512" i="27"/>
  <c r="C511" i="27"/>
  <c r="C510" i="27"/>
  <c r="C509" i="27"/>
  <c r="C508" i="27"/>
  <c r="C507" i="27"/>
  <c r="C506" i="27"/>
  <c r="C505" i="27"/>
  <c r="C504" i="27"/>
  <c r="C503" i="27"/>
  <c r="C502" i="27"/>
  <c r="C501" i="27"/>
  <c r="C500" i="27"/>
  <c r="C499" i="27"/>
  <c r="C498" i="27"/>
  <c r="C497" i="27"/>
  <c r="C496" i="27"/>
  <c r="C495" i="27"/>
  <c r="C494" i="27"/>
  <c r="C493" i="27"/>
  <c r="C492" i="27"/>
  <c r="C491" i="27"/>
  <c r="C490" i="27"/>
  <c r="C489" i="27"/>
  <c r="C488" i="27"/>
  <c r="C487" i="27"/>
  <c r="C486" i="27"/>
  <c r="C485" i="27"/>
  <c r="C484" i="27"/>
  <c r="C483" i="27"/>
  <c r="C482" i="27"/>
  <c r="C481" i="27"/>
  <c r="C480" i="27"/>
  <c r="C479" i="27"/>
  <c r="C478" i="27"/>
  <c r="C477" i="27"/>
  <c r="C476" i="27"/>
  <c r="C475" i="27"/>
  <c r="C474" i="27"/>
  <c r="C473" i="27"/>
  <c r="C472" i="27"/>
  <c r="C471" i="27"/>
  <c r="C470" i="27"/>
  <c r="C469" i="27"/>
  <c r="C468" i="27"/>
  <c r="C467" i="27"/>
  <c r="C466" i="27"/>
  <c r="C465" i="27"/>
  <c r="C464" i="27"/>
  <c r="C463" i="27"/>
  <c r="C462" i="27"/>
  <c r="C461" i="27"/>
  <c r="C460" i="27"/>
  <c r="C459" i="27"/>
  <c r="C458" i="27"/>
  <c r="C457" i="27"/>
  <c r="C456" i="27"/>
  <c r="C455" i="27"/>
  <c r="C454" i="27"/>
  <c r="C453" i="27"/>
  <c r="C452" i="27"/>
  <c r="C451" i="27"/>
  <c r="C450" i="27"/>
  <c r="C449" i="27"/>
  <c r="C448" i="27"/>
  <c r="C447" i="27"/>
  <c r="C446" i="27"/>
  <c r="C445" i="27"/>
  <c r="C444" i="27"/>
  <c r="C443" i="27"/>
  <c r="C442" i="27"/>
  <c r="C441" i="27"/>
  <c r="C440" i="27"/>
  <c r="C439" i="27"/>
  <c r="C438" i="27"/>
  <c r="C437" i="27"/>
  <c r="C436" i="27"/>
  <c r="C435" i="27"/>
  <c r="C434" i="27"/>
  <c r="C433" i="27"/>
  <c r="C432" i="27"/>
  <c r="C431" i="27"/>
  <c r="C430" i="27"/>
  <c r="C429" i="27"/>
  <c r="C428" i="27"/>
  <c r="C427" i="27"/>
  <c r="C426" i="27"/>
  <c r="C425" i="27"/>
  <c r="C424" i="27"/>
  <c r="C423" i="27"/>
  <c r="C422" i="27"/>
  <c r="C421" i="27"/>
  <c r="C420" i="27"/>
  <c r="C419" i="27"/>
  <c r="C418" i="27"/>
  <c r="C417" i="27"/>
  <c r="C416" i="27"/>
  <c r="C415" i="27"/>
  <c r="C414" i="27"/>
  <c r="C413" i="27"/>
  <c r="C412" i="27"/>
  <c r="C411" i="27"/>
  <c r="C410" i="27"/>
  <c r="C409" i="27"/>
  <c r="C408" i="27"/>
  <c r="C407" i="27"/>
  <c r="C406" i="27"/>
  <c r="C405" i="27"/>
  <c r="C404" i="27"/>
  <c r="C403" i="27"/>
  <c r="C402" i="27"/>
  <c r="C401" i="27"/>
  <c r="C400" i="27"/>
  <c r="C399" i="27"/>
  <c r="C398" i="27"/>
  <c r="C397" i="27"/>
  <c r="C396" i="27"/>
  <c r="C395" i="27"/>
  <c r="C394" i="27"/>
  <c r="C393" i="27"/>
  <c r="C392" i="27"/>
  <c r="C391" i="27"/>
  <c r="C390" i="27"/>
  <c r="C389" i="27"/>
  <c r="C388" i="27"/>
  <c r="C387" i="27"/>
  <c r="C386" i="27"/>
  <c r="C385" i="27"/>
  <c r="C384" i="27"/>
  <c r="C383" i="27"/>
  <c r="C382" i="27"/>
  <c r="C381" i="27"/>
  <c r="C380" i="27"/>
  <c r="C379" i="27"/>
  <c r="C378" i="27"/>
  <c r="C377" i="27"/>
  <c r="C376" i="27"/>
  <c r="C375" i="27"/>
  <c r="C374" i="27"/>
  <c r="C373" i="27"/>
  <c r="C372" i="27"/>
  <c r="C371" i="27"/>
  <c r="C370" i="27"/>
  <c r="C369" i="27"/>
  <c r="C368" i="27"/>
  <c r="C367" i="27"/>
  <c r="C366" i="27"/>
  <c r="C365" i="27"/>
  <c r="C364" i="27"/>
  <c r="C363" i="27"/>
  <c r="C362" i="27"/>
  <c r="C361" i="27"/>
  <c r="C360" i="27"/>
  <c r="C359" i="27"/>
  <c r="C358" i="27"/>
  <c r="C357" i="27"/>
  <c r="C356" i="27"/>
  <c r="C355" i="27"/>
  <c r="C354" i="27"/>
  <c r="C353" i="27"/>
  <c r="C352" i="27"/>
  <c r="C351" i="27"/>
  <c r="C350" i="27"/>
  <c r="C349" i="27"/>
  <c r="C348" i="27"/>
  <c r="C347" i="27"/>
  <c r="C346" i="27"/>
  <c r="C345" i="27"/>
  <c r="C344" i="27"/>
  <c r="C343" i="27"/>
  <c r="C342" i="27"/>
  <c r="C341" i="27"/>
  <c r="C340" i="27"/>
  <c r="C339" i="27"/>
  <c r="C338" i="27"/>
  <c r="C337" i="27"/>
  <c r="C336" i="27"/>
  <c r="C335" i="27"/>
  <c r="C334" i="27"/>
  <c r="C333" i="27"/>
  <c r="C332" i="27"/>
  <c r="C331" i="27"/>
  <c r="C330" i="27"/>
  <c r="C329" i="27"/>
  <c r="C328" i="27"/>
  <c r="C327" i="27"/>
  <c r="C326" i="27"/>
  <c r="C325" i="27"/>
  <c r="C324" i="27"/>
  <c r="C323" i="27"/>
  <c r="C322" i="27"/>
  <c r="C321" i="27"/>
  <c r="C320" i="27"/>
  <c r="C319" i="27"/>
  <c r="C318" i="27"/>
  <c r="C317" i="27"/>
  <c r="C316" i="27"/>
  <c r="C315" i="27"/>
  <c r="C314" i="27"/>
  <c r="C313" i="27"/>
  <c r="C312" i="27"/>
  <c r="C311" i="27"/>
  <c r="C310" i="27"/>
  <c r="C309" i="27"/>
  <c r="C308" i="27"/>
  <c r="C307" i="27"/>
  <c r="C306" i="27"/>
  <c r="C305" i="27"/>
  <c r="C304" i="27"/>
  <c r="C303" i="27"/>
  <c r="C302" i="27"/>
  <c r="C301" i="27"/>
  <c r="C300" i="27"/>
  <c r="C299" i="27"/>
  <c r="C298" i="27"/>
  <c r="C297" i="27"/>
  <c r="C296" i="27"/>
  <c r="C295" i="27"/>
  <c r="C294" i="27"/>
  <c r="C293" i="27"/>
  <c r="C292" i="27"/>
  <c r="C291" i="27"/>
  <c r="C290" i="27"/>
  <c r="C289" i="27"/>
  <c r="C288" i="27"/>
  <c r="C287" i="27"/>
  <c r="C286" i="27"/>
  <c r="C285" i="27"/>
  <c r="C284" i="27"/>
  <c r="C283" i="27"/>
  <c r="C282" i="27"/>
  <c r="C281" i="27"/>
  <c r="C280" i="27"/>
  <c r="C279" i="27"/>
  <c r="C278" i="27"/>
  <c r="C277" i="27"/>
  <c r="C276" i="27"/>
  <c r="C275" i="27"/>
  <c r="C274" i="27"/>
  <c r="C273" i="27"/>
  <c r="C272" i="27"/>
  <c r="C271" i="27"/>
  <c r="C270" i="27"/>
  <c r="C269" i="27"/>
  <c r="C268" i="27"/>
  <c r="C267" i="27"/>
  <c r="C266" i="27"/>
  <c r="C265" i="27"/>
  <c r="C264" i="27"/>
  <c r="C263" i="27"/>
  <c r="C262" i="27"/>
  <c r="C261" i="27"/>
  <c r="C260" i="27"/>
  <c r="F66" i="26"/>
  <c r="E66" i="26" s="1"/>
  <c r="F64" i="26"/>
  <c r="E64" i="26" s="1"/>
  <c r="N62" i="26"/>
  <c r="N69" i="26" s="1"/>
  <c r="K62" i="26"/>
  <c r="K69" i="26" s="1"/>
  <c r="C62" i="26"/>
  <c r="D62" i="26" s="1"/>
  <c r="D109" i="26" s="1"/>
  <c r="F61" i="26"/>
  <c r="E61" i="26" s="1"/>
  <c r="F60" i="26"/>
  <c r="E60" i="26" s="1"/>
  <c r="F59" i="26"/>
  <c r="E59" i="26" s="1"/>
  <c r="F58" i="26"/>
  <c r="E58" i="26" s="1"/>
  <c r="F57" i="26"/>
  <c r="E57" i="26" s="1"/>
  <c r="F56" i="26"/>
  <c r="E56" i="26" s="1"/>
  <c r="C56" i="26"/>
  <c r="D56" i="26" s="1"/>
  <c r="F55" i="26"/>
  <c r="E55" i="26" s="1"/>
  <c r="F54" i="26"/>
  <c r="E54" i="26" s="1"/>
  <c r="F53" i="26"/>
  <c r="E53" i="26" s="1"/>
  <c r="F52" i="26"/>
  <c r="E52" i="26" s="1"/>
  <c r="F51" i="26"/>
  <c r="E51" i="26" s="1"/>
  <c r="C51" i="26"/>
  <c r="D51" i="26" s="1"/>
  <c r="F50" i="26"/>
  <c r="E50" i="26" s="1"/>
  <c r="F49" i="26"/>
  <c r="E49" i="26" s="1"/>
  <c r="F48" i="26"/>
  <c r="E48" i="26" s="1"/>
  <c r="F47" i="26"/>
  <c r="E47" i="26" s="1"/>
  <c r="F46" i="26"/>
  <c r="E46" i="26" s="1"/>
  <c r="F45" i="26"/>
  <c r="E45" i="26" s="1"/>
  <c r="C45" i="26"/>
  <c r="D45" i="26" s="1"/>
  <c r="F44" i="26"/>
  <c r="E44" i="26" s="1"/>
  <c r="F43" i="26"/>
  <c r="E43" i="26" s="1"/>
  <c r="F42" i="26"/>
  <c r="E42" i="26" s="1"/>
  <c r="F41" i="26"/>
  <c r="E41" i="26" s="1"/>
  <c r="F40" i="26"/>
  <c r="E40" i="26" s="1"/>
  <c r="F39" i="26"/>
  <c r="E39" i="26" s="1"/>
  <c r="C39" i="26"/>
  <c r="D39" i="26" s="1"/>
  <c r="O36" i="26"/>
  <c r="N36" i="26"/>
  <c r="H36" i="26"/>
  <c r="M36" i="26"/>
  <c r="L36" i="26"/>
  <c r="K36" i="26"/>
  <c r="J36" i="26"/>
  <c r="I36" i="26"/>
  <c r="G36" i="26"/>
  <c r="F35" i="26"/>
  <c r="E35" i="26" s="1"/>
  <c r="F34" i="26"/>
  <c r="E34" i="26" s="1"/>
  <c r="F33" i="26"/>
  <c r="E33" i="26" s="1"/>
  <c r="F32" i="26"/>
  <c r="E32" i="26" s="1"/>
  <c r="C32" i="26"/>
  <c r="D32" i="26" s="1"/>
  <c r="F31" i="26"/>
  <c r="E31" i="26" s="1"/>
  <c r="F30" i="26"/>
  <c r="E30" i="26" s="1"/>
  <c r="F29" i="26"/>
  <c r="E29" i="26" s="1"/>
  <c r="F28" i="26"/>
  <c r="E28" i="26" s="1"/>
  <c r="F27" i="26"/>
  <c r="E27" i="26" s="1"/>
  <c r="F26" i="26"/>
  <c r="E26" i="26" s="1"/>
  <c r="C26" i="26"/>
  <c r="D26" i="26" s="1"/>
  <c r="F25" i="26"/>
  <c r="E25" i="26" s="1"/>
  <c r="F24" i="26"/>
  <c r="E24" i="26" s="1"/>
  <c r="F23" i="26"/>
  <c r="E23" i="26" s="1"/>
  <c r="F22" i="26"/>
  <c r="E22" i="26" s="1"/>
  <c r="F21" i="26"/>
  <c r="E21" i="26" s="1"/>
  <c r="F20" i="26"/>
  <c r="E20" i="26" s="1"/>
  <c r="C20" i="26"/>
  <c r="D20" i="26" s="1"/>
  <c r="F19" i="26"/>
  <c r="E19" i="26" s="1"/>
  <c r="F18" i="26"/>
  <c r="E18" i="26" s="1"/>
  <c r="F17" i="26"/>
  <c r="E17" i="26" s="1"/>
  <c r="F16" i="26"/>
  <c r="E16" i="26" s="1"/>
  <c r="F15" i="26"/>
  <c r="E15" i="26" s="1"/>
  <c r="C15" i="26"/>
  <c r="D15" i="26" s="1"/>
  <c r="F14" i="26"/>
  <c r="E14" i="26" s="1"/>
  <c r="F13" i="26"/>
  <c r="E13" i="26" s="1"/>
  <c r="F12" i="26"/>
  <c r="E12" i="26" s="1"/>
  <c r="F11" i="26"/>
  <c r="E11" i="26" s="1"/>
  <c r="F10" i="26"/>
  <c r="E10" i="26" s="1"/>
  <c r="F9" i="26"/>
  <c r="E9" i="26" s="1"/>
  <c r="C9" i="26"/>
  <c r="D9" i="26" s="1"/>
  <c r="F8" i="26"/>
  <c r="E8" i="26" s="1"/>
  <c r="F7" i="26"/>
  <c r="E7" i="26" s="1"/>
  <c r="F6" i="26"/>
  <c r="E6" i="26" s="1"/>
  <c r="F5" i="26"/>
  <c r="E5" i="26" s="1"/>
  <c r="F4" i="26"/>
  <c r="E4" i="26" s="1"/>
  <c r="F3" i="26"/>
  <c r="E3" i="26" s="1"/>
  <c r="C3" i="26"/>
  <c r="D3" i="26" s="1"/>
  <c r="N63" i="25"/>
  <c r="O63" i="25"/>
  <c r="N64" i="25"/>
  <c r="O64" i="25"/>
  <c r="N65" i="25"/>
  <c r="O65" i="25"/>
  <c r="N66" i="25"/>
  <c r="O66" i="25"/>
  <c r="N67" i="25"/>
  <c r="O67" i="25"/>
  <c r="N68" i="25"/>
  <c r="O68" i="25"/>
  <c r="N36" i="25"/>
  <c r="O36" i="25"/>
  <c r="G36" i="25"/>
  <c r="H36" i="25"/>
  <c r="I36" i="25"/>
  <c r="J36" i="25"/>
  <c r="K36" i="25"/>
  <c r="L36" i="25"/>
  <c r="M36" i="25"/>
  <c r="H63" i="25"/>
  <c r="I63" i="25"/>
  <c r="J63" i="25"/>
  <c r="K63" i="25"/>
  <c r="L63" i="25"/>
  <c r="M63" i="25"/>
  <c r="H64" i="25"/>
  <c r="I64" i="25"/>
  <c r="J64" i="25"/>
  <c r="K64" i="25"/>
  <c r="L64" i="25"/>
  <c r="M64" i="25"/>
  <c r="H65" i="25"/>
  <c r="I65" i="25"/>
  <c r="J65" i="25"/>
  <c r="K65" i="25"/>
  <c r="L65" i="25"/>
  <c r="M65" i="25"/>
  <c r="H66" i="25"/>
  <c r="I66" i="25"/>
  <c r="J66" i="25"/>
  <c r="K66" i="25"/>
  <c r="L66" i="25"/>
  <c r="M66" i="25"/>
  <c r="H67" i="25"/>
  <c r="I67" i="25"/>
  <c r="J67" i="25"/>
  <c r="K67" i="25"/>
  <c r="L67" i="25"/>
  <c r="M67" i="25"/>
  <c r="H68" i="25"/>
  <c r="I68" i="25"/>
  <c r="J68" i="25"/>
  <c r="K68" i="25"/>
  <c r="L68" i="25"/>
  <c r="M68" i="25"/>
  <c r="G68" i="25"/>
  <c r="G67" i="25"/>
  <c r="G66" i="25"/>
  <c r="G65" i="25"/>
  <c r="G64" i="25"/>
  <c r="G63" i="25"/>
  <c r="F61" i="25"/>
  <c r="E61" i="25" s="1"/>
  <c r="F60" i="25"/>
  <c r="E60" i="25" s="1"/>
  <c r="F59" i="25"/>
  <c r="E59" i="25" s="1"/>
  <c r="F58" i="25"/>
  <c r="E58" i="25" s="1"/>
  <c r="F57" i="25"/>
  <c r="E57" i="25" s="1"/>
  <c r="F56" i="25"/>
  <c r="E56" i="25" s="1"/>
  <c r="F55" i="25"/>
  <c r="E55" i="25" s="1"/>
  <c r="F54" i="25"/>
  <c r="E54" i="25" s="1"/>
  <c r="F53" i="25"/>
  <c r="E53" i="25" s="1"/>
  <c r="F52" i="25"/>
  <c r="E52" i="25" s="1"/>
  <c r="F51" i="25"/>
  <c r="E51" i="25" s="1"/>
  <c r="F50" i="25"/>
  <c r="E50" i="25" s="1"/>
  <c r="F49" i="25"/>
  <c r="E49" i="25" s="1"/>
  <c r="F48" i="25"/>
  <c r="F47" i="25"/>
  <c r="E47" i="25" s="1"/>
  <c r="F46" i="25"/>
  <c r="E46" i="25" s="1"/>
  <c r="F45" i="25"/>
  <c r="E45" i="25" s="1"/>
  <c r="F44" i="25"/>
  <c r="F43" i="25"/>
  <c r="E43" i="25" s="1"/>
  <c r="F42" i="25"/>
  <c r="E42" i="25" s="1"/>
  <c r="F41" i="25"/>
  <c r="E41" i="25" s="1"/>
  <c r="F40" i="25"/>
  <c r="E40" i="25" s="1"/>
  <c r="F39" i="25"/>
  <c r="E39" i="25" s="1"/>
  <c r="E48" i="25"/>
  <c r="E44" i="25"/>
  <c r="F35" i="25"/>
  <c r="E35" i="25" s="1"/>
  <c r="F34" i="25"/>
  <c r="E34" i="25" s="1"/>
  <c r="F33" i="25"/>
  <c r="E33" i="25" s="1"/>
  <c r="F32" i="25"/>
  <c r="E32" i="25" s="1"/>
  <c r="F31" i="25"/>
  <c r="E31" i="25" s="1"/>
  <c r="F30" i="25"/>
  <c r="E30" i="25" s="1"/>
  <c r="F29" i="25"/>
  <c r="E29" i="25" s="1"/>
  <c r="F28" i="25"/>
  <c r="E28" i="25" s="1"/>
  <c r="F27" i="25"/>
  <c r="E27" i="25" s="1"/>
  <c r="F26" i="25"/>
  <c r="E26" i="25" s="1"/>
  <c r="F25" i="25"/>
  <c r="E25" i="25" s="1"/>
  <c r="F24" i="25"/>
  <c r="E24" i="25" s="1"/>
  <c r="F23" i="25"/>
  <c r="E23" i="25" s="1"/>
  <c r="F22" i="25"/>
  <c r="E22" i="25" s="1"/>
  <c r="F21" i="25"/>
  <c r="E21" i="25" s="1"/>
  <c r="F20" i="25"/>
  <c r="E20" i="25" s="1"/>
  <c r="F19" i="25"/>
  <c r="E19" i="25" s="1"/>
  <c r="F18" i="25"/>
  <c r="E18" i="25" s="1"/>
  <c r="F17" i="25"/>
  <c r="E17" i="25" s="1"/>
  <c r="F16" i="25"/>
  <c r="E16" i="25" s="1"/>
  <c r="F15" i="25"/>
  <c r="E15" i="25" s="1"/>
  <c r="F14" i="25"/>
  <c r="E14" i="25" s="1"/>
  <c r="F13" i="25"/>
  <c r="E13" i="25" s="1"/>
  <c r="F12" i="25"/>
  <c r="E12" i="25" s="1"/>
  <c r="F11" i="25"/>
  <c r="E11" i="25" s="1"/>
  <c r="F10" i="25"/>
  <c r="E10" i="25" s="1"/>
  <c r="F9" i="25"/>
  <c r="E9" i="25" s="1"/>
  <c r="F8" i="25"/>
  <c r="E8" i="25" s="1"/>
  <c r="F7" i="25"/>
  <c r="E7" i="25" s="1"/>
  <c r="F6" i="25"/>
  <c r="E6" i="25" s="1"/>
  <c r="F5" i="25"/>
  <c r="E5" i="25" s="1"/>
  <c r="F4" i="25"/>
  <c r="E4" i="25" s="1"/>
  <c r="F3" i="25"/>
  <c r="E3" i="25" s="1"/>
  <c r="C62" i="25"/>
  <c r="D62" i="25" s="1"/>
  <c r="C56" i="25"/>
  <c r="D56" i="25" s="1"/>
  <c r="C51" i="25"/>
  <c r="D51" i="25" s="1"/>
  <c r="C45" i="25"/>
  <c r="D45" i="25" s="1"/>
  <c r="C39" i="25"/>
  <c r="D39" i="25" s="1"/>
  <c r="C32" i="25"/>
  <c r="D32" i="25" s="1"/>
  <c r="C26" i="25"/>
  <c r="D26" i="25" s="1"/>
  <c r="C20" i="25"/>
  <c r="D20" i="25" s="1"/>
  <c r="C15" i="25"/>
  <c r="D15" i="25" s="1"/>
  <c r="C9" i="25"/>
  <c r="D9" i="25" s="1"/>
  <c r="C3" i="25"/>
  <c r="D3" i="25" s="1"/>
  <c r="F106" i="26" l="1"/>
  <c r="D72" i="26"/>
  <c r="C109" i="26"/>
  <c r="F108" i="26"/>
  <c r="D87" i="26"/>
  <c r="D108" i="26" s="1"/>
  <c r="K109" i="26"/>
  <c r="K110" i="26" s="1"/>
  <c r="K111" i="26" s="1"/>
  <c r="C107" i="26"/>
  <c r="F107" i="26"/>
  <c r="N109" i="26"/>
  <c r="N110" i="26" s="1"/>
  <c r="E103" i="26"/>
  <c r="F103" i="26"/>
  <c r="H62" i="26"/>
  <c r="F68" i="26"/>
  <c r="E68" i="26" s="1"/>
  <c r="D36" i="26"/>
  <c r="E36" i="26"/>
  <c r="J62" i="26"/>
  <c r="F67" i="26"/>
  <c r="E67" i="26" s="1"/>
  <c r="F63" i="26"/>
  <c r="E63" i="26" s="1"/>
  <c r="L62" i="26"/>
  <c r="F65" i="26"/>
  <c r="E65" i="26" s="1"/>
  <c r="D69" i="26"/>
  <c r="G62" i="26"/>
  <c r="O62" i="26"/>
  <c r="M62" i="26"/>
  <c r="F36" i="26"/>
  <c r="I62" i="26"/>
  <c r="I109" i="26" s="1"/>
  <c r="I110" i="26" s="1"/>
  <c r="I111" i="26" s="1"/>
  <c r="E36" i="25"/>
  <c r="O62" i="25"/>
  <c r="O69" i="25" s="1"/>
  <c r="F36" i="25"/>
  <c r="N62" i="25"/>
  <c r="N69" i="25" s="1"/>
  <c r="D69" i="25"/>
  <c r="J62" i="25"/>
  <c r="J69" i="25" s="1"/>
  <c r="F66" i="25"/>
  <c r="E66" i="25" s="1"/>
  <c r="F67" i="25"/>
  <c r="E67" i="25" s="1"/>
  <c r="F68" i="25"/>
  <c r="E68" i="25" s="1"/>
  <c r="I62" i="25"/>
  <c r="I69" i="25" s="1"/>
  <c r="M62" i="25"/>
  <c r="M69" i="25" s="1"/>
  <c r="F65" i="25"/>
  <c r="E65" i="25" s="1"/>
  <c r="L62" i="25"/>
  <c r="L69" i="25" s="1"/>
  <c r="F64" i="25"/>
  <c r="E64" i="25" s="1"/>
  <c r="F63" i="25"/>
  <c r="E63" i="25" s="1"/>
  <c r="K62" i="25"/>
  <c r="K69" i="25" s="1"/>
  <c r="H62" i="25"/>
  <c r="H69" i="25" s="1"/>
  <c r="G62" i="25"/>
  <c r="G69" i="25" s="1"/>
  <c r="D36" i="25"/>
  <c r="D18" i="21"/>
  <c r="C15" i="21"/>
  <c r="D14" i="21"/>
  <c r="K5" i="21"/>
  <c r="F15" i="21" s="1"/>
  <c r="K6" i="21"/>
  <c r="D16" i="21" s="1"/>
  <c r="K7" i="21"/>
  <c r="D17" i="21" s="1"/>
  <c r="K8" i="21"/>
  <c r="B18" i="21" s="1"/>
  <c r="K9" i="21"/>
  <c r="E19" i="21" s="1"/>
  <c r="K10" i="21"/>
  <c r="F20" i="21" s="1"/>
  <c r="K4" i="21"/>
  <c r="F14" i="21" s="1"/>
  <c r="I5" i="18"/>
  <c r="J5" i="18"/>
  <c r="K5" i="18"/>
  <c r="L5" i="18"/>
  <c r="M5" i="18"/>
  <c r="N5" i="18"/>
  <c r="O5" i="18"/>
  <c r="P5" i="18"/>
  <c r="I6" i="18"/>
  <c r="J6" i="18"/>
  <c r="K6" i="18"/>
  <c r="L6" i="18"/>
  <c r="M6" i="18"/>
  <c r="N6" i="18"/>
  <c r="O6" i="18"/>
  <c r="P6" i="18"/>
  <c r="I7" i="18"/>
  <c r="J7" i="18"/>
  <c r="K7" i="18"/>
  <c r="L7" i="18"/>
  <c r="M7" i="18"/>
  <c r="N7" i="18"/>
  <c r="O7" i="18"/>
  <c r="P7" i="18"/>
  <c r="I8" i="18"/>
  <c r="J8" i="18"/>
  <c r="K8" i="18"/>
  <c r="L8" i="18"/>
  <c r="M8" i="18"/>
  <c r="N8" i="18"/>
  <c r="O8" i="18"/>
  <c r="P8" i="18"/>
  <c r="I9" i="18"/>
  <c r="J9" i="18"/>
  <c r="K9" i="18"/>
  <c r="L9" i="18"/>
  <c r="M9" i="18"/>
  <c r="N9" i="18"/>
  <c r="O9" i="18"/>
  <c r="P9" i="18"/>
  <c r="I10" i="18"/>
  <c r="J10" i="18"/>
  <c r="K10" i="18"/>
  <c r="L10" i="18"/>
  <c r="M10" i="18"/>
  <c r="N10" i="18"/>
  <c r="O10" i="18"/>
  <c r="P10" i="18"/>
  <c r="I11" i="18"/>
  <c r="J11" i="18"/>
  <c r="K11" i="18"/>
  <c r="L11" i="18"/>
  <c r="M11" i="18"/>
  <c r="N11" i="18"/>
  <c r="O11" i="18"/>
  <c r="P11" i="18"/>
  <c r="I12" i="18"/>
  <c r="J12" i="18"/>
  <c r="K12" i="18"/>
  <c r="L12" i="18"/>
  <c r="M12" i="18"/>
  <c r="N12" i="18"/>
  <c r="O12" i="18"/>
  <c r="P12" i="18"/>
  <c r="I13" i="18"/>
  <c r="J13" i="18"/>
  <c r="K13" i="18"/>
  <c r="L13" i="18"/>
  <c r="M13" i="18"/>
  <c r="N13" i="18"/>
  <c r="O13" i="18"/>
  <c r="P13" i="18"/>
  <c r="I14" i="18"/>
  <c r="J14" i="18"/>
  <c r="K14" i="18"/>
  <c r="L14" i="18"/>
  <c r="M14" i="18"/>
  <c r="N14" i="18"/>
  <c r="O14" i="18"/>
  <c r="P14" i="18"/>
  <c r="I15" i="18"/>
  <c r="J15" i="18"/>
  <c r="K15" i="18"/>
  <c r="L15" i="18"/>
  <c r="M15" i="18"/>
  <c r="N15" i="18"/>
  <c r="O15" i="18"/>
  <c r="P15" i="18"/>
  <c r="I16" i="18"/>
  <c r="J16" i="18"/>
  <c r="K16" i="18"/>
  <c r="L16" i="18"/>
  <c r="M16" i="18"/>
  <c r="N16" i="18"/>
  <c r="O16" i="18"/>
  <c r="P16" i="18"/>
  <c r="I17" i="18"/>
  <c r="J17" i="18"/>
  <c r="K17" i="18"/>
  <c r="L17" i="18"/>
  <c r="M17" i="18"/>
  <c r="N17" i="18"/>
  <c r="O17" i="18"/>
  <c r="P17" i="18"/>
  <c r="I18" i="18"/>
  <c r="J18" i="18"/>
  <c r="K18" i="18"/>
  <c r="L18" i="18"/>
  <c r="M18" i="18"/>
  <c r="N18" i="18"/>
  <c r="O18" i="18"/>
  <c r="P18" i="18"/>
  <c r="I19" i="18"/>
  <c r="J19" i="18"/>
  <c r="K19" i="18"/>
  <c r="L19" i="18"/>
  <c r="M19" i="18"/>
  <c r="N19" i="18"/>
  <c r="O19" i="18"/>
  <c r="P19" i="18"/>
  <c r="I20" i="18"/>
  <c r="J20" i="18"/>
  <c r="K20" i="18"/>
  <c r="L20" i="18"/>
  <c r="M20" i="18"/>
  <c r="N20" i="18"/>
  <c r="O20" i="18"/>
  <c r="P20" i="18"/>
  <c r="I21" i="18"/>
  <c r="J21" i="18"/>
  <c r="K21" i="18"/>
  <c r="L21" i="18"/>
  <c r="M21" i="18"/>
  <c r="N21" i="18"/>
  <c r="O21" i="18"/>
  <c r="P21" i="18"/>
  <c r="I22" i="18"/>
  <c r="J22" i="18"/>
  <c r="K22" i="18"/>
  <c r="L22" i="18"/>
  <c r="M22" i="18"/>
  <c r="N22" i="18"/>
  <c r="O22" i="18"/>
  <c r="P22" i="18"/>
  <c r="I23" i="18"/>
  <c r="J23" i="18"/>
  <c r="K23" i="18"/>
  <c r="L23" i="18"/>
  <c r="M23" i="18"/>
  <c r="N23" i="18"/>
  <c r="O23" i="18"/>
  <c r="P23" i="18"/>
  <c r="I24" i="18"/>
  <c r="J24" i="18"/>
  <c r="K24" i="18"/>
  <c r="L24" i="18"/>
  <c r="M24" i="18"/>
  <c r="N24" i="18"/>
  <c r="O24" i="18"/>
  <c r="P24" i="18"/>
  <c r="I25" i="18"/>
  <c r="J25" i="18"/>
  <c r="K25" i="18"/>
  <c r="L25" i="18"/>
  <c r="M25" i="18"/>
  <c r="N25" i="18"/>
  <c r="O25" i="18"/>
  <c r="P25" i="18"/>
  <c r="I26" i="18"/>
  <c r="J26" i="18"/>
  <c r="K26" i="18"/>
  <c r="L26" i="18"/>
  <c r="M26" i="18"/>
  <c r="N26" i="18"/>
  <c r="O26" i="18"/>
  <c r="P26" i="18"/>
  <c r="I27" i="18"/>
  <c r="J27" i="18"/>
  <c r="K27" i="18"/>
  <c r="L27" i="18"/>
  <c r="M27" i="18"/>
  <c r="N27" i="18"/>
  <c r="O27" i="18"/>
  <c r="P27" i="18"/>
  <c r="I28" i="18"/>
  <c r="J28" i="18"/>
  <c r="K28" i="18"/>
  <c r="L28" i="18"/>
  <c r="M28" i="18"/>
  <c r="N28" i="18"/>
  <c r="O28" i="18"/>
  <c r="P28" i="18"/>
  <c r="I29" i="18"/>
  <c r="J29" i="18"/>
  <c r="K29" i="18"/>
  <c r="L29" i="18"/>
  <c r="M29" i="18"/>
  <c r="N29" i="18"/>
  <c r="O29" i="18"/>
  <c r="P29" i="18"/>
  <c r="I30" i="18"/>
  <c r="J30" i="18"/>
  <c r="K30" i="18"/>
  <c r="L30" i="18"/>
  <c r="M30" i="18"/>
  <c r="N30" i="18"/>
  <c r="O30" i="18"/>
  <c r="P30" i="18"/>
  <c r="I31" i="18"/>
  <c r="J31" i="18"/>
  <c r="K31" i="18"/>
  <c r="L31" i="18"/>
  <c r="M31" i="18"/>
  <c r="N31" i="18"/>
  <c r="O31" i="18"/>
  <c r="P31" i="18"/>
  <c r="I32" i="18"/>
  <c r="J32" i="18"/>
  <c r="K32" i="18"/>
  <c r="L32" i="18"/>
  <c r="M32" i="18"/>
  <c r="N32" i="18"/>
  <c r="O32" i="18"/>
  <c r="P32" i="18"/>
  <c r="I33" i="18"/>
  <c r="J33" i="18"/>
  <c r="K33" i="18"/>
  <c r="L33" i="18"/>
  <c r="M33" i="18"/>
  <c r="N33" i="18"/>
  <c r="O33" i="18"/>
  <c r="P33" i="18"/>
  <c r="I34" i="18"/>
  <c r="J34" i="18"/>
  <c r="K34" i="18"/>
  <c r="L34" i="18"/>
  <c r="M34" i="18"/>
  <c r="N34" i="18"/>
  <c r="O34" i="18"/>
  <c r="P34" i="18"/>
  <c r="I35" i="18"/>
  <c r="J35" i="18"/>
  <c r="K35" i="18"/>
  <c r="L35" i="18"/>
  <c r="M35" i="18"/>
  <c r="N35" i="18"/>
  <c r="O35" i="18"/>
  <c r="P35" i="18"/>
  <c r="I36" i="18"/>
  <c r="J36" i="18"/>
  <c r="K36" i="18"/>
  <c r="L36" i="18"/>
  <c r="M36" i="18"/>
  <c r="N36" i="18"/>
  <c r="O36" i="18"/>
  <c r="P36" i="18"/>
  <c r="I37" i="18"/>
  <c r="J37" i="18"/>
  <c r="K37" i="18"/>
  <c r="L37" i="18"/>
  <c r="M37" i="18"/>
  <c r="N37" i="18"/>
  <c r="O37" i="18"/>
  <c r="P37" i="18"/>
  <c r="I38" i="18"/>
  <c r="J38" i="18"/>
  <c r="K38" i="18"/>
  <c r="L38" i="18"/>
  <c r="M38" i="18"/>
  <c r="N38" i="18"/>
  <c r="O38" i="18"/>
  <c r="P38" i="18"/>
  <c r="I39" i="18"/>
  <c r="J39" i="18"/>
  <c r="K39" i="18"/>
  <c r="L39" i="18"/>
  <c r="M39" i="18"/>
  <c r="N39" i="18"/>
  <c r="O39" i="18"/>
  <c r="P39" i="18"/>
  <c r="I40" i="18"/>
  <c r="J40" i="18"/>
  <c r="K40" i="18"/>
  <c r="L40" i="18"/>
  <c r="M40" i="18"/>
  <c r="N40" i="18"/>
  <c r="O40" i="18"/>
  <c r="P40" i="18"/>
  <c r="I41" i="18"/>
  <c r="J41" i="18"/>
  <c r="K41" i="18"/>
  <c r="L41" i="18"/>
  <c r="M41" i="18"/>
  <c r="N41" i="18"/>
  <c r="O41" i="18"/>
  <c r="P41" i="18"/>
  <c r="I42" i="18"/>
  <c r="J42" i="18"/>
  <c r="K42" i="18"/>
  <c r="L42" i="18"/>
  <c r="M42" i="18"/>
  <c r="N42" i="18"/>
  <c r="O42" i="18"/>
  <c r="P42" i="18"/>
  <c r="I43" i="18"/>
  <c r="J43" i="18"/>
  <c r="K43" i="18"/>
  <c r="L43" i="18"/>
  <c r="M43" i="18"/>
  <c r="N43" i="18"/>
  <c r="O43" i="18"/>
  <c r="P43" i="18"/>
  <c r="I44" i="18"/>
  <c r="J44" i="18"/>
  <c r="K44" i="18"/>
  <c r="L44" i="18"/>
  <c r="M44" i="18"/>
  <c r="N44" i="18"/>
  <c r="O44" i="18"/>
  <c r="P44" i="18"/>
  <c r="I45" i="18"/>
  <c r="J45" i="18"/>
  <c r="K45" i="18"/>
  <c r="L45" i="18"/>
  <c r="M45" i="18"/>
  <c r="N45" i="18"/>
  <c r="O45" i="18"/>
  <c r="P45" i="18"/>
  <c r="I46" i="18"/>
  <c r="J46" i="18"/>
  <c r="K46" i="18"/>
  <c r="L46" i="18"/>
  <c r="M46" i="18"/>
  <c r="N46" i="18"/>
  <c r="O46" i="18"/>
  <c r="P46" i="18"/>
  <c r="I47" i="18"/>
  <c r="J47" i="18"/>
  <c r="K47" i="18"/>
  <c r="L47" i="18"/>
  <c r="M47" i="18"/>
  <c r="N47" i="18"/>
  <c r="O47" i="18"/>
  <c r="P47" i="18"/>
  <c r="I48" i="18"/>
  <c r="J48" i="18"/>
  <c r="K48" i="18"/>
  <c r="L48" i="18"/>
  <c r="M48" i="18"/>
  <c r="N48" i="18"/>
  <c r="O48" i="18"/>
  <c r="P48" i="18"/>
  <c r="I49" i="18"/>
  <c r="J49" i="18"/>
  <c r="K49" i="18"/>
  <c r="L49" i="18"/>
  <c r="M49" i="18"/>
  <c r="N49" i="18"/>
  <c r="O49" i="18"/>
  <c r="P49" i="18"/>
  <c r="I50" i="18"/>
  <c r="J50" i="18"/>
  <c r="K50" i="18"/>
  <c r="L50" i="18"/>
  <c r="M50" i="18"/>
  <c r="N50" i="18"/>
  <c r="O50" i="18"/>
  <c r="P50" i="18"/>
  <c r="I51" i="18"/>
  <c r="J51" i="18"/>
  <c r="K51" i="18"/>
  <c r="L51" i="18"/>
  <c r="M51" i="18"/>
  <c r="N51" i="18"/>
  <c r="O51" i="18"/>
  <c r="P51" i="18"/>
  <c r="I52" i="18"/>
  <c r="J52" i="18"/>
  <c r="K52" i="18"/>
  <c r="L52" i="18"/>
  <c r="M52" i="18"/>
  <c r="N52" i="18"/>
  <c r="O52" i="18"/>
  <c r="P52" i="18"/>
  <c r="I53" i="18"/>
  <c r="J53" i="18"/>
  <c r="K53" i="18"/>
  <c r="L53" i="18"/>
  <c r="M53" i="18"/>
  <c r="N53" i="18"/>
  <c r="O53" i="18"/>
  <c r="P53" i="18"/>
  <c r="I54" i="18"/>
  <c r="J54" i="18"/>
  <c r="K54" i="18"/>
  <c r="L54" i="18"/>
  <c r="M54" i="18"/>
  <c r="N54" i="18"/>
  <c r="O54" i="18"/>
  <c r="P54" i="18"/>
  <c r="I55" i="18"/>
  <c r="J55" i="18"/>
  <c r="K55" i="18"/>
  <c r="L55" i="18"/>
  <c r="M55" i="18"/>
  <c r="N55" i="18"/>
  <c r="O55" i="18"/>
  <c r="P55" i="18"/>
  <c r="I56" i="18"/>
  <c r="J56" i="18"/>
  <c r="K56" i="18"/>
  <c r="L56" i="18"/>
  <c r="M56" i="18"/>
  <c r="N56" i="18"/>
  <c r="O56" i="18"/>
  <c r="P56" i="18"/>
  <c r="I57" i="18"/>
  <c r="J57" i="18"/>
  <c r="K57" i="18"/>
  <c r="L57" i="18"/>
  <c r="M57" i="18"/>
  <c r="N57" i="18"/>
  <c r="O57" i="18"/>
  <c r="P57" i="18"/>
  <c r="I58" i="18"/>
  <c r="J58" i="18"/>
  <c r="K58" i="18"/>
  <c r="L58" i="18"/>
  <c r="M58" i="18"/>
  <c r="N58" i="18"/>
  <c r="O58" i="18"/>
  <c r="P58" i="18"/>
  <c r="I59" i="18"/>
  <c r="J59" i="18"/>
  <c r="K59" i="18"/>
  <c r="L59" i="18"/>
  <c r="M59" i="18"/>
  <c r="N59" i="18"/>
  <c r="O59" i="18"/>
  <c r="P59" i="18"/>
  <c r="I60" i="18"/>
  <c r="J60" i="18"/>
  <c r="K60" i="18"/>
  <c r="L60" i="18"/>
  <c r="M60" i="18"/>
  <c r="N60" i="18"/>
  <c r="O60" i="18"/>
  <c r="P60" i="18"/>
  <c r="I61" i="18"/>
  <c r="J61" i="18"/>
  <c r="K61" i="18"/>
  <c r="L61" i="18"/>
  <c r="M61" i="18"/>
  <c r="N61" i="18"/>
  <c r="O61" i="18"/>
  <c r="P61" i="18"/>
  <c r="I62" i="18"/>
  <c r="J62" i="18"/>
  <c r="K62" i="18"/>
  <c r="L62" i="18"/>
  <c r="M62" i="18"/>
  <c r="N62" i="18"/>
  <c r="O62" i="18"/>
  <c r="P62" i="18"/>
  <c r="I63" i="18"/>
  <c r="J63" i="18"/>
  <c r="K63" i="18"/>
  <c r="L63" i="18"/>
  <c r="M63" i="18"/>
  <c r="N63" i="18"/>
  <c r="O63" i="18"/>
  <c r="P63" i="18"/>
  <c r="I64" i="18"/>
  <c r="J64" i="18"/>
  <c r="K64" i="18"/>
  <c r="L64" i="18"/>
  <c r="M64" i="18"/>
  <c r="N64" i="18"/>
  <c r="O64" i="18"/>
  <c r="P64" i="18"/>
  <c r="I65" i="18"/>
  <c r="J65" i="18"/>
  <c r="K65" i="18"/>
  <c r="L65" i="18"/>
  <c r="M65" i="18"/>
  <c r="N65" i="18"/>
  <c r="O65" i="18"/>
  <c r="P65" i="18"/>
  <c r="I66" i="18"/>
  <c r="J66" i="18"/>
  <c r="K66" i="18"/>
  <c r="L66" i="18"/>
  <c r="M66" i="18"/>
  <c r="N66" i="18"/>
  <c r="O66" i="18"/>
  <c r="P66" i="18"/>
  <c r="I67" i="18"/>
  <c r="J67" i="18"/>
  <c r="K67" i="18"/>
  <c r="L67" i="18"/>
  <c r="M67" i="18"/>
  <c r="N67" i="18"/>
  <c r="O67" i="18"/>
  <c r="P67" i="18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72" i="18"/>
  <c r="J72" i="18"/>
  <c r="K72" i="18"/>
  <c r="L72" i="18"/>
  <c r="M72" i="18"/>
  <c r="N72" i="18"/>
  <c r="O72" i="18"/>
  <c r="P72" i="18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9" i="18"/>
  <c r="J79" i="18"/>
  <c r="K79" i="18"/>
  <c r="L79" i="18"/>
  <c r="M79" i="18"/>
  <c r="N79" i="18"/>
  <c r="O79" i="18"/>
  <c r="P79" i="18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I82" i="18"/>
  <c r="J82" i="18"/>
  <c r="K82" i="18"/>
  <c r="L82" i="18"/>
  <c r="M82" i="18"/>
  <c r="N82" i="18"/>
  <c r="O82" i="18"/>
  <c r="P82" i="18"/>
  <c r="I83" i="18"/>
  <c r="J83" i="18"/>
  <c r="K83" i="18"/>
  <c r="L83" i="18"/>
  <c r="M83" i="18"/>
  <c r="N83" i="18"/>
  <c r="O83" i="18"/>
  <c r="P83" i="18"/>
  <c r="I84" i="18"/>
  <c r="J84" i="18"/>
  <c r="K84" i="18"/>
  <c r="L84" i="18"/>
  <c r="M84" i="18"/>
  <c r="N84" i="18"/>
  <c r="O84" i="18"/>
  <c r="P84" i="18"/>
  <c r="I85" i="18"/>
  <c r="J85" i="18"/>
  <c r="K85" i="18"/>
  <c r="L85" i="18"/>
  <c r="M85" i="18"/>
  <c r="N85" i="18"/>
  <c r="O85" i="18"/>
  <c r="P85" i="18"/>
  <c r="I86" i="18"/>
  <c r="J86" i="18"/>
  <c r="K86" i="18"/>
  <c r="L86" i="18"/>
  <c r="M86" i="18"/>
  <c r="N86" i="18"/>
  <c r="O86" i="18"/>
  <c r="P86" i="18"/>
  <c r="I87" i="18"/>
  <c r="J87" i="18"/>
  <c r="K87" i="18"/>
  <c r="L87" i="18"/>
  <c r="M87" i="18"/>
  <c r="N87" i="18"/>
  <c r="O87" i="18"/>
  <c r="P87" i="18"/>
  <c r="I88" i="18"/>
  <c r="J88" i="18"/>
  <c r="K88" i="18"/>
  <c r="L88" i="18"/>
  <c r="M88" i="18"/>
  <c r="N88" i="18"/>
  <c r="O88" i="18"/>
  <c r="P88" i="18"/>
  <c r="I89" i="18"/>
  <c r="J89" i="18"/>
  <c r="K89" i="18"/>
  <c r="L89" i="18"/>
  <c r="M89" i="18"/>
  <c r="N89" i="18"/>
  <c r="O89" i="18"/>
  <c r="P89" i="18"/>
  <c r="I90" i="18"/>
  <c r="J90" i="18"/>
  <c r="K90" i="18"/>
  <c r="L90" i="18"/>
  <c r="M90" i="18"/>
  <c r="N90" i="18"/>
  <c r="O90" i="18"/>
  <c r="P90" i="18"/>
  <c r="I91" i="18"/>
  <c r="J91" i="18"/>
  <c r="K91" i="18"/>
  <c r="L91" i="18"/>
  <c r="M91" i="18"/>
  <c r="N91" i="18"/>
  <c r="O91" i="18"/>
  <c r="P91" i="18"/>
  <c r="I92" i="18"/>
  <c r="J92" i="18"/>
  <c r="K92" i="18"/>
  <c r="L92" i="18"/>
  <c r="M92" i="18"/>
  <c r="N92" i="18"/>
  <c r="O92" i="18"/>
  <c r="P92" i="18"/>
  <c r="I93" i="18"/>
  <c r="J93" i="18"/>
  <c r="K93" i="18"/>
  <c r="L93" i="18"/>
  <c r="M93" i="18"/>
  <c r="N93" i="18"/>
  <c r="O93" i="18"/>
  <c r="P93" i="18"/>
  <c r="I94" i="18"/>
  <c r="J94" i="18"/>
  <c r="K94" i="18"/>
  <c r="L94" i="18"/>
  <c r="M94" i="18"/>
  <c r="N94" i="18"/>
  <c r="O94" i="18"/>
  <c r="P94" i="18"/>
  <c r="I95" i="18"/>
  <c r="J95" i="18"/>
  <c r="K95" i="18"/>
  <c r="L95" i="18"/>
  <c r="M95" i="18"/>
  <c r="N95" i="18"/>
  <c r="O95" i="18"/>
  <c r="P95" i="18"/>
  <c r="I96" i="18"/>
  <c r="J96" i="18"/>
  <c r="K96" i="18"/>
  <c r="L96" i="18"/>
  <c r="M96" i="18"/>
  <c r="N96" i="18"/>
  <c r="O96" i="18"/>
  <c r="P96" i="18"/>
  <c r="I97" i="18"/>
  <c r="J97" i="18"/>
  <c r="K97" i="18"/>
  <c r="L97" i="18"/>
  <c r="M97" i="18"/>
  <c r="N97" i="18"/>
  <c r="O97" i="18"/>
  <c r="P97" i="18"/>
  <c r="I98" i="18"/>
  <c r="J98" i="18"/>
  <c r="K98" i="18"/>
  <c r="L98" i="18"/>
  <c r="M98" i="18"/>
  <c r="N98" i="18"/>
  <c r="O98" i="18"/>
  <c r="P98" i="18"/>
  <c r="I99" i="18"/>
  <c r="J99" i="18"/>
  <c r="K99" i="18"/>
  <c r="L99" i="18"/>
  <c r="M99" i="18"/>
  <c r="N99" i="18"/>
  <c r="O99" i="18"/>
  <c r="P99" i="18"/>
  <c r="I100" i="18"/>
  <c r="J100" i="18"/>
  <c r="K100" i="18"/>
  <c r="L100" i="18"/>
  <c r="M100" i="18"/>
  <c r="N100" i="18"/>
  <c r="O100" i="18"/>
  <c r="P100" i="18"/>
  <c r="I101" i="18"/>
  <c r="J101" i="18"/>
  <c r="K101" i="18"/>
  <c r="L101" i="18"/>
  <c r="M101" i="18"/>
  <c r="N101" i="18"/>
  <c r="O101" i="18"/>
  <c r="P101" i="18"/>
  <c r="I102" i="18"/>
  <c r="J102" i="18"/>
  <c r="K102" i="18"/>
  <c r="L102" i="18"/>
  <c r="M102" i="18"/>
  <c r="N102" i="18"/>
  <c r="O102" i="18"/>
  <c r="P102" i="18"/>
  <c r="I103" i="18"/>
  <c r="J103" i="18"/>
  <c r="K103" i="18"/>
  <c r="L103" i="18"/>
  <c r="M103" i="18"/>
  <c r="N103" i="18"/>
  <c r="O103" i="18"/>
  <c r="P103" i="18"/>
  <c r="I104" i="18"/>
  <c r="J104" i="18"/>
  <c r="K104" i="18"/>
  <c r="L104" i="18"/>
  <c r="M104" i="18"/>
  <c r="N104" i="18"/>
  <c r="O104" i="18"/>
  <c r="P104" i="18"/>
  <c r="I105" i="18"/>
  <c r="J105" i="18"/>
  <c r="K105" i="18"/>
  <c r="L105" i="18"/>
  <c r="M105" i="18"/>
  <c r="N105" i="18"/>
  <c r="O105" i="18"/>
  <c r="P105" i="18"/>
  <c r="I106" i="18"/>
  <c r="J106" i="18"/>
  <c r="K106" i="18"/>
  <c r="L106" i="18"/>
  <c r="M106" i="18"/>
  <c r="N106" i="18"/>
  <c r="O106" i="18"/>
  <c r="P106" i="18"/>
  <c r="I107" i="18"/>
  <c r="J107" i="18"/>
  <c r="K107" i="18"/>
  <c r="L107" i="18"/>
  <c r="M107" i="18"/>
  <c r="N107" i="18"/>
  <c r="O107" i="18"/>
  <c r="P107" i="18"/>
  <c r="I108" i="18"/>
  <c r="J108" i="18"/>
  <c r="K108" i="18"/>
  <c r="L108" i="18"/>
  <c r="M108" i="18"/>
  <c r="N108" i="18"/>
  <c r="O108" i="18"/>
  <c r="P108" i="18"/>
  <c r="I109" i="18"/>
  <c r="J109" i="18"/>
  <c r="K109" i="18"/>
  <c r="L109" i="18"/>
  <c r="M109" i="18"/>
  <c r="N109" i="18"/>
  <c r="O109" i="18"/>
  <c r="P109" i="18"/>
  <c r="I110" i="18"/>
  <c r="J110" i="18"/>
  <c r="K110" i="18"/>
  <c r="L110" i="18"/>
  <c r="M110" i="18"/>
  <c r="N110" i="18"/>
  <c r="O110" i="18"/>
  <c r="P110" i="18"/>
  <c r="I111" i="18"/>
  <c r="J111" i="18"/>
  <c r="K111" i="18"/>
  <c r="L111" i="18"/>
  <c r="M111" i="18"/>
  <c r="N111" i="18"/>
  <c r="O111" i="18"/>
  <c r="P111" i="18"/>
  <c r="I112" i="18"/>
  <c r="J112" i="18"/>
  <c r="K112" i="18"/>
  <c r="L112" i="18"/>
  <c r="M112" i="18"/>
  <c r="N112" i="18"/>
  <c r="O112" i="18"/>
  <c r="P112" i="18"/>
  <c r="I113" i="18"/>
  <c r="J113" i="18"/>
  <c r="K113" i="18"/>
  <c r="L113" i="18"/>
  <c r="M113" i="18"/>
  <c r="N113" i="18"/>
  <c r="O113" i="18"/>
  <c r="P113" i="18"/>
  <c r="I114" i="18"/>
  <c r="J114" i="18"/>
  <c r="K114" i="18"/>
  <c r="L114" i="18"/>
  <c r="M114" i="18"/>
  <c r="N114" i="18"/>
  <c r="O114" i="18"/>
  <c r="P114" i="18"/>
  <c r="I115" i="18"/>
  <c r="J115" i="18"/>
  <c r="K115" i="18"/>
  <c r="L115" i="18"/>
  <c r="M115" i="18"/>
  <c r="N115" i="18"/>
  <c r="O115" i="18"/>
  <c r="P115" i="18"/>
  <c r="I116" i="18"/>
  <c r="J116" i="18"/>
  <c r="K116" i="18"/>
  <c r="L116" i="18"/>
  <c r="M116" i="18"/>
  <c r="N116" i="18"/>
  <c r="O116" i="18"/>
  <c r="P116" i="18"/>
  <c r="I117" i="18"/>
  <c r="J117" i="18"/>
  <c r="K117" i="18"/>
  <c r="L117" i="18"/>
  <c r="M117" i="18"/>
  <c r="N117" i="18"/>
  <c r="O117" i="18"/>
  <c r="P117" i="18"/>
  <c r="I118" i="18"/>
  <c r="J118" i="18"/>
  <c r="K118" i="18"/>
  <c r="L118" i="18"/>
  <c r="M118" i="18"/>
  <c r="N118" i="18"/>
  <c r="O118" i="18"/>
  <c r="P118" i="18"/>
  <c r="P4" i="18"/>
  <c r="O4" i="18"/>
  <c r="N4" i="18"/>
  <c r="M4" i="18"/>
  <c r="L4" i="18"/>
  <c r="K4" i="18"/>
  <c r="J4" i="18"/>
  <c r="I4" i="18"/>
  <c r="Q268" i="18"/>
  <c r="P268" i="18"/>
  <c r="O268" i="18"/>
  <c r="N268" i="18"/>
  <c r="M268" i="18"/>
  <c r="L268" i="18"/>
  <c r="K268" i="18"/>
  <c r="J268" i="18"/>
  <c r="I268" i="18"/>
  <c r="Q267" i="18"/>
  <c r="P267" i="18"/>
  <c r="O267" i="18"/>
  <c r="N267" i="18"/>
  <c r="M267" i="18"/>
  <c r="L267" i="18"/>
  <c r="K267" i="18"/>
  <c r="J267" i="18"/>
  <c r="I267" i="18"/>
  <c r="Q266" i="18"/>
  <c r="P266" i="18"/>
  <c r="O266" i="18"/>
  <c r="N266" i="18"/>
  <c r="M266" i="18"/>
  <c r="L266" i="18"/>
  <c r="K266" i="18"/>
  <c r="J266" i="18"/>
  <c r="I266" i="18"/>
  <c r="Q265" i="18"/>
  <c r="P265" i="18"/>
  <c r="O265" i="18"/>
  <c r="N265" i="18"/>
  <c r="M265" i="18"/>
  <c r="L265" i="18"/>
  <c r="K265" i="18"/>
  <c r="J265" i="18"/>
  <c r="I265" i="18"/>
  <c r="Q264" i="18"/>
  <c r="P264" i="18"/>
  <c r="O264" i="18"/>
  <c r="N264" i="18"/>
  <c r="M264" i="18"/>
  <c r="L264" i="18"/>
  <c r="K264" i="18"/>
  <c r="J264" i="18"/>
  <c r="I264" i="18"/>
  <c r="Q263" i="18"/>
  <c r="P263" i="18"/>
  <c r="O263" i="18"/>
  <c r="N263" i="18"/>
  <c r="M263" i="18"/>
  <c r="L263" i="18"/>
  <c r="K263" i="18"/>
  <c r="J263" i="18"/>
  <c r="I263" i="18"/>
  <c r="Q262" i="18"/>
  <c r="P262" i="18"/>
  <c r="O262" i="18"/>
  <c r="N262" i="18"/>
  <c r="M262" i="18"/>
  <c r="L262" i="18"/>
  <c r="K262" i="18"/>
  <c r="J262" i="18"/>
  <c r="I262" i="18"/>
  <c r="Q261" i="18"/>
  <c r="P261" i="18"/>
  <c r="O261" i="18"/>
  <c r="N261" i="18"/>
  <c r="M261" i="18"/>
  <c r="L261" i="18"/>
  <c r="K261" i="18"/>
  <c r="J261" i="18"/>
  <c r="I261" i="18"/>
  <c r="Q260" i="18"/>
  <c r="P260" i="18"/>
  <c r="O260" i="18"/>
  <c r="N260" i="18"/>
  <c r="M260" i="18"/>
  <c r="L260" i="18"/>
  <c r="K260" i="18"/>
  <c r="J260" i="18"/>
  <c r="I260" i="18"/>
  <c r="Q259" i="18"/>
  <c r="P259" i="18"/>
  <c r="O259" i="18"/>
  <c r="N259" i="18"/>
  <c r="M259" i="18"/>
  <c r="L259" i="18"/>
  <c r="K259" i="18"/>
  <c r="J259" i="18"/>
  <c r="I259" i="18"/>
  <c r="Q258" i="18"/>
  <c r="P258" i="18"/>
  <c r="O258" i="18"/>
  <c r="N258" i="18"/>
  <c r="M258" i="18"/>
  <c r="L258" i="18"/>
  <c r="K258" i="18"/>
  <c r="J258" i="18"/>
  <c r="I258" i="18"/>
  <c r="Q257" i="18"/>
  <c r="P257" i="18"/>
  <c r="O257" i="18"/>
  <c r="N257" i="18"/>
  <c r="M257" i="18"/>
  <c r="L257" i="18"/>
  <c r="K257" i="18"/>
  <c r="J257" i="18"/>
  <c r="I257" i="18"/>
  <c r="Q256" i="18"/>
  <c r="P256" i="18"/>
  <c r="O256" i="18"/>
  <c r="N256" i="18"/>
  <c r="M256" i="18"/>
  <c r="L256" i="18"/>
  <c r="K256" i="18"/>
  <c r="J256" i="18"/>
  <c r="I256" i="18"/>
  <c r="Q255" i="18"/>
  <c r="P255" i="18"/>
  <c r="O255" i="18"/>
  <c r="N255" i="18"/>
  <c r="M255" i="18"/>
  <c r="L255" i="18"/>
  <c r="K255" i="18"/>
  <c r="J255" i="18"/>
  <c r="I255" i="18"/>
  <c r="Q254" i="18"/>
  <c r="P254" i="18"/>
  <c r="O254" i="18"/>
  <c r="N254" i="18"/>
  <c r="M254" i="18"/>
  <c r="L254" i="18"/>
  <c r="K254" i="18"/>
  <c r="J254" i="18"/>
  <c r="I254" i="18"/>
  <c r="Q253" i="18"/>
  <c r="P253" i="18"/>
  <c r="O253" i="18"/>
  <c r="N253" i="18"/>
  <c r="M253" i="18"/>
  <c r="L253" i="18"/>
  <c r="K253" i="18"/>
  <c r="J253" i="18"/>
  <c r="I253" i="18"/>
  <c r="Q252" i="18"/>
  <c r="P252" i="18"/>
  <c r="O252" i="18"/>
  <c r="N252" i="18"/>
  <c r="M252" i="18"/>
  <c r="L252" i="18"/>
  <c r="K252" i="18"/>
  <c r="J252" i="18"/>
  <c r="I252" i="18"/>
  <c r="Q251" i="18"/>
  <c r="P251" i="18"/>
  <c r="O251" i="18"/>
  <c r="N251" i="18"/>
  <c r="M251" i="18"/>
  <c r="L251" i="18"/>
  <c r="K251" i="18"/>
  <c r="J251" i="18"/>
  <c r="I251" i="18"/>
  <c r="Q250" i="18"/>
  <c r="P250" i="18"/>
  <c r="O250" i="18"/>
  <c r="N250" i="18"/>
  <c r="M250" i="18"/>
  <c r="L250" i="18"/>
  <c r="K250" i="18"/>
  <c r="J250" i="18"/>
  <c r="I250" i="18"/>
  <c r="Q249" i="18"/>
  <c r="P249" i="18"/>
  <c r="O249" i="18"/>
  <c r="N249" i="18"/>
  <c r="M249" i="18"/>
  <c r="L249" i="18"/>
  <c r="K249" i="18"/>
  <c r="J249" i="18"/>
  <c r="I249" i="18"/>
  <c r="Q248" i="18"/>
  <c r="P248" i="18"/>
  <c r="O248" i="18"/>
  <c r="N248" i="18"/>
  <c r="M248" i="18"/>
  <c r="L248" i="18"/>
  <c r="K248" i="18"/>
  <c r="J248" i="18"/>
  <c r="I248" i="18"/>
  <c r="Q247" i="18"/>
  <c r="P247" i="18"/>
  <c r="O247" i="18"/>
  <c r="N247" i="18"/>
  <c r="M247" i="18"/>
  <c r="L247" i="18"/>
  <c r="K247" i="18"/>
  <c r="J247" i="18"/>
  <c r="I247" i="18"/>
  <c r="Q246" i="18"/>
  <c r="P246" i="18"/>
  <c r="O246" i="18"/>
  <c r="N246" i="18"/>
  <c r="M246" i="18"/>
  <c r="L246" i="18"/>
  <c r="K246" i="18"/>
  <c r="J246" i="18"/>
  <c r="I246" i="18"/>
  <c r="Q245" i="18"/>
  <c r="P245" i="18"/>
  <c r="O245" i="18"/>
  <c r="N245" i="18"/>
  <c r="M245" i="18"/>
  <c r="L245" i="18"/>
  <c r="K245" i="18"/>
  <c r="J245" i="18"/>
  <c r="I245" i="18"/>
  <c r="Q244" i="18"/>
  <c r="P244" i="18"/>
  <c r="O244" i="18"/>
  <c r="N244" i="18"/>
  <c r="M244" i="18"/>
  <c r="L244" i="18"/>
  <c r="K244" i="18"/>
  <c r="J244" i="18"/>
  <c r="I244" i="18"/>
  <c r="Q243" i="18"/>
  <c r="P243" i="18"/>
  <c r="O243" i="18"/>
  <c r="N243" i="18"/>
  <c r="M243" i="18"/>
  <c r="L243" i="18"/>
  <c r="K243" i="18"/>
  <c r="J243" i="18"/>
  <c r="I243" i="18"/>
  <c r="Q242" i="18"/>
  <c r="P242" i="18"/>
  <c r="O242" i="18"/>
  <c r="N242" i="18"/>
  <c r="M242" i="18"/>
  <c r="L242" i="18"/>
  <c r="K242" i="18"/>
  <c r="J242" i="18"/>
  <c r="I242" i="18"/>
  <c r="Q241" i="18"/>
  <c r="P241" i="18"/>
  <c r="O241" i="18"/>
  <c r="N241" i="18"/>
  <c r="M241" i="18"/>
  <c r="L241" i="18"/>
  <c r="K241" i="18"/>
  <c r="J241" i="18"/>
  <c r="I241" i="18"/>
  <c r="Q240" i="18"/>
  <c r="P240" i="18"/>
  <c r="O240" i="18"/>
  <c r="N240" i="18"/>
  <c r="M240" i="18"/>
  <c r="L240" i="18"/>
  <c r="K240" i="18"/>
  <c r="J240" i="18"/>
  <c r="I240" i="18"/>
  <c r="Q239" i="18"/>
  <c r="P239" i="18"/>
  <c r="O239" i="18"/>
  <c r="N239" i="18"/>
  <c r="M239" i="18"/>
  <c r="L239" i="18"/>
  <c r="K239" i="18"/>
  <c r="J239" i="18"/>
  <c r="I239" i="18"/>
  <c r="Q238" i="18"/>
  <c r="P238" i="18"/>
  <c r="O238" i="18"/>
  <c r="N238" i="18"/>
  <c r="M238" i="18"/>
  <c r="L238" i="18"/>
  <c r="K238" i="18"/>
  <c r="J238" i="18"/>
  <c r="I238" i="18"/>
  <c r="Q237" i="18"/>
  <c r="P237" i="18"/>
  <c r="O237" i="18"/>
  <c r="N237" i="18"/>
  <c r="M237" i="18"/>
  <c r="L237" i="18"/>
  <c r="K237" i="18"/>
  <c r="J237" i="18"/>
  <c r="I237" i="18"/>
  <c r="Q236" i="18"/>
  <c r="P236" i="18"/>
  <c r="O236" i="18"/>
  <c r="N236" i="18"/>
  <c r="M236" i="18"/>
  <c r="L236" i="18"/>
  <c r="K236" i="18"/>
  <c r="J236" i="18"/>
  <c r="I236" i="18"/>
  <c r="Q235" i="18"/>
  <c r="P235" i="18"/>
  <c r="O235" i="18"/>
  <c r="N235" i="18"/>
  <c r="M235" i="18"/>
  <c r="L235" i="18"/>
  <c r="K235" i="18"/>
  <c r="J235" i="18"/>
  <c r="I235" i="18"/>
  <c r="Q234" i="18"/>
  <c r="P234" i="18"/>
  <c r="O234" i="18"/>
  <c r="N234" i="18"/>
  <c r="M234" i="18"/>
  <c r="L234" i="18"/>
  <c r="K234" i="18"/>
  <c r="J234" i="18"/>
  <c r="I234" i="18"/>
  <c r="P233" i="18"/>
  <c r="O233" i="18"/>
  <c r="N233" i="18"/>
  <c r="M233" i="18"/>
  <c r="L233" i="18"/>
  <c r="K233" i="18"/>
  <c r="J233" i="18"/>
  <c r="I233" i="18"/>
  <c r="P232" i="18"/>
  <c r="O232" i="18"/>
  <c r="N232" i="18"/>
  <c r="M232" i="18"/>
  <c r="L232" i="18"/>
  <c r="K232" i="18"/>
  <c r="J232" i="18"/>
  <c r="I232" i="18"/>
  <c r="P231" i="18"/>
  <c r="O231" i="18"/>
  <c r="N231" i="18"/>
  <c r="M231" i="18"/>
  <c r="L231" i="18"/>
  <c r="K231" i="18"/>
  <c r="J231" i="18"/>
  <c r="I231" i="18"/>
  <c r="P230" i="18"/>
  <c r="O230" i="18"/>
  <c r="N230" i="18"/>
  <c r="M230" i="18"/>
  <c r="L230" i="18"/>
  <c r="K230" i="18"/>
  <c r="J230" i="18"/>
  <c r="I230" i="18"/>
  <c r="P229" i="18"/>
  <c r="O229" i="18"/>
  <c r="N229" i="18"/>
  <c r="M229" i="18"/>
  <c r="L229" i="18"/>
  <c r="K229" i="18"/>
  <c r="J229" i="18"/>
  <c r="I229" i="18"/>
  <c r="P228" i="18"/>
  <c r="O228" i="18"/>
  <c r="N228" i="18"/>
  <c r="M228" i="18"/>
  <c r="L228" i="18"/>
  <c r="K228" i="18"/>
  <c r="J228" i="18"/>
  <c r="I228" i="18"/>
  <c r="P227" i="18"/>
  <c r="O227" i="18"/>
  <c r="N227" i="18"/>
  <c r="M227" i="18"/>
  <c r="L227" i="18"/>
  <c r="K227" i="18"/>
  <c r="J227" i="18"/>
  <c r="I227" i="18"/>
  <c r="P226" i="18"/>
  <c r="O226" i="18"/>
  <c r="N226" i="18"/>
  <c r="M226" i="18"/>
  <c r="L226" i="18"/>
  <c r="K226" i="18"/>
  <c r="J226" i="18"/>
  <c r="I226" i="18"/>
  <c r="P225" i="18"/>
  <c r="O225" i="18"/>
  <c r="N225" i="18"/>
  <c r="M225" i="18"/>
  <c r="L225" i="18"/>
  <c r="K225" i="18"/>
  <c r="J225" i="18"/>
  <c r="I225" i="18"/>
  <c r="P224" i="18"/>
  <c r="O224" i="18"/>
  <c r="N224" i="18"/>
  <c r="M224" i="18"/>
  <c r="L224" i="18"/>
  <c r="K224" i="18"/>
  <c r="J224" i="18"/>
  <c r="I224" i="18"/>
  <c r="P223" i="18"/>
  <c r="O223" i="18"/>
  <c r="N223" i="18"/>
  <c r="M223" i="18"/>
  <c r="L223" i="18"/>
  <c r="K223" i="18"/>
  <c r="J223" i="18"/>
  <c r="I223" i="18"/>
  <c r="P222" i="18"/>
  <c r="O222" i="18"/>
  <c r="N222" i="18"/>
  <c r="M222" i="18"/>
  <c r="L222" i="18"/>
  <c r="K222" i="18"/>
  <c r="J222" i="18"/>
  <c r="I222" i="18"/>
  <c r="P221" i="18"/>
  <c r="O221" i="18"/>
  <c r="N221" i="18"/>
  <c r="M221" i="18"/>
  <c r="L221" i="18"/>
  <c r="K221" i="18"/>
  <c r="J221" i="18"/>
  <c r="I221" i="18"/>
  <c r="P220" i="18"/>
  <c r="O220" i="18"/>
  <c r="N220" i="18"/>
  <c r="M220" i="18"/>
  <c r="L220" i="18"/>
  <c r="K220" i="18"/>
  <c r="J220" i="18"/>
  <c r="I220" i="18"/>
  <c r="P219" i="18"/>
  <c r="O219" i="18"/>
  <c r="N219" i="18"/>
  <c r="M219" i="18"/>
  <c r="L219" i="18"/>
  <c r="K219" i="18"/>
  <c r="J219" i="18"/>
  <c r="I219" i="18"/>
  <c r="P218" i="18"/>
  <c r="O218" i="18"/>
  <c r="N218" i="18"/>
  <c r="M218" i="18"/>
  <c r="L218" i="18"/>
  <c r="K218" i="18"/>
  <c r="J218" i="18"/>
  <c r="I218" i="18"/>
  <c r="P217" i="18"/>
  <c r="O217" i="18"/>
  <c r="N217" i="18"/>
  <c r="M217" i="18"/>
  <c r="L217" i="18"/>
  <c r="K217" i="18"/>
  <c r="J217" i="18"/>
  <c r="I217" i="18"/>
  <c r="P216" i="18"/>
  <c r="O216" i="18"/>
  <c r="N216" i="18"/>
  <c r="M216" i="18"/>
  <c r="L216" i="18"/>
  <c r="K216" i="18"/>
  <c r="J216" i="18"/>
  <c r="I216" i="18"/>
  <c r="P215" i="18"/>
  <c r="O215" i="18"/>
  <c r="N215" i="18"/>
  <c r="M215" i="18"/>
  <c r="L215" i="18"/>
  <c r="K215" i="18"/>
  <c r="J215" i="18"/>
  <c r="I215" i="18"/>
  <c r="P214" i="18"/>
  <c r="O214" i="18"/>
  <c r="N214" i="18"/>
  <c r="M214" i="18"/>
  <c r="L214" i="18"/>
  <c r="K214" i="18"/>
  <c r="J214" i="18"/>
  <c r="I214" i="18"/>
  <c r="P213" i="18"/>
  <c r="O213" i="18"/>
  <c r="N213" i="18"/>
  <c r="M213" i="18"/>
  <c r="L213" i="18"/>
  <c r="K213" i="18"/>
  <c r="J213" i="18"/>
  <c r="I213" i="18"/>
  <c r="P212" i="18"/>
  <c r="O212" i="18"/>
  <c r="N212" i="18"/>
  <c r="M212" i="18"/>
  <c r="L212" i="18"/>
  <c r="K212" i="18"/>
  <c r="J212" i="18"/>
  <c r="I212" i="18"/>
  <c r="P211" i="18"/>
  <c r="O211" i="18"/>
  <c r="N211" i="18"/>
  <c r="M211" i="18"/>
  <c r="L211" i="18"/>
  <c r="K211" i="18"/>
  <c r="J211" i="18"/>
  <c r="I211" i="18"/>
  <c r="P210" i="18"/>
  <c r="O210" i="18"/>
  <c r="N210" i="18"/>
  <c r="M210" i="18"/>
  <c r="L210" i="18"/>
  <c r="K210" i="18"/>
  <c r="J210" i="18"/>
  <c r="I210" i="18"/>
  <c r="P209" i="18"/>
  <c r="O209" i="18"/>
  <c r="N209" i="18"/>
  <c r="M209" i="18"/>
  <c r="L209" i="18"/>
  <c r="K209" i="18"/>
  <c r="J209" i="18"/>
  <c r="I209" i="18"/>
  <c r="P208" i="18"/>
  <c r="O208" i="18"/>
  <c r="N208" i="18"/>
  <c r="M208" i="18"/>
  <c r="L208" i="18"/>
  <c r="K208" i="18"/>
  <c r="J208" i="18"/>
  <c r="I208" i="18"/>
  <c r="P207" i="18"/>
  <c r="O207" i="18"/>
  <c r="N207" i="18"/>
  <c r="M207" i="18"/>
  <c r="L207" i="18"/>
  <c r="K207" i="18"/>
  <c r="J207" i="18"/>
  <c r="I207" i="18"/>
  <c r="P206" i="18"/>
  <c r="O206" i="18"/>
  <c r="N206" i="18"/>
  <c r="M206" i="18"/>
  <c r="L206" i="18"/>
  <c r="K206" i="18"/>
  <c r="J206" i="18"/>
  <c r="I206" i="18"/>
  <c r="P205" i="18"/>
  <c r="O205" i="18"/>
  <c r="N205" i="18"/>
  <c r="M205" i="18"/>
  <c r="L205" i="18"/>
  <c r="K205" i="18"/>
  <c r="J205" i="18"/>
  <c r="I205" i="18"/>
  <c r="P204" i="18"/>
  <c r="O204" i="18"/>
  <c r="N204" i="18"/>
  <c r="M204" i="18"/>
  <c r="L204" i="18"/>
  <c r="K204" i="18"/>
  <c r="J204" i="18"/>
  <c r="I204" i="18"/>
  <c r="P203" i="18"/>
  <c r="O203" i="18"/>
  <c r="N203" i="18"/>
  <c r="M203" i="18"/>
  <c r="L203" i="18"/>
  <c r="K203" i="18"/>
  <c r="J203" i="18"/>
  <c r="I203" i="18"/>
  <c r="P202" i="18"/>
  <c r="O202" i="18"/>
  <c r="N202" i="18"/>
  <c r="M202" i="18"/>
  <c r="L202" i="18"/>
  <c r="K202" i="18"/>
  <c r="J202" i="18"/>
  <c r="I202" i="18"/>
  <c r="P201" i="18"/>
  <c r="O201" i="18"/>
  <c r="N201" i="18"/>
  <c r="M201" i="18"/>
  <c r="L201" i="18"/>
  <c r="K201" i="18"/>
  <c r="J201" i="18"/>
  <c r="I201" i="18"/>
  <c r="P200" i="18"/>
  <c r="O200" i="18"/>
  <c r="N200" i="18"/>
  <c r="M200" i="18"/>
  <c r="L200" i="18"/>
  <c r="K200" i="18"/>
  <c r="J200" i="18"/>
  <c r="I200" i="18"/>
  <c r="P199" i="18"/>
  <c r="O199" i="18"/>
  <c r="N199" i="18"/>
  <c r="M199" i="18"/>
  <c r="L199" i="18"/>
  <c r="K199" i="18"/>
  <c r="J199" i="18"/>
  <c r="I199" i="18"/>
  <c r="P198" i="18"/>
  <c r="O198" i="18"/>
  <c r="N198" i="18"/>
  <c r="M198" i="18"/>
  <c r="L198" i="18"/>
  <c r="K198" i="18"/>
  <c r="J198" i="18"/>
  <c r="I198" i="18"/>
  <c r="P197" i="18"/>
  <c r="O197" i="18"/>
  <c r="N197" i="18"/>
  <c r="M197" i="18"/>
  <c r="L197" i="18"/>
  <c r="K197" i="18"/>
  <c r="J197" i="18"/>
  <c r="I197" i="18"/>
  <c r="P196" i="18"/>
  <c r="O196" i="18"/>
  <c r="N196" i="18"/>
  <c r="M196" i="18"/>
  <c r="L196" i="18"/>
  <c r="K196" i="18"/>
  <c r="J196" i="18"/>
  <c r="I196" i="18"/>
  <c r="P195" i="18"/>
  <c r="O195" i="18"/>
  <c r="N195" i="18"/>
  <c r="M195" i="18"/>
  <c r="L195" i="18"/>
  <c r="K195" i="18"/>
  <c r="J195" i="18"/>
  <c r="I195" i="18"/>
  <c r="P194" i="18"/>
  <c r="O194" i="18"/>
  <c r="N194" i="18"/>
  <c r="M194" i="18"/>
  <c r="L194" i="18"/>
  <c r="K194" i="18"/>
  <c r="J194" i="18"/>
  <c r="I194" i="18"/>
  <c r="P193" i="18"/>
  <c r="O193" i="18"/>
  <c r="N193" i="18"/>
  <c r="M193" i="18"/>
  <c r="L193" i="18"/>
  <c r="K193" i="18"/>
  <c r="J193" i="18"/>
  <c r="I193" i="18"/>
  <c r="P192" i="18"/>
  <c r="O192" i="18"/>
  <c r="N192" i="18"/>
  <c r="M192" i="18"/>
  <c r="L192" i="18"/>
  <c r="K192" i="18"/>
  <c r="J192" i="18"/>
  <c r="I192" i="18"/>
  <c r="P191" i="18"/>
  <c r="O191" i="18"/>
  <c r="N191" i="18"/>
  <c r="M191" i="18"/>
  <c r="L191" i="18"/>
  <c r="K191" i="18"/>
  <c r="J191" i="18"/>
  <c r="I191" i="18"/>
  <c r="P190" i="18"/>
  <c r="O190" i="18"/>
  <c r="N190" i="18"/>
  <c r="M190" i="18"/>
  <c r="L190" i="18"/>
  <c r="K190" i="18"/>
  <c r="J190" i="18"/>
  <c r="I190" i="18"/>
  <c r="P189" i="18"/>
  <c r="O189" i="18"/>
  <c r="N189" i="18"/>
  <c r="M189" i="18"/>
  <c r="L189" i="18"/>
  <c r="K189" i="18"/>
  <c r="J189" i="18"/>
  <c r="I189" i="18"/>
  <c r="P188" i="18"/>
  <c r="O188" i="18"/>
  <c r="N188" i="18"/>
  <c r="M188" i="18"/>
  <c r="L188" i="18"/>
  <c r="K188" i="18"/>
  <c r="J188" i="18"/>
  <c r="I188" i="18"/>
  <c r="P187" i="18"/>
  <c r="O187" i="18"/>
  <c r="N187" i="18"/>
  <c r="M187" i="18"/>
  <c r="L187" i="18"/>
  <c r="K187" i="18"/>
  <c r="J187" i="18"/>
  <c r="I187" i="18"/>
  <c r="P186" i="18"/>
  <c r="O186" i="18"/>
  <c r="N186" i="18"/>
  <c r="M186" i="18"/>
  <c r="L186" i="18"/>
  <c r="K186" i="18"/>
  <c r="J186" i="18"/>
  <c r="I186" i="18"/>
  <c r="P185" i="18"/>
  <c r="O185" i="18"/>
  <c r="N185" i="18"/>
  <c r="M185" i="18"/>
  <c r="L185" i="18"/>
  <c r="K185" i="18"/>
  <c r="J185" i="18"/>
  <c r="I185" i="18"/>
  <c r="P184" i="18"/>
  <c r="O184" i="18"/>
  <c r="N184" i="18"/>
  <c r="M184" i="18"/>
  <c r="L184" i="18"/>
  <c r="K184" i="18"/>
  <c r="J184" i="18"/>
  <c r="I184" i="18"/>
  <c r="P183" i="18"/>
  <c r="O183" i="18"/>
  <c r="N183" i="18"/>
  <c r="M183" i="18"/>
  <c r="L183" i="18"/>
  <c r="K183" i="18"/>
  <c r="J183" i="18"/>
  <c r="I183" i="18"/>
  <c r="P182" i="18"/>
  <c r="O182" i="18"/>
  <c r="N182" i="18"/>
  <c r="M182" i="18"/>
  <c r="L182" i="18"/>
  <c r="K182" i="18"/>
  <c r="J182" i="18"/>
  <c r="I182" i="18"/>
  <c r="P181" i="18"/>
  <c r="O181" i="18"/>
  <c r="N181" i="18"/>
  <c r="M181" i="18"/>
  <c r="L181" i="18"/>
  <c r="K181" i="18"/>
  <c r="J181" i="18"/>
  <c r="I181" i="18"/>
  <c r="P180" i="18"/>
  <c r="O180" i="18"/>
  <c r="N180" i="18"/>
  <c r="M180" i="18"/>
  <c r="L180" i="18"/>
  <c r="K180" i="18"/>
  <c r="J180" i="18"/>
  <c r="I180" i="18"/>
  <c r="P179" i="18"/>
  <c r="O179" i="18"/>
  <c r="N179" i="18"/>
  <c r="M179" i="18"/>
  <c r="L179" i="18"/>
  <c r="K179" i="18"/>
  <c r="J179" i="18"/>
  <c r="I179" i="18"/>
  <c r="P178" i="18"/>
  <c r="O178" i="18"/>
  <c r="N178" i="18"/>
  <c r="M178" i="18"/>
  <c r="L178" i="18"/>
  <c r="K178" i="18"/>
  <c r="J178" i="18"/>
  <c r="I178" i="18"/>
  <c r="P177" i="18"/>
  <c r="O177" i="18"/>
  <c r="N177" i="18"/>
  <c r="M177" i="18"/>
  <c r="L177" i="18"/>
  <c r="K177" i="18"/>
  <c r="J177" i="18"/>
  <c r="I177" i="18"/>
  <c r="P176" i="18"/>
  <c r="O176" i="18"/>
  <c r="N176" i="18"/>
  <c r="M176" i="18"/>
  <c r="L176" i="18"/>
  <c r="K176" i="18"/>
  <c r="J176" i="18"/>
  <c r="I176" i="18"/>
  <c r="P175" i="18"/>
  <c r="O175" i="18"/>
  <c r="N175" i="18"/>
  <c r="M175" i="18"/>
  <c r="L175" i="18"/>
  <c r="K175" i="18"/>
  <c r="J175" i="18"/>
  <c r="I175" i="18"/>
  <c r="P174" i="18"/>
  <c r="O174" i="18"/>
  <c r="N174" i="18"/>
  <c r="M174" i="18"/>
  <c r="L174" i="18"/>
  <c r="K174" i="18"/>
  <c r="J174" i="18"/>
  <c r="I174" i="18"/>
  <c r="P173" i="18"/>
  <c r="O173" i="18"/>
  <c r="N173" i="18"/>
  <c r="M173" i="18"/>
  <c r="L173" i="18"/>
  <c r="K173" i="18"/>
  <c r="J173" i="18"/>
  <c r="I173" i="18"/>
  <c r="P172" i="18"/>
  <c r="O172" i="18"/>
  <c r="N172" i="18"/>
  <c r="M172" i="18"/>
  <c r="L172" i="18"/>
  <c r="K172" i="18"/>
  <c r="J172" i="18"/>
  <c r="I172" i="18"/>
  <c r="P171" i="18"/>
  <c r="O171" i="18"/>
  <c r="N171" i="18"/>
  <c r="M171" i="18"/>
  <c r="L171" i="18"/>
  <c r="K171" i="18"/>
  <c r="J171" i="18"/>
  <c r="I171" i="18"/>
  <c r="P170" i="18"/>
  <c r="O170" i="18"/>
  <c r="N170" i="18"/>
  <c r="M170" i="18"/>
  <c r="L170" i="18"/>
  <c r="K170" i="18"/>
  <c r="J170" i="18"/>
  <c r="I170" i="18"/>
  <c r="P169" i="18"/>
  <c r="O169" i="18"/>
  <c r="N169" i="18"/>
  <c r="M169" i="18"/>
  <c r="L169" i="18"/>
  <c r="K169" i="18"/>
  <c r="J169" i="18"/>
  <c r="I169" i="18"/>
  <c r="P168" i="18"/>
  <c r="O168" i="18"/>
  <c r="N168" i="18"/>
  <c r="M168" i="18"/>
  <c r="L168" i="18"/>
  <c r="K168" i="18"/>
  <c r="J168" i="18"/>
  <c r="I168" i="18"/>
  <c r="P167" i="18"/>
  <c r="O167" i="18"/>
  <c r="N167" i="18"/>
  <c r="M167" i="18"/>
  <c r="L167" i="18"/>
  <c r="K167" i="18"/>
  <c r="J167" i="18"/>
  <c r="I167" i="18"/>
  <c r="P166" i="18"/>
  <c r="O166" i="18"/>
  <c r="N166" i="18"/>
  <c r="M166" i="18"/>
  <c r="L166" i="18"/>
  <c r="K166" i="18"/>
  <c r="J166" i="18"/>
  <c r="I166" i="18"/>
  <c r="P165" i="18"/>
  <c r="O165" i="18"/>
  <c r="N165" i="18"/>
  <c r="M165" i="18"/>
  <c r="L165" i="18"/>
  <c r="K165" i="18"/>
  <c r="J165" i="18"/>
  <c r="I165" i="18"/>
  <c r="P164" i="18"/>
  <c r="O164" i="18"/>
  <c r="N164" i="18"/>
  <c r="M164" i="18"/>
  <c r="L164" i="18"/>
  <c r="K164" i="18"/>
  <c r="J164" i="18"/>
  <c r="I164" i="18"/>
  <c r="P163" i="18"/>
  <c r="O163" i="18"/>
  <c r="N163" i="18"/>
  <c r="M163" i="18"/>
  <c r="L163" i="18"/>
  <c r="K163" i="18"/>
  <c r="J163" i="18"/>
  <c r="I163" i="18"/>
  <c r="P162" i="18"/>
  <c r="O162" i="18"/>
  <c r="N162" i="18"/>
  <c r="M162" i="18"/>
  <c r="L162" i="18"/>
  <c r="K162" i="18"/>
  <c r="J162" i="18"/>
  <c r="I162" i="18"/>
  <c r="P161" i="18"/>
  <c r="O161" i="18"/>
  <c r="N161" i="18"/>
  <c r="M161" i="18"/>
  <c r="L161" i="18"/>
  <c r="K161" i="18"/>
  <c r="J161" i="18"/>
  <c r="I161" i="18"/>
  <c r="P160" i="18"/>
  <c r="O160" i="18"/>
  <c r="N160" i="18"/>
  <c r="M160" i="18"/>
  <c r="L160" i="18"/>
  <c r="K160" i="18"/>
  <c r="J160" i="18"/>
  <c r="I160" i="18"/>
  <c r="P159" i="18"/>
  <c r="O159" i="18"/>
  <c r="N159" i="18"/>
  <c r="M159" i="18"/>
  <c r="L159" i="18"/>
  <c r="K159" i="18"/>
  <c r="J159" i="18"/>
  <c r="I159" i="18"/>
  <c r="P158" i="18"/>
  <c r="O158" i="18"/>
  <c r="N158" i="18"/>
  <c r="M158" i="18"/>
  <c r="L158" i="18"/>
  <c r="K158" i="18"/>
  <c r="J158" i="18"/>
  <c r="I158" i="18"/>
  <c r="P157" i="18"/>
  <c r="O157" i="18"/>
  <c r="N157" i="18"/>
  <c r="M157" i="18"/>
  <c r="L157" i="18"/>
  <c r="K157" i="18"/>
  <c r="J157" i="18"/>
  <c r="I157" i="18"/>
  <c r="P156" i="18"/>
  <c r="O156" i="18"/>
  <c r="N156" i="18"/>
  <c r="M156" i="18"/>
  <c r="L156" i="18"/>
  <c r="K156" i="18"/>
  <c r="J156" i="18"/>
  <c r="I156" i="18"/>
  <c r="P155" i="18"/>
  <c r="O155" i="18"/>
  <c r="N155" i="18"/>
  <c r="M155" i="18"/>
  <c r="L155" i="18"/>
  <c r="K155" i="18"/>
  <c r="J155" i="18"/>
  <c r="I155" i="18"/>
  <c r="P154" i="18"/>
  <c r="O154" i="18"/>
  <c r="N154" i="18"/>
  <c r="M154" i="18"/>
  <c r="L154" i="18"/>
  <c r="K154" i="18"/>
  <c r="J154" i="18"/>
  <c r="I154" i="18"/>
  <c r="P153" i="18"/>
  <c r="O153" i="18"/>
  <c r="N153" i="18"/>
  <c r="M153" i="18"/>
  <c r="L153" i="18"/>
  <c r="K153" i="18"/>
  <c r="J153" i="18"/>
  <c r="I153" i="18"/>
  <c r="P152" i="18"/>
  <c r="O152" i="18"/>
  <c r="N152" i="18"/>
  <c r="M152" i="18"/>
  <c r="L152" i="18"/>
  <c r="K152" i="18"/>
  <c r="J152" i="18"/>
  <c r="I152" i="18"/>
  <c r="P151" i="18"/>
  <c r="O151" i="18"/>
  <c r="N151" i="18"/>
  <c r="M151" i="18"/>
  <c r="L151" i="18"/>
  <c r="K151" i="18"/>
  <c r="J151" i="18"/>
  <c r="I151" i="18"/>
  <c r="P150" i="18"/>
  <c r="O150" i="18"/>
  <c r="N150" i="18"/>
  <c r="M150" i="18"/>
  <c r="L150" i="18"/>
  <c r="K150" i="18"/>
  <c r="J150" i="18"/>
  <c r="I150" i="18"/>
  <c r="P149" i="18"/>
  <c r="O149" i="18"/>
  <c r="N149" i="18"/>
  <c r="M149" i="18"/>
  <c r="L149" i="18"/>
  <c r="K149" i="18"/>
  <c r="J149" i="18"/>
  <c r="I149" i="18"/>
  <c r="P148" i="18"/>
  <c r="O148" i="18"/>
  <c r="N148" i="18"/>
  <c r="M148" i="18"/>
  <c r="L148" i="18"/>
  <c r="K148" i="18"/>
  <c r="J148" i="18"/>
  <c r="I148" i="18"/>
  <c r="P147" i="18"/>
  <c r="O147" i="18"/>
  <c r="N147" i="18"/>
  <c r="M147" i="18"/>
  <c r="L147" i="18"/>
  <c r="K147" i="18"/>
  <c r="J147" i="18"/>
  <c r="I147" i="18"/>
  <c r="P146" i="18"/>
  <c r="O146" i="18"/>
  <c r="N146" i="18"/>
  <c r="M146" i="18"/>
  <c r="L146" i="18"/>
  <c r="K146" i="18"/>
  <c r="J146" i="18"/>
  <c r="I146" i="18"/>
  <c r="P145" i="18"/>
  <c r="O145" i="18"/>
  <c r="N145" i="18"/>
  <c r="M145" i="18"/>
  <c r="L145" i="18"/>
  <c r="K145" i="18"/>
  <c r="J145" i="18"/>
  <c r="I145" i="18"/>
  <c r="P144" i="18"/>
  <c r="O144" i="18"/>
  <c r="N144" i="18"/>
  <c r="M144" i="18"/>
  <c r="L144" i="18"/>
  <c r="K144" i="18"/>
  <c r="J144" i="18"/>
  <c r="I144" i="18"/>
  <c r="P143" i="18"/>
  <c r="O143" i="18"/>
  <c r="N143" i="18"/>
  <c r="M143" i="18"/>
  <c r="L143" i="18"/>
  <c r="K143" i="18"/>
  <c r="J143" i="18"/>
  <c r="I143" i="18"/>
  <c r="P142" i="18"/>
  <c r="O142" i="18"/>
  <c r="N142" i="18"/>
  <c r="M142" i="18"/>
  <c r="L142" i="18"/>
  <c r="K142" i="18"/>
  <c r="J142" i="18"/>
  <c r="I142" i="18"/>
  <c r="P141" i="18"/>
  <c r="O141" i="18"/>
  <c r="N141" i="18"/>
  <c r="M141" i="18"/>
  <c r="L141" i="18"/>
  <c r="K141" i="18"/>
  <c r="J141" i="18"/>
  <c r="I141" i="18"/>
  <c r="P140" i="18"/>
  <c r="O140" i="18"/>
  <c r="N140" i="18"/>
  <c r="M140" i="18"/>
  <c r="L140" i="18"/>
  <c r="K140" i="18"/>
  <c r="J140" i="18"/>
  <c r="I140" i="18"/>
  <c r="P139" i="18"/>
  <c r="O139" i="18"/>
  <c r="N139" i="18"/>
  <c r="M139" i="18"/>
  <c r="L139" i="18"/>
  <c r="K139" i="18"/>
  <c r="J139" i="18"/>
  <c r="I139" i="18"/>
  <c r="P138" i="18"/>
  <c r="O138" i="18"/>
  <c r="N138" i="18"/>
  <c r="M138" i="18"/>
  <c r="L138" i="18"/>
  <c r="K138" i="18"/>
  <c r="J138" i="18"/>
  <c r="I138" i="18"/>
  <c r="P137" i="18"/>
  <c r="O137" i="18"/>
  <c r="N137" i="18"/>
  <c r="M137" i="18"/>
  <c r="L137" i="18"/>
  <c r="K137" i="18"/>
  <c r="J137" i="18"/>
  <c r="I137" i="18"/>
  <c r="P136" i="18"/>
  <c r="O136" i="18"/>
  <c r="N136" i="18"/>
  <c r="M136" i="18"/>
  <c r="L136" i="18"/>
  <c r="K136" i="18"/>
  <c r="J136" i="18"/>
  <c r="I136" i="18"/>
  <c r="P135" i="18"/>
  <c r="O135" i="18"/>
  <c r="N135" i="18"/>
  <c r="M135" i="18"/>
  <c r="L135" i="18"/>
  <c r="K135" i="18"/>
  <c r="J135" i="18"/>
  <c r="I135" i="18"/>
  <c r="P134" i="18"/>
  <c r="O134" i="18"/>
  <c r="N134" i="18"/>
  <c r="M134" i="18"/>
  <c r="L134" i="18"/>
  <c r="K134" i="18"/>
  <c r="J134" i="18"/>
  <c r="I134" i="18"/>
  <c r="P133" i="18"/>
  <c r="O133" i="18"/>
  <c r="N133" i="18"/>
  <c r="M133" i="18"/>
  <c r="L133" i="18"/>
  <c r="K133" i="18"/>
  <c r="J133" i="18"/>
  <c r="I133" i="18"/>
  <c r="P132" i="18"/>
  <c r="O132" i="18"/>
  <c r="N132" i="18"/>
  <c r="M132" i="18"/>
  <c r="L132" i="18"/>
  <c r="K132" i="18"/>
  <c r="J132" i="18"/>
  <c r="I132" i="18"/>
  <c r="P131" i="18"/>
  <c r="O131" i="18"/>
  <c r="N131" i="18"/>
  <c r="M131" i="18"/>
  <c r="L131" i="18"/>
  <c r="K131" i="18"/>
  <c r="J131" i="18"/>
  <c r="I131" i="18"/>
  <c r="P130" i="18"/>
  <c r="O130" i="18"/>
  <c r="N130" i="18"/>
  <c r="M130" i="18"/>
  <c r="L130" i="18"/>
  <c r="K130" i="18"/>
  <c r="J130" i="18"/>
  <c r="I130" i="18"/>
  <c r="P129" i="18"/>
  <c r="O129" i="18"/>
  <c r="N129" i="18"/>
  <c r="M129" i="18"/>
  <c r="L129" i="18"/>
  <c r="K129" i="18"/>
  <c r="J129" i="18"/>
  <c r="I129" i="18"/>
  <c r="P128" i="18"/>
  <c r="O128" i="18"/>
  <c r="N128" i="18"/>
  <c r="M128" i="18"/>
  <c r="L128" i="18"/>
  <c r="K128" i="18"/>
  <c r="J128" i="18"/>
  <c r="I128" i="18"/>
  <c r="P127" i="18"/>
  <c r="O127" i="18"/>
  <c r="N127" i="18"/>
  <c r="M127" i="18"/>
  <c r="L127" i="18"/>
  <c r="K127" i="18"/>
  <c r="J127" i="18"/>
  <c r="I127" i="18"/>
  <c r="P126" i="18"/>
  <c r="O126" i="18"/>
  <c r="N126" i="18"/>
  <c r="M126" i="18"/>
  <c r="L126" i="18"/>
  <c r="K126" i="18"/>
  <c r="J126" i="18"/>
  <c r="I126" i="18"/>
  <c r="P125" i="18"/>
  <c r="O125" i="18"/>
  <c r="N125" i="18"/>
  <c r="M125" i="18"/>
  <c r="L125" i="18"/>
  <c r="K125" i="18"/>
  <c r="J125" i="18"/>
  <c r="I125" i="18"/>
  <c r="P124" i="18"/>
  <c r="O124" i="18"/>
  <c r="N124" i="18"/>
  <c r="M124" i="18"/>
  <c r="L124" i="18"/>
  <c r="K124" i="18"/>
  <c r="J124" i="18"/>
  <c r="I124" i="18"/>
  <c r="P123" i="18"/>
  <c r="O123" i="18"/>
  <c r="N123" i="18"/>
  <c r="M123" i="18"/>
  <c r="L123" i="18"/>
  <c r="K123" i="18"/>
  <c r="J123" i="18"/>
  <c r="I123" i="18"/>
  <c r="P122" i="18"/>
  <c r="O122" i="18"/>
  <c r="N122" i="18"/>
  <c r="M122" i="18"/>
  <c r="L122" i="18"/>
  <c r="K122" i="18"/>
  <c r="J122" i="18"/>
  <c r="I122" i="18"/>
  <c r="P121" i="18"/>
  <c r="O121" i="18"/>
  <c r="N121" i="18"/>
  <c r="M121" i="18"/>
  <c r="L121" i="18"/>
  <c r="K121" i="18"/>
  <c r="J121" i="18"/>
  <c r="I121" i="18"/>
  <c r="P120" i="18"/>
  <c r="O120" i="18"/>
  <c r="N120" i="18"/>
  <c r="M120" i="18"/>
  <c r="L120" i="18"/>
  <c r="K120" i="18"/>
  <c r="J120" i="18"/>
  <c r="I120" i="18"/>
  <c r="P119" i="18"/>
  <c r="O119" i="18"/>
  <c r="N119" i="18"/>
  <c r="M119" i="18"/>
  <c r="L119" i="18"/>
  <c r="K119" i="18"/>
  <c r="J119" i="18"/>
  <c r="I119" i="18"/>
  <c r="I5" i="4"/>
  <c r="J5" i="4"/>
  <c r="K5" i="4"/>
  <c r="L5" i="4"/>
  <c r="M5" i="4"/>
  <c r="N5" i="4"/>
  <c r="O5" i="4"/>
  <c r="P5" i="4"/>
  <c r="I6" i="4"/>
  <c r="J6" i="4"/>
  <c r="K6" i="4"/>
  <c r="L6" i="4"/>
  <c r="M6" i="4"/>
  <c r="N6" i="4"/>
  <c r="O6" i="4"/>
  <c r="P6" i="4"/>
  <c r="I7" i="4"/>
  <c r="J7" i="4"/>
  <c r="K7" i="4"/>
  <c r="L7" i="4"/>
  <c r="M7" i="4"/>
  <c r="N7" i="4"/>
  <c r="O7" i="4"/>
  <c r="P7" i="4"/>
  <c r="I8" i="4"/>
  <c r="J8" i="4"/>
  <c r="K8" i="4"/>
  <c r="L8" i="4"/>
  <c r="M8" i="4"/>
  <c r="N8" i="4"/>
  <c r="O8" i="4"/>
  <c r="P8" i="4"/>
  <c r="I9" i="4"/>
  <c r="J9" i="4"/>
  <c r="K9" i="4"/>
  <c r="L9" i="4"/>
  <c r="M9" i="4"/>
  <c r="N9" i="4"/>
  <c r="O9" i="4"/>
  <c r="P9" i="4"/>
  <c r="I10" i="4"/>
  <c r="J10" i="4"/>
  <c r="K10" i="4"/>
  <c r="L10" i="4"/>
  <c r="M10" i="4"/>
  <c r="N10" i="4"/>
  <c r="O10" i="4"/>
  <c r="P10" i="4"/>
  <c r="I11" i="4"/>
  <c r="J11" i="4"/>
  <c r="K11" i="4"/>
  <c r="L11" i="4"/>
  <c r="M11" i="4"/>
  <c r="N11" i="4"/>
  <c r="O11" i="4"/>
  <c r="P11" i="4"/>
  <c r="I12" i="4"/>
  <c r="J12" i="4"/>
  <c r="K12" i="4"/>
  <c r="L12" i="4"/>
  <c r="M12" i="4"/>
  <c r="N12" i="4"/>
  <c r="O12" i="4"/>
  <c r="P12" i="4"/>
  <c r="I13" i="4"/>
  <c r="J13" i="4"/>
  <c r="K13" i="4"/>
  <c r="L13" i="4"/>
  <c r="M13" i="4"/>
  <c r="N13" i="4"/>
  <c r="O13" i="4"/>
  <c r="P13" i="4"/>
  <c r="I14" i="4"/>
  <c r="J14" i="4"/>
  <c r="K14" i="4"/>
  <c r="L14" i="4"/>
  <c r="M14" i="4"/>
  <c r="N14" i="4"/>
  <c r="O14" i="4"/>
  <c r="P14" i="4"/>
  <c r="I15" i="4"/>
  <c r="J15" i="4"/>
  <c r="K15" i="4"/>
  <c r="L15" i="4"/>
  <c r="M15" i="4"/>
  <c r="N15" i="4"/>
  <c r="O15" i="4"/>
  <c r="P15" i="4"/>
  <c r="I16" i="4"/>
  <c r="J16" i="4"/>
  <c r="K16" i="4"/>
  <c r="L16" i="4"/>
  <c r="M16" i="4"/>
  <c r="N16" i="4"/>
  <c r="O16" i="4"/>
  <c r="P16" i="4"/>
  <c r="I17" i="4"/>
  <c r="J17" i="4"/>
  <c r="K17" i="4"/>
  <c r="L17" i="4"/>
  <c r="M17" i="4"/>
  <c r="N17" i="4"/>
  <c r="O17" i="4"/>
  <c r="P17" i="4"/>
  <c r="I18" i="4"/>
  <c r="J18" i="4"/>
  <c r="K18" i="4"/>
  <c r="L18" i="4"/>
  <c r="M18" i="4"/>
  <c r="N18" i="4"/>
  <c r="O18" i="4"/>
  <c r="P18" i="4"/>
  <c r="I19" i="4"/>
  <c r="J19" i="4"/>
  <c r="K19" i="4"/>
  <c r="L19" i="4"/>
  <c r="M19" i="4"/>
  <c r="N19" i="4"/>
  <c r="O19" i="4"/>
  <c r="P19" i="4"/>
  <c r="I20" i="4"/>
  <c r="J20" i="4"/>
  <c r="K20" i="4"/>
  <c r="L20" i="4"/>
  <c r="M20" i="4"/>
  <c r="N20" i="4"/>
  <c r="O20" i="4"/>
  <c r="P20" i="4"/>
  <c r="I21" i="4"/>
  <c r="J21" i="4"/>
  <c r="K21" i="4"/>
  <c r="L21" i="4"/>
  <c r="M21" i="4"/>
  <c r="N21" i="4"/>
  <c r="O21" i="4"/>
  <c r="P21" i="4"/>
  <c r="I22" i="4"/>
  <c r="J22" i="4"/>
  <c r="K22" i="4"/>
  <c r="L22" i="4"/>
  <c r="M22" i="4"/>
  <c r="N22" i="4"/>
  <c r="O22" i="4"/>
  <c r="P22" i="4"/>
  <c r="I23" i="4"/>
  <c r="J23" i="4"/>
  <c r="K23" i="4"/>
  <c r="L23" i="4"/>
  <c r="M23" i="4"/>
  <c r="N23" i="4"/>
  <c r="O23" i="4"/>
  <c r="P23" i="4"/>
  <c r="I24" i="4"/>
  <c r="J24" i="4"/>
  <c r="K24" i="4"/>
  <c r="L24" i="4"/>
  <c r="M24" i="4"/>
  <c r="N24" i="4"/>
  <c r="O24" i="4"/>
  <c r="P24" i="4"/>
  <c r="I25" i="4"/>
  <c r="J25" i="4"/>
  <c r="K25" i="4"/>
  <c r="L25" i="4"/>
  <c r="M25" i="4"/>
  <c r="N25" i="4"/>
  <c r="O25" i="4"/>
  <c r="P25" i="4"/>
  <c r="I26" i="4"/>
  <c r="J26" i="4"/>
  <c r="K26" i="4"/>
  <c r="L26" i="4"/>
  <c r="M26" i="4"/>
  <c r="N26" i="4"/>
  <c r="O26" i="4"/>
  <c r="P26" i="4"/>
  <c r="I27" i="4"/>
  <c r="J27" i="4"/>
  <c r="K27" i="4"/>
  <c r="L27" i="4"/>
  <c r="M27" i="4"/>
  <c r="N27" i="4"/>
  <c r="O27" i="4"/>
  <c r="P27" i="4"/>
  <c r="I28" i="4"/>
  <c r="J28" i="4"/>
  <c r="K28" i="4"/>
  <c r="L28" i="4"/>
  <c r="M28" i="4"/>
  <c r="N28" i="4"/>
  <c r="O28" i="4"/>
  <c r="P28" i="4"/>
  <c r="I29" i="4"/>
  <c r="J29" i="4"/>
  <c r="K29" i="4"/>
  <c r="L29" i="4"/>
  <c r="M29" i="4"/>
  <c r="N29" i="4"/>
  <c r="O29" i="4"/>
  <c r="P29" i="4"/>
  <c r="I30" i="4"/>
  <c r="J30" i="4"/>
  <c r="K30" i="4"/>
  <c r="L30" i="4"/>
  <c r="M30" i="4"/>
  <c r="N30" i="4"/>
  <c r="O30" i="4"/>
  <c r="P30" i="4"/>
  <c r="I31" i="4"/>
  <c r="J31" i="4"/>
  <c r="K31" i="4"/>
  <c r="L31" i="4"/>
  <c r="M31" i="4"/>
  <c r="N31" i="4"/>
  <c r="O31" i="4"/>
  <c r="P31" i="4"/>
  <c r="I32" i="4"/>
  <c r="J32" i="4"/>
  <c r="K32" i="4"/>
  <c r="L32" i="4"/>
  <c r="M32" i="4"/>
  <c r="N32" i="4"/>
  <c r="O32" i="4"/>
  <c r="P32" i="4"/>
  <c r="I33" i="4"/>
  <c r="J33" i="4"/>
  <c r="K33" i="4"/>
  <c r="L33" i="4"/>
  <c r="M33" i="4"/>
  <c r="N33" i="4"/>
  <c r="O33" i="4"/>
  <c r="P33" i="4"/>
  <c r="I34" i="4"/>
  <c r="J34" i="4"/>
  <c r="K34" i="4"/>
  <c r="L34" i="4"/>
  <c r="M34" i="4"/>
  <c r="N34" i="4"/>
  <c r="O34" i="4"/>
  <c r="P34" i="4"/>
  <c r="I35" i="4"/>
  <c r="J35" i="4"/>
  <c r="K35" i="4"/>
  <c r="L35" i="4"/>
  <c r="M35" i="4"/>
  <c r="N35" i="4"/>
  <c r="O35" i="4"/>
  <c r="P35" i="4"/>
  <c r="I36" i="4"/>
  <c r="J36" i="4"/>
  <c r="K36" i="4"/>
  <c r="L36" i="4"/>
  <c r="M36" i="4"/>
  <c r="N36" i="4"/>
  <c r="O36" i="4"/>
  <c r="P36" i="4"/>
  <c r="I37" i="4"/>
  <c r="J37" i="4"/>
  <c r="K37" i="4"/>
  <c r="L37" i="4"/>
  <c r="M37" i="4"/>
  <c r="N37" i="4"/>
  <c r="O37" i="4"/>
  <c r="P37" i="4"/>
  <c r="I38" i="4"/>
  <c r="J38" i="4"/>
  <c r="K38" i="4"/>
  <c r="L38" i="4"/>
  <c r="M38" i="4"/>
  <c r="N38" i="4"/>
  <c r="O38" i="4"/>
  <c r="P38" i="4"/>
  <c r="I39" i="4"/>
  <c r="J39" i="4"/>
  <c r="K39" i="4"/>
  <c r="L39" i="4"/>
  <c r="M39" i="4"/>
  <c r="N39" i="4"/>
  <c r="O39" i="4"/>
  <c r="P39" i="4"/>
  <c r="I40" i="4"/>
  <c r="J40" i="4"/>
  <c r="K40" i="4"/>
  <c r="L40" i="4"/>
  <c r="M40" i="4"/>
  <c r="N40" i="4"/>
  <c r="O40" i="4"/>
  <c r="P40" i="4"/>
  <c r="I41" i="4"/>
  <c r="J41" i="4"/>
  <c r="K41" i="4"/>
  <c r="L41" i="4"/>
  <c r="M41" i="4"/>
  <c r="N41" i="4"/>
  <c r="O41" i="4"/>
  <c r="P41" i="4"/>
  <c r="I42" i="4"/>
  <c r="J42" i="4"/>
  <c r="K42" i="4"/>
  <c r="L42" i="4"/>
  <c r="M42" i="4"/>
  <c r="N42" i="4"/>
  <c r="O42" i="4"/>
  <c r="P42" i="4"/>
  <c r="I43" i="4"/>
  <c r="J43" i="4"/>
  <c r="K43" i="4"/>
  <c r="L43" i="4"/>
  <c r="M43" i="4"/>
  <c r="N43" i="4"/>
  <c r="O43" i="4"/>
  <c r="P43" i="4"/>
  <c r="I44" i="4"/>
  <c r="J44" i="4"/>
  <c r="K44" i="4"/>
  <c r="L44" i="4"/>
  <c r="M44" i="4"/>
  <c r="N44" i="4"/>
  <c r="O44" i="4"/>
  <c r="P44" i="4"/>
  <c r="I45" i="4"/>
  <c r="J45" i="4"/>
  <c r="K45" i="4"/>
  <c r="L45" i="4"/>
  <c r="M45" i="4"/>
  <c r="N45" i="4"/>
  <c r="O45" i="4"/>
  <c r="P45" i="4"/>
  <c r="I46" i="4"/>
  <c r="J46" i="4"/>
  <c r="K46" i="4"/>
  <c r="L46" i="4"/>
  <c r="M46" i="4"/>
  <c r="N46" i="4"/>
  <c r="O46" i="4"/>
  <c r="P46" i="4"/>
  <c r="I47" i="4"/>
  <c r="J47" i="4"/>
  <c r="K47" i="4"/>
  <c r="L47" i="4"/>
  <c r="M47" i="4"/>
  <c r="N47" i="4"/>
  <c r="O47" i="4"/>
  <c r="P47" i="4"/>
  <c r="I48" i="4"/>
  <c r="J48" i="4"/>
  <c r="K48" i="4"/>
  <c r="L48" i="4"/>
  <c r="M48" i="4"/>
  <c r="N48" i="4"/>
  <c r="O48" i="4"/>
  <c r="P48" i="4"/>
  <c r="I49" i="4"/>
  <c r="J49" i="4"/>
  <c r="K49" i="4"/>
  <c r="L49" i="4"/>
  <c r="M49" i="4"/>
  <c r="N49" i="4"/>
  <c r="O49" i="4"/>
  <c r="P49" i="4"/>
  <c r="I50" i="4"/>
  <c r="J50" i="4"/>
  <c r="K50" i="4"/>
  <c r="L50" i="4"/>
  <c r="M50" i="4"/>
  <c r="N50" i="4"/>
  <c r="O50" i="4"/>
  <c r="P50" i="4"/>
  <c r="I51" i="4"/>
  <c r="J51" i="4"/>
  <c r="K51" i="4"/>
  <c r="L51" i="4"/>
  <c r="M51" i="4"/>
  <c r="N51" i="4"/>
  <c r="O51" i="4"/>
  <c r="P51" i="4"/>
  <c r="I52" i="4"/>
  <c r="J52" i="4"/>
  <c r="K52" i="4"/>
  <c r="L52" i="4"/>
  <c r="M52" i="4"/>
  <c r="N52" i="4"/>
  <c r="O52" i="4"/>
  <c r="P52" i="4"/>
  <c r="I53" i="4"/>
  <c r="J53" i="4"/>
  <c r="K53" i="4"/>
  <c r="L53" i="4"/>
  <c r="M53" i="4"/>
  <c r="N53" i="4"/>
  <c r="O53" i="4"/>
  <c r="P53" i="4"/>
  <c r="I54" i="4"/>
  <c r="J54" i="4"/>
  <c r="K54" i="4"/>
  <c r="L54" i="4"/>
  <c r="M54" i="4"/>
  <c r="N54" i="4"/>
  <c r="O54" i="4"/>
  <c r="P54" i="4"/>
  <c r="I55" i="4"/>
  <c r="J55" i="4"/>
  <c r="K55" i="4"/>
  <c r="L55" i="4"/>
  <c r="M55" i="4"/>
  <c r="N55" i="4"/>
  <c r="O55" i="4"/>
  <c r="P55" i="4"/>
  <c r="I56" i="4"/>
  <c r="J56" i="4"/>
  <c r="K56" i="4"/>
  <c r="L56" i="4"/>
  <c r="M56" i="4"/>
  <c r="N56" i="4"/>
  <c r="O56" i="4"/>
  <c r="P56" i="4"/>
  <c r="I57" i="4"/>
  <c r="J57" i="4"/>
  <c r="K57" i="4"/>
  <c r="L57" i="4"/>
  <c r="M57" i="4"/>
  <c r="N57" i="4"/>
  <c r="O57" i="4"/>
  <c r="P57" i="4"/>
  <c r="I58" i="4"/>
  <c r="J58" i="4"/>
  <c r="K58" i="4"/>
  <c r="L58" i="4"/>
  <c r="M58" i="4"/>
  <c r="N58" i="4"/>
  <c r="O58" i="4"/>
  <c r="P58" i="4"/>
  <c r="I59" i="4"/>
  <c r="J59" i="4"/>
  <c r="K59" i="4"/>
  <c r="L59" i="4"/>
  <c r="M59" i="4"/>
  <c r="N59" i="4"/>
  <c r="O59" i="4"/>
  <c r="P59" i="4"/>
  <c r="I60" i="4"/>
  <c r="J60" i="4"/>
  <c r="K60" i="4"/>
  <c r="L60" i="4"/>
  <c r="M60" i="4"/>
  <c r="N60" i="4"/>
  <c r="O60" i="4"/>
  <c r="P60" i="4"/>
  <c r="I61" i="4"/>
  <c r="J61" i="4"/>
  <c r="K61" i="4"/>
  <c r="L61" i="4"/>
  <c r="M61" i="4"/>
  <c r="N61" i="4"/>
  <c r="O61" i="4"/>
  <c r="P61" i="4"/>
  <c r="I62" i="4"/>
  <c r="J62" i="4"/>
  <c r="K62" i="4"/>
  <c r="L62" i="4"/>
  <c r="M62" i="4"/>
  <c r="N62" i="4"/>
  <c r="O62" i="4"/>
  <c r="P62" i="4"/>
  <c r="I63" i="4"/>
  <c r="J63" i="4"/>
  <c r="K63" i="4"/>
  <c r="L63" i="4"/>
  <c r="M63" i="4"/>
  <c r="N63" i="4"/>
  <c r="O63" i="4"/>
  <c r="P63" i="4"/>
  <c r="I64" i="4"/>
  <c r="J64" i="4"/>
  <c r="K64" i="4"/>
  <c r="L64" i="4"/>
  <c r="M64" i="4"/>
  <c r="N64" i="4"/>
  <c r="O64" i="4"/>
  <c r="P64" i="4"/>
  <c r="I65" i="4"/>
  <c r="J65" i="4"/>
  <c r="K65" i="4"/>
  <c r="L65" i="4"/>
  <c r="M65" i="4"/>
  <c r="N65" i="4"/>
  <c r="O65" i="4"/>
  <c r="P65" i="4"/>
  <c r="I66" i="4"/>
  <c r="J66" i="4"/>
  <c r="K66" i="4"/>
  <c r="L66" i="4"/>
  <c r="M66" i="4"/>
  <c r="N66" i="4"/>
  <c r="O66" i="4"/>
  <c r="P66" i="4"/>
  <c r="I67" i="4"/>
  <c r="J67" i="4"/>
  <c r="K67" i="4"/>
  <c r="L67" i="4"/>
  <c r="M67" i="4"/>
  <c r="N67" i="4"/>
  <c r="O67" i="4"/>
  <c r="P67" i="4"/>
  <c r="I68" i="4"/>
  <c r="J68" i="4"/>
  <c r="K68" i="4"/>
  <c r="L68" i="4"/>
  <c r="M68" i="4"/>
  <c r="N68" i="4"/>
  <c r="O68" i="4"/>
  <c r="P68" i="4"/>
  <c r="I69" i="4"/>
  <c r="J69" i="4"/>
  <c r="K69" i="4"/>
  <c r="L69" i="4"/>
  <c r="M69" i="4"/>
  <c r="N69" i="4"/>
  <c r="O69" i="4"/>
  <c r="P69" i="4"/>
  <c r="I70" i="4"/>
  <c r="J70" i="4"/>
  <c r="K70" i="4"/>
  <c r="L70" i="4"/>
  <c r="M70" i="4"/>
  <c r="N70" i="4"/>
  <c r="O70" i="4"/>
  <c r="P70" i="4"/>
  <c r="I71" i="4"/>
  <c r="J71" i="4"/>
  <c r="K71" i="4"/>
  <c r="L71" i="4"/>
  <c r="M71" i="4"/>
  <c r="N71" i="4"/>
  <c r="O71" i="4"/>
  <c r="P71" i="4"/>
  <c r="I72" i="4"/>
  <c r="J72" i="4"/>
  <c r="K72" i="4"/>
  <c r="L72" i="4"/>
  <c r="M72" i="4"/>
  <c r="N72" i="4"/>
  <c r="O72" i="4"/>
  <c r="P72" i="4"/>
  <c r="I73" i="4"/>
  <c r="J73" i="4"/>
  <c r="K73" i="4"/>
  <c r="L73" i="4"/>
  <c r="M73" i="4"/>
  <c r="N73" i="4"/>
  <c r="O73" i="4"/>
  <c r="P73" i="4"/>
  <c r="I74" i="4"/>
  <c r="J74" i="4"/>
  <c r="K74" i="4"/>
  <c r="L74" i="4"/>
  <c r="M74" i="4"/>
  <c r="N74" i="4"/>
  <c r="O74" i="4"/>
  <c r="P74" i="4"/>
  <c r="I75" i="4"/>
  <c r="J75" i="4"/>
  <c r="K75" i="4"/>
  <c r="L75" i="4"/>
  <c r="M75" i="4"/>
  <c r="N75" i="4"/>
  <c r="O75" i="4"/>
  <c r="P75" i="4"/>
  <c r="I76" i="4"/>
  <c r="J76" i="4"/>
  <c r="K76" i="4"/>
  <c r="L76" i="4"/>
  <c r="M76" i="4"/>
  <c r="N76" i="4"/>
  <c r="O76" i="4"/>
  <c r="P76" i="4"/>
  <c r="I77" i="4"/>
  <c r="J77" i="4"/>
  <c r="K77" i="4"/>
  <c r="L77" i="4"/>
  <c r="M77" i="4"/>
  <c r="N77" i="4"/>
  <c r="O77" i="4"/>
  <c r="P77" i="4"/>
  <c r="I78" i="4"/>
  <c r="J78" i="4"/>
  <c r="K78" i="4"/>
  <c r="L78" i="4"/>
  <c r="M78" i="4"/>
  <c r="N78" i="4"/>
  <c r="O78" i="4"/>
  <c r="P78" i="4"/>
  <c r="I79" i="4"/>
  <c r="J79" i="4"/>
  <c r="K79" i="4"/>
  <c r="L79" i="4"/>
  <c r="M79" i="4"/>
  <c r="N79" i="4"/>
  <c r="O79" i="4"/>
  <c r="P79" i="4"/>
  <c r="I80" i="4"/>
  <c r="J80" i="4"/>
  <c r="K80" i="4"/>
  <c r="L80" i="4"/>
  <c r="M80" i="4"/>
  <c r="N80" i="4"/>
  <c r="O80" i="4"/>
  <c r="P80" i="4"/>
  <c r="I81" i="4"/>
  <c r="J81" i="4"/>
  <c r="K81" i="4"/>
  <c r="L81" i="4"/>
  <c r="M81" i="4"/>
  <c r="N81" i="4"/>
  <c r="O81" i="4"/>
  <c r="P81" i="4"/>
  <c r="I82" i="4"/>
  <c r="J82" i="4"/>
  <c r="K82" i="4"/>
  <c r="L82" i="4"/>
  <c r="M82" i="4"/>
  <c r="N82" i="4"/>
  <c r="O82" i="4"/>
  <c r="P82" i="4"/>
  <c r="I83" i="4"/>
  <c r="J83" i="4"/>
  <c r="K83" i="4"/>
  <c r="L83" i="4"/>
  <c r="M83" i="4"/>
  <c r="N83" i="4"/>
  <c r="O83" i="4"/>
  <c r="P83" i="4"/>
  <c r="I84" i="4"/>
  <c r="J84" i="4"/>
  <c r="K84" i="4"/>
  <c r="L84" i="4"/>
  <c r="M84" i="4"/>
  <c r="N84" i="4"/>
  <c r="O84" i="4"/>
  <c r="P84" i="4"/>
  <c r="I85" i="4"/>
  <c r="J85" i="4"/>
  <c r="K85" i="4"/>
  <c r="L85" i="4"/>
  <c r="M85" i="4"/>
  <c r="N85" i="4"/>
  <c r="O85" i="4"/>
  <c r="P85" i="4"/>
  <c r="I86" i="4"/>
  <c r="J86" i="4"/>
  <c r="K86" i="4"/>
  <c r="L86" i="4"/>
  <c r="M86" i="4"/>
  <c r="N86" i="4"/>
  <c r="O86" i="4"/>
  <c r="P86" i="4"/>
  <c r="I87" i="4"/>
  <c r="J87" i="4"/>
  <c r="K87" i="4"/>
  <c r="L87" i="4"/>
  <c r="M87" i="4"/>
  <c r="N87" i="4"/>
  <c r="O87" i="4"/>
  <c r="P87" i="4"/>
  <c r="I88" i="4"/>
  <c r="J88" i="4"/>
  <c r="K88" i="4"/>
  <c r="L88" i="4"/>
  <c r="M88" i="4"/>
  <c r="N88" i="4"/>
  <c r="O88" i="4"/>
  <c r="P88" i="4"/>
  <c r="I89" i="4"/>
  <c r="J89" i="4"/>
  <c r="K89" i="4"/>
  <c r="L89" i="4"/>
  <c r="M89" i="4"/>
  <c r="N89" i="4"/>
  <c r="O89" i="4"/>
  <c r="P89" i="4"/>
  <c r="I90" i="4"/>
  <c r="J90" i="4"/>
  <c r="K90" i="4"/>
  <c r="L90" i="4"/>
  <c r="M90" i="4"/>
  <c r="N90" i="4"/>
  <c r="O90" i="4"/>
  <c r="P90" i="4"/>
  <c r="I91" i="4"/>
  <c r="J91" i="4"/>
  <c r="K91" i="4"/>
  <c r="L91" i="4"/>
  <c r="M91" i="4"/>
  <c r="N91" i="4"/>
  <c r="O91" i="4"/>
  <c r="P91" i="4"/>
  <c r="I92" i="4"/>
  <c r="J92" i="4"/>
  <c r="K92" i="4"/>
  <c r="L92" i="4"/>
  <c r="M92" i="4"/>
  <c r="N92" i="4"/>
  <c r="O92" i="4"/>
  <c r="P92" i="4"/>
  <c r="I93" i="4"/>
  <c r="J93" i="4"/>
  <c r="K93" i="4"/>
  <c r="L93" i="4"/>
  <c r="M93" i="4"/>
  <c r="N93" i="4"/>
  <c r="O93" i="4"/>
  <c r="P93" i="4"/>
  <c r="I94" i="4"/>
  <c r="J94" i="4"/>
  <c r="K94" i="4"/>
  <c r="L94" i="4"/>
  <c r="M94" i="4"/>
  <c r="N94" i="4"/>
  <c r="O94" i="4"/>
  <c r="P94" i="4"/>
  <c r="I95" i="4"/>
  <c r="J95" i="4"/>
  <c r="K95" i="4"/>
  <c r="L95" i="4"/>
  <c r="M95" i="4"/>
  <c r="N95" i="4"/>
  <c r="O95" i="4"/>
  <c r="P95" i="4"/>
  <c r="I96" i="4"/>
  <c r="J96" i="4"/>
  <c r="K96" i="4"/>
  <c r="L96" i="4"/>
  <c r="M96" i="4"/>
  <c r="N96" i="4"/>
  <c r="O96" i="4"/>
  <c r="P96" i="4"/>
  <c r="I97" i="4"/>
  <c r="J97" i="4"/>
  <c r="K97" i="4"/>
  <c r="L97" i="4"/>
  <c r="M97" i="4"/>
  <c r="N97" i="4"/>
  <c r="O97" i="4"/>
  <c r="P97" i="4"/>
  <c r="I98" i="4"/>
  <c r="J98" i="4"/>
  <c r="K98" i="4"/>
  <c r="L98" i="4"/>
  <c r="M98" i="4"/>
  <c r="N98" i="4"/>
  <c r="O98" i="4"/>
  <c r="P98" i="4"/>
  <c r="I99" i="4"/>
  <c r="J99" i="4"/>
  <c r="K99" i="4"/>
  <c r="L99" i="4"/>
  <c r="M99" i="4"/>
  <c r="N99" i="4"/>
  <c r="O99" i="4"/>
  <c r="P99" i="4"/>
  <c r="I100" i="4"/>
  <c r="J100" i="4"/>
  <c r="K100" i="4"/>
  <c r="L100" i="4"/>
  <c r="M100" i="4"/>
  <c r="N100" i="4"/>
  <c r="O100" i="4"/>
  <c r="P100" i="4"/>
  <c r="I101" i="4"/>
  <c r="J101" i="4"/>
  <c r="K101" i="4"/>
  <c r="L101" i="4"/>
  <c r="M101" i="4"/>
  <c r="N101" i="4"/>
  <c r="O101" i="4"/>
  <c r="P101" i="4"/>
  <c r="I102" i="4"/>
  <c r="J102" i="4"/>
  <c r="K102" i="4"/>
  <c r="L102" i="4"/>
  <c r="M102" i="4"/>
  <c r="N102" i="4"/>
  <c r="O102" i="4"/>
  <c r="P102" i="4"/>
  <c r="I103" i="4"/>
  <c r="J103" i="4"/>
  <c r="K103" i="4"/>
  <c r="L103" i="4"/>
  <c r="M103" i="4"/>
  <c r="N103" i="4"/>
  <c r="O103" i="4"/>
  <c r="P103" i="4"/>
  <c r="I104" i="4"/>
  <c r="J104" i="4"/>
  <c r="K104" i="4"/>
  <c r="L104" i="4"/>
  <c r="M104" i="4"/>
  <c r="N104" i="4"/>
  <c r="O104" i="4"/>
  <c r="P104" i="4"/>
  <c r="I105" i="4"/>
  <c r="J105" i="4"/>
  <c r="K105" i="4"/>
  <c r="L105" i="4"/>
  <c r="M105" i="4"/>
  <c r="N105" i="4"/>
  <c r="O105" i="4"/>
  <c r="P105" i="4"/>
  <c r="I106" i="4"/>
  <c r="J106" i="4"/>
  <c r="K106" i="4"/>
  <c r="L106" i="4"/>
  <c r="M106" i="4"/>
  <c r="N106" i="4"/>
  <c r="O106" i="4"/>
  <c r="P106" i="4"/>
  <c r="I107" i="4"/>
  <c r="J107" i="4"/>
  <c r="K107" i="4"/>
  <c r="L107" i="4"/>
  <c r="M107" i="4"/>
  <c r="N107" i="4"/>
  <c r="O107" i="4"/>
  <c r="P107" i="4"/>
  <c r="I108" i="4"/>
  <c r="J108" i="4"/>
  <c r="K108" i="4"/>
  <c r="L108" i="4"/>
  <c r="M108" i="4"/>
  <c r="N108" i="4"/>
  <c r="O108" i="4"/>
  <c r="P108" i="4"/>
  <c r="I109" i="4"/>
  <c r="J109" i="4"/>
  <c r="K109" i="4"/>
  <c r="L109" i="4"/>
  <c r="M109" i="4"/>
  <c r="N109" i="4"/>
  <c r="O109" i="4"/>
  <c r="P109" i="4"/>
  <c r="I110" i="4"/>
  <c r="J110" i="4"/>
  <c r="K110" i="4"/>
  <c r="L110" i="4"/>
  <c r="M110" i="4"/>
  <c r="N110" i="4"/>
  <c r="O110" i="4"/>
  <c r="P110" i="4"/>
  <c r="I111" i="4"/>
  <c r="J111" i="4"/>
  <c r="K111" i="4"/>
  <c r="L111" i="4"/>
  <c r="M111" i="4"/>
  <c r="N111" i="4"/>
  <c r="O111" i="4"/>
  <c r="P111" i="4"/>
  <c r="I112" i="4"/>
  <c r="J112" i="4"/>
  <c r="K112" i="4"/>
  <c r="L112" i="4"/>
  <c r="M112" i="4"/>
  <c r="N112" i="4"/>
  <c r="O112" i="4"/>
  <c r="P112" i="4"/>
  <c r="I113" i="4"/>
  <c r="J113" i="4"/>
  <c r="K113" i="4"/>
  <c r="L113" i="4"/>
  <c r="M113" i="4"/>
  <c r="N113" i="4"/>
  <c r="O113" i="4"/>
  <c r="P113" i="4"/>
  <c r="I114" i="4"/>
  <c r="J114" i="4"/>
  <c r="K114" i="4"/>
  <c r="L114" i="4"/>
  <c r="M114" i="4"/>
  <c r="N114" i="4"/>
  <c r="O114" i="4"/>
  <c r="P114" i="4"/>
  <c r="I115" i="4"/>
  <c r="J115" i="4"/>
  <c r="K115" i="4"/>
  <c r="L115" i="4"/>
  <c r="M115" i="4"/>
  <c r="N115" i="4"/>
  <c r="O115" i="4"/>
  <c r="P115" i="4"/>
  <c r="I116" i="4"/>
  <c r="J116" i="4"/>
  <c r="K116" i="4"/>
  <c r="L116" i="4"/>
  <c r="M116" i="4"/>
  <c r="N116" i="4"/>
  <c r="O116" i="4"/>
  <c r="P116" i="4"/>
  <c r="I117" i="4"/>
  <c r="J117" i="4"/>
  <c r="K117" i="4"/>
  <c r="L117" i="4"/>
  <c r="M117" i="4"/>
  <c r="N117" i="4"/>
  <c r="O117" i="4"/>
  <c r="P117" i="4"/>
  <c r="I118" i="4"/>
  <c r="J118" i="4"/>
  <c r="K118" i="4"/>
  <c r="L118" i="4"/>
  <c r="M118" i="4"/>
  <c r="N118" i="4"/>
  <c r="O118" i="4"/>
  <c r="P118" i="4"/>
  <c r="I119" i="4"/>
  <c r="J119" i="4"/>
  <c r="K119" i="4"/>
  <c r="L119" i="4"/>
  <c r="M119" i="4"/>
  <c r="N119" i="4"/>
  <c r="O119" i="4"/>
  <c r="P119" i="4"/>
  <c r="I120" i="4"/>
  <c r="J120" i="4"/>
  <c r="K120" i="4"/>
  <c r="L120" i="4"/>
  <c r="M120" i="4"/>
  <c r="N120" i="4"/>
  <c r="O120" i="4"/>
  <c r="P120" i="4"/>
  <c r="I121" i="4"/>
  <c r="J121" i="4"/>
  <c r="K121" i="4"/>
  <c r="L121" i="4"/>
  <c r="M121" i="4"/>
  <c r="N121" i="4"/>
  <c r="O121" i="4"/>
  <c r="P121" i="4"/>
  <c r="I122" i="4"/>
  <c r="J122" i="4"/>
  <c r="K122" i="4"/>
  <c r="L122" i="4"/>
  <c r="M122" i="4"/>
  <c r="N122" i="4"/>
  <c r="O122" i="4"/>
  <c r="P122" i="4"/>
  <c r="I123" i="4"/>
  <c r="J123" i="4"/>
  <c r="K123" i="4"/>
  <c r="L123" i="4"/>
  <c r="M123" i="4"/>
  <c r="N123" i="4"/>
  <c r="O123" i="4"/>
  <c r="P123" i="4"/>
  <c r="Q268" i="4"/>
  <c r="P268" i="4"/>
  <c r="O268" i="4"/>
  <c r="N268" i="4"/>
  <c r="M268" i="4"/>
  <c r="L268" i="4"/>
  <c r="K268" i="4"/>
  <c r="J268" i="4"/>
  <c r="I268" i="4"/>
  <c r="Q267" i="4"/>
  <c r="P267" i="4"/>
  <c r="O267" i="4"/>
  <c r="N267" i="4"/>
  <c r="M267" i="4"/>
  <c r="L267" i="4"/>
  <c r="K267" i="4"/>
  <c r="J267" i="4"/>
  <c r="I267" i="4"/>
  <c r="Q266" i="4"/>
  <c r="P266" i="4"/>
  <c r="O266" i="4"/>
  <c r="N266" i="4"/>
  <c r="M266" i="4"/>
  <c r="L266" i="4"/>
  <c r="K266" i="4"/>
  <c r="J266" i="4"/>
  <c r="I266" i="4"/>
  <c r="Q265" i="4"/>
  <c r="P265" i="4"/>
  <c r="O265" i="4"/>
  <c r="N265" i="4"/>
  <c r="M265" i="4"/>
  <c r="L265" i="4"/>
  <c r="K265" i="4"/>
  <c r="J265" i="4"/>
  <c r="I265" i="4"/>
  <c r="Q264" i="4"/>
  <c r="P264" i="4"/>
  <c r="O264" i="4"/>
  <c r="N264" i="4"/>
  <c r="M264" i="4"/>
  <c r="L264" i="4"/>
  <c r="K264" i="4"/>
  <c r="J264" i="4"/>
  <c r="I264" i="4"/>
  <c r="Q263" i="4"/>
  <c r="P263" i="4"/>
  <c r="O263" i="4"/>
  <c r="N263" i="4"/>
  <c r="M263" i="4"/>
  <c r="L263" i="4"/>
  <c r="K263" i="4"/>
  <c r="J263" i="4"/>
  <c r="I263" i="4"/>
  <c r="Q262" i="4"/>
  <c r="P262" i="4"/>
  <c r="O262" i="4"/>
  <c r="N262" i="4"/>
  <c r="M262" i="4"/>
  <c r="L262" i="4"/>
  <c r="K262" i="4"/>
  <c r="J262" i="4"/>
  <c r="I262" i="4"/>
  <c r="Q261" i="4"/>
  <c r="P261" i="4"/>
  <c r="O261" i="4"/>
  <c r="N261" i="4"/>
  <c r="M261" i="4"/>
  <c r="L261" i="4"/>
  <c r="K261" i="4"/>
  <c r="J261" i="4"/>
  <c r="I261" i="4"/>
  <c r="Q260" i="4"/>
  <c r="P260" i="4"/>
  <c r="O260" i="4"/>
  <c r="N260" i="4"/>
  <c r="M260" i="4"/>
  <c r="L260" i="4"/>
  <c r="K260" i="4"/>
  <c r="J260" i="4"/>
  <c r="I260" i="4"/>
  <c r="Q259" i="4"/>
  <c r="P259" i="4"/>
  <c r="O259" i="4"/>
  <c r="N259" i="4"/>
  <c r="M259" i="4"/>
  <c r="L259" i="4"/>
  <c r="K259" i="4"/>
  <c r="J259" i="4"/>
  <c r="I259" i="4"/>
  <c r="Q258" i="4"/>
  <c r="P258" i="4"/>
  <c r="O258" i="4"/>
  <c r="N258" i="4"/>
  <c r="M258" i="4"/>
  <c r="L258" i="4"/>
  <c r="K258" i="4"/>
  <c r="J258" i="4"/>
  <c r="I258" i="4"/>
  <c r="Q257" i="4"/>
  <c r="P257" i="4"/>
  <c r="O257" i="4"/>
  <c r="N257" i="4"/>
  <c r="M257" i="4"/>
  <c r="L257" i="4"/>
  <c r="K257" i="4"/>
  <c r="J257" i="4"/>
  <c r="I257" i="4"/>
  <c r="Q256" i="4"/>
  <c r="P256" i="4"/>
  <c r="O256" i="4"/>
  <c r="N256" i="4"/>
  <c r="M256" i="4"/>
  <c r="L256" i="4"/>
  <c r="K256" i="4"/>
  <c r="J256" i="4"/>
  <c r="I256" i="4"/>
  <c r="Q255" i="4"/>
  <c r="P255" i="4"/>
  <c r="O255" i="4"/>
  <c r="N255" i="4"/>
  <c r="M255" i="4"/>
  <c r="L255" i="4"/>
  <c r="K255" i="4"/>
  <c r="J255" i="4"/>
  <c r="I255" i="4"/>
  <c r="Q254" i="4"/>
  <c r="P254" i="4"/>
  <c r="O254" i="4"/>
  <c r="N254" i="4"/>
  <c r="M254" i="4"/>
  <c r="L254" i="4"/>
  <c r="K254" i="4"/>
  <c r="J254" i="4"/>
  <c r="I254" i="4"/>
  <c r="Q253" i="4"/>
  <c r="P253" i="4"/>
  <c r="O253" i="4"/>
  <c r="N253" i="4"/>
  <c r="M253" i="4"/>
  <c r="L253" i="4"/>
  <c r="K253" i="4"/>
  <c r="J253" i="4"/>
  <c r="I253" i="4"/>
  <c r="Q252" i="4"/>
  <c r="P252" i="4"/>
  <c r="O252" i="4"/>
  <c r="N252" i="4"/>
  <c r="M252" i="4"/>
  <c r="L252" i="4"/>
  <c r="K252" i="4"/>
  <c r="J252" i="4"/>
  <c r="I252" i="4"/>
  <c r="Q251" i="4"/>
  <c r="P251" i="4"/>
  <c r="O251" i="4"/>
  <c r="N251" i="4"/>
  <c r="M251" i="4"/>
  <c r="L251" i="4"/>
  <c r="K251" i="4"/>
  <c r="J251" i="4"/>
  <c r="I251" i="4"/>
  <c r="Q250" i="4"/>
  <c r="P250" i="4"/>
  <c r="O250" i="4"/>
  <c r="N250" i="4"/>
  <c r="M250" i="4"/>
  <c r="L250" i="4"/>
  <c r="K250" i="4"/>
  <c r="J250" i="4"/>
  <c r="I250" i="4"/>
  <c r="Q249" i="4"/>
  <c r="P249" i="4"/>
  <c r="O249" i="4"/>
  <c r="N249" i="4"/>
  <c r="M249" i="4"/>
  <c r="L249" i="4"/>
  <c r="K249" i="4"/>
  <c r="J249" i="4"/>
  <c r="I249" i="4"/>
  <c r="Q248" i="4"/>
  <c r="P248" i="4"/>
  <c r="O248" i="4"/>
  <c r="N248" i="4"/>
  <c r="M248" i="4"/>
  <c r="L248" i="4"/>
  <c r="K248" i="4"/>
  <c r="J248" i="4"/>
  <c r="I248" i="4"/>
  <c r="Q247" i="4"/>
  <c r="P247" i="4"/>
  <c r="O247" i="4"/>
  <c r="N247" i="4"/>
  <c r="M247" i="4"/>
  <c r="L247" i="4"/>
  <c r="K247" i="4"/>
  <c r="J247" i="4"/>
  <c r="I247" i="4"/>
  <c r="Q246" i="4"/>
  <c r="P246" i="4"/>
  <c r="O246" i="4"/>
  <c r="N246" i="4"/>
  <c r="M246" i="4"/>
  <c r="L246" i="4"/>
  <c r="K246" i="4"/>
  <c r="J246" i="4"/>
  <c r="I246" i="4"/>
  <c r="Q245" i="4"/>
  <c r="P245" i="4"/>
  <c r="O245" i="4"/>
  <c r="N245" i="4"/>
  <c r="M245" i="4"/>
  <c r="L245" i="4"/>
  <c r="K245" i="4"/>
  <c r="J245" i="4"/>
  <c r="I245" i="4"/>
  <c r="Q244" i="4"/>
  <c r="P244" i="4"/>
  <c r="O244" i="4"/>
  <c r="N244" i="4"/>
  <c r="M244" i="4"/>
  <c r="L244" i="4"/>
  <c r="K244" i="4"/>
  <c r="J244" i="4"/>
  <c r="I244" i="4"/>
  <c r="Q243" i="4"/>
  <c r="P243" i="4"/>
  <c r="O243" i="4"/>
  <c r="N243" i="4"/>
  <c r="M243" i="4"/>
  <c r="L243" i="4"/>
  <c r="K243" i="4"/>
  <c r="J243" i="4"/>
  <c r="I243" i="4"/>
  <c r="Q242" i="4"/>
  <c r="P242" i="4"/>
  <c r="O242" i="4"/>
  <c r="N242" i="4"/>
  <c r="M242" i="4"/>
  <c r="L242" i="4"/>
  <c r="K242" i="4"/>
  <c r="J242" i="4"/>
  <c r="I242" i="4"/>
  <c r="Q241" i="4"/>
  <c r="P241" i="4"/>
  <c r="O241" i="4"/>
  <c r="N241" i="4"/>
  <c r="M241" i="4"/>
  <c r="L241" i="4"/>
  <c r="K241" i="4"/>
  <c r="J241" i="4"/>
  <c r="I241" i="4"/>
  <c r="Q240" i="4"/>
  <c r="P240" i="4"/>
  <c r="O240" i="4"/>
  <c r="N240" i="4"/>
  <c r="M240" i="4"/>
  <c r="L240" i="4"/>
  <c r="K240" i="4"/>
  <c r="J240" i="4"/>
  <c r="I240" i="4"/>
  <c r="Q239" i="4"/>
  <c r="P239" i="4"/>
  <c r="O239" i="4"/>
  <c r="N239" i="4"/>
  <c r="M239" i="4"/>
  <c r="L239" i="4"/>
  <c r="K239" i="4"/>
  <c r="J239" i="4"/>
  <c r="I239" i="4"/>
  <c r="Q238" i="4"/>
  <c r="P238" i="4"/>
  <c r="O238" i="4"/>
  <c r="N238" i="4"/>
  <c r="M238" i="4"/>
  <c r="L238" i="4"/>
  <c r="K238" i="4"/>
  <c r="J238" i="4"/>
  <c r="I238" i="4"/>
  <c r="Q237" i="4"/>
  <c r="P237" i="4"/>
  <c r="O237" i="4"/>
  <c r="N237" i="4"/>
  <c r="M237" i="4"/>
  <c r="L237" i="4"/>
  <c r="K237" i="4"/>
  <c r="J237" i="4"/>
  <c r="I237" i="4"/>
  <c r="Q236" i="4"/>
  <c r="P236" i="4"/>
  <c r="O236" i="4"/>
  <c r="N236" i="4"/>
  <c r="M236" i="4"/>
  <c r="L236" i="4"/>
  <c r="K236" i="4"/>
  <c r="J236" i="4"/>
  <c r="I236" i="4"/>
  <c r="Q235" i="4"/>
  <c r="P235" i="4"/>
  <c r="O235" i="4"/>
  <c r="N235" i="4"/>
  <c r="M235" i="4"/>
  <c r="L235" i="4"/>
  <c r="K235" i="4"/>
  <c r="J235" i="4"/>
  <c r="I235" i="4"/>
  <c r="Q234" i="4"/>
  <c r="P234" i="4"/>
  <c r="O234" i="4"/>
  <c r="N234" i="4"/>
  <c r="M234" i="4"/>
  <c r="L234" i="4"/>
  <c r="K234" i="4"/>
  <c r="J234" i="4"/>
  <c r="I234" i="4"/>
  <c r="P233" i="4"/>
  <c r="O233" i="4"/>
  <c r="N233" i="4"/>
  <c r="M233" i="4"/>
  <c r="L233" i="4"/>
  <c r="K233" i="4"/>
  <c r="J233" i="4"/>
  <c r="I233" i="4"/>
  <c r="P232" i="4"/>
  <c r="O232" i="4"/>
  <c r="N232" i="4"/>
  <c r="M232" i="4"/>
  <c r="L232" i="4"/>
  <c r="K232" i="4"/>
  <c r="J232" i="4"/>
  <c r="I232" i="4"/>
  <c r="P231" i="4"/>
  <c r="O231" i="4"/>
  <c r="N231" i="4"/>
  <c r="M231" i="4"/>
  <c r="L231" i="4"/>
  <c r="K231" i="4"/>
  <c r="J231" i="4"/>
  <c r="I231" i="4"/>
  <c r="P230" i="4"/>
  <c r="O230" i="4"/>
  <c r="N230" i="4"/>
  <c r="M230" i="4"/>
  <c r="L230" i="4"/>
  <c r="K230" i="4"/>
  <c r="J230" i="4"/>
  <c r="I230" i="4"/>
  <c r="P229" i="4"/>
  <c r="O229" i="4"/>
  <c r="N229" i="4"/>
  <c r="M229" i="4"/>
  <c r="L229" i="4"/>
  <c r="K229" i="4"/>
  <c r="J229" i="4"/>
  <c r="I229" i="4"/>
  <c r="P228" i="4"/>
  <c r="O228" i="4"/>
  <c r="N228" i="4"/>
  <c r="M228" i="4"/>
  <c r="L228" i="4"/>
  <c r="K228" i="4"/>
  <c r="J228" i="4"/>
  <c r="I228" i="4"/>
  <c r="P227" i="4"/>
  <c r="O227" i="4"/>
  <c r="N227" i="4"/>
  <c r="M227" i="4"/>
  <c r="L227" i="4"/>
  <c r="K227" i="4"/>
  <c r="J227" i="4"/>
  <c r="I227" i="4"/>
  <c r="P226" i="4"/>
  <c r="O226" i="4"/>
  <c r="N226" i="4"/>
  <c r="M226" i="4"/>
  <c r="L226" i="4"/>
  <c r="K226" i="4"/>
  <c r="J226" i="4"/>
  <c r="I226" i="4"/>
  <c r="P225" i="4"/>
  <c r="O225" i="4"/>
  <c r="N225" i="4"/>
  <c r="M225" i="4"/>
  <c r="L225" i="4"/>
  <c r="K225" i="4"/>
  <c r="J225" i="4"/>
  <c r="I225" i="4"/>
  <c r="P224" i="4"/>
  <c r="O224" i="4"/>
  <c r="N224" i="4"/>
  <c r="M224" i="4"/>
  <c r="L224" i="4"/>
  <c r="K224" i="4"/>
  <c r="J224" i="4"/>
  <c r="I224" i="4"/>
  <c r="P223" i="4"/>
  <c r="O223" i="4"/>
  <c r="N223" i="4"/>
  <c r="M223" i="4"/>
  <c r="L223" i="4"/>
  <c r="K223" i="4"/>
  <c r="J223" i="4"/>
  <c r="I223" i="4"/>
  <c r="P222" i="4"/>
  <c r="O222" i="4"/>
  <c r="N222" i="4"/>
  <c r="M222" i="4"/>
  <c r="L222" i="4"/>
  <c r="K222" i="4"/>
  <c r="J222" i="4"/>
  <c r="I222" i="4"/>
  <c r="P221" i="4"/>
  <c r="O221" i="4"/>
  <c r="N221" i="4"/>
  <c r="M221" i="4"/>
  <c r="L221" i="4"/>
  <c r="K221" i="4"/>
  <c r="J221" i="4"/>
  <c r="I221" i="4"/>
  <c r="P220" i="4"/>
  <c r="O220" i="4"/>
  <c r="N220" i="4"/>
  <c r="M220" i="4"/>
  <c r="L220" i="4"/>
  <c r="K220" i="4"/>
  <c r="J220" i="4"/>
  <c r="I220" i="4"/>
  <c r="P219" i="4"/>
  <c r="O219" i="4"/>
  <c r="N219" i="4"/>
  <c r="M219" i="4"/>
  <c r="L219" i="4"/>
  <c r="K219" i="4"/>
  <c r="J219" i="4"/>
  <c r="I219" i="4"/>
  <c r="P218" i="4"/>
  <c r="O218" i="4"/>
  <c r="N218" i="4"/>
  <c r="M218" i="4"/>
  <c r="L218" i="4"/>
  <c r="K218" i="4"/>
  <c r="J218" i="4"/>
  <c r="I218" i="4"/>
  <c r="P217" i="4"/>
  <c r="O217" i="4"/>
  <c r="N217" i="4"/>
  <c r="M217" i="4"/>
  <c r="L217" i="4"/>
  <c r="K217" i="4"/>
  <c r="J217" i="4"/>
  <c r="I217" i="4"/>
  <c r="P216" i="4"/>
  <c r="O216" i="4"/>
  <c r="N216" i="4"/>
  <c r="M216" i="4"/>
  <c r="L216" i="4"/>
  <c r="K216" i="4"/>
  <c r="J216" i="4"/>
  <c r="I216" i="4"/>
  <c r="P215" i="4"/>
  <c r="O215" i="4"/>
  <c r="N215" i="4"/>
  <c r="M215" i="4"/>
  <c r="L215" i="4"/>
  <c r="K215" i="4"/>
  <c r="J215" i="4"/>
  <c r="I215" i="4"/>
  <c r="P214" i="4"/>
  <c r="O214" i="4"/>
  <c r="N214" i="4"/>
  <c r="M214" i="4"/>
  <c r="L214" i="4"/>
  <c r="K214" i="4"/>
  <c r="J214" i="4"/>
  <c r="I214" i="4"/>
  <c r="P213" i="4"/>
  <c r="O213" i="4"/>
  <c r="N213" i="4"/>
  <c r="M213" i="4"/>
  <c r="L213" i="4"/>
  <c r="K213" i="4"/>
  <c r="J213" i="4"/>
  <c r="I213" i="4"/>
  <c r="P212" i="4"/>
  <c r="O212" i="4"/>
  <c r="N212" i="4"/>
  <c r="M212" i="4"/>
  <c r="L212" i="4"/>
  <c r="K212" i="4"/>
  <c r="J212" i="4"/>
  <c r="I212" i="4"/>
  <c r="P211" i="4"/>
  <c r="O211" i="4"/>
  <c r="N211" i="4"/>
  <c r="M211" i="4"/>
  <c r="L211" i="4"/>
  <c r="K211" i="4"/>
  <c r="J211" i="4"/>
  <c r="I211" i="4"/>
  <c r="P210" i="4"/>
  <c r="O210" i="4"/>
  <c r="N210" i="4"/>
  <c r="M210" i="4"/>
  <c r="L210" i="4"/>
  <c r="K210" i="4"/>
  <c r="J210" i="4"/>
  <c r="I210" i="4"/>
  <c r="P209" i="4"/>
  <c r="O209" i="4"/>
  <c r="N209" i="4"/>
  <c r="M209" i="4"/>
  <c r="L209" i="4"/>
  <c r="K209" i="4"/>
  <c r="J209" i="4"/>
  <c r="I209" i="4"/>
  <c r="P208" i="4"/>
  <c r="O208" i="4"/>
  <c r="N208" i="4"/>
  <c r="M208" i="4"/>
  <c r="L208" i="4"/>
  <c r="K208" i="4"/>
  <c r="J208" i="4"/>
  <c r="I208" i="4"/>
  <c r="P207" i="4"/>
  <c r="O207" i="4"/>
  <c r="N207" i="4"/>
  <c r="M207" i="4"/>
  <c r="L207" i="4"/>
  <c r="K207" i="4"/>
  <c r="J207" i="4"/>
  <c r="I207" i="4"/>
  <c r="P206" i="4"/>
  <c r="O206" i="4"/>
  <c r="N206" i="4"/>
  <c r="M206" i="4"/>
  <c r="L206" i="4"/>
  <c r="K206" i="4"/>
  <c r="J206" i="4"/>
  <c r="I206" i="4"/>
  <c r="P205" i="4"/>
  <c r="O205" i="4"/>
  <c r="N205" i="4"/>
  <c r="M205" i="4"/>
  <c r="L205" i="4"/>
  <c r="K205" i="4"/>
  <c r="J205" i="4"/>
  <c r="I205" i="4"/>
  <c r="P204" i="4"/>
  <c r="O204" i="4"/>
  <c r="N204" i="4"/>
  <c r="M204" i="4"/>
  <c r="L204" i="4"/>
  <c r="K204" i="4"/>
  <c r="J204" i="4"/>
  <c r="I204" i="4"/>
  <c r="P203" i="4"/>
  <c r="O203" i="4"/>
  <c r="N203" i="4"/>
  <c r="M203" i="4"/>
  <c r="L203" i="4"/>
  <c r="K203" i="4"/>
  <c r="J203" i="4"/>
  <c r="I203" i="4"/>
  <c r="P202" i="4"/>
  <c r="O202" i="4"/>
  <c r="N202" i="4"/>
  <c r="M202" i="4"/>
  <c r="L202" i="4"/>
  <c r="K202" i="4"/>
  <c r="J202" i="4"/>
  <c r="I202" i="4"/>
  <c r="P201" i="4"/>
  <c r="O201" i="4"/>
  <c r="N201" i="4"/>
  <c r="M201" i="4"/>
  <c r="L201" i="4"/>
  <c r="K201" i="4"/>
  <c r="J201" i="4"/>
  <c r="I201" i="4"/>
  <c r="P200" i="4"/>
  <c r="O200" i="4"/>
  <c r="N200" i="4"/>
  <c r="M200" i="4"/>
  <c r="L200" i="4"/>
  <c r="K200" i="4"/>
  <c r="J200" i="4"/>
  <c r="I200" i="4"/>
  <c r="P199" i="4"/>
  <c r="O199" i="4"/>
  <c r="N199" i="4"/>
  <c r="M199" i="4"/>
  <c r="L199" i="4"/>
  <c r="K199" i="4"/>
  <c r="J199" i="4"/>
  <c r="I199" i="4"/>
  <c r="P198" i="4"/>
  <c r="O198" i="4"/>
  <c r="N198" i="4"/>
  <c r="M198" i="4"/>
  <c r="L198" i="4"/>
  <c r="K198" i="4"/>
  <c r="J198" i="4"/>
  <c r="I198" i="4"/>
  <c r="P197" i="4"/>
  <c r="O197" i="4"/>
  <c r="N197" i="4"/>
  <c r="M197" i="4"/>
  <c r="L197" i="4"/>
  <c r="K197" i="4"/>
  <c r="J197" i="4"/>
  <c r="I197" i="4"/>
  <c r="P196" i="4"/>
  <c r="O196" i="4"/>
  <c r="N196" i="4"/>
  <c r="M196" i="4"/>
  <c r="L196" i="4"/>
  <c r="K196" i="4"/>
  <c r="J196" i="4"/>
  <c r="I196" i="4"/>
  <c r="P195" i="4"/>
  <c r="O195" i="4"/>
  <c r="N195" i="4"/>
  <c r="M195" i="4"/>
  <c r="L195" i="4"/>
  <c r="K195" i="4"/>
  <c r="J195" i="4"/>
  <c r="I195" i="4"/>
  <c r="P194" i="4"/>
  <c r="O194" i="4"/>
  <c r="N194" i="4"/>
  <c r="M194" i="4"/>
  <c r="L194" i="4"/>
  <c r="K194" i="4"/>
  <c r="J194" i="4"/>
  <c r="I194" i="4"/>
  <c r="P193" i="4"/>
  <c r="O193" i="4"/>
  <c r="N193" i="4"/>
  <c r="M193" i="4"/>
  <c r="L193" i="4"/>
  <c r="K193" i="4"/>
  <c r="J193" i="4"/>
  <c r="I193" i="4"/>
  <c r="P192" i="4"/>
  <c r="O192" i="4"/>
  <c r="N192" i="4"/>
  <c r="M192" i="4"/>
  <c r="L192" i="4"/>
  <c r="K192" i="4"/>
  <c r="J192" i="4"/>
  <c r="I192" i="4"/>
  <c r="P191" i="4"/>
  <c r="O191" i="4"/>
  <c r="N191" i="4"/>
  <c r="M191" i="4"/>
  <c r="L191" i="4"/>
  <c r="K191" i="4"/>
  <c r="J191" i="4"/>
  <c r="I191" i="4"/>
  <c r="P190" i="4"/>
  <c r="O190" i="4"/>
  <c r="N190" i="4"/>
  <c r="M190" i="4"/>
  <c r="L190" i="4"/>
  <c r="K190" i="4"/>
  <c r="J190" i="4"/>
  <c r="I190" i="4"/>
  <c r="P189" i="4"/>
  <c r="O189" i="4"/>
  <c r="N189" i="4"/>
  <c r="M189" i="4"/>
  <c r="L189" i="4"/>
  <c r="K189" i="4"/>
  <c r="J189" i="4"/>
  <c r="I189" i="4"/>
  <c r="P188" i="4"/>
  <c r="O188" i="4"/>
  <c r="N188" i="4"/>
  <c r="M188" i="4"/>
  <c r="L188" i="4"/>
  <c r="K188" i="4"/>
  <c r="J188" i="4"/>
  <c r="I188" i="4"/>
  <c r="P187" i="4"/>
  <c r="O187" i="4"/>
  <c r="N187" i="4"/>
  <c r="M187" i="4"/>
  <c r="L187" i="4"/>
  <c r="K187" i="4"/>
  <c r="J187" i="4"/>
  <c r="I187" i="4"/>
  <c r="P186" i="4"/>
  <c r="O186" i="4"/>
  <c r="N186" i="4"/>
  <c r="M186" i="4"/>
  <c r="L186" i="4"/>
  <c r="K186" i="4"/>
  <c r="J186" i="4"/>
  <c r="I186" i="4"/>
  <c r="P185" i="4"/>
  <c r="O185" i="4"/>
  <c r="N185" i="4"/>
  <c r="M185" i="4"/>
  <c r="L185" i="4"/>
  <c r="K185" i="4"/>
  <c r="J185" i="4"/>
  <c r="I185" i="4"/>
  <c r="P184" i="4"/>
  <c r="O184" i="4"/>
  <c r="N184" i="4"/>
  <c r="M184" i="4"/>
  <c r="L184" i="4"/>
  <c r="K184" i="4"/>
  <c r="J184" i="4"/>
  <c r="I184" i="4"/>
  <c r="P183" i="4"/>
  <c r="O183" i="4"/>
  <c r="N183" i="4"/>
  <c r="M183" i="4"/>
  <c r="L183" i="4"/>
  <c r="K183" i="4"/>
  <c r="J183" i="4"/>
  <c r="I183" i="4"/>
  <c r="P182" i="4"/>
  <c r="O182" i="4"/>
  <c r="N182" i="4"/>
  <c r="M182" i="4"/>
  <c r="L182" i="4"/>
  <c r="K182" i="4"/>
  <c r="J182" i="4"/>
  <c r="I182" i="4"/>
  <c r="P181" i="4"/>
  <c r="O181" i="4"/>
  <c r="N181" i="4"/>
  <c r="M181" i="4"/>
  <c r="L181" i="4"/>
  <c r="K181" i="4"/>
  <c r="J181" i="4"/>
  <c r="I181" i="4"/>
  <c r="P180" i="4"/>
  <c r="O180" i="4"/>
  <c r="N180" i="4"/>
  <c r="M180" i="4"/>
  <c r="L180" i="4"/>
  <c r="K180" i="4"/>
  <c r="J180" i="4"/>
  <c r="I180" i="4"/>
  <c r="P179" i="4"/>
  <c r="O179" i="4"/>
  <c r="N179" i="4"/>
  <c r="M179" i="4"/>
  <c r="L179" i="4"/>
  <c r="K179" i="4"/>
  <c r="J179" i="4"/>
  <c r="I179" i="4"/>
  <c r="P178" i="4"/>
  <c r="O178" i="4"/>
  <c r="N178" i="4"/>
  <c r="M178" i="4"/>
  <c r="L178" i="4"/>
  <c r="K178" i="4"/>
  <c r="J178" i="4"/>
  <c r="I178" i="4"/>
  <c r="P177" i="4"/>
  <c r="O177" i="4"/>
  <c r="N177" i="4"/>
  <c r="M177" i="4"/>
  <c r="L177" i="4"/>
  <c r="K177" i="4"/>
  <c r="J177" i="4"/>
  <c r="I177" i="4"/>
  <c r="P176" i="4"/>
  <c r="O176" i="4"/>
  <c r="N176" i="4"/>
  <c r="M176" i="4"/>
  <c r="L176" i="4"/>
  <c r="K176" i="4"/>
  <c r="J176" i="4"/>
  <c r="I176" i="4"/>
  <c r="P175" i="4"/>
  <c r="O175" i="4"/>
  <c r="N175" i="4"/>
  <c r="M175" i="4"/>
  <c r="L175" i="4"/>
  <c r="K175" i="4"/>
  <c r="J175" i="4"/>
  <c r="I175" i="4"/>
  <c r="P174" i="4"/>
  <c r="O174" i="4"/>
  <c r="N174" i="4"/>
  <c r="M174" i="4"/>
  <c r="L174" i="4"/>
  <c r="K174" i="4"/>
  <c r="J174" i="4"/>
  <c r="I174" i="4"/>
  <c r="P173" i="4"/>
  <c r="O173" i="4"/>
  <c r="N173" i="4"/>
  <c r="M173" i="4"/>
  <c r="L173" i="4"/>
  <c r="K173" i="4"/>
  <c r="J173" i="4"/>
  <c r="I173" i="4"/>
  <c r="P172" i="4"/>
  <c r="O172" i="4"/>
  <c r="N172" i="4"/>
  <c r="M172" i="4"/>
  <c r="L172" i="4"/>
  <c r="K172" i="4"/>
  <c r="J172" i="4"/>
  <c r="I172" i="4"/>
  <c r="P171" i="4"/>
  <c r="O171" i="4"/>
  <c r="N171" i="4"/>
  <c r="M171" i="4"/>
  <c r="L171" i="4"/>
  <c r="K171" i="4"/>
  <c r="J171" i="4"/>
  <c r="I171" i="4"/>
  <c r="P170" i="4"/>
  <c r="O170" i="4"/>
  <c r="N170" i="4"/>
  <c r="M170" i="4"/>
  <c r="L170" i="4"/>
  <c r="K170" i="4"/>
  <c r="J170" i="4"/>
  <c r="I170" i="4"/>
  <c r="P169" i="4"/>
  <c r="O169" i="4"/>
  <c r="N169" i="4"/>
  <c r="M169" i="4"/>
  <c r="L169" i="4"/>
  <c r="K169" i="4"/>
  <c r="J169" i="4"/>
  <c r="I169" i="4"/>
  <c r="P168" i="4"/>
  <c r="O168" i="4"/>
  <c r="N168" i="4"/>
  <c r="M168" i="4"/>
  <c r="L168" i="4"/>
  <c r="K168" i="4"/>
  <c r="J168" i="4"/>
  <c r="I168" i="4"/>
  <c r="P167" i="4"/>
  <c r="O167" i="4"/>
  <c r="N167" i="4"/>
  <c r="M167" i="4"/>
  <c r="L167" i="4"/>
  <c r="K167" i="4"/>
  <c r="J167" i="4"/>
  <c r="I167" i="4"/>
  <c r="P166" i="4"/>
  <c r="O166" i="4"/>
  <c r="N166" i="4"/>
  <c r="M166" i="4"/>
  <c r="L166" i="4"/>
  <c r="K166" i="4"/>
  <c r="J166" i="4"/>
  <c r="I166" i="4"/>
  <c r="P165" i="4"/>
  <c r="O165" i="4"/>
  <c r="N165" i="4"/>
  <c r="M165" i="4"/>
  <c r="L165" i="4"/>
  <c r="K165" i="4"/>
  <c r="J165" i="4"/>
  <c r="I165" i="4"/>
  <c r="P164" i="4"/>
  <c r="O164" i="4"/>
  <c r="N164" i="4"/>
  <c r="M164" i="4"/>
  <c r="L164" i="4"/>
  <c r="K164" i="4"/>
  <c r="J164" i="4"/>
  <c r="I164" i="4"/>
  <c r="P163" i="4"/>
  <c r="O163" i="4"/>
  <c r="N163" i="4"/>
  <c r="M163" i="4"/>
  <c r="L163" i="4"/>
  <c r="K163" i="4"/>
  <c r="J163" i="4"/>
  <c r="I163" i="4"/>
  <c r="P162" i="4"/>
  <c r="O162" i="4"/>
  <c r="N162" i="4"/>
  <c r="M162" i="4"/>
  <c r="L162" i="4"/>
  <c r="K162" i="4"/>
  <c r="J162" i="4"/>
  <c r="I162" i="4"/>
  <c r="P161" i="4"/>
  <c r="O161" i="4"/>
  <c r="N161" i="4"/>
  <c r="M161" i="4"/>
  <c r="L161" i="4"/>
  <c r="K161" i="4"/>
  <c r="J161" i="4"/>
  <c r="I161" i="4"/>
  <c r="P160" i="4"/>
  <c r="O160" i="4"/>
  <c r="N160" i="4"/>
  <c r="M160" i="4"/>
  <c r="L160" i="4"/>
  <c r="K160" i="4"/>
  <c r="J160" i="4"/>
  <c r="I160" i="4"/>
  <c r="P159" i="4"/>
  <c r="O159" i="4"/>
  <c r="N159" i="4"/>
  <c r="M159" i="4"/>
  <c r="L159" i="4"/>
  <c r="K159" i="4"/>
  <c r="J159" i="4"/>
  <c r="I159" i="4"/>
  <c r="P158" i="4"/>
  <c r="O158" i="4"/>
  <c r="N158" i="4"/>
  <c r="M158" i="4"/>
  <c r="L158" i="4"/>
  <c r="K158" i="4"/>
  <c r="J158" i="4"/>
  <c r="I158" i="4"/>
  <c r="P157" i="4"/>
  <c r="O157" i="4"/>
  <c r="N157" i="4"/>
  <c r="M157" i="4"/>
  <c r="L157" i="4"/>
  <c r="K157" i="4"/>
  <c r="J157" i="4"/>
  <c r="I157" i="4"/>
  <c r="P156" i="4"/>
  <c r="O156" i="4"/>
  <c r="N156" i="4"/>
  <c r="M156" i="4"/>
  <c r="L156" i="4"/>
  <c r="K156" i="4"/>
  <c r="J156" i="4"/>
  <c r="I156" i="4"/>
  <c r="P155" i="4"/>
  <c r="O155" i="4"/>
  <c r="N155" i="4"/>
  <c r="M155" i="4"/>
  <c r="L155" i="4"/>
  <c r="K155" i="4"/>
  <c r="J155" i="4"/>
  <c r="I155" i="4"/>
  <c r="P154" i="4"/>
  <c r="O154" i="4"/>
  <c r="N154" i="4"/>
  <c r="M154" i="4"/>
  <c r="L154" i="4"/>
  <c r="K154" i="4"/>
  <c r="J154" i="4"/>
  <c r="I154" i="4"/>
  <c r="P153" i="4"/>
  <c r="O153" i="4"/>
  <c r="N153" i="4"/>
  <c r="M153" i="4"/>
  <c r="L153" i="4"/>
  <c r="K153" i="4"/>
  <c r="J153" i="4"/>
  <c r="I153" i="4"/>
  <c r="P152" i="4"/>
  <c r="O152" i="4"/>
  <c r="N152" i="4"/>
  <c r="M152" i="4"/>
  <c r="L152" i="4"/>
  <c r="K152" i="4"/>
  <c r="J152" i="4"/>
  <c r="I152" i="4"/>
  <c r="P151" i="4"/>
  <c r="O151" i="4"/>
  <c r="N151" i="4"/>
  <c r="M151" i="4"/>
  <c r="L151" i="4"/>
  <c r="K151" i="4"/>
  <c r="J151" i="4"/>
  <c r="I151" i="4"/>
  <c r="P150" i="4"/>
  <c r="O150" i="4"/>
  <c r="N150" i="4"/>
  <c r="M150" i="4"/>
  <c r="L150" i="4"/>
  <c r="K150" i="4"/>
  <c r="J150" i="4"/>
  <c r="I150" i="4"/>
  <c r="P149" i="4"/>
  <c r="O149" i="4"/>
  <c r="N149" i="4"/>
  <c r="M149" i="4"/>
  <c r="L149" i="4"/>
  <c r="K149" i="4"/>
  <c r="J149" i="4"/>
  <c r="I149" i="4"/>
  <c r="P148" i="4"/>
  <c r="O148" i="4"/>
  <c r="N148" i="4"/>
  <c r="M148" i="4"/>
  <c r="L148" i="4"/>
  <c r="K148" i="4"/>
  <c r="J148" i="4"/>
  <c r="I148" i="4"/>
  <c r="P147" i="4"/>
  <c r="O147" i="4"/>
  <c r="N147" i="4"/>
  <c r="M147" i="4"/>
  <c r="L147" i="4"/>
  <c r="K147" i="4"/>
  <c r="J147" i="4"/>
  <c r="I147" i="4"/>
  <c r="P146" i="4"/>
  <c r="O146" i="4"/>
  <c r="N146" i="4"/>
  <c r="M146" i="4"/>
  <c r="L146" i="4"/>
  <c r="K146" i="4"/>
  <c r="J146" i="4"/>
  <c r="I146" i="4"/>
  <c r="P145" i="4"/>
  <c r="O145" i="4"/>
  <c r="N145" i="4"/>
  <c r="M145" i="4"/>
  <c r="L145" i="4"/>
  <c r="K145" i="4"/>
  <c r="J145" i="4"/>
  <c r="I145" i="4"/>
  <c r="P144" i="4"/>
  <c r="O144" i="4"/>
  <c r="N144" i="4"/>
  <c r="M144" i="4"/>
  <c r="L144" i="4"/>
  <c r="K144" i="4"/>
  <c r="J144" i="4"/>
  <c r="I144" i="4"/>
  <c r="P143" i="4"/>
  <c r="O143" i="4"/>
  <c r="N143" i="4"/>
  <c r="M143" i="4"/>
  <c r="L143" i="4"/>
  <c r="K143" i="4"/>
  <c r="J143" i="4"/>
  <c r="I143" i="4"/>
  <c r="P142" i="4"/>
  <c r="O142" i="4"/>
  <c r="N142" i="4"/>
  <c r="M142" i="4"/>
  <c r="L142" i="4"/>
  <c r="K142" i="4"/>
  <c r="J142" i="4"/>
  <c r="I142" i="4"/>
  <c r="P141" i="4"/>
  <c r="O141" i="4"/>
  <c r="N141" i="4"/>
  <c r="M141" i="4"/>
  <c r="L141" i="4"/>
  <c r="K141" i="4"/>
  <c r="J141" i="4"/>
  <c r="I141" i="4"/>
  <c r="P140" i="4"/>
  <c r="O140" i="4"/>
  <c r="N140" i="4"/>
  <c r="M140" i="4"/>
  <c r="L140" i="4"/>
  <c r="K140" i="4"/>
  <c r="J140" i="4"/>
  <c r="I140" i="4"/>
  <c r="P139" i="4"/>
  <c r="O139" i="4"/>
  <c r="N139" i="4"/>
  <c r="M139" i="4"/>
  <c r="L139" i="4"/>
  <c r="K139" i="4"/>
  <c r="J139" i="4"/>
  <c r="I139" i="4"/>
  <c r="P138" i="4"/>
  <c r="O138" i="4"/>
  <c r="N138" i="4"/>
  <c r="M138" i="4"/>
  <c r="L138" i="4"/>
  <c r="K138" i="4"/>
  <c r="J138" i="4"/>
  <c r="I138" i="4"/>
  <c r="P137" i="4"/>
  <c r="O137" i="4"/>
  <c r="N137" i="4"/>
  <c r="M137" i="4"/>
  <c r="L137" i="4"/>
  <c r="K137" i="4"/>
  <c r="J137" i="4"/>
  <c r="I137" i="4"/>
  <c r="P136" i="4"/>
  <c r="O136" i="4"/>
  <c r="N136" i="4"/>
  <c r="M136" i="4"/>
  <c r="L136" i="4"/>
  <c r="K136" i="4"/>
  <c r="J136" i="4"/>
  <c r="I136" i="4"/>
  <c r="P135" i="4"/>
  <c r="O135" i="4"/>
  <c r="N135" i="4"/>
  <c r="M135" i="4"/>
  <c r="L135" i="4"/>
  <c r="K135" i="4"/>
  <c r="J135" i="4"/>
  <c r="I135" i="4"/>
  <c r="P134" i="4"/>
  <c r="O134" i="4"/>
  <c r="N134" i="4"/>
  <c r="M134" i="4"/>
  <c r="L134" i="4"/>
  <c r="K134" i="4"/>
  <c r="J134" i="4"/>
  <c r="I134" i="4"/>
  <c r="P133" i="4"/>
  <c r="O133" i="4"/>
  <c r="N133" i="4"/>
  <c r="M133" i="4"/>
  <c r="L133" i="4"/>
  <c r="K133" i="4"/>
  <c r="J133" i="4"/>
  <c r="I133" i="4"/>
  <c r="P132" i="4"/>
  <c r="O132" i="4"/>
  <c r="N132" i="4"/>
  <c r="M132" i="4"/>
  <c r="L132" i="4"/>
  <c r="K132" i="4"/>
  <c r="J132" i="4"/>
  <c r="I132" i="4"/>
  <c r="P131" i="4"/>
  <c r="O131" i="4"/>
  <c r="N131" i="4"/>
  <c r="M131" i="4"/>
  <c r="L131" i="4"/>
  <c r="K131" i="4"/>
  <c r="J131" i="4"/>
  <c r="I131" i="4"/>
  <c r="P130" i="4"/>
  <c r="O130" i="4"/>
  <c r="N130" i="4"/>
  <c r="M130" i="4"/>
  <c r="L130" i="4"/>
  <c r="K130" i="4"/>
  <c r="J130" i="4"/>
  <c r="I130" i="4"/>
  <c r="P129" i="4"/>
  <c r="O129" i="4"/>
  <c r="N129" i="4"/>
  <c r="M129" i="4"/>
  <c r="L129" i="4"/>
  <c r="K129" i="4"/>
  <c r="J129" i="4"/>
  <c r="I129" i="4"/>
  <c r="P128" i="4"/>
  <c r="O128" i="4"/>
  <c r="N128" i="4"/>
  <c r="M128" i="4"/>
  <c r="L128" i="4"/>
  <c r="K128" i="4"/>
  <c r="J128" i="4"/>
  <c r="I128" i="4"/>
  <c r="P127" i="4"/>
  <c r="O127" i="4"/>
  <c r="N127" i="4"/>
  <c r="M127" i="4"/>
  <c r="L127" i="4"/>
  <c r="K127" i="4"/>
  <c r="J127" i="4"/>
  <c r="I127" i="4"/>
  <c r="P126" i="4"/>
  <c r="O126" i="4"/>
  <c r="N126" i="4"/>
  <c r="M126" i="4"/>
  <c r="L126" i="4"/>
  <c r="K126" i="4"/>
  <c r="J126" i="4"/>
  <c r="I126" i="4"/>
  <c r="P125" i="4"/>
  <c r="O125" i="4"/>
  <c r="N125" i="4"/>
  <c r="M125" i="4"/>
  <c r="L125" i="4"/>
  <c r="K125" i="4"/>
  <c r="J125" i="4"/>
  <c r="I125" i="4"/>
  <c r="P124" i="4"/>
  <c r="O124" i="4"/>
  <c r="N124" i="4"/>
  <c r="M124" i="4"/>
  <c r="L124" i="4"/>
  <c r="K124" i="4"/>
  <c r="J124" i="4"/>
  <c r="I124" i="4"/>
  <c r="P4" i="4"/>
  <c r="O4" i="4"/>
  <c r="N4" i="4"/>
  <c r="M4" i="4"/>
  <c r="L4" i="4"/>
  <c r="K4" i="4"/>
  <c r="J4" i="4"/>
  <c r="I4" i="4"/>
  <c r="I5" i="2"/>
  <c r="J5" i="2"/>
  <c r="K5" i="2"/>
  <c r="L5" i="2"/>
  <c r="M5" i="2"/>
  <c r="N5" i="2"/>
  <c r="O5" i="2"/>
  <c r="P5" i="2"/>
  <c r="I6" i="2"/>
  <c r="J6" i="2"/>
  <c r="K6" i="2"/>
  <c r="L6" i="2"/>
  <c r="M6" i="2"/>
  <c r="N6" i="2"/>
  <c r="O6" i="2"/>
  <c r="P6" i="2"/>
  <c r="I7" i="2"/>
  <c r="J7" i="2"/>
  <c r="K7" i="2"/>
  <c r="L7" i="2"/>
  <c r="M7" i="2"/>
  <c r="N7" i="2"/>
  <c r="O7" i="2"/>
  <c r="P7" i="2"/>
  <c r="I8" i="2"/>
  <c r="J8" i="2"/>
  <c r="K8" i="2"/>
  <c r="L8" i="2"/>
  <c r="M8" i="2"/>
  <c r="N8" i="2"/>
  <c r="O8" i="2"/>
  <c r="P8" i="2"/>
  <c r="I9" i="2"/>
  <c r="J9" i="2"/>
  <c r="K9" i="2"/>
  <c r="L9" i="2"/>
  <c r="M9" i="2"/>
  <c r="N9" i="2"/>
  <c r="O9" i="2"/>
  <c r="P9" i="2"/>
  <c r="I10" i="2"/>
  <c r="J10" i="2"/>
  <c r="K10" i="2"/>
  <c r="L10" i="2"/>
  <c r="M10" i="2"/>
  <c r="N10" i="2"/>
  <c r="O10" i="2"/>
  <c r="P10" i="2"/>
  <c r="I11" i="2"/>
  <c r="J11" i="2"/>
  <c r="K11" i="2"/>
  <c r="L11" i="2"/>
  <c r="M11" i="2"/>
  <c r="N11" i="2"/>
  <c r="O11" i="2"/>
  <c r="P11" i="2"/>
  <c r="I12" i="2"/>
  <c r="J12" i="2"/>
  <c r="K12" i="2"/>
  <c r="L12" i="2"/>
  <c r="M12" i="2"/>
  <c r="N12" i="2"/>
  <c r="O12" i="2"/>
  <c r="P12" i="2"/>
  <c r="I13" i="2"/>
  <c r="J13" i="2"/>
  <c r="K13" i="2"/>
  <c r="L13" i="2"/>
  <c r="M13" i="2"/>
  <c r="N13" i="2"/>
  <c r="O13" i="2"/>
  <c r="P13" i="2"/>
  <c r="I14" i="2"/>
  <c r="J14" i="2"/>
  <c r="K14" i="2"/>
  <c r="L14" i="2"/>
  <c r="M14" i="2"/>
  <c r="N14" i="2"/>
  <c r="O14" i="2"/>
  <c r="P14" i="2"/>
  <c r="I15" i="2"/>
  <c r="J15" i="2"/>
  <c r="K15" i="2"/>
  <c r="L15" i="2"/>
  <c r="M15" i="2"/>
  <c r="N15" i="2"/>
  <c r="O15" i="2"/>
  <c r="P15" i="2"/>
  <c r="I16" i="2"/>
  <c r="J16" i="2"/>
  <c r="K16" i="2"/>
  <c r="L16" i="2"/>
  <c r="M16" i="2"/>
  <c r="N16" i="2"/>
  <c r="O16" i="2"/>
  <c r="P16" i="2"/>
  <c r="I17" i="2"/>
  <c r="J17" i="2"/>
  <c r="K17" i="2"/>
  <c r="L17" i="2"/>
  <c r="M17" i="2"/>
  <c r="N17" i="2"/>
  <c r="O17" i="2"/>
  <c r="P17" i="2"/>
  <c r="I18" i="2"/>
  <c r="J18" i="2"/>
  <c r="K18" i="2"/>
  <c r="L18" i="2"/>
  <c r="M18" i="2"/>
  <c r="N18" i="2"/>
  <c r="O18" i="2"/>
  <c r="P18" i="2"/>
  <c r="I19" i="2"/>
  <c r="J19" i="2"/>
  <c r="K19" i="2"/>
  <c r="L19" i="2"/>
  <c r="M19" i="2"/>
  <c r="N19" i="2"/>
  <c r="O19" i="2"/>
  <c r="P19" i="2"/>
  <c r="I20" i="2"/>
  <c r="J20" i="2"/>
  <c r="K20" i="2"/>
  <c r="L20" i="2"/>
  <c r="M20" i="2"/>
  <c r="N20" i="2"/>
  <c r="O20" i="2"/>
  <c r="P20" i="2"/>
  <c r="I21" i="2"/>
  <c r="J21" i="2"/>
  <c r="K21" i="2"/>
  <c r="L21" i="2"/>
  <c r="M21" i="2"/>
  <c r="N21" i="2"/>
  <c r="O21" i="2"/>
  <c r="P21" i="2"/>
  <c r="I22" i="2"/>
  <c r="J22" i="2"/>
  <c r="K22" i="2"/>
  <c r="L22" i="2"/>
  <c r="M22" i="2"/>
  <c r="N22" i="2"/>
  <c r="O22" i="2"/>
  <c r="P22" i="2"/>
  <c r="I23" i="2"/>
  <c r="J23" i="2"/>
  <c r="K23" i="2"/>
  <c r="L23" i="2"/>
  <c r="M23" i="2"/>
  <c r="N23" i="2"/>
  <c r="O23" i="2"/>
  <c r="P23" i="2"/>
  <c r="I24" i="2"/>
  <c r="J24" i="2"/>
  <c r="K24" i="2"/>
  <c r="L24" i="2"/>
  <c r="M24" i="2"/>
  <c r="N24" i="2"/>
  <c r="O24" i="2"/>
  <c r="P24" i="2"/>
  <c r="I25" i="2"/>
  <c r="J25" i="2"/>
  <c r="K25" i="2"/>
  <c r="L25" i="2"/>
  <c r="M25" i="2"/>
  <c r="N25" i="2"/>
  <c r="O25" i="2"/>
  <c r="P25" i="2"/>
  <c r="I26" i="2"/>
  <c r="J26" i="2"/>
  <c r="K26" i="2"/>
  <c r="L26" i="2"/>
  <c r="M26" i="2"/>
  <c r="N26" i="2"/>
  <c r="O26" i="2"/>
  <c r="P26" i="2"/>
  <c r="I27" i="2"/>
  <c r="J27" i="2"/>
  <c r="K27" i="2"/>
  <c r="L27" i="2"/>
  <c r="M27" i="2"/>
  <c r="N27" i="2"/>
  <c r="O27" i="2"/>
  <c r="P27" i="2"/>
  <c r="I28" i="2"/>
  <c r="J28" i="2"/>
  <c r="K28" i="2"/>
  <c r="L28" i="2"/>
  <c r="M28" i="2"/>
  <c r="N28" i="2"/>
  <c r="O28" i="2"/>
  <c r="P28" i="2"/>
  <c r="I29" i="2"/>
  <c r="J29" i="2"/>
  <c r="K29" i="2"/>
  <c r="L29" i="2"/>
  <c r="M29" i="2"/>
  <c r="N29" i="2"/>
  <c r="O29" i="2"/>
  <c r="P29" i="2"/>
  <c r="I30" i="2"/>
  <c r="J30" i="2"/>
  <c r="K30" i="2"/>
  <c r="L30" i="2"/>
  <c r="M30" i="2"/>
  <c r="N30" i="2"/>
  <c r="O30" i="2"/>
  <c r="P30" i="2"/>
  <c r="I31" i="2"/>
  <c r="J31" i="2"/>
  <c r="K31" i="2"/>
  <c r="L31" i="2"/>
  <c r="M31" i="2"/>
  <c r="N31" i="2"/>
  <c r="O31" i="2"/>
  <c r="P31" i="2"/>
  <c r="I32" i="2"/>
  <c r="J32" i="2"/>
  <c r="K32" i="2"/>
  <c r="L32" i="2"/>
  <c r="M32" i="2"/>
  <c r="N32" i="2"/>
  <c r="O32" i="2"/>
  <c r="P32" i="2"/>
  <c r="I33" i="2"/>
  <c r="J33" i="2"/>
  <c r="K33" i="2"/>
  <c r="L33" i="2"/>
  <c r="M33" i="2"/>
  <c r="N33" i="2"/>
  <c r="O33" i="2"/>
  <c r="P33" i="2"/>
  <c r="I34" i="2"/>
  <c r="J34" i="2"/>
  <c r="K34" i="2"/>
  <c r="L34" i="2"/>
  <c r="M34" i="2"/>
  <c r="N34" i="2"/>
  <c r="O34" i="2"/>
  <c r="P34" i="2"/>
  <c r="I35" i="2"/>
  <c r="J35" i="2"/>
  <c r="K35" i="2"/>
  <c r="L35" i="2"/>
  <c r="M35" i="2"/>
  <c r="N35" i="2"/>
  <c r="O35" i="2"/>
  <c r="P35" i="2"/>
  <c r="I36" i="2"/>
  <c r="J36" i="2"/>
  <c r="K36" i="2"/>
  <c r="L36" i="2"/>
  <c r="M36" i="2"/>
  <c r="N36" i="2"/>
  <c r="O36" i="2"/>
  <c r="P36" i="2"/>
  <c r="I37" i="2"/>
  <c r="J37" i="2"/>
  <c r="K37" i="2"/>
  <c r="L37" i="2"/>
  <c r="M37" i="2"/>
  <c r="N37" i="2"/>
  <c r="O37" i="2"/>
  <c r="P37" i="2"/>
  <c r="I38" i="2"/>
  <c r="J38" i="2"/>
  <c r="K38" i="2"/>
  <c r="L38" i="2"/>
  <c r="M38" i="2"/>
  <c r="N38" i="2"/>
  <c r="O38" i="2"/>
  <c r="P38" i="2"/>
  <c r="I39" i="2"/>
  <c r="J39" i="2"/>
  <c r="K39" i="2"/>
  <c r="L39" i="2"/>
  <c r="M39" i="2"/>
  <c r="N39" i="2"/>
  <c r="O39" i="2"/>
  <c r="P39" i="2"/>
  <c r="I40" i="2"/>
  <c r="J40" i="2"/>
  <c r="K40" i="2"/>
  <c r="L40" i="2"/>
  <c r="M40" i="2"/>
  <c r="N40" i="2"/>
  <c r="O40" i="2"/>
  <c r="P40" i="2"/>
  <c r="I41" i="2"/>
  <c r="J41" i="2"/>
  <c r="K41" i="2"/>
  <c r="L41" i="2"/>
  <c r="M41" i="2"/>
  <c r="N41" i="2"/>
  <c r="O41" i="2"/>
  <c r="P41" i="2"/>
  <c r="I42" i="2"/>
  <c r="J42" i="2"/>
  <c r="K42" i="2"/>
  <c r="L42" i="2"/>
  <c r="M42" i="2"/>
  <c r="N42" i="2"/>
  <c r="O42" i="2"/>
  <c r="P42" i="2"/>
  <c r="I43" i="2"/>
  <c r="J43" i="2"/>
  <c r="K43" i="2"/>
  <c r="L43" i="2"/>
  <c r="M43" i="2"/>
  <c r="N43" i="2"/>
  <c r="O43" i="2"/>
  <c r="P43" i="2"/>
  <c r="I44" i="2"/>
  <c r="J44" i="2"/>
  <c r="K44" i="2"/>
  <c r="L44" i="2"/>
  <c r="M44" i="2"/>
  <c r="N44" i="2"/>
  <c r="O44" i="2"/>
  <c r="P44" i="2"/>
  <c r="I45" i="2"/>
  <c r="J45" i="2"/>
  <c r="K45" i="2"/>
  <c r="L45" i="2"/>
  <c r="M45" i="2"/>
  <c r="N45" i="2"/>
  <c r="O45" i="2"/>
  <c r="P45" i="2"/>
  <c r="I46" i="2"/>
  <c r="J46" i="2"/>
  <c r="K46" i="2"/>
  <c r="L46" i="2"/>
  <c r="M46" i="2"/>
  <c r="N46" i="2"/>
  <c r="O46" i="2"/>
  <c r="P46" i="2"/>
  <c r="I47" i="2"/>
  <c r="J47" i="2"/>
  <c r="K47" i="2"/>
  <c r="L47" i="2"/>
  <c r="M47" i="2"/>
  <c r="N47" i="2"/>
  <c r="O47" i="2"/>
  <c r="P47" i="2"/>
  <c r="I48" i="2"/>
  <c r="J48" i="2"/>
  <c r="K48" i="2"/>
  <c r="L48" i="2"/>
  <c r="M48" i="2"/>
  <c r="N48" i="2"/>
  <c r="O48" i="2"/>
  <c r="P48" i="2"/>
  <c r="I49" i="2"/>
  <c r="J49" i="2"/>
  <c r="K49" i="2"/>
  <c r="L49" i="2"/>
  <c r="M49" i="2"/>
  <c r="N49" i="2"/>
  <c r="O49" i="2"/>
  <c r="P49" i="2"/>
  <c r="I50" i="2"/>
  <c r="J50" i="2"/>
  <c r="K50" i="2"/>
  <c r="L50" i="2"/>
  <c r="M50" i="2"/>
  <c r="N50" i="2"/>
  <c r="O50" i="2"/>
  <c r="P50" i="2"/>
  <c r="I51" i="2"/>
  <c r="J51" i="2"/>
  <c r="K51" i="2"/>
  <c r="L51" i="2"/>
  <c r="M51" i="2"/>
  <c r="N51" i="2"/>
  <c r="O51" i="2"/>
  <c r="P51" i="2"/>
  <c r="I52" i="2"/>
  <c r="J52" i="2"/>
  <c r="K52" i="2"/>
  <c r="L52" i="2"/>
  <c r="M52" i="2"/>
  <c r="N52" i="2"/>
  <c r="O52" i="2"/>
  <c r="P52" i="2"/>
  <c r="I53" i="2"/>
  <c r="J53" i="2"/>
  <c r="K53" i="2"/>
  <c r="L53" i="2"/>
  <c r="M53" i="2"/>
  <c r="N53" i="2"/>
  <c r="O53" i="2"/>
  <c r="P53" i="2"/>
  <c r="I54" i="2"/>
  <c r="J54" i="2"/>
  <c r="K54" i="2"/>
  <c r="L54" i="2"/>
  <c r="M54" i="2"/>
  <c r="N54" i="2"/>
  <c r="O54" i="2"/>
  <c r="P54" i="2"/>
  <c r="I55" i="2"/>
  <c r="J55" i="2"/>
  <c r="K55" i="2"/>
  <c r="L55" i="2"/>
  <c r="M55" i="2"/>
  <c r="N55" i="2"/>
  <c r="O55" i="2"/>
  <c r="P55" i="2"/>
  <c r="I56" i="2"/>
  <c r="J56" i="2"/>
  <c r="K56" i="2"/>
  <c r="L56" i="2"/>
  <c r="M56" i="2"/>
  <c r="N56" i="2"/>
  <c r="O56" i="2"/>
  <c r="P56" i="2"/>
  <c r="I57" i="2"/>
  <c r="J57" i="2"/>
  <c r="K57" i="2"/>
  <c r="L57" i="2"/>
  <c r="M57" i="2"/>
  <c r="N57" i="2"/>
  <c r="O57" i="2"/>
  <c r="P57" i="2"/>
  <c r="I58" i="2"/>
  <c r="J58" i="2"/>
  <c r="K58" i="2"/>
  <c r="L58" i="2"/>
  <c r="M58" i="2"/>
  <c r="N58" i="2"/>
  <c r="O58" i="2"/>
  <c r="P58" i="2"/>
  <c r="I59" i="2"/>
  <c r="J59" i="2"/>
  <c r="K59" i="2"/>
  <c r="L59" i="2"/>
  <c r="M59" i="2"/>
  <c r="N59" i="2"/>
  <c r="O59" i="2"/>
  <c r="P59" i="2"/>
  <c r="I60" i="2"/>
  <c r="J60" i="2"/>
  <c r="K60" i="2"/>
  <c r="L60" i="2"/>
  <c r="M60" i="2"/>
  <c r="N60" i="2"/>
  <c r="O60" i="2"/>
  <c r="P60" i="2"/>
  <c r="I61" i="2"/>
  <c r="J61" i="2"/>
  <c r="K61" i="2"/>
  <c r="L61" i="2"/>
  <c r="M61" i="2"/>
  <c r="N61" i="2"/>
  <c r="O61" i="2"/>
  <c r="P61" i="2"/>
  <c r="I62" i="2"/>
  <c r="J62" i="2"/>
  <c r="K62" i="2"/>
  <c r="L62" i="2"/>
  <c r="M62" i="2"/>
  <c r="N62" i="2"/>
  <c r="O62" i="2"/>
  <c r="P62" i="2"/>
  <c r="I63" i="2"/>
  <c r="J63" i="2"/>
  <c r="K63" i="2"/>
  <c r="L63" i="2"/>
  <c r="M63" i="2"/>
  <c r="N63" i="2"/>
  <c r="O63" i="2"/>
  <c r="P63" i="2"/>
  <c r="I64" i="2"/>
  <c r="J64" i="2"/>
  <c r="K64" i="2"/>
  <c r="L64" i="2"/>
  <c r="M64" i="2"/>
  <c r="N64" i="2"/>
  <c r="O64" i="2"/>
  <c r="P64" i="2"/>
  <c r="I65" i="2"/>
  <c r="J65" i="2"/>
  <c r="K65" i="2"/>
  <c r="L65" i="2"/>
  <c r="M65" i="2"/>
  <c r="N65" i="2"/>
  <c r="O65" i="2"/>
  <c r="P65" i="2"/>
  <c r="I66" i="2"/>
  <c r="J66" i="2"/>
  <c r="K66" i="2"/>
  <c r="L66" i="2"/>
  <c r="M66" i="2"/>
  <c r="N66" i="2"/>
  <c r="O66" i="2"/>
  <c r="P66" i="2"/>
  <c r="I67" i="2"/>
  <c r="J67" i="2"/>
  <c r="K67" i="2"/>
  <c r="L67" i="2"/>
  <c r="M67" i="2"/>
  <c r="N67" i="2"/>
  <c r="O67" i="2"/>
  <c r="P67" i="2"/>
  <c r="I68" i="2"/>
  <c r="J68" i="2"/>
  <c r="K68" i="2"/>
  <c r="L68" i="2"/>
  <c r="M68" i="2"/>
  <c r="N68" i="2"/>
  <c r="O68" i="2"/>
  <c r="P68" i="2"/>
  <c r="I69" i="2"/>
  <c r="J69" i="2"/>
  <c r="K69" i="2"/>
  <c r="L69" i="2"/>
  <c r="M69" i="2"/>
  <c r="N69" i="2"/>
  <c r="O69" i="2"/>
  <c r="P69" i="2"/>
  <c r="I70" i="2"/>
  <c r="J70" i="2"/>
  <c r="K70" i="2"/>
  <c r="L70" i="2"/>
  <c r="M70" i="2"/>
  <c r="N70" i="2"/>
  <c r="O70" i="2"/>
  <c r="P70" i="2"/>
  <c r="I71" i="2"/>
  <c r="J71" i="2"/>
  <c r="K71" i="2"/>
  <c r="L71" i="2"/>
  <c r="M71" i="2"/>
  <c r="N71" i="2"/>
  <c r="O71" i="2"/>
  <c r="P71" i="2"/>
  <c r="I72" i="2"/>
  <c r="J72" i="2"/>
  <c r="K72" i="2"/>
  <c r="L72" i="2"/>
  <c r="M72" i="2"/>
  <c r="N72" i="2"/>
  <c r="O72" i="2"/>
  <c r="P72" i="2"/>
  <c r="I73" i="2"/>
  <c r="J73" i="2"/>
  <c r="K73" i="2"/>
  <c r="L73" i="2"/>
  <c r="M73" i="2"/>
  <c r="N73" i="2"/>
  <c r="O73" i="2"/>
  <c r="P73" i="2"/>
  <c r="I74" i="2"/>
  <c r="J74" i="2"/>
  <c r="K74" i="2"/>
  <c r="L74" i="2"/>
  <c r="M74" i="2"/>
  <c r="N74" i="2"/>
  <c r="O74" i="2"/>
  <c r="P74" i="2"/>
  <c r="I75" i="2"/>
  <c r="J75" i="2"/>
  <c r="K75" i="2"/>
  <c r="L75" i="2"/>
  <c r="M75" i="2"/>
  <c r="N75" i="2"/>
  <c r="O75" i="2"/>
  <c r="P75" i="2"/>
  <c r="I76" i="2"/>
  <c r="J76" i="2"/>
  <c r="K76" i="2"/>
  <c r="L76" i="2"/>
  <c r="M76" i="2"/>
  <c r="N76" i="2"/>
  <c r="O76" i="2"/>
  <c r="P76" i="2"/>
  <c r="I77" i="2"/>
  <c r="J77" i="2"/>
  <c r="K77" i="2"/>
  <c r="L77" i="2"/>
  <c r="M77" i="2"/>
  <c r="N77" i="2"/>
  <c r="O77" i="2"/>
  <c r="P77" i="2"/>
  <c r="I78" i="2"/>
  <c r="J78" i="2"/>
  <c r="K78" i="2"/>
  <c r="L78" i="2"/>
  <c r="M78" i="2"/>
  <c r="N78" i="2"/>
  <c r="O78" i="2"/>
  <c r="P78" i="2"/>
  <c r="I79" i="2"/>
  <c r="J79" i="2"/>
  <c r="K79" i="2"/>
  <c r="L79" i="2"/>
  <c r="M79" i="2"/>
  <c r="N79" i="2"/>
  <c r="O79" i="2"/>
  <c r="P79" i="2"/>
  <c r="I80" i="2"/>
  <c r="J80" i="2"/>
  <c r="K80" i="2"/>
  <c r="L80" i="2"/>
  <c r="M80" i="2"/>
  <c r="N80" i="2"/>
  <c r="O80" i="2"/>
  <c r="P80" i="2"/>
  <c r="I81" i="2"/>
  <c r="J81" i="2"/>
  <c r="K81" i="2"/>
  <c r="L81" i="2"/>
  <c r="M81" i="2"/>
  <c r="N81" i="2"/>
  <c r="O81" i="2"/>
  <c r="P81" i="2"/>
  <c r="I82" i="2"/>
  <c r="J82" i="2"/>
  <c r="K82" i="2"/>
  <c r="L82" i="2"/>
  <c r="M82" i="2"/>
  <c r="N82" i="2"/>
  <c r="O82" i="2"/>
  <c r="P82" i="2"/>
  <c r="I83" i="2"/>
  <c r="J83" i="2"/>
  <c r="K83" i="2"/>
  <c r="L83" i="2"/>
  <c r="M83" i="2"/>
  <c r="N83" i="2"/>
  <c r="O83" i="2"/>
  <c r="P83" i="2"/>
  <c r="I84" i="2"/>
  <c r="J84" i="2"/>
  <c r="K84" i="2"/>
  <c r="L84" i="2"/>
  <c r="M84" i="2"/>
  <c r="N84" i="2"/>
  <c r="O84" i="2"/>
  <c r="P84" i="2"/>
  <c r="I85" i="2"/>
  <c r="J85" i="2"/>
  <c r="K85" i="2"/>
  <c r="L85" i="2"/>
  <c r="M85" i="2"/>
  <c r="N85" i="2"/>
  <c r="O85" i="2"/>
  <c r="P85" i="2"/>
  <c r="I86" i="2"/>
  <c r="J86" i="2"/>
  <c r="K86" i="2"/>
  <c r="L86" i="2"/>
  <c r="M86" i="2"/>
  <c r="N86" i="2"/>
  <c r="O86" i="2"/>
  <c r="P86" i="2"/>
  <c r="I87" i="2"/>
  <c r="J87" i="2"/>
  <c r="K87" i="2"/>
  <c r="L87" i="2"/>
  <c r="M87" i="2"/>
  <c r="N87" i="2"/>
  <c r="O87" i="2"/>
  <c r="P87" i="2"/>
  <c r="I88" i="2"/>
  <c r="J88" i="2"/>
  <c r="K88" i="2"/>
  <c r="L88" i="2"/>
  <c r="M88" i="2"/>
  <c r="N88" i="2"/>
  <c r="O88" i="2"/>
  <c r="P88" i="2"/>
  <c r="I89" i="2"/>
  <c r="J89" i="2"/>
  <c r="K89" i="2"/>
  <c r="L89" i="2"/>
  <c r="M89" i="2"/>
  <c r="N89" i="2"/>
  <c r="O89" i="2"/>
  <c r="P89" i="2"/>
  <c r="I90" i="2"/>
  <c r="J90" i="2"/>
  <c r="K90" i="2"/>
  <c r="L90" i="2"/>
  <c r="M90" i="2"/>
  <c r="N90" i="2"/>
  <c r="O90" i="2"/>
  <c r="P90" i="2"/>
  <c r="I91" i="2"/>
  <c r="J91" i="2"/>
  <c r="K91" i="2"/>
  <c r="L91" i="2"/>
  <c r="M91" i="2"/>
  <c r="N91" i="2"/>
  <c r="O91" i="2"/>
  <c r="P91" i="2"/>
  <c r="I92" i="2"/>
  <c r="J92" i="2"/>
  <c r="K92" i="2"/>
  <c r="L92" i="2"/>
  <c r="M92" i="2"/>
  <c r="N92" i="2"/>
  <c r="O92" i="2"/>
  <c r="P92" i="2"/>
  <c r="I93" i="2"/>
  <c r="J93" i="2"/>
  <c r="K93" i="2"/>
  <c r="L93" i="2"/>
  <c r="M93" i="2"/>
  <c r="N93" i="2"/>
  <c r="O93" i="2"/>
  <c r="P93" i="2"/>
  <c r="I94" i="2"/>
  <c r="J94" i="2"/>
  <c r="K94" i="2"/>
  <c r="L94" i="2"/>
  <c r="M94" i="2"/>
  <c r="N94" i="2"/>
  <c r="O94" i="2"/>
  <c r="P94" i="2"/>
  <c r="I95" i="2"/>
  <c r="J95" i="2"/>
  <c r="K95" i="2"/>
  <c r="L95" i="2"/>
  <c r="M95" i="2"/>
  <c r="N95" i="2"/>
  <c r="O95" i="2"/>
  <c r="P95" i="2"/>
  <c r="I96" i="2"/>
  <c r="J96" i="2"/>
  <c r="K96" i="2"/>
  <c r="L96" i="2"/>
  <c r="M96" i="2"/>
  <c r="N96" i="2"/>
  <c r="O96" i="2"/>
  <c r="P96" i="2"/>
  <c r="I97" i="2"/>
  <c r="J97" i="2"/>
  <c r="K97" i="2"/>
  <c r="L97" i="2"/>
  <c r="M97" i="2"/>
  <c r="N97" i="2"/>
  <c r="O97" i="2"/>
  <c r="P97" i="2"/>
  <c r="I98" i="2"/>
  <c r="J98" i="2"/>
  <c r="K98" i="2"/>
  <c r="L98" i="2"/>
  <c r="M98" i="2"/>
  <c r="N98" i="2"/>
  <c r="O98" i="2"/>
  <c r="P98" i="2"/>
  <c r="I99" i="2"/>
  <c r="J99" i="2"/>
  <c r="K99" i="2"/>
  <c r="L99" i="2"/>
  <c r="M99" i="2"/>
  <c r="N99" i="2"/>
  <c r="O99" i="2"/>
  <c r="P99" i="2"/>
  <c r="I100" i="2"/>
  <c r="J100" i="2"/>
  <c r="K100" i="2"/>
  <c r="L100" i="2"/>
  <c r="M100" i="2"/>
  <c r="N100" i="2"/>
  <c r="O100" i="2"/>
  <c r="P100" i="2"/>
  <c r="I101" i="2"/>
  <c r="J101" i="2"/>
  <c r="K101" i="2"/>
  <c r="L101" i="2"/>
  <c r="M101" i="2"/>
  <c r="N101" i="2"/>
  <c r="O101" i="2"/>
  <c r="P101" i="2"/>
  <c r="I102" i="2"/>
  <c r="J102" i="2"/>
  <c r="K102" i="2"/>
  <c r="L102" i="2"/>
  <c r="M102" i="2"/>
  <c r="N102" i="2"/>
  <c r="O102" i="2"/>
  <c r="P102" i="2"/>
  <c r="I103" i="2"/>
  <c r="J103" i="2"/>
  <c r="K103" i="2"/>
  <c r="L103" i="2"/>
  <c r="M103" i="2"/>
  <c r="N103" i="2"/>
  <c r="O103" i="2"/>
  <c r="P103" i="2"/>
  <c r="I104" i="2"/>
  <c r="J104" i="2"/>
  <c r="K104" i="2"/>
  <c r="L104" i="2"/>
  <c r="M104" i="2"/>
  <c r="N104" i="2"/>
  <c r="O104" i="2"/>
  <c r="P104" i="2"/>
  <c r="I105" i="2"/>
  <c r="J105" i="2"/>
  <c r="K105" i="2"/>
  <c r="L105" i="2"/>
  <c r="M105" i="2"/>
  <c r="N105" i="2"/>
  <c r="O105" i="2"/>
  <c r="P105" i="2"/>
  <c r="I106" i="2"/>
  <c r="J106" i="2"/>
  <c r="K106" i="2"/>
  <c r="L106" i="2"/>
  <c r="M106" i="2"/>
  <c r="N106" i="2"/>
  <c r="O106" i="2"/>
  <c r="P106" i="2"/>
  <c r="I107" i="2"/>
  <c r="J107" i="2"/>
  <c r="K107" i="2"/>
  <c r="L107" i="2"/>
  <c r="M107" i="2"/>
  <c r="N107" i="2"/>
  <c r="O107" i="2"/>
  <c r="P107" i="2"/>
  <c r="I108" i="2"/>
  <c r="J108" i="2"/>
  <c r="K108" i="2"/>
  <c r="L108" i="2"/>
  <c r="M108" i="2"/>
  <c r="N108" i="2"/>
  <c r="O108" i="2"/>
  <c r="P108" i="2"/>
  <c r="I109" i="2"/>
  <c r="J109" i="2"/>
  <c r="K109" i="2"/>
  <c r="L109" i="2"/>
  <c r="M109" i="2"/>
  <c r="N109" i="2"/>
  <c r="O109" i="2"/>
  <c r="P109" i="2"/>
  <c r="I110" i="2"/>
  <c r="J110" i="2"/>
  <c r="K110" i="2"/>
  <c r="L110" i="2"/>
  <c r="M110" i="2"/>
  <c r="N110" i="2"/>
  <c r="O110" i="2"/>
  <c r="P110" i="2"/>
  <c r="I111" i="2"/>
  <c r="J111" i="2"/>
  <c r="K111" i="2"/>
  <c r="L111" i="2"/>
  <c r="M111" i="2"/>
  <c r="N111" i="2"/>
  <c r="O111" i="2"/>
  <c r="P111" i="2"/>
  <c r="I112" i="2"/>
  <c r="J112" i="2"/>
  <c r="K112" i="2"/>
  <c r="L112" i="2"/>
  <c r="M112" i="2"/>
  <c r="N112" i="2"/>
  <c r="O112" i="2"/>
  <c r="P112" i="2"/>
  <c r="I113" i="2"/>
  <c r="J113" i="2"/>
  <c r="K113" i="2"/>
  <c r="L113" i="2"/>
  <c r="M113" i="2"/>
  <c r="N113" i="2"/>
  <c r="O113" i="2"/>
  <c r="P113" i="2"/>
  <c r="I114" i="2"/>
  <c r="J114" i="2"/>
  <c r="K114" i="2"/>
  <c r="L114" i="2"/>
  <c r="M114" i="2"/>
  <c r="N114" i="2"/>
  <c r="O114" i="2"/>
  <c r="P114" i="2"/>
  <c r="I115" i="2"/>
  <c r="J115" i="2"/>
  <c r="K115" i="2"/>
  <c r="L115" i="2"/>
  <c r="M115" i="2"/>
  <c r="N115" i="2"/>
  <c r="O115" i="2"/>
  <c r="P115" i="2"/>
  <c r="I116" i="2"/>
  <c r="J116" i="2"/>
  <c r="K116" i="2"/>
  <c r="L116" i="2"/>
  <c r="M116" i="2"/>
  <c r="N116" i="2"/>
  <c r="O116" i="2"/>
  <c r="P116" i="2"/>
  <c r="I117" i="2"/>
  <c r="J117" i="2"/>
  <c r="K117" i="2"/>
  <c r="L117" i="2"/>
  <c r="M117" i="2"/>
  <c r="N117" i="2"/>
  <c r="O117" i="2"/>
  <c r="P117" i="2"/>
  <c r="I118" i="2"/>
  <c r="J118" i="2"/>
  <c r="K118" i="2"/>
  <c r="L118" i="2"/>
  <c r="M118" i="2"/>
  <c r="N118" i="2"/>
  <c r="O118" i="2"/>
  <c r="P118" i="2"/>
  <c r="I119" i="2"/>
  <c r="J119" i="2"/>
  <c r="K119" i="2"/>
  <c r="L119" i="2"/>
  <c r="M119" i="2"/>
  <c r="N119" i="2"/>
  <c r="O119" i="2"/>
  <c r="P119" i="2"/>
  <c r="I120" i="2"/>
  <c r="J120" i="2"/>
  <c r="K120" i="2"/>
  <c r="L120" i="2"/>
  <c r="M120" i="2"/>
  <c r="N120" i="2"/>
  <c r="O120" i="2"/>
  <c r="P120" i="2"/>
  <c r="I121" i="2"/>
  <c r="J121" i="2"/>
  <c r="K121" i="2"/>
  <c r="L121" i="2"/>
  <c r="M121" i="2"/>
  <c r="N121" i="2"/>
  <c r="O121" i="2"/>
  <c r="P121" i="2"/>
  <c r="I122" i="2"/>
  <c r="J122" i="2"/>
  <c r="K122" i="2"/>
  <c r="L122" i="2"/>
  <c r="M122" i="2"/>
  <c r="N122" i="2"/>
  <c r="O122" i="2"/>
  <c r="P122" i="2"/>
  <c r="I123" i="2"/>
  <c r="J123" i="2"/>
  <c r="K123" i="2"/>
  <c r="L123" i="2"/>
  <c r="M123" i="2"/>
  <c r="N123" i="2"/>
  <c r="O123" i="2"/>
  <c r="P123" i="2"/>
  <c r="I124" i="2"/>
  <c r="J124" i="2"/>
  <c r="K124" i="2"/>
  <c r="L124" i="2"/>
  <c r="M124" i="2"/>
  <c r="N124" i="2"/>
  <c r="O124" i="2"/>
  <c r="P124" i="2"/>
  <c r="I125" i="2"/>
  <c r="J125" i="2"/>
  <c r="K125" i="2"/>
  <c r="L125" i="2"/>
  <c r="M125" i="2"/>
  <c r="N125" i="2"/>
  <c r="O125" i="2"/>
  <c r="P125" i="2"/>
  <c r="I126" i="2"/>
  <c r="J126" i="2"/>
  <c r="K126" i="2"/>
  <c r="L126" i="2"/>
  <c r="M126" i="2"/>
  <c r="N126" i="2"/>
  <c r="O126" i="2"/>
  <c r="P126" i="2"/>
  <c r="I127" i="2"/>
  <c r="J127" i="2"/>
  <c r="K127" i="2"/>
  <c r="L127" i="2"/>
  <c r="M127" i="2"/>
  <c r="N127" i="2"/>
  <c r="O127" i="2"/>
  <c r="P127" i="2"/>
  <c r="I128" i="2"/>
  <c r="J128" i="2"/>
  <c r="K128" i="2"/>
  <c r="L128" i="2"/>
  <c r="M128" i="2"/>
  <c r="N128" i="2"/>
  <c r="O128" i="2"/>
  <c r="P128" i="2"/>
  <c r="I129" i="2"/>
  <c r="J129" i="2"/>
  <c r="K129" i="2"/>
  <c r="L129" i="2"/>
  <c r="M129" i="2"/>
  <c r="N129" i="2"/>
  <c r="O129" i="2"/>
  <c r="P129" i="2"/>
  <c r="I130" i="2"/>
  <c r="J130" i="2"/>
  <c r="K130" i="2"/>
  <c r="L130" i="2"/>
  <c r="M130" i="2"/>
  <c r="N130" i="2"/>
  <c r="O130" i="2"/>
  <c r="P130" i="2"/>
  <c r="I131" i="2"/>
  <c r="J131" i="2"/>
  <c r="K131" i="2"/>
  <c r="L131" i="2"/>
  <c r="M131" i="2"/>
  <c r="N131" i="2"/>
  <c r="O131" i="2"/>
  <c r="P131" i="2"/>
  <c r="I132" i="2"/>
  <c r="J132" i="2"/>
  <c r="K132" i="2"/>
  <c r="L132" i="2"/>
  <c r="M132" i="2"/>
  <c r="N132" i="2"/>
  <c r="O132" i="2"/>
  <c r="P132" i="2"/>
  <c r="I133" i="2"/>
  <c r="J133" i="2"/>
  <c r="K133" i="2"/>
  <c r="L133" i="2"/>
  <c r="M133" i="2"/>
  <c r="N133" i="2"/>
  <c r="O133" i="2"/>
  <c r="P133" i="2"/>
  <c r="I134" i="2"/>
  <c r="J134" i="2"/>
  <c r="K134" i="2"/>
  <c r="L134" i="2"/>
  <c r="M134" i="2"/>
  <c r="N134" i="2"/>
  <c r="O134" i="2"/>
  <c r="P134" i="2"/>
  <c r="I135" i="2"/>
  <c r="J135" i="2"/>
  <c r="K135" i="2"/>
  <c r="L135" i="2"/>
  <c r="M135" i="2"/>
  <c r="N135" i="2"/>
  <c r="O135" i="2"/>
  <c r="P135" i="2"/>
  <c r="I136" i="2"/>
  <c r="J136" i="2"/>
  <c r="K136" i="2"/>
  <c r="L136" i="2"/>
  <c r="M136" i="2"/>
  <c r="N136" i="2"/>
  <c r="O136" i="2"/>
  <c r="P136" i="2"/>
  <c r="I137" i="2"/>
  <c r="J137" i="2"/>
  <c r="K137" i="2"/>
  <c r="L137" i="2"/>
  <c r="M137" i="2"/>
  <c r="N137" i="2"/>
  <c r="O137" i="2"/>
  <c r="P137" i="2"/>
  <c r="I138" i="2"/>
  <c r="J138" i="2"/>
  <c r="K138" i="2"/>
  <c r="L138" i="2"/>
  <c r="M138" i="2"/>
  <c r="N138" i="2"/>
  <c r="O138" i="2"/>
  <c r="P138" i="2"/>
  <c r="I139" i="2"/>
  <c r="J139" i="2"/>
  <c r="K139" i="2"/>
  <c r="L139" i="2"/>
  <c r="M139" i="2"/>
  <c r="N139" i="2"/>
  <c r="O139" i="2"/>
  <c r="P139" i="2"/>
  <c r="I140" i="2"/>
  <c r="J140" i="2"/>
  <c r="K140" i="2"/>
  <c r="L140" i="2"/>
  <c r="M140" i="2"/>
  <c r="N140" i="2"/>
  <c r="O140" i="2"/>
  <c r="P140" i="2"/>
  <c r="I141" i="2"/>
  <c r="J141" i="2"/>
  <c r="K141" i="2"/>
  <c r="L141" i="2"/>
  <c r="M141" i="2"/>
  <c r="N141" i="2"/>
  <c r="O141" i="2"/>
  <c r="P141" i="2"/>
  <c r="I142" i="2"/>
  <c r="J142" i="2"/>
  <c r="K142" i="2"/>
  <c r="L142" i="2"/>
  <c r="M142" i="2"/>
  <c r="N142" i="2"/>
  <c r="O142" i="2"/>
  <c r="P142" i="2"/>
  <c r="I143" i="2"/>
  <c r="J143" i="2"/>
  <c r="K143" i="2"/>
  <c r="L143" i="2"/>
  <c r="M143" i="2"/>
  <c r="N143" i="2"/>
  <c r="O143" i="2"/>
  <c r="P143" i="2"/>
  <c r="I144" i="2"/>
  <c r="J144" i="2"/>
  <c r="K144" i="2"/>
  <c r="L144" i="2"/>
  <c r="M144" i="2"/>
  <c r="N144" i="2"/>
  <c r="O144" i="2"/>
  <c r="P144" i="2"/>
  <c r="I145" i="2"/>
  <c r="J145" i="2"/>
  <c r="K145" i="2"/>
  <c r="L145" i="2"/>
  <c r="M145" i="2"/>
  <c r="N145" i="2"/>
  <c r="O145" i="2"/>
  <c r="P145" i="2"/>
  <c r="I146" i="2"/>
  <c r="J146" i="2"/>
  <c r="K146" i="2"/>
  <c r="L146" i="2"/>
  <c r="M146" i="2"/>
  <c r="N146" i="2"/>
  <c r="O146" i="2"/>
  <c r="P146" i="2"/>
  <c r="I147" i="2"/>
  <c r="J147" i="2"/>
  <c r="K147" i="2"/>
  <c r="L147" i="2"/>
  <c r="M147" i="2"/>
  <c r="N147" i="2"/>
  <c r="O147" i="2"/>
  <c r="P147" i="2"/>
  <c r="I148" i="2"/>
  <c r="J148" i="2"/>
  <c r="K148" i="2"/>
  <c r="L148" i="2"/>
  <c r="M148" i="2"/>
  <c r="N148" i="2"/>
  <c r="O148" i="2"/>
  <c r="P148" i="2"/>
  <c r="I149" i="2"/>
  <c r="J149" i="2"/>
  <c r="K149" i="2"/>
  <c r="L149" i="2"/>
  <c r="M149" i="2"/>
  <c r="N149" i="2"/>
  <c r="O149" i="2"/>
  <c r="P149" i="2"/>
  <c r="I150" i="2"/>
  <c r="J150" i="2"/>
  <c r="K150" i="2"/>
  <c r="L150" i="2"/>
  <c r="M150" i="2"/>
  <c r="N150" i="2"/>
  <c r="O150" i="2"/>
  <c r="P150" i="2"/>
  <c r="I151" i="2"/>
  <c r="J151" i="2"/>
  <c r="K151" i="2"/>
  <c r="L151" i="2"/>
  <c r="M151" i="2"/>
  <c r="N151" i="2"/>
  <c r="O151" i="2"/>
  <c r="P151" i="2"/>
  <c r="I152" i="2"/>
  <c r="J152" i="2"/>
  <c r="K152" i="2"/>
  <c r="L152" i="2"/>
  <c r="M152" i="2"/>
  <c r="N152" i="2"/>
  <c r="O152" i="2"/>
  <c r="P152" i="2"/>
  <c r="I153" i="2"/>
  <c r="J153" i="2"/>
  <c r="K153" i="2"/>
  <c r="L153" i="2"/>
  <c r="M153" i="2"/>
  <c r="N153" i="2"/>
  <c r="O153" i="2"/>
  <c r="P153" i="2"/>
  <c r="I154" i="2"/>
  <c r="J154" i="2"/>
  <c r="K154" i="2"/>
  <c r="L154" i="2"/>
  <c r="M154" i="2"/>
  <c r="N154" i="2"/>
  <c r="O154" i="2"/>
  <c r="P154" i="2"/>
  <c r="I155" i="2"/>
  <c r="J155" i="2"/>
  <c r="K155" i="2"/>
  <c r="L155" i="2"/>
  <c r="M155" i="2"/>
  <c r="N155" i="2"/>
  <c r="O155" i="2"/>
  <c r="P155" i="2"/>
  <c r="I156" i="2"/>
  <c r="J156" i="2"/>
  <c r="K156" i="2"/>
  <c r="L156" i="2"/>
  <c r="M156" i="2"/>
  <c r="N156" i="2"/>
  <c r="O156" i="2"/>
  <c r="P156" i="2"/>
  <c r="I157" i="2"/>
  <c r="J157" i="2"/>
  <c r="K157" i="2"/>
  <c r="L157" i="2"/>
  <c r="M157" i="2"/>
  <c r="N157" i="2"/>
  <c r="O157" i="2"/>
  <c r="P157" i="2"/>
  <c r="I158" i="2"/>
  <c r="J158" i="2"/>
  <c r="K158" i="2"/>
  <c r="L158" i="2"/>
  <c r="M158" i="2"/>
  <c r="N158" i="2"/>
  <c r="O158" i="2"/>
  <c r="P158" i="2"/>
  <c r="I159" i="2"/>
  <c r="J159" i="2"/>
  <c r="K159" i="2"/>
  <c r="L159" i="2"/>
  <c r="M159" i="2"/>
  <c r="N159" i="2"/>
  <c r="O159" i="2"/>
  <c r="P159" i="2"/>
  <c r="I160" i="2"/>
  <c r="J160" i="2"/>
  <c r="K160" i="2"/>
  <c r="L160" i="2"/>
  <c r="M160" i="2"/>
  <c r="N160" i="2"/>
  <c r="O160" i="2"/>
  <c r="P160" i="2"/>
  <c r="I161" i="2"/>
  <c r="J161" i="2"/>
  <c r="K161" i="2"/>
  <c r="L161" i="2"/>
  <c r="M161" i="2"/>
  <c r="N161" i="2"/>
  <c r="O161" i="2"/>
  <c r="P161" i="2"/>
  <c r="I162" i="2"/>
  <c r="J162" i="2"/>
  <c r="K162" i="2"/>
  <c r="L162" i="2"/>
  <c r="M162" i="2"/>
  <c r="N162" i="2"/>
  <c r="O162" i="2"/>
  <c r="P162" i="2"/>
  <c r="I163" i="2"/>
  <c r="J163" i="2"/>
  <c r="K163" i="2"/>
  <c r="L163" i="2"/>
  <c r="M163" i="2"/>
  <c r="N163" i="2"/>
  <c r="O163" i="2"/>
  <c r="P163" i="2"/>
  <c r="I164" i="2"/>
  <c r="J164" i="2"/>
  <c r="K164" i="2"/>
  <c r="L164" i="2"/>
  <c r="M164" i="2"/>
  <c r="N164" i="2"/>
  <c r="O164" i="2"/>
  <c r="P164" i="2"/>
  <c r="I165" i="2"/>
  <c r="J165" i="2"/>
  <c r="K165" i="2"/>
  <c r="L165" i="2"/>
  <c r="M165" i="2"/>
  <c r="N165" i="2"/>
  <c r="O165" i="2"/>
  <c r="P165" i="2"/>
  <c r="I166" i="2"/>
  <c r="J166" i="2"/>
  <c r="K166" i="2"/>
  <c r="L166" i="2"/>
  <c r="M166" i="2"/>
  <c r="N166" i="2"/>
  <c r="O166" i="2"/>
  <c r="P166" i="2"/>
  <c r="I167" i="2"/>
  <c r="J167" i="2"/>
  <c r="K167" i="2"/>
  <c r="L167" i="2"/>
  <c r="M167" i="2"/>
  <c r="N167" i="2"/>
  <c r="O167" i="2"/>
  <c r="P167" i="2"/>
  <c r="I168" i="2"/>
  <c r="J168" i="2"/>
  <c r="K168" i="2"/>
  <c r="L168" i="2"/>
  <c r="M168" i="2"/>
  <c r="N168" i="2"/>
  <c r="O168" i="2"/>
  <c r="P168" i="2"/>
  <c r="I169" i="2"/>
  <c r="J169" i="2"/>
  <c r="K169" i="2"/>
  <c r="L169" i="2"/>
  <c r="M169" i="2"/>
  <c r="N169" i="2"/>
  <c r="O169" i="2"/>
  <c r="P169" i="2"/>
  <c r="I170" i="2"/>
  <c r="J170" i="2"/>
  <c r="K170" i="2"/>
  <c r="L170" i="2"/>
  <c r="M170" i="2"/>
  <c r="N170" i="2"/>
  <c r="O170" i="2"/>
  <c r="P170" i="2"/>
  <c r="I171" i="2"/>
  <c r="J171" i="2"/>
  <c r="K171" i="2"/>
  <c r="L171" i="2"/>
  <c r="M171" i="2"/>
  <c r="N171" i="2"/>
  <c r="O171" i="2"/>
  <c r="P171" i="2"/>
  <c r="I172" i="2"/>
  <c r="J172" i="2"/>
  <c r="K172" i="2"/>
  <c r="L172" i="2"/>
  <c r="M172" i="2"/>
  <c r="N172" i="2"/>
  <c r="O172" i="2"/>
  <c r="P172" i="2"/>
  <c r="I173" i="2"/>
  <c r="J173" i="2"/>
  <c r="K173" i="2"/>
  <c r="L173" i="2"/>
  <c r="M173" i="2"/>
  <c r="N173" i="2"/>
  <c r="O173" i="2"/>
  <c r="P173" i="2"/>
  <c r="I174" i="2"/>
  <c r="J174" i="2"/>
  <c r="K174" i="2"/>
  <c r="L174" i="2"/>
  <c r="M174" i="2"/>
  <c r="N174" i="2"/>
  <c r="O174" i="2"/>
  <c r="P174" i="2"/>
  <c r="I175" i="2"/>
  <c r="J175" i="2"/>
  <c r="K175" i="2"/>
  <c r="L175" i="2"/>
  <c r="M175" i="2"/>
  <c r="N175" i="2"/>
  <c r="O175" i="2"/>
  <c r="P175" i="2"/>
  <c r="I176" i="2"/>
  <c r="J176" i="2"/>
  <c r="K176" i="2"/>
  <c r="L176" i="2"/>
  <c r="M176" i="2"/>
  <c r="N176" i="2"/>
  <c r="O176" i="2"/>
  <c r="P176" i="2"/>
  <c r="I177" i="2"/>
  <c r="J177" i="2"/>
  <c r="K177" i="2"/>
  <c r="L177" i="2"/>
  <c r="M177" i="2"/>
  <c r="N177" i="2"/>
  <c r="O177" i="2"/>
  <c r="P177" i="2"/>
  <c r="I178" i="2"/>
  <c r="J178" i="2"/>
  <c r="K178" i="2"/>
  <c r="L178" i="2"/>
  <c r="M178" i="2"/>
  <c r="N178" i="2"/>
  <c r="O178" i="2"/>
  <c r="P178" i="2"/>
  <c r="I179" i="2"/>
  <c r="J179" i="2"/>
  <c r="K179" i="2"/>
  <c r="L179" i="2"/>
  <c r="M179" i="2"/>
  <c r="N179" i="2"/>
  <c r="O179" i="2"/>
  <c r="P179" i="2"/>
  <c r="I180" i="2"/>
  <c r="J180" i="2"/>
  <c r="K180" i="2"/>
  <c r="L180" i="2"/>
  <c r="M180" i="2"/>
  <c r="N180" i="2"/>
  <c r="O180" i="2"/>
  <c r="P180" i="2"/>
  <c r="I181" i="2"/>
  <c r="J181" i="2"/>
  <c r="K181" i="2"/>
  <c r="L181" i="2"/>
  <c r="M181" i="2"/>
  <c r="N181" i="2"/>
  <c r="O181" i="2"/>
  <c r="P181" i="2"/>
  <c r="I182" i="2"/>
  <c r="J182" i="2"/>
  <c r="K182" i="2"/>
  <c r="L182" i="2"/>
  <c r="M182" i="2"/>
  <c r="N182" i="2"/>
  <c r="O182" i="2"/>
  <c r="P182" i="2"/>
  <c r="I183" i="2"/>
  <c r="J183" i="2"/>
  <c r="K183" i="2"/>
  <c r="L183" i="2"/>
  <c r="M183" i="2"/>
  <c r="N183" i="2"/>
  <c r="O183" i="2"/>
  <c r="P183" i="2"/>
  <c r="I184" i="2"/>
  <c r="J184" i="2"/>
  <c r="K184" i="2"/>
  <c r="L184" i="2"/>
  <c r="M184" i="2"/>
  <c r="N184" i="2"/>
  <c r="O184" i="2"/>
  <c r="P184" i="2"/>
  <c r="I185" i="2"/>
  <c r="J185" i="2"/>
  <c r="K185" i="2"/>
  <c r="L185" i="2"/>
  <c r="M185" i="2"/>
  <c r="N185" i="2"/>
  <c r="O185" i="2"/>
  <c r="P185" i="2"/>
  <c r="I186" i="2"/>
  <c r="J186" i="2"/>
  <c r="K186" i="2"/>
  <c r="L186" i="2"/>
  <c r="M186" i="2"/>
  <c r="N186" i="2"/>
  <c r="O186" i="2"/>
  <c r="P186" i="2"/>
  <c r="I187" i="2"/>
  <c r="J187" i="2"/>
  <c r="K187" i="2"/>
  <c r="L187" i="2"/>
  <c r="M187" i="2"/>
  <c r="N187" i="2"/>
  <c r="O187" i="2"/>
  <c r="P187" i="2"/>
  <c r="I188" i="2"/>
  <c r="J188" i="2"/>
  <c r="K188" i="2"/>
  <c r="L188" i="2"/>
  <c r="M188" i="2"/>
  <c r="N188" i="2"/>
  <c r="O188" i="2"/>
  <c r="P188" i="2"/>
  <c r="I189" i="2"/>
  <c r="J189" i="2"/>
  <c r="K189" i="2"/>
  <c r="L189" i="2"/>
  <c r="M189" i="2"/>
  <c r="N189" i="2"/>
  <c r="O189" i="2"/>
  <c r="P189" i="2"/>
  <c r="I190" i="2"/>
  <c r="J190" i="2"/>
  <c r="K190" i="2"/>
  <c r="L190" i="2"/>
  <c r="M190" i="2"/>
  <c r="N190" i="2"/>
  <c r="O190" i="2"/>
  <c r="P190" i="2"/>
  <c r="I191" i="2"/>
  <c r="J191" i="2"/>
  <c r="K191" i="2"/>
  <c r="L191" i="2"/>
  <c r="M191" i="2"/>
  <c r="N191" i="2"/>
  <c r="O191" i="2"/>
  <c r="P191" i="2"/>
  <c r="I192" i="2"/>
  <c r="J192" i="2"/>
  <c r="K192" i="2"/>
  <c r="L192" i="2"/>
  <c r="M192" i="2"/>
  <c r="N192" i="2"/>
  <c r="O192" i="2"/>
  <c r="P192" i="2"/>
  <c r="I193" i="2"/>
  <c r="J193" i="2"/>
  <c r="K193" i="2"/>
  <c r="L193" i="2"/>
  <c r="M193" i="2"/>
  <c r="N193" i="2"/>
  <c r="O193" i="2"/>
  <c r="P193" i="2"/>
  <c r="I194" i="2"/>
  <c r="J194" i="2"/>
  <c r="K194" i="2"/>
  <c r="L194" i="2"/>
  <c r="M194" i="2"/>
  <c r="N194" i="2"/>
  <c r="O194" i="2"/>
  <c r="P194" i="2"/>
  <c r="I195" i="2"/>
  <c r="J195" i="2"/>
  <c r="K195" i="2"/>
  <c r="L195" i="2"/>
  <c r="M195" i="2"/>
  <c r="N195" i="2"/>
  <c r="O195" i="2"/>
  <c r="P195" i="2"/>
  <c r="I196" i="2"/>
  <c r="J196" i="2"/>
  <c r="K196" i="2"/>
  <c r="L196" i="2"/>
  <c r="M196" i="2"/>
  <c r="N196" i="2"/>
  <c r="O196" i="2"/>
  <c r="P196" i="2"/>
  <c r="I197" i="2"/>
  <c r="J197" i="2"/>
  <c r="K197" i="2"/>
  <c r="L197" i="2"/>
  <c r="M197" i="2"/>
  <c r="N197" i="2"/>
  <c r="O197" i="2"/>
  <c r="P197" i="2"/>
  <c r="I198" i="2"/>
  <c r="J198" i="2"/>
  <c r="K198" i="2"/>
  <c r="L198" i="2"/>
  <c r="M198" i="2"/>
  <c r="N198" i="2"/>
  <c r="O198" i="2"/>
  <c r="P198" i="2"/>
  <c r="I199" i="2"/>
  <c r="J199" i="2"/>
  <c r="K199" i="2"/>
  <c r="L199" i="2"/>
  <c r="M199" i="2"/>
  <c r="N199" i="2"/>
  <c r="O199" i="2"/>
  <c r="P199" i="2"/>
  <c r="I200" i="2"/>
  <c r="J200" i="2"/>
  <c r="K200" i="2"/>
  <c r="L200" i="2"/>
  <c r="M200" i="2"/>
  <c r="N200" i="2"/>
  <c r="O200" i="2"/>
  <c r="P200" i="2"/>
  <c r="I201" i="2"/>
  <c r="J201" i="2"/>
  <c r="K201" i="2"/>
  <c r="L201" i="2"/>
  <c r="M201" i="2"/>
  <c r="N201" i="2"/>
  <c r="O201" i="2"/>
  <c r="P201" i="2"/>
  <c r="I202" i="2"/>
  <c r="J202" i="2"/>
  <c r="K202" i="2"/>
  <c r="L202" i="2"/>
  <c r="M202" i="2"/>
  <c r="N202" i="2"/>
  <c r="O202" i="2"/>
  <c r="P202" i="2"/>
  <c r="I203" i="2"/>
  <c r="J203" i="2"/>
  <c r="K203" i="2"/>
  <c r="L203" i="2"/>
  <c r="M203" i="2"/>
  <c r="N203" i="2"/>
  <c r="O203" i="2"/>
  <c r="P203" i="2"/>
  <c r="I204" i="2"/>
  <c r="J204" i="2"/>
  <c r="K204" i="2"/>
  <c r="L204" i="2"/>
  <c r="M204" i="2"/>
  <c r="N204" i="2"/>
  <c r="O204" i="2"/>
  <c r="P204" i="2"/>
  <c r="I205" i="2"/>
  <c r="J205" i="2"/>
  <c r="K205" i="2"/>
  <c r="L205" i="2"/>
  <c r="M205" i="2"/>
  <c r="N205" i="2"/>
  <c r="O205" i="2"/>
  <c r="P205" i="2"/>
  <c r="I206" i="2"/>
  <c r="J206" i="2"/>
  <c r="K206" i="2"/>
  <c r="L206" i="2"/>
  <c r="M206" i="2"/>
  <c r="N206" i="2"/>
  <c r="O206" i="2"/>
  <c r="P206" i="2"/>
  <c r="I207" i="2"/>
  <c r="J207" i="2"/>
  <c r="K207" i="2"/>
  <c r="L207" i="2"/>
  <c r="M207" i="2"/>
  <c r="N207" i="2"/>
  <c r="O207" i="2"/>
  <c r="P207" i="2"/>
  <c r="I208" i="2"/>
  <c r="J208" i="2"/>
  <c r="K208" i="2"/>
  <c r="L208" i="2"/>
  <c r="M208" i="2"/>
  <c r="N208" i="2"/>
  <c r="O208" i="2"/>
  <c r="P208" i="2"/>
  <c r="I209" i="2"/>
  <c r="J209" i="2"/>
  <c r="K209" i="2"/>
  <c r="L209" i="2"/>
  <c r="M209" i="2"/>
  <c r="N209" i="2"/>
  <c r="O209" i="2"/>
  <c r="P209" i="2"/>
  <c r="I210" i="2"/>
  <c r="J210" i="2"/>
  <c r="K210" i="2"/>
  <c r="L210" i="2"/>
  <c r="M210" i="2"/>
  <c r="N210" i="2"/>
  <c r="O210" i="2"/>
  <c r="P210" i="2"/>
  <c r="I211" i="2"/>
  <c r="J211" i="2"/>
  <c r="K211" i="2"/>
  <c r="L211" i="2"/>
  <c r="M211" i="2"/>
  <c r="N211" i="2"/>
  <c r="O211" i="2"/>
  <c r="P211" i="2"/>
  <c r="I212" i="2"/>
  <c r="J212" i="2"/>
  <c r="K212" i="2"/>
  <c r="L212" i="2"/>
  <c r="M212" i="2"/>
  <c r="N212" i="2"/>
  <c r="O212" i="2"/>
  <c r="P212" i="2"/>
  <c r="I213" i="2"/>
  <c r="J213" i="2"/>
  <c r="K213" i="2"/>
  <c r="L213" i="2"/>
  <c r="M213" i="2"/>
  <c r="N213" i="2"/>
  <c r="O213" i="2"/>
  <c r="P213" i="2"/>
  <c r="I214" i="2"/>
  <c r="J214" i="2"/>
  <c r="K214" i="2"/>
  <c r="L214" i="2"/>
  <c r="M214" i="2"/>
  <c r="N214" i="2"/>
  <c r="O214" i="2"/>
  <c r="P214" i="2"/>
  <c r="I215" i="2"/>
  <c r="J215" i="2"/>
  <c r="K215" i="2"/>
  <c r="L215" i="2"/>
  <c r="M215" i="2"/>
  <c r="N215" i="2"/>
  <c r="O215" i="2"/>
  <c r="P215" i="2"/>
  <c r="I216" i="2"/>
  <c r="J216" i="2"/>
  <c r="K216" i="2"/>
  <c r="L216" i="2"/>
  <c r="M216" i="2"/>
  <c r="N216" i="2"/>
  <c r="O216" i="2"/>
  <c r="P216" i="2"/>
  <c r="I217" i="2"/>
  <c r="J217" i="2"/>
  <c r="K217" i="2"/>
  <c r="L217" i="2"/>
  <c r="M217" i="2"/>
  <c r="N217" i="2"/>
  <c r="O217" i="2"/>
  <c r="P217" i="2"/>
  <c r="I218" i="2"/>
  <c r="J218" i="2"/>
  <c r="K218" i="2"/>
  <c r="L218" i="2"/>
  <c r="M218" i="2"/>
  <c r="N218" i="2"/>
  <c r="O218" i="2"/>
  <c r="P218" i="2"/>
  <c r="I219" i="2"/>
  <c r="J219" i="2"/>
  <c r="K219" i="2"/>
  <c r="L219" i="2"/>
  <c r="M219" i="2"/>
  <c r="N219" i="2"/>
  <c r="O219" i="2"/>
  <c r="P219" i="2"/>
  <c r="I220" i="2"/>
  <c r="J220" i="2"/>
  <c r="K220" i="2"/>
  <c r="L220" i="2"/>
  <c r="M220" i="2"/>
  <c r="N220" i="2"/>
  <c r="O220" i="2"/>
  <c r="P220" i="2"/>
  <c r="I221" i="2"/>
  <c r="J221" i="2"/>
  <c r="K221" i="2"/>
  <c r="L221" i="2"/>
  <c r="M221" i="2"/>
  <c r="N221" i="2"/>
  <c r="O221" i="2"/>
  <c r="P221" i="2"/>
  <c r="I222" i="2"/>
  <c r="J222" i="2"/>
  <c r="K222" i="2"/>
  <c r="L222" i="2"/>
  <c r="M222" i="2"/>
  <c r="N222" i="2"/>
  <c r="O222" i="2"/>
  <c r="P222" i="2"/>
  <c r="I223" i="2"/>
  <c r="J223" i="2"/>
  <c r="K223" i="2"/>
  <c r="L223" i="2"/>
  <c r="M223" i="2"/>
  <c r="N223" i="2"/>
  <c r="O223" i="2"/>
  <c r="P223" i="2"/>
  <c r="I224" i="2"/>
  <c r="J224" i="2"/>
  <c r="K224" i="2"/>
  <c r="L224" i="2"/>
  <c r="M224" i="2"/>
  <c r="N224" i="2"/>
  <c r="O224" i="2"/>
  <c r="P224" i="2"/>
  <c r="I225" i="2"/>
  <c r="J225" i="2"/>
  <c r="K225" i="2"/>
  <c r="L225" i="2"/>
  <c r="M225" i="2"/>
  <c r="N225" i="2"/>
  <c r="O225" i="2"/>
  <c r="P225" i="2"/>
  <c r="I226" i="2"/>
  <c r="J226" i="2"/>
  <c r="K226" i="2"/>
  <c r="L226" i="2"/>
  <c r="M226" i="2"/>
  <c r="N226" i="2"/>
  <c r="O226" i="2"/>
  <c r="P226" i="2"/>
  <c r="I227" i="2"/>
  <c r="J227" i="2"/>
  <c r="K227" i="2"/>
  <c r="L227" i="2"/>
  <c r="M227" i="2"/>
  <c r="N227" i="2"/>
  <c r="O227" i="2"/>
  <c r="P227" i="2"/>
  <c r="I228" i="2"/>
  <c r="J228" i="2"/>
  <c r="K228" i="2"/>
  <c r="L228" i="2"/>
  <c r="M228" i="2"/>
  <c r="N228" i="2"/>
  <c r="O228" i="2"/>
  <c r="P228" i="2"/>
  <c r="I229" i="2"/>
  <c r="J229" i="2"/>
  <c r="K229" i="2"/>
  <c r="L229" i="2"/>
  <c r="M229" i="2"/>
  <c r="N229" i="2"/>
  <c r="O229" i="2"/>
  <c r="P229" i="2"/>
  <c r="I230" i="2"/>
  <c r="J230" i="2"/>
  <c r="K230" i="2"/>
  <c r="L230" i="2"/>
  <c r="M230" i="2"/>
  <c r="N230" i="2"/>
  <c r="O230" i="2"/>
  <c r="P230" i="2"/>
  <c r="I231" i="2"/>
  <c r="J231" i="2"/>
  <c r="K231" i="2"/>
  <c r="L231" i="2"/>
  <c r="M231" i="2"/>
  <c r="N231" i="2"/>
  <c r="O231" i="2"/>
  <c r="P231" i="2"/>
  <c r="I232" i="2"/>
  <c r="J232" i="2"/>
  <c r="K232" i="2"/>
  <c r="L232" i="2"/>
  <c r="M232" i="2"/>
  <c r="N232" i="2"/>
  <c r="O232" i="2"/>
  <c r="P232" i="2"/>
  <c r="I233" i="2"/>
  <c r="J233" i="2"/>
  <c r="K233" i="2"/>
  <c r="L233" i="2"/>
  <c r="M233" i="2"/>
  <c r="N233" i="2"/>
  <c r="O233" i="2"/>
  <c r="P233" i="2"/>
  <c r="Q268" i="2"/>
  <c r="P268" i="2"/>
  <c r="O268" i="2"/>
  <c r="N268" i="2"/>
  <c r="M268" i="2"/>
  <c r="L268" i="2"/>
  <c r="K268" i="2"/>
  <c r="J268" i="2"/>
  <c r="I268" i="2"/>
  <c r="Q267" i="2"/>
  <c r="P267" i="2"/>
  <c r="O267" i="2"/>
  <c r="N267" i="2"/>
  <c r="M267" i="2"/>
  <c r="L267" i="2"/>
  <c r="K267" i="2"/>
  <c r="J267" i="2"/>
  <c r="I267" i="2"/>
  <c r="Q266" i="2"/>
  <c r="P266" i="2"/>
  <c r="O266" i="2"/>
  <c r="N266" i="2"/>
  <c r="M266" i="2"/>
  <c r="L266" i="2"/>
  <c r="K266" i="2"/>
  <c r="J266" i="2"/>
  <c r="I266" i="2"/>
  <c r="Q265" i="2"/>
  <c r="P265" i="2"/>
  <c r="O265" i="2"/>
  <c r="N265" i="2"/>
  <c r="M265" i="2"/>
  <c r="L265" i="2"/>
  <c r="K265" i="2"/>
  <c r="J265" i="2"/>
  <c r="I265" i="2"/>
  <c r="Q264" i="2"/>
  <c r="P264" i="2"/>
  <c r="O264" i="2"/>
  <c r="N264" i="2"/>
  <c r="M264" i="2"/>
  <c r="L264" i="2"/>
  <c r="K264" i="2"/>
  <c r="J264" i="2"/>
  <c r="I264" i="2"/>
  <c r="Q263" i="2"/>
  <c r="P263" i="2"/>
  <c r="O263" i="2"/>
  <c r="N263" i="2"/>
  <c r="M263" i="2"/>
  <c r="L263" i="2"/>
  <c r="K263" i="2"/>
  <c r="J263" i="2"/>
  <c r="I263" i="2"/>
  <c r="Q262" i="2"/>
  <c r="P262" i="2"/>
  <c r="O262" i="2"/>
  <c r="N262" i="2"/>
  <c r="M262" i="2"/>
  <c r="L262" i="2"/>
  <c r="K262" i="2"/>
  <c r="J262" i="2"/>
  <c r="I262" i="2"/>
  <c r="Q261" i="2"/>
  <c r="P261" i="2"/>
  <c r="O261" i="2"/>
  <c r="N261" i="2"/>
  <c r="M261" i="2"/>
  <c r="L261" i="2"/>
  <c r="K261" i="2"/>
  <c r="J261" i="2"/>
  <c r="I261" i="2"/>
  <c r="Q260" i="2"/>
  <c r="P260" i="2"/>
  <c r="O260" i="2"/>
  <c r="N260" i="2"/>
  <c r="M260" i="2"/>
  <c r="L260" i="2"/>
  <c r="K260" i="2"/>
  <c r="J260" i="2"/>
  <c r="I260" i="2"/>
  <c r="Q259" i="2"/>
  <c r="P259" i="2"/>
  <c r="O259" i="2"/>
  <c r="N259" i="2"/>
  <c r="M259" i="2"/>
  <c r="L259" i="2"/>
  <c r="K259" i="2"/>
  <c r="J259" i="2"/>
  <c r="I259" i="2"/>
  <c r="Q258" i="2"/>
  <c r="P258" i="2"/>
  <c r="O258" i="2"/>
  <c r="N258" i="2"/>
  <c r="M258" i="2"/>
  <c r="L258" i="2"/>
  <c r="K258" i="2"/>
  <c r="J258" i="2"/>
  <c r="I258" i="2"/>
  <c r="Q257" i="2"/>
  <c r="P257" i="2"/>
  <c r="O257" i="2"/>
  <c r="N257" i="2"/>
  <c r="M257" i="2"/>
  <c r="L257" i="2"/>
  <c r="K257" i="2"/>
  <c r="J257" i="2"/>
  <c r="I257" i="2"/>
  <c r="Q256" i="2"/>
  <c r="P256" i="2"/>
  <c r="O256" i="2"/>
  <c r="N256" i="2"/>
  <c r="M256" i="2"/>
  <c r="L256" i="2"/>
  <c r="K256" i="2"/>
  <c r="J256" i="2"/>
  <c r="I256" i="2"/>
  <c r="Q255" i="2"/>
  <c r="P255" i="2"/>
  <c r="O255" i="2"/>
  <c r="N255" i="2"/>
  <c r="M255" i="2"/>
  <c r="L255" i="2"/>
  <c r="K255" i="2"/>
  <c r="J255" i="2"/>
  <c r="I255" i="2"/>
  <c r="Q254" i="2"/>
  <c r="P254" i="2"/>
  <c r="O254" i="2"/>
  <c r="N254" i="2"/>
  <c r="M254" i="2"/>
  <c r="L254" i="2"/>
  <c r="K254" i="2"/>
  <c r="J254" i="2"/>
  <c r="I254" i="2"/>
  <c r="Q253" i="2"/>
  <c r="P253" i="2"/>
  <c r="O253" i="2"/>
  <c r="N253" i="2"/>
  <c r="M253" i="2"/>
  <c r="L253" i="2"/>
  <c r="K253" i="2"/>
  <c r="J253" i="2"/>
  <c r="I253" i="2"/>
  <c r="Q252" i="2"/>
  <c r="P252" i="2"/>
  <c r="O252" i="2"/>
  <c r="N252" i="2"/>
  <c r="M252" i="2"/>
  <c r="L252" i="2"/>
  <c r="K252" i="2"/>
  <c r="J252" i="2"/>
  <c r="I252" i="2"/>
  <c r="Q251" i="2"/>
  <c r="P251" i="2"/>
  <c r="O251" i="2"/>
  <c r="N251" i="2"/>
  <c r="M251" i="2"/>
  <c r="L251" i="2"/>
  <c r="K251" i="2"/>
  <c r="J251" i="2"/>
  <c r="I251" i="2"/>
  <c r="Q250" i="2"/>
  <c r="P250" i="2"/>
  <c r="O250" i="2"/>
  <c r="N250" i="2"/>
  <c r="M250" i="2"/>
  <c r="L250" i="2"/>
  <c r="K250" i="2"/>
  <c r="J250" i="2"/>
  <c r="I250" i="2"/>
  <c r="Q249" i="2"/>
  <c r="P249" i="2"/>
  <c r="O249" i="2"/>
  <c r="N249" i="2"/>
  <c r="M249" i="2"/>
  <c r="L249" i="2"/>
  <c r="K249" i="2"/>
  <c r="J249" i="2"/>
  <c r="I249" i="2"/>
  <c r="Q248" i="2"/>
  <c r="P248" i="2"/>
  <c r="O248" i="2"/>
  <c r="N248" i="2"/>
  <c r="M248" i="2"/>
  <c r="L248" i="2"/>
  <c r="K248" i="2"/>
  <c r="J248" i="2"/>
  <c r="I248" i="2"/>
  <c r="Q247" i="2"/>
  <c r="P247" i="2"/>
  <c r="O247" i="2"/>
  <c r="N247" i="2"/>
  <c r="M247" i="2"/>
  <c r="L247" i="2"/>
  <c r="K247" i="2"/>
  <c r="J247" i="2"/>
  <c r="I247" i="2"/>
  <c r="Q246" i="2"/>
  <c r="P246" i="2"/>
  <c r="O246" i="2"/>
  <c r="N246" i="2"/>
  <c r="M246" i="2"/>
  <c r="L246" i="2"/>
  <c r="K246" i="2"/>
  <c r="J246" i="2"/>
  <c r="I246" i="2"/>
  <c r="Q245" i="2"/>
  <c r="P245" i="2"/>
  <c r="O245" i="2"/>
  <c r="N245" i="2"/>
  <c r="M245" i="2"/>
  <c r="L245" i="2"/>
  <c r="K245" i="2"/>
  <c r="J245" i="2"/>
  <c r="I245" i="2"/>
  <c r="Q244" i="2"/>
  <c r="P244" i="2"/>
  <c r="O244" i="2"/>
  <c r="N244" i="2"/>
  <c r="M244" i="2"/>
  <c r="L244" i="2"/>
  <c r="K244" i="2"/>
  <c r="J244" i="2"/>
  <c r="I244" i="2"/>
  <c r="Q243" i="2"/>
  <c r="P243" i="2"/>
  <c r="O243" i="2"/>
  <c r="N243" i="2"/>
  <c r="M243" i="2"/>
  <c r="L243" i="2"/>
  <c r="K243" i="2"/>
  <c r="J243" i="2"/>
  <c r="I243" i="2"/>
  <c r="Q242" i="2"/>
  <c r="P242" i="2"/>
  <c r="O242" i="2"/>
  <c r="N242" i="2"/>
  <c r="M242" i="2"/>
  <c r="L242" i="2"/>
  <c r="K242" i="2"/>
  <c r="J242" i="2"/>
  <c r="I242" i="2"/>
  <c r="Q241" i="2"/>
  <c r="P241" i="2"/>
  <c r="O241" i="2"/>
  <c r="N241" i="2"/>
  <c r="M241" i="2"/>
  <c r="L241" i="2"/>
  <c r="K241" i="2"/>
  <c r="J241" i="2"/>
  <c r="I241" i="2"/>
  <c r="Q240" i="2"/>
  <c r="P240" i="2"/>
  <c r="O240" i="2"/>
  <c r="N240" i="2"/>
  <c r="M240" i="2"/>
  <c r="L240" i="2"/>
  <c r="K240" i="2"/>
  <c r="J240" i="2"/>
  <c r="I240" i="2"/>
  <c r="Q239" i="2"/>
  <c r="P239" i="2"/>
  <c r="O239" i="2"/>
  <c r="N239" i="2"/>
  <c r="M239" i="2"/>
  <c r="L239" i="2"/>
  <c r="K239" i="2"/>
  <c r="J239" i="2"/>
  <c r="I239" i="2"/>
  <c r="Q238" i="2"/>
  <c r="P238" i="2"/>
  <c r="O238" i="2"/>
  <c r="N238" i="2"/>
  <c r="M238" i="2"/>
  <c r="L238" i="2"/>
  <c r="K238" i="2"/>
  <c r="J238" i="2"/>
  <c r="I238" i="2"/>
  <c r="Q237" i="2"/>
  <c r="P237" i="2"/>
  <c r="O237" i="2"/>
  <c r="N237" i="2"/>
  <c r="M237" i="2"/>
  <c r="L237" i="2"/>
  <c r="K237" i="2"/>
  <c r="J237" i="2"/>
  <c r="I237" i="2"/>
  <c r="Q236" i="2"/>
  <c r="P236" i="2"/>
  <c r="O236" i="2"/>
  <c r="N236" i="2"/>
  <c r="M236" i="2"/>
  <c r="L236" i="2"/>
  <c r="K236" i="2"/>
  <c r="J236" i="2"/>
  <c r="I236" i="2"/>
  <c r="Q235" i="2"/>
  <c r="P235" i="2"/>
  <c r="O235" i="2"/>
  <c r="N235" i="2"/>
  <c r="M235" i="2"/>
  <c r="L235" i="2"/>
  <c r="K235" i="2"/>
  <c r="J235" i="2"/>
  <c r="I235" i="2"/>
  <c r="Q234" i="2"/>
  <c r="P234" i="2"/>
  <c r="O234" i="2"/>
  <c r="N234" i="2"/>
  <c r="M234" i="2"/>
  <c r="L234" i="2"/>
  <c r="K234" i="2"/>
  <c r="J234" i="2"/>
  <c r="I234" i="2"/>
  <c r="P4" i="2"/>
  <c r="O4" i="2"/>
  <c r="N4" i="2"/>
  <c r="M4" i="2"/>
  <c r="L4" i="2"/>
  <c r="K4" i="2"/>
  <c r="J4" i="2"/>
  <c r="I4" i="2"/>
  <c r="I5" i="7"/>
  <c r="J5" i="7"/>
  <c r="K5" i="7"/>
  <c r="L5" i="7"/>
  <c r="M5" i="7"/>
  <c r="N5" i="7"/>
  <c r="O5" i="7"/>
  <c r="P5" i="7"/>
  <c r="Q5" i="7"/>
  <c r="I6" i="7"/>
  <c r="J6" i="7"/>
  <c r="K6" i="7"/>
  <c r="L6" i="7"/>
  <c r="M6" i="7"/>
  <c r="N6" i="7"/>
  <c r="O6" i="7"/>
  <c r="P6" i="7"/>
  <c r="Q6" i="7"/>
  <c r="I7" i="7"/>
  <c r="J7" i="7"/>
  <c r="K7" i="7"/>
  <c r="L7" i="7"/>
  <c r="M7" i="7"/>
  <c r="N7" i="7"/>
  <c r="O7" i="7"/>
  <c r="P7" i="7"/>
  <c r="Q7" i="7"/>
  <c r="I8" i="7"/>
  <c r="J8" i="7"/>
  <c r="K8" i="7"/>
  <c r="L8" i="7"/>
  <c r="M8" i="7"/>
  <c r="N8" i="7"/>
  <c r="O8" i="7"/>
  <c r="P8" i="7"/>
  <c r="Q8" i="7"/>
  <c r="I9" i="7"/>
  <c r="J9" i="7"/>
  <c r="K9" i="7"/>
  <c r="L9" i="7"/>
  <c r="M9" i="7"/>
  <c r="N9" i="7"/>
  <c r="O9" i="7"/>
  <c r="P9" i="7"/>
  <c r="Q9" i="7"/>
  <c r="I10" i="7"/>
  <c r="J10" i="7"/>
  <c r="K10" i="7"/>
  <c r="L10" i="7"/>
  <c r="M10" i="7"/>
  <c r="N10" i="7"/>
  <c r="O10" i="7"/>
  <c r="P10" i="7"/>
  <c r="Q10" i="7"/>
  <c r="I11" i="7"/>
  <c r="J11" i="7"/>
  <c r="K11" i="7"/>
  <c r="L11" i="7"/>
  <c r="M11" i="7"/>
  <c r="N11" i="7"/>
  <c r="O11" i="7"/>
  <c r="P11" i="7"/>
  <c r="Q11" i="7"/>
  <c r="I12" i="7"/>
  <c r="J12" i="7"/>
  <c r="K12" i="7"/>
  <c r="L12" i="7"/>
  <c r="M12" i="7"/>
  <c r="N12" i="7"/>
  <c r="O12" i="7"/>
  <c r="P12" i="7"/>
  <c r="Q12" i="7"/>
  <c r="I13" i="7"/>
  <c r="J13" i="7"/>
  <c r="K13" i="7"/>
  <c r="L13" i="7"/>
  <c r="M13" i="7"/>
  <c r="N13" i="7"/>
  <c r="O13" i="7"/>
  <c r="P13" i="7"/>
  <c r="Q13" i="7"/>
  <c r="I14" i="7"/>
  <c r="J14" i="7"/>
  <c r="K14" i="7"/>
  <c r="L14" i="7"/>
  <c r="M14" i="7"/>
  <c r="N14" i="7"/>
  <c r="O14" i="7"/>
  <c r="P14" i="7"/>
  <c r="Q14" i="7"/>
  <c r="I15" i="7"/>
  <c r="J15" i="7"/>
  <c r="K15" i="7"/>
  <c r="L15" i="7"/>
  <c r="M15" i="7"/>
  <c r="N15" i="7"/>
  <c r="O15" i="7"/>
  <c r="P15" i="7"/>
  <c r="Q15" i="7"/>
  <c r="I16" i="7"/>
  <c r="J16" i="7"/>
  <c r="K16" i="7"/>
  <c r="L16" i="7"/>
  <c r="M16" i="7"/>
  <c r="N16" i="7"/>
  <c r="O16" i="7"/>
  <c r="P16" i="7"/>
  <c r="Q16" i="7"/>
  <c r="I17" i="7"/>
  <c r="J17" i="7"/>
  <c r="K17" i="7"/>
  <c r="L17" i="7"/>
  <c r="M17" i="7"/>
  <c r="N17" i="7"/>
  <c r="O17" i="7"/>
  <c r="P17" i="7"/>
  <c r="Q17" i="7"/>
  <c r="I18" i="7"/>
  <c r="J18" i="7"/>
  <c r="K18" i="7"/>
  <c r="L18" i="7"/>
  <c r="M18" i="7"/>
  <c r="N18" i="7"/>
  <c r="O18" i="7"/>
  <c r="P18" i="7"/>
  <c r="Q18" i="7"/>
  <c r="I19" i="7"/>
  <c r="J19" i="7"/>
  <c r="K19" i="7"/>
  <c r="L19" i="7"/>
  <c r="M19" i="7"/>
  <c r="N19" i="7"/>
  <c r="O19" i="7"/>
  <c r="P19" i="7"/>
  <c r="Q19" i="7"/>
  <c r="I20" i="7"/>
  <c r="J20" i="7"/>
  <c r="K20" i="7"/>
  <c r="L20" i="7"/>
  <c r="M20" i="7"/>
  <c r="N20" i="7"/>
  <c r="O20" i="7"/>
  <c r="P20" i="7"/>
  <c r="Q20" i="7"/>
  <c r="I21" i="7"/>
  <c r="J21" i="7"/>
  <c r="K21" i="7"/>
  <c r="L21" i="7"/>
  <c r="M21" i="7"/>
  <c r="N21" i="7"/>
  <c r="O21" i="7"/>
  <c r="P21" i="7"/>
  <c r="Q21" i="7"/>
  <c r="I22" i="7"/>
  <c r="J22" i="7"/>
  <c r="K22" i="7"/>
  <c r="L22" i="7"/>
  <c r="M22" i="7"/>
  <c r="N22" i="7"/>
  <c r="O22" i="7"/>
  <c r="P22" i="7"/>
  <c r="Q22" i="7"/>
  <c r="I23" i="7"/>
  <c r="J23" i="7"/>
  <c r="K23" i="7"/>
  <c r="L23" i="7"/>
  <c r="M23" i="7"/>
  <c r="N23" i="7"/>
  <c r="O23" i="7"/>
  <c r="P23" i="7"/>
  <c r="Q23" i="7"/>
  <c r="I24" i="7"/>
  <c r="J24" i="7"/>
  <c r="K24" i="7"/>
  <c r="L24" i="7"/>
  <c r="M24" i="7"/>
  <c r="N24" i="7"/>
  <c r="O24" i="7"/>
  <c r="P24" i="7"/>
  <c r="Q24" i="7"/>
  <c r="I25" i="7"/>
  <c r="J25" i="7"/>
  <c r="K25" i="7"/>
  <c r="L25" i="7"/>
  <c r="M25" i="7"/>
  <c r="N25" i="7"/>
  <c r="O25" i="7"/>
  <c r="P25" i="7"/>
  <c r="Q25" i="7"/>
  <c r="I26" i="7"/>
  <c r="J26" i="7"/>
  <c r="K26" i="7"/>
  <c r="L26" i="7"/>
  <c r="M26" i="7"/>
  <c r="N26" i="7"/>
  <c r="O26" i="7"/>
  <c r="P26" i="7"/>
  <c r="Q26" i="7"/>
  <c r="I27" i="7"/>
  <c r="J27" i="7"/>
  <c r="K27" i="7"/>
  <c r="L27" i="7"/>
  <c r="M27" i="7"/>
  <c r="N27" i="7"/>
  <c r="O27" i="7"/>
  <c r="P27" i="7"/>
  <c r="Q27" i="7"/>
  <c r="I28" i="7"/>
  <c r="J28" i="7"/>
  <c r="K28" i="7"/>
  <c r="L28" i="7"/>
  <c r="M28" i="7"/>
  <c r="N28" i="7"/>
  <c r="O28" i="7"/>
  <c r="P28" i="7"/>
  <c r="Q28" i="7"/>
  <c r="I29" i="7"/>
  <c r="J29" i="7"/>
  <c r="K29" i="7"/>
  <c r="L29" i="7"/>
  <c r="M29" i="7"/>
  <c r="N29" i="7"/>
  <c r="O29" i="7"/>
  <c r="P29" i="7"/>
  <c r="Q29" i="7"/>
  <c r="I30" i="7"/>
  <c r="J30" i="7"/>
  <c r="K30" i="7"/>
  <c r="L30" i="7"/>
  <c r="M30" i="7"/>
  <c r="N30" i="7"/>
  <c r="O30" i="7"/>
  <c r="P30" i="7"/>
  <c r="Q30" i="7"/>
  <c r="I31" i="7"/>
  <c r="J31" i="7"/>
  <c r="K31" i="7"/>
  <c r="L31" i="7"/>
  <c r="M31" i="7"/>
  <c r="N31" i="7"/>
  <c r="O31" i="7"/>
  <c r="P31" i="7"/>
  <c r="Q31" i="7"/>
  <c r="I32" i="7"/>
  <c r="J32" i="7"/>
  <c r="K32" i="7"/>
  <c r="L32" i="7"/>
  <c r="M32" i="7"/>
  <c r="N32" i="7"/>
  <c r="O32" i="7"/>
  <c r="P32" i="7"/>
  <c r="Q32" i="7"/>
  <c r="I33" i="7"/>
  <c r="J33" i="7"/>
  <c r="K33" i="7"/>
  <c r="L33" i="7"/>
  <c r="M33" i="7"/>
  <c r="N33" i="7"/>
  <c r="O33" i="7"/>
  <c r="P33" i="7"/>
  <c r="Q33" i="7"/>
  <c r="I34" i="7"/>
  <c r="J34" i="7"/>
  <c r="K34" i="7"/>
  <c r="L34" i="7"/>
  <c r="M34" i="7"/>
  <c r="N34" i="7"/>
  <c r="O34" i="7"/>
  <c r="P34" i="7"/>
  <c r="Q34" i="7"/>
  <c r="I35" i="7"/>
  <c r="J35" i="7"/>
  <c r="K35" i="7"/>
  <c r="L35" i="7"/>
  <c r="M35" i="7"/>
  <c r="N35" i="7"/>
  <c r="O35" i="7"/>
  <c r="P35" i="7"/>
  <c r="Q35" i="7"/>
  <c r="I36" i="7"/>
  <c r="J36" i="7"/>
  <c r="K36" i="7"/>
  <c r="L36" i="7"/>
  <c r="M36" i="7"/>
  <c r="N36" i="7"/>
  <c r="O36" i="7"/>
  <c r="P36" i="7"/>
  <c r="Q36" i="7"/>
  <c r="I37" i="7"/>
  <c r="J37" i="7"/>
  <c r="K37" i="7"/>
  <c r="L37" i="7"/>
  <c r="M37" i="7"/>
  <c r="N37" i="7"/>
  <c r="O37" i="7"/>
  <c r="P37" i="7"/>
  <c r="Q37" i="7"/>
  <c r="I38" i="7"/>
  <c r="J38" i="7"/>
  <c r="K38" i="7"/>
  <c r="L38" i="7"/>
  <c r="M38" i="7"/>
  <c r="N38" i="7"/>
  <c r="O38" i="7"/>
  <c r="P38" i="7"/>
  <c r="Q38" i="7"/>
  <c r="I39" i="7"/>
  <c r="J39" i="7"/>
  <c r="K39" i="7"/>
  <c r="L39" i="7"/>
  <c r="M39" i="7"/>
  <c r="N39" i="7"/>
  <c r="O39" i="7"/>
  <c r="P39" i="7"/>
  <c r="Q39" i="7"/>
  <c r="I40" i="7"/>
  <c r="J40" i="7"/>
  <c r="K40" i="7"/>
  <c r="L40" i="7"/>
  <c r="M40" i="7"/>
  <c r="N40" i="7"/>
  <c r="O40" i="7"/>
  <c r="P40" i="7"/>
  <c r="Q40" i="7"/>
  <c r="I41" i="7"/>
  <c r="J41" i="7"/>
  <c r="K41" i="7"/>
  <c r="L41" i="7"/>
  <c r="M41" i="7"/>
  <c r="N41" i="7"/>
  <c r="O41" i="7"/>
  <c r="P41" i="7"/>
  <c r="Q41" i="7"/>
  <c r="I42" i="7"/>
  <c r="J42" i="7"/>
  <c r="K42" i="7"/>
  <c r="L42" i="7"/>
  <c r="M42" i="7"/>
  <c r="N42" i="7"/>
  <c r="O42" i="7"/>
  <c r="P42" i="7"/>
  <c r="Q42" i="7"/>
  <c r="I43" i="7"/>
  <c r="J43" i="7"/>
  <c r="K43" i="7"/>
  <c r="L43" i="7"/>
  <c r="M43" i="7"/>
  <c r="N43" i="7"/>
  <c r="O43" i="7"/>
  <c r="P43" i="7"/>
  <c r="Q43" i="7"/>
  <c r="I44" i="7"/>
  <c r="J44" i="7"/>
  <c r="K44" i="7"/>
  <c r="L44" i="7"/>
  <c r="M44" i="7"/>
  <c r="N44" i="7"/>
  <c r="O44" i="7"/>
  <c r="P44" i="7"/>
  <c r="Q44" i="7"/>
  <c r="I45" i="7"/>
  <c r="J45" i="7"/>
  <c r="K45" i="7"/>
  <c r="L45" i="7"/>
  <c r="M45" i="7"/>
  <c r="N45" i="7"/>
  <c r="O45" i="7"/>
  <c r="P45" i="7"/>
  <c r="Q45" i="7"/>
  <c r="I46" i="7"/>
  <c r="J46" i="7"/>
  <c r="K46" i="7"/>
  <c r="L46" i="7"/>
  <c r="M46" i="7"/>
  <c r="N46" i="7"/>
  <c r="O46" i="7"/>
  <c r="P46" i="7"/>
  <c r="Q46" i="7"/>
  <c r="I47" i="7"/>
  <c r="J47" i="7"/>
  <c r="K47" i="7"/>
  <c r="L47" i="7"/>
  <c r="M47" i="7"/>
  <c r="N47" i="7"/>
  <c r="O47" i="7"/>
  <c r="P47" i="7"/>
  <c r="Q47" i="7"/>
  <c r="I48" i="7"/>
  <c r="J48" i="7"/>
  <c r="K48" i="7"/>
  <c r="L48" i="7"/>
  <c r="M48" i="7"/>
  <c r="N48" i="7"/>
  <c r="O48" i="7"/>
  <c r="P48" i="7"/>
  <c r="Q48" i="7"/>
  <c r="I49" i="7"/>
  <c r="J49" i="7"/>
  <c r="K49" i="7"/>
  <c r="L49" i="7"/>
  <c r="M49" i="7"/>
  <c r="N49" i="7"/>
  <c r="O49" i="7"/>
  <c r="P49" i="7"/>
  <c r="Q49" i="7"/>
  <c r="I50" i="7"/>
  <c r="J50" i="7"/>
  <c r="K50" i="7"/>
  <c r="L50" i="7"/>
  <c r="M50" i="7"/>
  <c r="N50" i="7"/>
  <c r="O50" i="7"/>
  <c r="P50" i="7"/>
  <c r="Q50" i="7"/>
  <c r="I51" i="7"/>
  <c r="J51" i="7"/>
  <c r="K51" i="7"/>
  <c r="L51" i="7"/>
  <c r="M51" i="7"/>
  <c r="N51" i="7"/>
  <c r="O51" i="7"/>
  <c r="P51" i="7"/>
  <c r="Q51" i="7"/>
  <c r="I52" i="7"/>
  <c r="J52" i="7"/>
  <c r="K52" i="7"/>
  <c r="L52" i="7"/>
  <c r="M52" i="7"/>
  <c r="N52" i="7"/>
  <c r="O52" i="7"/>
  <c r="P52" i="7"/>
  <c r="Q52" i="7"/>
  <c r="I53" i="7"/>
  <c r="J53" i="7"/>
  <c r="K53" i="7"/>
  <c r="L53" i="7"/>
  <c r="M53" i="7"/>
  <c r="N53" i="7"/>
  <c r="O53" i="7"/>
  <c r="P53" i="7"/>
  <c r="Q53" i="7"/>
  <c r="I54" i="7"/>
  <c r="J54" i="7"/>
  <c r="K54" i="7"/>
  <c r="L54" i="7"/>
  <c r="M54" i="7"/>
  <c r="N54" i="7"/>
  <c r="O54" i="7"/>
  <c r="P54" i="7"/>
  <c r="Q54" i="7"/>
  <c r="I55" i="7"/>
  <c r="J55" i="7"/>
  <c r="K55" i="7"/>
  <c r="L55" i="7"/>
  <c r="M55" i="7"/>
  <c r="N55" i="7"/>
  <c r="O55" i="7"/>
  <c r="P55" i="7"/>
  <c r="Q55" i="7"/>
  <c r="I56" i="7"/>
  <c r="J56" i="7"/>
  <c r="K56" i="7"/>
  <c r="L56" i="7"/>
  <c r="M56" i="7"/>
  <c r="N56" i="7"/>
  <c r="O56" i="7"/>
  <c r="P56" i="7"/>
  <c r="Q56" i="7"/>
  <c r="I57" i="7"/>
  <c r="J57" i="7"/>
  <c r="K57" i="7"/>
  <c r="L57" i="7"/>
  <c r="M57" i="7"/>
  <c r="N57" i="7"/>
  <c r="O57" i="7"/>
  <c r="P57" i="7"/>
  <c r="Q57" i="7"/>
  <c r="I58" i="7"/>
  <c r="J58" i="7"/>
  <c r="K58" i="7"/>
  <c r="L58" i="7"/>
  <c r="M58" i="7"/>
  <c r="N58" i="7"/>
  <c r="O58" i="7"/>
  <c r="P58" i="7"/>
  <c r="Q58" i="7"/>
  <c r="I59" i="7"/>
  <c r="J59" i="7"/>
  <c r="K59" i="7"/>
  <c r="L59" i="7"/>
  <c r="M59" i="7"/>
  <c r="N59" i="7"/>
  <c r="O59" i="7"/>
  <c r="P59" i="7"/>
  <c r="Q59" i="7"/>
  <c r="I60" i="7"/>
  <c r="J60" i="7"/>
  <c r="K60" i="7"/>
  <c r="L60" i="7"/>
  <c r="M60" i="7"/>
  <c r="N60" i="7"/>
  <c r="O60" i="7"/>
  <c r="P60" i="7"/>
  <c r="Q60" i="7"/>
  <c r="I61" i="7"/>
  <c r="J61" i="7"/>
  <c r="K61" i="7"/>
  <c r="L61" i="7"/>
  <c r="M61" i="7"/>
  <c r="N61" i="7"/>
  <c r="O61" i="7"/>
  <c r="P61" i="7"/>
  <c r="Q61" i="7"/>
  <c r="I62" i="7"/>
  <c r="J62" i="7"/>
  <c r="K62" i="7"/>
  <c r="L62" i="7"/>
  <c r="M62" i="7"/>
  <c r="N62" i="7"/>
  <c r="O62" i="7"/>
  <c r="P62" i="7"/>
  <c r="Q62" i="7"/>
  <c r="I63" i="7"/>
  <c r="J63" i="7"/>
  <c r="K63" i="7"/>
  <c r="L63" i="7"/>
  <c r="M63" i="7"/>
  <c r="N63" i="7"/>
  <c r="O63" i="7"/>
  <c r="P63" i="7"/>
  <c r="Q63" i="7"/>
  <c r="I64" i="7"/>
  <c r="J64" i="7"/>
  <c r="K64" i="7"/>
  <c r="L64" i="7"/>
  <c r="M64" i="7"/>
  <c r="N64" i="7"/>
  <c r="O64" i="7"/>
  <c r="P64" i="7"/>
  <c r="Q64" i="7"/>
  <c r="I65" i="7"/>
  <c r="J65" i="7"/>
  <c r="K65" i="7"/>
  <c r="L65" i="7"/>
  <c r="M65" i="7"/>
  <c r="N65" i="7"/>
  <c r="O65" i="7"/>
  <c r="P65" i="7"/>
  <c r="Q65" i="7"/>
  <c r="I66" i="7"/>
  <c r="J66" i="7"/>
  <c r="K66" i="7"/>
  <c r="L66" i="7"/>
  <c r="M66" i="7"/>
  <c r="N66" i="7"/>
  <c r="O66" i="7"/>
  <c r="P66" i="7"/>
  <c r="Q66" i="7"/>
  <c r="I67" i="7"/>
  <c r="J67" i="7"/>
  <c r="K67" i="7"/>
  <c r="L67" i="7"/>
  <c r="M67" i="7"/>
  <c r="N67" i="7"/>
  <c r="O67" i="7"/>
  <c r="P67" i="7"/>
  <c r="Q67" i="7"/>
  <c r="I68" i="7"/>
  <c r="J68" i="7"/>
  <c r="K68" i="7"/>
  <c r="L68" i="7"/>
  <c r="M68" i="7"/>
  <c r="N68" i="7"/>
  <c r="O68" i="7"/>
  <c r="P68" i="7"/>
  <c r="Q68" i="7"/>
  <c r="I69" i="7"/>
  <c r="J69" i="7"/>
  <c r="K69" i="7"/>
  <c r="L69" i="7"/>
  <c r="M69" i="7"/>
  <c r="N69" i="7"/>
  <c r="O69" i="7"/>
  <c r="P69" i="7"/>
  <c r="Q69" i="7"/>
  <c r="I70" i="7"/>
  <c r="J70" i="7"/>
  <c r="K70" i="7"/>
  <c r="L70" i="7"/>
  <c r="M70" i="7"/>
  <c r="N70" i="7"/>
  <c r="O70" i="7"/>
  <c r="P70" i="7"/>
  <c r="Q70" i="7"/>
  <c r="I71" i="7"/>
  <c r="J71" i="7"/>
  <c r="K71" i="7"/>
  <c r="L71" i="7"/>
  <c r="M71" i="7"/>
  <c r="N71" i="7"/>
  <c r="O71" i="7"/>
  <c r="P71" i="7"/>
  <c r="Q71" i="7"/>
  <c r="I72" i="7"/>
  <c r="J72" i="7"/>
  <c r="K72" i="7"/>
  <c r="L72" i="7"/>
  <c r="M72" i="7"/>
  <c r="N72" i="7"/>
  <c r="O72" i="7"/>
  <c r="P72" i="7"/>
  <c r="Q72" i="7"/>
  <c r="I73" i="7"/>
  <c r="J73" i="7"/>
  <c r="K73" i="7"/>
  <c r="L73" i="7"/>
  <c r="M73" i="7"/>
  <c r="N73" i="7"/>
  <c r="O73" i="7"/>
  <c r="P73" i="7"/>
  <c r="Q73" i="7"/>
  <c r="I74" i="7"/>
  <c r="J74" i="7"/>
  <c r="K74" i="7"/>
  <c r="L74" i="7"/>
  <c r="M74" i="7"/>
  <c r="N74" i="7"/>
  <c r="O74" i="7"/>
  <c r="P74" i="7"/>
  <c r="Q74" i="7"/>
  <c r="I75" i="7"/>
  <c r="J75" i="7"/>
  <c r="K75" i="7"/>
  <c r="L75" i="7"/>
  <c r="M75" i="7"/>
  <c r="N75" i="7"/>
  <c r="O75" i="7"/>
  <c r="P75" i="7"/>
  <c r="Q75" i="7"/>
  <c r="Q268" i="7"/>
  <c r="P268" i="7"/>
  <c r="O268" i="7"/>
  <c r="N268" i="7"/>
  <c r="M268" i="7"/>
  <c r="L268" i="7"/>
  <c r="K268" i="7"/>
  <c r="J268" i="7"/>
  <c r="I268" i="7"/>
  <c r="Q267" i="7"/>
  <c r="P267" i="7"/>
  <c r="O267" i="7"/>
  <c r="N267" i="7"/>
  <c r="M267" i="7"/>
  <c r="L267" i="7"/>
  <c r="K267" i="7"/>
  <c r="J267" i="7"/>
  <c r="I267" i="7"/>
  <c r="Q266" i="7"/>
  <c r="P266" i="7"/>
  <c r="O266" i="7"/>
  <c r="N266" i="7"/>
  <c r="M266" i="7"/>
  <c r="L266" i="7"/>
  <c r="K266" i="7"/>
  <c r="J266" i="7"/>
  <c r="I266" i="7"/>
  <c r="Q265" i="7"/>
  <c r="P265" i="7"/>
  <c r="O265" i="7"/>
  <c r="N265" i="7"/>
  <c r="M265" i="7"/>
  <c r="L265" i="7"/>
  <c r="K265" i="7"/>
  <c r="J265" i="7"/>
  <c r="I265" i="7"/>
  <c r="Q264" i="7"/>
  <c r="P264" i="7"/>
  <c r="O264" i="7"/>
  <c r="N264" i="7"/>
  <c r="M264" i="7"/>
  <c r="L264" i="7"/>
  <c r="K264" i="7"/>
  <c r="J264" i="7"/>
  <c r="I264" i="7"/>
  <c r="Q263" i="7"/>
  <c r="P263" i="7"/>
  <c r="O263" i="7"/>
  <c r="N263" i="7"/>
  <c r="M263" i="7"/>
  <c r="L263" i="7"/>
  <c r="K263" i="7"/>
  <c r="J263" i="7"/>
  <c r="I263" i="7"/>
  <c r="Q262" i="7"/>
  <c r="P262" i="7"/>
  <c r="O262" i="7"/>
  <c r="N262" i="7"/>
  <c r="M262" i="7"/>
  <c r="L262" i="7"/>
  <c r="K262" i="7"/>
  <c r="J262" i="7"/>
  <c r="I262" i="7"/>
  <c r="Q261" i="7"/>
  <c r="P261" i="7"/>
  <c r="O261" i="7"/>
  <c r="N261" i="7"/>
  <c r="M261" i="7"/>
  <c r="L261" i="7"/>
  <c r="K261" i="7"/>
  <c r="J261" i="7"/>
  <c r="I261" i="7"/>
  <c r="Q260" i="7"/>
  <c r="P260" i="7"/>
  <c r="O260" i="7"/>
  <c r="N260" i="7"/>
  <c r="M260" i="7"/>
  <c r="L260" i="7"/>
  <c r="K260" i="7"/>
  <c r="J260" i="7"/>
  <c r="I260" i="7"/>
  <c r="Q259" i="7"/>
  <c r="P259" i="7"/>
  <c r="O259" i="7"/>
  <c r="N259" i="7"/>
  <c r="M259" i="7"/>
  <c r="L259" i="7"/>
  <c r="K259" i="7"/>
  <c r="J259" i="7"/>
  <c r="I259" i="7"/>
  <c r="Q258" i="7"/>
  <c r="P258" i="7"/>
  <c r="O258" i="7"/>
  <c r="N258" i="7"/>
  <c r="M258" i="7"/>
  <c r="L258" i="7"/>
  <c r="K258" i="7"/>
  <c r="J258" i="7"/>
  <c r="I258" i="7"/>
  <c r="Q257" i="7"/>
  <c r="P257" i="7"/>
  <c r="O257" i="7"/>
  <c r="N257" i="7"/>
  <c r="M257" i="7"/>
  <c r="L257" i="7"/>
  <c r="K257" i="7"/>
  <c r="J257" i="7"/>
  <c r="I257" i="7"/>
  <c r="Q256" i="7"/>
  <c r="P256" i="7"/>
  <c r="O256" i="7"/>
  <c r="N256" i="7"/>
  <c r="M256" i="7"/>
  <c r="L256" i="7"/>
  <c r="K256" i="7"/>
  <c r="J256" i="7"/>
  <c r="I256" i="7"/>
  <c r="Q255" i="7"/>
  <c r="P255" i="7"/>
  <c r="O255" i="7"/>
  <c r="N255" i="7"/>
  <c r="M255" i="7"/>
  <c r="L255" i="7"/>
  <c r="K255" i="7"/>
  <c r="J255" i="7"/>
  <c r="I255" i="7"/>
  <c r="Q254" i="7"/>
  <c r="P254" i="7"/>
  <c r="O254" i="7"/>
  <c r="N254" i="7"/>
  <c r="M254" i="7"/>
  <c r="L254" i="7"/>
  <c r="K254" i="7"/>
  <c r="J254" i="7"/>
  <c r="I254" i="7"/>
  <c r="Q253" i="7"/>
  <c r="P253" i="7"/>
  <c r="O253" i="7"/>
  <c r="N253" i="7"/>
  <c r="M253" i="7"/>
  <c r="L253" i="7"/>
  <c r="K253" i="7"/>
  <c r="J253" i="7"/>
  <c r="I253" i="7"/>
  <c r="Q252" i="7"/>
  <c r="P252" i="7"/>
  <c r="O252" i="7"/>
  <c r="N252" i="7"/>
  <c r="M252" i="7"/>
  <c r="L252" i="7"/>
  <c r="K252" i="7"/>
  <c r="J252" i="7"/>
  <c r="I252" i="7"/>
  <c r="Q251" i="7"/>
  <c r="P251" i="7"/>
  <c r="O251" i="7"/>
  <c r="N251" i="7"/>
  <c r="M251" i="7"/>
  <c r="L251" i="7"/>
  <c r="K251" i="7"/>
  <c r="J251" i="7"/>
  <c r="I251" i="7"/>
  <c r="Q250" i="7"/>
  <c r="P250" i="7"/>
  <c r="O250" i="7"/>
  <c r="N250" i="7"/>
  <c r="M250" i="7"/>
  <c r="L250" i="7"/>
  <c r="K250" i="7"/>
  <c r="J250" i="7"/>
  <c r="I250" i="7"/>
  <c r="Q249" i="7"/>
  <c r="P249" i="7"/>
  <c r="O249" i="7"/>
  <c r="N249" i="7"/>
  <c r="M249" i="7"/>
  <c r="L249" i="7"/>
  <c r="K249" i="7"/>
  <c r="J249" i="7"/>
  <c r="I249" i="7"/>
  <c r="Q248" i="7"/>
  <c r="P248" i="7"/>
  <c r="O248" i="7"/>
  <c r="N248" i="7"/>
  <c r="M248" i="7"/>
  <c r="L248" i="7"/>
  <c r="K248" i="7"/>
  <c r="J248" i="7"/>
  <c r="I248" i="7"/>
  <c r="Q247" i="7"/>
  <c r="P247" i="7"/>
  <c r="O247" i="7"/>
  <c r="N247" i="7"/>
  <c r="M247" i="7"/>
  <c r="L247" i="7"/>
  <c r="K247" i="7"/>
  <c r="J247" i="7"/>
  <c r="I247" i="7"/>
  <c r="Q246" i="7"/>
  <c r="P246" i="7"/>
  <c r="O246" i="7"/>
  <c r="N246" i="7"/>
  <c r="M246" i="7"/>
  <c r="L246" i="7"/>
  <c r="K246" i="7"/>
  <c r="J246" i="7"/>
  <c r="I246" i="7"/>
  <c r="Q245" i="7"/>
  <c r="P245" i="7"/>
  <c r="O245" i="7"/>
  <c r="N245" i="7"/>
  <c r="M245" i="7"/>
  <c r="L245" i="7"/>
  <c r="K245" i="7"/>
  <c r="J245" i="7"/>
  <c r="I245" i="7"/>
  <c r="Q244" i="7"/>
  <c r="P244" i="7"/>
  <c r="O244" i="7"/>
  <c r="N244" i="7"/>
  <c r="M244" i="7"/>
  <c r="L244" i="7"/>
  <c r="K244" i="7"/>
  <c r="J244" i="7"/>
  <c r="I244" i="7"/>
  <c r="Q243" i="7"/>
  <c r="P243" i="7"/>
  <c r="O243" i="7"/>
  <c r="N243" i="7"/>
  <c r="M243" i="7"/>
  <c r="L243" i="7"/>
  <c r="K243" i="7"/>
  <c r="J243" i="7"/>
  <c r="I243" i="7"/>
  <c r="Q242" i="7"/>
  <c r="P242" i="7"/>
  <c r="O242" i="7"/>
  <c r="N242" i="7"/>
  <c r="M242" i="7"/>
  <c r="L242" i="7"/>
  <c r="K242" i="7"/>
  <c r="J242" i="7"/>
  <c r="I242" i="7"/>
  <c r="Q241" i="7"/>
  <c r="P241" i="7"/>
  <c r="O241" i="7"/>
  <c r="N241" i="7"/>
  <c r="M241" i="7"/>
  <c r="L241" i="7"/>
  <c r="K241" i="7"/>
  <c r="J241" i="7"/>
  <c r="I241" i="7"/>
  <c r="Q240" i="7"/>
  <c r="P240" i="7"/>
  <c r="O240" i="7"/>
  <c r="N240" i="7"/>
  <c r="M240" i="7"/>
  <c r="L240" i="7"/>
  <c r="K240" i="7"/>
  <c r="J240" i="7"/>
  <c r="I240" i="7"/>
  <c r="Q239" i="7"/>
  <c r="P239" i="7"/>
  <c r="O239" i="7"/>
  <c r="N239" i="7"/>
  <c r="M239" i="7"/>
  <c r="L239" i="7"/>
  <c r="K239" i="7"/>
  <c r="J239" i="7"/>
  <c r="I239" i="7"/>
  <c r="Q238" i="7"/>
  <c r="P238" i="7"/>
  <c r="O238" i="7"/>
  <c r="N238" i="7"/>
  <c r="M238" i="7"/>
  <c r="L238" i="7"/>
  <c r="K238" i="7"/>
  <c r="J238" i="7"/>
  <c r="I238" i="7"/>
  <c r="Q237" i="7"/>
  <c r="P237" i="7"/>
  <c r="O237" i="7"/>
  <c r="N237" i="7"/>
  <c r="M237" i="7"/>
  <c r="L237" i="7"/>
  <c r="K237" i="7"/>
  <c r="J237" i="7"/>
  <c r="I237" i="7"/>
  <c r="Q236" i="7"/>
  <c r="P236" i="7"/>
  <c r="O236" i="7"/>
  <c r="N236" i="7"/>
  <c r="M236" i="7"/>
  <c r="L236" i="7"/>
  <c r="K236" i="7"/>
  <c r="J236" i="7"/>
  <c r="I236" i="7"/>
  <c r="Q235" i="7"/>
  <c r="P235" i="7"/>
  <c r="O235" i="7"/>
  <c r="N235" i="7"/>
  <c r="M235" i="7"/>
  <c r="L235" i="7"/>
  <c r="K235" i="7"/>
  <c r="J235" i="7"/>
  <c r="I235" i="7"/>
  <c r="Q234" i="7"/>
  <c r="P234" i="7"/>
  <c r="O234" i="7"/>
  <c r="N234" i="7"/>
  <c r="M234" i="7"/>
  <c r="L234" i="7"/>
  <c r="K234" i="7"/>
  <c r="J234" i="7"/>
  <c r="I234" i="7"/>
  <c r="Q233" i="7"/>
  <c r="P233" i="7"/>
  <c r="O233" i="7"/>
  <c r="N233" i="7"/>
  <c r="M233" i="7"/>
  <c r="L233" i="7"/>
  <c r="K233" i="7"/>
  <c r="J233" i="7"/>
  <c r="I233" i="7"/>
  <c r="Q232" i="7"/>
  <c r="P232" i="7"/>
  <c r="O232" i="7"/>
  <c r="N232" i="7"/>
  <c r="M232" i="7"/>
  <c r="L232" i="7"/>
  <c r="K232" i="7"/>
  <c r="J232" i="7"/>
  <c r="I232" i="7"/>
  <c r="Q231" i="7"/>
  <c r="P231" i="7"/>
  <c r="O231" i="7"/>
  <c r="N231" i="7"/>
  <c r="M231" i="7"/>
  <c r="L231" i="7"/>
  <c r="K231" i="7"/>
  <c r="J231" i="7"/>
  <c r="I231" i="7"/>
  <c r="Q230" i="7"/>
  <c r="P230" i="7"/>
  <c r="O230" i="7"/>
  <c r="N230" i="7"/>
  <c r="M230" i="7"/>
  <c r="L230" i="7"/>
  <c r="K230" i="7"/>
  <c r="J230" i="7"/>
  <c r="I230" i="7"/>
  <c r="Q229" i="7"/>
  <c r="P229" i="7"/>
  <c r="O229" i="7"/>
  <c r="N229" i="7"/>
  <c r="M229" i="7"/>
  <c r="L229" i="7"/>
  <c r="K229" i="7"/>
  <c r="J229" i="7"/>
  <c r="I229" i="7"/>
  <c r="Q228" i="7"/>
  <c r="P228" i="7"/>
  <c r="O228" i="7"/>
  <c r="N228" i="7"/>
  <c r="M228" i="7"/>
  <c r="L228" i="7"/>
  <c r="K228" i="7"/>
  <c r="J228" i="7"/>
  <c r="I228" i="7"/>
  <c r="Q227" i="7"/>
  <c r="P227" i="7"/>
  <c r="O227" i="7"/>
  <c r="N227" i="7"/>
  <c r="M227" i="7"/>
  <c r="L227" i="7"/>
  <c r="K227" i="7"/>
  <c r="J227" i="7"/>
  <c r="I227" i="7"/>
  <c r="Q226" i="7"/>
  <c r="P226" i="7"/>
  <c r="O226" i="7"/>
  <c r="N226" i="7"/>
  <c r="M226" i="7"/>
  <c r="L226" i="7"/>
  <c r="K226" i="7"/>
  <c r="J226" i="7"/>
  <c r="I226" i="7"/>
  <c r="Q225" i="7"/>
  <c r="P225" i="7"/>
  <c r="O225" i="7"/>
  <c r="N225" i="7"/>
  <c r="M225" i="7"/>
  <c r="L225" i="7"/>
  <c r="K225" i="7"/>
  <c r="J225" i="7"/>
  <c r="I225" i="7"/>
  <c r="Q224" i="7"/>
  <c r="P224" i="7"/>
  <c r="O224" i="7"/>
  <c r="N224" i="7"/>
  <c r="M224" i="7"/>
  <c r="L224" i="7"/>
  <c r="K224" i="7"/>
  <c r="J224" i="7"/>
  <c r="I224" i="7"/>
  <c r="Q223" i="7"/>
  <c r="P223" i="7"/>
  <c r="O223" i="7"/>
  <c r="N223" i="7"/>
  <c r="M223" i="7"/>
  <c r="L223" i="7"/>
  <c r="K223" i="7"/>
  <c r="J223" i="7"/>
  <c r="I223" i="7"/>
  <c r="Q222" i="7"/>
  <c r="P222" i="7"/>
  <c r="O222" i="7"/>
  <c r="N222" i="7"/>
  <c r="M222" i="7"/>
  <c r="L222" i="7"/>
  <c r="K222" i="7"/>
  <c r="J222" i="7"/>
  <c r="I222" i="7"/>
  <c r="Q221" i="7"/>
  <c r="P221" i="7"/>
  <c r="O221" i="7"/>
  <c r="N221" i="7"/>
  <c r="M221" i="7"/>
  <c r="L221" i="7"/>
  <c r="K221" i="7"/>
  <c r="J221" i="7"/>
  <c r="I221" i="7"/>
  <c r="Q220" i="7"/>
  <c r="P220" i="7"/>
  <c r="O220" i="7"/>
  <c r="N220" i="7"/>
  <c r="M220" i="7"/>
  <c r="L220" i="7"/>
  <c r="K220" i="7"/>
  <c r="J220" i="7"/>
  <c r="I220" i="7"/>
  <c r="Q219" i="7"/>
  <c r="P219" i="7"/>
  <c r="O219" i="7"/>
  <c r="N219" i="7"/>
  <c r="M219" i="7"/>
  <c r="L219" i="7"/>
  <c r="K219" i="7"/>
  <c r="J219" i="7"/>
  <c r="I219" i="7"/>
  <c r="Q218" i="7"/>
  <c r="P218" i="7"/>
  <c r="O218" i="7"/>
  <c r="N218" i="7"/>
  <c r="M218" i="7"/>
  <c r="L218" i="7"/>
  <c r="K218" i="7"/>
  <c r="J218" i="7"/>
  <c r="I218" i="7"/>
  <c r="Q217" i="7"/>
  <c r="P217" i="7"/>
  <c r="O217" i="7"/>
  <c r="N217" i="7"/>
  <c r="M217" i="7"/>
  <c r="L217" i="7"/>
  <c r="K217" i="7"/>
  <c r="J217" i="7"/>
  <c r="I217" i="7"/>
  <c r="Q216" i="7"/>
  <c r="P216" i="7"/>
  <c r="O216" i="7"/>
  <c r="N216" i="7"/>
  <c r="M216" i="7"/>
  <c r="L216" i="7"/>
  <c r="K216" i="7"/>
  <c r="J216" i="7"/>
  <c r="I216" i="7"/>
  <c r="Q215" i="7"/>
  <c r="P215" i="7"/>
  <c r="O215" i="7"/>
  <c r="N215" i="7"/>
  <c r="M215" i="7"/>
  <c r="L215" i="7"/>
  <c r="K215" i="7"/>
  <c r="J215" i="7"/>
  <c r="I215" i="7"/>
  <c r="Q214" i="7"/>
  <c r="P214" i="7"/>
  <c r="O214" i="7"/>
  <c r="N214" i="7"/>
  <c r="M214" i="7"/>
  <c r="L214" i="7"/>
  <c r="K214" i="7"/>
  <c r="J214" i="7"/>
  <c r="I214" i="7"/>
  <c r="Q213" i="7"/>
  <c r="P213" i="7"/>
  <c r="O213" i="7"/>
  <c r="N213" i="7"/>
  <c r="M213" i="7"/>
  <c r="L213" i="7"/>
  <c r="K213" i="7"/>
  <c r="J213" i="7"/>
  <c r="I213" i="7"/>
  <c r="Q212" i="7"/>
  <c r="P212" i="7"/>
  <c r="O212" i="7"/>
  <c r="N212" i="7"/>
  <c r="M212" i="7"/>
  <c r="L212" i="7"/>
  <c r="K212" i="7"/>
  <c r="J212" i="7"/>
  <c r="I212" i="7"/>
  <c r="Q211" i="7"/>
  <c r="P211" i="7"/>
  <c r="O211" i="7"/>
  <c r="N211" i="7"/>
  <c r="M211" i="7"/>
  <c r="L211" i="7"/>
  <c r="K211" i="7"/>
  <c r="J211" i="7"/>
  <c r="I211" i="7"/>
  <c r="Q210" i="7"/>
  <c r="P210" i="7"/>
  <c r="O210" i="7"/>
  <c r="N210" i="7"/>
  <c r="M210" i="7"/>
  <c r="L210" i="7"/>
  <c r="K210" i="7"/>
  <c r="J210" i="7"/>
  <c r="I210" i="7"/>
  <c r="Q209" i="7"/>
  <c r="P209" i="7"/>
  <c r="O209" i="7"/>
  <c r="N209" i="7"/>
  <c r="M209" i="7"/>
  <c r="L209" i="7"/>
  <c r="K209" i="7"/>
  <c r="J209" i="7"/>
  <c r="I209" i="7"/>
  <c r="Q208" i="7"/>
  <c r="P208" i="7"/>
  <c r="O208" i="7"/>
  <c r="N208" i="7"/>
  <c r="M208" i="7"/>
  <c r="L208" i="7"/>
  <c r="K208" i="7"/>
  <c r="J208" i="7"/>
  <c r="I208" i="7"/>
  <c r="Q207" i="7"/>
  <c r="P207" i="7"/>
  <c r="O207" i="7"/>
  <c r="N207" i="7"/>
  <c r="M207" i="7"/>
  <c r="L207" i="7"/>
  <c r="K207" i="7"/>
  <c r="J207" i="7"/>
  <c r="I207" i="7"/>
  <c r="Q206" i="7"/>
  <c r="P206" i="7"/>
  <c r="O206" i="7"/>
  <c r="N206" i="7"/>
  <c r="M206" i="7"/>
  <c r="L206" i="7"/>
  <c r="K206" i="7"/>
  <c r="J206" i="7"/>
  <c r="I206" i="7"/>
  <c r="Q205" i="7"/>
  <c r="P205" i="7"/>
  <c r="O205" i="7"/>
  <c r="N205" i="7"/>
  <c r="M205" i="7"/>
  <c r="L205" i="7"/>
  <c r="K205" i="7"/>
  <c r="J205" i="7"/>
  <c r="I205" i="7"/>
  <c r="Q204" i="7"/>
  <c r="P204" i="7"/>
  <c r="O204" i="7"/>
  <c r="N204" i="7"/>
  <c r="M204" i="7"/>
  <c r="L204" i="7"/>
  <c r="K204" i="7"/>
  <c r="J204" i="7"/>
  <c r="I204" i="7"/>
  <c r="Q203" i="7"/>
  <c r="P203" i="7"/>
  <c r="O203" i="7"/>
  <c r="N203" i="7"/>
  <c r="M203" i="7"/>
  <c r="L203" i="7"/>
  <c r="K203" i="7"/>
  <c r="J203" i="7"/>
  <c r="I203" i="7"/>
  <c r="Q202" i="7"/>
  <c r="P202" i="7"/>
  <c r="O202" i="7"/>
  <c r="N202" i="7"/>
  <c r="M202" i="7"/>
  <c r="L202" i="7"/>
  <c r="K202" i="7"/>
  <c r="J202" i="7"/>
  <c r="I202" i="7"/>
  <c r="Q201" i="7"/>
  <c r="P201" i="7"/>
  <c r="O201" i="7"/>
  <c r="N201" i="7"/>
  <c r="M201" i="7"/>
  <c r="L201" i="7"/>
  <c r="K201" i="7"/>
  <c r="J201" i="7"/>
  <c r="I201" i="7"/>
  <c r="Q200" i="7"/>
  <c r="P200" i="7"/>
  <c r="O200" i="7"/>
  <c r="N200" i="7"/>
  <c r="M200" i="7"/>
  <c r="L200" i="7"/>
  <c r="K200" i="7"/>
  <c r="J200" i="7"/>
  <c r="I200" i="7"/>
  <c r="Q199" i="7"/>
  <c r="P199" i="7"/>
  <c r="O199" i="7"/>
  <c r="N199" i="7"/>
  <c r="M199" i="7"/>
  <c r="L199" i="7"/>
  <c r="K199" i="7"/>
  <c r="J199" i="7"/>
  <c r="I199" i="7"/>
  <c r="Q198" i="7"/>
  <c r="P198" i="7"/>
  <c r="O198" i="7"/>
  <c r="N198" i="7"/>
  <c r="M198" i="7"/>
  <c r="L198" i="7"/>
  <c r="K198" i="7"/>
  <c r="J198" i="7"/>
  <c r="I198" i="7"/>
  <c r="Q197" i="7"/>
  <c r="P197" i="7"/>
  <c r="O197" i="7"/>
  <c r="N197" i="7"/>
  <c r="M197" i="7"/>
  <c r="L197" i="7"/>
  <c r="K197" i="7"/>
  <c r="J197" i="7"/>
  <c r="I197" i="7"/>
  <c r="Q196" i="7"/>
  <c r="P196" i="7"/>
  <c r="O196" i="7"/>
  <c r="N196" i="7"/>
  <c r="M196" i="7"/>
  <c r="L196" i="7"/>
  <c r="K196" i="7"/>
  <c r="J196" i="7"/>
  <c r="I196" i="7"/>
  <c r="Q195" i="7"/>
  <c r="P195" i="7"/>
  <c r="O195" i="7"/>
  <c r="N195" i="7"/>
  <c r="M195" i="7"/>
  <c r="L195" i="7"/>
  <c r="K195" i="7"/>
  <c r="J195" i="7"/>
  <c r="I195" i="7"/>
  <c r="Q194" i="7"/>
  <c r="P194" i="7"/>
  <c r="O194" i="7"/>
  <c r="N194" i="7"/>
  <c r="M194" i="7"/>
  <c r="L194" i="7"/>
  <c r="K194" i="7"/>
  <c r="J194" i="7"/>
  <c r="I194" i="7"/>
  <c r="Q193" i="7"/>
  <c r="P193" i="7"/>
  <c r="O193" i="7"/>
  <c r="N193" i="7"/>
  <c r="M193" i="7"/>
  <c r="L193" i="7"/>
  <c r="K193" i="7"/>
  <c r="J193" i="7"/>
  <c r="I193" i="7"/>
  <c r="Q192" i="7"/>
  <c r="P192" i="7"/>
  <c r="O192" i="7"/>
  <c r="N192" i="7"/>
  <c r="M192" i="7"/>
  <c r="L192" i="7"/>
  <c r="K192" i="7"/>
  <c r="J192" i="7"/>
  <c r="I192" i="7"/>
  <c r="Q191" i="7"/>
  <c r="P191" i="7"/>
  <c r="O191" i="7"/>
  <c r="N191" i="7"/>
  <c r="M191" i="7"/>
  <c r="L191" i="7"/>
  <c r="K191" i="7"/>
  <c r="J191" i="7"/>
  <c r="I191" i="7"/>
  <c r="Q190" i="7"/>
  <c r="P190" i="7"/>
  <c r="O190" i="7"/>
  <c r="N190" i="7"/>
  <c r="M190" i="7"/>
  <c r="L190" i="7"/>
  <c r="K190" i="7"/>
  <c r="J190" i="7"/>
  <c r="I190" i="7"/>
  <c r="Q189" i="7"/>
  <c r="P189" i="7"/>
  <c r="O189" i="7"/>
  <c r="N189" i="7"/>
  <c r="M189" i="7"/>
  <c r="L189" i="7"/>
  <c r="K189" i="7"/>
  <c r="J189" i="7"/>
  <c r="I189" i="7"/>
  <c r="Q188" i="7"/>
  <c r="P188" i="7"/>
  <c r="O188" i="7"/>
  <c r="N188" i="7"/>
  <c r="M188" i="7"/>
  <c r="L188" i="7"/>
  <c r="K188" i="7"/>
  <c r="J188" i="7"/>
  <c r="I188" i="7"/>
  <c r="Q187" i="7"/>
  <c r="P187" i="7"/>
  <c r="O187" i="7"/>
  <c r="N187" i="7"/>
  <c r="M187" i="7"/>
  <c r="L187" i="7"/>
  <c r="K187" i="7"/>
  <c r="J187" i="7"/>
  <c r="I187" i="7"/>
  <c r="Q186" i="7"/>
  <c r="P186" i="7"/>
  <c r="O186" i="7"/>
  <c r="N186" i="7"/>
  <c r="M186" i="7"/>
  <c r="L186" i="7"/>
  <c r="K186" i="7"/>
  <c r="J186" i="7"/>
  <c r="I186" i="7"/>
  <c r="Q185" i="7"/>
  <c r="P185" i="7"/>
  <c r="O185" i="7"/>
  <c r="N185" i="7"/>
  <c r="M185" i="7"/>
  <c r="L185" i="7"/>
  <c r="K185" i="7"/>
  <c r="J185" i="7"/>
  <c r="I185" i="7"/>
  <c r="Q184" i="7"/>
  <c r="P184" i="7"/>
  <c r="O184" i="7"/>
  <c r="N184" i="7"/>
  <c r="M184" i="7"/>
  <c r="L184" i="7"/>
  <c r="K184" i="7"/>
  <c r="J184" i="7"/>
  <c r="I184" i="7"/>
  <c r="Q183" i="7"/>
  <c r="P183" i="7"/>
  <c r="O183" i="7"/>
  <c r="N183" i="7"/>
  <c r="M183" i="7"/>
  <c r="L183" i="7"/>
  <c r="K183" i="7"/>
  <c r="J183" i="7"/>
  <c r="I183" i="7"/>
  <c r="Q182" i="7"/>
  <c r="P182" i="7"/>
  <c r="O182" i="7"/>
  <c r="N182" i="7"/>
  <c r="M182" i="7"/>
  <c r="L182" i="7"/>
  <c r="K182" i="7"/>
  <c r="J182" i="7"/>
  <c r="I182" i="7"/>
  <c r="Q181" i="7"/>
  <c r="P181" i="7"/>
  <c r="O181" i="7"/>
  <c r="N181" i="7"/>
  <c r="M181" i="7"/>
  <c r="L181" i="7"/>
  <c r="K181" i="7"/>
  <c r="J181" i="7"/>
  <c r="I181" i="7"/>
  <c r="Q180" i="7"/>
  <c r="P180" i="7"/>
  <c r="O180" i="7"/>
  <c r="N180" i="7"/>
  <c r="M180" i="7"/>
  <c r="L180" i="7"/>
  <c r="K180" i="7"/>
  <c r="J180" i="7"/>
  <c r="I180" i="7"/>
  <c r="Q179" i="7"/>
  <c r="P179" i="7"/>
  <c r="O179" i="7"/>
  <c r="N179" i="7"/>
  <c r="M179" i="7"/>
  <c r="L179" i="7"/>
  <c r="K179" i="7"/>
  <c r="J179" i="7"/>
  <c r="I179" i="7"/>
  <c r="Q178" i="7"/>
  <c r="P178" i="7"/>
  <c r="O178" i="7"/>
  <c r="N178" i="7"/>
  <c r="M178" i="7"/>
  <c r="L178" i="7"/>
  <c r="K178" i="7"/>
  <c r="J178" i="7"/>
  <c r="I178" i="7"/>
  <c r="Q177" i="7"/>
  <c r="P177" i="7"/>
  <c r="O177" i="7"/>
  <c r="N177" i="7"/>
  <c r="M177" i="7"/>
  <c r="L177" i="7"/>
  <c r="K177" i="7"/>
  <c r="J177" i="7"/>
  <c r="I177" i="7"/>
  <c r="Q176" i="7"/>
  <c r="P176" i="7"/>
  <c r="O176" i="7"/>
  <c r="N176" i="7"/>
  <c r="M176" i="7"/>
  <c r="L176" i="7"/>
  <c r="K176" i="7"/>
  <c r="J176" i="7"/>
  <c r="I176" i="7"/>
  <c r="Q175" i="7"/>
  <c r="P175" i="7"/>
  <c r="O175" i="7"/>
  <c r="N175" i="7"/>
  <c r="M175" i="7"/>
  <c r="L175" i="7"/>
  <c r="K175" i="7"/>
  <c r="J175" i="7"/>
  <c r="I175" i="7"/>
  <c r="Q174" i="7"/>
  <c r="P174" i="7"/>
  <c r="O174" i="7"/>
  <c r="N174" i="7"/>
  <c r="M174" i="7"/>
  <c r="L174" i="7"/>
  <c r="K174" i="7"/>
  <c r="J174" i="7"/>
  <c r="I174" i="7"/>
  <c r="Q173" i="7"/>
  <c r="P173" i="7"/>
  <c r="O173" i="7"/>
  <c r="N173" i="7"/>
  <c r="M173" i="7"/>
  <c r="L173" i="7"/>
  <c r="K173" i="7"/>
  <c r="J173" i="7"/>
  <c r="I173" i="7"/>
  <c r="Q172" i="7"/>
  <c r="P172" i="7"/>
  <c r="O172" i="7"/>
  <c r="N172" i="7"/>
  <c r="M172" i="7"/>
  <c r="L172" i="7"/>
  <c r="K172" i="7"/>
  <c r="J172" i="7"/>
  <c r="I172" i="7"/>
  <c r="Q171" i="7"/>
  <c r="P171" i="7"/>
  <c r="O171" i="7"/>
  <c r="N171" i="7"/>
  <c r="M171" i="7"/>
  <c r="L171" i="7"/>
  <c r="K171" i="7"/>
  <c r="J171" i="7"/>
  <c r="I171" i="7"/>
  <c r="Q170" i="7"/>
  <c r="P170" i="7"/>
  <c r="O170" i="7"/>
  <c r="N170" i="7"/>
  <c r="M170" i="7"/>
  <c r="L170" i="7"/>
  <c r="K170" i="7"/>
  <c r="J170" i="7"/>
  <c r="I170" i="7"/>
  <c r="Q169" i="7"/>
  <c r="P169" i="7"/>
  <c r="O169" i="7"/>
  <c r="N169" i="7"/>
  <c r="M169" i="7"/>
  <c r="L169" i="7"/>
  <c r="K169" i="7"/>
  <c r="J169" i="7"/>
  <c r="I169" i="7"/>
  <c r="Q168" i="7"/>
  <c r="P168" i="7"/>
  <c r="O168" i="7"/>
  <c r="N168" i="7"/>
  <c r="M168" i="7"/>
  <c r="L168" i="7"/>
  <c r="K168" i="7"/>
  <c r="J168" i="7"/>
  <c r="I168" i="7"/>
  <c r="Q167" i="7"/>
  <c r="P167" i="7"/>
  <c r="O167" i="7"/>
  <c r="N167" i="7"/>
  <c r="M167" i="7"/>
  <c r="L167" i="7"/>
  <c r="K167" i="7"/>
  <c r="J167" i="7"/>
  <c r="I167" i="7"/>
  <c r="Q166" i="7"/>
  <c r="P166" i="7"/>
  <c r="O166" i="7"/>
  <c r="N166" i="7"/>
  <c r="M166" i="7"/>
  <c r="L166" i="7"/>
  <c r="K166" i="7"/>
  <c r="J166" i="7"/>
  <c r="I166" i="7"/>
  <c r="Q165" i="7"/>
  <c r="P165" i="7"/>
  <c r="O165" i="7"/>
  <c r="N165" i="7"/>
  <c r="M165" i="7"/>
  <c r="L165" i="7"/>
  <c r="K165" i="7"/>
  <c r="J165" i="7"/>
  <c r="I165" i="7"/>
  <c r="Q164" i="7"/>
  <c r="P164" i="7"/>
  <c r="O164" i="7"/>
  <c r="N164" i="7"/>
  <c r="M164" i="7"/>
  <c r="L164" i="7"/>
  <c r="K164" i="7"/>
  <c r="J164" i="7"/>
  <c r="I164" i="7"/>
  <c r="Q163" i="7"/>
  <c r="P163" i="7"/>
  <c r="O163" i="7"/>
  <c r="N163" i="7"/>
  <c r="M163" i="7"/>
  <c r="L163" i="7"/>
  <c r="K163" i="7"/>
  <c r="J163" i="7"/>
  <c r="I163" i="7"/>
  <c r="Q162" i="7"/>
  <c r="P162" i="7"/>
  <c r="O162" i="7"/>
  <c r="N162" i="7"/>
  <c r="M162" i="7"/>
  <c r="L162" i="7"/>
  <c r="K162" i="7"/>
  <c r="J162" i="7"/>
  <c r="I162" i="7"/>
  <c r="Q161" i="7"/>
  <c r="P161" i="7"/>
  <c r="O161" i="7"/>
  <c r="N161" i="7"/>
  <c r="M161" i="7"/>
  <c r="L161" i="7"/>
  <c r="K161" i="7"/>
  <c r="J161" i="7"/>
  <c r="I161" i="7"/>
  <c r="Q160" i="7"/>
  <c r="P160" i="7"/>
  <c r="O160" i="7"/>
  <c r="N160" i="7"/>
  <c r="M160" i="7"/>
  <c r="L160" i="7"/>
  <c r="K160" i="7"/>
  <c r="J160" i="7"/>
  <c r="I160" i="7"/>
  <c r="Q159" i="7"/>
  <c r="P159" i="7"/>
  <c r="O159" i="7"/>
  <c r="N159" i="7"/>
  <c r="M159" i="7"/>
  <c r="L159" i="7"/>
  <c r="K159" i="7"/>
  <c r="J159" i="7"/>
  <c r="I159" i="7"/>
  <c r="Q158" i="7"/>
  <c r="P158" i="7"/>
  <c r="O158" i="7"/>
  <c r="N158" i="7"/>
  <c r="M158" i="7"/>
  <c r="L158" i="7"/>
  <c r="K158" i="7"/>
  <c r="J158" i="7"/>
  <c r="I158" i="7"/>
  <c r="Q157" i="7"/>
  <c r="P157" i="7"/>
  <c r="O157" i="7"/>
  <c r="N157" i="7"/>
  <c r="M157" i="7"/>
  <c r="L157" i="7"/>
  <c r="K157" i="7"/>
  <c r="J157" i="7"/>
  <c r="I157" i="7"/>
  <c r="Q156" i="7"/>
  <c r="P156" i="7"/>
  <c r="O156" i="7"/>
  <c r="N156" i="7"/>
  <c r="M156" i="7"/>
  <c r="L156" i="7"/>
  <c r="K156" i="7"/>
  <c r="J156" i="7"/>
  <c r="I156" i="7"/>
  <c r="Q155" i="7"/>
  <c r="P155" i="7"/>
  <c r="O155" i="7"/>
  <c r="N155" i="7"/>
  <c r="M155" i="7"/>
  <c r="L155" i="7"/>
  <c r="K155" i="7"/>
  <c r="J155" i="7"/>
  <c r="I155" i="7"/>
  <c r="Q154" i="7"/>
  <c r="P154" i="7"/>
  <c r="O154" i="7"/>
  <c r="N154" i="7"/>
  <c r="M154" i="7"/>
  <c r="L154" i="7"/>
  <c r="K154" i="7"/>
  <c r="J154" i="7"/>
  <c r="I154" i="7"/>
  <c r="Q153" i="7"/>
  <c r="P153" i="7"/>
  <c r="O153" i="7"/>
  <c r="N153" i="7"/>
  <c r="M153" i="7"/>
  <c r="L153" i="7"/>
  <c r="K153" i="7"/>
  <c r="J153" i="7"/>
  <c r="I153" i="7"/>
  <c r="Q152" i="7"/>
  <c r="P152" i="7"/>
  <c r="O152" i="7"/>
  <c r="N152" i="7"/>
  <c r="M152" i="7"/>
  <c r="L152" i="7"/>
  <c r="K152" i="7"/>
  <c r="J152" i="7"/>
  <c r="I152" i="7"/>
  <c r="Q151" i="7"/>
  <c r="P151" i="7"/>
  <c r="O151" i="7"/>
  <c r="N151" i="7"/>
  <c r="M151" i="7"/>
  <c r="L151" i="7"/>
  <c r="K151" i="7"/>
  <c r="J151" i="7"/>
  <c r="I151" i="7"/>
  <c r="Q150" i="7"/>
  <c r="P150" i="7"/>
  <c r="O150" i="7"/>
  <c r="N150" i="7"/>
  <c r="M150" i="7"/>
  <c r="L150" i="7"/>
  <c r="K150" i="7"/>
  <c r="J150" i="7"/>
  <c r="I150" i="7"/>
  <c r="Q149" i="7"/>
  <c r="P149" i="7"/>
  <c r="O149" i="7"/>
  <c r="N149" i="7"/>
  <c r="M149" i="7"/>
  <c r="L149" i="7"/>
  <c r="K149" i="7"/>
  <c r="J149" i="7"/>
  <c r="I149" i="7"/>
  <c r="Q148" i="7"/>
  <c r="P148" i="7"/>
  <c r="O148" i="7"/>
  <c r="N148" i="7"/>
  <c r="M148" i="7"/>
  <c r="L148" i="7"/>
  <c r="K148" i="7"/>
  <c r="J148" i="7"/>
  <c r="I148" i="7"/>
  <c r="Q147" i="7"/>
  <c r="P147" i="7"/>
  <c r="O147" i="7"/>
  <c r="N147" i="7"/>
  <c r="M147" i="7"/>
  <c r="L147" i="7"/>
  <c r="K147" i="7"/>
  <c r="J147" i="7"/>
  <c r="I147" i="7"/>
  <c r="Q146" i="7"/>
  <c r="P146" i="7"/>
  <c r="O146" i="7"/>
  <c r="N146" i="7"/>
  <c r="M146" i="7"/>
  <c r="L146" i="7"/>
  <c r="K146" i="7"/>
  <c r="J146" i="7"/>
  <c r="I146" i="7"/>
  <c r="Q145" i="7"/>
  <c r="P145" i="7"/>
  <c r="O145" i="7"/>
  <c r="N145" i="7"/>
  <c r="M145" i="7"/>
  <c r="L145" i="7"/>
  <c r="K145" i="7"/>
  <c r="J145" i="7"/>
  <c r="I145" i="7"/>
  <c r="Q144" i="7"/>
  <c r="P144" i="7"/>
  <c r="O144" i="7"/>
  <c r="N144" i="7"/>
  <c r="M144" i="7"/>
  <c r="L144" i="7"/>
  <c r="K144" i="7"/>
  <c r="J144" i="7"/>
  <c r="I144" i="7"/>
  <c r="Q143" i="7"/>
  <c r="P143" i="7"/>
  <c r="O143" i="7"/>
  <c r="N143" i="7"/>
  <c r="M143" i="7"/>
  <c r="L143" i="7"/>
  <c r="K143" i="7"/>
  <c r="J143" i="7"/>
  <c r="I143" i="7"/>
  <c r="Q142" i="7"/>
  <c r="P142" i="7"/>
  <c r="O142" i="7"/>
  <c r="N142" i="7"/>
  <c r="M142" i="7"/>
  <c r="L142" i="7"/>
  <c r="K142" i="7"/>
  <c r="J142" i="7"/>
  <c r="I142" i="7"/>
  <c r="Q141" i="7"/>
  <c r="P141" i="7"/>
  <c r="O141" i="7"/>
  <c r="N141" i="7"/>
  <c r="M141" i="7"/>
  <c r="L141" i="7"/>
  <c r="K141" i="7"/>
  <c r="J141" i="7"/>
  <c r="I141" i="7"/>
  <c r="Q140" i="7"/>
  <c r="P140" i="7"/>
  <c r="O140" i="7"/>
  <c r="N140" i="7"/>
  <c r="M140" i="7"/>
  <c r="L140" i="7"/>
  <c r="K140" i="7"/>
  <c r="J140" i="7"/>
  <c r="I140" i="7"/>
  <c r="Q139" i="7"/>
  <c r="P139" i="7"/>
  <c r="O139" i="7"/>
  <c r="N139" i="7"/>
  <c r="M139" i="7"/>
  <c r="L139" i="7"/>
  <c r="K139" i="7"/>
  <c r="J139" i="7"/>
  <c r="I139" i="7"/>
  <c r="Q138" i="7"/>
  <c r="P138" i="7"/>
  <c r="O138" i="7"/>
  <c r="N138" i="7"/>
  <c r="M138" i="7"/>
  <c r="L138" i="7"/>
  <c r="K138" i="7"/>
  <c r="J138" i="7"/>
  <c r="I138" i="7"/>
  <c r="Q137" i="7"/>
  <c r="P137" i="7"/>
  <c r="O137" i="7"/>
  <c r="N137" i="7"/>
  <c r="M137" i="7"/>
  <c r="L137" i="7"/>
  <c r="K137" i="7"/>
  <c r="J137" i="7"/>
  <c r="I137" i="7"/>
  <c r="Q136" i="7"/>
  <c r="P136" i="7"/>
  <c r="O136" i="7"/>
  <c r="N136" i="7"/>
  <c r="M136" i="7"/>
  <c r="L136" i="7"/>
  <c r="K136" i="7"/>
  <c r="J136" i="7"/>
  <c r="I136" i="7"/>
  <c r="Q135" i="7"/>
  <c r="P135" i="7"/>
  <c r="O135" i="7"/>
  <c r="N135" i="7"/>
  <c r="M135" i="7"/>
  <c r="L135" i="7"/>
  <c r="K135" i="7"/>
  <c r="J135" i="7"/>
  <c r="I135" i="7"/>
  <c r="Q134" i="7"/>
  <c r="P134" i="7"/>
  <c r="O134" i="7"/>
  <c r="N134" i="7"/>
  <c r="M134" i="7"/>
  <c r="L134" i="7"/>
  <c r="K134" i="7"/>
  <c r="J134" i="7"/>
  <c r="I134" i="7"/>
  <c r="Q133" i="7"/>
  <c r="P133" i="7"/>
  <c r="O133" i="7"/>
  <c r="N133" i="7"/>
  <c r="M133" i="7"/>
  <c r="L133" i="7"/>
  <c r="K133" i="7"/>
  <c r="J133" i="7"/>
  <c r="I133" i="7"/>
  <c r="Q132" i="7"/>
  <c r="P132" i="7"/>
  <c r="O132" i="7"/>
  <c r="N132" i="7"/>
  <c r="M132" i="7"/>
  <c r="L132" i="7"/>
  <c r="K132" i="7"/>
  <c r="J132" i="7"/>
  <c r="I132" i="7"/>
  <c r="Q131" i="7"/>
  <c r="P131" i="7"/>
  <c r="O131" i="7"/>
  <c r="N131" i="7"/>
  <c r="M131" i="7"/>
  <c r="L131" i="7"/>
  <c r="K131" i="7"/>
  <c r="J131" i="7"/>
  <c r="I131" i="7"/>
  <c r="Q130" i="7"/>
  <c r="P130" i="7"/>
  <c r="O130" i="7"/>
  <c r="N130" i="7"/>
  <c r="M130" i="7"/>
  <c r="L130" i="7"/>
  <c r="K130" i="7"/>
  <c r="J130" i="7"/>
  <c r="I130" i="7"/>
  <c r="Q129" i="7"/>
  <c r="P129" i="7"/>
  <c r="O129" i="7"/>
  <c r="N129" i="7"/>
  <c r="M129" i="7"/>
  <c r="L129" i="7"/>
  <c r="K129" i="7"/>
  <c r="J129" i="7"/>
  <c r="I129" i="7"/>
  <c r="Q128" i="7"/>
  <c r="P128" i="7"/>
  <c r="O128" i="7"/>
  <c r="N128" i="7"/>
  <c r="M128" i="7"/>
  <c r="L128" i="7"/>
  <c r="K128" i="7"/>
  <c r="J128" i="7"/>
  <c r="I128" i="7"/>
  <c r="Q127" i="7"/>
  <c r="P127" i="7"/>
  <c r="O127" i="7"/>
  <c r="N127" i="7"/>
  <c r="M127" i="7"/>
  <c r="L127" i="7"/>
  <c r="K127" i="7"/>
  <c r="J127" i="7"/>
  <c r="I127" i="7"/>
  <c r="Q126" i="7"/>
  <c r="P126" i="7"/>
  <c r="O126" i="7"/>
  <c r="N126" i="7"/>
  <c r="M126" i="7"/>
  <c r="L126" i="7"/>
  <c r="K126" i="7"/>
  <c r="J126" i="7"/>
  <c r="I126" i="7"/>
  <c r="Q125" i="7"/>
  <c r="P125" i="7"/>
  <c r="O125" i="7"/>
  <c r="N125" i="7"/>
  <c r="M125" i="7"/>
  <c r="L125" i="7"/>
  <c r="K125" i="7"/>
  <c r="J125" i="7"/>
  <c r="I125" i="7"/>
  <c r="Q124" i="7"/>
  <c r="P124" i="7"/>
  <c r="O124" i="7"/>
  <c r="N124" i="7"/>
  <c r="M124" i="7"/>
  <c r="L124" i="7"/>
  <c r="K124" i="7"/>
  <c r="J124" i="7"/>
  <c r="I124" i="7"/>
  <c r="Q123" i="7"/>
  <c r="P123" i="7"/>
  <c r="O123" i="7"/>
  <c r="N123" i="7"/>
  <c r="M123" i="7"/>
  <c r="L123" i="7"/>
  <c r="K123" i="7"/>
  <c r="J123" i="7"/>
  <c r="I123" i="7"/>
  <c r="Q122" i="7"/>
  <c r="P122" i="7"/>
  <c r="O122" i="7"/>
  <c r="N122" i="7"/>
  <c r="M122" i="7"/>
  <c r="L122" i="7"/>
  <c r="K122" i="7"/>
  <c r="J122" i="7"/>
  <c r="I122" i="7"/>
  <c r="Q121" i="7"/>
  <c r="P121" i="7"/>
  <c r="O121" i="7"/>
  <c r="N121" i="7"/>
  <c r="M121" i="7"/>
  <c r="L121" i="7"/>
  <c r="K121" i="7"/>
  <c r="J121" i="7"/>
  <c r="I121" i="7"/>
  <c r="Q120" i="7"/>
  <c r="P120" i="7"/>
  <c r="O120" i="7"/>
  <c r="N120" i="7"/>
  <c r="M120" i="7"/>
  <c r="L120" i="7"/>
  <c r="K120" i="7"/>
  <c r="J120" i="7"/>
  <c r="I120" i="7"/>
  <c r="Q119" i="7"/>
  <c r="P119" i="7"/>
  <c r="O119" i="7"/>
  <c r="N119" i="7"/>
  <c r="M119" i="7"/>
  <c r="L119" i="7"/>
  <c r="K119" i="7"/>
  <c r="J119" i="7"/>
  <c r="I119" i="7"/>
  <c r="Q118" i="7"/>
  <c r="P118" i="7"/>
  <c r="O118" i="7"/>
  <c r="N118" i="7"/>
  <c r="M118" i="7"/>
  <c r="L118" i="7"/>
  <c r="K118" i="7"/>
  <c r="J118" i="7"/>
  <c r="I118" i="7"/>
  <c r="Q117" i="7"/>
  <c r="P117" i="7"/>
  <c r="O117" i="7"/>
  <c r="N117" i="7"/>
  <c r="M117" i="7"/>
  <c r="L117" i="7"/>
  <c r="K117" i="7"/>
  <c r="J117" i="7"/>
  <c r="I117" i="7"/>
  <c r="Q116" i="7"/>
  <c r="P116" i="7"/>
  <c r="O116" i="7"/>
  <c r="N116" i="7"/>
  <c r="M116" i="7"/>
  <c r="L116" i="7"/>
  <c r="K116" i="7"/>
  <c r="J116" i="7"/>
  <c r="I116" i="7"/>
  <c r="Q115" i="7"/>
  <c r="P115" i="7"/>
  <c r="O115" i="7"/>
  <c r="N115" i="7"/>
  <c r="M115" i="7"/>
  <c r="L115" i="7"/>
  <c r="K115" i="7"/>
  <c r="J115" i="7"/>
  <c r="I115" i="7"/>
  <c r="Q114" i="7"/>
  <c r="P114" i="7"/>
  <c r="O114" i="7"/>
  <c r="N114" i="7"/>
  <c r="M114" i="7"/>
  <c r="L114" i="7"/>
  <c r="K114" i="7"/>
  <c r="J114" i="7"/>
  <c r="I114" i="7"/>
  <c r="Q113" i="7"/>
  <c r="P113" i="7"/>
  <c r="O113" i="7"/>
  <c r="N113" i="7"/>
  <c r="M113" i="7"/>
  <c r="L113" i="7"/>
  <c r="K113" i="7"/>
  <c r="J113" i="7"/>
  <c r="I113" i="7"/>
  <c r="Q112" i="7"/>
  <c r="P112" i="7"/>
  <c r="O112" i="7"/>
  <c r="N112" i="7"/>
  <c r="M112" i="7"/>
  <c r="L112" i="7"/>
  <c r="K112" i="7"/>
  <c r="J112" i="7"/>
  <c r="I112" i="7"/>
  <c r="Q111" i="7"/>
  <c r="P111" i="7"/>
  <c r="O111" i="7"/>
  <c r="N111" i="7"/>
  <c r="M111" i="7"/>
  <c r="L111" i="7"/>
  <c r="K111" i="7"/>
  <c r="J111" i="7"/>
  <c r="I111" i="7"/>
  <c r="Q110" i="7"/>
  <c r="P110" i="7"/>
  <c r="O110" i="7"/>
  <c r="N110" i="7"/>
  <c r="M110" i="7"/>
  <c r="L110" i="7"/>
  <c r="K110" i="7"/>
  <c r="J110" i="7"/>
  <c r="I110" i="7"/>
  <c r="Q109" i="7"/>
  <c r="P109" i="7"/>
  <c r="O109" i="7"/>
  <c r="N109" i="7"/>
  <c r="M109" i="7"/>
  <c r="L109" i="7"/>
  <c r="K109" i="7"/>
  <c r="J109" i="7"/>
  <c r="I109" i="7"/>
  <c r="Q108" i="7"/>
  <c r="P108" i="7"/>
  <c r="O108" i="7"/>
  <c r="N108" i="7"/>
  <c r="M108" i="7"/>
  <c r="L108" i="7"/>
  <c r="K108" i="7"/>
  <c r="J108" i="7"/>
  <c r="I108" i="7"/>
  <c r="Q107" i="7"/>
  <c r="P107" i="7"/>
  <c r="O107" i="7"/>
  <c r="N107" i="7"/>
  <c r="M107" i="7"/>
  <c r="L107" i="7"/>
  <c r="K107" i="7"/>
  <c r="J107" i="7"/>
  <c r="I107" i="7"/>
  <c r="Q106" i="7"/>
  <c r="P106" i="7"/>
  <c r="O106" i="7"/>
  <c r="N106" i="7"/>
  <c r="M106" i="7"/>
  <c r="L106" i="7"/>
  <c r="K106" i="7"/>
  <c r="J106" i="7"/>
  <c r="I106" i="7"/>
  <c r="Q105" i="7"/>
  <c r="P105" i="7"/>
  <c r="O105" i="7"/>
  <c r="N105" i="7"/>
  <c r="M105" i="7"/>
  <c r="L105" i="7"/>
  <c r="K105" i="7"/>
  <c r="J105" i="7"/>
  <c r="I105" i="7"/>
  <c r="Q104" i="7"/>
  <c r="P104" i="7"/>
  <c r="O104" i="7"/>
  <c r="N104" i="7"/>
  <c r="M104" i="7"/>
  <c r="L104" i="7"/>
  <c r="K104" i="7"/>
  <c r="J104" i="7"/>
  <c r="I104" i="7"/>
  <c r="Q103" i="7"/>
  <c r="P103" i="7"/>
  <c r="O103" i="7"/>
  <c r="N103" i="7"/>
  <c r="M103" i="7"/>
  <c r="L103" i="7"/>
  <c r="K103" i="7"/>
  <c r="J103" i="7"/>
  <c r="I103" i="7"/>
  <c r="Q102" i="7"/>
  <c r="P102" i="7"/>
  <c r="O102" i="7"/>
  <c r="N102" i="7"/>
  <c r="M102" i="7"/>
  <c r="L102" i="7"/>
  <c r="K102" i="7"/>
  <c r="J102" i="7"/>
  <c r="I102" i="7"/>
  <c r="Q101" i="7"/>
  <c r="P101" i="7"/>
  <c r="O101" i="7"/>
  <c r="N101" i="7"/>
  <c r="M101" i="7"/>
  <c r="L101" i="7"/>
  <c r="K101" i="7"/>
  <c r="J101" i="7"/>
  <c r="I101" i="7"/>
  <c r="Q100" i="7"/>
  <c r="P100" i="7"/>
  <c r="O100" i="7"/>
  <c r="N100" i="7"/>
  <c r="M100" i="7"/>
  <c r="L100" i="7"/>
  <c r="K100" i="7"/>
  <c r="J100" i="7"/>
  <c r="I100" i="7"/>
  <c r="Q99" i="7"/>
  <c r="P99" i="7"/>
  <c r="O99" i="7"/>
  <c r="N99" i="7"/>
  <c r="M99" i="7"/>
  <c r="L99" i="7"/>
  <c r="K99" i="7"/>
  <c r="J99" i="7"/>
  <c r="I99" i="7"/>
  <c r="Q98" i="7"/>
  <c r="P98" i="7"/>
  <c r="O98" i="7"/>
  <c r="N98" i="7"/>
  <c r="M98" i="7"/>
  <c r="L98" i="7"/>
  <c r="K98" i="7"/>
  <c r="J98" i="7"/>
  <c r="I98" i="7"/>
  <c r="Q97" i="7"/>
  <c r="P97" i="7"/>
  <c r="O97" i="7"/>
  <c r="N97" i="7"/>
  <c r="M97" i="7"/>
  <c r="L97" i="7"/>
  <c r="K97" i="7"/>
  <c r="J97" i="7"/>
  <c r="I97" i="7"/>
  <c r="Q96" i="7"/>
  <c r="P96" i="7"/>
  <c r="O96" i="7"/>
  <c r="N96" i="7"/>
  <c r="M96" i="7"/>
  <c r="L96" i="7"/>
  <c r="K96" i="7"/>
  <c r="J96" i="7"/>
  <c r="I96" i="7"/>
  <c r="Q95" i="7"/>
  <c r="P95" i="7"/>
  <c r="O95" i="7"/>
  <c r="N95" i="7"/>
  <c r="M95" i="7"/>
  <c r="L95" i="7"/>
  <c r="K95" i="7"/>
  <c r="J95" i="7"/>
  <c r="I95" i="7"/>
  <c r="Q94" i="7"/>
  <c r="P94" i="7"/>
  <c r="O94" i="7"/>
  <c r="N94" i="7"/>
  <c r="M94" i="7"/>
  <c r="L94" i="7"/>
  <c r="K94" i="7"/>
  <c r="J94" i="7"/>
  <c r="I94" i="7"/>
  <c r="Q93" i="7"/>
  <c r="P93" i="7"/>
  <c r="O93" i="7"/>
  <c r="N93" i="7"/>
  <c r="M93" i="7"/>
  <c r="L93" i="7"/>
  <c r="K93" i="7"/>
  <c r="J93" i="7"/>
  <c r="I93" i="7"/>
  <c r="Q92" i="7"/>
  <c r="P92" i="7"/>
  <c r="O92" i="7"/>
  <c r="N92" i="7"/>
  <c r="M92" i="7"/>
  <c r="L92" i="7"/>
  <c r="K92" i="7"/>
  <c r="J92" i="7"/>
  <c r="I92" i="7"/>
  <c r="Q91" i="7"/>
  <c r="P91" i="7"/>
  <c r="O91" i="7"/>
  <c r="N91" i="7"/>
  <c r="M91" i="7"/>
  <c r="L91" i="7"/>
  <c r="K91" i="7"/>
  <c r="J91" i="7"/>
  <c r="I91" i="7"/>
  <c r="Q90" i="7"/>
  <c r="P90" i="7"/>
  <c r="O90" i="7"/>
  <c r="N90" i="7"/>
  <c r="M90" i="7"/>
  <c r="L90" i="7"/>
  <c r="K90" i="7"/>
  <c r="J90" i="7"/>
  <c r="I90" i="7"/>
  <c r="Q89" i="7"/>
  <c r="P89" i="7"/>
  <c r="O89" i="7"/>
  <c r="N89" i="7"/>
  <c r="M89" i="7"/>
  <c r="L89" i="7"/>
  <c r="K89" i="7"/>
  <c r="J89" i="7"/>
  <c r="I89" i="7"/>
  <c r="Q88" i="7"/>
  <c r="P88" i="7"/>
  <c r="O88" i="7"/>
  <c r="N88" i="7"/>
  <c r="M88" i="7"/>
  <c r="L88" i="7"/>
  <c r="K88" i="7"/>
  <c r="J88" i="7"/>
  <c r="I88" i="7"/>
  <c r="Q87" i="7"/>
  <c r="P87" i="7"/>
  <c r="O87" i="7"/>
  <c r="N87" i="7"/>
  <c r="M87" i="7"/>
  <c r="L87" i="7"/>
  <c r="K87" i="7"/>
  <c r="J87" i="7"/>
  <c r="I87" i="7"/>
  <c r="Q86" i="7"/>
  <c r="P86" i="7"/>
  <c r="O86" i="7"/>
  <c r="N86" i="7"/>
  <c r="M86" i="7"/>
  <c r="L86" i="7"/>
  <c r="K86" i="7"/>
  <c r="J86" i="7"/>
  <c r="I86" i="7"/>
  <c r="Q85" i="7"/>
  <c r="P85" i="7"/>
  <c r="O85" i="7"/>
  <c r="N85" i="7"/>
  <c r="M85" i="7"/>
  <c r="L85" i="7"/>
  <c r="K85" i="7"/>
  <c r="J85" i="7"/>
  <c r="I85" i="7"/>
  <c r="Q84" i="7"/>
  <c r="P84" i="7"/>
  <c r="O84" i="7"/>
  <c r="N84" i="7"/>
  <c r="M84" i="7"/>
  <c r="L84" i="7"/>
  <c r="K84" i="7"/>
  <c r="J84" i="7"/>
  <c r="I84" i="7"/>
  <c r="Q83" i="7"/>
  <c r="P83" i="7"/>
  <c r="O83" i="7"/>
  <c r="N83" i="7"/>
  <c r="M83" i="7"/>
  <c r="L83" i="7"/>
  <c r="K83" i="7"/>
  <c r="J83" i="7"/>
  <c r="I83" i="7"/>
  <c r="Q82" i="7"/>
  <c r="P82" i="7"/>
  <c r="O82" i="7"/>
  <c r="N82" i="7"/>
  <c r="M82" i="7"/>
  <c r="L82" i="7"/>
  <c r="K82" i="7"/>
  <c r="J82" i="7"/>
  <c r="I82" i="7"/>
  <c r="Q81" i="7"/>
  <c r="P81" i="7"/>
  <c r="O81" i="7"/>
  <c r="N81" i="7"/>
  <c r="M81" i="7"/>
  <c r="L81" i="7"/>
  <c r="K81" i="7"/>
  <c r="J81" i="7"/>
  <c r="I81" i="7"/>
  <c r="Q80" i="7"/>
  <c r="P80" i="7"/>
  <c r="O80" i="7"/>
  <c r="N80" i="7"/>
  <c r="M80" i="7"/>
  <c r="L80" i="7"/>
  <c r="K80" i="7"/>
  <c r="J80" i="7"/>
  <c r="I80" i="7"/>
  <c r="Q79" i="7"/>
  <c r="P79" i="7"/>
  <c r="O79" i="7"/>
  <c r="N79" i="7"/>
  <c r="M79" i="7"/>
  <c r="L79" i="7"/>
  <c r="K79" i="7"/>
  <c r="J79" i="7"/>
  <c r="I79" i="7"/>
  <c r="Q78" i="7"/>
  <c r="P78" i="7"/>
  <c r="O78" i="7"/>
  <c r="N78" i="7"/>
  <c r="M78" i="7"/>
  <c r="L78" i="7"/>
  <c r="K78" i="7"/>
  <c r="J78" i="7"/>
  <c r="I78" i="7"/>
  <c r="Q77" i="7"/>
  <c r="P77" i="7"/>
  <c r="O77" i="7"/>
  <c r="N77" i="7"/>
  <c r="M77" i="7"/>
  <c r="L77" i="7"/>
  <c r="K77" i="7"/>
  <c r="J77" i="7"/>
  <c r="I77" i="7"/>
  <c r="Q76" i="7"/>
  <c r="P76" i="7"/>
  <c r="O76" i="7"/>
  <c r="N76" i="7"/>
  <c r="M76" i="7"/>
  <c r="L76" i="7"/>
  <c r="K76" i="7"/>
  <c r="J76" i="7"/>
  <c r="I76" i="7"/>
  <c r="Q4" i="7"/>
  <c r="P4" i="7"/>
  <c r="O4" i="7"/>
  <c r="N4" i="7"/>
  <c r="M4" i="7"/>
  <c r="L4" i="7"/>
  <c r="K4" i="7"/>
  <c r="J4" i="7"/>
  <c r="I4" i="7"/>
  <c r="I5" i="6"/>
  <c r="J5" i="6"/>
  <c r="K5" i="6"/>
  <c r="L5" i="6"/>
  <c r="M5" i="6"/>
  <c r="N5" i="6"/>
  <c r="O5" i="6"/>
  <c r="P5" i="6"/>
  <c r="Q5" i="6"/>
  <c r="I6" i="6"/>
  <c r="J6" i="6"/>
  <c r="K6" i="6"/>
  <c r="L6" i="6"/>
  <c r="M6" i="6"/>
  <c r="N6" i="6"/>
  <c r="O6" i="6"/>
  <c r="P6" i="6"/>
  <c r="Q6" i="6"/>
  <c r="I7" i="6"/>
  <c r="J7" i="6"/>
  <c r="K7" i="6"/>
  <c r="L7" i="6"/>
  <c r="M7" i="6"/>
  <c r="N7" i="6"/>
  <c r="O7" i="6"/>
  <c r="P7" i="6"/>
  <c r="Q7" i="6"/>
  <c r="I8" i="6"/>
  <c r="J8" i="6"/>
  <c r="K8" i="6"/>
  <c r="L8" i="6"/>
  <c r="M8" i="6"/>
  <c r="N8" i="6"/>
  <c r="O8" i="6"/>
  <c r="P8" i="6"/>
  <c r="Q8" i="6"/>
  <c r="I9" i="6"/>
  <c r="J9" i="6"/>
  <c r="K9" i="6"/>
  <c r="L9" i="6"/>
  <c r="M9" i="6"/>
  <c r="N9" i="6"/>
  <c r="O9" i="6"/>
  <c r="P9" i="6"/>
  <c r="Q9" i="6"/>
  <c r="I10" i="6"/>
  <c r="J10" i="6"/>
  <c r="K10" i="6"/>
  <c r="L10" i="6"/>
  <c r="M10" i="6"/>
  <c r="N10" i="6"/>
  <c r="O10" i="6"/>
  <c r="P10" i="6"/>
  <c r="Q10" i="6"/>
  <c r="I11" i="6"/>
  <c r="J11" i="6"/>
  <c r="K11" i="6"/>
  <c r="L11" i="6"/>
  <c r="M11" i="6"/>
  <c r="N11" i="6"/>
  <c r="O11" i="6"/>
  <c r="P11" i="6"/>
  <c r="Q11" i="6"/>
  <c r="I12" i="6"/>
  <c r="J12" i="6"/>
  <c r="K12" i="6"/>
  <c r="L12" i="6"/>
  <c r="M12" i="6"/>
  <c r="N12" i="6"/>
  <c r="O12" i="6"/>
  <c r="P12" i="6"/>
  <c r="Q12" i="6"/>
  <c r="I13" i="6"/>
  <c r="J13" i="6"/>
  <c r="K13" i="6"/>
  <c r="L13" i="6"/>
  <c r="M13" i="6"/>
  <c r="N13" i="6"/>
  <c r="O13" i="6"/>
  <c r="P13" i="6"/>
  <c r="Q13" i="6"/>
  <c r="I14" i="6"/>
  <c r="J14" i="6"/>
  <c r="K14" i="6"/>
  <c r="L14" i="6"/>
  <c r="M14" i="6"/>
  <c r="N14" i="6"/>
  <c r="O14" i="6"/>
  <c r="P14" i="6"/>
  <c r="Q14" i="6"/>
  <c r="I15" i="6"/>
  <c r="J15" i="6"/>
  <c r="K15" i="6"/>
  <c r="L15" i="6"/>
  <c r="M15" i="6"/>
  <c r="N15" i="6"/>
  <c r="O15" i="6"/>
  <c r="P15" i="6"/>
  <c r="Q15" i="6"/>
  <c r="I16" i="6"/>
  <c r="J16" i="6"/>
  <c r="K16" i="6"/>
  <c r="L16" i="6"/>
  <c r="M16" i="6"/>
  <c r="N16" i="6"/>
  <c r="O16" i="6"/>
  <c r="P16" i="6"/>
  <c r="Q16" i="6"/>
  <c r="I17" i="6"/>
  <c r="J17" i="6"/>
  <c r="K17" i="6"/>
  <c r="L17" i="6"/>
  <c r="M17" i="6"/>
  <c r="N17" i="6"/>
  <c r="O17" i="6"/>
  <c r="P17" i="6"/>
  <c r="Q17" i="6"/>
  <c r="I18" i="6"/>
  <c r="J18" i="6"/>
  <c r="K18" i="6"/>
  <c r="L18" i="6"/>
  <c r="M18" i="6"/>
  <c r="N18" i="6"/>
  <c r="O18" i="6"/>
  <c r="P18" i="6"/>
  <c r="Q18" i="6"/>
  <c r="I19" i="6"/>
  <c r="J19" i="6"/>
  <c r="K19" i="6"/>
  <c r="L19" i="6"/>
  <c r="M19" i="6"/>
  <c r="N19" i="6"/>
  <c r="O19" i="6"/>
  <c r="P19" i="6"/>
  <c r="Q19" i="6"/>
  <c r="I20" i="6"/>
  <c r="J20" i="6"/>
  <c r="K20" i="6"/>
  <c r="L20" i="6"/>
  <c r="M20" i="6"/>
  <c r="N20" i="6"/>
  <c r="O20" i="6"/>
  <c r="P20" i="6"/>
  <c r="Q20" i="6"/>
  <c r="I21" i="6"/>
  <c r="J21" i="6"/>
  <c r="K21" i="6"/>
  <c r="L21" i="6"/>
  <c r="M21" i="6"/>
  <c r="N21" i="6"/>
  <c r="O21" i="6"/>
  <c r="P21" i="6"/>
  <c r="Q21" i="6"/>
  <c r="I22" i="6"/>
  <c r="J22" i="6"/>
  <c r="K22" i="6"/>
  <c r="L22" i="6"/>
  <c r="M22" i="6"/>
  <c r="N22" i="6"/>
  <c r="O22" i="6"/>
  <c r="P22" i="6"/>
  <c r="Q22" i="6"/>
  <c r="I23" i="6"/>
  <c r="J23" i="6"/>
  <c r="K23" i="6"/>
  <c r="L23" i="6"/>
  <c r="M23" i="6"/>
  <c r="N23" i="6"/>
  <c r="O23" i="6"/>
  <c r="P23" i="6"/>
  <c r="Q23" i="6"/>
  <c r="I24" i="6"/>
  <c r="J24" i="6"/>
  <c r="K24" i="6"/>
  <c r="L24" i="6"/>
  <c r="M24" i="6"/>
  <c r="N24" i="6"/>
  <c r="O24" i="6"/>
  <c r="P24" i="6"/>
  <c r="Q24" i="6"/>
  <c r="I25" i="6"/>
  <c r="J25" i="6"/>
  <c r="K25" i="6"/>
  <c r="L25" i="6"/>
  <c r="M25" i="6"/>
  <c r="N25" i="6"/>
  <c r="O25" i="6"/>
  <c r="P25" i="6"/>
  <c r="Q25" i="6"/>
  <c r="I26" i="6"/>
  <c r="J26" i="6"/>
  <c r="K26" i="6"/>
  <c r="L26" i="6"/>
  <c r="M26" i="6"/>
  <c r="N26" i="6"/>
  <c r="O26" i="6"/>
  <c r="P26" i="6"/>
  <c r="Q26" i="6"/>
  <c r="I27" i="6"/>
  <c r="J27" i="6"/>
  <c r="K27" i="6"/>
  <c r="L27" i="6"/>
  <c r="M27" i="6"/>
  <c r="N27" i="6"/>
  <c r="O27" i="6"/>
  <c r="P27" i="6"/>
  <c r="Q27" i="6"/>
  <c r="I28" i="6"/>
  <c r="J28" i="6"/>
  <c r="K28" i="6"/>
  <c r="L28" i="6"/>
  <c r="M28" i="6"/>
  <c r="N28" i="6"/>
  <c r="O28" i="6"/>
  <c r="P28" i="6"/>
  <c r="Q28" i="6"/>
  <c r="I29" i="6"/>
  <c r="J29" i="6"/>
  <c r="K29" i="6"/>
  <c r="L29" i="6"/>
  <c r="M29" i="6"/>
  <c r="N29" i="6"/>
  <c r="O29" i="6"/>
  <c r="P29" i="6"/>
  <c r="Q29" i="6"/>
  <c r="I30" i="6"/>
  <c r="J30" i="6"/>
  <c r="K30" i="6"/>
  <c r="L30" i="6"/>
  <c r="M30" i="6"/>
  <c r="N30" i="6"/>
  <c r="O30" i="6"/>
  <c r="P30" i="6"/>
  <c r="Q30" i="6"/>
  <c r="I31" i="6"/>
  <c r="J31" i="6"/>
  <c r="K31" i="6"/>
  <c r="L31" i="6"/>
  <c r="M31" i="6"/>
  <c r="N31" i="6"/>
  <c r="O31" i="6"/>
  <c r="P31" i="6"/>
  <c r="Q31" i="6"/>
  <c r="I32" i="6"/>
  <c r="J32" i="6"/>
  <c r="K32" i="6"/>
  <c r="L32" i="6"/>
  <c r="M32" i="6"/>
  <c r="N32" i="6"/>
  <c r="O32" i="6"/>
  <c r="P32" i="6"/>
  <c r="Q32" i="6"/>
  <c r="I33" i="6"/>
  <c r="J33" i="6"/>
  <c r="K33" i="6"/>
  <c r="L33" i="6"/>
  <c r="M33" i="6"/>
  <c r="N33" i="6"/>
  <c r="O33" i="6"/>
  <c r="P33" i="6"/>
  <c r="Q33" i="6"/>
  <c r="I34" i="6"/>
  <c r="J34" i="6"/>
  <c r="K34" i="6"/>
  <c r="L34" i="6"/>
  <c r="M34" i="6"/>
  <c r="N34" i="6"/>
  <c r="O34" i="6"/>
  <c r="P34" i="6"/>
  <c r="Q34" i="6"/>
  <c r="I35" i="6"/>
  <c r="J35" i="6"/>
  <c r="K35" i="6"/>
  <c r="L35" i="6"/>
  <c r="M35" i="6"/>
  <c r="N35" i="6"/>
  <c r="O35" i="6"/>
  <c r="P35" i="6"/>
  <c r="Q35" i="6"/>
  <c r="I36" i="6"/>
  <c r="J36" i="6"/>
  <c r="K36" i="6"/>
  <c r="L36" i="6"/>
  <c r="M36" i="6"/>
  <c r="N36" i="6"/>
  <c r="O36" i="6"/>
  <c r="P36" i="6"/>
  <c r="Q36" i="6"/>
  <c r="I37" i="6"/>
  <c r="J37" i="6"/>
  <c r="K37" i="6"/>
  <c r="L37" i="6"/>
  <c r="M37" i="6"/>
  <c r="N37" i="6"/>
  <c r="O37" i="6"/>
  <c r="P37" i="6"/>
  <c r="Q37" i="6"/>
  <c r="I38" i="6"/>
  <c r="J38" i="6"/>
  <c r="K38" i="6"/>
  <c r="L38" i="6"/>
  <c r="M38" i="6"/>
  <c r="N38" i="6"/>
  <c r="O38" i="6"/>
  <c r="P38" i="6"/>
  <c r="Q38" i="6"/>
  <c r="I39" i="6"/>
  <c r="J39" i="6"/>
  <c r="K39" i="6"/>
  <c r="L39" i="6"/>
  <c r="M39" i="6"/>
  <c r="N39" i="6"/>
  <c r="O39" i="6"/>
  <c r="P39" i="6"/>
  <c r="Q39" i="6"/>
  <c r="I40" i="6"/>
  <c r="J40" i="6"/>
  <c r="K40" i="6"/>
  <c r="L40" i="6"/>
  <c r="M40" i="6"/>
  <c r="N40" i="6"/>
  <c r="O40" i="6"/>
  <c r="P40" i="6"/>
  <c r="Q40" i="6"/>
  <c r="I41" i="6"/>
  <c r="J41" i="6"/>
  <c r="K41" i="6"/>
  <c r="L41" i="6"/>
  <c r="M41" i="6"/>
  <c r="N41" i="6"/>
  <c r="O41" i="6"/>
  <c r="P41" i="6"/>
  <c r="Q41" i="6"/>
  <c r="I42" i="6"/>
  <c r="J42" i="6"/>
  <c r="K42" i="6"/>
  <c r="L42" i="6"/>
  <c r="M42" i="6"/>
  <c r="N42" i="6"/>
  <c r="O42" i="6"/>
  <c r="P42" i="6"/>
  <c r="Q42" i="6"/>
  <c r="I43" i="6"/>
  <c r="J43" i="6"/>
  <c r="K43" i="6"/>
  <c r="L43" i="6"/>
  <c r="M43" i="6"/>
  <c r="N43" i="6"/>
  <c r="O43" i="6"/>
  <c r="P43" i="6"/>
  <c r="Q43" i="6"/>
  <c r="I44" i="6"/>
  <c r="J44" i="6"/>
  <c r="K44" i="6"/>
  <c r="L44" i="6"/>
  <c r="M44" i="6"/>
  <c r="N44" i="6"/>
  <c r="O44" i="6"/>
  <c r="P44" i="6"/>
  <c r="Q44" i="6"/>
  <c r="I45" i="6"/>
  <c r="J45" i="6"/>
  <c r="K45" i="6"/>
  <c r="L45" i="6"/>
  <c r="M45" i="6"/>
  <c r="N45" i="6"/>
  <c r="O45" i="6"/>
  <c r="P45" i="6"/>
  <c r="Q45" i="6"/>
  <c r="I46" i="6"/>
  <c r="J46" i="6"/>
  <c r="K46" i="6"/>
  <c r="L46" i="6"/>
  <c r="M46" i="6"/>
  <c r="N46" i="6"/>
  <c r="O46" i="6"/>
  <c r="P46" i="6"/>
  <c r="Q46" i="6"/>
  <c r="I47" i="6"/>
  <c r="J47" i="6"/>
  <c r="K47" i="6"/>
  <c r="L47" i="6"/>
  <c r="M47" i="6"/>
  <c r="N47" i="6"/>
  <c r="O47" i="6"/>
  <c r="P47" i="6"/>
  <c r="Q47" i="6"/>
  <c r="I48" i="6"/>
  <c r="J48" i="6"/>
  <c r="K48" i="6"/>
  <c r="L48" i="6"/>
  <c r="M48" i="6"/>
  <c r="N48" i="6"/>
  <c r="O48" i="6"/>
  <c r="P48" i="6"/>
  <c r="Q48" i="6"/>
  <c r="I49" i="6"/>
  <c r="J49" i="6"/>
  <c r="K49" i="6"/>
  <c r="L49" i="6"/>
  <c r="M49" i="6"/>
  <c r="N49" i="6"/>
  <c r="O49" i="6"/>
  <c r="P49" i="6"/>
  <c r="Q49" i="6"/>
  <c r="I50" i="6"/>
  <c r="J50" i="6"/>
  <c r="K50" i="6"/>
  <c r="L50" i="6"/>
  <c r="M50" i="6"/>
  <c r="N50" i="6"/>
  <c r="O50" i="6"/>
  <c r="P50" i="6"/>
  <c r="Q50" i="6"/>
  <c r="I51" i="6"/>
  <c r="J51" i="6"/>
  <c r="K51" i="6"/>
  <c r="L51" i="6"/>
  <c r="M51" i="6"/>
  <c r="N51" i="6"/>
  <c r="O51" i="6"/>
  <c r="P51" i="6"/>
  <c r="Q51" i="6"/>
  <c r="I52" i="6"/>
  <c r="J52" i="6"/>
  <c r="K52" i="6"/>
  <c r="L52" i="6"/>
  <c r="M52" i="6"/>
  <c r="N52" i="6"/>
  <c r="O52" i="6"/>
  <c r="P52" i="6"/>
  <c r="Q52" i="6"/>
  <c r="I53" i="6"/>
  <c r="J53" i="6"/>
  <c r="K53" i="6"/>
  <c r="L53" i="6"/>
  <c r="M53" i="6"/>
  <c r="N53" i="6"/>
  <c r="O53" i="6"/>
  <c r="P53" i="6"/>
  <c r="Q53" i="6"/>
  <c r="I54" i="6"/>
  <c r="J54" i="6"/>
  <c r="K54" i="6"/>
  <c r="L54" i="6"/>
  <c r="M54" i="6"/>
  <c r="N54" i="6"/>
  <c r="O54" i="6"/>
  <c r="P54" i="6"/>
  <c r="Q54" i="6"/>
  <c r="I55" i="6"/>
  <c r="J55" i="6"/>
  <c r="K55" i="6"/>
  <c r="L55" i="6"/>
  <c r="M55" i="6"/>
  <c r="N55" i="6"/>
  <c r="O55" i="6"/>
  <c r="P55" i="6"/>
  <c r="Q55" i="6"/>
  <c r="I56" i="6"/>
  <c r="J56" i="6"/>
  <c r="K56" i="6"/>
  <c r="L56" i="6"/>
  <c r="M56" i="6"/>
  <c r="N56" i="6"/>
  <c r="O56" i="6"/>
  <c r="P56" i="6"/>
  <c r="Q56" i="6"/>
  <c r="I57" i="6"/>
  <c r="J57" i="6"/>
  <c r="K57" i="6"/>
  <c r="L57" i="6"/>
  <c r="M57" i="6"/>
  <c r="N57" i="6"/>
  <c r="O57" i="6"/>
  <c r="P57" i="6"/>
  <c r="Q57" i="6"/>
  <c r="I58" i="6"/>
  <c r="J58" i="6"/>
  <c r="K58" i="6"/>
  <c r="L58" i="6"/>
  <c r="M58" i="6"/>
  <c r="N58" i="6"/>
  <c r="O58" i="6"/>
  <c r="P58" i="6"/>
  <c r="Q58" i="6"/>
  <c r="I59" i="6"/>
  <c r="J59" i="6"/>
  <c r="K59" i="6"/>
  <c r="L59" i="6"/>
  <c r="M59" i="6"/>
  <c r="N59" i="6"/>
  <c r="O59" i="6"/>
  <c r="P59" i="6"/>
  <c r="Q59" i="6"/>
  <c r="I60" i="6"/>
  <c r="J60" i="6"/>
  <c r="K60" i="6"/>
  <c r="L60" i="6"/>
  <c r="M60" i="6"/>
  <c r="N60" i="6"/>
  <c r="O60" i="6"/>
  <c r="P60" i="6"/>
  <c r="Q60" i="6"/>
  <c r="I61" i="6"/>
  <c r="J61" i="6"/>
  <c r="K61" i="6"/>
  <c r="L61" i="6"/>
  <c r="M61" i="6"/>
  <c r="N61" i="6"/>
  <c r="O61" i="6"/>
  <c r="P61" i="6"/>
  <c r="Q61" i="6"/>
  <c r="I62" i="6"/>
  <c r="J62" i="6"/>
  <c r="K62" i="6"/>
  <c r="L62" i="6"/>
  <c r="M62" i="6"/>
  <c r="N62" i="6"/>
  <c r="O62" i="6"/>
  <c r="P62" i="6"/>
  <c r="Q62" i="6"/>
  <c r="I63" i="6"/>
  <c r="J63" i="6"/>
  <c r="K63" i="6"/>
  <c r="L63" i="6"/>
  <c r="M63" i="6"/>
  <c r="N63" i="6"/>
  <c r="O63" i="6"/>
  <c r="P63" i="6"/>
  <c r="Q63" i="6"/>
  <c r="I64" i="6"/>
  <c r="J64" i="6"/>
  <c r="K64" i="6"/>
  <c r="L64" i="6"/>
  <c r="M64" i="6"/>
  <c r="N64" i="6"/>
  <c r="O64" i="6"/>
  <c r="P64" i="6"/>
  <c r="Q64" i="6"/>
  <c r="I65" i="6"/>
  <c r="J65" i="6"/>
  <c r="K65" i="6"/>
  <c r="L65" i="6"/>
  <c r="M65" i="6"/>
  <c r="N65" i="6"/>
  <c r="O65" i="6"/>
  <c r="P65" i="6"/>
  <c r="Q65" i="6"/>
  <c r="I66" i="6"/>
  <c r="J66" i="6"/>
  <c r="K66" i="6"/>
  <c r="L66" i="6"/>
  <c r="M66" i="6"/>
  <c r="N66" i="6"/>
  <c r="O66" i="6"/>
  <c r="P66" i="6"/>
  <c r="Q66" i="6"/>
  <c r="I67" i="6"/>
  <c r="J67" i="6"/>
  <c r="K67" i="6"/>
  <c r="L67" i="6"/>
  <c r="M67" i="6"/>
  <c r="N67" i="6"/>
  <c r="O67" i="6"/>
  <c r="P67" i="6"/>
  <c r="Q67" i="6"/>
  <c r="I68" i="6"/>
  <c r="J68" i="6"/>
  <c r="K68" i="6"/>
  <c r="L68" i="6"/>
  <c r="M68" i="6"/>
  <c r="N68" i="6"/>
  <c r="O68" i="6"/>
  <c r="P68" i="6"/>
  <c r="Q68" i="6"/>
  <c r="I69" i="6"/>
  <c r="J69" i="6"/>
  <c r="K69" i="6"/>
  <c r="L69" i="6"/>
  <c r="M69" i="6"/>
  <c r="N69" i="6"/>
  <c r="O69" i="6"/>
  <c r="P69" i="6"/>
  <c r="Q69" i="6"/>
  <c r="I70" i="6"/>
  <c r="J70" i="6"/>
  <c r="K70" i="6"/>
  <c r="L70" i="6"/>
  <c r="M70" i="6"/>
  <c r="N70" i="6"/>
  <c r="O70" i="6"/>
  <c r="P70" i="6"/>
  <c r="Q70" i="6"/>
  <c r="I71" i="6"/>
  <c r="J71" i="6"/>
  <c r="K71" i="6"/>
  <c r="L71" i="6"/>
  <c r="M71" i="6"/>
  <c r="N71" i="6"/>
  <c r="O71" i="6"/>
  <c r="P71" i="6"/>
  <c r="Q71" i="6"/>
  <c r="I72" i="6"/>
  <c r="J72" i="6"/>
  <c r="K72" i="6"/>
  <c r="L72" i="6"/>
  <c r="M72" i="6"/>
  <c r="N72" i="6"/>
  <c r="O72" i="6"/>
  <c r="P72" i="6"/>
  <c r="Q72" i="6"/>
  <c r="I73" i="6"/>
  <c r="J73" i="6"/>
  <c r="K73" i="6"/>
  <c r="L73" i="6"/>
  <c r="M73" i="6"/>
  <c r="N73" i="6"/>
  <c r="O73" i="6"/>
  <c r="P73" i="6"/>
  <c r="Q73" i="6"/>
  <c r="I74" i="6"/>
  <c r="J74" i="6"/>
  <c r="K74" i="6"/>
  <c r="L74" i="6"/>
  <c r="M74" i="6"/>
  <c r="N74" i="6"/>
  <c r="O74" i="6"/>
  <c r="P74" i="6"/>
  <c r="Q74" i="6"/>
  <c r="I75" i="6"/>
  <c r="J75" i="6"/>
  <c r="K75" i="6"/>
  <c r="L75" i="6"/>
  <c r="M75" i="6"/>
  <c r="N75" i="6"/>
  <c r="O75" i="6"/>
  <c r="P75" i="6"/>
  <c r="Q75" i="6"/>
  <c r="I76" i="6"/>
  <c r="J76" i="6"/>
  <c r="K76" i="6"/>
  <c r="L76" i="6"/>
  <c r="M76" i="6"/>
  <c r="N76" i="6"/>
  <c r="O76" i="6"/>
  <c r="P76" i="6"/>
  <c r="Q76" i="6"/>
  <c r="I77" i="6"/>
  <c r="J77" i="6"/>
  <c r="K77" i="6"/>
  <c r="L77" i="6"/>
  <c r="M77" i="6"/>
  <c r="N77" i="6"/>
  <c r="O77" i="6"/>
  <c r="P77" i="6"/>
  <c r="Q77" i="6"/>
  <c r="I78" i="6"/>
  <c r="J78" i="6"/>
  <c r="K78" i="6"/>
  <c r="L78" i="6"/>
  <c r="M78" i="6"/>
  <c r="N78" i="6"/>
  <c r="O78" i="6"/>
  <c r="P78" i="6"/>
  <c r="Q78" i="6"/>
  <c r="I79" i="6"/>
  <c r="J79" i="6"/>
  <c r="K79" i="6"/>
  <c r="L79" i="6"/>
  <c r="M79" i="6"/>
  <c r="N79" i="6"/>
  <c r="O79" i="6"/>
  <c r="P79" i="6"/>
  <c r="Q79" i="6"/>
  <c r="I80" i="6"/>
  <c r="J80" i="6"/>
  <c r="K80" i="6"/>
  <c r="L80" i="6"/>
  <c r="M80" i="6"/>
  <c r="N80" i="6"/>
  <c r="O80" i="6"/>
  <c r="P80" i="6"/>
  <c r="Q80" i="6"/>
  <c r="I81" i="6"/>
  <c r="J81" i="6"/>
  <c r="K81" i="6"/>
  <c r="L81" i="6"/>
  <c r="M81" i="6"/>
  <c r="N81" i="6"/>
  <c r="O81" i="6"/>
  <c r="P81" i="6"/>
  <c r="Q81" i="6"/>
  <c r="I82" i="6"/>
  <c r="J82" i="6"/>
  <c r="K82" i="6"/>
  <c r="L82" i="6"/>
  <c r="M82" i="6"/>
  <c r="N82" i="6"/>
  <c r="O82" i="6"/>
  <c r="P82" i="6"/>
  <c r="Q82" i="6"/>
  <c r="I83" i="6"/>
  <c r="J83" i="6"/>
  <c r="K83" i="6"/>
  <c r="L83" i="6"/>
  <c r="M83" i="6"/>
  <c r="N83" i="6"/>
  <c r="O83" i="6"/>
  <c r="P83" i="6"/>
  <c r="Q83" i="6"/>
  <c r="I84" i="6"/>
  <c r="J84" i="6"/>
  <c r="K84" i="6"/>
  <c r="L84" i="6"/>
  <c r="M84" i="6"/>
  <c r="N84" i="6"/>
  <c r="O84" i="6"/>
  <c r="P84" i="6"/>
  <c r="Q84" i="6"/>
  <c r="I85" i="6"/>
  <c r="J85" i="6"/>
  <c r="K85" i="6"/>
  <c r="L85" i="6"/>
  <c r="M85" i="6"/>
  <c r="N85" i="6"/>
  <c r="O85" i="6"/>
  <c r="P85" i="6"/>
  <c r="Q85" i="6"/>
  <c r="I86" i="6"/>
  <c r="J86" i="6"/>
  <c r="K86" i="6"/>
  <c r="L86" i="6"/>
  <c r="M86" i="6"/>
  <c r="N86" i="6"/>
  <c r="O86" i="6"/>
  <c r="P86" i="6"/>
  <c r="Q86" i="6"/>
  <c r="I87" i="6"/>
  <c r="J87" i="6"/>
  <c r="K87" i="6"/>
  <c r="L87" i="6"/>
  <c r="M87" i="6"/>
  <c r="N87" i="6"/>
  <c r="O87" i="6"/>
  <c r="P87" i="6"/>
  <c r="Q87" i="6"/>
  <c r="I88" i="6"/>
  <c r="J88" i="6"/>
  <c r="K88" i="6"/>
  <c r="L88" i="6"/>
  <c r="M88" i="6"/>
  <c r="N88" i="6"/>
  <c r="O88" i="6"/>
  <c r="P88" i="6"/>
  <c r="Q88" i="6"/>
  <c r="I89" i="6"/>
  <c r="J89" i="6"/>
  <c r="K89" i="6"/>
  <c r="L89" i="6"/>
  <c r="M89" i="6"/>
  <c r="N89" i="6"/>
  <c r="O89" i="6"/>
  <c r="P89" i="6"/>
  <c r="Q89" i="6"/>
  <c r="I90" i="6"/>
  <c r="J90" i="6"/>
  <c r="K90" i="6"/>
  <c r="L90" i="6"/>
  <c r="M90" i="6"/>
  <c r="N90" i="6"/>
  <c r="O90" i="6"/>
  <c r="P90" i="6"/>
  <c r="Q90" i="6"/>
  <c r="I91" i="6"/>
  <c r="J91" i="6"/>
  <c r="K91" i="6"/>
  <c r="L91" i="6"/>
  <c r="M91" i="6"/>
  <c r="N91" i="6"/>
  <c r="O91" i="6"/>
  <c r="P91" i="6"/>
  <c r="Q91" i="6"/>
  <c r="I92" i="6"/>
  <c r="J92" i="6"/>
  <c r="K92" i="6"/>
  <c r="L92" i="6"/>
  <c r="M92" i="6"/>
  <c r="N92" i="6"/>
  <c r="O92" i="6"/>
  <c r="P92" i="6"/>
  <c r="Q92" i="6"/>
  <c r="I93" i="6"/>
  <c r="J93" i="6"/>
  <c r="K93" i="6"/>
  <c r="L93" i="6"/>
  <c r="M93" i="6"/>
  <c r="N93" i="6"/>
  <c r="O93" i="6"/>
  <c r="P93" i="6"/>
  <c r="Q93" i="6"/>
  <c r="I94" i="6"/>
  <c r="J94" i="6"/>
  <c r="K94" i="6"/>
  <c r="L94" i="6"/>
  <c r="M94" i="6"/>
  <c r="N94" i="6"/>
  <c r="O94" i="6"/>
  <c r="P94" i="6"/>
  <c r="Q94" i="6"/>
  <c r="I95" i="6"/>
  <c r="J95" i="6"/>
  <c r="K95" i="6"/>
  <c r="L95" i="6"/>
  <c r="M95" i="6"/>
  <c r="N95" i="6"/>
  <c r="O95" i="6"/>
  <c r="P95" i="6"/>
  <c r="Q95" i="6"/>
  <c r="I96" i="6"/>
  <c r="J96" i="6"/>
  <c r="K96" i="6"/>
  <c r="L96" i="6"/>
  <c r="M96" i="6"/>
  <c r="N96" i="6"/>
  <c r="O96" i="6"/>
  <c r="P96" i="6"/>
  <c r="Q96" i="6"/>
  <c r="I97" i="6"/>
  <c r="J97" i="6"/>
  <c r="K97" i="6"/>
  <c r="L97" i="6"/>
  <c r="M97" i="6"/>
  <c r="N97" i="6"/>
  <c r="O97" i="6"/>
  <c r="P97" i="6"/>
  <c r="Q97" i="6"/>
  <c r="I98" i="6"/>
  <c r="J98" i="6"/>
  <c r="K98" i="6"/>
  <c r="L98" i="6"/>
  <c r="M98" i="6"/>
  <c r="N98" i="6"/>
  <c r="O98" i="6"/>
  <c r="P98" i="6"/>
  <c r="Q98" i="6"/>
  <c r="I99" i="6"/>
  <c r="J99" i="6"/>
  <c r="K99" i="6"/>
  <c r="L99" i="6"/>
  <c r="M99" i="6"/>
  <c r="N99" i="6"/>
  <c r="O99" i="6"/>
  <c r="P99" i="6"/>
  <c r="Q99" i="6"/>
  <c r="I100" i="6"/>
  <c r="J100" i="6"/>
  <c r="K100" i="6"/>
  <c r="L100" i="6"/>
  <c r="M100" i="6"/>
  <c r="N100" i="6"/>
  <c r="O100" i="6"/>
  <c r="P100" i="6"/>
  <c r="Q100" i="6"/>
  <c r="I101" i="6"/>
  <c r="J101" i="6"/>
  <c r="K101" i="6"/>
  <c r="L101" i="6"/>
  <c r="M101" i="6"/>
  <c r="N101" i="6"/>
  <c r="O101" i="6"/>
  <c r="P101" i="6"/>
  <c r="Q101" i="6"/>
  <c r="I102" i="6"/>
  <c r="J102" i="6"/>
  <c r="K102" i="6"/>
  <c r="L102" i="6"/>
  <c r="M102" i="6"/>
  <c r="N102" i="6"/>
  <c r="O102" i="6"/>
  <c r="P102" i="6"/>
  <c r="Q102" i="6"/>
  <c r="I103" i="6"/>
  <c r="J103" i="6"/>
  <c r="K103" i="6"/>
  <c r="L103" i="6"/>
  <c r="M103" i="6"/>
  <c r="N103" i="6"/>
  <c r="O103" i="6"/>
  <c r="P103" i="6"/>
  <c r="Q103" i="6"/>
  <c r="I104" i="6"/>
  <c r="J104" i="6"/>
  <c r="K104" i="6"/>
  <c r="L104" i="6"/>
  <c r="M104" i="6"/>
  <c r="N104" i="6"/>
  <c r="O104" i="6"/>
  <c r="P104" i="6"/>
  <c r="Q104" i="6"/>
  <c r="I105" i="6"/>
  <c r="J105" i="6"/>
  <c r="K105" i="6"/>
  <c r="L105" i="6"/>
  <c r="M105" i="6"/>
  <c r="N105" i="6"/>
  <c r="O105" i="6"/>
  <c r="P105" i="6"/>
  <c r="Q105" i="6"/>
  <c r="I106" i="6"/>
  <c r="J106" i="6"/>
  <c r="K106" i="6"/>
  <c r="L106" i="6"/>
  <c r="M106" i="6"/>
  <c r="N106" i="6"/>
  <c r="O106" i="6"/>
  <c r="P106" i="6"/>
  <c r="Q106" i="6"/>
  <c r="I107" i="6"/>
  <c r="J107" i="6"/>
  <c r="K107" i="6"/>
  <c r="L107" i="6"/>
  <c r="M107" i="6"/>
  <c r="N107" i="6"/>
  <c r="O107" i="6"/>
  <c r="P107" i="6"/>
  <c r="Q107" i="6"/>
  <c r="I108" i="6"/>
  <c r="J108" i="6"/>
  <c r="K108" i="6"/>
  <c r="L108" i="6"/>
  <c r="M108" i="6"/>
  <c r="N108" i="6"/>
  <c r="O108" i="6"/>
  <c r="P108" i="6"/>
  <c r="Q108" i="6"/>
  <c r="I109" i="6"/>
  <c r="J109" i="6"/>
  <c r="K109" i="6"/>
  <c r="L109" i="6"/>
  <c r="M109" i="6"/>
  <c r="N109" i="6"/>
  <c r="O109" i="6"/>
  <c r="P109" i="6"/>
  <c r="Q109" i="6"/>
  <c r="I110" i="6"/>
  <c r="J110" i="6"/>
  <c r="K110" i="6"/>
  <c r="L110" i="6"/>
  <c r="M110" i="6"/>
  <c r="N110" i="6"/>
  <c r="O110" i="6"/>
  <c r="P110" i="6"/>
  <c r="Q110" i="6"/>
  <c r="I111" i="6"/>
  <c r="J111" i="6"/>
  <c r="K111" i="6"/>
  <c r="L111" i="6"/>
  <c r="M111" i="6"/>
  <c r="N111" i="6"/>
  <c r="O111" i="6"/>
  <c r="P111" i="6"/>
  <c r="Q111" i="6"/>
  <c r="I112" i="6"/>
  <c r="J112" i="6"/>
  <c r="K112" i="6"/>
  <c r="L112" i="6"/>
  <c r="M112" i="6"/>
  <c r="N112" i="6"/>
  <c r="O112" i="6"/>
  <c r="P112" i="6"/>
  <c r="Q112" i="6"/>
  <c r="I113" i="6"/>
  <c r="J113" i="6"/>
  <c r="K113" i="6"/>
  <c r="L113" i="6"/>
  <c r="M113" i="6"/>
  <c r="N113" i="6"/>
  <c r="O113" i="6"/>
  <c r="P113" i="6"/>
  <c r="Q113" i="6"/>
  <c r="I114" i="6"/>
  <c r="J114" i="6"/>
  <c r="K114" i="6"/>
  <c r="L114" i="6"/>
  <c r="M114" i="6"/>
  <c r="N114" i="6"/>
  <c r="O114" i="6"/>
  <c r="P114" i="6"/>
  <c r="Q114" i="6"/>
  <c r="I115" i="6"/>
  <c r="J115" i="6"/>
  <c r="K115" i="6"/>
  <c r="L115" i="6"/>
  <c r="M115" i="6"/>
  <c r="N115" i="6"/>
  <c r="O115" i="6"/>
  <c r="P115" i="6"/>
  <c r="Q115" i="6"/>
  <c r="I116" i="6"/>
  <c r="J116" i="6"/>
  <c r="K116" i="6"/>
  <c r="L116" i="6"/>
  <c r="M116" i="6"/>
  <c r="N116" i="6"/>
  <c r="O116" i="6"/>
  <c r="P116" i="6"/>
  <c r="Q116" i="6"/>
  <c r="I117" i="6"/>
  <c r="J117" i="6"/>
  <c r="K117" i="6"/>
  <c r="L117" i="6"/>
  <c r="M117" i="6"/>
  <c r="N117" i="6"/>
  <c r="O117" i="6"/>
  <c r="P117" i="6"/>
  <c r="Q117" i="6"/>
  <c r="I118" i="6"/>
  <c r="J118" i="6"/>
  <c r="K118" i="6"/>
  <c r="L118" i="6"/>
  <c r="M118" i="6"/>
  <c r="N118" i="6"/>
  <c r="O118" i="6"/>
  <c r="P118" i="6"/>
  <c r="Q118" i="6"/>
  <c r="I119" i="6"/>
  <c r="J119" i="6"/>
  <c r="K119" i="6"/>
  <c r="L119" i="6"/>
  <c r="M119" i="6"/>
  <c r="N119" i="6"/>
  <c r="O119" i="6"/>
  <c r="P119" i="6"/>
  <c r="Q119" i="6"/>
  <c r="I120" i="6"/>
  <c r="J120" i="6"/>
  <c r="K120" i="6"/>
  <c r="L120" i="6"/>
  <c r="M120" i="6"/>
  <c r="N120" i="6"/>
  <c r="O120" i="6"/>
  <c r="P120" i="6"/>
  <c r="Q120" i="6"/>
  <c r="I121" i="6"/>
  <c r="J121" i="6"/>
  <c r="K121" i="6"/>
  <c r="L121" i="6"/>
  <c r="M121" i="6"/>
  <c r="N121" i="6"/>
  <c r="O121" i="6"/>
  <c r="P121" i="6"/>
  <c r="Q121" i="6"/>
  <c r="I122" i="6"/>
  <c r="J122" i="6"/>
  <c r="K122" i="6"/>
  <c r="L122" i="6"/>
  <c r="M122" i="6"/>
  <c r="N122" i="6"/>
  <c r="O122" i="6"/>
  <c r="P122" i="6"/>
  <c r="Q122" i="6"/>
  <c r="I123" i="6"/>
  <c r="J123" i="6"/>
  <c r="K123" i="6"/>
  <c r="L123" i="6"/>
  <c r="M123" i="6"/>
  <c r="N123" i="6"/>
  <c r="O123" i="6"/>
  <c r="P123" i="6"/>
  <c r="Q123" i="6"/>
  <c r="I124" i="6"/>
  <c r="J124" i="6"/>
  <c r="K124" i="6"/>
  <c r="L124" i="6"/>
  <c r="M124" i="6"/>
  <c r="N124" i="6"/>
  <c r="O124" i="6"/>
  <c r="P124" i="6"/>
  <c r="Q124" i="6"/>
  <c r="I125" i="6"/>
  <c r="J125" i="6"/>
  <c r="K125" i="6"/>
  <c r="L125" i="6"/>
  <c r="M125" i="6"/>
  <c r="N125" i="6"/>
  <c r="O125" i="6"/>
  <c r="P125" i="6"/>
  <c r="Q125" i="6"/>
  <c r="I126" i="6"/>
  <c r="J126" i="6"/>
  <c r="K126" i="6"/>
  <c r="L126" i="6"/>
  <c r="M126" i="6"/>
  <c r="N126" i="6"/>
  <c r="O126" i="6"/>
  <c r="P126" i="6"/>
  <c r="Q126" i="6"/>
  <c r="I127" i="6"/>
  <c r="J127" i="6"/>
  <c r="K127" i="6"/>
  <c r="L127" i="6"/>
  <c r="M127" i="6"/>
  <c r="N127" i="6"/>
  <c r="O127" i="6"/>
  <c r="P127" i="6"/>
  <c r="Q127" i="6"/>
  <c r="I128" i="6"/>
  <c r="J128" i="6"/>
  <c r="K128" i="6"/>
  <c r="L128" i="6"/>
  <c r="M128" i="6"/>
  <c r="N128" i="6"/>
  <c r="O128" i="6"/>
  <c r="P128" i="6"/>
  <c r="Q128" i="6"/>
  <c r="I129" i="6"/>
  <c r="J129" i="6"/>
  <c r="K129" i="6"/>
  <c r="L129" i="6"/>
  <c r="M129" i="6"/>
  <c r="N129" i="6"/>
  <c r="O129" i="6"/>
  <c r="P129" i="6"/>
  <c r="Q129" i="6"/>
  <c r="I130" i="6"/>
  <c r="J130" i="6"/>
  <c r="K130" i="6"/>
  <c r="L130" i="6"/>
  <c r="M130" i="6"/>
  <c r="N130" i="6"/>
  <c r="O130" i="6"/>
  <c r="P130" i="6"/>
  <c r="Q130" i="6"/>
  <c r="I131" i="6"/>
  <c r="J131" i="6"/>
  <c r="K131" i="6"/>
  <c r="L131" i="6"/>
  <c r="M131" i="6"/>
  <c r="N131" i="6"/>
  <c r="O131" i="6"/>
  <c r="P131" i="6"/>
  <c r="Q131" i="6"/>
  <c r="I132" i="6"/>
  <c r="J132" i="6"/>
  <c r="K132" i="6"/>
  <c r="L132" i="6"/>
  <c r="M132" i="6"/>
  <c r="N132" i="6"/>
  <c r="O132" i="6"/>
  <c r="P132" i="6"/>
  <c r="Q132" i="6"/>
  <c r="I133" i="6"/>
  <c r="J133" i="6"/>
  <c r="K133" i="6"/>
  <c r="L133" i="6"/>
  <c r="M133" i="6"/>
  <c r="N133" i="6"/>
  <c r="O133" i="6"/>
  <c r="P133" i="6"/>
  <c r="Q133" i="6"/>
  <c r="I134" i="6"/>
  <c r="J134" i="6"/>
  <c r="K134" i="6"/>
  <c r="L134" i="6"/>
  <c r="M134" i="6"/>
  <c r="N134" i="6"/>
  <c r="O134" i="6"/>
  <c r="P134" i="6"/>
  <c r="Q134" i="6"/>
  <c r="I135" i="6"/>
  <c r="J135" i="6"/>
  <c r="K135" i="6"/>
  <c r="L135" i="6"/>
  <c r="M135" i="6"/>
  <c r="N135" i="6"/>
  <c r="O135" i="6"/>
  <c r="P135" i="6"/>
  <c r="Q135" i="6"/>
  <c r="I136" i="6"/>
  <c r="J136" i="6"/>
  <c r="K136" i="6"/>
  <c r="L136" i="6"/>
  <c r="M136" i="6"/>
  <c r="N136" i="6"/>
  <c r="O136" i="6"/>
  <c r="P136" i="6"/>
  <c r="Q136" i="6"/>
  <c r="I137" i="6"/>
  <c r="J137" i="6"/>
  <c r="K137" i="6"/>
  <c r="L137" i="6"/>
  <c r="M137" i="6"/>
  <c r="N137" i="6"/>
  <c r="O137" i="6"/>
  <c r="P137" i="6"/>
  <c r="Q137" i="6"/>
  <c r="I138" i="6"/>
  <c r="J138" i="6"/>
  <c r="K138" i="6"/>
  <c r="L138" i="6"/>
  <c r="M138" i="6"/>
  <c r="N138" i="6"/>
  <c r="O138" i="6"/>
  <c r="P138" i="6"/>
  <c r="Q138" i="6"/>
  <c r="I139" i="6"/>
  <c r="J139" i="6"/>
  <c r="K139" i="6"/>
  <c r="L139" i="6"/>
  <c r="M139" i="6"/>
  <c r="N139" i="6"/>
  <c r="O139" i="6"/>
  <c r="P139" i="6"/>
  <c r="Q139" i="6"/>
  <c r="I140" i="6"/>
  <c r="J140" i="6"/>
  <c r="K140" i="6"/>
  <c r="L140" i="6"/>
  <c r="M140" i="6"/>
  <c r="N140" i="6"/>
  <c r="O140" i="6"/>
  <c r="P140" i="6"/>
  <c r="Q140" i="6"/>
  <c r="I141" i="6"/>
  <c r="J141" i="6"/>
  <c r="K141" i="6"/>
  <c r="L141" i="6"/>
  <c r="M141" i="6"/>
  <c r="N141" i="6"/>
  <c r="O141" i="6"/>
  <c r="P141" i="6"/>
  <c r="Q141" i="6"/>
  <c r="I142" i="6"/>
  <c r="J142" i="6"/>
  <c r="K142" i="6"/>
  <c r="L142" i="6"/>
  <c r="M142" i="6"/>
  <c r="N142" i="6"/>
  <c r="O142" i="6"/>
  <c r="P142" i="6"/>
  <c r="Q142" i="6"/>
  <c r="I143" i="6"/>
  <c r="J143" i="6"/>
  <c r="K143" i="6"/>
  <c r="L143" i="6"/>
  <c r="M143" i="6"/>
  <c r="N143" i="6"/>
  <c r="O143" i="6"/>
  <c r="P143" i="6"/>
  <c r="Q143" i="6"/>
  <c r="I144" i="6"/>
  <c r="J144" i="6"/>
  <c r="K144" i="6"/>
  <c r="L144" i="6"/>
  <c r="M144" i="6"/>
  <c r="N144" i="6"/>
  <c r="O144" i="6"/>
  <c r="P144" i="6"/>
  <c r="Q144" i="6"/>
  <c r="I145" i="6"/>
  <c r="J145" i="6"/>
  <c r="K145" i="6"/>
  <c r="L145" i="6"/>
  <c r="M145" i="6"/>
  <c r="N145" i="6"/>
  <c r="O145" i="6"/>
  <c r="P145" i="6"/>
  <c r="Q145" i="6"/>
  <c r="I146" i="6"/>
  <c r="J146" i="6"/>
  <c r="K146" i="6"/>
  <c r="L146" i="6"/>
  <c r="M146" i="6"/>
  <c r="N146" i="6"/>
  <c r="O146" i="6"/>
  <c r="P146" i="6"/>
  <c r="Q146" i="6"/>
  <c r="I147" i="6"/>
  <c r="J147" i="6"/>
  <c r="K147" i="6"/>
  <c r="L147" i="6"/>
  <c r="M147" i="6"/>
  <c r="N147" i="6"/>
  <c r="O147" i="6"/>
  <c r="P147" i="6"/>
  <c r="Q147" i="6"/>
  <c r="I148" i="6"/>
  <c r="J148" i="6"/>
  <c r="K148" i="6"/>
  <c r="L148" i="6"/>
  <c r="M148" i="6"/>
  <c r="N148" i="6"/>
  <c r="O148" i="6"/>
  <c r="P148" i="6"/>
  <c r="Q148" i="6"/>
  <c r="I149" i="6"/>
  <c r="J149" i="6"/>
  <c r="K149" i="6"/>
  <c r="L149" i="6"/>
  <c r="M149" i="6"/>
  <c r="N149" i="6"/>
  <c r="O149" i="6"/>
  <c r="P149" i="6"/>
  <c r="Q149" i="6"/>
  <c r="I150" i="6"/>
  <c r="J150" i="6"/>
  <c r="K150" i="6"/>
  <c r="L150" i="6"/>
  <c r="M150" i="6"/>
  <c r="N150" i="6"/>
  <c r="O150" i="6"/>
  <c r="P150" i="6"/>
  <c r="Q150" i="6"/>
  <c r="I151" i="6"/>
  <c r="J151" i="6"/>
  <c r="K151" i="6"/>
  <c r="L151" i="6"/>
  <c r="M151" i="6"/>
  <c r="N151" i="6"/>
  <c r="O151" i="6"/>
  <c r="P151" i="6"/>
  <c r="Q151" i="6"/>
  <c r="I152" i="6"/>
  <c r="J152" i="6"/>
  <c r="K152" i="6"/>
  <c r="L152" i="6"/>
  <c r="M152" i="6"/>
  <c r="N152" i="6"/>
  <c r="O152" i="6"/>
  <c r="P152" i="6"/>
  <c r="Q152" i="6"/>
  <c r="I153" i="6"/>
  <c r="J153" i="6"/>
  <c r="K153" i="6"/>
  <c r="L153" i="6"/>
  <c r="M153" i="6"/>
  <c r="N153" i="6"/>
  <c r="O153" i="6"/>
  <c r="P153" i="6"/>
  <c r="Q153" i="6"/>
  <c r="I154" i="6"/>
  <c r="J154" i="6"/>
  <c r="K154" i="6"/>
  <c r="L154" i="6"/>
  <c r="M154" i="6"/>
  <c r="N154" i="6"/>
  <c r="O154" i="6"/>
  <c r="P154" i="6"/>
  <c r="Q154" i="6"/>
  <c r="I155" i="6"/>
  <c r="J155" i="6"/>
  <c r="K155" i="6"/>
  <c r="L155" i="6"/>
  <c r="M155" i="6"/>
  <c r="N155" i="6"/>
  <c r="O155" i="6"/>
  <c r="P155" i="6"/>
  <c r="Q155" i="6"/>
  <c r="I156" i="6"/>
  <c r="J156" i="6"/>
  <c r="K156" i="6"/>
  <c r="L156" i="6"/>
  <c r="M156" i="6"/>
  <c r="N156" i="6"/>
  <c r="O156" i="6"/>
  <c r="P156" i="6"/>
  <c r="Q156" i="6"/>
  <c r="I157" i="6"/>
  <c r="J157" i="6"/>
  <c r="K157" i="6"/>
  <c r="L157" i="6"/>
  <c r="M157" i="6"/>
  <c r="N157" i="6"/>
  <c r="O157" i="6"/>
  <c r="P157" i="6"/>
  <c r="Q157" i="6"/>
  <c r="I158" i="6"/>
  <c r="J158" i="6"/>
  <c r="K158" i="6"/>
  <c r="L158" i="6"/>
  <c r="M158" i="6"/>
  <c r="N158" i="6"/>
  <c r="O158" i="6"/>
  <c r="P158" i="6"/>
  <c r="Q158" i="6"/>
  <c r="I159" i="6"/>
  <c r="J159" i="6"/>
  <c r="K159" i="6"/>
  <c r="L159" i="6"/>
  <c r="M159" i="6"/>
  <c r="N159" i="6"/>
  <c r="O159" i="6"/>
  <c r="P159" i="6"/>
  <c r="Q159" i="6"/>
  <c r="I160" i="6"/>
  <c r="J160" i="6"/>
  <c r="K160" i="6"/>
  <c r="L160" i="6"/>
  <c r="M160" i="6"/>
  <c r="N160" i="6"/>
  <c r="O160" i="6"/>
  <c r="P160" i="6"/>
  <c r="Q160" i="6"/>
  <c r="I161" i="6"/>
  <c r="J161" i="6"/>
  <c r="K161" i="6"/>
  <c r="L161" i="6"/>
  <c r="M161" i="6"/>
  <c r="N161" i="6"/>
  <c r="O161" i="6"/>
  <c r="P161" i="6"/>
  <c r="Q161" i="6"/>
  <c r="I162" i="6"/>
  <c r="J162" i="6"/>
  <c r="K162" i="6"/>
  <c r="L162" i="6"/>
  <c r="M162" i="6"/>
  <c r="N162" i="6"/>
  <c r="O162" i="6"/>
  <c r="P162" i="6"/>
  <c r="Q162" i="6"/>
  <c r="I163" i="6"/>
  <c r="J163" i="6"/>
  <c r="K163" i="6"/>
  <c r="L163" i="6"/>
  <c r="M163" i="6"/>
  <c r="N163" i="6"/>
  <c r="O163" i="6"/>
  <c r="P163" i="6"/>
  <c r="Q163" i="6"/>
  <c r="I164" i="6"/>
  <c r="J164" i="6"/>
  <c r="K164" i="6"/>
  <c r="L164" i="6"/>
  <c r="M164" i="6"/>
  <c r="N164" i="6"/>
  <c r="O164" i="6"/>
  <c r="P164" i="6"/>
  <c r="Q164" i="6"/>
  <c r="I165" i="6"/>
  <c r="J165" i="6"/>
  <c r="K165" i="6"/>
  <c r="L165" i="6"/>
  <c r="M165" i="6"/>
  <c r="N165" i="6"/>
  <c r="O165" i="6"/>
  <c r="P165" i="6"/>
  <c r="Q165" i="6"/>
  <c r="I166" i="6"/>
  <c r="J166" i="6"/>
  <c r="K166" i="6"/>
  <c r="L166" i="6"/>
  <c r="M166" i="6"/>
  <c r="N166" i="6"/>
  <c r="O166" i="6"/>
  <c r="P166" i="6"/>
  <c r="Q166" i="6"/>
  <c r="I167" i="6"/>
  <c r="J167" i="6"/>
  <c r="K167" i="6"/>
  <c r="L167" i="6"/>
  <c r="M167" i="6"/>
  <c r="N167" i="6"/>
  <c r="O167" i="6"/>
  <c r="P167" i="6"/>
  <c r="Q167" i="6"/>
  <c r="I168" i="6"/>
  <c r="J168" i="6"/>
  <c r="K168" i="6"/>
  <c r="L168" i="6"/>
  <c r="M168" i="6"/>
  <c r="N168" i="6"/>
  <c r="O168" i="6"/>
  <c r="P168" i="6"/>
  <c r="Q168" i="6"/>
  <c r="I169" i="6"/>
  <c r="J169" i="6"/>
  <c r="K169" i="6"/>
  <c r="L169" i="6"/>
  <c r="M169" i="6"/>
  <c r="N169" i="6"/>
  <c r="O169" i="6"/>
  <c r="P169" i="6"/>
  <c r="Q169" i="6"/>
  <c r="I170" i="6"/>
  <c r="J170" i="6"/>
  <c r="K170" i="6"/>
  <c r="L170" i="6"/>
  <c r="M170" i="6"/>
  <c r="N170" i="6"/>
  <c r="O170" i="6"/>
  <c r="P170" i="6"/>
  <c r="Q170" i="6"/>
  <c r="I171" i="6"/>
  <c r="J171" i="6"/>
  <c r="K171" i="6"/>
  <c r="L171" i="6"/>
  <c r="M171" i="6"/>
  <c r="N171" i="6"/>
  <c r="O171" i="6"/>
  <c r="P171" i="6"/>
  <c r="Q171" i="6"/>
  <c r="I172" i="6"/>
  <c r="J172" i="6"/>
  <c r="K172" i="6"/>
  <c r="L172" i="6"/>
  <c r="M172" i="6"/>
  <c r="N172" i="6"/>
  <c r="O172" i="6"/>
  <c r="P172" i="6"/>
  <c r="Q172" i="6"/>
  <c r="I173" i="6"/>
  <c r="J173" i="6"/>
  <c r="K173" i="6"/>
  <c r="L173" i="6"/>
  <c r="M173" i="6"/>
  <c r="N173" i="6"/>
  <c r="O173" i="6"/>
  <c r="P173" i="6"/>
  <c r="Q173" i="6"/>
  <c r="I174" i="6"/>
  <c r="J174" i="6"/>
  <c r="K174" i="6"/>
  <c r="L174" i="6"/>
  <c r="M174" i="6"/>
  <c r="N174" i="6"/>
  <c r="O174" i="6"/>
  <c r="P174" i="6"/>
  <c r="Q174" i="6"/>
  <c r="I175" i="6"/>
  <c r="J175" i="6"/>
  <c r="K175" i="6"/>
  <c r="L175" i="6"/>
  <c r="M175" i="6"/>
  <c r="N175" i="6"/>
  <c r="O175" i="6"/>
  <c r="P175" i="6"/>
  <c r="Q175" i="6"/>
  <c r="I176" i="6"/>
  <c r="J176" i="6"/>
  <c r="K176" i="6"/>
  <c r="L176" i="6"/>
  <c r="M176" i="6"/>
  <c r="N176" i="6"/>
  <c r="O176" i="6"/>
  <c r="P176" i="6"/>
  <c r="Q176" i="6"/>
  <c r="I177" i="6"/>
  <c r="J177" i="6"/>
  <c r="K177" i="6"/>
  <c r="L177" i="6"/>
  <c r="M177" i="6"/>
  <c r="N177" i="6"/>
  <c r="O177" i="6"/>
  <c r="P177" i="6"/>
  <c r="Q177" i="6"/>
  <c r="I178" i="6"/>
  <c r="J178" i="6"/>
  <c r="K178" i="6"/>
  <c r="L178" i="6"/>
  <c r="M178" i="6"/>
  <c r="N178" i="6"/>
  <c r="O178" i="6"/>
  <c r="P178" i="6"/>
  <c r="Q178" i="6"/>
  <c r="I179" i="6"/>
  <c r="J179" i="6"/>
  <c r="K179" i="6"/>
  <c r="L179" i="6"/>
  <c r="M179" i="6"/>
  <c r="N179" i="6"/>
  <c r="O179" i="6"/>
  <c r="P179" i="6"/>
  <c r="Q179" i="6"/>
  <c r="I180" i="6"/>
  <c r="J180" i="6"/>
  <c r="K180" i="6"/>
  <c r="L180" i="6"/>
  <c r="M180" i="6"/>
  <c r="N180" i="6"/>
  <c r="O180" i="6"/>
  <c r="P180" i="6"/>
  <c r="Q180" i="6"/>
  <c r="I181" i="6"/>
  <c r="J181" i="6"/>
  <c r="K181" i="6"/>
  <c r="L181" i="6"/>
  <c r="M181" i="6"/>
  <c r="N181" i="6"/>
  <c r="O181" i="6"/>
  <c r="P181" i="6"/>
  <c r="Q181" i="6"/>
  <c r="I182" i="6"/>
  <c r="J182" i="6"/>
  <c r="K182" i="6"/>
  <c r="L182" i="6"/>
  <c r="M182" i="6"/>
  <c r="N182" i="6"/>
  <c r="O182" i="6"/>
  <c r="P182" i="6"/>
  <c r="Q182" i="6"/>
  <c r="I183" i="6"/>
  <c r="J183" i="6"/>
  <c r="K183" i="6"/>
  <c r="L183" i="6"/>
  <c r="M183" i="6"/>
  <c r="N183" i="6"/>
  <c r="O183" i="6"/>
  <c r="P183" i="6"/>
  <c r="Q183" i="6"/>
  <c r="I184" i="6"/>
  <c r="J184" i="6"/>
  <c r="K184" i="6"/>
  <c r="L184" i="6"/>
  <c r="M184" i="6"/>
  <c r="N184" i="6"/>
  <c r="O184" i="6"/>
  <c r="P184" i="6"/>
  <c r="Q184" i="6"/>
  <c r="I185" i="6"/>
  <c r="J185" i="6"/>
  <c r="K185" i="6"/>
  <c r="L185" i="6"/>
  <c r="M185" i="6"/>
  <c r="N185" i="6"/>
  <c r="O185" i="6"/>
  <c r="P185" i="6"/>
  <c r="Q185" i="6"/>
  <c r="I186" i="6"/>
  <c r="J186" i="6"/>
  <c r="K186" i="6"/>
  <c r="L186" i="6"/>
  <c r="M186" i="6"/>
  <c r="N186" i="6"/>
  <c r="O186" i="6"/>
  <c r="P186" i="6"/>
  <c r="Q186" i="6"/>
  <c r="I187" i="6"/>
  <c r="J187" i="6"/>
  <c r="K187" i="6"/>
  <c r="L187" i="6"/>
  <c r="M187" i="6"/>
  <c r="N187" i="6"/>
  <c r="O187" i="6"/>
  <c r="P187" i="6"/>
  <c r="Q187" i="6"/>
  <c r="I188" i="6"/>
  <c r="J188" i="6"/>
  <c r="K188" i="6"/>
  <c r="L188" i="6"/>
  <c r="M188" i="6"/>
  <c r="N188" i="6"/>
  <c r="O188" i="6"/>
  <c r="P188" i="6"/>
  <c r="Q188" i="6"/>
  <c r="I189" i="6"/>
  <c r="J189" i="6"/>
  <c r="K189" i="6"/>
  <c r="L189" i="6"/>
  <c r="M189" i="6"/>
  <c r="N189" i="6"/>
  <c r="O189" i="6"/>
  <c r="P189" i="6"/>
  <c r="Q189" i="6"/>
  <c r="I190" i="6"/>
  <c r="J190" i="6"/>
  <c r="K190" i="6"/>
  <c r="L190" i="6"/>
  <c r="M190" i="6"/>
  <c r="N190" i="6"/>
  <c r="O190" i="6"/>
  <c r="P190" i="6"/>
  <c r="Q190" i="6"/>
  <c r="I191" i="6"/>
  <c r="J191" i="6"/>
  <c r="K191" i="6"/>
  <c r="L191" i="6"/>
  <c r="M191" i="6"/>
  <c r="N191" i="6"/>
  <c r="O191" i="6"/>
  <c r="P191" i="6"/>
  <c r="Q191" i="6"/>
  <c r="I192" i="6"/>
  <c r="J192" i="6"/>
  <c r="K192" i="6"/>
  <c r="L192" i="6"/>
  <c r="M192" i="6"/>
  <c r="N192" i="6"/>
  <c r="O192" i="6"/>
  <c r="P192" i="6"/>
  <c r="Q192" i="6"/>
  <c r="I193" i="6"/>
  <c r="J193" i="6"/>
  <c r="K193" i="6"/>
  <c r="L193" i="6"/>
  <c r="M193" i="6"/>
  <c r="N193" i="6"/>
  <c r="O193" i="6"/>
  <c r="P193" i="6"/>
  <c r="Q193" i="6"/>
  <c r="I194" i="6"/>
  <c r="J194" i="6"/>
  <c r="K194" i="6"/>
  <c r="L194" i="6"/>
  <c r="M194" i="6"/>
  <c r="N194" i="6"/>
  <c r="O194" i="6"/>
  <c r="P194" i="6"/>
  <c r="Q194" i="6"/>
  <c r="I195" i="6"/>
  <c r="J195" i="6"/>
  <c r="K195" i="6"/>
  <c r="L195" i="6"/>
  <c r="M195" i="6"/>
  <c r="N195" i="6"/>
  <c r="O195" i="6"/>
  <c r="P195" i="6"/>
  <c r="Q195" i="6"/>
  <c r="I196" i="6"/>
  <c r="J196" i="6"/>
  <c r="K196" i="6"/>
  <c r="L196" i="6"/>
  <c r="M196" i="6"/>
  <c r="N196" i="6"/>
  <c r="O196" i="6"/>
  <c r="P196" i="6"/>
  <c r="Q196" i="6"/>
  <c r="I197" i="6"/>
  <c r="J197" i="6"/>
  <c r="K197" i="6"/>
  <c r="L197" i="6"/>
  <c r="M197" i="6"/>
  <c r="N197" i="6"/>
  <c r="O197" i="6"/>
  <c r="P197" i="6"/>
  <c r="Q197" i="6"/>
  <c r="I198" i="6"/>
  <c r="J198" i="6"/>
  <c r="K198" i="6"/>
  <c r="L198" i="6"/>
  <c r="M198" i="6"/>
  <c r="N198" i="6"/>
  <c r="O198" i="6"/>
  <c r="P198" i="6"/>
  <c r="Q198" i="6"/>
  <c r="I199" i="6"/>
  <c r="J199" i="6"/>
  <c r="K199" i="6"/>
  <c r="L199" i="6"/>
  <c r="M199" i="6"/>
  <c r="N199" i="6"/>
  <c r="O199" i="6"/>
  <c r="P199" i="6"/>
  <c r="Q199" i="6"/>
  <c r="I200" i="6"/>
  <c r="J200" i="6"/>
  <c r="K200" i="6"/>
  <c r="L200" i="6"/>
  <c r="M200" i="6"/>
  <c r="N200" i="6"/>
  <c r="O200" i="6"/>
  <c r="P200" i="6"/>
  <c r="Q200" i="6"/>
  <c r="I201" i="6"/>
  <c r="J201" i="6"/>
  <c r="K201" i="6"/>
  <c r="L201" i="6"/>
  <c r="M201" i="6"/>
  <c r="N201" i="6"/>
  <c r="O201" i="6"/>
  <c r="P201" i="6"/>
  <c r="Q201" i="6"/>
  <c r="I202" i="6"/>
  <c r="J202" i="6"/>
  <c r="K202" i="6"/>
  <c r="L202" i="6"/>
  <c r="M202" i="6"/>
  <c r="N202" i="6"/>
  <c r="O202" i="6"/>
  <c r="P202" i="6"/>
  <c r="Q202" i="6"/>
  <c r="I203" i="6"/>
  <c r="J203" i="6"/>
  <c r="K203" i="6"/>
  <c r="L203" i="6"/>
  <c r="M203" i="6"/>
  <c r="N203" i="6"/>
  <c r="O203" i="6"/>
  <c r="P203" i="6"/>
  <c r="Q203" i="6"/>
  <c r="I204" i="6"/>
  <c r="J204" i="6"/>
  <c r="K204" i="6"/>
  <c r="L204" i="6"/>
  <c r="M204" i="6"/>
  <c r="N204" i="6"/>
  <c r="O204" i="6"/>
  <c r="P204" i="6"/>
  <c r="Q204" i="6"/>
  <c r="I205" i="6"/>
  <c r="J205" i="6"/>
  <c r="K205" i="6"/>
  <c r="L205" i="6"/>
  <c r="M205" i="6"/>
  <c r="N205" i="6"/>
  <c r="O205" i="6"/>
  <c r="P205" i="6"/>
  <c r="Q205" i="6"/>
  <c r="I206" i="6"/>
  <c r="J206" i="6"/>
  <c r="K206" i="6"/>
  <c r="L206" i="6"/>
  <c r="M206" i="6"/>
  <c r="N206" i="6"/>
  <c r="O206" i="6"/>
  <c r="P206" i="6"/>
  <c r="Q206" i="6"/>
  <c r="I207" i="6"/>
  <c r="J207" i="6"/>
  <c r="K207" i="6"/>
  <c r="L207" i="6"/>
  <c r="M207" i="6"/>
  <c r="N207" i="6"/>
  <c r="O207" i="6"/>
  <c r="P207" i="6"/>
  <c r="Q207" i="6"/>
  <c r="I208" i="6"/>
  <c r="J208" i="6"/>
  <c r="K208" i="6"/>
  <c r="L208" i="6"/>
  <c r="M208" i="6"/>
  <c r="N208" i="6"/>
  <c r="O208" i="6"/>
  <c r="P208" i="6"/>
  <c r="Q208" i="6"/>
  <c r="I209" i="6"/>
  <c r="J209" i="6"/>
  <c r="K209" i="6"/>
  <c r="L209" i="6"/>
  <c r="M209" i="6"/>
  <c r="N209" i="6"/>
  <c r="O209" i="6"/>
  <c r="P209" i="6"/>
  <c r="Q209" i="6"/>
  <c r="I210" i="6"/>
  <c r="J210" i="6"/>
  <c r="K210" i="6"/>
  <c r="L210" i="6"/>
  <c r="M210" i="6"/>
  <c r="N210" i="6"/>
  <c r="O210" i="6"/>
  <c r="P210" i="6"/>
  <c r="Q210" i="6"/>
  <c r="I211" i="6"/>
  <c r="J211" i="6"/>
  <c r="K211" i="6"/>
  <c r="L211" i="6"/>
  <c r="M211" i="6"/>
  <c r="N211" i="6"/>
  <c r="O211" i="6"/>
  <c r="P211" i="6"/>
  <c r="Q211" i="6"/>
  <c r="I212" i="6"/>
  <c r="J212" i="6"/>
  <c r="K212" i="6"/>
  <c r="L212" i="6"/>
  <c r="M212" i="6"/>
  <c r="N212" i="6"/>
  <c r="O212" i="6"/>
  <c r="P212" i="6"/>
  <c r="Q212" i="6"/>
  <c r="I213" i="6"/>
  <c r="J213" i="6"/>
  <c r="K213" i="6"/>
  <c r="L213" i="6"/>
  <c r="M213" i="6"/>
  <c r="N213" i="6"/>
  <c r="O213" i="6"/>
  <c r="P213" i="6"/>
  <c r="Q213" i="6"/>
  <c r="I214" i="6"/>
  <c r="J214" i="6"/>
  <c r="K214" i="6"/>
  <c r="L214" i="6"/>
  <c r="M214" i="6"/>
  <c r="N214" i="6"/>
  <c r="O214" i="6"/>
  <c r="P214" i="6"/>
  <c r="Q214" i="6"/>
  <c r="I215" i="6"/>
  <c r="J215" i="6"/>
  <c r="K215" i="6"/>
  <c r="L215" i="6"/>
  <c r="M215" i="6"/>
  <c r="N215" i="6"/>
  <c r="O215" i="6"/>
  <c r="P215" i="6"/>
  <c r="Q215" i="6"/>
  <c r="I216" i="6"/>
  <c r="J216" i="6"/>
  <c r="K216" i="6"/>
  <c r="L216" i="6"/>
  <c r="M216" i="6"/>
  <c r="N216" i="6"/>
  <c r="O216" i="6"/>
  <c r="P216" i="6"/>
  <c r="Q216" i="6"/>
  <c r="I217" i="6"/>
  <c r="J217" i="6"/>
  <c r="K217" i="6"/>
  <c r="L217" i="6"/>
  <c r="M217" i="6"/>
  <c r="N217" i="6"/>
  <c r="O217" i="6"/>
  <c r="P217" i="6"/>
  <c r="Q217" i="6"/>
  <c r="I218" i="6"/>
  <c r="J218" i="6"/>
  <c r="K218" i="6"/>
  <c r="L218" i="6"/>
  <c r="M218" i="6"/>
  <c r="N218" i="6"/>
  <c r="O218" i="6"/>
  <c r="P218" i="6"/>
  <c r="Q218" i="6"/>
  <c r="I219" i="6"/>
  <c r="J219" i="6"/>
  <c r="K219" i="6"/>
  <c r="L219" i="6"/>
  <c r="M219" i="6"/>
  <c r="N219" i="6"/>
  <c r="O219" i="6"/>
  <c r="P219" i="6"/>
  <c r="Q219" i="6"/>
  <c r="I220" i="6"/>
  <c r="J220" i="6"/>
  <c r="K220" i="6"/>
  <c r="L220" i="6"/>
  <c r="M220" i="6"/>
  <c r="N220" i="6"/>
  <c r="O220" i="6"/>
  <c r="P220" i="6"/>
  <c r="Q220" i="6"/>
  <c r="I221" i="6"/>
  <c r="J221" i="6"/>
  <c r="K221" i="6"/>
  <c r="L221" i="6"/>
  <c r="M221" i="6"/>
  <c r="N221" i="6"/>
  <c r="O221" i="6"/>
  <c r="P221" i="6"/>
  <c r="Q221" i="6"/>
  <c r="I222" i="6"/>
  <c r="J222" i="6"/>
  <c r="K222" i="6"/>
  <c r="L222" i="6"/>
  <c r="M222" i="6"/>
  <c r="N222" i="6"/>
  <c r="O222" i="6"/>
  <c r="P222" i="6"/>
  <c r="Q222" i="6"/>
  <c r="I223" i="6"/>
  <c r="J223" i="6"/>
  <c r="K223" i="6"/>
  <c r="L223" i="6"/>
  <c r="M223" i="6"/>
  <c r="N223" i="6"/>
  <c r="O223" i="6"/>
  <c r="P223" i="6"/>
  <c r="Q223" i="6"/>
  <c r="I224" i="6"/>
  <c r="J224" i="6"/>
  <c r="K224" i="6"/>
  <c r="L224" i="6"/>
  <c r="M224" i="6"/>
  <c r="N224" i="6"/>
  <c r="O224" i="6"/>
  <c r="P224" i="6"/>
  <c r="Q224" i="6"/>
  <c r="I225" i="6"/>
  <c r="J225" i="6"/>
  <c r="K225" i="6"/>
  <c r="L225" i="6"/>
  <c r="M225" i="6"/>
  <c r="N225" i="6"/>
  <c r="O225" i="6"/>
  <c r="P225" i="6"/>
  <c r="Q225" i="6"/>
  <c r="I226" i="6"/>
  <c r="J226" i="6"/>
  <c r="K226" i="6"/>
  <c r="L226" i="6"/>
  <c r="M226" i="6"/>
  <c r="N226" i="6"/>
  <c r="O226" i="6"/>
  <c r="P226" i="6"/>
  <c r="Q226" i="6"/>
  <c r="I227" i="6"/>
  <c r="J227" i="6"/>
  <c r="K227" i="6"/>
  <c r="L227" i="6"/>
  <c r="M227" i="6"/>
  <c r="N227" i="6"/>
  <c r="O227" i="6"/>
  <c r="P227" i="6"/>
  <c r="Q227" i="6"/>
  <c r="I228" i="6"/>
  <c r="J228" i="6"/>
  <c r="K228" i="6"/>
  <c r="L228" i="6"/>
  <c r="M228" i="6"/>
  <c r="N228" i="6"/>
  <c r="O228" i="6"/>
  <c r="P228" i="6"/>
  <c r="Q228" i="6"/>
  <c r="I229" i="6"/>
  <c r="J229" i="6"/>
  <c r="K229" i="6"/>
  <c r="L229" i="6"/>
  <c r="M229" i="6"/>
  <c r="N229" i="6"/>
  <c r="O229" i="6"/>
  <c r="P229" i="6"/>
  <c r="Q229" i="6"/>
  <c r="I230" i="6"/>
  <c r="J230" i="6"/>
  <c r="K230" i="6"/>
  <c r="L230" i="6"/>
  <c r="M230" i="6"/>
  <c r="N230" i="6"/>
  <c r="O230" i="6"/>
  <c r="P230" i="6"/>
  <c r="Q230" i="6"/>
  <c r="I231" i="6"/>
  <c r="J231" i="6"/>
  <c r="K231" i="6"/>
  <c r="L231" i="6"/>
  <c r="M231" i="6"/>
  <c r="N231" i="6"/>
  <c r="O231" i="6"/>
  <c r="P231" i="6"/>
  <c r="Q231" i="6"/>
  <c r="I232" i="6"/>
  <c r="J232" i="6"/>
  <c r="K232" i="6"/>
  <c r="L232" i="6"/>
  <c r="M232" i="6"/>
  <c r="N232" i="6"/>
  <c r="O232" i="6"/>
  <c r="P232" i="6"/>
  <c r="Q232" i="6"/>
  <c r="I233" i="6"/>
  <c r="J233" i="6"/>
  <c r="K233" i="6"/>
  <c r="L233" i="6"/>
  <c r="M233" i="6"/>
  <c r="N233" i="6"/>
  <c r="O233" i="6"/>
  <c r="P233" i="6"/>
  <c r="Q233" i="6"/>
  <c r="I234" i="6"/>
  <c r="J234" i="6"/>
  <c r="K234" i="6"/>
  <c r="L234" i="6"/>
  <c r="M234" i="6"/>
  <c r="N234" i="6"/>
  <c r="O234" i="6"/>
  <c r="P234" i="6"/>
  <c r="Q234" i="6"/>
  <c r="I235" i="6"/>
  <c r="J235" i="6"/>
  <c r="K235" i="6"/>
  <c r="L235" i="6"/>
  <c r="M235" i="6"/>
  <c r="N235" i="6"/>
  <c r="O235" i="6"/>
  <c r="P235" i="6"/>
  <c r="Q235" i="6"/>
  <c r="I236" i="6"/>
  <c r="J236" i="6"/>
  <c r="K236" i="6"/>
  <c r="L236" i="6"/>
  <c r="M236" i="6"/>
  <c r="N236" i="6"/>
  <c r="O236" i="6"/>
  <c r="P236" i="6"/>
  <c r="Q236" i="6"/>
  <c r="I237" i="6"/>
  <c r="J237" i="6"/>
  <c r="K237" i="6"/>
  <c r="L237" i="6"/>
  <c r="M237" i="6"/>
  <c r="N237" i="6"/>
  <c r="O237" i="6"/>
  <c r="P237" i="6"/>
  <c r="Q237" i="6"/>
  <c r="I238" i="6"/>
  <c r="J238" i="6"/>
  <c r="K238" i="6"/>
  <c r="L238" i="6"/>
  <c r="M238" i="6"/>
  <c r="N238" i="6"/>
  <c r="O238" i="6"/>
  <c r="P238" i="6"/>
  <c r="Q238" i="6"/>
  <c r="I239" i="6"/>
  <c r="J239" i="6"/>
  <c r="K239" i="6"/>
  <c r="L239" i="6"/>
  <c r="M239" i="6"/>
  <c r="N239" i="6"/>
  <c r="O239" i="6"/>
  <c r="P239" i="6"/>
  <c r="Q239" i="6"/>
  <c r="I240" i="6"/>
  <c r="J240" i="6"/>
  <c r="K240" i="6"/>
  <c r="L240" i="6"/>
  <c r="M240" i="6"/>
  <c r="N240" i="6"/>
  <c r="O240" i="6"/>
  <c r="P240" i="6"/>
  <c r="Q240" i="6"/>
  <c r="I241" i="6"/>
  <c r="J241" i="6"/>
  <c r="K241" i="6"/>
  <c r="L241" i="6"/>
  <c r="M241" i="6"/>
  <c r="N241" i="6"/>
  <c r="O241" i="6"/>
  <c r="P241" i="6"/>
  <c r="Q241" i="6"/>
  <c r="I242" i="6"/>
  <c r="J242" i="6"/>
  <c r="K242" i="6"/>
  <c r="L242" i="6"/>
  <c r="M242" i="6"/>
  <c r="N242" i="6"/>
  <c r="O242" i="6"/>
  <c r="P242" i="6"/>
  <c r="Q242" i="6"/>
  <c r="I243" i="6"/>
  <c r="J243" i="6"/>
  <c r="K243" i="6"/>
  <c r="L243" i="6"/>
  <c r="M243" i="6"/>
  <c r="N243" i="6"/>
  <c r="O243" i="6"/>
  <c r="P243" i="6"/>
  <c r="Q243" i="6"/>
  <c r="I244" i="6"/>
  <c r="J244" i="6"/>
  <c r="K244" i="6"/>
  <c r="L244" i="6"/>
  <c r="M244" i="6"/>
  <c r="N244" i="6"/>
  <c r="O244" i="6"/>
  <c r="P244" i="6"/>
  <c r="Q244" i="6"/>
  <c r="I245" i="6"/>
  <c r="J245" i="6"/>
  <c r="K245" i="6"/>
  <c r="L245" i="6"/>
  <c r="M245" i="6"/>
  <c r="N245" i="6"/>
  <c r="O245" i="6"/>
  <c r="P245" i="6"/>
  <c r="Q245" i="6"/>
  <c r="I246" i="6"/>
  <c r="J246" i="6"/>
  <c r="K246" i="6"/>
  <c r="L246" i="6"/>
  <c r="M246" i="6"/>
  <c r="N246" i="6"/>
  <c r="O246" i="6"/>
  <c r="P246" i="6"/>
  <c r="Q246" i="6"/>
  <c r="I247" i="6"/>
  <c r="J247" i="6"/>
  <c r="K247" i="6"/>
  <c r="L247" i="6"/>
  <c r="M247" i="6"/>
  <c r="N247" i="6"/>
  <c r="O247" i="6"/>
  <c r="P247" i="6"/>
  <c r="Q247" i="6"/>
  <c r="I248" i="6"/>
  <c r="J248" i="6"/>
  <c r="K248" i="6"/>
  <c r="L248" i="6"/>
  <c r="M248" i="6"/>
  <c r="N248" i="6"/>
  <c r="O248" i="6"/>
  <c r="P248" i="6"/>
  <c r="Q248" i="6"/>
  <c r="I249" i="6"/>
  <c r="J249" i="6"/>
  <c r="K249" i="6"/>
  <c r="L249" i="6"/>
  <c r="M249" i="6"/>
  <c r="N249" i="6"/>
  <c r="O249" i="6"/>
  <c r="P249" i="6"/>
  <c r="Q249" i="6"/>
  <c r="I250" i="6"/>
  <c r="J250" i="6"/>
  <c r="K250" i="6"/>
  <c r="L250" i="6"/>
  <c r="M250" i="6"/>
  <c r="N250" i="6"/>
  <c r="O250" i="6"/>
  <c r="P250" i="6"/>
  <c r="Q250" i="6"/>
  <c r="I251" i="6"/>
  <c r="J251" i="6"/>
  <c r="K251" i="6"/>
  <c r="L251" i="6"/>
  <c r="M251" i="6"/>
  <c r="N251" i="6"/>
  <c r="O251" i="6"/>
  <c r="P251" i="6"/>
  <c r="Q251" i="6"/>
  <c r="I252" i="6"/>
  <c r="J252" i="6"/>
  <c r="K252" i="6"/>
  <c r="L252" i="6"/>
  <c r="M252" i="6"/>
  <c r="N252" i="6"/>
  <c r="O252" i="6"/>
  <c r="P252" i="6"/>
  <c r="Q252" i="6"/>
  <c r="I253" i="6"/>
  <c r="J253" i="6"/>
  <c r="K253" i="6"/>
  <c r="L253" i="6"/>
  <c r="M253" i="6"/>
  <c r="N253" i="6"/>
  <c r="O253" i="6"/>
  <c r="P253" i="6"/>
  <c r="Q253" i="6"/>
  <c r="I254" i="6"/>
  <c r="J254" i="6"/>
  <c r="K254" i="6"/>
  <c r="L254" i="6"/>
  <c r="M254" i="6"/>
  <c r="N254" i="6"/>
  <c r="O254" i="6"/>
  <c r="P254" i="6"/>
  <c r="Q254" i="6"/>
  <c r="I255" i="6"/>
  <c r="J255" i="6"/>
  <c r="K255" i="6"/>
  <c r="L255" i="6"/>
  <c r="M255" i="6"/>
  <c r="N255" i="6"/>
  <c r="O255" i="6"/>
  <c r="P255" i="6"/>
  <c r="Q255" i="6"/>
  <c r="I256" i="6"/>
  <c r="J256" i="6"/>
  <c r="K256" i="6"/>
  <c r="L256" i="6"/>
  <c r="M256" i="6"/>
  <c r="N256" i="6"/>
  <c r="O256" i="6"/>
  <c r="P256" i="6"/>
  <c r="Q256" i="6"/>
  <c r="I257" i="6"/>
  <c r="J257" i="6"/>
  <c r="K257" i="6"/>
  <c r="L257" i="6"/>
  <c r="M257" i="6"/>
  <c r="N257" i="6"/>
  <c r="O257" i="6"/>
  <c r="P257" i="6"/>
  <c r="Q257" i="6"/>
  <c r="I258" i="6"/>
  <c r="J258" i="6"/>
  <c r="K258" i="6"/>
  <c r="L258" i="6"/>
  <c r="M258" i="6"/>
  <c r="N258" i="6"/>
  <c r="O258" i="6"/>
  <c r="P258" i="6"/>
  <c r="Q258" i="6"/>
  <c r="I259" i="6"/>
  <c r="J259" i="6"/>
  <c r="K259" i="6"/>
  <c r="L259" i="6"/>
  <c r="M259" i="6"/>
  <c r="N259" i="6"/>
  <c r="O259" i="6"/>
  <c r="P259" i="6"/>
  <c r="Q259" i="6"/>
  <c r="I260" i="6"/>
  <c r="J260" i="6"/>
  <c r="K260" i="6"/>
  <c r="L260" i="6"/>
  <c r="M260" i="6"/>
  <c r="N260" i="6"/>
  <c r="O260" i="6"/>
  <c r="P260" i="6"/>
  <c r="Q260" i="6"/>
  <c r="I261" i="6"/>
  <c r="J261" i="6"/>
  <c r="K261" i="6"/>
  <c r="L261" i="6"/>
  <c r="M261" i="6"/>
  <c r="N261" i="6"/>
  <c r="O261" i="6"/>
  <c r="P261" i="6"/>
  <c r="Q261" i="6"/>
  <c r="I262" i="6"/>
  <c r="J262" i="6"/>
  <c r="K262" i="6"/>
  <c r="L262" i="6"/>
  <c r="M262" i="6"/>
  <c r="N262" i="6"/>
  <c r="O262" i="6"/>
  <c r="P262" i="6"/>
  <c r="Q262" i="6"/>
  <c r="I263" i="6"/>
  <c r="J263" i="6"/>
  <c r="K263" i="6"/>
  <c r="L263" i="6"/>
  <c r="M263" i="6"/>
  <c r="N263" i="6"/>
  <c r="O263" i="6"/>
  <c r="P263" i="6"/>
  <c r="Q263" i="6"/>
  <c r="I264" i="6"/>
  <c r="J264" i="6"/>
  <c r="K264" i="6"/>
  <c r="L264" i="6"/>
  <c r="M264" i="6"/>
  <c r="N264" i="6"/>
  <c r="O264" i="6"/>
  <c r="P264" i="6"/>
  <c r="Q264" i="6"/>
  <c r="I265" i="6"/>
  <c r="J265" i="6"/>
  <c r="K265" i="6"/>
  <c r="L265" i="6"/>
  <c r="M265" i="6"/>
  <c r="N265" i="6"/>
  <c r="O265" i="6"/>
  <c r="P265" i="6"/>
  <c r="Q265" i="6"/>
  <c r="I266" i="6"/>
  <c r="J266" i="6"/>
  <c r="K266" i="6"/>
  <c r="L266" i="6"/>
  <c r="M266" i="6"/>
  <c r="N266" i="6"/>
  <c r="O266" i="6"/>
  <c r="P266" i="6"/>
  <c r="Q266" i="6"/>
  <c r="I267" i="6"/>
  <c r="J267" i="6"/>
  <c r="K267" i="6"/>
  <c r="L267" i="6"/>
  <c r="M267" i="6"/>
  <c r="N267" i="6"/>
  <c r="O267" i="6"/>
  <c r="P267" i="6"/>
  <c r="Q267" i="6"/>
  <c r="I268" i="6"/>
  <c r="J268" i="6"/>
  <c r="K268" i="6"/>
  <c r="L268" i="6"/>
  <c r="M268" i="6"/>
  <c r="N268" i="6"/>
  <c r="O268" i="6"/>
  <c r="P268" i="6"/>
  <c r="Q268" i="6"/>
  <c r="Q4" i="6"/>
  <c r="P4" i="6"/>
  <c r="O4" i="6"/>
  <c r="N4" i="6"/>
  <c r="M4" i="6"/>
  <c r="L4" i="6"/>
  <c r="K4" i="6"/>
  <c r="J4" i="6"/>
  <c r="I4" i="6"/>
  <c r="J5" i="19"/>
  <c r="K5" i="19"/>
  <c r="L5" i="19"/>
  <c r="M5" i="19"/>
  <c r="N5" i="19"/>
  <c r="O5" i="19"/>
  <c r="P5" i="19"/>
  <c r="Q5" i="19"/>
  <c r="J6" i="19"/>
  <c r="K6" i="19"/>
  <c r="L6" i="19"/>
  <c r="M6" i="19"/>
  <c r="N6" i="19"/>
  <c r="O6" i="19"/>
  <c r="P6" i="19"/>
  <c r="Q6" i="19"/>
  <c r="J7" i="19"/>
  <c r="K7" i="19"/>
  <c r="L7" i="19"/>
  <c r="M7" i="19"/>
  <c r="N7" i="19"/>
  <c r="O7" i="19"/>
  <c r="P7" i="19"/>
  <c r="Q7" i="19"/>
  <c r="J8" i="19"/>
  <c r="K8" i="19"/>
  <c r="L8" i="19"/>
  <c r="M8" i="19"/>
  <c r="N8" i="19"/>
  <c r="O8" i="19"/>
  <c r="P8" i="19"/>
  <c r="Q8" i="19"/>
  <c r="J9" i="19"/>
  <c r="K9" i="19"/>
  <c r="L9" i="19"/>
  <c r="M9" i="19"/>
  <c r="N9" i="19"/>
  <c r="O9" i="19"/>
  <c r="P9" i="19"/>
  <c r="Q9" i="19"/>
  <c r="J10" i="19"/>
  <c r="K10" i="19"/>
  <c r="L10" i="19"/>
  <c r="M10" i="19"/>
  <c r="N10" i="19"/>
  <c r="O10" i="19"/>
  <c r="P10" i="19"/>
  <c r="Q10" i="19"/>
  <c r="J11" i="19"/>
  <c r="K11" i="19"/>
  <c r="L11" i="19"/>
  <c r="M11" i="19"/>
  <c r="N11" i="19"/>
  <c r="O11" i="19"/>
  <c r="P11" i="19"/>
  <c r="Q11" i="19"/>
  <c r="J12" i="19"/>
  <c r="K12" i="19"/>
  <c r="L12" i="19"/>
  <c r="M12" i="19"/>
  <c r="N12" i="19"/>
  <c r="O12" i="19"/>
  <c r="P12" i="19"/>
  <c r="Q12" i="19"/>
  <c r="J13" i="19"/>
  <c r="K13" i="19"/>
  <c r="L13" i="19"/>
  <c r="M13" i="19"/>
  <c r="N13" i="19"/>
  <c r="O13" i="19"/>
  <c r="P13" i="19"/>
  <c r="Q13" i="19"/>
  <c r="J14" i="19"/>
  <c r="K14" i="19"/>
  <c r="L14" i="19"/>
  <c r="M14" i="19"/>
  <c r="N14" i="19"/>
  <c r="O14" i="19"/>
  <c r="P14" i="19"/>
  <c r="Q14" i="19"/>
  <c r="J15" i="19"/>
  <c r="K15" i="19"/>
  <c r="L15" i="19"/>
  <c r="M15" i="19"/>
  <c r="N15" i="19"/>
  <c r="O15" i="19"/>
  <c r="P15" i="19"/>
  <c r="Q15" i="19"/>
  <c r="J16" i="19"/>
  <c r="K16" i="19"/>
  <c r="L16" i="19"/>
  <c r="M16" i="19"/>
  <c r="N16" i="19"/>
  <c r="O16" i="19"/>
  <c r="P16" i="19"/>
  <c r="Q16" i="19"/>
  <c r="J17" i="19"/>
  <c r="K17" i="19"/>
  <c r="L17" i="19"/>
  <c r="M17" i="19"/>
  <c r="N17" i="19"/>
  <c r="O17" i="19"/>
  <c r="P17" i="19"/>
  <c r="Q17" i="19"/>
  <c r="J18" i="19"/>
  <c r="K18" i="19"/>
  <c r="L18" i="19"/>
  <c r="M18" i="19"/>
  <c r="N18" i="19"/>
  <c r="O18" i="19"/>
  <c r="P18" i="19"/>
  <c r="Q18" i="19"/>
  <c r="J19" i="19"/>
  <c r="K19" i="19"/>
  <c r="L19" i="19"/>
  <c r="M19" i="19"/>
  <c r="N19" i="19"/>
  <c r="O19" i="19"/>
  <c r="P19" i="19"/>
  <c r="Q19" i="19"/>
  <c r="J20" i="19"/>
  <c r="K20" i="19"/>
  <c r="L20" i="19"/>
  <c r="M20" i="19"/>
  <c r="N20" i="19"/>
  <c r="O20" i="19"/>
  <c r="P20" i="19"/>
  <c r="Q20" i="19"/>
  <c r="J21" i="19"/>
  <c r="K21" i="19"/>
  <c r="L21" i="19"/>
  <c r="M21" i="19"/>
  <c r="N21" i="19"/>
  <c r="O21" i="19"/>
  <c r="P21" i="19"/>
  <c r="Q21" i="19"/>
  <c r="J22" i="19"/>
  <c r="K22" i="19"/>
  <c r="L22" i="19"/>
  <c r="M22" i="19"/>
  <c r="N22" i="19"/>
  <c r="O22" i="19"/>
  <c r="P22" i="19"/>
  <c r="Q22" i="19"/>
  <c r="J23" i="19"/>
  <c r="K23" i="19"/>
  <c r="L23" i="19"/>
  <c r="M23" i="19"/>
  <c r="N23" i="19"/>
  <c r="O23" i="19"/>
  <c r="P23" i="19"/>
  <c r="Q23" i="19"/>
  <c r="J24" i="19"/>
  <c r="K24" i="19"/>
  <c r="L24" i="19"/>
  <c r="M24" i="19"/>
  <c r="N24" i="19"/>
  <c r="O24" i="19"/>
  <c r="P24" i="19"/>
  <c r="Q24" i="19"/>
  <c r="J25" i="19"/>
  <c r="K25" i="19"/>
  <c r="L25" i="19"/>
  <c r="M25" i="19"/>
  <c r="N25" i="19"/>
  <c r="O25" i="19"/>
  <c r="P25" i="19"/>
  <c r="Q25" i="19"/>
  <c r="J26" i="19"/>
  <c r="K26" i="19"/>
  <c r="L26" i="19"/>
  <c r="M26" i="19"/>
  <c r="N26" i="19"/>
  <c r="O26" i="19"/>
  <c r="P26" i="19"/>
  <c r="Q26" i="19"/>
  <c r="J27" i="19"/>
  <c r="K27" i="19"/>
  <c r="L27" i="19"/>
  <c r="M27" i="19"/>
  <c r="N27" i="19"/>
  <c r="O27" i="19"/>
  <c r="P27" i="19"/>
  <c r="Q27" i="19"/>
  <c r="J28" i="19"/>
  <c r="K28" i="19"/>
  <c r="L28" i="19"/>
  <c r="M28" i="19"/>
  <c r="N28" i="19"/>
  <c r="O28" i="19"/>
  <c r="P28" i="19"/>
  <c r="Q28" i="19"/>
  <c r="J29" i="19"/>
  <c r="K29" i="19"/>
  <c r="L29" i="19"/>
  <c r="M29" i="19"/>
  <c r="N29" i="19"/>
  <c r="O29" i="19"/>
  <c r="P29" i="19"/>
  <c r="Q29" i="19"/>
  <c r="J30" i="19"/>
  <c r="K30" i="19"/>
  <c r="L30" i="19"/>
  <c r="M30" i="19"/>
  <c r="N30" i="19"/>
  <c r="O30" i="19"/>
  <c r="P30" i="19"/>
  <c r="Q30" i="19"/>
  <c r="J31" i="19"/>
  <c r="K31" i="19"/>
  <c r="L31" i="19"/>
  <c r="M31" i="19"/>
  <c r="N31" i="19"/>
  <c r="O31" i="19"/>
  <c r="P31" i="19"/>
  <c r="Q31" i="19"/>
  <c r="J32" i="19"/>
  <c r="K32" i="19"/>
  <c r="L32" i="19"/>
  <c r="M32" i="19"/>
  <c r="N32" i="19"/>
  <c r="O32" i="19"/>
  <c r="P32" i="19"/>
  <c r="Q32" i="19"/>
  <c r="J33" i="19"/>
  <c r="K33" i="19"/>
  <c r="L33" i="19"/>
  <c r="M33" i="19"/>
  <c r="N33" i="19"/>
  <c r="O33" i="19"/>
  <c r="P33" i="19"/>
  <c r="Q33" i="19"/>
  <c r="J34" i="19"/>
  <c r="K34" i="19"/>
  <c r="L34" i="19"/>
  <c r="M34" i="19"/>
  <c r="N34" i="19"/>
  <c r="O34" i="19"/>
  <c r="P34" i="19"/>
  <c r="Q34" i="19"/>
  <c r="J35" i="19"/>
  <c r="K35" i="19"/>
  <c r="L35" i="19"/>
  <c r="M35" i="19"/>
  <c r="N35" i="19"/>
  <c r="O35" i="19"/>
  <c r="P35" i="19"/>
  <c r="Q35" i="19"/>
  <c r="J36" i="19"/>
  <c r="K36" i="19"/>
  <c r="L36" i="19"/>
  <c r="M36" i="19"/>
  <c r="N36" i="19"/>
  <c r="O36" i="19"/>
  <c r="P36" i="19"/>
  <c r="Q36" i="19"/>
  <c r="J37" i="19"/>
  <c r="K37" i="19"/>
  <c r="L37" i="19"/>
  <c r="M37" i="19"/>
  <c r="N37" i="19"/>
  <c r="O37" i="19"/>
  <c r="P37" i="19"/>
  <c r="Q37" i="19"/>
  <c r="J38" i="19"/>
  <c r="K38" i="19"/>
  <c r="L38" i="19"/>
  <c r="M38" i="19"/>
  <c r="N38" i="19"/>
  <c r="O38" i="19"/>
  <c r="P38" i="19"/>
  <c r="Q38" i="19"/>
  <c r="J39" i="19"/>
  <c r="K39" i="19"/>
  <c r="L39" i="19"/>
  <c r="M39" i="19"/>
  <c r="N39" i="19"/>
  <c r="O39" i="19"/>
  <c r="P39" i="19"/>
  <c r="Q39" i="19"/>
  <c r="J40" i="19"/>
  <c r="K40" i="19"/>
  <c r="L40" i="19"/>
  <c r="M40" i="19"/>
  <c r="N40" i="19"/>
  <c r="O40" i="19"/>
  <c r="P40" i="19"/>
  <c r="Q40" i="19"/>
  <c r="J41" i="19"/>
  <c r="K41" i="19"/>
  <c r="L41" i="19"/>
  <c r="M41" i="19"/>
  <c r="N41" i="19"/>
  <c r="O41" i="19"/>
  <c r="P41" i="19"/>
  <c r="Q41" i="19"/>
  <c r="J42" i="19"/>
  <c r="K42" i="19"/>
  <c r="L42" i="19"/>
  <c r="M42" i="19"/>
  <c r="N42" i="19"/>
  <c r="O42" i="19"/>
  <c r="P42" i="19"/>
  <c r="Q42" i="19"/>
  <c r="J43" i="19"/>
  <c r="K43" i="19"/>
  <c r="L43" i="19"/>
  <c r="M43" i="19"/>
  <c r="N43" i="19"/>
  <c r="O43" i="19"/>
  <c r="P43" i="19"/>
  <c r="Q43" i="19"/>
  <c r="J44" i="19"/>
  <c r="K44" i="19"/>
  <c r="L44" i="19"/>
  <c r="M44" i="19"/>
  <c r="N44" i="19"/>
  <c r="O44" i="19"/>
  <c r="P44" i="19"/>
  <c r="Q44" i="19"/>
  <c r="J45" i="19"/>
  <c r="K45" i="19"/>
  <c r="L45" i="19"/>
  <c r="M45" i="19"/>
  <c r="N45" i="19"/>
  <c r="O45" i="19"/>
  <c r="P45" i="19"/>
  <c r="Q45" i="19"/>
  <c r="J46" i="19"/>
  <c r="K46" i="19"/>
  <c r="L46" i="19"/>
  <c r="M46" i="19"/>
  <c r="N46" i="19"/>
  <c r="O46" i="19"/>
  <c r="P46" i="19"/>
  <c r="Q46" i="19"/>
  <c r="J47" i="19"/>
  <c r="K47" i="19"/>
  <c r="L47" i="19"/>
  <c r="M47" i="19"/>
  <c r="N47" i="19"/>
  <c r="O47" i="19"/>
  <c r="P47" i="19"/>
  <c r="Q47" i="19"/>
  <c r="J48" i="19"/>
  <c r="K48" i="19"/>
  <c r="L48" i="19"/>
  <c r="M48" i="19"/>
  <c r="N48" i="19"/>
  <c r="O48" i="19"/>
  <c r="P48" i="19"/>
  <c r="Q48" i="19"/>
  <c r="J49" i="19"/>
  <c r="K49" i="19"/>
  <c r="L49" i="19"/>
  <c r="M49" i="19"/>
  <c r="N49" i="19"/>
  <c r="O49" i="19"/>
  <c r="P49" i="19"/>
  <c r="Q49" i="19"/>
  <c r="J50" i="19"/>
  <c r="K50" i="19"/>
  <c r="L50" i="19"/>
  <c r="M50" i="19"/>
  <c r="N50" i="19"/>
  <c r="O50" i="19"/>
  <c r="P50" i="19"/>
  <c r="Q50" i="19"/>
  <c r="J51" i="19"/>
  <c r="K51" i="19"/>
  <c r="L51" i="19"/>
  <c r="M51" i="19"/>
  <c r="N51" i="19"/>
  <c r="O51" i="19"/>
  <c r="P51" i="19"/>
  <c r="Q51" i="19"/>
  <c r="J52" i="19"/>
  <c r="K52" i="19"/>
  <c r="L52" i="19"/>
  <c r="M52" i="19"/>
  <c r="N52" i="19"/>
  <c r="O52" i="19"/>
  <c r="P52" i="19"/>
  <c r="Q52" i="19"/>
  <c r="J53" i="19"/>
  <c r="K53" i="19"/>
  <c r="L53" i="19"/>
  <c r="M53" i="19"/>
  <c r="N53" i="19"/>
  <c r="O53" i="19"/>
  <c r="P53" i="19"/>
  <c r="Q53" i="19"/>
  <c r="J54" i="19"/>
  <c r="K54" i="19"/>
  <c r="L54" i="19"/>
  <c r="M54" i="19"/>
  <c r="N54" i="19"/>
  <c r="O54" i="19"/>
  <c r="P54" i="19"/>
  <c r="Q54" i="19"/>
  <c r="J55" i="19"/>
  <c r="K55" i="19"/>
  <c r="L55" i="19"/>
  <c r="M55" i="19"/>
  <c r="N55" i="19"/>
  <c r="O55" i="19"/>
  <c r="P55" i="19"/>
  <c r="Q55" i="19"/>
  <c r="J56" i="19"/>
  <c r="K56" i="19"/>
  <c r="L56" i="19"/>
  <c r="M56" i="19"/>
  <c r="N56" i="19"/>
  <c r="O56" i="19"/>
  <c r="P56" i="19"/>
  <c r="Q56" i="19"/>
  <c r="J57" i="19"/>
  <c r="K57" i="19"/>
  <c r="L57" i="19"/>
  <c r="M57" i="19"/>
  <c r="N57" i="19"/>
  <c r="O57" i="19"/>
  <c r="P57" i="19"/>
  <c r="Q57" i="19"/>
  <c r="J58" i="19"/>
  <c r="K58" i="19"/>
  <c r="L58" i="19"/>
  <c r="M58" i="19"/>
  <c r="N58" i="19"/>
  <c r="O58" i="19"/>
  <c r="P58" i="19"/>
  <c r="Q58" i="19"/>
  <c r="J59" i="19"/>
  <c r="K59" i="19"/>
  <c r="L59" i="19"/>
  <c r="M59" i="19"/>
  <c r="N59" i="19"/>
  <c r="O59" i="19"/>
  <c r="P59" i="19"/>
  <c r="Q59" i="19"/>
  <c r="J60" i="19"/>
  <c r="K60" i="19"/>
  <c r="L60" i="19"/>
  <c r="M60" i="19"/>
  <c r="N60" i="19"/>
  <c r="O60" i="19"/>
  <c r="P60" i="19"/>
  <c r="Q60" i="19"/>
  <c r="J61" i="19"/>
  <c r="K61" i="19"/>
  <c r="L61" i="19"/>
  <c r="M61" i="19"/>
  <c r="N61" i="19"/>
  <c r="O61" i="19"/>
  <c r="P61" i="19"/>
  <c r="Q61" i="19"/>
  <c r="J62" i="19"/>
  <c r="K62" i="19"/>
  <c r="L62" i="19"/>
  <c r="M62" i="19"/>
  <c r="N62" i="19"/>
  <c r="O62" i="19"/>
  <c r="P62" i="19"/>
  <c r="Q62" i="19"/>
  <c r="J63" i="19"/>
  <c r="K63" i="19"/>
  <c r="L63" i="19"/>
  <c r="M63" i="19"/>
  <c r="N63" i="19"/>
  <c r="O63" i="19"/>
  <c r="P63" i="19"/>
  <c r="Q63" i="19"/>
  <c r="J64" i="19"/>
  <c r="K64" i="19"/>
  <c r="L64" i="19"/>
  <c r="M64" i="19"/>
  <c r="N64" i="19"/>
  <c r="O64" i="19"/>
  <c r="P64" i="19"/>
  <c r="Q64" i="19"/>
  <c r="J65" i="19"/>
  <c r="K65" i="19"/>
  <c r="L65" i="19"/>
  <c r="M65" i="19"/>
  <c r="N65" i="19"/>
  <c r="O65" i="19"/>
  <c r="P65" i="19"/>
  <c r="Q65" i="19"/>
  <c r="J66" i="19"/>
  <c r="K66" i="19"/>
  <c r="L66" i="19"/>
  <c r="M66" i="19"/>
  <c r="N66" i="19"/>
  <c r="O66" i="19"/>
  <c r="P66" i="19"/>
  <c r="Q66" i="19"/>
  <c r="J67" i="19"/>
  <c r="K67" i="19"/>
  <c r="L67" i="19"/>
  <c r="M67" i="19"/>
  <c r="N67" i="19"/>
  <c r="O67" i="19"/>
  <c r="P67" i="19"/>
  <c r="Q67" i="19"/>
  <c r="J68" i="19"/>
  <c r="K68" i="19"/>
  <c r="L68" i="19"/>
  <c r="M68" i="19"/>
  <c r="N68" i="19"/>
  <c r="O68" i="19"/>
  <c r="P68" i="19"/>
  <c r="Q68" i="19"/>
  <c r="J69" i="19"/>
  <c r="K69" i="19"/>
  <c r="L69" i="19"/>
  <c r="M69" i="19"/>
  <c r="N69" i="19"/>
  <c r="O69" i="19"/>
  <c r="P69" i="19"/>
  <c r="Q69" i="19"/>
  <c r="J70" i="19"/>
  <c r="K70" i="19"/>
  <c r="L70" i="19"/>
  <c r="M70" i="19"/>
  <c r="N70" i="19"/>
  <c r="O70" i="19"/>
  <c r="P70" i="19"/>
  <c r="Q70" i="19"/>
  <c r="J71" i="19"/>
  <c r="K71" i="19"/>
  <c r="L71" i="19"/>
  <c r="M71" i="19"/>
  <c r="N71" i="19"/>
  <c r="O71" i="19"/>
  <c r="P71" i="19"/>
  <c r="Q71" i="19"/>
  <c r="J72" i="19"/>
  <c r="K72" i="19"/>
  <c r="L72" i="19"/>
  <c r="M72" i="19"/>
  <c r="N72" i="19"/>
  <c r="O72" i="19"/>
  <c r="P72" i="19"/>
  <c r="Q72" i="19"/>
  <c r="J73" i="19"/>
  <c r="K73" i="19"/>
  <c r="L73" i="19"/>
  <c r="M73" i="19"/>
  <c r="N73" i="19"/>
  <c r="O73" i="19"/>
  <c r="P73" i="19"/>
  <c r="Q73" i="19"/>
  <c r="J74" i="19"/>
  <c r="K74" i="19"/>
  <c r="L74" i="19"/>
  <c r="M74" i="19"/>
  <c r="N74" i="19"/>
  <c r="O74" i="19"/>
  <c r="P74" i="19"/>
  <c r="Q74" i="19"/>
  <c r="J75" i="19"/>
  <c r="K75" i="19"/>
  <c r="L75" i="19"/>
  <c r="M75" i="19"/>
  <c r="N75" i="19"/>
  <c r="O75" i="19"/>
  <c r="P75" i="19"/>
  <c r="Q75" i="19"/>
  <c r="J76" i="19"/>
  <c r="K76" i="19"/>
  <c r="L76" i="19"/>
  <c r="M76" i="19"/>
  <c r="N76" i="19"/>
  <c r="O76" i="19"/>
  <c r="P76" i="19"/>
  <c r="Q76" i="19"/>
  <c r="J77" i="19"/>
  <c r="K77" i="19"/>
  <c r="L77" i="19"/>
  <c r="M77" i="19"/>
  <c r="N77" i="19"/>
  <c r="O77" i="19"/>
  <c r="P77" i="19"/>
  <c r="Q77" i="19"/>
  <c r="J78" i="19"/>
  <c r="K78" i="19"/>
  <c r="L78" i="19"/>
  <c r="M78" i="19"/>
  <c r="N78" i="19"/>
  <c r="O78" i="19"/>
  <c r="P78" i="19"/>
  <c r="Q78" i="19"/>
  <c r="J79" i="19"/>
  <c r="K79" i="19"/>
  <c r="L79" i="19"/>
  <c r="M79" i="19"/>
  <c r="N79" i="19"/>
  <c r="O79" i="19"/>
  <c r="P79" i="19"/>
  <c r="Q79" i="19"/>
  <c r="J80" i="19"/>
  <c r="K80" i="19"/>
  <c r="L80" i="19"/>
  <c r="M80" i="19"/>
  <c r="N80" i="19"/>
  <c r="O80" i="19"/>
  <c r="P80" i="19"/>
  <c r="Q80" i="19"/>
  <c r="J81" i="19"/>
  <c r="K81" i="19"/>
  <c r="L81" i="19"/>
  <c r="M81" i="19"/>
  <c r="N81" i="19"/>
  <c r="O81" i="19"/>
  <c r="P81" i="19"/>
  <c r="Q81" i="19"/>
  <c r="J82" i="19"/>
  <c r="K82" i="19"/>
  <c r="L82" i="19"/>
  <c r="M82" i="19"/>
  <c r="N82" i="19"/>
  <c r="O82" i="19"/>
  <c r="P82" i="19"/>
  <c r="Q82" i="19"/>
  <c r="J83" i="19"/>
  <c r="K83" i="19"/>
  <c r="L83" i="19"/>
  <c r="M83" i="19"/>
  <c r="N83" i="19"/>
  <c r="O83" i="19"/>
  <c r="P83" i="19"/>
  <c r="Q83" i="19"/>
  <c r="J84" i="19"/>
  <c r="K84" i="19"/>
  <c r="L84" i="19"/>
  <c r="M84" i="19"/>
  <c r="N84" i="19"/>
  <c r="O84" i="19"/>
  <c r="P84" i="19"/>
  <c r="Q84" i="19"/>
  <c r="J85" i="19"/>
  <c r="K85" i="19"/>
  <c r="L85" i="19"/>
  <c r="M85" i="19"/>
  <c r="N85" i="19"/>
  <c r="O85" i="19"/>
  <c r="P85" i="19"/>
  <c r="Q85" i="19"/>
  <c r="J86" i="19"/>
  <c r="K86" i="19"/>
  <c r="L86" i="19"/>
  <c r="M86" i="19"/>
  <c r="N86" i="19"/>
  <c r="O86" i="19"/>
  <c r="P86" i="19"/>
  <c r="Q86" i="19"/>
  <c r="J87" i="19"/>
  <c r="K87" i="19"/>
  <c r="L87" i="19"/>
  <c r="M87" i="19"/>
  <c r="N87" i="19"/>
  <c r="O87" i="19"/>
  <c r="P87" i="19"/>
  <c r="Q87" i="19"/>
  <c r="J88" i="19"/>
  <c r="K88" i="19"/>
  <c r="L88" i="19"/>
  <c r="M88" i="19"/>
  <c r="N88" i="19"/>
  <c r="O88" i="19"/>
  <c r="P88" i="19"/>
  <c r="Q88" i="19"/>
  <c r="J89" i="19"/>
  <c r="K89" i="19"/>
  <c r="L89" i="19"/>
  <c r="M89" i="19"/>
  <c r="N89" i="19"/>
  <c r="O89" i="19"/>
  <c r="P89" i="19"/>
  <c r="Q89" i="19"/>
  <c r="J90" i="19"/>
  <c r="K90" i="19"/>
  <c r="L90" i="19"/>
  <c r="M90" i="19"/>
  <c r="N90" i="19"/>
  <c r="O90" i="19"/>
  <c r="P90" i="19"/>
  <c r="Q90" i="19"/>
  <c r="J91" i="19"/>
  <c r="K91" i="19"/>
  <c r="L91" i="19"/>
  <c r="M91" i="19"/>
  <c r="N91" i="19"/>
  <c r="O91" i="19"/>
  <c r="P91" i="19"/>
  <c r="Q91" i="19"/>
  <c r="J92" i="19"/>
  <c r="K92" i="19"/>
  <c r="L92" i="19"/>
  <c r="M92" i="19"/>
  <c r="N92" i="19"/>
  <c r="O92" i="19"/>
  <c r="P92" i="19"/>
  <c r="Q92" i="19"/>
  <c r="J93" i="19"/>
  <c r="K93" i="19"/>
  <c r="L93" i="19"/>
  <c r="M93" i="19"/>
  <c r="N93" i="19"/>
  <c r="O93" i="19"/>
  <c r="P93" i="19"/>
  <c r="Q93" i="19"/>
  <c r="J94" i="19"/>
  <c r="K94" i="19"/>
  <c r="L94" i="19"/>
  <c r="M94" i="19"/>
  <c r="N94" i="19"/>
  <c r="O94" i="19"/>
  <c r="P94" i="19"/>
  <c r="Q94" i="19"/>
  <c r="J95" i="19"/>
  <c r="K95" i="19"/>
  <c r="L95" i="19"/>
  <c r="M95" i="19"/>
  <c r="N95" i="19"/>
  <c r="O95" i="19"/>
  <c r="P95" i="19"/>
  <c r="Q95" i="19"/>
  <c r="J96" i="19"/>
  <c r="K96" i="19"/>
  <c r="L96" i="19"/>
  <c r="M96" i="19"/>
  <c r="N96" i="19"/>
  <c r="O96" i="19"/>
  <c r="P96" i="19"/>
  <c r="Q96" i="19"/>
  <c r="J97" i="19"/>
  <c r="K97" i="19"/>
  <c r="L97" i="19"/>
  <c r="M97" i="19"/>
  <c r="N97" i="19"/>
  <c r="O97" i="19"/>
  <c r="P97" i="19"/>
  <c r="Q97" i="19"/>
  <c r="J98" i="19"/>
  <c r="K98" i="19"/>
  <c r="L98" i="19"/>
  <c r="M98" i="19"/>
  <c r="N98" i="19"/>
  <c r="O98" i="19"/>
  <c r="P98" i="19"/>
  <c r="Q98" i="19"/>
  <c r="J99" i="19"/>
  <c r="K99" i="19"/>
  <c r="L99" i="19"/>
  <c r="M99" i="19"/>
  <c r="N99" i="19"/>
  <c r="O99" i="19"/>
  <c r="P99" i="19"/>
  <c r="Q99" i="19"/>
  <c r="J100" i="19"/>
  <c r="K100" i="19"/>
  <c r="L100" i="19"/>
  <c r="M100" i="19"/>
  <c r="N100" i="19"/>
  <c r="O100" i="19"/>
  <c r="P100" i="19"/>
  <c r="Q100" i="19"/>
  <c r="J101" i="19"/>
  <c r="K101" i="19"/>
  <c r="L101" i="19"/>
  <c r="M101" i="19"/>
  <c r="N101" i="19"/>
  <c r="O101" i="19"/>
  <c r="P101" i="19"/>
  <c r="Q101" i="19"/>
  <c r="J102" i="19"/>
  <c r="K102" i="19"/>
  <c r="L102" i="19"/>
  <c r="M102" i="19"/>
  <c r="N102" i="19"/>
  <c r="O102" i="19"/>
  <c r="P102" i="19"/>
  <c r="Q102" i="19"/>
  <c r="J103" i="19"/>
  <c r="K103" i="19"/>
  <c r="L103" i="19"/>
  <c r="M103" i="19"/>
  <c r="N103" i="19"/>
  <c r="O103" i="19"/>
  <c r="P103" i="19"/>
  <c r="Q103" i="19"/>
  <c r="J104" i="19"/>
  <c r="K104" i="19"/>
  <c r="L104" i="19"/>
  <c r="M104" i="19"/>
  <c r="N104" i="19"/>
  <c r="O104" i="19"/>
  <c r="P104" i="19"/>
  <c r="Q104" i="19"/>
  <c r="J105" i="19"/>
  <c r="K105" i="19"/>
  <c r="L105" i="19"/>
  <c r="M105" i="19"/>
  <c r="N105" i="19"/>
  <c r="O105" i="19"/>
  <c r="P105" i="19"/>
  <c r="Q105" i="19"/>
  <c r="J106" i="19"/>
  <c r="K106" i="19"/>
  <c r="L106" i="19"/>
  <c r="M106" i="19"/>
  <c r="N106" i="19"/>
  <c r="O106" i="19"/>
  <c r="P106" i="19"/>
  <c r="Q106" i="19"/>
  <c r="J107" i="19"/>
  <c r="K107" i="19"/>
  <c r="L107" i="19"/>
  <c r="M107" i="19"/>
  <c r="N107" i="19"/>
  <c r="O107" i="19"/>
  <c r="P107" i="19"/>
  <c r="Q107" i="19"/>
  <c r="J108" i="19"/>
  <c r="K108" i="19"/>
  <c r="L108" i="19"/>
  <c r="M108" i="19"/>
  <c r="N108" i="19"/>
  <c r="O108" i="19"/>
  <c r="P108" i="19"/>
  <c r="Q108" i="19"/>
  <c r="J109" i="19"/>
  <c r="K109" i="19"/>
  <c r="L109" i="19"/>
  <c r="M109" i="19"/>
  <c r="N109" i="19"/>
  <c r="O109" i="19"/>
  <c r="P109" i="19"/>
  <c r="Q109" i="19"/>
  <c r="J110" i="19"/>
  <c r="K110" i="19"/>
  <c r="L110" i="19"/>
  <c r="M110" i="19"/>
  <c r="N110" i="19"/>
  <c r="O110" i="19"/>
  <c r="P110" i="19"/>
  <c r="Q110" i="19"/>
  <c r="J111" i="19"/>
  <c r="K111" i="19"/>
  <c r="L111" i="19"/>
  <c r="M111" i="19"/>
  <c r="N111" i="19"/>
  <c r="O111" i="19"/>
  <c r="P111" i="19"/>
  <c r="Q111" i="19"/>
  <c r="J112" i="19"/>
  <c r="K112" i="19"/>
  <c r="L112" i="19"/>
  <c r="M112" i="19"/>
  <c r="N112" i="19"/>
  <c r="O112" i="19"/>
  <c r="P112" i="19"/>
  <c r="Q112" i="19"/>
  <c r="J113" i="19"/>
  <c r="K113" i="19"/>
  <c r="L113" i="19"/>
  <c r="M113" i="19"/>
  <c r="N113" i="19"/>
  <c r="O113" i="19"/>
  <c r="P113" i="19"/>
  <c r="Q113" i="19"/>
  <c r="J114" i="19"/>
  <c r="K114" i="19"/>
  <c r="L114" i="19"/>
  <c r="M114" i="19"/>
  <c r="N114" i="19"/>
  <c r="O114" i="19"/>
  <c r="P114" i="19"/>
  <c r="Q114" i="19"/>
  <c r="J115" i="19"/>
  <c r="K115" i="19"/>
  <c r="L115" i="19"/>
  <c r="M115" i="19"/>
  <c r="N115" i="19"/>
  <c r="O115" i="19"/>
  <c r="P115" i="19"/>
  <c r="Q115" i="19"/>
  <c r="J116" i="19"/>
  <c r="K116" i="19"/>
  <c r="L116" i="19"/>
  <c r="M116" i="19"/>
  <c r="N116" i="19"/>
  <c r="O116" i="19"/>
  <c r="P116" i="19"/>
  <c r="Q116" i="19"/>
  <c r="J117" i="19"/>
  <c r="K117" i="19"/>
  <c r="L117" i="19"/>
  <c r="M117" i="19"/>
  <c r="N117" i="19"/>
  <c r="O117" i="19"/>
  <c r="P117" i="19"/>
  <c r="Q117" i="19"/>
  <c r="J118" i="19"/>
  <c r="K118" i="19"/>
  <c r="L118" i="19"/>
  <c r="M118" i="19"/>
  <c r="N118" i="19"/>
  <c r="O118" i="19"/>
  <c r="P118" i="19"/>
  <c r="Q118" i="19"/>
  <c r="J119" i="19"/>
  <c r="K119" i="19"/>
  <c r="L119" i="19"/>
  <c r="M119" i="19"/>
  <c r="N119" i="19"/>
  <c r="O119" i="19"/>
  <c r="P119" i="19"/>
  <c r="Q119" i="19"/>
  <c r="J120" i="19"/>
  <c r="K120" i="19"/>
  <c r="L120" i="19"/>
  <c r="M120" i="19"/>
  <c r="N120" i="19"/>
  <c r="O120" i="19"/>
  <c r="P120" i="19"/>
  <c r="Q120" i="19"/>
  <c r="J121" i="19"/>
  <c r="K121" i="19"/>
  <c r="L121" i="19"/>
  <c r="M121" i="19"/>
  <c r="N121" i="19"/>
  <c r="O121" i="19"/>
  <c r="P121" i="19"/>
  <c r="Q121" i="19"/>
  <c r="J122" i="19"/>
  <c r="K122" i="19"/>
  <c r="L122" i="19"/>
  <c r="M122" i="19"/>
  <c r="N122" i="19"/>
  <c r="O122" i="19"/>
  <c r="P122" i="19"/>
  <c r="Q122" i="19"/>
  <c r="J123" i="19"/>
  <c r="K123" i="19"/>
  <c r="L123" i="19"/>
  <c r="M123" i="19"/>
  <c r="N123" i="19"/>
  <c r="O123" i="19"/>
  <c r="P123" i="19"/>
  <c r="Q123" i="19"/>
  <c r="J124" i="19"/>
  <c r="K124" i="19"/>
  <c r="L124" i="19"/>
  <c r="M124" i="19"/>
  <c r="N124" i="19"/>
  <c r="O124" i="19"/>
  <c r="P124" i="19"/>
  <c r="Q124" i="19"/>
  <c r="J125" i="19"/>
  <c r="K125" i="19"/>
  <c r="L125" i="19"/>
  <c r="M125" i="19"/>
  <c r="N125" i="19"/>
  <c r="O125" i="19"/>
  <c r="P125" i="19"/>
  <c r="Q125" i="19"/>
  <c r="J126" i="19"/>
  <c r="K126" i="19"/>
  <c r="L126" i="19"/>
  <c r="M126" i="19"/>
  <c r="N126" i="19"/>
  <c r="O126" i="19"/>
  <c r="P126" i="19"/>
  <c r="Q126" i="19"/>
  <c r="J127" i="19"/>
  <c r="K127" i="19"/>
  <c r="L127" i="19"/>
  <c r="M127" i="19"/>
  <c r="N127" i="19"/>
  <c r="O127" i="19"/>
  <c r="P127" i="19"/>
  <c r="Q127" i="19"/>
  <c r="J128" i="19"/>
  <c r="K128" i="19"/>
  <c r="L128" i="19"/>
  <c r="M128" i="19"/>
  <c r="N128" i="19"/>
  <c r="O128" i="19"/>
  <c r="P128" i="19"/>
  <c r="Q128" i="19"/>
  <c r="J129" i="19"/>
  <c r="K129" i="19"/>
  <c r="L129" i="19"/>
  <c r="M129" i="19"/>
  <c r="N129" i="19"/>
  <c r="O129" i="19"/>
  <c r="P129" i="19"/>
  <c r="Q129" i="19"/>
  <c r="J130" i="19"/>
  <c r="K130" i="19"/>
  <c r="L130" i="19"/>
  <c r="M130" i="19"/>
  <c r="N130" i="19"/>
  <c r="O130" i="19"/>
  <c r="P130" i="19"/>
  <c r="Q130" i="19"/>
  <c r="J131" i="19"/>
  <c r="K131" i="19"/>
  <c r="L131" i="19"/>
  <c r="M131" i="19"/>
  <c r="N131" i="19"/>
  <c r="O131" i="19"/>
  <c r="P131" i="19"/>
  <c r="Q131" i="19"/>
  <c r="J132" i="19"/>
  <c r="K132" i="19"/>
  <c r="L132" i="19"/>
  <c r="M132" i="19"/>
  <c r="N132" i="19"/>
  <c r="O132" i="19"/>
  <c r="P132" i="19"/>
  <c r="Q132" i="19"/>
  <c r="J133" i="19"/>
  <c r="K133" i="19"/>
  <c r="L133" i="19"/>
  <c r="M133" i="19"/>
  <c r="N133" i="19"/>
  <c r="O133" i="19"/>
  <c r="P133" i="19"/>
  <c r="Q133" i="19"/>
  <c r="J134" i="19"/>
  <c r="K134" i="19"/>
  <c r="L134" i="19"/>
  <c r="M134" i="19"/>
  <c r="N134" i="19"/>
  <c r="O134" i="19"/>
  <c r="P134" i="19"/>
  <c r="Q134" i="19"/>
  <c r="J135" i="19"/>
  <c r="K135" i="19"/>
  <c r="L135" i="19"/>
  <c r="M135" i="19"/>
  <c r="N135" i="19"/>
  <c r="O135" i="19"/>
  <c r="P135" i="19"/>
  <c r="Q135" i="19"/>
  <c r="J136" i="19"/>
  <c r="K136" i="19"/>
  <c r="L136" i="19"/>
  <c r="M136" i="19"/>
  <c r="N136" i="19"/>
  <c r="O136" i="19"/>
  <c r="P136" i="19"/>
  <c r="Q136" i="19"/>
  <c r="J137" i="19"/>
  <c r="K137" i="19"/>
  <c r="L137" i="19"/>
  <c r="M137" i="19"/>
  <c r="N137" i="19"/>
  <c r="O137" i="19"/>
  <c r="P137" i="19"/>
  <c r="Q137" i="19"/>
  <c r="J138" i="19"/>
  <c r="K138" i="19"/>
  <c r="L138" i="19"/>
  <c r="M138" i="19"/>
  <c r="N138" i="19"/>
  <c r="O138" i="19"/>
  <c r="P138" i="19"/>
  <c r="Q138" i="19"/>
  <c r="J139" i="19"/>
  <c r="K139" i="19"/>
  <c r="L139" i="19"/>
  <c r="M139" i="19"/>
  <c r="N139" i="19"/>
  <c r="O139" i="19"/>
  <c r="P139" i="19"/>
  <c r="Q139" i="19"/>
  <c r="J140" i="19"/>
  <c r="K140" i="19"/>
  <c r="L140" i="19"/>
  <c r="M140" i="19"/>
  <c r="N140" i="19"/>
  <c r="O140" i="19"/>
  <c r="P140" i="19"/>
  <c r="Q140" i="19"/>
  <c r="J141" i="19"/>
  <c r="K141" i="19"/>
  <c r="L141" i="19"/>
  <c r="M141" i="19"/>
  <c r="N141" i="19"/>
  <c r="O141" i="19"/>
  <c r="P141" i="19"/>
  <c r="Q141" i="19"/>
  <c r="J142" i="19"/>
  <c r="K142" i="19"/>
  <c r="L142" i="19"/>
  <c r="M142" i="19"/>
  <c r="N142" i="19"/>
  <c r="O142" i="19"/>
  <c r="P142" i="19"/>
  <c r="Q142" i="19"/>
  <c r="J143" i="19"/>
  <c r="K143" i="19"/>
  <c r="L143" i="19"/>
  <c r="M143" i="19"/>
  <c r="N143" i="19"/>
  <c r="O143" i="19"/>
  <c r="P143" i="19"/>
  <c r="Q143" i="19"/>
  <c r="J144" i="19"/>
  <c r="K144" i="19"/>
  <c r="L144" i="19"/>
  <c r="M144" i="19"/>
  <c r="N144" i="19"/>
  <c r="O144" i="19"/>
  <c r="P144" i="19"/>
  <c r="Q144" i="19"/>
  <c r="J145" i="19"/>
  <c r="K145" i="19"/>
  <c r="L145" i="19"/>
  <c r="M145" i="19"/>
  <c r="N145" i="19"/>
  <c r="O145" i="19"/>
  <c r="P145" i="19"/>
  <c r="Q145" i="19"/>
  <c r="J146" i="19"/>
  <c r="K146" i="19"/>
  <c r="L146" i="19"/>
  <c r="M146" i="19"/>
  <c r="N146" i="19"/>
  <c r="O146" i="19"/>
  <c r="P146" i="19"/>
  <c r="Q146" i="19"/>
  <c r="J147" i="19"/>
  <c r="K147" i="19"/>
  <c r="L147" i="19"/>
  <c r="M147" i="19"/>
  <c r="N147" i="19"/>
  <c r="O147" i="19"/>
  <c r="P147" i="19"/>
  <c r="Q147" i="19"/>
  <c r="J148" i="19"/>
  <c r="K148" i="19"/>
  <c r="L148" i="19"/>
  <c r="M148" i="19"/>
  <c r="N148" i="19"/>
  <c r="O148" i="19"/>
  <c r="P148" i="19"/>
  <c r="Q148" i="19"/>
  <c r="J149" i="19"/>
  <c r="K149" i="19"/>
  <c r="L149" i="19"/>
  <c r="M149" i="19"/>
  <c r="N149" i="19"/>
  <c r="O149" i="19"/>
  <c r="P149" i="19"/>
  <c r="Q149" i="19"/>
  <c r="J150" i="19"/>
  <c r="K150" i="19"/>
  <c r="L150" i="19"/>
  <c r="M150" i="19"/>
  <c r="N150" i="19"/>
  <c r="O150" i="19"/>
  <c r="P150" i="19"/>
  <c r="Q150" i="19"/>
  <c r="J151" i="19"/>
  <c r="K151" i="19"/>
  <c r="L151" i="19"/>
  <c r="M151" i="19"/>
  <c r="N151" i="19"/>
  <c r="O151" i="19"/>
  <c r="P151" i="19"/>
  <c r="Q151" i="19"/>
  <c r="J152" i="19"/>
  <c r="K152" i="19"/>
  <c r="L152" i="19"/>
  <c r="M152" i="19"/>
  <c r="N152" i="19"/>
  <c r="O152" i="19"/>
  <c r="P152" i="19"/>
  <c r="Q152" i="19"/>
  <c r="J153" i="19"/>
  <c r="K153" i="19"/>
  <c r="L153" i="19"/>
  <c r="M153" i="19"/>
  <c r="N153" i="19"/>
  <c r="O153" i="19"/>
  <c r="P153" i="19"/>
  <c r="Q153" i="19"/>
  <c r="J154" i="19"/>
  <c r="K154" i="19"/>
  <c r="L154" i="19"/>
  <c r="M154" i="19"/>
  <c r="N154" i="19"/>
  <c r="O154" i="19"/>
  <c r="P154" i="19"/>
  <c r="Q154" i="19"/>
  <c r="J155" i="19"/>
  <c r="K155" i="19"/>
  <c r="L155" i="19"/>
  <c r="M155" i="19"/>
  <c r="N155" i="19"/>
  <c r="O155" i="19"/>
  <c r="P155" i="19"/>
  <c r="Q155" i="19"/>
  <c r="J156" i="19"/>
  <c r="K156" i="19"/>
  <c r="L156" i="19"/>
  <c r="M156" i="19"/>
  <c r="N156" i="19"/>
  <c r="O156" i="19"/>
  <c r="P156" i="19"/>
  <c r="Q156" i="19"/>
  <c r="J157" i="19"/>
  <c r="K157" i="19"/>
  <c r="L157" i="19"/>
  <c r="M157" i="19"/>
  <c r="N157" i="19"/>
  <c r="O157" i="19"/>
  <c r="P157" i="19"/>
  <c r="Q157" i="19"/>
  <c r="J158" i="19"/>
  <c r="K158" i="19"/>
  <c r="L158" i="19"/>
  <c r="M158" i="19"/>
  <c r="N158" i="19"/>
  <c r="O158" i="19"/>
  <c r="P158" i="19"/>
  <c r="Q158" i="19"/>
  <c r="J159" i="19"/>
  <c r="K159" i="19"/>
  <c r="L159" i="19"/>
  <c r="M159" i="19"/>
  <c r="N159" i="19"/>
  <c r="O159" i="19"/>
  <c r="P159" i="19"/>
  <c r="Q159" i="19"/>
  <c r="J160" i="19"/>
  <c r="K160" i="19"/>
  <c r="L160" i="19"/>
  <c r="M160" i="19"/>
  <c r="N160" i="19"/>
  <c r="O160" i="19"/>
  <c r="P160" i="19"/>
  <c r="Q160" i="19"/>
  <c r="J161" i="19"/>
  <c r="K161" i="19"/>
  <c r="L161" i="19"/>
  <c r="M161" i="19"/>
  <c r="N161" i="19"/>
  <c r="O161" i="19"/>
  <c r="P161" i="19"/>
  <c r="Q161" i="19"/>
  <c r="J162" i="19"/>
  <c r="K162" i="19"/>
  <c r="L162" i="19"/>
  <c r="M162" i="19"/>
  <c r="N162" i="19"/>
  <c r="O162" i="19"/>
  <c r="P162" i="19"/>
  <c r="Q162" i="19"/>
  <c r="J163" i="19"/>
  <c r="K163" i="19"/>
  <c r="L163" i="19"/>
  <c r="M163" i="19"/>
  <c r="N163" i="19"/>
  <c r="O163" i="19"/>
  <c r="P163" i="19"/>
  <c r="Q163" i="19"/>
  <c r="J164" i="19"/>
  <c r="K164" i="19"/>
  <c r="L164" i="19"/>
  <c r="M164" i="19"/>
  <c r="N164" i="19"/>
  <c r="O164" i="19"/>
  <c r="P164" i="19"/>
  <c r="Q164" i="19"/>
  <c r="J165" i="19"/>
  <c r="K165" i="19"/>
  <c r="L165" i="19"/>
  <c r="M165" i="19"/>
  <c r="N165" i="19"/>
  <c r="O165" i="19"/>
  <c r="P165" i="19"/>
  <c r="Q165" i="19"/>
  <c r="J166" i="19"/>
  <c r="K166" i="19"/>
  <c r="L166" i="19"/>
  <c r="M166" i="19"/>
  <c r="N166" i="19"/>
  <c r="O166" i="19"/>
  <c r="P166" i="19"/>
  <c r="Q166" i="19"/>
  <c r="J167" i="19"/>
  <c r="K167" i="19"/>
  <c r="L167" i="19"/>
  <c r="M167" i="19"/>
  <c r="N167" i="19"/>
  <c r="O167" i="19"/>
  <c r="P167" i="19"/>
  <c r="Q167" i="19"/>
  <c r="J168" i="19"/>
  <c r="K168" i="19"/>
  <c r="L168" i="19"/>
  <c r="M168" i="19"/>
  <c r="N168" i="19"/>
  <c r="O168" i="19"/>
  <c r="P168" i="19"/>
  <c r="Q168" i="19"/>
  <c r="J169" i="19"/>
  <c r="K169" i="19"/>
  <c r="L169" i="19"/>
  <c r="M169" i="19"/>
  <c r="N169" i="19"/>
  <c r="O169" i="19"/>
  <c r="P169" i="19"/>
  <c r="Q169" i="19"/>
  <c r="J170" i="19"/>
  <c r="K170" i="19"/>
  <c r="L170" i="19"/>
  <c r="M170" i="19"/>
  <c r="N170" i="19"/>
  <c r="O170" i="19"/>
  <c r="P170" i="19"/>
  <c r="Q170" i="19"/>
  <c r="J171" i="19"/>
  <c r="K171" i="19"/>
  <c r="L171" i="19"/>
  <c r="M171" i="19"/>
  <c r="N171" i="19"/>
  <c r="O171" i="19"/>
  <c r="P171" i="19"/>
  <c r="Q171" i="19"/>
  <c r="J172" i="19"/>
  <c r="K172" i="19"/>
  <c r="L172" i="19"/>
  <c r="M172" i="19"/>
  <c r="N172" i="19"/>
  <c r="O172" i="19"/>
  <c r="P172" i="19"/>
  <c r="Q172" i="19"/>
  <c r="J173" i="19"/>
  <c r="K173" i="19"/>
  <c r="L173" i="19"/>
  <c r="M173" i="19"/>
  <c r="N173" i="19"/>
  <c r="O173" i="19"/>
  <c r="P173" i="19"/>
  <c r="Q173" i="19"/>
  <c r="J174" i="19"/>
  <c r="K174" i="19"/>
  <c r="L174" i="19"/>
  <c r="M174" i="19"/>
  <c r="N174" i="19"/>
  <c r="O174" i="19"/>
  <c r="P174" i="19"/>
  <c r="Q174" i="19"/>
  <c r="J175" i="19"/>
  <c r="K175" i="19"/>
  <c r="L175" i="19"/>
  <c r="M175" i="19"/>
  <c r="N175" i="19"/>
  <c r="O175" i="19"/>
  <c r="P175" i="19"/>
  <c r="Q175" i="19"/>
  <c r="J176" i="19"/>
  <c r="K176" i="19"/>
  <c r="L176" i="19"/>
  <c r="M176" i="19"/>
  <c r="N176" i="19"/>
  <c r="O176" i="19"/>
  <c r="P176" i="19"/>
  <c r="Q176" i="19"/>
  <c r="J177" i="19"/>
  <c r="K177" i="19"/>
  <c r="L177" i="19"/>
  <c r="M177" i="19"/>
  <c r="N177" i="19"/>
  <c r="O177" i="19"/>
  <c r="P177" i="19"/>
  <c r="Q177" i="19"/>
  <c r="J178" i="19"/>
  <c r="K178" i="19"/>
  <c r="L178" i="19"/>
  <c r="M178" i="19"/>
  <c r="N178" i="19"/>
  <c r="O178" i="19"/>
  <c r="P178" i="19"/>
  <c r="Q178" i="19"/>
  <c r="J179" i="19"/>
  <c r="K179" i="19"/>
  <c r="L179" i="19"/>
  <c r="M179" i="19"/>
  <c r="N179" i="19"/>
  <c r="O179" i="19"/>
  <c r="P179" i="19"/>
  <c r="Q179" i="19"/>
  <c r="J180" i="19"/>
  <c r="K180" i="19"/>
  <c r="L180" i="19"/>
  <c r="M180" i="19"/>
  <c r="N180" i="19"/>
  <c r="O180" i="19"/>
  <c r="P180" i="19"/>
  <c r="Q180" i="19"/>
  <c r="J181" i="19"/>
  <c r="K181" i="19"/>
  <c r="L181" i="19"/>
  <c r="M181" i="19"/>
  <c r="N181" i="19"/>
  <c r="O181" i="19"/>
  <c r="P181" i="19"/>
  <c r="Q181" i="19"/>
  <c r="J182" i="19"/>
  <c r="K182" i="19"/>
  <c r="L182" i="19"/>
  <c r="M182" i="19"/>
  <c r="N182" i="19"/>
  <c r="O182" i="19"/>
  <c r="P182" i="19"/>
  <c r="Q182" i="19"/>
  <c r="J183" i="19"/>
  <c r="K183" i="19"/>
  <c r="L183" i="19"/>
  <c r="M183" i="19"/>
  <c r="N183" i="19"/>
  <c r="O183" i="19"/>
  <c r="P183" i="19"/>
  <c r="Q183" i="19"/>
  <c r="J184" i="19"/>
  <c r="K184" i="19"/>
  <c r="L184" i="19"/>
  <c r="M184" i="19"/>
  <c r="N184" i="19"/>
  <c r="O184" i="19"/>
  <c r="P184" i="19"/>
  <c r="Q184" i="19"/>
  <c r="J185" i="19"/>
  <c r="K185" i="19"/>
  <c r="L185" i="19"/>
  <c r="M185" i="19"/>
  <c r="N185" i="19"/>
  <c r="O185" i="19"/>
  <c r="P185" i="19"/>
  <c r="Q185" i="19"/>
  <c r="J186" i="19"/>
  <c r="K186" i="19"/>
  <c r="L186" i="19"/>
  <c r="M186" i="19"/>
  <c r="N186" i="19"/>
  <c r="O186" i="19"/>
  <c r="P186" i="19"/>
  <c r="Q186" i="19"/>
  <c r="J187" i="19"/>
  <c r="K187" i="19"/>
  <c r="L187" i="19"/>
  <c r="M187" i="19"/>
  <c r="N187" i="19"/>
  <c r="O187" i="19"/>
  <c r="P187" i="19"/>
  <c r="Q187" i="19"/>
  <c r="J188" i="19"/>
  <c r="K188" i="19"/>
  <c r="L188" i="19"/>
  <c r="M188" i="19"/>
  <c r="N188" i="19"/>
  <c r="O188" i="19"/>
  <c r="P188" i="19"/>
  <c r="Q188" i="19"/>
  <c r="J189" i="19"/>
  <c r="K189" i="19"/>
  <c r="L189" i="19"/>
  <c r="M189" i="19"/>
  <c r="N189" i="19"/>
  <c r="O189" i="19"/>
  <c r="P189" i="19"/>
  <c r="Q189" i="19"/>
  <c r="J190" i="19"/>
  <c r="K190" i="19"/>
  <c r="L190" i="19"/>
  <c r="M190" i="19"/>
  <c r="N190" i="19"/>
  <c r="O190" i="19"/>
  <c r="P190" i="19"/>
  <c r="Q190" i="19"/>
  <c r="J191" i="19"/>
  <c r="K191" i="19"/>
  <c r="L191" i="19"/>
  <c r="M191" i="19"/>
  <c r="N191" i="19"/>
  <c r="O191" i="19"/>
  <c r="P191" i="19"/>
  <c r="Q191" i="19"/>
  <c r="J192" i="19"/>
  <c r="K192" i="19"/>
  <c r="L192" i="19"/>
  <c r="M192" i="19"/>
  <c r="N192" i="19"/>
  <c r="O192" i="19"/>
  <c r="P192" i="19"/>
  <c r="Q192" i="19"/>
  <c r="J193" i="19"/>
  <c r="K193" i="19"/>
  <c r="L193" i="19"/>
  <c r="M193" i="19"/>
  <c r="N193" i="19"/>
  <c r="O193" i="19"/>
  <c r="P193" i="19"/>
  <c r="Q193" i="19"/>
  <c r="J194" i="19"/>
  <c r="K194" i="19"/>
  <c r="L194" i="19"/>
  <c r="M194" i="19"/>
  <c r="N194" i="19"/>
  <c r="O194" i="19"/>
  <c r="P194" i="19"/>
  <c r="Q194" i="19"/>
  <c r="J195" i="19"/>
  <c r="K195" i="19"/>
  <c r="L195" i="19"/>
  <c r="M195" i="19"/>
  <c r="N195" i="19"/>
  <c r="O195" i="19"/>
  <c r="P195" i="19"/>
  <c r="Q195" i="19"/>
  <c r="J196" i="19"/>
  <c r="K196" i="19"/>
  <c r="L196" i="19"/>
  <c r="M196" i="19"/>
  <c r="N196" i="19"/>
  <c r="O196" i="19"/>
  <c r="P196" i="19"/>
  <c r="Q196" i="19"/>
  <c r="J197" i="19"/>
  <c r="K197" i="19"/>
  <c r="L197" i="19"/>
  <c r="M197" i="19"/>
  <c r="N197" i="19"/>
  <c r="O197" i="19"/>
  <c r="P197" i="19"/>
  <c r="Q197" i="19"/>
  <c r="J198" i="19"/>
  <c r="K198" i="19"/>
  <c r="L198" i="19"/>
  <c r="M198" i="19"/>
  <c r="N198" i="19"/>
  <c r="O198" i="19"/>
  <c r="P198" i="19"/>
  <c r="Q198" i="19"/>
  <c r="J199" i="19"/>
  <c r="K199" i="19"/>
  <c r="L199" i="19"/>
  <c r="M199" i="19"/>
  <c r="N199" i="19"/>
  <c r="O199" i="19"/>
  <c r="P199" i="19"/>
  <c r="Q199" i="19"/>
  <c r="J200" i="19"/>
  <c r="K200" i="19"/>
  <c r="L200" i="19"/>
  <c r="M200" i="19"/>
  <c r="N200" i="19"/>
  <c r="O200" i="19"/>
  <c r="P200" i="19"/>
  <c r="Q200" i="19"/>
  <c r="J201" i="19"/>
  <c r="K201" i="19"/>
  <c r="L201" i="19"/>
  <c r="M201" i="19"/>
  <c r="N201" i="19"/>
  <c r="O201" i="19"/>
  <c r="P201" i="19"/>
  <c r="Q201" i="19"/>
  <c r="J202" i="19"/>
  <c r="K202" i="19"/>
  <c r="L202" i="19"/>
  <c r="M202" i="19"/>
  <c r="N202" i="19"/>
  <c r="O202" i="19"/>
  <c r="P202" i="19"/>
  <c r="Q202" i="19"/>
  <c r="J203" i="19"/>
  <c r="K203" i="19"/>
  <c r="L203" i="19"/>
  <c r="M203" i="19"/>
  <c r="N203" i="19"/>
  <c r="O203" i="19"/>
  <c r="P203" i="19"/>
  <c r="Q203" i="19"/>
  <c r="J204" i="19"/>
  <c r="K204" i="19"/>
  <c r="L204" i="19"/>
  <c r="M204" i="19"/>
  <c r="N204" i="19"/>
  <c r="O204" i="19"/>
  <c r="P204" i="19"/>
  <c r="Q204" i="19"/>
  <c r="J205" i="19"/>
  <c r="K205" i="19"/>
  <c r="L205" i="19"/>
  <c r="M205" i="19"/>
  <c r="N205" i="19"/>
  <c r="O205" i="19"/>
  <c r="P205" i="19"/>
  <c r="Q205" i="19"/>
  <c r="J206" i="19"/>
  <c r="K206" i="19"/>
  <c r="L206" i="19"/>
  <c r="M206" i="19"/>
  <c r="N206" i="19"/>
  <c r="O206" i="19"/>
  <c r="P206" i="19"/>
  <c r="Q206" i="19"/>
  <c r="J207" i="19"/>
  <c r="K207" i="19"/>
  <c r="L207" i="19"/>
  <c r="M207" i="19"/>
  <c r="N207" i="19"/>
  <c r="O207" i="19"/>
  <c r="P207" i="19"/>
  <c r="Q207" i="19"/>
  <c r="J208" i="19"/>
  <c r="K208" i="19"/>
  <c r="L208" i="19"/>
  <c r="M208" i="19"/>
  <c r="N208" i="19"/>
  <c r="O208" i="19"/>
  <c r="P208" i="19"/>
  <c r="Q208" i="19"/>
  <c r="J209" i="19"/>
  <c r="K209" i="19"/>
  <c r="L209" i="19"/>
  <c r="M209" i="19"/>
  <c r="N209" i="19"/>
  <c r="O209" i="19"/>
  <c r="P209" i="19"/>
  <c r="Q209" i="19"/>
  <c r="J210" i="19"/>
  <c r="K210" i="19"/>
  <c r="L210" i="19"/>
  <c r="M210" i="19"/>
  <c r="N210" i="19"/>
  <c r="O210" i="19"/>
  <c r="P210" i="19"/>
  <c r="Q210" i="19"/>
  <c r="J211" i="19"/>
  <c r="K211" i="19"/>
  <c r="L211" i="19"/>
  <c r="M211" i="19"/>
  <c r="N211" i="19"/>
  <c r="O211" i="19"/>
  <c r="P211" i="19"/>
  <c r="Q211" i="19"/>
  <c r="J212" i="19"/>
  <c r="K212" i="19"/>
  <c r="L212" i="19"/>
  <c r="M212" i="19"/>
  <c r="N212" i="19"/>
  <c r="O212" i="19"/>
  <c r="P212" i="19"/>
  <c r="Q212" i="19"/>
  <c r="J213" i="19"/>
  <c r="K213" i="19"/>
  <c r="L213" i="19"/>
  <c r="M213" i="19"/>
  <c r="N213" i="19"/>
  <c r="O213" i="19"/>
  <c r="P213" i="19"/>
  <c r="Q213" i="19"/>
  <c r="J214" i="19"/>
  <c r="K214" i="19"/>
  <c r="L214" i="19"/>
  <c r="M214" i="19"/>
  <c r="N214" i="19"/>
  <c r="O214" i="19"/>
  <c r="P214" i="19"/>
  <c r="Q214" i="19"/>
  <c r="J215" i="19"/>
  <c r="K215" i="19"/>
  <c r="L215" i="19"/>
  <c r="M215" i="19"/>
  <c r="N215" i="19"/>
  <c r="O215" i="19"/>
  <c r="P215" i="19"/>
  <c r="Q215" i="19"/>
  <c r="J216" i="19"/>
  <c r="K216" i="19"/>
  <c r="L216" i="19"/>
  <c r="M216" i="19"/>
  <c r="N216" i="19"/>
  <c r="O216" i="19"/>
  <c r="P216" i="19"/>
  <c r="Q216" i="19"/>
  <c r="J217" i="19"/>
  <c r="K217" i="19"/>
  <c r="L217" i="19"/>
  <c r="M217" i="19"/>
  <c r="N217" i="19"/>
  <c r="O217" i="19"/>
  <c r="P217" i="19"/>
  <c r="Q217" i="19"/>
  <c r="J218" i="19"/>
  <c r="K218" i="19"/>
  <c r="L218" i="19"/>
  <c r="M218" i="19"/>
  <c r="N218" i="19"/>
  <c r="O218" i="19"/>
  <c r="P218" i="19"/>
  <c r="Q218" i="19"/>
  <c r="J219" i="19"/>
  <c r="K219" i="19"/>
  <c r="L219" i="19"/>
  <c r="M219" i="19"/>
  <c r="N219" i="19"/>
  <c r="O219" i="19"/>
  <c r="P219" i="19"/>
  <c r="Q219" i="19"/>
  <c r="J220" i="19"/>
  <c r="K220" i="19"/>
  <c r="L220" i="19"/>
  <c r="M220" i="19"/>
  <c r="N220" i="19"/>
  <c r="O220" i="19"/>
  <c r="P220" i="19"/>
  <c r="Q220" i="19"/>
  <c r="J221" i="19"/>
  <c r="K221" i="19"/>
  <c r="L221" i="19"/>
  <c r="M221" i="19"/>
  <c r="N221" i="19"/>
  <c r="O221" i="19"/>
  <c r="P221" i="19"/>
  <c r="Q221" i="19"/>
  <c r="J222" i="19"/>
  <c r="K222" i="19"/>
  <c r="L222" i="19"/>
  <c r="M222" i="19"/>
  <c r="N222" i="19"/>
  <c r="O222" i="19"/>
  <c r="P222" i="19"/>
  <c r="Q222" i="19"/>
  <c r="J223" i="19"/>
  <c r="K223" i="19"/>
  <c r="L223" i="19"/>
  <c r="M223" i="19"/>
  <c r="N223" i="19"/>
  <c r="O223" i="19"/>
  <c r="P223" i="19"/>
  <c r="Q223" i="19"/>
  <c r="J224" i="19"/>
  <c r="K224" i="19"/>
  <c r="L224" i="19"/>
  <c r="M224" i="19"/>
  <c r="N224" i="19"/>
  <c r="O224" i="19"/>
  <c r="P224" i="19"/>
  <c r="Q224" i="19"/>
  <c r="J225" i="19"/>
  <c r="K225" i="19"/>
  <c r="L225" i="19"/>
  <c r="M225" i="19"/>
  <c r="N225" i="19"/>
  <c r="O225" i="19"/>
  <c r="P225" i="19"/>
  <c r="Q225" i="19"/>
  <c r="J226" i="19"/>
  <c r="K226" i="19"/>
  <c r="L226" i="19"/>
  <c r="M226" i="19"/>
  <c r="N226" i="19"/>
  <c r="O226" i="19"/>
  <c r="P226" i="19"/>
  <c r="Q226" i="19"/>
  <c r="J227" i="19"/>
  <c r="K227" i="19"/>
  <c r="L227" i="19"/>
  <c r="M227" i="19"/>
  <c r="N227" i="19"/>
  <c r="O227" i="19"/>
  <c r="P227" i="19"/>
  <c r="Q227" i="19"/>
  <c r="J228" i="19"/>
  <c r="K228" i="19"/>
  <c r="L228" i="19"/>
  <c r="M228" i="19"/>
  <c r="N228" i="19"/>
  <c r="O228" i="19"/>
  <c r="P228" i="19"/>
  <c r="Q228" i="19"/>
  <c r="J229" i="19"/>
  <c r="K229" i="19"/>
  <c r="L229" i="19"/>
  <c r="M229" i="19"/>
  <c r="N229" i="19"/>
  <c r="O229" i="19"/>
  <c r="P229" i="19"/>
  <c r="Q229" i="19"/>
  <c r="J230" i="19"/>
  <c r="K230" i="19"/>
  <c r="L230" i="19"/>
  <c r="M230" i="19"/>
  <c r="N230" i="19"/>
  <c r="O230" i="19"/>
  <c r="P230" i="19"/>
  <c r="Q230" i="19"/>
  <c r="J231" i="19"/>
  <c r="K231" i="19"/>
  <c r="L231" i="19"/>
  <c r="M231" i="19"/>
  <c r="N231" i="19"/>
  <c r="O231" i="19"/>
  <c r="P231" i="19"/>
  <c r="Q231" i="19"/>
  <c r="J232" i="19"/>
  <c r="K232" i="19"/>
  <c r="L232" i="19"/>
  <c r="M232" i="19"/>
  <c r="N232" i="19"/>
  <c r="O232" i="19"/>
  <c r="P232" i="19"/>
  <c r="Q232" i="19"/>
  <c r="J233" i="19"/>
  <c r="K233" i="19"/>
  <c r="L233" i="19"/>
  <c r="M233" i="19"/>
  <c r="N233" i="19"/>
  <c r="O233" i="19"/>
  <c r="P233" i="19"/>
  <c r="Q233" i="19"/>
  <c r="J234" i="19"/>
  <c r="K234" i="19"/>
  <c r="L234" i="19"/>
  <c r="M234" i="19"/>
  <c r="N234" i="19"/>
  <c r="O234" i="19"/>
  <c r="P234" i="19"/>
  <c r="Q234" i="19"/>
  <c r="J235" i="19"/>
  <c r="K235" i="19"/>
  <c r="L235" i="19"/>
  <c r="M235" i="19"/>
  <c r="N235" i="19"/>
  <c r="O235" i="19"/>
  <c r="P235" i="19"/>
  <c r="Q235" i="19"/>
  <c r="J236" i="19"/>
  <c r="K236" i="19"/>
  <c r="L236" i="19"/>
  <c r="M236" i="19"/>
  <c r="N236" i="19"/>
  <c r="O236" i="19"/>
  <c r="P236" i="19"/>
  <c r="Q236" i="19"/>
  <c r="J237" i="19"/>
  <c r="K237" i="19"/>
  <c r="L237" i="19"/>
  <c r="M237" i="19"/>
  <c r="N237" i="19"/>
  <c r="O237" i="19"/>
  <c r="P237" i="19"/>
  <c r="Q237" i="19"/>
  <c r="J238" i="19"/>
  <c r="K238" i="19"/>
  <c r="L238" i="19"/>
  <c r="M238" i="19"/>
  <c r="N238" i="19"/>
  <c r="O238" i="19"/>
  <c r="P238" i="19"/>
  <c r="Q238" i="19"/>
  <c r="J239" i="19"/>
  <c r="K239" i="19"/>
  <c r="L239" i="19"/>
  <c r="M239" i="19"/>
  <c r="N239" i="19"/>
  <c r="O239" i="19"/>
  <c r="P239" i="19"/>
  <c r="Q239" i="19"/>
  <c r="J240" i="19"/>
  <c r="K240" i="19"/>
  <c r="L240" i="19"/>
  <c r="M240" i="19"/>
  <c r="N240" i="19"/>
  <c r="O240" i="19"/>
  <c r="P240" i="19"/>
  <c r="Q240" i="19"/>
  <c r="J241" i="19"/>
  <c r="K241" i="19"/>
  <c r="L241" i="19"/>
  <c r="M241" i="19"/>
  <c r="N241" i="19"/>
  <c r="O241" i="19"/>
  <c r="P241" i="19"/>
  <c r="Q241" i="19"/>
  <c r="J242" i="19"/>
  <c r="K242" i="19"/>
  <c r="L242" i="19"/>
  <c r="M242" i="19"/>
  <c r="N242" i="19"/>
  <c r="O242" i="19"/>
  <c r="P242" i="19"/>
  <c r="Q242" i="19"/>
  <c r="J243" i="19"/>
  <c r="K243" i="19"/>
  <c r="L243" i="19"/>
  <c r="M243" i="19"/>
  <c r="N243" i="19"/>
  <c r="O243" i="19"/>
  <c r="P243" i="19"/>
  <c r="Q243" i="19"/>
  <c r="J244" i="19"/>
  <c r="K244" i="19"/>
  <c r="L244" i="19"/>
  <c r="M244" i="19"/>
  <c r="N244" i="19"/>
  <c r="O244" i="19"/>
  <c r="P244" i="19"/>
  <c r="Q244" i="19"/>
  <c r="J245" i="19"/>
  <c r="K245" i="19"/>
  <c r="L245" i="19"/>
  <c r="M245" i="19"/>
  <c r="N245" i="19"/>
  <c r="O245" i="19"/>
  <c r="P245" i="19"/>
  <c r="Q245" i="19"/>
  <c r="J246" i="19"/>
  <c r="K246" i="19"/>
  <c r="L246" i="19"/>
  <c r="M246" i="19"/>
  <c r="N246" i="19"/>
  <c r="O246" i="19"/>
  <c r="P246" i="19"/>
  <c r="Q246" i="19"/>
  <c r="J247" i="19"/>
  <c r="K247" i="19"/>
  <c r="L247" i="19"/>
  <c r="M247" i="19"/>
  <c r="N247" i="19"/>
  <c r="O247" i="19"/>
  <c r="P247" i="19"/>
  <c r="Q247" i="19"/>
  <c r="J248" i="19"/>
  <c r="K248" i="19"/>
  <c r="L248" i="19"/>
  <c r="M248" i="19"/>
  <c r="N248" i="19"/>
  <c r="O248" i="19"/>
  <c r="P248" i="19"/>
  <c r="Q248" i="19"/>
  <c r="J249" i="19"/>
  <c r="K249" i="19"/>
  <c r="L249" i="19"/>
  <c r="M249" i="19"/>
  <c r="N249" i="19"/>
  <c r="O249" i="19"/>
  <c r="P249" i="19"/>
  <c r="Q249" i="19"/>
  <c r="J250" i="19"/>
  <c r="K250" i="19"/>
  <c r="L250" i="19"/>
  <c r="M250" i="19"/>
  <c r="N250" i="19"/>
  <c r="O250" i="19"/>
  <c r="P250" i="19"/>
  <c r="Q250" i="19"/>
  <c r="J251" i="19"/>
  <c r="K251" i="19"/>
  <c r="L251" i="19"/>
  <c r="M251" i="19"/>
  <c r="N251" i="19"/>
  <c r="O251" i="19"/>
  <c r="P251" i="19"/>
  <c r="Q251" i="19"/>
  <c r="J252" i="19"/>
  <c r="K252" i="19"/>
  <c r="L252" i="19"/>
  <c r="M252" i="19"/>
  <c r="N252" i="19"/>
  <c r="O252" i="19"/>
  <c r="P252" i="19"/>
  <c r="Q252" i="19"/>
  <c r="J253" i="19"/>
  <c r="K253" i="19"/>
  <c r="L253" i="19"/>
  <c r="M253" i="19"/>
  <c r="N253" i="19"/>
  <c r="O253" i="19"/>
  <c r="P253" i="19"/>
  <c r="Q253" i="19"/>
  <c r="J254" i="19"/>
  <c r="K254" i="19"/>
  <c r="L254" i="19"/>
  <c r="M254" i="19"/>
  <c r="N254" i="19"/>
  <c r="O254" i="19"/>
  <c r="P254" i="19"/>
  <c r="Q254" i="19"/>
  <c r="J255" i="19"/>
  <c r="K255" i="19"/>
  <c r="L255" i="19"/>
  <c r="M255" i="19"/>
  <c r="N255" i="19"/>
  <c r="O255" i="19"/>
  <c r="P255" i="19"/>
  <c r="Q255" i="19"/>
  <c r="J256" i="19"/>
  <c r="K256" i="19"/>
  <c r="L256" i="19"/>
  <c r="M256" i="19"/>
  <c r="N256" i="19"/>
  <c r="O256" i="19"/>
  <c r="P256" i="19"/>
  <c r="Q256" i="19"/>
  <c r="J257" i="19"/>
  <c r="K257" i="19"/>
  <c r="L257" i="19"/>
  <c r="M257" i="19"/>
  <c r="N257" i="19"/>
  <c r="O257" i="19"/>
  <c r="P257" i="19"/>
  <c r="Q257" i="19"/>
  <c r="J258" i="19"/>
  <c r="K258" i="19"/>
  <c r="L258" i="19"/>
  <c r="M258" i="19"/>
  <c r="N258" i="19"/>
  <c r="O258" i="19"/>
  <c r="P258" i="19"/>
  <c r="Q258" i="19"/>
  <c r="J259" i="19"/>
  <c r="K259" i="19"/>
  <c r="L259" i="19"/>
  <c r="M259" i="19"/>
  <c r="N259" i="19"/>
  <c r="O259" i="19"/>
  <c r="P259" i="19"/>
  <c r="Q259" i="19"/>
  <c r="J260" i="19"/>
  <c r="K260" i="19"/>
  <c r="L260" i="19"/>
  <c r="M260" i="19"/>
  <c r="N260" i="19"/>
  <c r="O260" i="19"/>
  <c r="P260" i="19"/>
  <c r="Q260" i="19"/>
  <c r="J261" i="19"/>
  <c r="K261" i="19"/>
  <c r="L261" i="19"/>
  <c r="M261" i="19"/>
  <c r="N261" i="19"/>
  <c r="O261" i="19"/>
  <c r="P261" i="19"/>
  <c r="Q261" i="19"/>
  <c r="J262" i="19"/>
  <c r="K262" i="19"/>
  <c r="L262" i="19"/>
  <c r="M262" i="19"/>
  <c r="N262" i="19"/>
  <c r="O262" i="19"/>
  <c r="P262" i="19"/>
  <c r="Q262" i="19"/>
  <c r="J263" i="19"/>
  <c r="K263" i="19"/>
  <c r="L263" i="19"/>
  <c r="M263" i="19"/>
  <c r="N263" i="19"/>
  <c r="O263" i="19"/>
  <c r="P263" i="19"/>
  <c r="Q263" i="19"/>
  <c r="J264" i="19"/>
  <c r="K264" i="19"/>
  <c r="L264" i="19"/>
  <c r="M264" i="19"/>
  <c r="N264" i="19"/>
  <c r="O264" i="19"/>
  <c r="P264" i="19"/>
  <c r="Q264" i="19"/>
  <c r="J265" i="19"/>
  <c r="K265" i="19"/>
  <c r="L265" i="19"/>
  <c r="M265" i="19"/>
  <c r="N265" i="19"/>
  <c r="O265" i="19"/>
  <c r="P265" i="19"/>
  <c r="Q265" i="19"/>
  <c r="J266" i="19"/>
  <c r="K266" i="19"/>
  <c r="L266" i="19"/>
  <c r="M266" i="19"/>
  <c r="N266" i="19"/>
  <c r="O266" i="19"/>
  <c r="P266" i="19"/>
  <c r="Q266" i="19"/>
  <c r="J267" i="19"/>
  <c r="K267" i="19"/>
  <c r="L267" i="19"/>
  <c r="M267" i="19"/>
  <c r="N267" i="19"/>
  <c r="O267" i="19"/>
  <c r="P267" i="19"/>
  <c r="Q267" i="19"/>
  <c r="J268" i="19"/>
  <c r="K268" i="19"/>
  <c r="L268" i="19"/>
  <c r="M268" i="19"/>
  <c r="N268" i="19"/>
  <c r="O268" i="19"/>
  <c r="P268" i="19"/>
  <c r="Q268" i="19"/>
  <c r="L4" i="19"/>
  <c r="M4" i="19"/>
  <c r="Q4" i="19"/>
  <c r="P4" i="19"/>
  <c r="O4" i="19"/>
  <c r="N4" i="19"/>
  <c r="K4" i="19"/>
  <c r="J4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I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I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E18" i="21" l="1"/>
  <c r="B20" i="21"/>
  <c r="E14" i="21"/>
  <c r="F16" i="21"/>
  <c r="E17" i="21"/>
  <c r="F17" i="21"/>
  <c r="O69" i="26"/>
  <c r="O109" i="26"/>
  <c r="O110" i="26" s="1"/>
  <c r="G69" i="26"/>
  <c r="G109" i="26"/>
  <c r="G110" i="26" s="1"/>
  <c r="G111" i="26" s="1"/>
  <c r="H69" i="26"/>
  <c r="H109" i="26"/>
  <c r="H110" i="26" s="1"/>
  <c r="H111" i="26" s="1"/>
  <c r="L69" i="26"/>
  <c r="L109" i="26"/>
  <c r="L110" i="26" s="1"/>
  <c r="L111" i="26" s="1"/>
  <c r="D103" i="26"/>
  <c r="D106" i="26"/>
  <c r="D110" i="26" s="1"/>
  <c r="D111" i="26" s="1"/>
  <c r="M69" i="26"/>
  <c r="M109" i="26"/>
  <c r="M110" i="26" s="1"/>
  <c r="M111" i="26" s="1"/>
  <c r="J69" i="26"/>
  <c r="J109" i="26"/>
  <c r="J110" i="26" s="1"/>
  <c r="J111" i="26" s="1"/>
  <c r="B15" i="21"/>
  <c r="E16" i="21"/>
  <c r="C18" i="21"/>
  <c r="F19" i="21"/>
  <c r="D15" i="21"/>
  <c r="B17" i="21"/>
  <c r="C20" i="21"/>
  <c r="B14" i="21"/>
  <c r="E15" i="21"/>
  <c r="C17" i="21"/>
  <c r="F18" i="21"/>
  <c r="D20" i="21"/>
  <c r="C14" i="21"/>
  <c r="B19" i="21"/>
  <c r="E20" i="21"/>
  <c r="B16" i="21"/>
  <c r="C19" i="21"/>
  <c r="C16" i="21"/>
  <c r="D19" i="21"/>
  <c r="I69" i="26"/>
  <c r="F62" i="26"/>
  <c r="F109" i="26" s="1"/>
  <c r="F110" i="26" s="1"/>
  <c r="F111" i="26" s="1"/>
  <c r="F62" i="25"/>
  <c r="E62" i="26" l="1"/>
  <c r="F69" i="26"/>
  <c r="E62" i="25"/>
  <c r="E69" i="25" s="1"/>
  <c r="F69" i="25"/>
  <c r="E69" i="26" l="1"/>
  <c r="E109" i="26"/>
  <c r="E110" i="26" s="1"/>
  <c r="E111" i="26" s="1"/>
  <c r="G45" i="5"/>
  <c r="G44" i="5"/>
  <c r="G42" i="5"/>
  <c r="G4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08F650FB-ACEE-461B-A747-BCFC2B9AC3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A0F50C14-6AA6-4B95-8D7B-62E3404133F3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1127E45B-FA5B-4320-9929-11952FD41485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CA3C7586-7C30-4FEC-8E41-4D435A5D1CFA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6162BCB3-7788-4C61-B008-8C664C2E732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F3" authorId="0" shapeId="0" xr:uid="{E8FE2567-92C0-4D44-B327-94BDC35930AF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G3" authorId="0" shapeId="0" xr:uid="{9321B78A-43D8-4578-A422-EB58B14AA75F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H3" authorId="0" shapeId="0" xr:uid="{AF43FB1B-D904-476D-81AA-ADD5B11796EA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I3" authorId="0" shapeId="0" xr:uid="{1A85B0A3-5351-41E4-AAFC-B4F345BFEECE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S3" authorId="0" shapeId="0" xr:uid="{7AFF59F9-7B87-46DD-B7F6-378D9BE0E484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AF3" authorId="0" shapeId="0" xr:uid="{FAEF7BEF-9D9B-45F8-B094-A6E13A03874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H3" authorId="0" shapeId="0" xr:uid="{D8D4D3AD-BD31-41C2-9A18-A5ACD7190E8F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B2325BD4-CF11-4753-9EA5-D59E65A597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R3" authorId="0" shapeId="0" xr:uid="{2C33A66E-FEEF-465B-BE8D-527915C00087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AE3" authorId="0" shapeId="0" xr:uid="{D7CF965E-792B-4C5D-910B-723C3001E0F8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G3" authorId="0" shapeId="0" xr:uid="{3A20D2A3-7250-4966-8350-A7949E43B9F9}">
      <text>
        <r>
          <rPr>
            <b/>
            <sz val="9"/>
            <color indexed="81"/>
            <rFont val="Tahoma"/>
            <family val="2"/>
            <charset val="204"/>
          </rPr>
          <t>ТТ Белого кролика, за которые отвечает Лена, но ребята контролируют ситуацию на местах (без г.Владивосток)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Grekova, Anastasiia</author>
  </authors>
  <commentList>
    <comment ref="E3" authorId="0" shapeId="0" xr:uid="{DFC50236-C8CB-417E-9D69-EE178F78785A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608AE058-F913-4B89-9C17-F6CC0F944DC9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A3338667-F9E1-40FA-A1C5-DFEC3635F647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19645F06-E848-4B96-8457-3A3B92CF7EBE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V3" authorId="0" shapeId="0" xr:uid="{1D51CBA3-C49E-4236-AC7E-3C9B1891FAE4}">
      <text>
        <r>
          <rPr>
            <sz val="9"/>
            <color indexed="81"/>
            <rFont val="Tahoma"/>
            <family val="2"/>
            <charset val="204"/>
          </rPr>
          <t>-Семь шагов
-Макси
-Заболивые цены</t>
        </r>
      </text>
    </comment>
    <comment ref="AI3" authorId="0" shapeId="0" xr:uid="{4417F459-1E87-4230-AA57-DB5B35DE4EF1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K3" authorId="0" shapeId="0" xr:uid="{2FD3A0AB-6418-4FA2-AFDB-73B49AD353C0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AQ43" authorId="1" shapeId="0" xr:uid="{9348B3EF-0E6B-4039-8BF7-4415F54A56E3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Metro</t>
        </r>
      </text>
    </comment>
    <comment ref="AQ45" authorId="1" shapeId="0" xr:uid="{52BE2BE9-7366-491A-B62C-2C720A692556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Aushan&amp;Верный</t>
        </r>
      </text>
    </comment>
    <comment ref="AQ47" authorId="1" shapeId="0" xr:uid="{7542E782-088B-40AA-A7FE-DC5F4FD9EC37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X5 w/o Пятерочка</t>
        </r>
      </text>
    </comment>
    <comment ref="AQ48" authorId="1" shapeId="0" xr:uid="{D5BB8A3C-80FD-466E-A2D9-9A6A7811970C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Группа компаний Лента&amp;Okey</t>
        </r>
      </text>
    </comment>
    <comment ref="AQ59" authorId="1" shapeId="0" xr:uid="{D05C35A1-46CF-4100-BFD5-F95B8841DB32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Дикси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tc={C248DF6D-E1A7-4327-8781-FCCC0B982B60}</author>
    <author>tc={484B4642-931F-40F6-87C7-D0675070DDA4}</author>
    <author>tc={B8F358E9-A63A-421D-9A52-DE023FF8C1B0}</author>
    <author>tc={AC692992-E353-4984-BB83-5A412B30551D}</author>
    <author>tc={3792FD63-CAD2-4CDC-917E-A510F8FCD3EF}</author>
    <author>tc={DBB3B802-A00F-4F00-A838-36FD4AB68176}</author>
    <author>tc={CEBF160E-C819-4A33-AECD-12782A67F17F}</author>
    <author>tc={FBBE4828-CA74-448E-AADC-64C65C4B7A75}</author>
    <author>tc={3CB35B47-ACF8-41CE-AB1E-54DFD6CCE726}</author>
    <author>tc={3B6D2FFF-E8EB-4846-A583-D6049BBAE7BA}</author>
    <author>tc={E3D5585C-7686-48DD-9861-6E3E41873336}</author>
    <author>tc={BAED7A08-20B2-4DAE-9296-AF7D6361D86F}</author>
    <author>tc={527870FD-2D8F-4BE6-8128-D7289065A0F5}</author>
    <author>tc={73E16D06-8DDC-4F3B-B25C-3BE56CA0EC88}</author>
    <author>tc={A3C3A5EB-98D8-4295-AAC0-BA7CED9628D7}</author>
    <author>tc={1814C06E-3853-4C36-A924-D386C8B3D48E}</author>
    <author>tc={B270F7B0-42F9-4059-AAA4-13C1BCCAB53E}</author>
    <author>tc={25D6369E-AE59-4A33-9CBA-86A963323C5E}</author>
    <author>tc={CC73E22D-A5CB-4A56-8469-BEA3E4215567}</author>
    <author>tc={09F2C565-787F-43A2-9C62-6BA3B85A8496}</author>
    <author>tc={B1E6351B-DC58-4F03-9737-C6D6A0CB74C7}</author>
    <author>tc={CFA50407-C825-48E8-8580-8A48B487F7B2}</author>
    <author>tc={EADB0B9E-14E5-42CF-B7F6-217130C1F220}</author>
  </authors>
  <commentList>
    <comment ref="E3" authorId="0" shapeId="0" xr:uid="{7D34B02F-709B-4B31-AD60-9FEEF19152EE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AA242A34-A619-4121-B747-13AEDF62CB24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F810AEC3-A21D-496B-AF32-399C8A173461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0415CB7A-4420-418E-9EA4-9602CBB04552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R3" authorId="0" shapeId="0" xr:uid="{A582DE23-5A05-4F0D-AD4A-FC29B2617176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AE3" authorId="0" shapeId="0" xr:uid="{69AC4D9E-7707-4BC5-A347-8993C26C9C0C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G3" authorId="0" shapeId="0" xr:uid="{342EAE30-FB72-4F4C-8543-8048DFFF52D6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T4" authorId="1" shapeId="0" xr:uid="{C248DF6D-E1A7-4327-8781-FCCC0B982B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T6" authorId="2" shapeId="0" xr:uid="{484B4642-931F-40F6-87C7-D0675070DDA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Табыш</t>
        </r>
      </text>
    </comment>
    <comment ref="F9" authorId="3" shapeId="0" xr:uid="{B8F358E9-A63A-421D-9A52-DE023FF8C1B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Взаимодействие 4 филиала: Ульяновск,  Воронеж, Краснодар,Волгоград</t>
        </r>
      </text>
    </comment>
    <comment ref="AM11" authorId="4" shapeId="0" xr:uid="{AC692992-E353-4984-BB83-5A412B3055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Верный</t>
        </r>
      </text>
    </comment>
    <comment ref="AM12" authorId="5" shapeId="0" xr:uid="{3792FD63-CAD2-4CDC-917E-A510F8FCD3E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Лента</t>
        </r>
      </text>
    </comment>
    <comment ref="AM15" authorId="6" shapeId="0" xr:uid="{DBB3B802-A00F-4F00-A838-36FD4AB6817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Перекресток</t>
        </r>
      </text>
    </comment>
    <comment ref="AM20" authorId="7" shapeId="0" xr:uid="{CEBF160E-C819-4A33-AECD-12782A67F17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</t>
        </r>
      </text>
    </comment>
    <comment ref="U21" authorId="8" shapeId="0" xr:uid="{FBBE4828-CA74-448E-AADC-64C65C4B7A7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Белый Кролик</t>
        </r>
      </text>
    </comment>
    <comment ref="S27" authorId="9" shapeId="0" xr:uid="{3CB35B47-ACF8-41CE-AB1E-54DFD6CCE72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AG27" authorId="10" shapeId="0" xr:uid="{3B6D2FFF-E8EB-4846-A583-D6049BBAE7B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AH27" authorId="11" shapeId="0" xr:uid="{E3D5585C-7686-48DD-9861-6E3E418733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W29" authorId="12" shapeId="0" xr:uid="{BAED7A08-20B2-4DAE-9296-AF7D6361D86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Лион</t>
        </r>
      </text>
    </comment>
    <comment ref="X31" authorId="13" shapeId="0" xr:uid="{527870FD-2D8F-4BE6-8128-D7289065A0F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AA31" authorId="14" shapeId="0" xr:uid="{73E16D06-8DDC-4F3B-B25C-3BE56CA0EC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X32" authorId="15" shapeId="0" xr:uid="{A3C3A5EB-98D8-4295-AAC0-BA7CED9628D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AA32" authorId="16" shapeId="0" xr:uid="{1814C06E-3853-4C36-A924-D386C8B3D48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W34" authorId="17" shapeId="0" xr:uid="{B270F7B0-42F9-4059-AAA4-13C1BCCAB53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  <comment ref="T35" authorId="18" shapeId="0" xr:uid="{25D6369E-AE59-4A33-9CBA-86A963323C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AM38" authorId="19" shapeId="0" xr:uid="{CC73E22D-A5CB-4A56-8469-BEA3E421556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Окей</t>
        </r>
      </text>
    </comment>
    <comment ref="W39" authorId="20" shapeId="0" xr:uid="{09F2C565-787F-43A2-9C62-6BA3B85A849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Сеть Молния продана в 2025г</t>
        </r>
      </text>
    </comment>
    <comment ref="T40" authorId="21" shapeId="0" xr:uid="{B1E6351B-DC58-4F03-9737-C6D6A0CB74C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U40" authorId="22" shapeId="0" xr:uid="{CFA50407-C825-48E8-8580-8A48B487F7B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Зоооптторг</t>
        </r>
      </text>
    </comment>
    <comment ref="W41" authorId="23" shapeId="0" xr:uid="{EADB0B9E-14E5-42CF-B7F6-217130C1F22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tc={0C05AB44-692B-4E75-AB19-E848DC2F471D}</author>
    <author>tc={E0B744BD-B51E-4777-821C-E4E38254D3FF}</author>
    <author>tc={56DAA161-B1B5-46E9-9631-3C6E2D368086}</author>
    <author>tc={32A78597-2499-4990-A607-B1230ECFA29D}</author>
    <author>tc={79C7AA9A-2680-499B-B5CA-9B869354ADBB}</author>
    <author>tc={7833366F-73AD-4764-85BD-E45756723733}</author>
    <author>tc={D3124B9F-F62F-4FB5-A17C-35D29D8CEBB3}</author>
    <author>tc={56A4E96F-F5C0-40FC-B73D-0EA3DDDEB3DA}</author>
    <author>tc={3C1EC568-6E8A-499F-B5A9-9E989DB01860}</author>
    <author>tc={F7140340-FD2F-4D34-B635-0E5C3F8BF0CE}</author>
    <author>tc={0E96E146-F5EA-4BE0-A514-EB90761E1580}</author>
    <author>tc={35D87E8B-11CC-486A-B0D2-4F2D95248036}</author>
    <author>tc={5FB19028-3C14-464E-BA98-8A7F07416EDF}</author>
    <author>tc={DDD67B2B-9F88-4082-B9BF-76AFCED3ECD3}</author>
    <author>tc={1D6DC542-D9E2-4FCB-8DBF-E3AC76E70B59}</author>
    <author>tc={906FF491-1C35-4F8F-9223-926AFF8A665E}</author>
    <author>tc={77A3F69F-DBC1-4983-97BD-27A4AD1B5612}</author>
    <author>tc={0494B490-016F-4806-9520-5564363FBCDA}</author>
    <author>tc={FA08A940-0553-4FC8-A1B0-149041F37B39}</author>
    <author>tc={60D4B7F7-1C72-4C20-B1BE-685FDE635453}</author>
    <author>tc={6ED9AC52-7614-4B3A-AF21-A16232713F00}</author>
    <author>tc={DC5B3F89-F6B4-47F0-B6C5-E978EEDB9BAA}</author>
    <author>tc={1891CEE3-7F92-4931-B6DC-6EFF4BDC7927}</author>
    <author>tc={AB5989B7-3043-4CDA-B7F7-466B3EED701C}</author>
    <author>tc={A82AF81C-496B-4E5A-94A5-D13A30DA8B95}</author>
    <author>tc={D0909C91-AB58-48BD-BE7A-AF3BE4EDCD8F}</author>
    <author>tc={AF566169-C814-45F2-A9B7-923EC480B185}</author>
    <author>tc={73EAEDA4-EF12-4183-ABBD-60156D200D2E}</author>
    <author>tc={DB5B23D9-9FB0-4EE7-83C6-CD05D62BF185}</author>
    <author>tc={8027281A-6053-47C7-85E1-9A926C3104D1}</author>
    <author>tc={CF70B308-D87D-425E-9363-2223DD657D2C}</author>
    <author>tc={FC01495B-A8AE-44C7-B58C-DC2FEB1AEE61}</author>
    <author>tc={43CFDF0D-8D21-4444-959D-2990FE9D18C3}</author>
    <author>tc={B87CDBBC-5B24-4074-83DC-4A27DAD66746}</author>
    <author>tc={1E51765E-4545-459C-B01A-7214B78511AC}</author>
    <author>tc={2ED27797-C33F-4A4C-8E70-893C312053F4}</author>
    <author>tc={D0EF1E3A-E3D2-4D1C-8F69-D7AFA8CA49A1}</author>
    <author>tc={29B18984-A28F-42DC-B606-73AEFF0DD3E6}</author>
    <author>tc={8D71D16A-C03C-47DE-AF68-655894670B09}</author>
    <author>tc={9665018B-35F1-4F55-BFC3-87FEE0034912}</author>
    <author>tc={6260D6A2-0F1D-42C3-BD0E-64C128B8919D}</author>
    <author>tc={24C8B822-3D64-4B58-B8C0-417FA2F89D00}</author>
    <author>tc={7D0BE1EA-E889-4795-AD88-AE66F68616F8}</author>
    <author>tc={314CD5F0-293F-4676-B3AE-3F8C12004CC4}</author>
    <author>tc={35EFDECF-A2FA-4EEE-8BFC-A450D32FA95E}</author>
    <author>tc={D45A2A03-A9F7-43A2-A93F-AAA9A1F073FE}</author>
    <author>tc={47E88F04-3E29-4CB5-B5D1-456549E8492B}</author>
    <author>tc={57AE027A-4F54-4B7A-8541-C982CE43AB01}</author>
    <author>tc={BC7A2796-7A65-48C6-97EE-3D332C8E3347}</author>
    <author>tc={20D67E70-A85A-4996-9B32-86E0FD418F94}</author>
    <author>tc={C95EFF4C-2F69-4EEC-9C24-65AC1BF1ECAA}</author>
    <author>tc={7EF33799-E2F2-46F6-AC18-4850A0403372}</author>
    <author>tc={C0326890-D75F-4639-85E4-786E29476A7D}</author>
    <author>tc={FEAF0CFB-95EA-4D3C-B177-A31E71364DF9}</author>
    <author>tc={65C0DEB5-7002-4D16-812C-913B6D64A90D}</author>
    <author>tc={B2FCD538-A0EA-4793-BFA9-5F5AECF029D5}</author>
    <author>tc={6674D7AC-0EAD-4C33-BBB1-200C4969F01A}</author>
    <author>tc={29DB8106-F8D9-4C6F-8D38-4872C9E440B7}</author>
    <author>tc={8AB82AA8-3F0B-4B01-9D7A-B582064224DC}</author>
    <author>tc={8A2218B3-CDA9-45A7-B9EC-B069597BF10C}</author>
    <author>tc={53442969-1C65-4AC9-A704-3C91085CF2F8}</author>
    <author>tc={0F12A806-8AFE-4F3E-B3B6-2EF47DBF1D62}</author>
    <author>tc={C3B2257F-FD60-47A4-B24C-C0C3EF37752A}</author>
    <author>tc={4C1C75F2-35C1-4C95-96E8-7A9D93064D63}</author>
    <author>tc={A28F0378-44EE-4112-91A5-8DA405F7E63D}</author>
    <author>tc={52B8D457-AFF2-420F-A553-7CBF6D81F835}</author>
    <author>tc={E56F9193-67F5-4580-B03D-88A5CBCD7B99}</author>
    <author>tc={E53F32E7-2991-4500-9FD3-0465720A64A6}</author>
    <author>tc={E5368664-45BA-44C4-872D-AABD6DE79649}</author>
    <author>tc={A0245BE8-3868-4B93-A45C-7BE0C41EE9BD}</author>
  </authors>
  <commentList>
    <comment ref="E3" authorId="0" shapeId="0" xr:uid="{4A8D756E-B02F-4FE4-8722-74E826467829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93AACA17-7996-49BA-86E4-73F078843071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2B6E1F46-E7EB-4E36-BE80-7DCEF2D6C7AD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D7E118CE-4BF4-47CC-8451-66F093A97B1B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R3" authorId="0" shapeId="0" xr:uid="{11B1ED3B-59C5-4D3F-BA68-1B2D3741A248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AE3" authorId="0" shapeId="0" xr:uid="{1EF7A7F5-3DB7-4D56-BE57-9AF8DADFC13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G3" authorId="0" shapeId="0" xr:uid="{054FD3D2-0A82-48CD-B34C-3039EA32EB1C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G11" authorId="1" shapeId="0" xr:uid="{0C05AB44-692B-4E75-AB19-E848DC2F47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Европа и Линия</t>
        </r>
      </text>
    </comment>
    <comment ref="T21" authorId="2" shapeId="0" xr:uid="{E0B744BD-B51E-4777-821C-E4E38254D3F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U21" authorId="3" shapeId="0" xr:uid="{56DAA161-B1B5-46E9-9631-3C6E2D36808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ЗООДИСКОНТ
Любимчик убрала</t>
        </r>
      </text>
    </comment>
    <comment ref="T22" authorId="4" shapeId="0" xr:uid="{32A78597-2499-4990-A607-B1230ECFA2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T24" authorId="5" shapeId="0" xr:uid="{79C7AA9A-2680-499B-B5CA-9B869354AD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T25" authorId="6" shapeId="0" xr:uid="{7833366F-73AD-4764-85BD-E4575672373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T26" authorId="7" shapeId="0" xr:uid="{D3124B9F-F62F-4FB5-A17C-35D29D8CEBB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T27" authorId="8" shapeId="0" xr:uid="{56A4E96F-F5C0-40FC-B73D-0EA3DDDEB3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T30" authorId="9" shapeId="0" xr:uid="{3C1EC568-6E8A-499F-B5A9-9E989DB018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не отгружается с МД, все отгрузки с Дакорт</t>
        </r>
      </text>
    </comment>
    <comment ref="AM34" authorId="10" shapeId="0" xr:uid="{F7140340-FD2F-4D34-B635-0E5C3F8BF0C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Метро и Перекрёсток на Юге</t>
        </r>
      </text>
    </comment>
    <comment ref="T35" authorId="11" shapeId="0" xr:uid="{0E96E146-F5EA-4BE0-A514-EB90761E158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L36" authorId="12" shapeId="0" xr:uid="{35D87E8B-11CC-486A-B0D2-4F2D952480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K37" authorId="13" shapeId="0" xr:uid="{5FB19028-3C14-464E-BA98-8A7F07416ED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Вся Пятёрочка на Юге</t>
        </r>
      </text>
    </comment>
    <comment ref="AL45" authorId="14" shapeId="0" xr:uid="{DDD67B2B-9F88-4082-B9BF-76AFCED3EC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M49" authorId="15" shapeId="0" xr:uid="{1D6DC542-D9E2-4FCB-8DBF-E3AC76E70B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Ашан (+Атак) на Юге</t>
        </r>
      </text>
    </comment>
    <comment ref="AM55" authorId="16" shapeId="0" xr:uid="{906FF491-1C35-4F8F-9223-926AFF8A66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Окей и Лента на Юге</t>
        </r>
      </text>
    </comment>
    <comment ref="T64" authorId="17" shapeId="0" xr:uid="{77A3F69F-DBC1-4983-97BD-27A4AD1B56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64" authorId="18" shapeId="0" xr:uid="{0494B490-016F-4806-9520-5564363FBC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65" authorId="19" shapeId="0" xr:uid="{FA08A940-0553-4FC8-A1B0-149041F37B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65" authorId="20" shapeId="0" xr:uid="{60D4B7F7-1C72-4C20-B1BE-685FDE63545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67" authorId="21" shapeId="0" xr:uid="{6ED9AC52-7614-4B3A-AF21-A16232713F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67" authorId="22" shapeId="0" xr:uid="{DC5B3F89-F6B4-47F0-B6C5-E978EEDB9B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68" authorId="23" shapeId="0" xr:uid="{1891CEE3-7F92-4931-B6DC-6EFF4BDC792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68" authorId="24" shapeId="0" xr:uid="{AB5989B7-3043-4CDA-B7F7-466B3EED701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71" authorId="25" shapeId="0" xr:uid="{A82AF81C-496B-4E5A-94A5-D13A30DA8B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72" authorId="26" shapeId="0" xr:uid="{D0909C91-AB58-48BD-BE7A-AF3BE4EDCD8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74" authorId="27" shapeId="0" xr:uid="{AF566169-C814-45F2-A9B7-923EC480B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74" authorId="28" shapeId="0" xr:uid="{73EAEDA4-EF12-4183-ABBD-60156D200D2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75" authorId="29" shapeId="0" xr:uid="{DB5B23D9-9FB0-4EE7-83C6-CD05D62BF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75" authorId="30" shapeId="0" xr:uid="{8027281A-6053-47C7-85E1-9A926C3104D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76" authorId="31" shapeId="0" xr:uid="{CF70B308-D87D-425E-9363-2223DD657D2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76" authorId="32" shapeId="0" xr:uid="{FC01495B-A8AE-44C7-B58C-DC2FEB1AEE6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77" authorId="33" shapeId="0" xr:uid="{43CFDF0D-8D21-4444-959D-2990FE9D18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77" authorId="34" shapeId="0" xr:uid="{B87CDBBC-5B24-4074-83DC-4A27DAD667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78" authorId="35" shapeId="0" xr:uid="{1E51765E-4545-459C-B01A-7214B78511A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79" authorId="36" shapeId="0" xr:uid="{2ED27797-C33F-4A4C-8E70-893C312053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80" authorId="37" shapeId="0" xr:uid="{D0EF1E3A-E3D2-4D1C-8F69-D7AFA8CA49A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82" authorId="38" shapeId="0" xr:uid="{29B18984-A28F-42DC-B606-73AEFF0DD3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82" authorId="39" shapeId="0" xr:uid="{8D71D16A-C03C-47DE-AF68-655894670B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85" authorId="40" shapeId="0" xr:uid="{9665018B-35F1-4F55-BFC3-87FEE00349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86" authorId="41" shapeId="0" xr:uid="{6260D6A2-0F1D-42C3-BD0E-64C128B891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86" authorId="42" shapeId="0" xr:uid="{24C8B822-3D64-4B58-B8C0-417FA2F89D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88" authorId="43" shapeId="0" xr:uid="{7D0BE1EA-E889-4795-AD88-AE66F68616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89" authorId="44" shapeId="0" xr:uid="{314CD5F0-293F-4676-B3AE-3F8C12004CC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90" authorId="45" shapeId="0" xr:uid="{35EFDECF-A2FA-4EEE-8BFC-A450D32FA9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91" authorId="46" shapeId="0" xr:uid="{D45A2A03-A9F7-43A2-A93F-AAA9A1F073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92" authorId="47" shapeId="0" xr:uid="{47E88F04-3E29-4CB5-B5D1-456549E8492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93" authorId="48" shapeId="0" xr:uid="{57AE027A-4F54-4B7A-8541-C982CE43AB0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93" authorId="49" shapeId="0" xr:uid="{BC7A2796-7A65-48C6-97EE-3D332C8E33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96" authorId="50" shapeId="0" xr:uid="{20D67E70-A85A-4996-9B32-86E0FD418F9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98" authorId="51" shapeId="0" xr:uid="{C95EFF4C-2F69-4EEC-9C24-65AC1BF1EC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98" authorId="52" shapeId="0" xr:uid="{7EF33799-E2F2-46F6-AC18-4850A04033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99" authorId="53" shapeId="0" xr:uid="{C0326890-D75F-4639-85E4-786E29476A7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101" authorId="54" shapeId="0" xr:uid="{FEAF0CFB-95EA-4D3C-B177-A31E71364D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101" authorId="55" shapeId="0" xr:uid="{65C0DEB5-7002-4D16-812C-913B6D64A90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W102" authorId="56" shapeId="0" xr:uid="{B2FCD538-A0EA-4793-BFA9-5F5AECF029D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W103" authorId="57" shapeId="0" xr:uid="{6674D7AC-0EAD-4C33-BBB1-200C4969F01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W104" authorId="58" shapeId="0" xr:uid="{29DB8106-F8D9-4C6F-8D38-4872C9E440B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AG107" authorId="59" shapeId="0" xr:uid="{8AB82AA8-3F0B-4B01-9D7A-B582064224D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108" authorId="60" shapeId="0" xr:uid="{8A2218B3-CDA9-45A7-B9EC-B069597BF10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108" authorId="61" shapeId="0" xr:uid="{53442969-1C65-4AC9-A704-3C91085CF2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111" authorId="62" shapeId="0" xr:uid="{0F12A806-8AFE-4F3E-B3B6-2EF47DBF1D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112" authorId="63" shapeId="0" xr:uid="{C3B2257F-FD60-47A4-B24C-C0C3EF37752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112" authorId="64" shapeId="0" xr:uid="{4C1C75F2-35C1-4C95-96E8-7A9D93064D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T113" authorId="65" shapeId="0" xr:uid="{A28F0378-44EE-4112-91A5-8DA405F7E63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G113" authorId="66" shapeId="0" xr:uid="{52B8D457-AFF2-420F-A553-7CBF6D81F8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114" authorId="67" shapeId="0" xr:uid="{E56F9193-67F5-4580-B03D-88A5CBCD7B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AG116" authorId="68" shapeId="0" xr:uid="{E53F32E7-2991-4500-9FD3-0465720A64A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AG117" authorId="69" shapeId="0" xr:uid="{E5368664-45BA-44C4-872D-AABD6DE7964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AG118" authorId="70" shapeId="0" xr:uid="{A0245BE8-3868-4B93-A45C-7BE0C41EE9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N1" authorId="0" shapeId="0" xr:uid="{5445F212-F12A-4E4E-96AF-507C5ABA9321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для карты не НУЖНО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5950A613-BD5E-4541-80B7-DD2F0D35E077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087803C3-75A5-41EA-B4EF-AADA35FB5546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5CDA7005-15A9-4BD4-8717-E4A4FE5A5D71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9811944-9119-4B41-8FF2-C677DFBD13D9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R3" authorId="0" shapeId="0" xr:uid="{C476855F-74F3-485A-8EE4-795E9008DB1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AE3" authorId="0" shapeId="0" xr:uid="{04E68B10-39FE-4BB5-8570-7F9BE0707EC0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G3" authorId="0" shapeId="0" xr:uid="{EDC61733-640B-4732-8A53-C7A1E31009C2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F2" authorId="0" shapeId="0" xr:uid="{D106EAC4-F59B-4EE5-B67F-FBEC74032231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без Фикс-прайса, Любимчика и большого D-com</t>
        </r>
      </text>
    </comment>
    <comment ref="C3" authorId="0" shapeId="0" xr:uid="{DAF02783-69C4-41E9-8580-DD7EC4621592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учтён Акулов</t>
        </r>
      </text>
    </comment>
    <comment ref="F38" authorId="0" shapeId="0" xr:uid="{F444C230-2CBF-4DCE-A3D4-DC1D98750BEC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без Фикс-прайса, Любимчика и большого D-com</t>
        </r>
      </text>
    </comment>
    <comment ref="C39" authorId="0" shapeId="0" xr:uid="{7AEC8028-7AA8-48F9-B5FD-A72051C4993B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учтён Акулов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F2" authorId="0" shapeId="0" xr:uid="{A872BCA3-6217-4170-9086-C9D133CBDE87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без Фикс-прайса, Любимчика и большого D-com</t>
        </r>
      </text>
    </comment>
    <comment ref="C3" authorId="0" shapeId="0" xr:uid="{1227DFF0-50C3-4C45-80C9-1F12665E432E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учтён Акулов</t>
        </r>
      </text>
    </comment>
    <comment ref="F38" authorId="0" shapeId="0" xr:uid="{8E65B233-BACE-46D5-B52D-2E961FF943BD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без Фикс-прайса, Любимчика и большого D-com</t>
        </r>
      </text>
    </comment>
    <comment ref="C39" authorId="0" shapeId="0" xr:uid="{C71FFCF7-611E-4115-9DB5-D87454AAC99F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учтён Акулов</t>
        </r>
      </text>
    </comment>
    <comment ref="F71" authorId="0" shapeId="0" xr:uid="{8713954B-8CC1-47BD-8E8D-E2BEC59A3F9C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без Фикс-прайса, Любимчика и большого D-com</t>
        </r>
      </text>
    </comment>
    <comment ref="C72" authorId="0" shapeId="0" xr:uid="{7F69C7A1-8C9C-4F6F-B81F-906F775511AF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учтён Акулов</t>
        </r>
      </text>
    </comment>
    <comment ref="F105" authorId="0" shapeId="0" xr:uid="{C2657048-20BB-4CD5-AB6C-0D78AFEAD050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без Фикс-прайса, Любимчика и большого D-com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Q1" authorId="0" shapeId="0" xr:uid="{C22E3D49-FEED-47D7-8DE5-D67EDF0ED4C8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для карты не НУЖНО</t>
        </r>
      </text>
    </comment>
  </commentList>
</comments>
</file>

<file path=xl/sharedStrings.xml><?xml version="1.0" encoding="utf-8"?>
<sst xmlns="http://schemas.openxmlformats.org/spreadsheetml/2006/main" count="15579" uniqueCount="629">
  <si>
    <t>Регион</t>
  </si>
  <si>
    <t>Область</t>
  </si>
  <si>
    <t>Менеджер</t>
  </si>
  <si>
    <t>Позиция менеджера</t>
  </si>
  <si>
    <t>Сотрудник</t>
  </si>
  <si>
    <t>Позиция сотрудника</t>
  </si>
  <si>
    <t>Дистр</t>
  </si>
  <si>
    <t>Москва</t>
  </si>
  <si>
    <t>Москва и МО</t>
  </si>
  <si>
    <t>Гумиров Саша</t>
  </si>
  <si>
    <t>Колбина Катя</t>
  </si>
  <si>
    <t>Сладкая жизнь</t>
  </si>
  <si>
    <t>Тарасов Саша</t>
  </si>
  <si>
    <t>Фирсов Валя</t>
  </si>
  <si>
    <t>Беспятых Ваня</t>
  </si>
  <si>
    <t>Фуд-трейд</t>
  </si>
  <si>
    <t>Тюлев Вова</t>
  </si>
  <si>
    <t>Тульская</t>
  </si>
  <si>
    <t>Рязанская</t>
  </si>
  <si>
    <t>Осипова Оксана</t>
  </si>
  <si>
    <t>Калужская</t>
  </si>
  <si>
    <t>Нижегородская</t>
  </si>
  <si>
    <t>Владимирская</t>
  </si>
  <si>
    <t>Чувашия</t>
  </si>
  <si>
    <t>Степанов Олег</t>
  </si>
  <si>
    <t>Кировская</t>
  </si>
  <si>
    <t>Марий-Эл</t>
  </si>
  <si>
    <t>Мордовия</t>
  </si>
  <si>
    <t>Север</t>
  </si>
  <si>
    <t>Санкт-Петербург и ЛО</t>
  </si>
  <si>
    <t>Красильщик Женя</t>
  </si>
  <si>
    <t>Кононова Ольга</t>
  </si>
  <si>
    <t>Денди</t>
  </si>
  <si>
    <t>Мячина Лада</t>
  </si>
  <si>
    <t>Раевский Слава</t>
  </si>
  <si>
    <t>Мурманская</t>
  </si>
  <si>
    <t>Новгородская</t>
  </si>
  <si>
    <t>Карелия</t>
  </si>
  <si>
    <t>Псковская</t>
  </si>
  <si>
    <t>Калининградская</t>
  </si>
  <si>
    <t>Абрамова Ира</t>
  </si>
  <si>
    <t>Кан-Опт</t>
  </si>
  <si>
    <t>Коми</t>
  </si>
  <si>
    <t>Мирумян Давид</t>
  </si>
  <si>
    <t>ASM North</t>
  </si>
  <si>
    <t>Милюков Андрей</t>
  </si>
  <si>
    <t>ИП Киселенко</t>
  </si>
  <si>
    <t>Ненецкий АО</t>
  </si>
  <si>
    <t>Вологодская</t>
  </si>
  <si>
    <t>ИП Роздухов</t>
  </si>
  <si>
    <t>Архангельская</t>
  </si>
  <si>
    <t>Ярославская</t>
  </si>
  <si>
    <t>Мулов Илья</t>
  </si>
  <si>
    <t>Вектор</t>
  </si>
  <si>
    <t>Костромская</t>
  </si>
  <si>
    <t>Тверская</t>
  </si>
  <si>
    <t>Ивановская</t>
  </si>
  <si>
    <t>Коробов Иван</t>
  </si>
  <si>
    <t>Смоленская</t>
  </si>
  <si>
    <t>Дальний Восток</t>
  </si>
  <si>
    <t>Камчатская</t>
  </si>
  <si>
    <t>Романов Дима</t>
  </si>
  <si>
    <t>Ли Гийом</t>
  </si>
  <si>
    <t>Эником</t>
  </si>
  <si>
    <t>Чукотская</t>
  </si>
  <si>
    <t>Сахалинская</t>
  </si>
  <si>
    <t>Магаданская</t>
  </si>
  <si>
    <t>Москалёв Антон</t>
  </si>
  <si>
    <t>Приморский край</t>
  </si>
  <si>
    <t>Москалёв Антон (Север)</t>
  </si>
  <si>
    <t>Владторг</t>
  </si>
  <si>
    <t>Вакансия (Артём)</t>
  </si>
  <si>
    <t>Корчак Юра (HSR)</t>
  </si>
  <si>
    <t>Новосельцева Лена (SPT)</t>
  </si>
  <si>
    <t>Хабаровский</t>
  </si>
  <si>
    <t>Хильченко Женя</t>
  </si>
  <si>
    <t>Колупаев Сергей</t>
  </si>
  <si>
    <t>Ермошкин Женя</t>
  </si>
  <si>
    <t>Еврейская АО</t>
  </si>
  <si>
    <t>Якутия</t>
  </si>
  <si>
    <t>Павлов Вася</t>
  </si>
  <si>
    <t>Амурская</t>
  </si>
  <si>
    <t>??? Владислав</t>
  </si>
  <si>
    <t>Забайкальский край</t>
  </si>
  <si>
    <t>Дегтярь Витя</t>
  </si>
  <si>
    <t>Закерничный Саша</t>
  </si>
  <si>
    <t>Проект-Инвест</t>
  </si>
  <si>
    <t>Бурятия</t>
  </si>
  <si>
    <t>Киприна Маша (SPT+Other)</t>
  </si>
  <si>
    <t>Кузаева Лариса (SS+NA)</t>
  </si>
  <si>
    <t>Иркутская</t>
  </si>
  <si>
    <t>Потехин Ваня (Север)</t>
  </si>
  <si>
    <t>Центр</t>
  </si>
  <si>
    <t>Татарстан</t>
  </si>
  <si>
    <t>Лысенко Юра</t>
  </si>
  <si>
    <t>Ахмадеев Ильдар</t>
  </si>
  <si>
    <t>Фуд-Трейд</t>
  </si>
  <si>
    <t>Башкортастан</t>
  </si>
  <si>
    <t>Якупов Марсель</t>
  </si>
  <si>
    <t>Рейд 21</t>
  </si>
  <si>
    <t>Удмуртия</t>
  </si>
  <si>
    <t>Ханзадян Гор</t>
  </si>
  <si>
    <t>Пермский</t>
  </si>
  <si>
    <t>Челябинская</t>
  </si>
  <si>
    <t>Богданова Таня</t>
  </si>
  <si>
    <t>Самарская</t>
  </si>
  <si>
    <t>Филиппова Юлия</t>
  </si>
  <si>
    <t>Ульяновская</t>
  </si>
  <si>
    <t>Оренбургская</t>
  </si>
  <si>
    <t>Бивол (Лысенко Юра)</t>
  </si>
  <si>
    <t>Дустанов Руслан</t>
  </si>
  <si>
    <t>Курганская</t>
  </si>
  <si>
    <t>Захаров (Лысенко Юра)</t>
  </si>
  <si>
    <t>Дмитриев Сергей</t>
  </si>
  <si>
    <t>ХМАО ЯНАО (Сургут)</t>
  </si>
  <si>
    <t>Терновик Коля</t>
  </si>
  <si>
    <t>Дымшаков Сергей</t>
  </si>
  <si>
    <t>Эвенкс</t>
  </si>
  <si>
    <t>Свердловская</t>
  </si>
  <si>
    <t>Шадрин Дима</t>
  </si>
  <si>
    <t>Тюменская</t>
  </si>
  <si>
    <t>Трефилов Костя</t>
  </si>
  <si>
    <t>Сибирь</t>
  </si>
  <si>
    <t>Омская</t>
  </si>
  <si>
    <t>Елсуков Андрей</t>
  </si>
  <si>
    <t>Маркелов Сергей</t>
  </si>
  <si>
    <t>Шкуренко</t>
  </si>
  <si>
    <t>Новосибирская</t>
  </si>
  <si>
    <t>Беляев Денис</t>
  </si>
  <si>
    <t>РП Альянс</t>
  </si>
  <si>
    <t>Алтайский край</t>
  </si>
  <si>
    <t>Барсуков Гоша</t>
  </si>
  <si>
    <t>Республика Алтай</t>
  </si>
  <si>
    <t>Томская</t>
  </si>
  <si>
    <t>Кемеровская</t>
  </si>
  <si>
    <t>Красноярский</t>
  </si>
  <si>
    <t>Жуков Глеб</t>
  </si>
  <si>
    <t>Сервико</t>
  </si>
  <si>
    <t>Хакасия</t>
  </si>
  <si>
    <t>Тыва</t>
  </si>
  <si>
    <t>Юг</t>
  </si>
  <si>
    <t>Брянская</t>
  </si>
  <si>
    <t>Гладков Денис</t>
  </si>
  <si>
    <t>Телегина Эльвира</t>
  </si>
  <si>
    <t>ИП Коробов</t>
  </si>
  <si>
    <t>Орловская</t>
  </si>
  <si>
    <t>Курская</t>
  </si>
  <si>
    <t>Белгородские</t>
  </si>
  <si>
    <t>Воронежская</t>
  </si>
  <si>
    <t>Гончаров Антон (RAE)</t>
  </si>
  <si>
    <t>Липецкая</t>
  </si>
  <si>
    <t>Тамбовская</t>
  </si>
  <si>
    <t>Пензенская</t>
  </si>
  <si>
    <t>Лыкова Кристина</t>
  </si>
  <si>
    <t>Саратовская</t>
  </si>
  <si>
    <t>Волгоградская</t>
  </si>
  <si>
    <t>Ростовская</t>
  </si>
  <si>
    <t>Курембин Дима</t>
  </si>
  <si>
    <t>Архипенко Толя</t>
  </si>
  <si>
    <t>Миллениум Дон</t>
  </si>
  <si>
    <t>Ставропольский</t>
  </si>
  <si>
    <t>Вакансия</t>
  </si>
  <si>
    <t>Карачаево-Черкессия</t>
  </si>
  <si>
    <t>Кабардино-Балкария</t>
  </si>
  <si>
    <t>Северная Осетия</t>
  </si>
  <si>
    <t>Калмыкия</t>
  </si>
  <si>
    <t>Астраханская</t>
  </si>
  <si>
    <t>Чеченская</t>
  </si>
  <si>
    <t>Балабин Сергей</t>
  </si>
  <si>
    <t>Баженов Саша</t>
  </si>
  <si>
    <t>ИП Малаев</t>
  </si>
  <si>
    <t>Дагестан</t>
  </si>
  <si>
    <t>ТД Майдан</t>
  </si>
  <si>
    <t>Краснодарский</t>
  </si>
  <si>
    <t>Адыгея</t>
  </si>
  <si>
    <t>Карасёв Саша</t>
  </si>
  <si>
    <t>Краснодарский (Сочи)</t>
  </si>
  <si>
    <t>Ворфоламеев Лёша</t>
  </si>
  <si>
    <t>Ибдалаев Эльвис</t>
  </si>
  <si>
    <t>Дакорт Юг</t>
  </si>
  <si>
    <t>Крым</t>
  </si>
  <si>
    <t>Компаниец Игорь (RAE)</t>
  </si>
  <si>
    <t>DL 11.02</t>
  </si>
  <si>
    <t>BYN</t>
  </si>
  <si>
    <t>Блок, в котором учитываем отгрузки (development)</t>
  </si>
  <si>
    <t>Блок, в котором учитываем покрываемые продажи (execution)</t>
  </si>
  <si>
    <t>Продажи в клиентов, управляемых командами RKADM</t>
  </si>
  <si>
    <t>Продажи НЕ Skyline каналов</t>
  </si>
  <si>
    <t>Продажи Skyline каналов</t>
  </si>
  <si>
    <t>Продажи аккаунтов, за экзекьюшен которых отвечает сотрудник на конкретной территории</t>
  </si>
  <si>
    <t>District</t>
  </si>
  <si>
    <t>Region / HSR</t>
  </si>
  <si>
    <t>Manager</t>
  </si>
  <si>
    <t>Territory</t>
  </si>
  <si>
    <t>Distributor</t>
  </si>
  <si>
    <t># of distr offices</t>
  </si>
  <si>
    <t># of RKA offices</t>
  </si>
  <si>
    <t>Merch agency</t>
  </si>
  <si>
    <t>Продажи RKA Tier 1</t>
  </si>
  <si>
    <t>Grocery Tier 2</t>
  </si>
  <si>
    <t>SPT Tier 1</t>
  </si>
  <si>
    <t>E-com Tier 1-2</t>
  </si>
  <si>
    <t>Grocery Tier 3</t>
  </si>
  <si>
    <t>SPT Tier 2</t>
  </si>
  <si>
    <t>Other SS</t>
  </si>
  <si>
    <t>Other SPT</t>
  </si>
  <si>
    <t>Other E-com</t>
  </si>
  <si>
    <t>BTC</t>
  </si>
  <si>
    <t>Опт</t>
  </si>
  <si>
    <t>Продажи Доброном (SO)</t>
  </si>
  <si>
    <t>Продажи Евроопт (SO)</t>
  </si>
  <si>
    <t>Брестская область</t>
  </si>
  <si>
    <t>Market Head Belarus</t>
  </si>
  <si>
    <t>Senior Customer Development Manager</t>
  </si>
  <si>
    <t>KAM Tier 1</t>
  </si>
  <si>
    <t>Витебская область</t>
  </si>
  <si>
    <t>Гомельская область</t>
  </si>
  <si>
    <t>Гродненская область</t>
  </si>
  <si>
    <t>Минск</t>
  </si>
  <si>
    <t>Минская область</t>
  </si>
  <si>
    <t>Могилевская область</t>
  </si>
  <si>
    <t>KADL Tier 1 Dobronom</t>
  </si>
  <si>
    <t>Гродненская</t>
  </si>
  <si>
    <t>KADL Tier 1 Evroopt</t>
  </si>
  <si>
    <t>Key Account Manager SPT Belarus</t>
  </si>
  <si>
    <t xml:space="preserve">         712 416,22</t>
  </si>
  <si>
    <t xml:space="preserve">         687 142,88</t>
  </si>
  <si>
    <t xml:space="preserve">         469 349,83</t>
  </si>
  <si>
    <t xml:space="preserve">   11 805 739,74</t>
  </si>
  <si>
    <t xml:space="preserve">     3 168 620,80</t>
  </si>
  <si>
    <t xml:space="preserve">         969 637,83</t>
  </si>
  <si>
    <t xml:space="preserve">         684 956,38</t>
  </si>
  <si>
    <t>Key Account Manager Belarus</t>
  </si>
  <si>
    <t xml:space="preserve">     1 519 590,69</t>
  </si>
  <si>
    <t xml:space="preserve">         610 465,75</t>
  </si>
  <si>
    <t xml:space="preserve">         652 726,69</t>
  </si>
  <si>
    <t xml:space="preserve">     9 072 676,64</t>
  </si>
  <si>
    <t xml:space="preserve">     4 573 908,20</t>
  </si>
  <si>
    <t xml:space="preserve">         873 366,23</t>
  </si>
  <si>
    <t xml:space="preserve">         810 662,74</t>
  </si>
  <si>
    <t>Distributor Development Manager</t>
  </si>
  <si>
    <t>TSL Grodno-Brest</t>
  </si>
  <si>
    <t xml:space="preserve">     2 172 671,38</t>
  </si>
  <si>
    <t xml:space="preserve">         399 403,60</t>
  </si>
  <si>
    <t xml:space="preserve">         960 372,74</t>
  </si>
  <si>
    <t xml:space="preserve">     1 332 674,81</t>
  </si>
  <si>
    <t xml:space="preserve">                 166,54</t>
  </si>
  <si>
    <t xml:space="preserve">         925 582,95</t>
  </si>
  <si>
    <t xml:space="preserve">           23 225,07</t>
  </si>
  <si>
    <t xml:space="preserve">     1 059 870,30</t>
  </si>
  <si>
    <t xml:space="preserve">         111 952,36</t>
  </si>
  <si>
    <t xml:space="preserve">     1 189 328,21</t>
  </si>
  <si>
    <t xml:space="preserve">     1 251 835,60</t>
  </si>
  <si>
    <t xml:space="preserve">         771 945,38</t>
  </si>
  <si>
    <t xml:space="preserve">         601 109,14</t>
  </si>
  <si>
    <t>TSL Vitebsk-Minsk</t>
  </si>
  <si>
    <t xml:space="preserve">     2 035 082,17</t>
  </si>
  <si>
    <t xml:space="preserve">         944 397,50</t>
  </si>
  <si>
    <t xml:space="preserve">         774 577,48</t>
  </si>
  <si>
    <t xml:space="preserve">     2 656 713,20</t>
  </si>
  <si>
    <t xml:space="preserve">           12 918,13</t>
  </si>
  <si>
    <t xml:space="preserve">     2 098 831,39</t>
  </si>
  <si>
    <t xml:space="preserve">     1 726 620,74</t>
  </si>
  <si>
    <t xml:space="preserve">     4 769 337,69</t>
  </si>
  <si>
    <t xml:space="preserve">           90 743,34</t>
  </si>
  <si>
    <t xml:space="preserve">         773 303,30</t>
  </si>
  <si>
    <t xml:space="preserve">     2 651 752,79</t>
  </si>
  <si>
    <t xml:space="preserve">             5 980,96</t>
  </si>
  <si>
    <t xml:space="preserve">     1 224 734,59</t>
  </si>
  <si>
    <t xml:space="preserve">     4 048 074,73</t>
  </si>
  <si>
    <t>TSL Minsk North</t>
  </si>
  <si>
    <t xml:space="preserve">     3 110 571,02</t>
  </si>
  <si>
    <t xml:space="preserve">         901 550,38</t>
  </si>
  <si>
    <t xml:space="preserve">         544 524,91</t>
  </si>
  <si>
    <t xml:space="preserve">           88 059,07</t>
  </si>
  <si>
    <t xml:space="preserve">         170 078,71</t>
  </si>
  <si>
    <t xml:space="preserve">         383 306,84</t>
  </si>
  <si>
    <t>TSL Mogilev-Gomel</t>
  </si>
  <si>
    <t xml:space="preserve">     2 707 319,34</t>
  </si>
  <si>
    <t xml:space="preserve">     1 735 992,47</t>
  </si>
  <si>
    <t xml:space="preserve">     2 494 845,06</t>
  </si>
  <si>
    <t xml:space="preserve">     2 455 710,08</t>
  </si>
  <si>
    <t xml:space="preserve">           40 893,91</t>
  </si>
  <si>
    <t xml:space="preserve">     2 082 253,60</t>
  </si>
  <si>
    <t xml:space="preserve">           50 992,87</t>
  </si>
  <si>
    <t xml:space="preserve">     1 012 585,14</t>
  </si>
  <si>
    <t xml:space="preserve">     1 995 412,58</t>
  </si>
  <si>
    <t xml:space="preserve">     1 006 155,67</t>
  </si>
  <si>
    <t xml:space="preserve">           97 101,58</t>
  </si>
  <si>
    <t>авокадо, динозаврик, ястребков, мираторг, авоська, детский мир</t>
  </si>
  <si>
    <t>RKA</t>
  </si>
  <si>
    <t>Distr trade</t>
  </si>
  <si>
    <t>Execution</t>
  </si>
  <si>
    <r>
      <t xml:space="preserve">Продажи аккаунтов, за которые отвечает сотрудник в рамках </t>
    </r>
    <r>
      <rPr>
        <b/>
        <sz val="11"/>
        <color theme="1"/>
        <rFont val="Calibri"/>
        <family val="2"/>
        <charset val="204"/>
        <scheme val="minor"/>
      </rPr>
      <t>лидирования</t>
    </r>
    <r>
      <rPr>
        <sz val="11"/>
        <color theme="1"/>
        <rFont val="Calibri"/>
        <family val="2"/>
        <scheme val="minor"/>
      </rPr>
      <t xml:space="preserve"> в регионе</t>
    </r>
  </si>
  <si>
    <t>Non-Skyline</t>
  </si>
  <si>
    <t>Skyline (Tier3)</t>
  </si>
  <si>
    <t>Skyline (Other)</t>
  </si>
  <si>
    <t>SO NA (w/o Chizhik)</t>
  </si>
  <si>
    <t>SO RKA (execution)</t>
  </si>
  <si>
    <t>Merch-model SO</t>
  </si>
  <si>
    <t>NA Leading</t>
  </si>
  <si>
    <t>RKA Leading</t>
  </si>
  <si>
    <t>Продажи RKA Tier 1-2</t>
  </si>
  <si>
    <t>Продажи прочих RKA</t>
  </si>
  <si>
    <t>Grocery Tier 1-2</t>
  </si>
  <si>
    <t>SPT Tier 1-2</t>
  </si>
  <si>
    <t>Продажи 5-ka (SO)</t>
  </si>
  <si>
    <t>Продажи Magnit (SO)</t>
  </si>
  <si>
    <t>Продажи прочих NA c SO (без Чижика!)</t>
  </si>
  <si>
    <t>Продажи Чижик по SO</t>
  </si>
  <si>
    <t>Продажи RKA c SO</t>
  </si>
  <si>
    <t>Продажи в Merch-model (covered)</t>
  </si>
  <si>
    <t># of 5-ka offices</t>
  </si>
  <si>
    <t># of Magnit offices</t>
  </si>
  <si>
    <t>Продажи прочих NA c SO</t>
  </si>
  <si>
    <t>коммент</t>
  </si>
  <si>
    <t>продажи по мерчу</t>
  </si>
  <si>
    <t>Moscow</t>
  </si>
  <si>
    <t>DDM MOS Sladkaay Zhizn</t>
  </si>
  <si>
    <t>TSL MOS N.Novgorod</t>
  </si>
  <si>
    <t>Сладкая жизнь Плюс ООО</t>
  </si>
  <si>
    <t>продажи rka с SO - Spar, Smart, зоопторг, авокадо</t>
  </si>
  <si>
    <t>Сладкая Жизнь Плюс ООО (Москва)</t>
  </si>
  <si>
    <t>ASM MOS Food Trade+Sorso</t>
  </si>
  <si>
    <t>TSL MOS SPT Moscow Play Sorso</t>
  </si>
  <si>
    <t>СОРСО-СТР ООО</t>
  </si>
  <si>
    <t>TSL MOS Cheboksary</t>
  </si>
  <si>
    <t>TSL MOS  Moscow 2 Sladkaya Zhizn</t>
  </si>
  <si>
    <t>продажи rka с SO - Spar, Smart, зоопторг</t>
  </si>
  <si>
    <t>TSL MOS Grocery Mos Obl AS-Market</t>
  </si>
  <si>
    <t>Фуд-Трейд ООО (Москва)</t>
  </si>
  <si>
    <t>TSL MOS  Moscow 1 Sladkaya Zhizn</t>
  </si>
  <si>
    <t>продажи rka с SO Бетховен</t>
  </si>
  <si>
    <t>Московская</t>
  </si>
  <si>
    <t>Доброцен</t>
  </si>
  <si>
    <t>в 2026 году планируются отгрузки 108 млн</t>
  </si>
  <si>
    <t>Чувашская Республика -</t>
  </si>
  <si>
    <t>RADM Moscow</t>
  </si>
  <si>
    <t>RAL MOS SPT RKA</t>
  </si>
  <si>
    <t>4 Lapy</t>
  </si>
  <si>
    <t>4 lapy</t>
  </si>
  <si>
    <t>Белгородская</t>
  </si>
  <si>
    <t>TR</t>
  </si>
  <si>
    <t>Open</t>
  </si>
  <si>
    <t>Кемеровская область - Кузбасс</t>
  </si>
  <si>
    <t>Ленинградская</t>
  </si>
  <si>
    <t>Санкт-Петербург</t>
  </si>
  <si>
    <t>Ханты-Мансийский Автономный округ - Югра</t>
  </si>
  <si>
    <t>RAL MOS N.Novgorod</t>
  </si>
  <si>
    <t>Spar + Smart</t>
  </si>
  <si>
    <t>Марий Эл</t>
  </si>
  <si>
    <t>Денди ЗАО</t>
  </si>
  <si>
    <t>Зооопторг</t>
  </si>
  <si>
    <t>Башкортостан</t>
  </si>
  <si>
    <t>Миллениум-Дон ООО</t>
  </si>
  <si>
    <t>РП Альянс ООО</t>
  </si>
  <si>
    <t>Фуд-Трейд ООО (Воронеж)</t>
  </si>
  <si>
    <t>Фуд-Трейд ООО (Новосибирск)</t>
  </si>
  <si>
    <t>Фуд-Трейд ООО (Пермь)</t>
  </si>
  <si>
    <t>Фуд-Трейд ООО (Самара)</t>
  </si>
  <si>
    <t>Эвенкс ООО (Екатеринбург)</t>
  </si>
  <si>
    <t>Бетховен</t>
  </si>
  <si>
    <t>TDM MOS Grocery RKA+NA Moscow North</t>
  </si>
  <si>
    <t>KADL MOS NA Vladimir</t>
  </si>
  <si>
    <t>TDM MOS Grocery RKA+NA Moscow South</t>
  </si>
  <si>
    <t>KADL MOS Grocery RKA+NA Tula+Ryazan-Kaluga</t>
  </si>
  <si>
    <t>KADL MOS NA N.Novgorod</t>
  </si>
  <si>
    <t>у Антона лидерство Магнит по всему мск региону + территория</t>
  </si>
  <si>
    <t>TR/Open</t>
  </si>
  <si>
    <t>KADL MOS Grocery RKA+NA DiscSuper Mos Obl North 2</t>
  </si>
  <si>
    <t>KADL MOS Grocery RKA+NA DiscSuper Moscow East</t>
  </si>
  <si>
    <t>KADL MOS Grocery RKA+NA Hyper Moscow North</t>
  </si>
  <si>
    <t>KADL MOS Grocery Dixy ( вакансия)</t>
  </si>
  <si>
    <t>KADL MOS Grocery Tander South</t>
  </si>
  <si>
    <t>JRAM Verniy</t>
  </si>
  <si>
    <t>TR-Project / Open</t>
  </si>
  <si>
    <t>авокадо</t>
  </si>
  <si>
    <t>TR-Project</t>
  </si>
  <si>
    <t>Magnolia</t>
  </si>
  <si>
    <t>Open/TR</t>
  </si>
  <si>
    <t xml:space="preserve">Марий Эл </t>
  </si>
  <si>
    <t>KADL MOS WEST</t>
  </si>
  <si>
    <t>все области Москвы, у Иры нет территории, только лидерство аккаунта Пятерочка</t>
  </si>
  <si>
    <t>Алтайский</t>
  </si>
  <si>
    <t>Авокадо</t>
  </si>
  <si>
    <t>Удмуртская</t>
  </si>
  <si>
    <t>HSR Center</t>
  </si>
  <si>
    <t>RADM CEN Grocery RKA+Monetka,Krasnoe i beloe, Kiro</t>
  </si>
  <si>
    <t>TSL CEN Grocery+SPT+NA Kurgan</t>
  </si>
  <si>
    <t>Фуд-Трейд ООО</t>
  </si>
  <si>
    <t>ASM CEN Fud-trade+Reid-21</t>
  </si>
  <si>
    <t>TSL CEN Grocery + SPT Samara 2</t>
  </si>
  <si>
    <t>TSL CEN Kazan</t>
  </si>
  <si>
    <t>TSL CEN Ufa</t>
  </si>
  <si>
    <t>Рэйд-21 ООО</t>
  </si>
  <si>
    <t>DDM CEN</t>
  </si>
  <si>
    <t>TSL CEN Tyumen</t>
  </si>
  <si>
    <t>Эвенкс ООО (Тюмень)</t>
  </si>
  <si>
    <t>RAL CEN Gulliver+Pobeda</t>
  </si>
  <si>
    <t>TDM CEN Samara</t>
  </si>
  <si>
    <t>KADL CEN Kazan</t>
  </si>
  <si>
    <t>TDM CEN Chelyabinsk</t>
  </si>
  <si>
    <t>KADL CEN NA Chelyabinsk</t>
  </si>
  <si>
    <t>KADL CEN NA Ekaterinburg</t>
  </si>
  <si>
    <t>KADL CEN NA Ekaterinburg1</t>
  </si>
  <si>
    <t>KADL CEN NA Perm</t>
  </si>
  <si>
    <t>KADL CEN Samara</t>
  </si>
  <si>
    <t>KADL CEN Ufa</t>
  </si>
  <si>
    <t>TSL CEN NA Orenburg</t>
  </si>
  <si>
    <t>TSL CEN Grocery Perm</t>
  </si>
  <si>
    <t>TSL CEN Grocery DiscSuper Ekaterinburg</t>
  </si>
  <si>
    <t>RAL CEN Grocery RKA Ekaterinburg</t>
  </si>
  <si>
    <t>RAL CEN Grocery RKA Kirovsky Ekaterinburg</t>
  </si>
  <si>
    <t>TSL CEN Grocery+SPT+NA Khanty-Mansiysk</t>
  </si>
  <si>
    <t>TSL CEN Chelyabinsk+Mgn</t>
  </si>
  <si>
    <t>29 487 582,43</t>
  </si>
  <si>
    <t>95 076 965,57</t>
  </si>
  <si>
    <t>Ямало-Ненецкий</t>
  </si>
  <si>
    <t>без привязки</t>
  </si>
  <si>
    <t>Дакорт-Юг ООО</t>
  </si>
  <si>
    <t>Алтай</t>
  </si>
  <si>
    <t>Эником ООО</t>
  </si>
  <si>
    <t>Алколайн ООО</t>
  </si>
  <si>
    <t>Роздухов М.Е. ИП</t>
  </si>
  <si>
    <t>Проект-Инвест ООО</t>
  </si>
  <si>
    <t>Забайкальский</t>
  </si>
  <si>
    <t>Вектор ООО</t>
  </si>
  <si>
    <t>Камчатский</t>
  </si>
  <si>
    <t>ТД Шкуренко ООО (Томск)</t>
  </si>
  <si>
    <t>Киселенко А.А. ИП</t>
  </si>
  <si>
    <t>ТД Шкуренко ООО</t>
  </si>
  <si>
    <t>Приморский</t>
  </si>
  <si>
    <t>Севастополь</t>
  </si>
  <si>
    <t/>
  </si>
  <si>
    <t>Донецкая Народная</t>
  </si>
  <si>
    <t>Херсонская</t>
  </si>
  <si>
    <t>RAL CEN Grocery RKA Monetka Ekaterinburg</t>
  </si>
  <si>
    <t>Продажи RKA</t>
  </si>
  <si>
    <t>HSR RFE</t>
  </si>
  <si>
    <t>ASM RFE Grocery+SPT Khabarovsk</t>
  </si>
  <si>
    <t>RAL RFE Grocery Khabarovsk</t>
  </si>
  <si>
    <t>TSL RFE Grocery+SPT Blagoveschensk</t>
  </si>
  <si>
    <t>Атика ООО</t>
  </si>
  <si>
    <t>ASM RFE Grocery+SPT Irkutsk</t>
  </si>
  <si>
    <t>RAL RFE Grocery Irkutsk</t>
  </si>
  <si>
    <t>RAL RFE SPT Irkutsk</t>
  </si>
  <si>
    <t>TSL RFE Angarsk</t>
  </si>
  <si>
    <t>RDM RFE Grocery SS</t>
  </si>
  <si>
    <t>Virtual Territory RFE</t>
  </si>
  <si>
    <t>Еврейская</t>
  </si>
  <si>
    <t>Владторг ООО</t>
  </si>
  <si>
    <t>TSL RFE Grocery+SPT Komsomolsk-on-Amur</t>
  </si>
  <si>
    <t>TSL RFE Grocery+SPT Chita</t>
  </si>
  <si>
    <t>ASM RFE Grocery+SPT Vladivostok</t>
  </si>
  <si>
    <t>TSL RFE Grocery+SPT Ussuriysk</t>
  </si>
  <si>
    <t>TSL RFE Grocery+SPT Sakhalin PetCare</t>
  </si>
  <si>
    <t>RAL RFE Grocery Vladivostok</t>
  </si>
  <si>
    <t>TSL RFE Grocery+SPT Artem</t>
  </si>
  <si>
    <t>Саха (Якутия)</t>
  </si>
  <si>
    <t>TSL RFE Grocery+SPT Yakutsk</t>
  </si>
  <si>
    <t>Чукотский</t>
  </si>
  <si>
    <t>KADL FE</t>
  </si>
  <si>
    <t>SPT Manager RFE</t>
  </si>
  <si>
    <t>Virtual Territory RFE SPT</t>
  </si>
  <si>
    <t>HSR Siberia</t>
  </si>
  <si>
    <t>TDM Siberia</t>
  </si>
  <si>
    <t>KADL SIB Pyaterochka</t>
  </si>
  <si>
    <t>KADL SIB Tander</t>
  </si>
  <si>
    <t>KADL SIB NA Hyper</t>
  </si>
  <si>
    <t>RADM Siberia</t>
  </si>
  <si>
    <t>RAL Yarche</t>
  </si>
  <si>
    <t>Ярче</t>
  </si>
  <si>
    <t>Action</t>
  </si>
  <si>
    <t>KADL SIB RKA</t>
  </si>
  <si>
    <t>RAL Marya-Ra</t>
  </si>
  <si>
    <t>Мария-Ра</t>
  </si>
  <si>
    <t>Монетка</t>
  </si>
  <si>
    <t>RAL Komandor &amp; Khoroshiy</t>
  </si>
  <si>
    <t>Сервико (Красноярск) ООО</t>
  </si>
  <si>
    <t>Командор</t>
  </si>
  <si>
    <t>Хороший</t>
  </si>
  <si>
    <t>ASM SIB Krasnoyarsk+Abakan+Tuva+Kuzbass+Norilsk</t>
  </si>
  <si>
    <t>TSL SIB Krasnoyarsk-Norilsk</t>
  </si>
  <si>
    <t>TSL SIB SPT Novosibirsk</t>
  </si>
  <si>
    <t>TSL SIB Barnaul</t>
  </si>
  <si>
    <t>TSL SIB Novosibirsk</t>
  </si>
  <si>
    <t>TSL SIB Omsk+Tomsk+Kuzbass</t>
  </si>
  <si>
    <t>Стандарт ООО</t>
  </si>
  <si>
    <t>Хороший (Командор)</t>
  </si>
  <si>
    <t>HSR SOUTH</t>
  </si>
  <si>
    <t>ASM SOU Krasnodar</t>
  </si>
  <si>
    <t>TSL SOU Krasnodar 1</t>
  </si>
  <si>
    <t>Малаев Ш. А. ИП</t>
  </si>
  <si>
    <t>Ингушетия</t>
  </si>
  <si>
    <t>ТД Майдан ООО</t>
  </si>
  <si>
    <t>ASM SOU Voronezh</t>
  </si>
  <si>
    <t>RAL SOU Voronezh</t>
  </si>
  <si>
    <t>Коробов В.Ю. ИП</t>
  </si>
  <si>
    <t>TSL SOU Voronezh</t>
  </si>
  <si>
    <t>TSL SOU Crimea 1</t>
  </si>
  <si>
    <t>Луганская Народная</t>
  </si>
  <si>
    <t>TSL SOU Crimea 2</t>
  </si>
  <si>
    <t>TSL SOU Krasnodar 2</t>
  </si>
  <si>
    <t>DDM SOU Rostov-On-Don</t>
  </si>
  <si>
    <t>TSL SOU Rostov-On-Don 1</t>
  </si>
  <si>
    <t>TSL SOU Sochi</t>
  </si>
  <si>
    <t>Абхазия</t>
  </si>
  <si>
    <t>TDM SOUTH 1</t>
  </si>
  <si>
    <t>KADL SOU Krasnodar</t>
  </si>
  <si>
    <t>TDM SOUTH 2</t>
  </si>
  <si>
    <t>KADL SOU Volgograd - Astrakhan</t>
  </si>
  <si>
    <t>KADL SOU Pyaterochka</t>
  </si>
  <si>
    <t>Кабардино-Балкарская</t>
  </si>
  <si>
    <t>KADL SOU KMV 2</t>
  </si>
  <si>
    <t>Карачаево-Черкесская</t>
  </si>
  <si>
    <t>KADL SOU Rostov-On-Don</t>
  </si>
  <si>
    <t>KADL SOU Saratov - Penza - Tambov</t>
  </si>
  <si>
    <t>Северная Осетия - Алания</t>
  </si>
  <si>
    <t>KADL SOU  Lipetsk Orel</t>
  </si>
  <si>
    <t>TSL SOU Saratov,Penza, Volgograd</t>
  </si>
  <si>
    <t>TSL SOU Stavropol</t>
  </si>
  <si>
    <t>Запорожская</t>
  </si>
  <si>
    <t>TSE MOS Grocery+SPT Kaluga</t>
  </si>
  <si>
    <t>5ка (Калининград)</t>
  </si>
  <si>
    <t>Metro (Калининград)</t>
  </si>
  <si>
    <t>Архангельская область</t>
  </si>
  <si>
    <t>HSR NOR</t>
  </si>
  <si>
    <t>ASM NOR Vector Dendi</t>
  </si>
  <si>
    <t>TSL NOR Grocery+SPT Vologda</t>
  </si>
  <si>
    <t>DDM NOR Grocery+SPT Spb Nov Pskov</t>
  </si>
  <si>
    <t>TSL NOR  SPb  North- Murmansk</t>
  </si>
  <si>
    <t>Смоленская область</t>
  </si>
  <si>
    <t>TSL Ivanovo, Smolensk</t>
  </si>
  <si>
    <t>Ивановская область</t>
  </si>
  <si>
    <t>Вологодская область</t>
  </si>
  <si>
    <t>TSL Yaroslavl, Kostroma, Tver</t>
  </si>
  <si>
    <t>Калининградская область</t>
  </si>
  <si>
    <t>TSL NOR  Kaliningrad SPT E-com SPAR</t>
  </si>
  <si>
    <t>Кан Опт ООО</t>
  </si>
  <si>
    <t>республика Карелия</t>
  </si>
  <si>
    <t>TSL NOR Len Obl</t>
  </si>
  <si>
    <t>Республика Коми</t>
  </si>
  <si>
    <t>Костромская область</t>
  </si>
  <si>
    <t>Ленинградская область</t>
  </si>
  <si>
    <t>TSL NOR SPb South</t>
  </si>
  <si>
    <t>Тверская область</t>
  </si>
  <si>
    <t>псковская область</t>
  </si>
  <si>
    <t>Мурманская область</t>
  </si>
  <si>
    <t>Ненецкий</t>
  </si>
  <si>
    <t>Новгородская область</t>
  </si>
  <si>
    <t>Ямало-Ненецкий АО, Ямальский р-н, Новый Порт п, ул Советская 20</t>
  </si>
  <si>
    <t>Ярославская область</t>
  </si>
  <si>
    <t>TDM NOR Action</t>
  </si>
  <si>
    <t>KADL NOR Arkhangelsk,  Murmansk</t>
  </si>
  <si>
    <t>KADL NOR Komi Vologda Petrozavodsk</t>
  </si>
  <si>
    <t>KADL NOR NA Ivanovo Yaroslavl Kostroma</t>
  </si>
  <si>
    <t>TDM NOR Grocery</t>
  </si>
  <si>
    <t>KADL NOR  X5</t>
  </si>
  <si>
    <t>KADL NOR Hyper SPb Novgorod Pskov</t>
  </si>
  <si>
    <t>KADL NOR NA Smolensk Tver</t>
  </si>
  <si>
    <t>KADL NOR Tander Dixy</t>
  </si>
  <si>
    <t>HSR Moscow</t>
  </si>
  <si>
    <t>Row Labels</t>
  </si>
  <si>
    <t>Sum of RKA</t>
  </si>
  <si>
    <t>Sum of Non-Skyline</t>
  </si>
  <si>
    <t>Sum of Skyline (Tier3)</t>
  </si>
  <si>
    <t>Sum of Skyline (Other)</t>
  </si>
  <si>
    <t>Sum of SO NA (w/o Chizhik)</t>
  </si>
  <si>
    <t>Sum of SO RKA (execution)</t>
  </si>
  <si>
    <t>Sum of Merch-model SO</t>
  </si>
  <si>
    <t>Sum of NA Leading</t>
  </si>
  <si>
    <t>Sum of RKA Leading</t>
  </si>
  <si>
    <t>Grand Total</t>
  </si>
  <si>
    <t>вакансия год</t>
  </si>
  <si>
    <t>(blank)</t>
  </si>
  <si>
    <t>Регионы сейчас</t>
  </si>
  <si>
    <t>Direct reports of HSR</t>
  </si>
  <si>
    <t>Total employees</t>
  </si>
  <si>
    <t>Total Sales in control</t>
  </si>
  <si>
    <t>Regional sales (w/o FP, Lubim, D-com)</t>
  </si>
  <si>
    <t>SO NA (w/o Chizhik, K&amp;B, Bristol)</t>
  </si>
  <si>
    <t>Регионы после</t>
  </si>
  <si>
    <t>HSR EAST</t>
  </si>
  <si>
    <t>ASM SIB</t>
  </si>
  <si>
    <t>RADM EAST</t>
  </si>
  <si>
    <t>TDM EAST</t>
  </si>
  <si>
    <t>Объединение Сибирь и ДВ</t>
  </si>
  <si>
    <t>Распределение Москвы</t>
  </si>
  <si>
    <t>HSR North (NEW)</t>
  </si>
  <si>
    <t>HSR South</t>
  </si>
  <si>
    <t>Распределение Москвы и объединение Сибири и ДВ</t>
  </si>
  <si>
    <t>HSR NORTH (NEW)</t>
  </si>
  <si>
    <t>NEW HSR</t>
  </si>
  <si>
    <t>NEW MANAGER</t>
  </si>
  <si>
    <t>NEW TERRITORY</t>
  </si>
  <si>
    <t>???</t>
  </si>
  <si>
    <t>TSE MOS N.Novgorod</t>
  </si>
  <si>
    <t>TSE NOR SPb South</t>
  </si>
  <si>
    <t>TSE NOR Len Obl</t>
  </si>
  <si>
    <t>TSE NOR  SPb  North- Murmansk</t>
  </si>
  <si>
    <t>TSE NOR  Kaliningrad SPT E-com SPAR</t>
  </si>
  <si>
    <t>TSE RFE Grocery+SPT Ussuriysk</t>
  </si>
  <si>
    <t>RAE RFE Grocery Khabarovsk</t>
  </si>
  <si>
    <t>TSE RFE Grocery+SPT Komsomolsk-on-Amur</t>
  </si>
  <si>
    <t>Head of Sales Region</t>
  </si>
  <si>
    <t>TSE RFE Grocery+SPT Chita</t>
  </si>
  <si>
    <t>RAE RFE SPT Irkutsk</t>
  </si>
  <si>
    <t>RAE RFE Grocery Irkutsk</t>
  </si>
  <si>
    <t>TSE CEN Kazan</t>
  </si>
  <si>
    <t>TSE CEN Ufa</t>
  </si>
  <si>
    <t>TSE CEN Chelyabinsk+Mgn</t>
  </si>
  <si>
    <t>TSE CEN Grocery + SPT Samara 2</t>
  </si>
  <si>
    <t>TSE CEN NA Orenburg</t>
  </si>
  <si>
    <t>TSE CEN Grocery+SPT+NA Kurgan</t>
  </si>
  <si>
    <t>TSE CEN Grocery+SPT+NA Khanty-Mansiysk</t>
  </si>
  <si>
    <t>TSE SIB Barnaul</t>
  </si>
  <si>
    <t>TSE SOU Rostov-On-Don 1</t>
  </si>
  <si>
    <t>TSE SOU Krasnodar 1</t>
  </si>
  <si>
    <t>TSE SOU Krasnodar 2</t>
  </si>
  <si>
    <t>TSE SOU Crimea 2</t>
  </si>
  <si>
    <t>Беларусь</t>
  </si>
  <si>
    <t>DDM Cen</t>
  </si>
  <si>
    <t>DDM MOS Sladkaya Zhizn</t>
  </si>
  <si>
    <t>TDM Senior Customer Development Manager</t>
  </si>
  <si>
    <t>DDM Belarus</t>
  </si>
  <si>
    <t>Skyline</t>
  </si>
  <si>
    <t>Channel</t>
  </si>
  <si>
    <t>ё</t>
  </si>
  <si>
    <t>Channel(!)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</si>
</sst>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(* #,##0_);_(* \(#,##0\);_(* &quot;-&quot;??_);_(@_)"/>
    <numFmt numFmtId="167" formatCode="_-* #,##0.00\ _₽_-;\-* #,##0.00\ _₽_-;_-* &quot;-&quot;??\ _₽_-;_-@_-"/>
    <numFmt numFmtId="168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  <charset val="204"/>
    </font>
    <font>
      <sz val="10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000000"/>
      <name val="Aptos Narrow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Aptos Narrow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5" fillId="0" borderId="0"/>
    <xf numFmtId="0" fontId="11" fillId="0" borderId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5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8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164" fontId="0" fillId="0" borderId="17" xfId="1" applyNumberFormat="1" applyFont="1" applyBorder="1" applyAlignment="1">
      <alignment wrapText="1"/>
    </xf>
    <xf numFmtId="164" fontId="0" fillId="0" borderId="15" xfId="1" applyNumberFormat="1" applyFont="1" applyBorder="1" applyAlignment="1">
      <alignment wrapText="1"/>
    </xf>
    <xf numFmtId="165" fontId="0" fillId="0" borderId="17" xfId="1" applyNumberFormat="1" applyFont="1" applyBorder="1" applyAlignment="1">
      <alignment wrapText="1"/>
    </xf>
    <xf numFmtId="165" fontId="0" fillId="0" borderId="15" xfId="1" applyNumberFormat="1" applyFont="1" applyBorder="1" applyAlignment="1">
      <alignment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0" fillId="0" borderId="15" xfId="1" applyNumberFormat="1" applyFont="1" applyFill="1" applyBorder="1" applyAlignment="1">
      <alignment wrapText="1"/>
    </xf>
    <xf numFmtId="165" fontId="0" fillId="0" borderId="15" xfId="1" applyNumberFormat="1" applyFont="1" applyFill="1" applyBorder="1" applyAlignment="1">
      <alignment wrapText="1"/>
    </xf>
    <xf numFmtId="165" fontId="0" fillId="0" borderId="15" xfId="0" applyNumberFormat="1" applyBorder="1" applyAlignment="1">
      <alignment wrapText="1"/>
    </xf>
    <xf numFmtId="43" fontId="0" fillId="0" borderId="0" xfId="1" applyFont="1" applyAlignment="1">
      <alignment wrapText="1"/>
    </xf>
    <xf numFmtId="164" fontId="0" fillId="0" borderId="17" xfId="1" applyNumberFormat="1" applyFont="1" applyFill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 wrapText="1"/>
    </xf>
    <xf numFmtId="165" fontId="0" fillId="0" borderId="18" xfId="1" applyNumberFormat="1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0" xfId="0" applyBorder="1" applyAlignment="1">
      <alignment horizontal="center" wrapText="1"/>
    </xf>
    <xf numFmtId="165" fontId="0" fillId="0" borderId="22" xfId="1" applyNumberFormat="1" applyFont="1" applyBorder="1" applyAlignment="1">
      <alignment wrapText="1"/>
    </xf>
    <xf numFmtId="165" fontId="0" fillId="0" borderId="23" xfId="1" applyNumberFormat="1" applyFont="1" applyBorder="1" applyAlignment="1">
      <alignment wrapText="1"/>
    </xf>
    <xf numFmtId="165" fontId="0" fillId="0" borderId="20" xfId="1" applyNumberFormat="1" applyFont="1" applyBorder="1" applyAlignment="1">
      <alignment wrapText="1"/>
    </xf>
    <xf numFmtId="165" fontId="0" fillId="0" borderId="21" xfId="1" applyNumberFormat="1" applyFont="1" applyBorder="1" applyAlignment="1">
      <alignment wrapText="1"/>
    </xf>
    <xf numFmtId="0" fontId="14" fillId="3" borderId="0" xfId="0" applyFont="1" applyFill="1" applyAlignment="1">
      <alignment wrapText="1"/>
    </xf>
    <xf numFmtId="0" fontId="15" fillId="4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26" xfId="0" applyFont="1" applyBorder="1"/>
    <xf numFmtId="0" fontId="15" fillId="0" borderId="27" xfId="0" applyFont="1" applyBorder="1"/>
    <xf numFmtId="0" fontId="15" fillId="0" borderId="27" xfId="0" applyFont="1" applyBorder="1" applyAlignment="1">
      <alignment wrapText="1"/>
    </xf>
    <xf numFmtId="0" fontId="15" fillId="0" borderId="7" xfId="0" applyFont="1" applyBorder="1"/>
    <xf numFmtId="165" fontId="15" fillId="0" borderId="7" xfId="1" applyNumberFormat="1" applyFont="1" applyBorder="1"/>
    <xf numFmtId="0" fontId="15" fillId="0" borderId="8" xfId="0" applyFont="1" applyBorder="1"/>
    <xf numFmtId="0" fontId="15" fillId="0" borderId="0" xfId="0" applyFont="1"/>
    <xf numFmtId="0" fontId="15" fillId="0" borderId="28" xfId="0" applyFont="1" applyBorder="1"/>
    <xf numFmtId="0" fontId="15" fillId="0" borderId="15" xfId="0" applyFont="1" applyBorder="1"/>
    <xf numFmtId="0" fontId="15" fillId="0" borderId="15" xfId="0" applyFont="1" applyBorder="1" applyAlignment="1">
      <alignment wrapText="1"/>
    </xf>
    <xf numFmtId="165" fontId="15" fillId="0" borderId="0" xfId="1" applyNumberFormat="1" applyFont="1" applyBorder="1"/>
    <xf numFmtId="0" fontId="15" fillId="0" borderId="5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0" xfId="0" applyFont="1" applyBorder="1" applyAlignment="1">
      <alignment wrapText="1"/>
    </xf>
    <xf numFmtId="0" fontId="15" fillId="0" borderId="31" xfId="0" applyFont="1" applyBorder="1"/>
    <xf numFmtId="165" fontId="15" fillId="0" borderId="31" xfId="1" applyNumberFormat="1" applyFont="1" applyBorder="1"/>
    <xf numFmtId="0" fontId="15" fillId="0" borderId="32" xfId="0" applyFont="1" applyBorder="1"/>
    <xf numFmtId="0" fontId="15" fillId="2" borderId="0" xfId="0" applyFont="1" applyFill="1"/>
    <xf numFmtId="0" fontId="15" fillId="0" borderId="35" xfId="0" applyFont="1" applyBorder="1"/>
    <xf numFmtId="0" fontId="16" fillId="0" borderId="35" xfId="0" applyFont="1" applyBorder="1"/>
    <xf numFmtId="0" fontId="17" fillId="0" borderId="35" xfId="0" applyFont="1" applyBorder="1"/>
    <xf numFmtId="165" fontId="15" fillId="0" borderId="7" xfId="1" applyNumberFormat="1" applyFont="1" applyFill="1" applyBorder="1"/>
    <xf numFmtId="165" fontId="15" fillId="0" borderId="0" xfId="1" applyNumberFormat="1" applyFont="1" applyFill="1" applyBorder="1"/>
    <xf numFmtId="0" fontId="15" fillId="0" borderId="37" xfId="0" applyFont="1" applyBorder="1"/>
    <xf numFmtId="0" fontId="15" fillId="0" borderId="38" xfId="0" applyFont="1" applyBorder="1"/>
    <xf numFmtId="0" fontId="16" fillId="0" borderId="38" xfId="0" applyFont="1" applyBorder="1"/>
    <xf numFmtId="0" fontId="17" fillId="0" borderId="38" xfId="0" applyFont="1" applyBorder="1"/>
    <xf numFmtId="166" fontId="17" fillId="0" borderId="7" xfId="0" applyNumberFormat="1" applyFont="1" applyBorder="1" applyAlignment="1">
      <alignment horizontal="center"/>
    </xf>
    <xf numFmtId="43" fontId="15" fillId="0" borderId="7" xfId="1" applyFont="1" applyFill="1" applyBorder="1"/>
    <xf numFmtId="43" fontId="17" fillId="0" borderId="7" xfId="1" applyFont="1" applyFill="1" applyBorder="1"/>
    <xf numFmtId="0" fontId="17" fillId="0" borderId="7" xfId="0" applyFont="1" applyBorder="1"/>
    <xf numFmtId="0" fontId="17" fillId="0" borderId="8" xfId="0" applyFont="1" applyBorder="1"/>
    <xf numFmtId="0" fontId="15" fillId="0" borderId="40" xfId="0" applyFont="1" applyBorder="1"/>
    <xf numFmtId="0" fontId="15" fillId="0" borderId="0" xfId="0" applyFont="1" applyAlignment="1">
      <alignment horizontal="center"/>
    </xf>
    <xf numFmtId="166" fontId="17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43" fontId="15" fillId="0" borderId="0" xfId="1" applyFont="1" applyFill="1" applyBorder="1"/>
    <xf numFmtId="43" fontId="17" fillId="0" borderId="0" xfId="1" applyFont="1" applyFill="1" applyBorder="1"/>
    <xf numFmtId="0" fontId="17" fillId="0" borderId="0" xfId="0" applyFont="1"/>
    <xf numFmtId="0" fontId="17" fillId="0" borderId="5" xfId="0" applyFont="1" applyBorder="1"/>
    <xf numFmtId="166" fontId="13" fillId="0" borderId="0" xfId="0" applyNumberFormat="1" applyFont="1" applyAlignment="1">
      <alignment horizontal="center"/>
    </xf>
    <xf numFmtId="0" fontId="13" fillId="0" borderId="0" xfId="0" applyFont="1"/>
    <xf numFmtId="0" fontId="13" fillId="0" borderId="5" xfId="0" applyFont="1" applyBorder="1"/>
    <xf numFmtId="0" fontId="15" fillId="0" borderId="41" xfId="0" applyFont="1" applyBorder="1"/>
    <xf numFmtId="0" fontId="15" fillId="0" borderId="42" xfId="0" applyFont="1" applyBorder="1"/>
    <xf numFmtId="0" fontId="16" fillId="0" borderId="42" xfId="0" applyFont="1" applyBorder="1"/>
    <xf numFmtId="0" fontId="17" fillId="0" borderId="42" xfId="0" applyFont="1" applyBorder="1"/>
    <xf numFmtId="166" fontId="13" fillId="0" borderId="31" xfId="0" applyNumberFormat="1" applyFont="1" applyBorder="1" applyAlignment="1">
      <alignment horizontal="center"/>
    </xf>
    <xf numFmtId="166" fontId="15" fillId="0" borderId="31" xfId="0" applyNumberFormat="1" applyFont="1" applyBorder="1" applyAlignment="1">
      <alignment horizontal="center"/>
    </xf>
    <xf numFmtId="43" fontId="15" fillId="0" borderId="31" xfId="1" applyFont="1" applyFill="1" applyBorder="1"/>
    <xf numFmtId="0" fontId="13" fillId="0" borderId="31" xfId="0" applyFont="1" applyBorder="1"/>
    <xf numFmtId="0" fontId="13" fillId="0" borderId="32" xfId="0" applyFont="1" applyBorder="1"/>
    <xf numFmtId="0" fontId="15" fillId="0" borderId="7" xfId="1" applyNumberFormat="1" applyFont="1" applyFill="1" applyBorder="1"/>
    <xf numFmtId="0" fontId="15" fillId="0" borderId="0" xfId="1" applyNumberFormat="1" applyFont="1" applyFill="1" applyBorder="1"/>
    <xf numFmtId="0" fontId="0" fillId="0" borderId="22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2" xfId="0" applyBorder="1"/>
    <xf numFmtId="165" fontId="0" fillId="0" borderId="19" xfId="1" applyNumberFormat="1" applyFont="1" applyBorder="1" applyAlignment="1">
      <alignment wrapText="1"/>
    </xf>
    <xf numFmtId="165" fontId="0" fillId="0" borderId="24" xfId="1" applyNumberFormat="1" applyFont="1" applyBorder="1" applyAlignment="1">
      <alignment wrapText="1"/>
    </xf>
    <xf numFmtId="165" fontId="0" fillId="0" borderId="25" xfId="1" applyNumberFormat="1" applyFont="1" applyBorder="1" applyAlignment="1">
      <alignment wrapText="1"/>
    </xf>
    <xf numFmtId="165" fontId="0" fillId="0" borderId="22" xfId="1" applyNumberFormat="1" applyFont="1" applyFill="1" applyBorder="1" applyAlignment="1">
      <alignment wrapText="1"/>
    </xf>
    <xf numFmtId="165" fontId="0" fillId="0" borderId="19" xfId="1" applyNumberFormat="1" applyFont="1" applyFill="1" applyBorder="1" applyAlignment="1">
      <alignment wrapText="1"/>
    </xf>
    <xf numFmtId="165" fontId="0" fillId="0" borderId="20" xfId="1" applyNumberFormat="1" applyFont="1" applyFill="1" applyBorder="1" applyAlignment="1">
      <alignment wrapText="1"/>
    </xf>
    <xf numFmtId="165" fontId="0" fillId="0" borderId="21" xfId="1" applyNumberFormat="1" applyFont="1" applyFill="1" applyBorder="1" applyAlignment="1">
      <alignment wrapText="1"/>
    </xf>
    <xf numFmtId="165" fontId="0" fillId="0" borderId="18" xfId="1" applyNumberFormat="1" applyFont="1" applyFill="1" applyBorder="1" applyAlignment="1">
      <alignment wrapText="1"/>
    </xf>
    <xf numFmtId="165" fontId="0" fillId="0" borderId="23" xfId="1" applyNumberFormat="1" applyFont="1" applyFill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17" xfId="1" applyNumberFormat="1" applyFont="1" applyFill="1" applyBorder="1" applyAlignment="1">
      <alignment wrapText="1"/>
    </xf>
    <xf numFmtId="3" fontId="0" fillId="0" borderId="15" xfId="1" applyNumberFormat="1" applyFont="1" applyBorder="1" applyAlignment="1">
      <alignment wrapText="1"/>
    </xf>
    <xf numFmtId="3" fontId="0" fillId="0" borderId="15" xfId="0" applyNumberFormat="1" applyBorder="1" applyAlignment="1">
      <alignment wrapText="1"/>
    </xf>
    <xf numFmtId="3" fontId="0" fillId="0" borderId="15" xfId="1" applyNumberFormat="1" applyFont="1" applyFill="1" applyBorder="1" applyAlignment="1">
      <alignment wrapText="1"/>
    </xf>
    <xf numFmtId="0" fontId="8" fillId="3" borderId="0" xfId="0" applyFont="1" applyFill="1"/>
    <xf numFmtId="0" fontId="0" fillId="0" borderId="0" xfId="0" applyAlignment="1">
      <alignment horizontal="center" vertical="center"/>
    </xf>
    <xf numFmtId="0" fontId="0" fillId="0" borderId="15" xfId="0" applyBorder="1"/>
    <xf numFmtId="3" fontId="0" fillId="0" borderId="44" xfId="0" applyNumberFormat="1" applyBorder="1" applyAlignment="1">
      <alignment wrapText="1"/>
    </xf>
    <xf numFmtId="0" fontId="0" fillId="0" borderId="28" xfId="0" applyBorder="1"/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7" fillId="0" borderId="28" xfId="2" applyBorder="1"/>
    <xf numFmtId="0" fontId="7" fillId="0" borderId="29" xfId="2" applyBorder="1"/>
    <xf numFmtId="0" fontId="0" fillId="0" borderId="30" xfId="0" applyBorder="1"/>
    <xf numFmtId="0" fontId="0" fillId="0" borderId="30" xfId="0" applyBorder="1" applyAlignment="1">
      <alignment horizontal="center" wrapText="1"/>
    </xf>
    <xf numFmtId="0" fontId="0" fillId="0" borderId="46" xfId="0" applyBorder="1"/>
    <xf numFmtId="0" fontId="0" fillId="0" borderId="47" xfId="0" applyBorder="1"/>
    <xf numFmtId="0" fontId="0" fillId="0" borderId="17" xfId="0" applyBorder="1"/>
    <xf numFmtId="0" fontId="0" fillId="0" borderId="48" xfId="0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7" fillId="0" borderId="54" xfId="2" applyBorder="1"/>
    <xf numFmtId="0" fontId="7" fillId="0" borderId="55" xfId="2" applyBorder="1"/>
    <xf numFmtId="0" fontId="8" fillId="0" borderId="49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3" fontId="0" fillId="0" borderId="28" xfId="1" applyNumberFormat="1" applyFont="1" applyFill="1" applyBorder="1" applyAlignment="1">
      <alignment wrapText="1"/>
    </xf>
    <xf numFmtId="3" fontId="0" fillId="0" borderId="45" xfId="1" applyNumberFormat="1" applyFont="1" applyFill="1" applyBorder="1" applyAlignment="1">
      <alignment wrapText="1"/>
    </xf>
    <xf numFmtId="3" fontId="0" fillId="0" borderId="28" xfId="0" applyNumberFormat="1" applyBorder="1" applyAlignment="1">
      <alignment wrapText="1"/>
    </xf>
    <xf numFmtId="3" fontId="0" fillId="0" borderId="45" xfId="1" applyNumberFormat="1" applyFont="1" applyBorder="1" applyAlignment="1">
      <alignment wrapText="1"/>
    </xf>
    <xf numFmtId="3" fontId="0" fillId="0" borderId="28" xfId="1" applyNumberFormat="1" applyFont="1" applyBorder="1" applyAlignment="1">
      <alignment wrapText="1"/>
    </xf>
    <xf numFmtId="3" fontId="0" fillId="0" borderId="29" xfId="0" applyNumberFormat="1" applyBorder="1" applyAlignment="1">
      <alignment wrapText="1"/>
    </xf>
    <xf numFmtId="3" fontId="0" fillId="0" borderId="46" xfId="1" applyNumberFormat="1" applyFont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29" xfId="1" applyNumberFormat="1" applyFont="1" applyBorder="1" applyAlignment="1">
      <alignment wrapText="1"/>
    </xf>
    <xf numFmtId="3" fontId="0" fillId="0" borderId="30" xfId="1" applyNumberFormat="1" applyFont="1" applyBorder="1" applyAlignment="1">
      <alignment wrapText="1"/>
    </xf>
    <xf numFmtId="3" fontId="0" fillId="0" borderId="45" xfId="0" applyNumberFormat="1" applyBorder="1" applyAlignment="1">
      <alignment wrapText="1"/>
    </xf>
    <xf numFmtId="3" fontId="0" fillId="0" borderId="30" xfId="0" applyNumberFormat="1" applyBorder="1" applyAlignment="1">
      <alignment wrapText="1"/>
    </xf>
    <xf numFmtId="3" fontId="0" fillId="0" borderId="46" xfId="0" applyNumberFormat="1" applyBorder="1" applyAlignment="1">
      <alignment wrapText="1"/>
    </xf>
    <xf numFmtId="3" fontId="0" fillId="0" borderId="54" xfId="0" applyNumberFormat="1" applyBorder="1" applyAlignment="1">
      <alignment wrapText="1"/>
    </xf>
    <xf numFmtId="3" fontId="0" fillId="0" borderId="54" xfId="1" applyNumberFormat="1" applyFont="1" applyFill="1" applyBorder="1" applyAlignment="1">
      <alignment wrapText="1"/>
    </xf>
    <xf numFmtId="3" fontId="0" fillId="0" borderId="55" xfId="0" applyNumberFormat="1" applyBorder="1" applyAlignment="1">
      <alignment wrapText="1"/>
    </xf>
    <xf numFmtId="3" fontId="0" fillId="0" borderId="56" xfId="0" applyNumberFormat="1" applyBorder="1" applyAlignment="1">
      <alignment wrapText="1"/>
    </xf>
    <xf numFmtId="3" fontId="0" fillId="0" borderId="13" xfId="0" applyNumberFormat="1" applyBorder="1" applyAlignment="1">
      <alignment wrapText="1"/>
    </xf>
    <xf numFmtId="3" fontId="0" fillId="0" borderId="14" xfId="0" applyNumberFormat="1" applyBorder="1" applyAlignment="1">
      <alignment wrapText="1"/>
    </xf>
    <xf numFmtId="165" fontId="0" fillId="0" borderId="0" xfId="0" applyNumberFormat="1"/>
    <xf numFmtId="165" fontId="0" fillId="0" borderId="0" xfId="1" applyNumberFormat="1" applyFont="1" applyBorder="1"/>
    <xf numFmtId="165" fontId="0" fillId="0" borderId="0" xfId="1" applyNumberFormat="1" applyFont="1"/>
    <xf numFmtId="0" fontId="0" fillId="0" borderId="57" xfId="0" applyBorder="1"/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165" fontId="8" fillId="0" borderId="2" xfId="1" applyNumberFormat="1" applyFont="1" applyFill="1" applyBorder="1" applyAlignment="1">
      <alignment horizontal="center" vertical="center" wrapText="1"/>
    </xf>
    <xf numFmtId="165" fontId="0" fillId="0" borderId="57" xfId="1" applyNumberFormat="1" applyFont="1" applyBorder="1"/>
    <xf numFmtId="164" fontId="0" fillId="0" borderId="57" xfId="1" applyNumberFormat="1" applyFont="1" applyBorder="1"/>
    <xf numFmtId="164" fontId="0" fillId="0" borderId="0" xfId="1" applyNumberFormat="1" applyFont="1"/>
    <xf numFmtId="164" fontId="0" fillId="0" borderId="58" xfId="1" applyNumberFormat="1" applyFont="1" applyBorder="1"/>
    <xf numFmtId="165" fontId="0" fillId="0" borderId="0" xfId="1" applyNumberFormat="1" applyFont="1" applyFill="1"/>
    <xf numFmtId="165" fontId="0" fillId="0" borderId="57" xfId="1" applyNumberFormat="1" applyFont="1" applyFill="1" applyBorder="1"/>
    <xf numFmtId="164" fontId="0" fillId="0" borderId="57" xfId="1" applyNumberFormat="1" applyFont="1" applyFill="1" applyBorder="1"/>
    <xf numFmtId="164" fontId="0" fillId="0" borderId="0" xfId="1" applyNumberFormat="1" applyFont="1" applyFill="1"/>
    <xf numFmtId="164" fontId="0" fillId="0" borderId="58" xfId="1" applyNumberFormat="1" applyFont="1" applyFill="1" applyBorder="1"/>
    <xf numFmtId="0" fontId="0" fillId="0" borderId="58" xfId="0" applyBorder="1"/>
    <xf numFmtId="43" fontId="0" fillId="0" borderId="0" xfId="1" applyFont="1"/>
    <xf numFmtId="0" fontId="0" fillId="0" borderId="63" xfId="0" applyBorder="1"/>
    <xf numFmtId="165" fontId="0" fillId="0" borderId="63" xfId="1" applyNumberFormat="1" applyFont="1" applyBorder="1"/>
    <xf numFmtId="0" fontId="0" fillId="0" borderId="64" xfId="0" applyBorder="1"/>
    <xf numFmtId="165" fontId="0" fillId="0" borderId="63" xfId="1" applyNumberFormat="1" applyFont="1" applyFill="1" applyBorder="1"/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15" xfId="0" applyBorder="1" applyAlignment="1">
      <alignment horizontal="center"/>
    </xf>
    <xf numFmtId="165" fontId="0" fillId="0" borderId="15" xfId="1" applyNumberFormat="1" applyFont="1" applyBorder="1" applyAlignment="1"/>
    <xf numFmtId="165" fontId="0" fillId="0" borderId="15" xfId="1" applyNumberFormat="1" applyFont="1" applyFill="1" applyBorder="1" applyAlignment="1"/>
    <xf numFmtId="165" fontId="0" fillId="0" borderId="15" xfId="0" applyNumberFormat="1" applyBorder="1"/>
    <xf numFmtId="165" fontId="0" fillId="0" borderId="15" xfId="1" applyNumberFormat="1" applyFont="1" applyFill="1" applyBorder="1" applyAlignment="1">
      <alignment horizontal="center" vertical="center"/>
    </xf>
    <xf numFmtId="165" fontId="0" fillId="9" borderId="15" xfId="1" applyNumberFormat="1" applyFont="1" applyFill="1" applyBorder="1" applyAlignment="1"/>
    <xf numFmtId="165" fontId="19" fillId="0" borderId="15" xfId="0" applyNumberFormat="1" applyFont="1" applyBorder="1"/>
    <xf numFmtId="165" fontId="20" fillId="10" borderId="15" xfId="1" applyNumberFormat="1" applyFont="1" applyFill="1" applyBorder="1" applyAlignment="1"/>
    <xf numFmtId="0" fontId="0" fillId="7" borderId="15" xfId="0" applyFill="1" applyBorder="1"/>
    <xf numFmtId="165" fontId="21" fillId="0" borderId="15" xfId="0" applyNumberFormat="1" applyFont="1" applyBorder="1"/>
    <xf numFmtId="0" fontId="0" fillId="11" borderId="15" xfId="0" applyFill="1" applyBorder="1"/>
    <xf numFmtId="0" fontId="18" fillId="0" borderId="15" xfId="0" applyFont="1" applyBorder="1" applyAlignment="1">
      <alignment horizontal="center" vertical="center"/>
    </xf>
    <xf numFmtId="43" fontId="0" fillId="0" borderId="15" xfId="1" applyFont="1" applyBorder="1" applyAlignment="1">
      <alignment horizontal="center"/>
    </xf>
    <xf numFmtId="43" fontId="0" fillId="0" borderId="15" xfId="1" applyFont="1" applyFill="1" applyBorder="1" applyAlignment="1"/>
    <xf numFmtId="165" fontId="0" fillId="12" borderId="15" xfId="0" applyNumberFormat="1" applyFill="1" applyBorder="1"/>
    <xf numFmtId="0" fontId="8" fillId="0" borderId="15" xfId="0" applyFont="1" applyBorder="1" applyAlignment="1">
      <alignment horizontal="center" vertical="center" wrapText="1"/>
    </xf>
    <xf numFmtId="164" fontId="0" fillId="0" borderId="15" xfId="0" applyNumberFormat="1" applyBorder="1"/>
    <xf numFmtId="0" fontId="8" fillId="0" borderId="0" xfId="4" applyFont="1" applyAlignment="1">
      <alignment wrapText="1"/>
    </xf>
    <xf numFmtId="0" fontId="11" fillId="0" borderId="0" xfId="4" applyAlignment="1">
      <alignment wrapText="1"/>
    </xf>
    <xf numFmtId="0" fontId="11" fillId="5" borderId="0" xfId="4" applyFill="1" applyAlignment="1">
      <alignment horizontal="center" wrapText="1"/>
    </xf>
    <xf numFmtId="0" fontId="11" fillId="5" borderId="0" xfId="4" applyFill="1" applyAlignment="1">
      <alignment wrapText="1"/>
    </xf>
    <xf numFmtId="0" fontId="11" fillId="0" borderId="0" xfId="4" applyAlignment="1">
      <alignment horizontal="center" vertical="center" wrapText="1"/>
    </xf>
    <xf numFmtId="0" fontId="11" fillId="5" borderId="0" xfId="4" applyFill="1" applyAlignment="1">
      <alignment horizontal="center" vertical="center" wrapText="1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 wrapText="1"/>
    </xf>
    <xf numFmtId="0" fontId="8" fillId="0" borderId="8" xfId="4" applyFont="1" applyBorder="1" applyAlignment="1">
      <alignment horizontal="center" vertical="center" wrapText="1"/>
    </xf>
    <xf numFmtId="0" fontId="8" fillId="5" borderId="8" xfId="4" applyFont="1" applyFill="1" applyBorder="1" applyAlignment="1">
      <alignment horizontal="center" vertical="center" wrapText="1"/>
    </xf>
    <xf numFmtId="0" fontId="8" fillId="5" borderId="9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 wrapText="1"/>
    </xf>
    <xf numFmtId="0" fontId="8" fillId="5" borderId="3" xfId="4" applyFont="1" applyFill="1" applyBorder="1" applyAlignment="1">
      <alignment horizontal="center" vertical="center" wrapText="1"/>
    </xf>
    <xf numFmtId="0" fontId="8" fillId="5" borderId="2" xfId="4" applyFont="1" applyFill="1" applyBorder="1" applyAlignment="1">
      <alignment horizontal="center" vertical="center" wrapText="1"/>
    </xf>
    <xf numFmtId="0" fontId="8" fillId="5" borderId="0" xfId="4" applyFont="1" applyFill="1" applyAlignment="1">
      <alignment horizontal="center" vertical="center" wrapText="1"/>
    </xf>
    <xf numFmtId="0" fontId="11" fillId="0" borderId="10" xfId="4" applyBorder="1" applyAlignment="1">
      <alignment wrapText="1"/>
    </xf>
    <xf numFmtId="0" fontId="11" fillId="0" borderId="11" xfId="4" applyBorder="1" applyAlignment="1">
      <alignment wrapText="1"/>
    </xf>
    <xf numFmtId="0" fontId="11" fillId="0" borderId="12" xfId="4" applyBorder="1" applyAlignment="1">
      <alignment wrapText="1"/>
    </xf>
    <xf numFmtId="0" fontId="11" fillId="0" borderId="15" xfId="4" applyBorder="1" applyAlignment="1">
      <alignment wrapText="1"/>
    </xf>
    <xf numFmtId="0" fontId="11" fillId="0" borderId="68" xfId="4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0" fontId="18" fillId="0" borderId="15" xfId="0" applyFont="1" applyBorder="1" applyAlignment="1">
      <alignment horizontal="left"/>
    </xf>
    <xf numFmtId="0" fontId="0" fillId="0" borderId="15" xfId="0" applyBorder="1" applyAlignment="1">
      <alignment horizontal="left" indent="1"/>
    </xf>
    <xf numFmtId="0" fontId="18" fillId="14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8" fillId="0" borderId="15" xfId="0" applyNumberFormat="1" applyFon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58" xfId="1" applyNumberFormat="1" applyFont="1" applyBorder="1"/>
    <xf numFmtId="165" fontId="0" fillId="0" borderId="0" xfId="1" applyNumberFormat="1" applyFont="1" applyFill="1" applyBorder="1"/>
    <xf numFmtId="165" fontId="0" fillId="0" borderId="65" xfId="1" applyNumberFormat="1" applyFont="1" applyBorder="1"/>
    <xf numFmtId="0" fontId="4" fillId="0" borderId="0" xfId="7"/>
    <xf numFmtId="165" fontId="4" fillId="0" borderId="0" xfId="1" applyNumberFormat="1" applyFont="1"/>
    <xf numFmtId="165" fontId="0" fillId="0" borderId="0" xfId="8" applyNumberFormat="1" applyFont="1"/>
    <xf numFmtId="0" fontId="4" fillId="13" borderId="0" xfId="7" applyFill="1"/>
    <xf numFmtId="0" fontId="0" fillId="15" borderId="0" xfId="0" applyFill="1"/>
    <xf numFmtId="0" fontId="11" fillId="15" borderId="11" xfId="4" applyFill="1" applyBorder="1" applyAlignment="1">
      <alignment wrapText="1"/>
    </xf>
    <xf numFmtId="0" fontId="8" fillId="15" borderId="66" xfId="0" applyFont="1" applyFill="1" applyBorder="1"/>
    <xf numFmtId="0" fontId="4" fillId="15" borderId="0" xfId="7" applyFill="1"/>
    <xf numFmtId="165" fontId="0" fillId="15" borderId="0" xfId="8" applyNumberFormat="1" applyFont="1" applyFill="1"/>
    <xf numFmtId="165" fontId="0" fillId="15" borderId="0" xfId="1" applyNumberFormat="1" applyFont="1" applyFill="1"/>
    <xf numFmtId="0" fontId="11" fillId="15" borderId="12" xfId="4" applyFill="1" applyBorder="1" applyAlignment="1">
      <alignment wrapText="1"/>
    </xf>
    <xf numFmtId="0" fontId="8" fillId="15" borderId="0" xfId="0" applyFont="1" applyFill="1"/>
    <xf numFmtId="0" fontId="8" fillId="0" borderId="0" xfId="7" applyFont="1"/>
    <xf numFmtId="165" fontId="0" fillId="9" borderId="0" xfId="8" applyNumberFormat="1" applyFont="1" applyFill="1"/>
    <xf numFmtId="165" fontId="4" fillId="0" borderId="0" xfId="7" applyNumberFormat="1"/>
    <xf numFmtId="0" fontId="8" fillId="0" borderId="66" xfId="7" applyFont="1" applyBorder="1"/>
    <xf numFmtId="0" fontId="4" fillId="5" borderId="0" xfId="7" applyFill="1"/>
    <xf numFmtId="167" fontId="4" fillId="0" borderId="0" xfId="7" applyNumberFormat="1"/>
    <xf numFmtId="43" fontId="4" fillId="0" borderId="0" xfId="7" applyNumberFormat="1"/>
    <xf numFmtId="43" fontId="0" fillId="0" borderId="0" xfId="8" applyFont="1"/>
    <xf numFmtId="0" fontId="4" fillId="0" borderId="15" xfId="7" applyBorder="1"/>
    <xf numFmtId="165" fontId="0" fillId="0" borderId="15" xfId="8" applyNumberFormat="1" applyFont="1" applyBorder="1"/>
    <xf numFmtId="165" fontId="0" fillId="0" borderId="15" xfId="1" applyNumberFormat="1" applyFont="1" applyBorder="1"/>
    <xf numFmtId="165" fontId="0" fillId="13" borderId="0" xfId="8" applyNumberFormat="1" applyFont="1" applyFill="1"/>
    <xf numFmtId="164" fontId="0" fillId="0" borderId="15" xfId="8" applyNumberFormat="1" applyFont="1" applyBorder="1"/>
    <xf numFmtId="165" fontId="4" fillId="13" borderId="0" xfId="7" applyNumberFormat="1" applyFill="1"/>
    <xf numFmtId="167" fontId="4" fillId="0" borderId="15" xfId="7" applyNumberFormat="1" applyBorder="1"/>
    <xf numFmtId="165" fontId="18" fillId="13" borderId="0" xfId="8" applyNumberFormat="1" applyFont="1" applyFill="1"/>
    <xf numFmtId="165" fontId="8" fillId="5" borderId="3" xfId="1" applyNumberFormat="1" applyFont="1" applyFill="1" applyBorder="1" applyAlignment="1">
      <alignment horizontal="center" vertical="center" wrapText="1"/>
    </xf>
    <xf numFmtId="165" fontId="8" fillId="5" borderId="1" xfId="1" applyNumberFormat="1" applyFont="1" applyFill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 wrapText="1"/>
    </xf>
    <xf numFmtId="165" fontId="8" fillId="0" borderId="2" xfId="1" applyNumberFormat="1" applyFont="1" applyBorder="1" applyAlignment="1">
      <alignment horizontal="center" vertical="center" wrapText="1"/>
    </xf>
    <xf numFmtId="165" fontId="8" fillId="0" borderId="3" xfId="1" applyNumberFormat="1" applyFont="1" applyBorder="1" applyAlignment="1">
      <alignment horizontal="center" vertical="center" wrapText="1"/>
    </xf>
    <xf numFmtId="165" fontId="8" fillId="0" borderId="8" xfId="1" applyNumberFormat="1" applyFont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165" fontId="11" fillId="0" borderId="5" xfId="1" applyNumberFormat="1" applyFont="1" applyBorder="1" applyAlignment="1">
      <alignment horizontal="center" vertical="center" wrapText="1"/>
    </xf>
    <xf numFmtId="165" fontId="11" fillId="0" borderId="0" xfId="1" applyNumberFormat="1" applyFont="1" applyAlignment="1">
      <alignment horizontal="center" vertical="center" wrapText="1"/>
    </xf>
    <xf numFmtId="165" fontId="11" fillId="0" borderId="4" xfId="1" applyNumberFormat="1" applyFont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3" fontId="0" fillId="0" borderId="69" xfId="0" applyNumberFormat="1" applyBorder="1"/>
    <xf numFmtId="3" fontId="0" fillId="0" borderId="5" xfId="0" applyNumberFormat="1" applyBorder="1"/>
    <xf numFmtId="3" fontId="0" fillId="0" borderId="16" xfId="0" applyNumberFormat="1" applyBorder="1"/>
    <xf numFmtId="3" fontId="0" fillId="0" borderId="3" xfId="0" applyNumberFormat="1" applyBorder="1"/>
    <xf numFmtId="0" fontId="0" fillId="0" borderId="16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3" fontId="0" fillId="2" borderId="5" xfId="0" applyNumberFormat="1" applyFill="1" applyBorder="1"/>
    <xf numFmtId="0" fontId="0" fillId="2" borderId="0" xfId="0" applyFill="1"/>
    <xf numFmtId="3" fontId="0" fillId="0" borderId="9" xfId="0" applyNumberFormat="1" applyBorder="1"/>
    <xf numFmtId="3" fontId="0" fillId="0" borderId="8" xfId="0" applyNumberFormat="1" applyBorder="1"/>
    <xf numFmtId="3" fontId="0" fillId="0" borderId="7" xfId="0" applyNumberFormat="1" applyBorder="1"/>
    <xf numFmtId="3" fontId="0" fillId="0" borderId="2" xfId="0" applyNumberFormat="1" applyBorder="1"/>
    <xf numFmtId="3" fontId="8" fillId="0" borderId="0" xfId="0" applyNumberFormat="1" applyFont="1"/>
    <xf numFmtId="168" fontId="0" fillId="0" borderId="9" xfId="6" applyNumberFormat="1" applyFont="1" applyBorder="1"/>
    <xf numFmtId="168" fontId="0" fillId="0" borderId="8" xfId="6" applyNumberFormat="1" applyFont="1" applyBorder="1"/>
    <xf numFmtId="168" fontId="0" fillId="0" borderId="7" xfId="6" applyNumberFormat="1" applyFont="1" applyBorder="1"/>
    <xf numFmtId="168" fontId="0" fillId="0" borderId="69" xfId="6" applyNumberFormat="1" applyFont="1" applyBorder="1"/>
    <xf numFmtId="168" fontId="0" fillId="0" borderId="5" xfId="6" applyNumberFormat="1" applyFont="1" applyBorder="1"/>
    <xf numFmtId="168" fontId="0" fillId="0" borderId="0" xfId="6" applyNumberFormat="1" applyFont="1" applyBorder="1"/>
    <xf numFmtId="168" fontId="0" fillId="0" borderId="16" xfId="6" applyNumberFormat="1" applyFont="1" applyBorder="1"/>
    <xf numFmtId="168" fontId="0" fillId="0" borderId="3" xfId="6" applyNumberFormat="1" applyFont="1" applyBorder="1"/>
    <xf numFmtId="168" fontId="0" fillId="0" borderId="2" xfId="6" applyNumberFormat="1" applyFont="1" applyBorder="1"/>
    <xf numFmtId="0" fontId="0" fillId="0" borderId="16" xfId="0" applyBorder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pivotButton="1"/>
    <xf numFmtId="0" fontId="8" fillId="16" borderId="15" xfId="0" applyFont="1" applyFill="1" applyBorder="1" applyAlignment="1">
      <alignment horizontal="center" vertical="center" wrapText="1"/>
    </xf>
    <xf numFmtId="3" fontId="0" fillId="0" borderId="15" xfId="0" applyNumberFormat="1" applyBorder="1"/>
    <xf numFmtId="3" fontId="18" fillId="0" borderId="15" xfId="0" applyNumberFormat="1" applyFont="1" applyBorder="1"/>
    <xf numFmtId="0" fontId="18" fillId="14" borderId="16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left" indent="1"/>
    </xf>
    <xf numFmtId="0" fontId="0" fillId="0" borderId="15" xfId="0" applyBorder="1" applyAlignment="1">
      <alignment horizontal="left" indent="2"/>
    </xf>
    <xf numFmtId="3" fontId="0" fillId="2" borderId="15" xfId="0" applyNumberFormat="1" applyFill="1" applyBorder="1"/>
    <xf numFmtId="3" fontId="18" fillId="0" borderId="0" xfId="0" applyNumberFormat="1" applyFont="1"/>
    <xf numFmtId="0" fontId="18" fillId="0" borderId="0" xfId="0" applyFont="1"/>
    <xf numFmtId="3" fontId="0" fillId="0" borderId="17" xfId="0" applyNumberForma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18" fillId="14" borderId="4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wrapText="1"/>
    </xf>
    <xf numFmtId="0" fontId="0" fillId="0" borderId="17" xfId="0" applyBorder="1" applyAlignment="1">
      <alignment horizontal="center"/>
    </xf>
    <xf numFmtId="3" fontId="18" fillId="0" borderId="30" xfId="0" applyNumberFormat="1" applyFont="1" applyBorder="1" applyAlignment="1">
      <alignment horizontal="center"/>
    </xf>
    <xf numFmtId="0" fontId="18" fillId="0" borderId="13" xfId="0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8" fillId="0" borderId="70" xfId="0" applyFont="1" applyBorder="1" applyAlignment="1">
      <alignment horizontal="left" wrapText="1"/>
    </xf>
    <xf numFmtId="3" fontId="18" fillId="0" borderId="17" xfId="0" applyNumberFormat="1" applyFont="1" applyBorder="1" applyAlignment="1">
      <alignment horizontal="center"/>
    </xf>
    <xf numFmtId="0" fontId="18" fillId="14" borderId="71" xfId="0" applyFont="1" applyFill="1" applyBorder="1" applyAlignment="1">
      <alignment horizontal="center" vertical="center" wrapText="1"/>
    </xf>
    <xf numFmtId="0" fontId="18" fillId="14" borderId="50" xfId="0" applyFont="1" applyFill="1" applyBorder="1" applyAlignment="1">
      <alignment horizontal="center" vertical="center" wrapText="1"/>
    </xf>
    <xf numFmtId="0" fontId="18" fillId="14" borderId="51" xfId="0" applyFont="1" applyFill="1" applyBorder="1" applyAlignment="1">
      <alignment horizontal="center" vertical="center" wrapText="1"/>
    </xf>
    <xf numFmtId="3" fontId="18" fillId="0" borderId="67" xfId="0" applyNumberFormat="1" applyFont="1" applyBorder="1" applyAlignment="1">
      <alignment horizontal="center"/>
    </xf>
    <xf numFmtId="3" fontId="0" fillId="0" borderId="44" xfId="0" applyNumberFormat="1" applyBorder="1" applyAlignment="1">
      <alignment horizontal="center"/>
    </xf>
    <xf numFmtId="3" fontId="18" fillId="0" borderId="44" xfId="0" applyNumberFormat="1" applyFont="1" applyBorder="1" applyAlignment="1">
      <alignment horizontal="center"/>
    </xf>
    <xf numFmtId="3" fontId="18" fillId="0" borderId="56" xfId="0" applyNumberFormat="1" applyFont="1" applyBorder="1" applyAlignment="1">
      <alignment horizontal="center"/>
    </xf>
    <xf numFmtId="0" fontId="18" fillId="14" borderId="49" xfId="0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5" xfId="0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3" fontId="18" fillId="0" borderId="70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3" fontId="18" fillId="0" borderId="14" xfId="0" applyNumberFormat="1" applyFont="1" applyBorder="1" applyAlignment="1">
      <alignment horizontal="center"/>
    </xf>
    <xf numFmtId="3" fontId="18" fillId="0" borderId="47" xfId="0" applyNumberFormat="1" applyFont="1" applyBorder="1" applyAlignment="1">
      <alignment horizontal="center"/>
    </xf>
    <xf numFmtId="3" fontId="0" fillId="0" borderId="28" xfId="0" applyNumberFormat="1" applyBorder="1" applyAlignment="1">
      <alignment horizontal="center"/>
    </xf>
    <xf numFmtId="3" fontId="18" fillId="0" borderId="28" xfId="0" applyNumberFormat="1" applyFont="1" applyBorder="1" applyAlignment="1">
      <alignment horizontal="center"/>
    </xf>
    <xf numFmtId="3" fontId="18" fillId="0" borderId="29" xfId="0" applyNumberFormat="1" applyFont="1" applyBorder="1" applyAlignment="1">
      <alignment horizontal="center"/>
    </xf>
    <xf numFmtId="0" fontId="18" fillId="14" borderId="1" xfId="0" applyFont="1" applyFill="1" applyBorder="1" applyAlignment="1">
      <alignment horizontal="center" vertical="center" wrapText="1"/>
    </xf>
    <xf numFmtId="0" fontId="18" fillId="0" borderId="72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18" fillId="0" borderId="73" xfId="0" applyFont="1" applyBorder="1" applyAlignment="1">
      <alignment horizontal="left" wrapText="1"/>
    </xf>
    <xf numFmtId="0" fontId="18" fillId="14" borderId="52" xfId="0" applyFont="1" applyFill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/>
    </xf>
    <xf numFmtId="0" fontId="0" fillId="16" borderId="45" xfId="0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3" fontId="8" fillId="0" borderId="63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8" fillId="0" borderId="11" xfId="0" applyNumberFormat="1" applyFont="1" applyBorder="1" applyAlignment="1">
      <alignment horizontal="center"/>
    </xf>
    <xf numFmtId="3" fontId="8" fillId="0" borderId="74" xfId="0" applyNumberFormat="1" applyFont="1" applyBorder="1" applyAlignment="1">
      <alignment horizontal="center"/>
    </xf>
    <xf numFmtId="3" fontId="8" fillId="0" borderId="47" xfId="0" applyNumberFormat="1" applyFont="1" applyBorder="1" applyAlignment="1">
      <alignment horizontal="center"/>
    </xf>
    <xf numFmtId="3" fontId="3" fillId="0" borderId="28" xfId="0" applyNumberFormat="1" applyFont="1" applyBorder="1" applyAlignment="1">
      <alignment horizontal="center"/>
    </xf>
    <xf numFmtId="3" fontId="8" fillId="0" borderId="28" xfId="0" applyNumberFormat="1" applyFont="1" applyBorder="1" applyAlignment="1">
      <alignment horizontal="center"/>
    </xf>
    <xf numFmtId="3" fontId="8" fillId="0" borderId="29" xfId="0" applyNumberFormat="1" applyFont="1" applyBorder="1" applyAlignment="1">
      <alignment horizontal="center"/>
    </xf>
    <xf numFmtId="3" fontId="18" fillId="0" borderId="48" xfId="0" applyNumberFormat="1" applyFont="1" applyBorder="1" applyAlignment="1">
      <alignment horizontal="center"/>
    </xf>
    <xf numFmtId="3" fontId="0" fillId="0" borderId="45" xfId="0" applyNumberFormat="1" applyBorder="1" applyAlignment="1">
      <alignment horizontal="center"/>
    </xf>
    <xf numFmtId="3" fontId="18" fillId="0" borderId="45" xfId="0" applyNumberFormat="1" applyFont="1" applyBorder="1" applyAlignment="1">
      <alignment horizontal="center"/>
    </xf>
    <xf numFmtId="3" fontId="18" fillId="0" borderId="46" xfId="0" applyNumberFormat="1" applyFont="1" applyBorder="1" applyAlignment="1">
      <alignment horizontal="center"/>
    </xf>
    <xf numFmtId="3" fontId="18" fillId="0" borderId="53" xfId="0" applyNumberFormat="1" applyFon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3" fontId="18" fillId="0" borderId="54" xfId="0" applyNumberFormat="1" applyFont="1" applyBorder="1" applyAlignment="1">
      <alignment horizontal="center"/>
    </xf>
    <xf numFmtId="3" fontId="18" fillId="0" borderId="55" xfId="0" applyNumberFormat="1" applyFont="1" applyBorder="1" applyAlignment="1">
      <alignment horizontal="center"/>
    </xf>
    <xf numFmtId="1" fontId="18" fillId="0" borderId="48" xfId="0" applyNumberFormat="1" applyFont="1" applyBorder="1" applyAlignment="1">
      <alignment horizontal="center"/>
    </xf>
    <xf numFmtId="1" fontId="18" fillId="0" borderId="70" xfId="0" applyNumberFormat="1" applyFont="1" applyBorder="1" applyAlignment="1">
      <alignment horizontal="center"/>
    </xf>
    <xf numFmtId="1" fontId="18" fillId="0" borderId="67" xfId="0" applyNumberFormat="1" applyFont="1" applyBorder="1" applyAlignment="1">
      <alignment horizontal="center"/>
    </xf>
    <xf numFmtId="1" fontId="18" fillId="0" borderId="17" xfId="0" applyNumberFormat="1" applyFont="1" applyBorder="1" applyAlignment="1">
      <alignment horizontal="center"/>
    </xf>
    <xf numFmtId="1" fontId="18" fillId="0" borderId="44" xfId="0" applyNumberFormat="1" applyFont="1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4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18" fillId="0" borderId="45" xfId="0" applyNumberFormat="1" applyFont="1" applyBorder="1" applyAlignment="1">
      <alignment horizontal="center"/>
    </xf>
    <xf numFmtId="1" fontId="18" fillId="0" borderId="13" xfId="0" applyNumberFormat="1" applyFont="1" applyBorder="1" applyAlignment="1">
      <alignment horizontal="center"/>
    </xf>
    <xf numFmtId="1" fontId="18" fillId="0" borderId="46" xfId="0" applyNumberFormat="1" applyFont="1" applyBorder="1" applyAlignment="1">
      <alignment horizontal="center"/>
    </xf>
    <xf numFmtId="1" fontId="18" fillId="0" borderId="14" xfId="0" applyNumberFormat="1" applyFont="1" applyBorder="1" applyAlignment="1">
      <alignment horizontal="center"/>
    </xf>
    <xf numFmtId="1" fontId="18" fillId="0" borderId="56" xfId="0" applyNumberFormat="1" applyFont="1" applyBorder="1" applyAlignment="1">
      <alignment horizontal="center"/>
    </xf>
    <xf numFmtId="1" fontId="18" fillId="0" borderId="30" xfId="0" applyNumberFormat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1" fontId="8" fillId="0" borderId="44" xfId="0" applyNumberFormat="1" applyFont="1" applyBorder="1" applyAlignment="1">
      <alignment horizontal="center"/>
    </xf>
    <xf numFmtId="1" fontId="8" fillId="0" borderId="45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/>
    </xf>
    <xf numFmtId="1" fontId="8" fillId="0" borderId="46" xfId="0" applyNumberFormat="1" applyFont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1" fontId="8" fillId="0" borderId="48" xfId="0" applyNumberFormat="1" applyFont="1" applyBorder="1" applyAlignment="1">
      <alignment horizontal="center"/>
    </xf>
    <xf numFmtId="0" fontId="8" fillId="0" borderId="72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73" xfId="0" applyFont="1" applyBorder="1" applyAlignment="1">
      <alignment wrapText="1"/>
    </xf>
    <xf numFmtId="0" fontId="8" fillId="0" borderId="47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1" fontId="8" fillId="0" borderId="63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" fontId="8" fillId="0" borderId="74" xfId="0" applyNumberFormat="1" applyFont="1" applyBorder="1" applyAlignment="1">
      <alignment horizontal="center"/>
    </xf>
    <xf numFmtId="1" fontId="8" fillId="0" borderId="47" xfId="0" applyNumberFormat="1" applyFont="1" applyBorder="1" applyAlignment="1">
      <alignment horizontal="center"/>
    </xf>
    <xf numFmtId="1" fontId="8" fillId="0" borderId="28" xfId="0" applyNumberFormat="1" applyFont="1" applyBorder="1" applyAlignment="1">
      <alignment horizontal="center"/>
    </xf>
    <xf numFmtId="1" fontId="8" fillId="0" borderId="29" xfId="0" applyNumberFormat="1" applyFont="1" applyBorder="1" applyAlignment="1">
      <alignment horizontal="center"/>
    </xf>
    <xf numFmtId="3" fontId="0" fillId="2" borderId="0" xfId="0" applyNumberFormat="1" applyFill="1"/>
    <xf numFmtId="165" fontId="3" fillId="0" borderId="15" xfId="1" applyNumberFormat="1" applyFont="1" applyBorder="1"/>
    <xf numFmtId="165" fontId="3" fillId="0" borderId="0" xfId="1" applyNumberFormat="1" applyFont="1"/>
    <xf numFmtId="165" fontId="3" fillId="13" borderId="0" xfId="1" applyNumberFormat="1" applyFont="1" applyFill="1"/>
    <xf numFmtId="165" fontId="3" fillId="5" borderId="0" xfId="1" applyNumberFormat="1" applyFont="1" applyFill="1"/>
    <xf numFmtId="165" fontId="3" fillId="15" borderId="0" xfId="1" applyNumberFormat="1" applyFont="1" applyFill="1"/>
    <xf numFmtId="0" fontId="3" fillId="3" borderId="0" xfId="0" applyFont="1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/>
    <xf numFmtId="0" fontId="3" fillId="5" borderId="15" xfId="0" applyFont="1" applyFill="1" applyBorder="1"/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2" borderId="15" xfId="0" applyFill="1" applyBorder="1" applyAlignment="1">
      <alignment wrapText="1"/>
    </xf>
    <xf numFmtId="0" fontId="0" fillId="17" borderId="15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23" xfId="0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0" fillId="2" borderId="18" xfId="0" applyFill="1" applyBorder="1" applyAlignment="1">
      <alignment horizontal="center" wrapText="1"/>
    </xf>
    <xf numFmtId="165" fontId="0" fillId="2" borderId="15" xfId="0" applyNumberFormat="1" applyFill="1" applyBorder="1"/>
    <xf numFmtId="164" fontId="0" fillId="2" borderId="15" xfId="0" applyNumberFormat="1" applyFill="1" applyBorder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2" fillId="0" borderId="0" xfId="7" applyFont="1"/>
    <xf numFmtId="0" fontId="15" fillId="0" borderId="3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8" fillId="0" borderId="63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wrapText="1"/>
    </xf>
    <xf numFmtId="165" fontId="8" fillId="0" borderId="2" xfId="1" applyNumberFormat="1" applyFont="1" applyBorder="1" applyAlignment="1">
      <alignment horizontal="center" wrapText="1"/>
    </xf>
    <xf numFmtId="165" fontId="8" fillId="0" borderId="3" xfId="1" applyNumberFormat="1" applyFont="1" applyBorder="1" applyAlignment="1">
      <alignment horizontal="center" wrapText="1"/>
    </xf>
    <xf numFmtId="0" fontId="8" fillId="0" borderId="2" xfId="4" applyFont="1" applyBorder="1" applyAlignment="1">
      <alignment horizontal="center" wrapText="1"/>
    </xf>
    <xf numFmtId="0" fontId="8" fillId="0" borderId="3" xfId="4" applyFont="1" applyBorder="1" applyAlignment="1">
      <alignment horizontal="center" wrapText="1"/>
    </xf>
    <xf numFmtId="165" fontId="11" fillId="0" borderId="1" xfId="1" applyNumberFormat="1" applyBorder="1" applyAlignment="1">
      <alignment horizontal="center" vertical="center" wrapText="1"/>
    </xf>
    <xf numFmtId="165" fontId="11" fillId="0" borderId="3" xfId="1" applyNumberFormat="1" applyFont="1" applyBorder="1" applyAlignment="1">
      <alignment horizontal="center" vertical="center" wrapText="1"/>
    </xf>
    <xf numFmtId="165" fontId="11" fillId="0" borderId="2" xfId="1" applyNumberFormat="1" applyBorder="1" applyAlignment="1">
      <alignment horizontal="center" vertical="center" wrapText="1"/>
    </xf>
    <xf numFmtId="165" fontId="11" fillId="0" borderId="3" xfId="1" applyNumberFormat="1" applyBorder="1" applyAlignment="1">
      <alignment horizontal="center" vertical="center" wrapText="1"/>
    </xf>
    <xf numFmtId="0" fontId="11" fillId="5" borderId="1" xfId="4" applyFill="1" applyBorder="1" applyAlignment="1">
      <alignment horizontal="center" vertical="center" wrapText="1"/>
    </xf>
    <xf numFmtId="0" fontId="11" fillId="5" borderId="2" xfId="4" applyFill="1" applyBorder="1" applyAlignment="1">
      <alignment horizontal="center" vertical="center" wrapText="1"/>
    </xf>
    <xf numFmtId="0" fontId="11" fillId="5" borderId="3" xfId="4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0" fillId="0" borderId="54" xfId="0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6" fillId="17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 wrapText="1"/>
    </xf>
    <xf numFmtId="0" fontId="22" fillId="16" borderId="15" xfId="0" applyFont="1" applyFill="1" applyBorder="1" applyAlignment="1">
      <alignment horizontal="center" vertical="center" wrapText="1"/>
    </xf>
    <xf numFmtId="0" fontId="1" fillId="16" borderId="6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5" xfId="4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1" fillId="17" borderId="15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23" fillId="17" borderId="15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18" xfId="0" applyFont="1" applyFill="1" applyBorder="1" applyAlignment="1">
      <alignment horizontal="center" vertical="center" wrapText="1"/>
    </xf>
    <xf numFmtId="0" fontId="1" fillId="17" borderId="23" xfId="0" applyFont="1" applyFill="1" applyBorder="1" applyAlignment="1">
      <alignment horizontal="center" vertical="center" wrapText="1"/>
    </xf>
    <xf numFmtId="165" fontId="1" fillId="17" borderId="15" xfId="0" applyNumberFormat="1" applyFont="1" applyFill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25" fillId="17" borderId="15" xfId="0" applyFont="1" applyFill="1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/>
    </xf>
    <xf numFmtId="166" fontId="25" fillId="0" borderId="15" xfId="0" applyNumberFormat="1" applyFont="1" applyBorder="1" applyAlignment="1">
      <alignment horizontal="center" vertical="center"/>
    </xf>
    <xf numFmtId="166" fontId="1" fillId="0" borderId="15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66" fontId="23" fillId="0" borderId="15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17" borderId="15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7" applyFont="1" applyAlignment="1">
      <alignment horizontal="center" vertical="center"/>
    </xf>
    <xf numFmtId="0" fontId="1" fillId="0" borderId="66" xfId="7" applyFont="1" applyBorder="1" applyAlignment="1">
      <alignment horizontal="center" vertical="center"/>
    </xf>
    <xf numFmtId="0" fontId="1" fillId="0" borderId="11" xfId="4" applyFont="1" applyBorder="1" applyAlignment="1">
      <alignment horizontal="center" vertical="center" wrapText="1"/>
    </xf>
    <xf numFmtId="0" fontId="1" fillId="18" borderId="15" xfId="4" applyFont="1" applyFill="1" applyBorder="1" applyAlignment="1">
      <alignment horizontal="center" vertical="center" wrapText="1"/>
    </xf>
    <xf numFmtId="0" fontId="23" fillId="18" borderId="15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17" borderId="15" xfId="0" applyFill="1" applyBorder="1"/>
    <xf numFmtId="164" fontId="0" fillId="17" borderId="15" xfId="0" applyNumberFormat="1" applyFill="1" applyBorder="1"/>
  </cellXfs>
  <cellStyles count="9">
    <cellStyle name="Normal 2" xfId="2" xr:uid="{0BF699D7-947A-4C7B-97F9-AAD9F375786C}"/>
    <cellStyle name="Обычный" xfId="0" builtinId="0"/>
    <cellStyle name="Обычный 2" xfId="3" xr:uid="{9C72A0EA-C95C-46F9-8E04-1DFD4D933AC5}"/>
    <cellStyle name="Обычный 2 2" xfId="4" xr:uid="{156DFBDE-BC44-48E1-99F7-71282D447C6B}"/>
    <cellStyle name="Обычный 2 3" xfId="7" xr:uid="{9F61366B-BC25-4C19-B3E9-3B6B4083EE85}"/>
    <cellStyle name="Процентный" xfId="6" builtinId="5"/>
    <cellStyle name="Финансовый" xfId="1" builtinId="3"/>
    <cellStyle name="Финансовый 2" xfId="5" xr:uid="{23797DAA-2D1C-420B-8A08-61E012A8A9B8}"/>
    <cellStyle name="Финансовый 2 2" xfId="8" xr:uid="{41ACBB7B-8D28-4270-9EAA-7CAC20F88407}"/>
  </cellStyles>
  <dxfs count="77"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alignment wrapText="1"/>
    </dxf>
    <dxf>
      <alignment wrapText="1"/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numFmt numFmtId="3" formatCode="#,##0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ryukova, Anna" id="{22DB85E7-37EA-426C-A631-1B9518DDC50E}" userId="S::anna.biryukova@effem.com::391e7b17-88f3-4966-8f16-140c8c11caa0" providerId="AD"/>
  <person displayName="Kuzmina, Rozaliya" id="{6210F70F-0D40-46C6-A1E4-86F57C39FF76}" userId="S::rozalia.kuzmina@effem.com::802ea2ca-6f4d-4741-9d15-befe3185014e" providerId="AD"/>
  <person displayName="Karakulina, Natalia" id="{E1BFBCE7-BC33-454E-B661-34C9DDEE260E}" userId="S::natalia.karakulina@effem.com::298e19a1-727d-4f1d-964b-e80216d4bbf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bunov, Mikhail" refreshedDate="46114.740496064813" createdVersion="8" refreshedVersion="8" minRefreshableVersion="3" recordCount="786" xr:uid="{047168D7-B375-4DAC-AC2F-93A752908227}">
  <cacheSource type="worksheet">
    <worksheetSource ref="A1:Q1048576" sheet="PIVOT"/>
  </cacheSource>
  <cacheFields count="17">
    <cacheField name="District" numFmtId="0">
      <sharedItems containsBlank="1"/>
    </cacheField>
    <cacheField name="Region / HSR" numFmtId="0">
      <sharedItems containsBlank="1" count="7">
        <s v="HSR Moscow"/>
        <s v="HSR Center"/>
        <s v="HSR RFE"/>
        <s v="HSR Siberia"/>
        <s v="HSR SOUTH"/>
        <s v="HSR NOR"/>
        <m/>
      </sharedItems>
    </cacheField>
    <cacheField name="Manager" numFmtId="0">
      <sharedItems containsBlank="1" count="29">
        <s v="DDM MOS Sladkaay Zhizn"/>
        <s v="ASM MOS Food Trade+Sorso"/>
        <s v="RADM Moscow"/>
        <s v="TDM MOS Grocery RKA+NA Moscow North"/>
        <s v="TDM MOS Grocery RKA+NA Moscow South"/>
        <s v="RADM CEN Grocery RKA+Monetka,Krasnoe i beloe, Kiro"/>
        <s v="ASM CEN Fud-trade+Reid-21"/>
        <s v="DDM CEN"/>
        <s v="TDM CEN Samara"/>
        <s v="TDM CEN Chelyabinsk"/>
        <s v="ASM RFE Grocery+SPT Khabarovsk"/>
        <s v="ASM RFE Grocery+SPT Irkutsk"/>
        <s v="RDM RFE Grocery SS"/>
        <s v="ASM RFE Grocery+SPT Vladivostok"/>
        <s v="SPT Manager RFE"/>
        <s v="TDM Siberia"/>
        <s v="RADM Siberia"/>
        <s v="ASM SIB Krasnoyarsk+Abakan+Tuva+Kuzbass+Norilsk"/>
        <s v="ASM SOU Krasnodar"/>
        <s v="ASM SOU Voronezh"/>
        <s v="DDM SOU Rostov-On-Don"/>
        <s v="TDM SOUTH 1"/>
        <s v="TDM SOUTH 2"/>
        <s v="ASM NOR Vector Dendi"/>
        <s v="DDM NOR Grocery+SPT Spb Nov Pskov"/>
        <s v="TDM NOR Action"/>
        <s v="TDM NOR Grocery"/>
        <m/>
        <s v="???" u="1"/>
      </sharedItems>
    </cacheField>
    <cacheField name="Territory" numFmtId="0">
      <sharedItems containsBlank="1" count="99">
        <s v="TSL MOS N.Novgorod"/>
        <s v="TSL MOS SPT Moscow Play Sorso"/>
        <s v="TSL MOS Cheboksary"/>
        <s v="TSL MOS  Moscow 2 Sladkaya Zhizn"/>
        <s v="TSL MOS Grocery Mos Obl AS-Market"/>
        <s v="TSL MOS  Moscow 1 Sladkaya Zhizn"/>
        <s v="RAL MOS SPT RKA"/>
        <s v="RAL MOS N.Novgorod"/>
        <s v="KADL MOS NA Vladimir"/>
        <s v="KADL MOS Grocery RKA+NA Tula+Ryazan-Kaluga"/>
        <s v="KADL MOS NA N.Novgorod"/>
        <s v="KADL MOS Grocery RKA+NA DiscSuper Mos Obl North 2"/>
        <s v="KADL MOS Grocery RKA+NA DiscSuper Moscow East"/>
        <s v="KADL MOS Grocery RKA+NA Hyper Moscow North"/>
        <s v="KADL MOS Grocery Dixy ( вакансия)"/>
        <s v="KADL MOS Grocery Tander South"/>
        <s v="JRAM Verniy"/>
        <s v="KADL MOS WEST"/>
        <s v="TSL CEN Grocery+SPT+NA Kurgan"/>
        <s v="TSL CEN Grocery + SPT Samara 2"/>
        <s v="TSL CEN Kazan"/>
        <s v="TSL CEN Ufa"/>
        <s v="TSL CEN Tyumen"/>
        <s v="RAL CEN Gulliver+Pobeda"/>
        <s v="KADL CEN Kazan"/>
        <s v="KADL CEN NA Chelyabinsk"/>
        <s v="KADL CEN NA Ekaterinburg"/>
        <s v="KADL CEN NA Ekaterinburg1"/>
        <s v="KADL CEN NA Perm"/>
        <s v="KADL CEN Samara"/>
        <s v="KADL CEN Ufa"/>
        <s v="TSL CEN NA Orenburg"/>
        <s v="TSL CEN Grocery Perm"/>
        <s v="TSL CEN Grocery DiscSuper Ekaterinburg"/>
        <s v="RAL CEN Grocery RKA Ekaterinburg"/>
        <s v="RAL CEN Grocery RKA Kirovsky Ekaterinburg"/>
        <s v="TSL CEN Grocery+SPT+NA Khanty-Mansiysk"/>
        <s v="TSL CEN Chelyabinsk+Mgn"/>
        <s v="RAL CEN Grocery RKA Monetka Ekaterinburg"/>
        <s v="RAL RFE Grocery Khabarovsk"/>
        <s v="TSL RFE Grocery+SPT Blagoveschensk"/>
        <s v="RAL RFE Grocery Irkutsk"/>
        <s v="RAL RFE SPT Irkutsk"/>
        <s v="TSL RFE Angarsk"/>
        <s v="Virtual Territory RFE"/>
        <s v="TSL RFE Grocery+SPT Komsomolsk-on-Amur"/>
        <s v="TSL RFE Grocery+SPT Chita"/>
        <s v="TSL RFE Grocery+SPT Ussuriysk"/>
        <s v="TSL RFE Grocery+SPT Sakhalin PetCare"/>
        <s v="RAL RFE Grocery Vladivostok"/>
        <s v="TSL RFE Grocery+SPT Artem"/>
        <s v="TSL RFE Grocery+SPT Yakutsk"/>
        <s v="KADL FE"/>
        <s v="Virtual Territory RFE SPT"/>
        <s v="KADL SIB Pyaterochka"/>
        <s v="KADL SIB Tander"/>
        <s v="KADL SIB NA Hyper"/>
        <s v="RAL Yarche"/>
        <s v="KADL SIB RKA"/>
        <s v="RAL Marya-Ra"/>
        <s v="RAL Komandor &amp; Khoroshiy"/>
        <s v="TSL SIB Krasnoyarsk-Norilsk"/>
        <s v="TSL SIB SPT Novosibirsk"/>
        <s v="TSL SIB Barnaul"/>
        <s v="TSL SIB Novosibirsk"/>
        <s v="TSL SIB Omsk+Tomsk+Kuzbass"/>
        <s v="TSL SOU Krasnodar 1"/>
        <s v="RAL SOU Voronezh"/>
        <s v="TSL SOU Voronezh"/>
        <s v="TSL SOU Crimea 1"/>
        <s v="TSL SOU Crimea 2"/>
        <s v="TSL SOU Krasnodar 2"/>
        <s v="TSL SOU Rostov-On-Don 1"/>
        <s v="TSL SOU Sochi"/>
        <s v="KADL SOU Krasnodar"/>
        <s v="KADL SOU Volgograd - Astrakhan"/>
        <s v="KADL SOU Pyaterochka"/>
        <s v="KADL SOU KMV 2"/>
        <s v="KADL SOU Rostov-On-Don"/>
        <s v="KADL SOU Saratov - Penza - Tambov"/>
        <s v="KADL SOU  Lipetsk Orel"/>
        <s v="TSL SOU Saratov,Penza, Volgograd"/>
        <s v="TSL SOU Stavropol"/>
        <s v="TSE MOS Grocery+SPT Kaluga"/>
        <s v="TSL NOR Grocery+SPT Vologda"/>
        <s v="TSL NOR  SPb  North- Murmansk"/>
        <s v="TSL Ivanovo, Smolensk"/>
        <s v="TSL Yaroslavl, Kostroma, Tver"/>
        <s v="TSL NOR  Kaliningrad SPT E-com SPAR"/>
        <s v="TSL NOR Len Obl"/>
        <s v="TSL NOR SPb South"/>
        <s v="KADL NOR Arkhangelsk,  Murmansk"/>
        <s v="KADL NOR Komi Vologda Petrozavodsk"/>
        <s v="KADL NOR NA Ivanovo Yaroslavl Kostroma"/>
        <s v="KADL NOR  X5"/>
        <s v="KADL NOR Hyper SPb Novgorod Pskov"/>
        <s v="KADL NOR NA Smolensk Tver"/>
        <s v="KADL NOR Tander Dixy"/>
        <m/>
      </sharedItems>
    </cacheField>
    <cacheField name="Distributor" numFmtId="0">
      <sharedItems containsBlank="1"/>
    </cacheField>
    <cacheField name="# of distr offices" numFmtId="0">
      <sharedItems containsString="0" containsBlank="1" containsNumber="1" containsInteger="1" minValue="1" maxValue="4"/>
    </cacheField>
    <cacheField name="# of RKA offices" numFmtId="0">
      <sharedItems containsString="0" containsBlank="1" containsNumber="1" containsInteger="1" minValue="1" maxValue="3"/>
    </cacheField>
    <cacheField name="Merch agency" numFmtId="0">
      <sharedItems containsBlank="1"/>
    </cacheField>
    <cacheField name="RKA" numFmtId="0">
      <sharedItems containsString="0" containsBlank="1" containsNumber="1" minValue="0" maxValue="745246078.52010083"/>
    </cacheField>
    <cacheField name="Non-Skyline" numFmtId="0">
      <sharedItems containsString="0" containsBlank="1" containsNumber="1" minValue="0" maxValue="512675533.57000101"/>
    </cacheField>
    <cacheField name="Skyline (Tier3)" numFmtId="0">
      <sharedItems containsString="0" containsBlank="1" containsNumber="1" minValue="0" maxValue="452439335.18000209"/>
    </cacheField>
    <cacheField name="Skyline (Other)" numFmtId="0">
      <sharedItems containsString="0" containsBlank="1" containsNumber="1" minValue="0" maxValue="637981612.9000001"/>
    </cacheField>
    <cacheField name="SO NA (w/o Chizhik)" numFmtId="0">
      <sharedItems containsString="0" containsBlank="1" containsNumber="1" minValue="0" maxValue="4631433153.9692402"/>
    </cacheField>
    <cacheField name="SO RKA (execution)" numFmtId="0">
      <sharedItems containsString="0" containsBlank="1" containsNumber="1" minValue="0" maxValue="745246078.51999485"/>
    </cacheField>
    <cacheField name="Merch-model SO" numFmtId="0">
      <sharedItems containsString="0" containsBlank="1" containsNumber="1" minValue="0" maxValue="2969791621.8204007"/>
    </cacheField>
    <cacheField name="NA Leading" numFmtId="0">
      <sharedItems containsString="0" containsBlank="1" containsNumber="1" minValue="0" maxValue="11314707530.999416"/>
    </cacheField>
    <cacheField name="RKA Leading" numFmtId="0">
      <sharedItems containsString="0" containsBlank="1" containsNumber="1" minValue="0" maxValue="535714473.38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bunov, Mikhail" refreshedDate="46114.740496874998" createdVersion="8" refreshedVersion="8" minRefreshableVersion="3" recordCount="785" xr:uid="{C590CE61-F57C-47F0-A7B9-08EA1A70A5C3}">
  <cacheSource type="worksheet">
    <worksheetSource ref="A1:T786" sheet="PIVOT NEW NORTH"/>
  </cacheSource>
  <cacheFields count="20">
    <cacheField name="District" numFmtId="0">
      <sharedItems/>
    </cacheField>
    <cacheField name="Region / HSR" numFmtId="0">
      <sharedItems/>
    </cacheField>
    <cacheField name="NEW HSR" numFmtId="0">
      <sharedItems count="6">
        <s v="HSR NORTH (NEW)"/>
        <s v="HSR South"/>
        <s v="HSR Center"/>
        <s v="HSR RFE"/>
        <s v="HSR Siberia"/>
        <s v="HSR NOR" u="1"/>
      </sharedItems>
    </cacheField>
    <cacheField name="Manager" numFmtId="0">
      <sharedItems/>
    </cacheField>
    <cacheField name="NEW MANAGER" numFmtId="0">
      <sharedItems count="26">
        <s v="DDM MOS Sladkaay Zhizn"/>
        <s v="ASM SOU Voronezh"/>
        <s v="ASM CEN Fud-trade+Reid-21"/>
        <s v="RADM Moscow"/>
        <s v="TDM MOS Grocery RKA+NA Moscow North"/>
        <s v="TDM SOUTH 2"/>
        <s v="TDM CEN Samara"/>
        <s v="TDM MOS Grocery RKA+NA Moscow South"/>
        <s v="RADM CEN Grocery RKA+Monetka,Krasnoe i beloe, Kiro"/>
        <s v="DDM CEN"/>
        <s v="TDM CEN Chelyabinsk"/>
        <s v="ASM RFE Grocery+SPT Khabarovsk"/>
        <s v="ASM RFE Grocery+SPT Irkutsk"/>
        <s v="RDM RFE Grocery SS"/>
        <s v="ASM RFE Grocery+SPT Vladivostok"/>
        <s v="SPT Manager RFE"/>
        <s v="TDM Siberia"/>
        <s v="RADM Siberia"/>
        <s v="ASM SIB Krasnoyarsk+Abakan+Tuva+Kuzbass+Norilsk"/>
        <s v="ASM SOU Krasnodar"/>
        <s v="DDM SOU Rostov-On-Don"/>
        <s v="TDM SOUTH 1"/>
        <s v="ASM NOR Vector Dendi"/>
        <s v="DDM NOR Grocery+SPT Spb Nov Pskov"/>
        <s v="TDM NOR Action"/>
        <s v="TDM NOR Grocery"/>
      </sharedItems>
    </cacheField>
    <cacheField name="Territory" numFmtId="0">
      <sharedItems count="98">
        <s v="TSL MOS N.Novgorod"/>
        <s v="TSL MOS SPT Moscow Play Sorso"/>
        <s v="TSL MOS  Moscow 2 Sladkaya Zhizn"/>
        <s v="TSL MOS Grocery Mos Obl AS-Market"/>
        <s v="TSL MOS  Moscow 1 Sladkaya Zhizn"/>
        <s v="TSL MOS Cheboksary"/>
        <s v="RAL MOS SPT RKA"/>
        <s v="RAL MOS N.Novgorod"/>
        <s v="KADL MOS NA Vladimir"/>
        <s v="KADL MOS Grocery RKA+NA Tula+Ryazan-Kaluga"/>
        <s v="KADL MOS NA N.Novgorod"/>
        <s v="KADL MOS Grocery RKA+NA DiscSuper Mos Obl North 2"/>
        <s v="KADL MOS Grocery RKA+NA DiscSuper Moscow East"/>
        <s v="KADL MOS Grocery RKA+NA Hyper Moscow North"/>
        <s v="KADL MOS Grocery Dixy ( вакансия)"/>
        <s v="KADL MOS Grocery Tander South"/>
        <s v="JRAM Verniy"/>
        <s v="KADL MOS WEST"/>
        <s v="TSL CEN Grocery+SPT+NA Kurgan"/>
        <s v="TSL CEN Grocery + SPT Samara 2"/>
        <s v="TSL CEN Kazan"/>
        <s v="TSL CEN Ufa"/>
        <s v="TSL CEN Tyumen"/>
        <s v="RAL CEN Gulliver+Pobeda"/>
        <s v="KADL CEN Kazan"/>
        <s v="KADL CEN NA Chelyabinsk"/>
        <s v="KADL CEN NA Ekaterinburg"/>
        <s v="KADL CEN NA Ekaterinburg1"/>
        <s v="KADL CEN NA Perm"/>
        <s v="KADL CEN Samara"/>
        <s v="KADL CEN Ufa"/>
        <s v="TSL CEN NA Orenburg"/>
        <s v="TSL CEN Grocery Perm"/>
        <s v="TSL CEN Grocery DiscSuper Ekaterinburg"/>
        <s v="RAL CEN Grocery RKA Ekaterinburg"/>
        <s v="RAL CEN Grocery RKA Kirovsky Ekaterinburg"/>
        <s v="TSL CEN Grocery+SPT+NA Khanty-Mansiysk"/>
        <s v="TSL CEN Chelyabinsk+Mgn"/>
        <s v="RAL CEN Grocery RKA Monetka Ekaterinburg"/>
        <s v="RAL RFE Grocery Khabarovsk"/>
        <s v="TSL RFE Grocery+SPT Blagoveschensk"/>
        <s v="RAL RFE Grocery Irkutsk"/>
        <s v="RAL RFE SPT Irkutsk"/>
        <s v="TSL RFE Angarsk"/>
        <s v="Virtual Territory RFE"/>
        <s v="TSL RFE Grocery+SPT Komsomolsk-on-Amur"/>
        <s v="TSL RFE Grocery+SPT Chita"/>
        <s v="TSL RFE Grocery+SPT Ussuriysk"/>
        <s v="TSL RFE Grocery+SPT Sakhalin PetCare"/>
        <s v="RAL RFE Grocery Vladivostok"/>
        <s v="TSL RFE Grocery+SPT Artem"/>
        <s v="TSL RFE Grocery+SPT Yakutsk"/>
        <s v="KADL FE"/>
        <s v="Virtual Territory RFE SPT"/>
        <s v="KADL SIB Pyaterochka"/>
        <s v="KADL SIB Tander"/>
        <s v="KADL SIB NA Hyper"/>
        <s v="RAL Yarche"/>
        <s v="KADL SIB RKA"/>
        <s v="RAL Marya-Ra"/>
        <s v="RAL Komandor &amp; Khoroshiy"/>
        <s v="TSL SIB Krasnoyarsk-Norilsk"/>
        <s v="TSL SIB SPT Novosibirsk"/>
        <s v="TSL SIB Barnaul"/>
        <s v="TSL SIB Novosibirsk"/>
        <s v="TSL SIB Omsk+Tomsk+Kuzbass"/>
        <s v="TSL SOU Krasnodar 1"/>
        <s v="RAL SOU Voronezh"/>
        <s v="TSL SOU Voronezh"/>
        <s v="TSL SOU Crimea 1"/>
        <s v="TSL SOU Crimea 2"/>
        <s v="TSL SOU Krasnodar 2"/>
        <s v="TSL SOU Rostov-On-Don 1"/>
        <s v="TSL SOU Sochi"/>
        <s v="KADL SOU Krasnodar"/>
        <s v="KADL SOU Volgograd - Astrakhan"/>
        <s v="KADL SOU Pyaterochka"/>
        <s v="KADL SOU KMV 2"/>
        <s v="KADL SOU Rostov-On-Don"/>
        <s v="KADL SOU Saratov - Penza - Tambov"/>
        <s v="KADL SOU  Lipetsk Orel"/>
        <s v="TSL SOU Saratov,Penza, Volgograd"/>
        <s v="TSL SOU Stavropol"/>
        <s v="TSE MOS Grocery+SPT Kaluga"/>
        <s v="TSL NOR Grocery+SPT Vologda"/>
        <s v="TSL NOR  SPb  North- Murmansk"/>
        <s v="TSL Ivanovo, Smolensk"/>
        <s v="TSL Yaroslavl, Kostroma, Tver"/>
        <s v="TSL NOR  Kaliningrad SPT E-com SPAR"/>
        <s v="TSL NOR Len Obl"/>
        <s v="TSL NOR SPb South"/>
        <s v="KADL NOR Arkhangelsk,  Murmansk"/>
        <s v="KADL NOR Komi Vologda Petrozavodsk"/>
        <s v="KADL NOR NA Ivanovo Yaroslavl Kostroma"/>
        <s v="KADL NOR  X5"/>
        <s v="KADL NOR Hyper SPb Novgorod Pskov"/>
        <s v="KADL NOR NA Smolensk Tver"/>
        <s v="KADL NOR Tander Dixy"/>
      </sharedItems>
    </cacheField>
    <cacheField name="NEW TERRITORY" numFmtId="0">
      <sharedItems containsBlank="1"/>
    </cacheField>
    <cacheField name="Distributor" numFmtId="0">
      <sharedItems containsBlank="1"/>
    </cacheField>
    <cacheField name="# of distr offices" numFmtId="0">
      <sharedItems containsString="0" containsBlank="1" containsNumber="1" containsInteger="1" minValue="1" maxValue="4"/>
    </cacheField>
    <cacheField name="# of RKA offices" numFmtId="0">
      <sharedItems containsString="0" containsBlank="1" containsNumber="1" containsInteger="1" minValue="1" maxValue="3"/>
    </cacheField>
    <cacheField name="Merch agency" numFmtId="0">
      <sharedItems containsBlank="1"/>
    </cacheField>
    <cacheField name="RKA" numFmtId="0">
      <sharedItems containsSemiMixedTypes="0" containsString="0" containsNumber="1" minValue="0" maxValue="745246078.52010083"/>
    </cacheField>
    <cacheField name="Non-Skyline" numFmtId="0">
      <sharedItems containsSemiMixedTypes="0" containsString="0" containsNumber="1" minValue="0" maxValue="512675533.57000101"/>
    </cacheField>
    <cacheField name="Skyline (Tier3)" numFmtId="0">
      <sharedItems containsSemiMixedTypes="0" containsString="0" containsNumber="1" minValue="0" maxValue="452439335.18000209"/>
    </cacheField>
    <cacheField name="Skyline (Other)" numFmtId="0">
      <sharedItems containsSemiMixedTypes="0" containsString="0" containsNumber="1" minValue="0" maxValue="637981612.9000001"/>
    </cacheField>
    <cacheField name="SO NA (w/o Chizhik)" numFmtId="0">
      <sharedItems containsSemiMixedTypes="0" containsString="0" containsNumber="1" minValue="0" maxValue="4631433153.9692402"/>
    </cacheField>
    <cacheField name="SO RKA (execution)" numFmtId="0">
      <sharedItems containsSemiMixedTypes="0" containsString="0" containsNumber="1" minValue="0" maxValue="745246078.51999485"/>
    </cacheField>
    <cacheField name="Merch-model SO" numFmtId="0">
      <sharedItems containsSemiMixedTypes="0" containsString="0" containsNumber="1" minValue="0" maxValue="2969791621.8204007"/>
    </cacheField>
    <cacheField name="NA Leading" numFmtId="0">
      <sharedItems containsSemiMixedTypes="0" containsString="0" containsNumber="1" minValue="0" maxValue="11314707530.999416"/>
    </cacheField>
    <cacheField name="RKA Leading" numFmtId="0">
      <sharedItems containsString="0" containsBlank="1" containsNumber="1" minValue="0" maxValue="535714473.38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">
  <r>
    <s v="Владимирская"/>
    <x v="0"/>
    <x v="0"/>
    <x v="0"/>
    <s v="Сладкая жизнь Плюс ООО"/>
    <n v="1"/>
    <m/>
    <m/>
    <n v="0"/>
    <n v="0"/>
    <n v="0"/>
    <n v="95205964.680000037"/>
    <n v="0"/>
    <n v="21794935.420000013"/>
    <n v="0"/>
    <n v="0"/>
    <m/>
  </r>
  <r>
    <s v="Владимирская"/>
    <x v="0"/>
    <x v="0"/>
    <x v="0"/>
    <s v="Сладкая Жизнь Плюс ООО (Москва)"/>
    <m/>
    <m/>
    <m/>
    <n v="0"/>
    <n v="0"/>
    <n v="0"/>
    <n v="50034.48"/>
    <n v="0"/>
    <n v="34922534.530000046"/>
    <n v="0"/>
    <n v="0"/>
    <m/>
  </r>
  <r>
    <s v="Владимирская"/>
    <x v="0"/>
    <x v="1"/>
    <x v="1"/>
    <s v="СОРСО-СТР ООО"/>
    <m/>
    <m/>
    <m/>
    <n v="0"/>
    <n v="0"/>
    <n v="0"/>
    <n v="1201332.8999999999"/>
    <n v="0"/>
    <n v="0"/>
    <n v="0"/>
    <n v="0"/>
    <m/>
  </r>
  <r>
    <s v="Владимирская"/>
    <x v="0"/>
    <x v="0"/>
    <x v="0"/>
    <s v="Сладкая жизнь Плюс ООО"/>
    <m/>
    <m/>
    <m/>
    <n v="0"/>
    <n v="0"/>
    <n v="0"/>
    <n v="16388.569999999996"/>
    <n v="0"/>
    <n v="0"/>
    <n v="0"/>
    <n v="0"/>
    <m/>
  </r>
  <r>
    <s v="Владимирская"/>
    <x v="0"/>
    <x v="0"/>
    <x v="2"/>
    <s v="Сладкая жизнь Плюс ООО"/>
    <m/>
    <m/>
    <m/>
    <n v="0"/>
    <n v="0"/>
    <n v="0"/>
    <n v="16388.569999999996"/>
    <n v="0"/>
    <n v="0"/>
    <n v="0"/>
    <n v="0"/>
    <m/>
  </r>
  <r>
    <s v="Калужская"/>
    <x v="0"/>
    <x v="1"/>
    <x v="1"/>
    <s v="СОРСО-СТР ООО"/>
    <m/>
    <m/>
    <m/>
    <n v="0"/>
    <n v="0"/>
    <n v="0"/>
    <n v="167213.97"/>
    <n v="0"/>
    <n v="0"/>
    <n v="0"/>
    <n v="0"/>
    <m/>
  </r>
  <r>
    <s v="Калужская"/>
    <x v="0"/>
    <x v="1"/>
    <x v="1"/>
    <s v="СОРСО-СТР ООО"/>
    <m/>
    <m/>
    <m/>
    <n v="0"/>
    <n v="0"/>
    <n v="0"/>
    <n v="4921.2"/>
    <n v="0"/>
    <n v="0"/>
    <n v="0"/>
    <n v="0"/>
    <m/>
  </r>
  <r>
    <s v="Калужская"/>
    <x v="0"/>
    <x v="0"/>
    <x v="3"/>
    <s v="Сладкая жизнь Плюс ООО"/>
    <m/>
    <m/>
    <m/>
    <n v="0"/>
    <n v="0"/>
    <n v="0"/>
    <n v="74443.789999999994"/>
    <n v="0"/>
    <n v="0"/>
    <n v="0"/>
    <n v="0"/>
    <m/>
  </r>
  <r>
    <s v="Калужская"/>
    <x v="0"/>
    <x v="0"/>
    <x v="3"/>
    <s v="Сладкая Жизнь Плюс ООО (Москва)"/>
    <m/>
    <m/>
    <m/>
    <n v="0"/>
    <n v="0"/>
    <n v="0"/>
    <n v="61550673.18"/>
    <n v="0"/>
    <n v="0"/>
    <n v="0"/>
    <n v="0"/>
    <m/>
  </r>
  <r>
    <s v="Калужская"/>
    <x v="0"/>
    <x v="1"/>
    <x v="1"/>
    <s v="СОРСО-СТР ООО"/>
    <m/>
    <m/>
    <m/>
    <n v="0"/>
    <n v="0"/>
    <n v="0"/>
    <n v="793480.71000000031"/>
    <n v="0"/>
    <n v="0"/>
    <n v="0"/>
    <n v="0"/>
    <m/>
  </r>
  <r>
    <s v="Калужская"/>
    <x v="0"/>
    <x v="1"/>
    <x v="4"/>
    <s v="Фуд-Трейд ООО (Москва)"/>
    <m/>
    <m/>
    <m/>
    <n v="0"/>
    <n v="0"/>
    <n v="0"/>
    <n v="1728.22"/>
    <n v="0"/>
    <n v="0"/>
    <n v="0"/>
    <n v="0"/>
    <m/>
  </r>
  <r>
    <s v="Калужская"/>
    <x v="0"/>
    <x v="0"/>
    <x v="5"/>
    <s v="Сладкая жизнь Плюс ООО"/>
    <m/>
    <m/>
    <m/>
    <n v="0"/>
    <n v="0"/>
    <n v="0"/>
    <n v="0"/>
    <n v="0"/>
    <n v="152696.56"/>
    <n v="0"/>
    <n v="0"/>
    <m/>
  </r>
  <r>
    <s v="Калужская"/>
    <x v="0"/>
    <x v="0"/>
    <x v="5"/>
    <s v="Сладкая Жизнь Плюс ООО (Москва)"/>
    <m/>
    <m/>
    <m/>
    <n v="0"/>
    <n v="0"/>
    <n v="0"/>
    <n v="62066.210000000006"/>
    <n v="0"/>
    <n v="12675102.270000005"/>
    <n v="0"/>
    <n v="0"/>
    <m/>
  </r>
  <r>
    <s v="Калужская"/>
    <x v="0"/>
    <x v="0"/>
    <x v="3"/>
    <s v="Сладкая Жизнь Плюс ООО (Москва)"/>
    <m/>
    <m/>
    <m/>
    <n v="0"/>
    <n v="0"/>
    <n v="50540.084999999999"/>
    <n v="0"/>
    <n v="0"/>
    <n v="0"/>
    <n v="0"/>
    <n v="0"/>
    <m/>
  </r>
  <r>
    <s v="Калужская"/>
    <x v="0"/>
    <x v="0"/>
    <x v="5"/>
    <s v="Сладкая Жизнь Плюс ООО (Москва)"/>
    <m/>
    <m/>
    <m/>
    <n v="0"/>
    <n v="0"/>
    <n v="50540.084999999999"/>
    <n v="0"/>
    <n v="0"/>
    <n v="31855181.779999994"/>
    <n v="0"/>
    <n v="0"/>
    <m/>
  </r>
  <r>
    <s v="Кировская"/>
    <x v="0"/>
    <x v="0"/>
    <x v="2"/>
    <s v="Сладкая жизнь Плюс ООО"/>
    <m/>
    <m/>
    <m/>
    <n v="0"/>
    <n v="0"/>
    <n v="67690161.789999992"/>
    <n v="108624731.87000002"/>
    <n v="0"/>
    <n v="0"/>
    <n v="0"/>
    <n v="0"/>
    <m/>
  </r>
  <r>
    <s v="Кировская"/>
    <x v="0"/>
    <x v="0"/>
    <x v="0"/>
    <s v="Сладкая жизнь Плюс ООО"/>
    <m/>
    <m/>
    <m/>
    <n v="0"/>
    <n v="0"/>
    <n v="350.35"/>
    <n v="2324.8900000000003"/>
    <n v="0"/>
    <n v="0"/>
    <n v="0"/>
    <n v="0"/>
    <m/>
  </r>
  <r>
    <s v="Кировская"/>
    <x v="0"/>
    <x v="0"/>
    <x v="2"/>
    <s v="Сладкая жизнь Плюс ООО"/>
    <m/>
    <m/>
    <m/>
    <n v="0"/>
    <n v="0"/>
    <n v="350.35"/>
    <n v="2324.8900000000003"/>
    <n v="0"/>
    <n v="33734181.700000025"/>
    <n v="0"/>
    <n v="0"/>
    <m/>
  </r>
  <r>
    <s v="Мордовия"/>
    <x v="0"/>
    <x v="1"/>
    <x v="1"/>
    <s v="СОРСО-СТР ООО"/>
    <m/>
    <m/>
    <m/>
    <n v="0"/>
    <n v="0"/>
    <n v="0"/>
    <n v="1230.3"/>
    <n v="0"/>
    <n v="0"/>
    <n v="0"/>
    <n v="0"/>
    <m/>
  </r>
  <r>
    <s v="Мордовия"/>
    <x v="0"/>
    <x v="0"/>
    <x v="2"/>
    <s v="Сладкая жизнь Плюс ООО"/>
    <m/>
    <m/>
    <m/>
    <n v="0"/>
    <n v="0"/>
    <n v="0"/>
    <n v="18267262.890000012"/>
    <n v="0"/>
    <n v="82315096.500000089"/>
    <n v="0"/>
    <n v="0"/>
    <m/>
  </r>
  <r>
    <s v="Мордовия"/>
    <x v="0"/>
    <x v="1"/>
    <x v="1"/>
    <s v="СОРСО-СТР ООО"/>
    <m/>
    <m/>
    <m/>
    <n v="0"/>
    <n v="0"/>
    <n v="0"/>
    <n v="8612.1"/>
    <n v="0"/>
    <n v="0"/>
    <n v="0"/>
    <n v="0"/>
    <m/>
  </r>
  <r>
    <s v="Мордовия"/>
    <x v="0"/>
    <x v="0"/>
    <x v="0"/>
    <s v="Сладкая жизнь Плюс ООО"/>
    <m/>
    <m/>
    <m/>
    <n v="0"/>
    <n v="0"/>
    <n v="0"/>
    <n v="938"/>
    <n v="0"/>
    <n v="0"/>
    <n v="0"/>
    <n v="0"/>
    <m/>
  </r>
  <r>
    <s v="Мордовия"/>
    <x v="0"/>
    <x v="0"/>
    <x v="2"/>
    <s v="Сладкая жизнь Плюс ООО"/>
    <m/>
    <m/>
    <m/>
    <n v="0"/>
    <n v="0"/>
    <n v="0"/>
    <n v="938"/>
    <n v="0"/>
    <n v="0"/>
    <n v="0"/>
    <n v="0"/>
    <m/>
  </r>
  <r>
    <s v="Москва"/>
    <x v="0"/>
    <x v="1"/>
    <x v="1"/>
    <s v="СОРСО-СТР ООО"/>
    <n v="1"/>
    <m/>
    <m/>
    <n v="0"/>
    <n v="0"/>
    <n v="0"/>
    <n v="3934548.4099999992"/>
    <n v="0"/>
    <n v="51488847.459999874"/>
    <n v="0"/>
    <n v="0"/>
    <m/>
  </r>
  <r>
    <s v="Москва"/>
    <x v="0"/>
    <x v="1"/>
    <x v="1"/>
    <s v="СОРСО-СТР ООО"/>
    <n v="1"/>
    <m/>
    <m/>
    <n v="0"/>
    <n v="0"/>
    <n v="0"/>
    <n v="26241041.290000029"/>
    <n v="0"/>
    <n v="0"/>
    <n v="0"/>
    <n v="0"/>
    <m/>
  </r>
  <r>
    <s v="Москва"/>
    <x v="0"/>
    <x v="1"/>
    <x v="4"/>
    <s v="Фуд-Трейд ООО (Москва)"/>
    <m/>
    <m/>
    <m/>
    <n v="0"/>
    <n v="0"/>
    <n v="26286175.709999982"/>
    <n v="11021748.269999998"/>
    <n v="0"/>
    <n v="0"/>
    <n v="0"/>
    <n v="0"/>
    <m/>
  </r>
  <r>
    <s v="Москва"/>
    <x v="0"/>
    <x v="1"/>
    <x v="1"/>
    <s v="СОРСО-СТР ООО"/>
    <m/>
    <m/>
    <m/>
    <n v="0"/>
    <n v="0"/>
    <n v="0"/>
    <n v="371171.09"/>
    <n v="0"/>
    <n v="0"/>
    <n v="0"/>
    <n v="0"/>
    <m/>
  </r>
  <r>
    <s v="Москва"/>
    <x v="0"/>
    <x v="1"/>
    <x v="1"/>
    <s v="СОРСО-СТР ООО"/>
    <m/>
    <m/>
    <m/>
    <n v="0"/>
    <n v="0"/>
    <n v="0"/>
    <n v="47580.24"/>
    <n v="0"/>
    <n v="0"/>
    <n v="0"/>
    <n v="0"/>
    <m/>
  </r>
  <r>
    <s v="Москва"/>
    <x v="0"/>
    <x v="1"/>
    <x v="1"/>
    <s v="Сладкая Жизнь Плюс ООО (Москва)"/>
    <n v="1"/>
    <m/>
    <m/>
    <n v="0"/>
    <n v="0"/>
    <n v="87719.900000000009"/>
    <n v="68426.539999999994"/>
    <n v="0"/>
    <n v="0"/>
    <n v="0"/>
    <n v="0"/>
    <m/>
  </r>
  <r>
    <s v="Москва"/>
    <x v="0"/>
    <x v="1"/>
    <x v="1"/>
    <s v="СОРСО-СТР ООО"/>
    <m/>
    <m/>
    <m/>
    <n v="0"/>
    <n v="0"/>
    <n v="0"/>
    <n v="54846.799999999996"/>
    <n v="0"/>
    <n v="0"/>
    <n v="0"/>
    <n v="0"/>
    <m/>
  </r>
  <r>
    <s v="Москва"/>
    <x v="0"/>
    <x v="1"/>
    <x v="4"/>
    <s v="Фуд-Трейд ООО (Москва)"/>
    <m/>
    <m/>
    <m/>
    <n v="0"/>
    <n v="0"/>
    <n v="705614.96000000008"/>
    <n v="18449570.049999993"/>
    <n v="0"/>
    <n v="0"/>
    <n v="0"/>
    <n v="0"/>
    <m/>
  </r>
  <r>
    <s v="Москва"/>
    <x v="0"/>
    <x v="1"/>
    <x v="4"/>
    <s v="Фуд-Трейд ООО (Москва)"/>
    <m/>
    <m/>
    <m/>
    <n v="0"/>
    <n v="0"/>
    <n v="304618.33"/>
    <n v="70699872.200000003"/>
    <n v="0"/>
    <n v="0"/>
    <n v="0"/>
    <n v="0"/>
    <m/>
  </r>
  <r>
    <s v="Москва"/>
    <x v="0"/>
    <x v="1"/>
    <x v="1"/>
    <s v="СОРСО-СТР ООО"/>
    <m/>
    <m/>
    <m/>
    <n v="0"/>
    <n v="0"/>
    <n v="0"/>
    <n v="1520239.6600000001"/>
    <n v="0"/>
    <n v="0"/>
    <n v="0"/>
    <n v="0"/>
    <m/>
  </r>
  <r>
    <s v="Москва"/>
    <x v="0"/>
    <x v="1"/>
    <x v="1"/>
    <s v="СОРСО-СТР ООО"/>
    <m/>
    <m/>
    <m/>
    <n v="0"/>
    <n v="0"/>
    <n v="0"/>
    <n v="8470784.9499999974"/>
    <n v="0"/>
    <n v="0"/>
    <n v="0"/>
    <n v="0"/>
    <m/>
  </r>
  <r>
    <s v="Москва"/>
    <x v="0"/>
    <x v="1"/>
    <x v="1"/>
    <s v="СОРСО-СТР ООО"/>
    <m/>
    <m/>
    <m/>
    <n v="0"/>
    <n v="0"/>
    <n v="0"/>
    <n v="74381.34"/>
    <n v="0"/>
    <n v="0"/>
    <n v="0"/>
    <n v="0"/>
    <m/>
  </r>
  <r>
    <s v="Москва"/>
    <x v="0"/>
    <x v="0"/>
    <x v="3"/>
    <s v="Сладкая Жизнь Плюс ООО (Москва)"/>
    <m/>
    <m/>
    <m/>
    <n v="0"/>
    <n v="2268781.3500000006"/>
    <n v="0"/>
    <n v="41559387.57"/>
    <n v="0"/>
    <n v="109321797.52999994"/>
    <n v="0"/>
    <n v="0"/>
    <m/>
  </r>
  <r>
    <s v="Москва"/>
    <x v="0"/>
    <x v="1"/>
    <x v="1"/>
    <s v="СОРСО-СТР ООО"/>
    <m/>
    <m/>
    <m/>
    <n v="0"/>
    <n v="0"/>
    <n v="0"/>
    <n v="7381.7999999999993"/>
    <n v="0"/>
    <n v="0"/>
    <n v="0"/>
    <n v="0"/>
    <m/>
  </r>
  <r>
    <s v="Москва"/>
    <x v="0"/>
    <x v="1"/>
    <x v="4"/>
    <s v="Фуд-Трейд ООО (Москва)"/>
    <m/>
    <m/>
    <m/>
    <n v="0"/>
    <n v="16865038.440000001"/>
    <n v="886166.9800000001"/>
    <n v="125038.38"/>
    <n v="0"/>
    <n v="0"/>
    <n v="0"/>
    <n v="0"/>
    <m/>
  </r>
  <r>
    <s v="Москва"/>
    <x v="0"/>
    <x v="0"/>
    <x v="3"/>
    <s v="Сладкая Жизнь Плюс ООО (Москва)"/>
    <m/>
    <m/>
    <m/>
    <n v="0"/>
    <n v="0"/>
    <n v="0"/>
    <n v="2572223.2800000003"/>
    <n v="0"/>
    <n v="85074102.199999973"/>
    <n v="0"/>
    <n v="0"/>
    <m/>
  </r>
  <r>
    <s v="Москва"/>
    <x v="0"/>
    <x v="0"/>
    <x v="5"/>
    <s v="Сладкая Жизнь Плюс ООО (Москва)"/>
    <m/>
    <m/>
    <m/>
    <n v="0"/>
    <n v="0"/>
    <n v="0"/>
    <n v="2572223.2800000003"/>
    <n v="0"/>
    <n v="67792885.019999981"/>
    <n v="0"/>
    <n v="0"/>
    <m/>
  </r>
  <r>
    <s v="Москва"/>
    <x v="0"/>
    <x v="1"/>
    <x v="1"/>
    <s v="СОРСО-СТР ООО"/>
    <m/>
    <m/>
    <m/>
    <n v="0"/>
    <n v="0"/>
    <n v="0"/>
    <n v="113749.7"/>
    <n v="0"/>
    <n v="0"/>
    <n v="0"/>
    <n v="0"/>
    <m/>
  </r>
  <r>
    <s v="Москва"/>
    <x v="0"/>
    <x v="1"/>
    <x v="1"/>
    <s v="СОРСО-СТР ООО"/>
    <m/>
    <m/>
    <m/>
    <n v="0"/>
    <n v="0"/>
    <n v="0"/>
    <n v="2460.6"/>
    <n v="0"/>
    <n v="0"/>
    <n v="0"/>
    <n v="0"/>
    <m/>
  </r>
  <r>
    <s v="Москва"/>
    <x v="0"/>
    <x v="1"/>
    <x v="4"/>
    <s v="Фуд-Трейд ООО (Москва)"/>
    <n v="1"/>
    <m/>
    <m/>
    <n v="0"/>
    <n v="0"/>
    <n v="0"/>
    <n v="1531398.9"/>
    <n v="0"/>
    <n v="0"/>
    <n v="3208724.3721000003"/>
    <n v="0"/>
    <m/>
  </r>
  <r>
    <s v="Москва"/>
    <x v="0"/>
    <x v="1"/>
    <x v="1"/>
    <s v="СОРСО-СТР ООО"/>
    <m/>
    <m/>
    <m/>
    <n v="0"/>
    <n v="35998.819999999992"/>
    <n v="0"/>
    <n v="9500000"/>
    <n v="0"/>
    <n v="0"/>
    <n v="0"/>
    <n v="0"/>
    <m/>
  </r>
  <r>
    <s v="Московская"/>
    <x v="0"/>
    <x v="1"/>
    <x v="1"/>
    <s v="СОРСО-СТР ООО"/>
    <m/>
    <m/>
    <m/>
    <n v="0"/>
    <n v="566466.16"/>
    <n v="0"/>
    <n v="101427.09999999998"/>
    <n v="0"/>
    <n v="4983223.1399999978"/>
    <n v="0"/>
    <n v="0"/>
    <m/>
  </r>
  <r>
    <s v="Московская"/>
    <x v="0"/>
    <x v="1"/>
    <x v="4"/>
    <s v="Сладкая Жизнь Плюс ООО (Москва)"/>
    <m/>
    <m/>
    <m/>
    <n v="0"/>
    <n v="0"/>
    <n v="120703.57999999999"/>
    <n v="397389.71999999991"/>
    <n v="0"/>
    <n v="0"/>
    <n v="0"/>
    <n v="0"/>
    <m/>
  </r>
  <r>
    <s v="Московская"/>
    <x v="0"/>
    <x v="1"/>
    <x v="1"/>
    <s v="СОРСО-СТР ООО"/>
    <m/>
    <m/>
    <m/>
    <n v="0"/>
    <n v="16695851.649999999"/>
    <n v="71189.710000000021"/>
    <n v="85800621.210000008"/>
    <n v="0"/>
    <n v="0"/>
    <n v="0"/>
    <n v="0"/>
    <m/>
  </r>
  <r>
    <s v="Московская"/>
    <x v="0"/>
    <x v="1"/>
    <x v="4"/>
    <s v="Фуд-Трейд ООО (Москва)"/>
    <m/>
    <m/>
    <m/>
    <n v="0"/>
    <n v="0"/>
    <n v="85685187.23999998"/>
    <n v="5272787.08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165427.24999999997"/>
    <n v="0"/>
    <n v="0"/>
    <n v="0"/>
    <n v="0"/>
    <m/>
  </r>
  <r>
    <s v="Московская"/>
    <x v="0"/>
    <x v="0"/>
    <x v="5"/>
    <s v="Сладкая Жизнь Плюс ООО (Москва)"/>
    <m/>
    <m/>
    <m/>
    <n v="0"/>
    <n v="0"/>
    <n v="999864.46999999986"/>
    <n v="155721.815"/>
    <n v="0"/>
    <n v="7046878.6800000081"/>
    <n v="0"/>
    <n v="0"/>
    <m/>
  </r>
  <r>
    <s v="Московская"/>
    <x v="0"/>
    <x v="1"/>
    <x v="1"/>
    <s v="СОРСО-СТР ООО"/>
    <m/>
    <m/>
    <m/>
    <n v="0"/>
    <n v="0"/>
    <n v="6943.3199999999988"/>
    <n v="10388589.640000002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311135.37"/>
    <n v="0"/>
    <n v="0"/>
    <n v="0"/>
    <n v="0"/>
    <m/>
  </r>
  <r>
    <s v="Московская"/>
    <x v="0"/>
    <x v="1"/>
    <x v="1"/>
    <s v="Сладкая Жизнь Плюс ООО (Москва)"/>
    <m/>
    <m/>
    <m/>
    <n v="0"/>
    <n v="0"/>
    <n v="4845344.1499999985"/>
    <n v="137176.10999999999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408997.65000000014"/>
    <n v="0"/>
    <n v="0"/>
    <n v="0"/>
    <n v="0"/>
    <m/>
  </r>
  <r>
    <s v="Московская"/>
    <x v="0"/>
    <x v="1"/>
    <x v="4"/>
    <s v="Фуд-Трейд ООО (Москва)"/>
    <m/>
    <m/>
    <m/>
    <n v="0"/>
    <n v="0"/>
    <n v="3081161.5200000005"/>
    <n v="74616016.360000014"/>
    <n v="0"/>
    <n v="0"/>
    <n v="0"/>
    <n v="0"/>
    <m/>
  </r>
  <r>
    <s v="Московская"/>
    <x v="0"/>
    <x v="1"/>
    <x v="4"/>
    <s v="Фуд-Трейд ООО (Москва)"/>
    <m/>
    <m/>
    <m/>
    <n v="0"/>
    <n v="26855371.18"/>
    <n v="350754.54"/>
    <n v="57941924.849999994"/>
    <n v="0"/>
    <n v="0"/>
    <n v="0"/>
    <n v="0"/>
    <m/>
  </r>
  <r>
    <s v="Московская"/>
    <x v="0"/>
    <x v="1"/>
    <x v="1"/>
    <s v="СОРСО-СТР ООО"/>
    <m/>
    <m/>
    <m/>
    <n v="0"/>
    <n v="5204556.9600000037"/>
    <n v="0"/>
    <n v="14969645.509999998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149566469.50999999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76737.759999999995"/>
    <n v="0"/>
    <n v="0"/>
    <n v="0"/>
    <n v="0"/>
    <m/>
  </r>
  <r>
    <s v="Московская"/>
    <x v="0"/>
    <x v="0"/>
    <x v="5"/>
    <s v="Сладкая Жизнь Плюс ООО (Москва)"/>
    <m/>
    <m/>
    <m/>
    <n v="0"/>
    <n v="0"/>
    <n v="744141.68999998644"/>
    <n v="138685329.41000003"/>
    <n v="0"/>
    <n v="696849.14"/>
    <n v="0"/>
    <n v="0"/>
    <m/>
  </r>
  <r>
    <s v="Московская"/>
    <x v="0"/>
    <x v="1"/>
    <x v="1"/>
    <s v="СОРСО-СТР ООО"/>
    <m/>
    <m/>
    <m/>
    <n v="0"/>
    <n v="0"/>
    <n v="0"/>
    <n v="420271.38"/>
    <n v="0"/>
    <n v="0"/>
    <n v="0"/>
    <n v="0"/>
    <m/>
  </r>
  <r>
    <s v="Московская"/>
    <x v="0"/>
    <x v="1"/>
    <x v="4"/>
    <s v="Фуд-Трейд ООО (Москва)"/>
    <m/>
    <m/>
    <m/>
    <n v="0"/>
    <n v="0"/>
    <n v="0"/>
    <n v="30561.46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163640.16999999998"/>
    <n v="0"/>
    <n v="0"/>
    <n v="0"/>
    <n v="0"/>
    <m/>
  </r>
  <r>
    <s v="Московская"/>
    <x v="0"/>
    <x v="0"/>
    <x v="3"/>
    <s v="Сладкая Жизнь Плюс ООО (Москва)"/>
    <m/>
    <m/>
    <m/>
    <n v="0"/>
    <n v="0"/>
    <n v="136413.45000000112"/>
    <n v="67124558.00999999"/>
    <n v="0"/>
    <n v="4154461.5100000035"/>
    <n v="0"/>
    <n v="0"/>
    <m/>
  </r>
  <r>
    <s v="Московская"/>
    <x v="0"/>
    <x v="1"/>
    <x v="1"/>
    <s v="СОРСО-СТР ООО"/>
    <m/>
    <m/>
    <m/>
    <n v="0"/>
    <n v="0"/>
    <n v="835.28"/>
    <n v="78450.569999999992"/>
    <n v="0"/>
    <n v="0"/>
    <n v="0"/>
    <n v="0"/>
    <m/>
  </r>
  <r>
    <s v="Московская"/>
    <x v="0"/>
    <x v="1"/>
    <x v="4"/>
    <s v="Фуд-Трейд ООО (Москва)"/>
    <m/>
    <m/>
    <m/>
    <n v="0"/>
    <n v="0"/>
    <n v="0"/>
    <n v="4902766.1800000006"/>
    <n v="0"/>
    <n v="0"/>
    <n v="0"/>
    <n v="0"/>
    <m/>
  </r>
  <r>
    <s v="Московская"/>
    <x v="0"/>
    <x v="0"/>
    <x v="2"/>
    <s v="Сладкая жизнь Плюс ООО"/>
    <m/>
    <m/>
    <m/>
    <n v="0"/>
    <n v="0"/>
    <n v="9777794.9499999974"/>
    <n v="27367959.500000022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161081.58000000002"/>
    <n v="0"/>
    <n v="0"/>
    <n v="0"/>
    <n v="0"/>
    <m/>
  </r>
  <r>
    <s v="Московская"/>
    <x v="0"/>
    <x v="0"/>
    <x v="0"/>
    <s v="Сладкая жизнь Плюс ООО"/>
    <m/>
    <m/>
    <m/>
    <n v="0"/>
    <n v="0"/>
    <n v="11308710.9"/>
    <n v="33925558.109999999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1131619.42"/>
    <n v="0"/>
    <n v="0"/>
    <n v="0"/>
    <n v="0"/>
    <m/>
  </r>
  <r>
    <s v="Московская"/>
    <x v="0"/>
    <x v="1"/>
    <x v="4"/>
    <s v="Фуд-Трейд ООО (Москва)"/>
    <m/>
    <m/>
    <m/>
    <n v="0"/>
    <n v="0"/>
    <n v="0"/>
    <n v="15431.249999999998"/>
    <n v="0"/>
    <n v="0"/>
    <n v="0"/>
    <n v="0"/>
    <m/>
  </r>
  <r>
    <s v="Московская"/>
    <x v="0"/>
    <x v="0"/>
    <x v="3"/>
    <s v="Сладкая Жизнь Плюс ООО (Москва)"/>
    <m/>
    <m/>
    <m/>
    <n v="0"/>
    <n v="0"/>
    <n v="0"/>
    <n v="15804044.249999998"/>
    <n v="0"/>
    <n v="17640633.704999998"/>
    <n v="0"/>
    <n v="0"/>
    <m/>
  </r>
  <r>
    <s v="Московская"/>
    <x v="0"/>
    <x v="0"/>
    <x v="5"/>
    <s v="Сладкая Жизнь Плюс ООО (Москва)"/>
    <m/>
    <m/>
    <m/>
    <n v="0"/>
    <n v="0"/>
    <n v="0"/>
    <n v="15804044.249999998"/>
    <n v="0"/>
    <n v="21115469.165000014"/>
    <n v="0"/>
    <n v="0"/>
    <m/>
  </r>
  <r>
    <s v="Московская"/>
    <x v="0"/>
    <x v="0"/>
    <x v="0"/>
    <s v="Сладкая жизнь Плюс ООО"/>
    <m/>
    <m/>
    <m/>
    <n v="0"/>
    <n v="0"/>
    <n v="0"/>
    <n v="19333835.870000001"/>
    <n v="0"/>
    <n v="0"/>
    <n v="0"/>
    <n v="0"/>
    <m/>
  </r>
  <r>
    <s v="Московская"/>
    <x v="0"/>
    <x v="0"/>
    <x v="2"/>
    <s v="Сладкая жизнь Плюс ООО"/>
    <m/>
    <m/>
    <m/>
    <n v="0"/>
    <n v="0"/>
    <n v="0"/>
    <n v="19333835.870000001"/>
    <n v="0"/>
    <n v="0"/>
    <n v="0"/>
    <n v="0"/>
    <m/>
  </r>
  <r>
    <s v="Московская"/>
    <x v="0"/>
    <x v="1"/>
    <x v="1"/>
    <s v="СОРСО-СТР ООО"/>
    <m/>
    <m/>
    <m/>
    <n v="0"/>
    <n v="41072051.439999998"/>
    <n v="0"/>
    <n v="0"/>
    <n v="0"/>
    <n v="0"/>
    <n v="0"/>
    <n v="0"/>
    <m/>
  </r>
  <r>
    <s v="Московская"/>
    <x v="0"/>
    <x v="1"/>
    <x v="1"/>
    <s v="СОРСО-СТР ООО"/>
    <m/>
    <m/>
    <m/>
    <n v="0"/>
    <n v="0"/>
    <n v="0"/>
    <n v="763225.07"/>
    <n v="0"/>
    <n v="0"/>
    <n v="0"/>
    <n v="0"/>
    <m/>
  </r>
  <r>
    <s v="Московская"/>
    <x v="0"/>
    <x v="0"/>
    <x v="3"/>
    <s v="Сладкая Жизнь Плюс ООО (Москва)"/>
    <m/>
    <m/>
    <m/>
    <n v="0"/>
    <n v="0"/>
    <n v="0"/>
    <n v="155721.815"/>
    <n v="0"/>
    <n v="3126523.5300000012"/>
    <n v="0"/>
    <n v="0"/>
    <m/>
  </r>
  <r>
    <s v="Московская"/>
    <x v="0"/>
    <x v="1"/>
    <x v="1"/>
    <s v="СОРСО-СТР ООО"/>
    <m/>
    <m/>
    <m/>
    <n v="0"/>
    <n v="0"/>
    <n v="0"/>
    <n v="41915.080000000009"/>
    <n v="0"/>
    <n v="0"/>
    <n v="0"/>
    <n v="0"/>
    <m/>
  </r>
  <r>
    <s v="Московская"/>
    <x v="0"/>
    <x v="1"/>
    <x v="1"/>
    <s v="СОРСО-СТР ООО"/>
    <m/>
    <m/>
    <m/>
    <n v="0"/>
    <n v="14477.22"/>
    <n v="0"/>
    <n v="0"/>
    <n v="0"/>
    <n v="0"/>
    <n v="0"/>
    <n v="0"/>
    <m/>
  </r>
  <r>
    <s v="Московская"/>
    <x v="0"/>
    <x v="1"/>
    <x v="1"/>
    <s v="СОРСО-СТР ООО"/>
    <m/>
    <m/>
    <m/>
    <n v="0"/>
    <n v="3549.6000000000004"/>
    <n v="0"/>
    <n v="0"/>
    <n v="0"/>
    <n v="0"/>
    <n v="0"/>
    <n v="0"/>
    <m/>
  </r>
  <r>
    <s v="Московская"/>
    <x v="0"/>
    <x v="1"/>
    <x v="1"/>
    <s v="СОРСО-СТР ООО"/>
    <m/>
    <m/>
    <m/>
    <n v="0"/>
    <n v="19308"/>
    <n v="0"/>
    <n v="0"/>
    <n v="0"/>
    <n v="0"/>
    <n v="0"/>
    <n v="0"/>
    <m/>
  </r>
  <r>
    <s v="Нижегородская"/>
    <x v="0"/>
    <x v="1"/>
    <x v="1"/>
    <s v="СОРСО-СТР ООО"/>
    <m/>
    <m/>
    <m/>
    <n v="0"/>
    <n v="0"/>
    <n v="0"/>
    <n v="129955.4"/>
    <n v="0"/>
    <n v="0"/>
    <n v="0"/>
    <n v="0"/>
    <m/>
  </r>
  <r>
    <s v="Нижегородская"/>
    <x v="0"/>
    <x v="0"/>
    <x v="0"/>
    <s v="Сладкая жизнь Плюс ООО"/>
    <n v="1"/>
    <m/>
    <m/>
    <n v="0"/>
    <n v="63562247.979999989"/>
    <n v="0"/>
    <n v="77453434.560000166"/>
    <n v="0"/>
    <n v="66363320.945000082"/>
    <n v="650000"/>
    <n v="0"/>
    <m/>
  </r>
  <r>
    <s v="Нижегородская"/>
    <x v="0"/>
    <x v="1"/>
    <x v="1"/>
    <s v="СОРСО-СТР ООО"/>
    <m/>
    <m/>
    <m/>
    <n v="0"/>
    <n v="0"/>
    <n v="0"/>
    <n v="15797.939999999999"/>
    <n v="0"/>
    <n v="0"/>
    <n v="0"/>
    <n v="0"/>
    <m/>
  </r>
  <r>
    <s v="Нижегородская"/>
    <x v="0"/>
    <x v="0"/>
    <x v="0"/>
    <s v="Сладкая жизнь Плюс ООО"/>
    <m/>
    <m/>
    <m/>
    <n v="0"/>
    <n v="0"/>
    <n v="36039.75"/>
    <n v="2646.7699999999995"/>
    <n v="0"/>
    <n v="296596293.75999993"/>
    <n v="0"/>
    <n v="0"/>
    <m/>
  </r>
  <r>
    <s v="Нижегородская"/>
    <x v="0"/>
    <x v="0"/>
    <x v="2"/>
    <s v="Сладкая жизнь Плюс ООО"/>
    <m/>
    <m/>
    <m/>
    <n v="0"/>
    <n v="0"/>
    <n v="19547.75"/>
    <n v="2646.7699999999995"/>
    <n v="0"/>
    <n v="0"/>
    <n v="0"/>
    <n v="0"/>
    <m/>
  </r>
  <r>
    <s v="Нижегородская"/>
    <x v="0"/>
    <x v="0"/>
    <x v="0"/>
    <s v="Сладкая жизнь Плюс ООО"/>
    <m/>
    <m/>
    <m/>
    <n v="0"/>
    <n v="0"/>
    <n v="266477.83"/>
    <n v="2207814.08"/>
    <n v="0"/>
    <n v="0"/>
    <n v="0"/>
    <n v="0"/>
    <m/>
  </r>
  <r>
    <s v="Нижегородская"/>
    <x v="0"/>
    <x v="1"/>
    <x v="1"/>
    <s v="СОРСО-СТР ООО"/>
    <m/>
    <m/>
    <m/>
    <n v="0"/>
    <n v="0"/>
    <n v="0"/>
    <n v="21101.88"/>
    <n v="0"/>
    <n v="0"/>
    <n v="0"/>
    <n v="0"/>
    <m/>
  </r>
  <r>
    <s v="Тульская"/>
    <x v="0"/>
    <x v="1"/>
    <x v="1"/>
    <s v="СОРСО-СТР ООО"/>
    <m/>
    <m/>
    <m/>
    <n v="0"/>
    <n v="0"/>
    <n v="0"/>
    <n v="88016.4"/>
    <n v="0"/>
    <n v="0"/>
    <n v="0"/>
    <n v="0"/>
    <m/>
  </r>
  <r>
    <s v="Тульская"/>
    <x v="0"/>
    <x v="0"/>
    <x v="5"/>
    <s v="Сладкая Жизнь Плюс ООО (Москва)"/>
    <m/>
    <m/>
    <m/>
    <n v="0"/>
    <n v="0"/>
    <n v="0"/>
    <n v="30797380.840000004"/>
    <n v="0"/>
    <n v="19446886.790000033"/>
    <n v="0"/>
    <n v="0"/>
    <m/>
  </r>
  <r>
    <s v="Тульская"/>
    <x v="0"/>
    <x v="1"/>
    <x v="1"/>
    <s v="СОРСО-СТР ООО"/>
    <m/>
    <m/>
    <m/>
    <n v="0"/>
    <n v="0"/>
    <n v="0"/>
    <n v="1850878.62"/>
    <n v="0"/>
    <n v="0"/>
    <n v="0"/>
    <n v="0"/>
    <m/>
  </r>
  <r>
    <s v="Тульская"/>
    <x v="0"/>
    <x v="1"/>
    <x v="4"/>
    <s v="Фуд-Трейд ООО (Москва)"/>
    <m/>
    <m/>
    <m/>
    <n v="0"/>
    <n v="0"/>
    <n v="0"/>
    <n v="31905.269999999997"/>
    <n v="0"/>
    <n v="0"/>
    <n v="0"/>
    <n v="0"/>
    <m/>
  </r>
  <r>
    <s v="Тульская"/>
    <x v="0"/>
    <x v="0"/>
    <x v="3"/>
    <s v="Сладкая Жизнь Плюс ООО (Москва)"/>
    <m/>
    <m/>
    <m/>
    <n v="0"/>
    <n v="0"/>
    <n v="0"/>
    <n v="2274.2749999999996"/>
    <n v="0"/>
    <n v="0"/>
    <n v="0"/>
    <n v="0"/>
    <m/>
  </r>
  <r>
    <s v="Тульская"/>
    <x v="0"/>
    <x v="0"/>
    <x v="5"/>
    <s v="Сладкая Жизнь Плюс ООО (Москва)"/>
    <m/>
    <m/>
    <m/>
    <n v="0"/>
    <n v="0"/>
    <n v="0"/>
    <n v="2274.2749999999996"/>
    <n v="0"/>
    <n v="0"/>
    <n v="0"/>
    <n v="0"/>
    <m/>
  </r>
  <r>
    <s v="Чувашская Республика -"/>
    <x v="0"/>
    <x v="0"/>
    <x v="2"/>
    <s v="Сладкая жизнь Плюс ООО"/>
    <m/>
    <m/>
    <m/>
    <n v="0"/>
    <n v="0"/>
    <n v="0"/>
    <n v="36896244.130000025"/>
    <n v="0"/>
    <n v="44164732.540000081"/>
    <n v="0"/>
    <n v="0"/>
    <m/>
  </r>
  <r>
    <s v="Чувашская Республика -"/>
    <x v="0"/>
    <x v="0"/>
    <x v="0"/>
    <s v="Сладкая жизнь Плюс ООО"/>
    <m/>
    <m/>
    <m/>
    <n v="0"/>
    <n v="0"/>
    <n v="0"/>
    <n v="66329.489999999991"/>
    <n v="0"/>
    <n v="0"/>
    <n v="0"/>
    <n v="0"/>
    <m/>
  </r>
  <r>
    <s v="Чувашская Республика -"/>
    <x v="0"/>
    <x v="0"/>
    <x v="2"/>
    <s v="Сладкая жизнь Плюс ООО"/>
    <m/>
    <m/>
    <m/>
    <n v="0"/>
    <n v="0"/>
    <n v="0"/>
    <n v="66329.489999999991"/>
    <n v="0"/>
    <n v="0"/>
    <n v="0"/>
    <n v="0"/>
    <m/>
  </r>
  <r>
    <s v="Адыгея"/>
    <x v="0"/>
    <x v="2"/>
    <x v="6"/>
    <m/>
    <m/>
    <m/>
    <m/>
    <n v="740866.42488330521"/>
    <n v="0"/>
    <n v="0"/>
    <n v="0"/>
    <n v="0"/>
    <n v="0"/>
    <n v="0"/>
    <n v="0"/>
    <m/>
  </r>
  <r>
    <s v="Архангельская"/>
    <x v="0"/>
    <x v="2"/>
    <x v="6"/>
    <m/>
    <m/>
    <m/>
    <m/>
    <n v="2222599.2746499158"/>
    <n v="0"/>
    <n v="0"/>
    <n v="0"/>
    <n v="0"/>
    <n v="0"/>
    <n v="0"/>
    <n v="0"/>
    <m/>
  </r>
  <r>
    <s v="Астраханская"/>
    <x v="0"/>
    <x v="2"/>
    <x v="6"/>
    <m/>
    <m/>
    <m/>
    <m/>
    <n v="1481732.8497666104"/>
    <n v="0"/>
    <n v="0"/>
    <n v="0"/>
    <n v="0"/>
    <n v="0"/>
    <n v="0"/>
    <n v="0"/>
    <m/>
  </r>
  <r>
    <s v="Белгородская"/>
    <x v="0"/>
    <x v="2"/>
    <x v="6"/>
    <m/>
    <m/>
    <m/>
    <m/>
    <n v="1481732.8497666104"/>
    <n v="0"/>
    <n v="0"/>
    <n v="0"/>
    <n v="0"/>
    <n v="0"/>
    <n v="0"/>
    <n v="0"/>
    <m/>
  </r>
  <r>
    <s v="Владимирская"/>
    <x v="0"/>
    <x v="2"/>
    <x v="6"/>
    <m/>
    <m/>
    <m/>
    <s v="TR"/>
    <n v="4445198.5492998315"/>
    <n v="0"/>
    <n v="0"/>
    <n v="0"/>
    <n v="0"/>
    <n v="0"/>
    <n v="0"/>
    <n v="0"/>
    <m/>
  </r>
  <r>
    <s v="Волгоградская"/>
    <x v="0"/>
    <x v="2"/>
    <x v="6"/>
    <m/>
    <m/>
    <m/>
    <s v="TR"/>
    <n v="5926931.3990664417"/>
    <n v="0"/>
    <n v="0"/>
    <n v="0"/>
    <n v="0"/>
    <n v="0"/>
    <n v="0"/>
    <n v="0"/>
    <m/>
  </r>
  <r>
    <s v="Вологодская"/>
    <x v="0"/>
    <x v="2"/>
    <x v="6"/>
    <m/>
    <m/>
    <m/>
    <m/>
    <n v="740866.42488330521"/>
    <n v="0"/>
    <n v="0"/>
    <n v="0"/>
    <n v="0"/>
    <n v="0"/>
    <n v="0"/>
    <n v="0"/>
    <m/>
  </r>
  <r>
    <s v="Воронежская"/>
    <x v="0"/>
    <x v="2"/>
    <x v="6"/>
    <m/>
    <m/>
    <m/>
    <s v="TR"/>
    <n v="8890397.098599663"/>
    <n v="0"/>
    <n v="0"/>
    <n v="0"/>
    <n v="0"/>
    <n v="0"/>
    <n v="0"/>
    <n v="0"/>
    <m/>
  </r>
  <r>
    <s v="Ивановская"/>
    <x v="0"/>
    <x v="2"/>
    <x v="6"/>
    <m/>
    <m/>
    <m/>
    <s v="TR"/>
    <n v="2963465.6995332208"/>
    <n v="0"/>
    <n v="0"/>
    <n v="0"/>
    <n v="0"/>
    <n v="0"/>
    <n v="0"/>
    <n v="0"/>
    <m/>
  </r>
  <r>
    <s v="Калужская"/>
    <x v="0"/>
    <x v="2"/>
    <x v="6"/>
    <m/>
    <m/>
    <m/>
    <s v="Open"/>
    <n v="5186064.9741831366"/>
    <n v="0"/>
    <n v="0"/>
    <n v="0"/>
    <n v="0"/>
    <n v="0"/>
    <n v="0"/>
    <n v="0"/>
    <m/>
  </r>
  <r>
    <s v="Кемеровская область - Кузбасс"/>
    <x v="0"/>
    <x v="2"/>
    <x v="6"/>
    <m/>
    <m/>
    <m/>
    <m/>
    <n v="1481732.8497666104"/>
    <n v="0"/>
    <n v="0"/>
    <n v="0"/>
    <n v="0"/>
    <n v="0"/>
    <n v="0"/>
    <n v="0"/>
    <m/>
  </r>
  <r>
    <s v="Костромская"/>
    <x v="0"/>
    <x v="2"/>
    <x v="6"/>
    <m/>
    <m/>
    <m/>
    <s v="TR"/>
    <n v="2222599.2746499158"/>
    <n v="0"/>
    <n v="0"/>
    <n v="0"/>
    <n v="0"/>
    <n v="0"/>
    <n v="0"/>
    <n v="0"/>
    <m/>
  </r>
  <r>
    <s v="Краснодарский"/>
    <x v="0"/>
    <x v="2"/>
    <x v="6"/>
    <m/>
    <m/>
    <m/>
    <m/>
    <n v="6667797.8239497459"/>
    <n v="0"/>
    <n v="0"/>
    <n v="0"/>
    <n v="0"/>
    <n v="0"/>
    <n v="0"/>
    <n v="0"/>
    <m/>
  </r>
  <r>
    <s v="Курская"/>
    <x v="0"/>
    <x v="2"/>
    <x v="6"/>
    <m/>
    <m/>
    <m/>
    <s v="TR"/>
    <n v="2222599.2746499158"/>
    <n v="0"/>
    <n v="0"/>
    <n v="0"/>
    <n v="0"/>
    <n v="0"/>
    <n v="0"/>
    <n v="0"/>
    <m/>
  </r>
  <r>
    <s v="Ленинградская"/>
    <x v="0"/>
    <x v="2"/>
    <x v="6"/>
    <m/>
    <m/>
    <m/>
    <m/>
    <n v="2963465.6995332208"/>
    <n v="0"/>
    <n v="0"/>
    <n v="0"/>
    <n v="0"/>
    <n v="0"/>
    <n v="0"/>
    <n v="0"/>
    <m/>
  </r>
  <r>
    <s v="Липецкая"/>
    <x v="0"/>
    <x v="2"/>
    <x v="6"/>
    <m/>
    <m/>
    <m/>
    <s v="TR"/>
    <n v="4445198.5492998315"/>
    <n v="0"/>
    <n v="0"/>
    <n v="0"/>
    <n v="0"/>
    <n v="0"/>
    <n v="0"/>
    <n v="0"/>
    <m/>
  </r>
  <r>
    <s v="Москва"/>
    <x v="0"/>
    <x v="2"/>
    <x v="6"/>
    <m/>
    <m/>
    <n v="1"/>
    <s v="Open"/>
    <n v="160027147.77479389"/>
    <n v="0"/>
    <n v="0"/>
    <n v="0"/>
    <n v="0"/>
    <n v="0"/>
    <n v="202930000"/>
    <n v="0"/>
    <m/>
  </r>
  <r>
    <s v="Московская"/>
    <x v="0"/>
    <x v="2"/>
    <x v="6"/>
    <m/>
    <m/>
    <m/>
    <s v="Open"/>
    <n v="98535234.509479582"/>
    <n v="0"/>
    <n v="0"/>
    <n v="0"/>
    <n v="0"/>
    <n v="0"/>
    <n v="158080000"/>
    <n v="0"/>
    <m/>
  </r>
  <r>
    <s v="Мурманская"/>
    <x v="0"/>
    <x v="2"/>
    <x v="6"/>
    <m/>
    <m/>
    <m/>
    <m/>
    <n v="1481732.8497666104"/>
    <n v="0"/>
    <n v="0"/>
    <n v="0"/>
    <n v="0"/>
    <n v="0"/>
    <n v="0"/>
    <n v="0"/>
    <m/>
  </r>
  <r>
    <s v="Нижегородская"/>
    <x v="0"/>
    <x v="2"/>
    <x v="6"/>
    <m/>
    <m/>
    <m/>
    <s v="TR"/>
    <n v="7408664.2488330519"/>
    <n v="0"/>
    <n v="0"/>
    <n v="0"/>
    <n v="0"/>
    <n v="0"/>
    <n v="0"/>
    <n v="0"/>
    <m/>
  </r>
  <r>
    <s v="Омская"/>
    <x v="0"/>
    <x v="2"/>
    <x v="6"/>
    <m/>
    <m/>
    <m/>
    <m/>
    <n v="2222599.2746499158"/>
    <n v="0"/>
    <n v="0"/>
    <n v="0"/>
    <n v="0"/>
    <n v="0"/>
    <n v="0"/>
    <n v="0"/>
    <m/>
  </r>
  <r>
    <s v="Орловская"/>
    <x v="0"/>
    <x v="2"/>
    <x v="6"/>
    <m/>
    <m/>
    <m/>
    <s v="TR"/>
    <n v="740866.42488330521"/>
    <n v="0"/>
    <n v="0"/>
    <n v="0"/>
    <n v="0"/>
    <n v="0"/>
    <n v="0"/>
    <n v="0"/>
    <m/>
  </r>
  <r>
    <s v="Пермский"/>
    <x v="0"/>
    <x v="2"/>
    <x v="6"/>
    <m/>
    <m/>
    <m/>
    <m/>
    <n v="1481732.8497666104"/>
    <n v="0"/>
    <n v="0"/>
    <n v="0"/>
    <n v="0"/>
    <n v="0"/>
    <n v="0"/>
    <n v="0"/>
    <m/>
  </r>
  <r>
    <s v="Псковская"/>
    <x v="0"/>
    <x v="2"/>
    <x v="6"/>
    <m/>
    <m/>
    <m/>
    <m/>
    <n v="740866.42488330521"/>
    <n v="0"/>
    <n v="0"/>
    <n v="0"/>
    <n v="0"/>
    <n v="0"/>
    <n v="0"/>
    <n v="0"/>
    <m/>
  </r>
  <r>
    <s v="Ростовская"/>
    <x v="0"/>
    <x v="2"/>
    <x v="6"/>
    <m/>
    <m/>
    <m/>
    <m/>
    <n v="2963465.6995332208"/>
    <n v="0"/>
    <n v="0"/>
    <n v="0"/>
    <n v="0"/>
    <n v="0"/>
    <n v="0"/>
    <n v="0"/>
    <m/>
  </r>
  <r>
    <s v="Рязанская"/>
    <x v="0"/>
    <x v="2"/>
    <x v="6"/>
    <m/>
    <m/>
    <m/>
    <s v="Open"/>
    <n v="2963465.6995332208"/>
    <n v="0"/>
    <n v="0"/>
    <n v="0"/>
    <n v="0"/>
    <n v="0"/>
    <n v="0"/>
    <n v="0"/>
    <m/>
  </r>
  <r>
    <s v="Самарская"/>
    <x v="0"/>
    <x v="2"/>
    <x v="6"/>
    <m/>
    <m/>
    <m/>
    <m/>
    <n v="3704332.1244165259"/>
    <n v="0"/>
    <n v="0"/>
    <n v="0"/>
    <n v="0"/>
    <n v="0"/>
    <n v="0"/>
    <n v="0"/>
    <m/>
  </r>
  <r>
    <s v="Санкт-Петербург"/>
    <x v="0"/>
    <x v="2"/>
    <x v="6"/>
    <m/>
    <m/>
    <m/>
    <s v="TR"/>
    <n v="34820721.969515346"/>
    <n v="0"/>
    <n v="0"/>
    <n v="0"/>
    <n v="0"/>
    <n v="0"/>
    <n v="0"/>
    <n v="0"/>
    <m/>
  </r>
  <r>
    <s v="Саратовская"/>
    <x v="0"/>
    <x v="2"/>
    <x v="6"/>
    <m/>
    <m/>
    <m/>
    <m/>
    <n v="2222599.2746499158"/>
    <n v="0"/>
    <n v="0"/>
    <n v="0"/>
    <n v="0"/>
    <n v="0"/>
    <n v="0"/>
    <n v="0"/>
    <m/>
  </r>
  <r>
    <s v="Свердловская"/>
    <x v="0"/>
    <x v="2"/>
    <x v="6"/>
    <m/>
    <m/>
    <m/>
    <s v="Open"/>
    <n v="6667797.8239497459"/>
    <n v="0"/>
    <n v="0"/>
    <n v="0"/>
    <n v="0"/>
    <n v="0"/>
    <n v="0"/>
    <n v="0"/>
    <m/>
  </r>
  <r>
    <s v="Тамбовская"/>
    <x v="0"/>
    <x v="2"/>
    <x v="6"/>
    <m/>
    <m/>
    <m/>
    <m/>
    <n v="740866.42488330521"/>
    <n v="0"/>
    <n v="0"/>
    <n v="0"/>
    <n v="0"/>
    <n v="0"/>
    <n v="0"/>
    <n v="0"/>
    <m/>
  </r>
  <r>
    <s v="Татарстан"/>
    <x v="0"/>
    <x v="2"/>
    <x v="6"/>
    <m/>
    <m/>
    <m/>
    <s v="Open"/>
    <n v="5186064.9741831366"/>
    <n v="0"/>
    <n v="0"/>
    <n v="0"/>
    <n v="0"/>
    <n v="0"/>
    <n v="0"/>
    <n v="0"/>
    <m/>
  </r>
  <r>
    <s v="Тверская"/>
    <x v="0"/>
    <x v="2"/>
    <x v="6"/>
    <m/>
    <m/>
    <m/>
    <s v="TR"/>
    <n v="2222599.2746499158"/>
    <n v="0"/>
    <n v="0"/>
    <n v="0"/>
    <n v="0"/>
    <n v="0"/>
    <n v="0"/>
    <n v="0"/>
    <m/>
  </r>
  <r>
    <s v="Тульская"/>
    <x v="0"/>
    <x v="2"/>
    <x v="6"/>
    <m/>
    <m/>
    <m/>
    <s v="Open"/>
    <n v="8149530.673716356"/>
    <n v="0"/>
    <n v="0"/>
    <n v="0"/>
    <n v="0"/>
    <n v="0"/>
    <n v="0"/>
    <n v="0"/>
    <m/>
  </r>
  <r>
    <s v="Тюменская"/>
    <x v="0"/>
    <x v="2"/>
    <x v="6"/>
    <m/>
    <m/>
    <m/>
    <s v="Open"/>
    <n v="3704332.1244165259"/>
    <n v="0"/>
    <n v="0"/>
    <n v="0"/>
    <n v="0"/>
    <n v="0"/>
    <n v="0"/>
    <n v="0"/>
    <m/>
  </r>
  <r>
    <s v="Ульяновская"/>
    <x v="0"/>
    <x v="2"/>
    <x v="6"/>
    <m/>
    <m/>
    <m/>
    <m/>
    <n v="740866.42488330521"/>
    <n v="0"/>
    <n v="0"/>
    <n v="0"/>
    <n v="0"/>
    <n v="0"/>
    <n v="0"/>
    <n v="0"/>
    <m/>
  </r>
  <r>
    <s v="Ханты-Мансийский Автономный округ - Югра"/>
    <x v="0"/>
    <x v="2"/>
    <x v="6"/>
    <m/>
    <m/>
    <m/>
    <m/>
    <n v="3704332.1244165259"/>
    <n v="0"/>
    <n v="0"/>
    <n v="0"/>
    <n v="0"/>
    <n v="0"/>
    <n v="0"/>
    <n v="0"/>
    <m/>
  </r>
  <r>
    <s v="Челябинская"/>
    <x v="0"/>
    <x v="2"/>
    <x v="6"/>
    <m/>
    <m/>
    <m/>
    <m/>
    <n v="2963465.6995332208"/>
    <n v="0"/>
    <n v="0"/>
    <n v="0"/>
    <n v="0"/>
    <n v="0"/>
    <n v="0"/>
    <n v="0"/>
    <m/>
  </r>
  <r>
    <s v="Ярославская"/>
    <x v="0"/>
    <x v="2"/>
    <x v="6"/>
    <m/>
    <m/>
    <m/>
    <s v="TR"/>
    <n v="5186064.9741831366"/>
    <n v="0"/>
    <n v="0"/>
    <n v="0"/>
    <n v="0"/>
    <n v="0"/>
    <n v="0"/>
    <n v="0"/>
    <m/>
  </r>
  <r>
    <s v="Нижегородская"/>
    <x v="0"/>
    <x v="2"/>
    <x v="7"/>
    <s v="Сладкая жизнь Плюс ООО"/>
    <m/>
    <n v="2"/>
    <m/>
    <n v="4133704.7500000019"/>
    <n v="0"/>
    <n v="0"/>
    <n v="0"/>
    <n v="0"/>
    <n v="0"/>
    <n v="0"/>
    <n v="0"/>
    <m/>
  </r>
  <r>
    <s v="Владимирская"/>
    <x v="0"/>
    <x v="2"/>
    <x v="7"/>
    <s v="Сладкая жизнь Плюс ООО"/>
    <m/>
    <m/>
    <m/>
    <n v="106329968.9599999"/>
    <n v="0"/>
    <n v="0"/>
    <n v="0"/>
    <n v="0"/>
    <n v="0"/>
    <n v="0"/>
    <n v="0"/>
    <m/>
  </r>
  <r>
    <s v="Ивановская"/>
    <x v="0"/>
    <x v="2"/>
    <x v="7"/>
    <s v="Сладкая жизнь Плюс ООО"/>
    <m/>
    <m/>
    <m/>
    <n v="33638771.900000058"/>
    <n v="0"/>
    <n v="0"/>
    <n v="0"/>
    <n v="0"/>
    <n v="0"/>
    <n v="0"/>
    <n v="0"/>
    <m/>
  </r>
  <r>
    <s v="Кировская"/>
    <x v="0"/>
    <x v="2"/>
    <x v="7"/>
    <s v="Сладкая жизнь Плюс ООО"/>
    <m/>
    <m/>
    <m/>
    <n v="17735235.059999984"/>
    <n v="0"/>
    <n v="0"/>
    <n v="0"/>
    <n v="0"/>
    <n v="0"/>
    <n v="0"/>
    <n v="0"/>
    <m/>
  </r>
  <r>
    <s v="Костромская"/>
    <x v="0"/>
    <x v="2"/>
    <x v="7"/>
    <s v="Сладкая жизнь Плюс ООО"/>
    <m/>
    <m/>
    <m/>
    <n v="37869.070000000007"/>
    <n v="0"/>
    <n v="0"/>
    <n v="0"/>
    <n v="0"/>
    <n v="0"/>
    <n v="0"/>
    <n v="0"/>
    <m/>
  </r>
  <r>
    <s v="Марий Эл"/>
    <x v="0"/>
    <x v="2"/>
    <x v="7"/>
    <s v="Сладкая жизнь Плюс ООО"/>
    <m/>
    <m/>
    <m/>
    <n v="38645289.219999984"/>
    <n v="0"/>
    <n v="0"/>
    <n v="0"/>
    <n v="0"/>
    <n v="0"/>
    <n v="0"/>
    <n v="0"/>
    <m/>
  </r>
  <r>
    <s v="Мордовия"/>
    <x v="0"/>
    <x v="2"/>
    <x v="7"/>
    <s v="Сладкая жизнь Плюс ООО"/>
    <m/>
    <m/>
    <m/>
    <n v="47237007.010000035"/>
    <n v="0"/>
    <n v="0"/>
    <n v="0"/>
    <n v="0"/>
    <n v="0"/>
    <n v="0"/>
    <n v="0"/>
    <m/>
  </r>
  <r>
    <s v="Нижегородская"/>
    <x v="0"/>
    <x v="2"/>
    <x v="7"/>
    <s v="Сладкая жизнь Плюс ООО"/>
    <m/>
    <m/>
    <m/>
    <n v="536814012.13001424"/>
    <n v="0"/>
    <n v="0"/>
    <n v="0"/>
    <n v="0"/>
    <n v="0"/>
    <n v="0"/>
    <n v="0"/>
    <m/>
  </r>
  <r>
    <s v="Пензенская"/>
    <x v="0"/>
    <x v="2"/>
    <x v="7"/>
    <s v="Сладкая жизнь Плюс ООО"/>
    <m/>
    <m/>
    <m/>
    <n v="13739359.569999987"/>
    <n v="0"/>
    <n v="0"/>
    <n v="0"/>
    <n v="0"/>
    <n v="0"/>
    <n v="0"/>
    <n v="0"/>
    <m/>
  </r>
  <r>
    <s v="Рязанская"/>
    <x v="0"/>
    <x v="2"/>
    <x v="7"/>
    <s v="Сладкая жизнь Плюс ООО"/>
    <m/>
    <m/>
    <m/>
    <n v="8153129.5399999972"/>
    <n v="0"/>
    <n v="0"/>
    <n v="0"/>
    <n v="0"/>
    <n v="0"/>
    <n v="0"/>
    <n v="0"/>
    <m/>
  </r>
  <r>
    <s v="Татарстан"/>
    <x v="0"/>
    <x v="2"/>
    <x v="7"/>
    <s v="Сладкая жизнь Плюс ООО"/>
    <m/>
    <m/>
    <m/>
    <n v="22475823.93999996"/>
    <n v="0"/>
    <n v="0"/>
    <n v="0"/>
    <n v="0"/>
    <n v="0"/>
    <n v="0"/>
    <n v="0"/>
    <m/>
  </r>
  <r>
    <s v="Чувашская Республика -"/>
    <x v="0"/>
    <x v="2"/>
    <x v="7"/>
    <s v="Сладкая жизнь Плюс ООО"/>
    <m/>
    <m/>
    <m/>
    <n v="27729672.150000017"/>
    <n v="0"/>
    <n v="0"/>
    <n v="0"/>
    <n v="0"/>
    <n v="0"/>
    <n v="0"/>
    <n v="0"/>
    <m/>
  </r>
  <r>
    <s v="Ярославская"/>
    <x v="0"/>
    <x v="2"/>
    <x v="7"/>
    <s v="Сладкая жизнь Плюс ООО"/>
    <m/>
    <m/>
    <m/>
    <n v="12720317.61999999"/>
    <n v="0"/>
    <n v="0"/>
    <n v="0"/>
    <n v="0"/>
    <n v="0"/>
    <n v="0"/>
    <n v="0"/>
    <m/>
  </r>
  <r>
    <s v="Нижегородская"/>
    <x v="0"/>
    <x v="2"/>
    <x v="7"/>
    <s v="Сладкая Жизнь Плюс ООО (Москва)"/>
    <m/>
    <m/>
    <m/>
    <n v="4173924.4899999993"/>
    <n v="0"/>
    <n v="0"/>
    <n v="0"/>
    <n v="0"/>
    <n v="0"/>
    <n v="0"/>
    <n v="0"/>
    <m/>
  </r>
  <r>
    <s v="Владимирская"/>
    <x v="0"/>
    <x v="2"/>
    <x v="7"/>
    <s v="Сладкая Жизнь Плюс ООО (Москва)"/>
    <m/>
    <m/>
    <m/>
    <n v="11023567.570000023"/>
    <n v="0"/>
    <n v="0"/>
    <n v="0"/>
    <n v="0"/>
    <n v="0"/>
    <n v="0"/>
    <n v="0"/>
    <m/>
  </r>
  <r>
    <s v="Калужская"/>
    <x v="0"/>
    <x v="2"/>
    <x v="7"/>
    <s v="Сладкая Жизнь Плюс ООО (Москва)"/>
    <m/>
    <m/>
    <m/>
    <n v="23926032.889999863"/>
    <n v="0"/>
    <n v="0"/>
    <n v="0"/>
    <n v="0"/>
    <n v="0"/>
    <n v="0"/>
    <n v="0"/>
    <m/>
  </r>
  <r>
    <s v="Ленинградская"/>
    <x v="0"/>
    <x v="2"/>
    <x v="7"/>
    <s v="Сладкая Жизнь Плюс ООО (Москва)"/>
    <m/>
    <m/>
    <m/>
    <n v="123535.67"/>
    <n v="0"/>
    <n v="0"/>
    <n v="0"/>
    <n v="0"/>
    <n v="0"/>
    <n v="0"/>
    <n v="0"/>
    <m/>
  </r>
  <r>
    <s v="Москва"/>
    <x v="0"/>
    <x v="2"/>
    <x v="7"/>
    <s v="Сладкая Жизнь Плюс ООО (Москва)"/>
    <m/>
    <m/>
    <m/>
    <n v="107010419.06999928"/>
    <n v="0"/>
    <n v="0"/>
    <n v="0"/>
    <n v="0"/>
    <n v="0"/>
    <n v="0"/>
    <n v="0"/>
    <m/>
  </r>
  <r>
    <s v="Московская"/>
    <x v="0"/>
    <x v="2"/>
    <x v="7"/>
    <s v="Сладкая Жизнь Плюс ООО (Москва)"/>
    <m/>
    <m/>
    <m/>
    <n v="154799260.07999986"/>
    <n v="0"/>
    <n v="0"/>
    <n v="0"/>
    <n v="0"/>
    <n v="0"/>
    <n v="0"/>
    <n v="0"/>
    <m/>
  </r>
  <r>
    <s v="Санкт-Петербург"/>
    <x v="0"/>
    <x v="2"/>
    <x v="7"/>
    <s v="Сладкая Жизнь Плюс ООО (Москва)"/>
    <m/>
    <m/>
    <m/>
    <n v="7796925.8200000012"/>
    <n v="0"/>
    <n v="0"/>
    <n v="0"/>
    <n v="0"/>
    <n v="0"/>
    <n v="0"/>
    <n v="0"/>
    <m/>
  </r>
  <r>
    <s v="Тверская"/>
    <x v="0"/>
    <x v="2"/>
    <x v="7"/>
    <s v="Сладкая Жизнь Плюс ООО (Москва)"/>
    <m/>
    <m/>
    <m/>
    <n v="2517045.3900000011"/>
    <n v="0"/>
    <n v="0"/>
    <n v="0"/>
    <n v="0"/>
    <n v="0"/>
    <n v="0"/>
    <n v="0"/>
    <m/>
  </r>
  <r>
    <s v="Ярославская"/>
    <x v="0"/>
    <x v="2"/>
    <x v="7"/>
    <s v="Сладкая Жизнь Плюс ООО (Москва)"/>
    <m/>
    <m/>
    <m/>
    <n v="445154.67000000004"/>
    <n v="0"/>
    <n v="0"/>
    <n v="0"/>
    <n v="0"/>
    <n v="0"/>
    <n v="0"/>
    <n v="0"/>
    <m/>
  </r>
  <r>
    <s v="Ленинградская"/>
    <x v="0"/>
    <x v="0"/>
    <x v="0"/>
    <s v="Денди ЗАО"/>
    <m/>
    <m/>
    <m/>
    <n v="5423625.7199999932"/>
    <n v="0"/>
    <n v="0"/>
    <n v="0"/>
    <n v="0"/>
    <n v="0"/>
    <n v="0"/>
    <n v="0"/>
    <m/>
  </r>
  <r>
    <s v="Мурманская"/>
    <x v="0"/>
    <x v="0"/>
    <x v="0"/>
    <s v="Денди ЗАО"/>
    <m/>
    <m/>
    <m/>
    <n v="1456400.8099999996"/>
    <n v="0"/>
    <n v="0"/>
    <n v="0"/>
    <n v="0"/>
    <n v="0"/>
    <n v="0"/>
    <n v="0"/>
    <m/>
  </r>
  <r>
    <s v="Санкт-Петербург"/>
    <x v="0"/>
    <x v="0"/>
    <x v="0"/>
    <s v="Денди ЗАО"/>
    <m/>
    <n v="1"/>
    <m/>
    <n v="54851077.389999077"/>
    <n v="0"/>
    <n v="0"/>
    <n v="0"/>
    <n v="0"/>
    <n v="0"/>
    <n v="0"/>
    <n v="0"/>
    <m/>
  </r>
  <r>
    <s v="Башкортостан"/>
    <x v="0"/>
    <x v="0"/>
    <x v="0"/>
    <s v="СОРСО-СТР ООО"/>
    <m/>
    <m/>
    <m/>
    <n v="25370.440000000002"/>
    <n v="0"/>
    <n v="0"/>
    <n v="0"/>
    <n v="0"/>
    <n v="0"/>
    <n v="0"/>
    <n v="0"/>
    <m/>
  </r>
  <r>
    <s v="Владимирская"/>
    <x v="0"/>
    <x v="0"/>
    <x v="0"/>
    <s v="СОРСО-СТР ООО"/>
    <m/>
    <m/>
    <m/>
    <n v="18648.36"/>
    <n v="0"/>
    <n v="0"/>
    <n v="0"/>
    <n v="0"/>
    <n v="0"/>
    <n v="0"/>
    <n v="0"/>
    <m/>
  </r>
  <r>
    <s v="Воронежская"/>
    <x v="0"/>
    <x v="0"/>
    <x v="0"/>
    <s v="СОРСО-СТР ООО"/>
    <m/>
    <m/>
    <m/>
    <n v="2366.4"/>
    <n v="0"/>
    <n v="0"/>
    <n v="0"/>
    <n v="0"/>
    <n v="0"/>
    <n v="0"/>
    <n v="0"/>
    <m/>
  </r>
  <r>
    <s v="Москва"/>
    <x v="0"/>
    <x v="0"/>
    <x v="0"/>
    <s v="СОРСО-СТР ООО"/>
    <m/>
    <m/>
    <m/>
    <n v="37065.72"/>
    <n v="0"/>
    <n v="0"/>
    <n v="0"/>
    <n v="0"/>
    <n v="0"/>
    <n v="0"/>
    <n v="0"/>
    <m/>
  </r>
  <r>
    <s v="Московская"/>
    <x v="0"/>
    <x v="0"/>
    <x v="0"/>
    <s v="СОРСО-СТР ООО"/>
    <m/>
    <m/>
    <m/>
    <n v="7905.2800000000007"/>
    <n v="0"/>
    <n v="0"/>
    <n v="0"/>
    <n v="0"/>
    <n v="0"/>
    <n v="0"/>
    <n v="0"/>
    <m/>
  </r>
  <r>
    <s v="Новосибирская"/>
    <x v="0"/>
    <x v="0"/>
    <x v="0"/>
    <s v="СОРСО-СТР ООО"/>
    <m/>
    <m/>
    <m/>
    <n v="8188.1200000000008"/>
    <n v="0"/>
    <n v="0"/>
    <n v="0"/>
    <n v="0"/>
    <n v="0"/>
    <n v="0"/>
    <n v="0"/>
    <m/>
  </r>
  <r>
    <s v="Пермский"/>
    <x v="0"/>
    <x v="0"/>
    <x v="0"/>
    <s v="СОРСО-СТР ООО"/>
    <m/>
    <m/>
    <m/>
    <n v="16376.24"/>
    <n v="0"/>
    <n v="0"/>
    <n v="0"/>
    <n v="0"/>
    <n v="0"/>
    <n v="0"/>
    <n v="0"/>
    <m/>
  </r>
  <r>
    <s v="Самарская"/>
    <x v="0"/>
    <x v="0"/>
    <x v="0"/>
    <s v="СОРСО-СТР ООО"/>
    <m/>
    <m/>
    <m/>
    <n v="21109.040000000001"/>
    <n v="0"/>
    <n v="0"/>
    <n v="0"/>
    <n v="0"/>
    <n v="0"/>
    <n v="0"/>
    <n v="0"/>
    <m/>
  </r>
  <r>
    <s v="Саратовская"/>
    <x v="0"/>
    <x v="0"/>
    <x v="0"/>
    <s v="СОРСО-СТР ООО"/>
    <m/>
    <m/>
    <m/>
    <n v="1183.2"/>
    <n v="0"/>
    <n v="0"/>
    <n v="0"/>
    <n v="0"/>
    <n v="0"/>
    <n v="0"/>
    <n v="0"/>
    <m/>
  </r>
  <r>
    <s v="Свердловская"/>
    <x v="0"/>
    <x v="0"/>
    <x v="0"/>
    <s v="СОРСО-СТР ООО"/>
    <m/>
    <m/>
    <m/>
    <n v="3549.6000000000004"/>
    <n v="0"/>
    <n v="0"/>
    <n v="0"/>
    <n v="0"/>
    <n v="0"/>
    <n v="0"/>
    <n v="0"/>
    <m/>
  </r>
  <r>
    <s v="Ростовская"/>
    <x v="0"/>
    <x v="0"/>
    <x v="0"/>
    <s v="Миллениум-Дон ООО"/>
    <m/>
    <m/>
    <m/>
    <n v="921680.2300000001"/>
    <n v="0"/>
    <n v="0"/>
    <n v="0"/>
    <n v="0"/>
    <n v="0"/>
    <n v="0"/>
    <n v="0"/>
    <m/>
  </r>
  <r>
    <s v="Новосибирская"/>
    <x v="0"/>
    <x v="0"/>
    <x v="0"/>
    <s v="РП Альянс ООО"/>
    <m/>
    <m/>
    <m/>
    <n v="5926665.4000000013"/>
    <n v="0"/>
    <n v="0"/>
    <n v="0"/>
    <n v="0"/>
    <n v="0"/>
    <n v="0"/>
    <n v="0"/>
    <m/>
  </r>
  <r>
    <s v="Владимирская"/>
    <x v="0"/>
    <x v="0"/>
    <x v="0"/>
    <s v="Сладкая жизнь Плюс ООО"/>
    <m/>
    <m/>
    <m/>
    <n v="5086111.4299999988"/>
    <n v="0"/>
    <n v="0"/>
    <n v="0"/>
    <n v="0"/>
    <n v="0"/>
    <n v="0"/>
    <n v="0"/>
    <m/>
  </r>
  <r>
    <s v="Нижегородская"/>
    <x v="0"/>
    <x v="0"/>
    <x v="0"/>
    <s v="Сладкая жизнь Плюс ООО"/>
    <m/>
    <n v="1"/>
    <m/>
    <n v="26291849.469999973"/>
    <n v="0"/>
    <n v="0"/>
    <n v="0"/>
    <n v="0"/>
    <n v="0"/>
    <n v="0"/>
    <n v="0"/>
    <m/>
  </r>
  <r>
    <s v="Татарстан"/>
    <x v="0"/>
    <x v="0"/>
    <x v="0"/>
    <s v="Сладкая жизнь Плюс ООО"/>
    <m/>
    <m/>
    <m/>
    <n v="22420066.279999983"/>
    <n v="0"/>
    <n v="0"/>
    <n v="0"/>
    <n v="0"/>
    <n v="0"/>
    <n v="0"/>
    <n v="0"/>
    <m/>
  </r>
  <r>
    <s v="Москва"/>
    <x v="0"/>
    <x v="0"/>
    <x v="0"/>
    <s v="Сладкая Жизнь Плюс ООО (Москва)"/>
    <m/>
    <m/>
    <m/>
    <n v="85074102.199999839"/>
    <n v="0"/>
    <n v="0"/>
    <n v="0"/>
    <n v="0"/>
    <n v="0"/>
    <n v="0"/>
    <n v="0"/>
    <m/>
  </r>
  <r>
    <s v="Московская"/>
    <x v="0"/>
    <x v="0"/>
    <x v="0"/>
    <s v="Сладкая Жизнь Плюс ООО (Москва)"/>
    <m/>
    <m/>
    <m/>
    <n v="3823372.6700000009"/>
    <n v="0"/>
    <n v="0"/>
    <n v="0"/>
    <n v="0"/>
    <n v="0"/>
    <n v="0"/>
    <n v="0"/>
    <m/>
  </r>
  <r>
    <s v="Воронежская"/>
    <x v="0"/>
    <x v="0"/>
    <x v="0"/>
    <s v="Фуд-Трейд ООО (Воронеж)"/>
    <m/>
    <m/>
    <m/>
    <n v="8536955.5500000007"/>
    <n v="0"/>
    <n v="0"/>
    <n v="0"/>
    <n v="0"/>
    <n v="0"/>
    <n v="0"/>
    <n v="0"/>
    <m/>
  </r>
  <r>
    <s v="Краснодарский"/>
    <x v="0"/>
    <x v="0"/>
    <x v="0"/>
    <s v="Фуд-Трейд ООО (Воронеж)"/>
    <m/>
    <m/>
    <m/>
    <n v="10671112.189999996"/>
    <n v="0"/>
    <n v="0"/>
    <n v="0"/>
    <n v="0"/>
    <n v="0"/>
    <n v="0"/>
    <n v="0"/>
    <m/>
  </r>
  <r>
    <s v="Ростовская"/>
    <x v="0"/>
    <x v="0"/>
    <x v="0"/>
    <s v="Фуд-Трейд ООО (Воронеж)"/>
    <m/>
    <m/>
    <m/>
    <n v="647650.9600000002"/>
    <n v="0"/>
    <n v="0"/>
    <n v="0"/>
    <n v="0"/>
    <n v="0"/>
    <n v="0"/>
    <n v="0"/>
    <m/>
  </r>
  <r>
    <s v="Саратовская"/>
    <x v="0"/>
    <x v="0"/>
    <x v="0"/>
    <s v="Фуд-Трейд ООО (Воронеж)"/>
    <m/>
    <m/>
    <m/>
    <n v="4282666.66"/>
    <n v="0"/>
    <n v="0"/>
    <n v="0"/>
    <n v="0"/>
    <n v="0"/>
    <n v="0"/>
    <n v="0"/>
    <m/>
  </r>
  <r>
    <s v="Ставропольский"/>
    <x v="0"/>
    <x v="0"/>
    <x v="0"/>
    <s v="Фуд-Трейд ООО (Воронеж)"/>
    <m/>
    <m/>
    <m/>
    <n v="6853605.1999999909"/>
    <n v="0"/>
    <n v="0"/>
    <n v="0"/>
    <n v="0"/>
    <n v="0"/>
    <n v="0"/>
    <n v="0"/>
    <m/>
  </r>
  <r>
    <s v="Новосибирская"/>
    <x v="0"/>
    <x v="0"/>
    <x v="0"/>
    <s v="Фуд-Трейд ООО (Новосибирск)"/>
    <m/>
    <m/>
    <m/>
    <n v="3186751.46"/>
    <n v="0"/>
    <n v="0"/>
    <n v="0"/>
    <n v="0"/>
    <n v="0"/>
    <n v="0"/>
    <n v="0"/>
    <m/>
  </r>
  <r>
    <s v="Пермский"/>
    <x v="0"/>
    <x v="0"/>
    <x v="0"/>
    <s v="Фуд-Трейд ООО (Пермь)"/>
    <m/>
    <m/>
    <m/>
    <n v="17566407.939999998"/>
    <n v="0"/>
    <n v="0"/>
    <n v="0"/>
    <n v="0"/>
    <n v="0"/>
    <n v="0"/>
    <n v="0"/>
    <m/>
  </r>
  <r>
    <s v="Челябинская"/>
    <x v="0"/>
    <x v="0"/>
    <x v="0"/>
    <s v="Фуд-Трейд ООО (Пермь)"/>
    <m/>
    <m/>
    <m/>
    <n v="664339.91000000038"/>
    <n v="0"/>
    <n v="0"/>
    <n v="0"/>
    <n v="0"/>
    <n v="0"/>
    <n v="0"/>
    <n v="0"/>
    <m/>
  </r>
  <r>
    <s v="Самарская"/>
    <x v="0"/>
    <x v="0"/>
    <x v="0"/>
    <s v="Фуд-Трейд ООО (Самара)"/>
    <m/>
    <m/>
    <m/>
    <n v="8668249.0399999991"/>
    <n v="0"/>
    <n v="0"/>
    <n v="0"/>
    <n v="0"/>
    <n v="0"/>
    <n v="0"/>
    <n v="0"/>
    <m/>
  </r>
  <r>
    <s v="Свердловская"/>
    <x v="0"/>
    <x v="0"/>
    <x v="0"/>
    <s v="Эвенкс ООО (Екатеринбург)"/>
    <m/>
    <m/>
    <m/>
    <n v="20660.689999999999"/>
    <n v="0"/>
    <n v="0"/>
    <n v="0"/>
    <n v="0"/>
    <n v="0"/>
    <n v="0"/>
    <n v="0"/>
    <m/>
  </r>
  <r>
    <s v="Белгородская"/>
    <x v="0"/>
    <x v="2"/>
    <x v="6"/>
    <s v="СОРСО-СТР ООО"/>
    <m/>
    <m/>
    <m/>
    <n v="43742.18"/>
    <n v="0"/>
    <n v="0"/>
    <n v="0"/>
    <n v="0"/>
    <n v="0"/>
    <n v="0"/>
    <n v="0"/>
    <m/>
  </r>
  <r>
    <s v="Москва"/>
    <x v="0"/>
    <x v="2"/>
    <x v="6"/>
    <s v="СОРСО-СТР ООО"/>
    <m/>
    <n v="1"/>
    <m/>
    <n v="51488847.459999874"/>
    <n v="0"/>
    <n v="0"/>
    <n v="0"/>
    <n v="0"/>
    <n v="0"/>
    <n v="0"/>
    <n v="0"/>
    <m/>
  </r>
  <r>
    <s v="Московская"/>
    <x v="0"/>
    <x v="2"/>
    <x v="6"/>
    <s v="СОРСО-СТР ООО"/>
    <m/>
    <m/>
    <m/>
    <n v="4983223.1399999978"/>
    <n v="0"/>
    <n v="0"/>
    <n v="0"/>
    <n v="0"/>
    <n v="0"/>
    <n v="0"/>
    <n v="0"/>
    <m/>
  </r>
  <r>
    <s v="Самарская"/>
    <x v="0"/>
    <x v="2"/>
    <x v="6"/>
    <s v="СОРСО-СТР ООО"/>
    <m/>
    <m/>
    <m/>
    <n v="28707.439999999991"/>
    <n v="0"/>
    <n v="0"/>
    <n v="0"/>
    <n v="0"/>
    <n v="0"/>
    <n v="0"/>
    <n v="0"/>
    <m/>
  </r>
  <r>
    <s v="Санкт-Петербург"/>
    <x v="0"/>
    <x v="2"/>
    <x v="6"/>
    <s v="СОРСО-СТР ООО"/>
    <m/>
    <m/>
    <m/>
    <n v="904834.39000000013"/>
    <n v="0"/>
    <n v="0"/>
    <n v="0"/>
    <n v="0"/>
    <n v="0"/>
    <n v="0"/>
    <n v="0"/>
    <m/>
  </r>
  <r>
    <s v="Владимирская"/>
    <x v="0"/>
    <x v="3"/>
    <x v="8"/>
    <m/>
    <m/>
    <m/>
    <s v="TR"/>
    <n v="0"/>
    <n v="0"/>
    <n v="0"/>
    <n v="0"/>
    <n v="1574705433.900434"/>
    <n v="0"/>
    <n v="850113432.71010005"/>
    <n v="0"/>
    <m/>
  </r>
  <r>
    <s v="Калужская"/>
    <x v="0"/>
    <x v="4"/>
    <x v="9"/>
    <m/>
    <m/>
    <m/>
    <s v="Open"/>
    <n v="0"/>
    <n v="0"/>
    <n v="0"/>
    <n v="0"/>
    <n v="1261789709.1353848"/>
    <n v="0"/>
    <n v="662172794.79000032"/>
    <n v="0"/>
    <m/>
  </r>
  <r>
    <s v="Кировская"/>
    <x v="0"/>
    <x v="3"/>
    <x v="8"/>
    <m/>
    <m/>
    <m/>
    <s v="TR"/>
    <n v="0"/>
    <n v="0"/>
    <n v="0"/>
    <n v="0"/>
    <n v="1008606761.4179183"/>
    <n v="0"/>
    <n v="600256169.04110003"/>
    <n v="0"/>
    <m/>
  </r>
  <r>
    <s v="Марий Эл"/>
    <x v="0"/>
    <x v="3"/>
    <x v="10"/>
    <m/>
    <m/>
    <m/>
    <m/>
    <n v="0"/>
    <n v="0"/>
    <n v="0"/>
    <n v="0"/>
    <n v="372331071.40695155"/>
    <n v="0"/>
    <n v="241381462.22059995"/>
    <n v="6817750437.9784079"/>
    <m/>
  </r>
  <r>
    <s v="Мордовия"/>
    <x v="0"/>
    <x v="3"/>
    <x v="8"/>
    <m/>
    <m/>
    <m/>
    <s v="TR/Open"/>
    <n v="0"/>
    <n v="0"/>
    <n v="0"/>
    <n v="0"/>
    <n v="363908644.75262171"/>
    <n v="0"/>
    <n v="118931747.26550004"/>
    <n v="0"/>
    <m/>
  </r>
  <r>
    <s v="Москва"/>
    <x v="0"/>
    <x v="3"/>
    <x v="11"/>
    <m/>
    <m/>
    <m/>
    <s v="TR"/>
    <n v="0"/>
    <n v="0"/>
    <n v="0"/>
    <n v="0"/>
    <n v="1036468770.0691371"/>
    <n v="0"/>
    <n v="657929607.73280001"/>
    <n v="0"/>
    <m/>
  </r>
  <r>
    <s v="Москва"/>
    <x v="0"/>
    <x v="3"/>
    <x v="12"/>
    <m/>
    <m/>
    <m/>
    <s v="TR"/>
    <n v="0"/>
    <n v="0"/>
    <n v="0"/>
    <n v="0"/>
    <n v="795403118.30058694"/>
    <n v="0"/>
    <n v="680999942.92850018"/>
    <n v="0"/>
    <m/>
  </r>
  <r>
    <s v="Москва"/>
    <x v="0"/>
    <x v="3"/>
    <x v="13"/>
    <m/>
    <m/>
    <m/>
    <s v="TR"/>
    <n v="0"/>
    <n v="0"/>
    <n v="0"/>
    <n v="0"/>
    <n v="1515150860.7424669"/>
    <n v="0"/>
    <n v="1000410897.2363987"/>
    <n v="0"/>
    <m/>
  </r>
  <r>
    <s v="Москва"/>
    <x v="0"/>
    <x v="4"/>
    <x v="14"/>
    <m/>
    <m/>
    <m/>
    <s v="Open"/>
    <n v="0"/>
    <n v="0"/>
    <n v="0"/>
    <n v="0"/>
    <n v="957298104.97257185"/>
    <n v="0"/>
    <n v="647372110.11980021"/>
    <n v="0"/>
    <m/>
  </r>
  <r>
    <s v="Москва"/>
    <x v="0"/>
    <x v="4"/>
    <x v="15"/>
    <m/>
    <m/>
    <m/>
    <s v="Open"/>
    <n v="0"/>
    <n v="0"/>
    <n v="0"/>
    <n v="0"/>
    <n v="1830138460.7654872"/>
    <n v="0"/>
    <n v="1033839503.4343996"/>
    <n v="0"/>
    <m/>
  </r>
  <r>
    <s v="Московская"/>
    <x v="0"/>
    <x v="3"/>
    <x v="11"/>
    <m/>
    <m/>
    <m/>
    <s v="TR"/>
    <n v="0"/>
    <n v="0"/>
    <n v="0"/>
    <n v="0"/>
    <n v="2145155606.2921829"/>
    <n v="0"/>
    <n v="1183794628.9130003"/>
    <n v="0"/>
    <m/>
  </r>
  <r>
    <s v="Московская"/>
    <x v="0"/>
    <x v="3"/>
    <x v="12"/>
    <m/>
    <m/>
    <m/>
    <s v="TR"/>
    <n v="0"/>
    <n v="0"/>
    <n v="0"/>
    <n v="0"/>
    <n v="1373186133.5273333"/>
    <n v="0"/>
    <n v="679826351.63689983"/>
    <n v="0"/>
    <m/>
  </r>
  <r>
    <s v="Московская"/>
    <x v="0"/>
    <x v="3"/>
    <x v="13"/>
    <m/>
    <m/>
    <m/>
    <s v="TR"/>
    <n v="0"/>
    <n v="0"/>
    <n v="0"/>
    <n v="0"/>
    <n v="1682882221.7050142"/>
    <n v="0"/>
    <n v="815322183.05460024"/>
    <n v="0"/>
    <m/>
  </r>
  <r>
    <s v="Московская"/>
    <x v="0"/>
    <x v="4"/>
    <x v="14"/>
    <m/>
    <m/>
    <m/>
    <s v="Open"/>
    <n v="0"/>
    <n v="0"/>
    <n v="0"/>
    <n v="0"/>
    <n v="2456433269.3302546"/>
    <n v="0"/>
    <n v="1229216756.1869001"/>
    <n v="0"/>
    <m/>
  </r>
  <r>
    <s v="Московская"/>
    <x v="0"/>
    <x v="4"/>
    <x v="15"/>
    <m/>
    <m/>
    <m/>
    <s v="Open"/>
    <n v="0"/>
    <n v="0"/>
    <n v="0"/>
    <n v="0"/>
    <n v="2974553447.1966333"/>
    <n v="0"/>
    <n v="1516192695.7996001"/>
    <n v="0"/>
    <m/>
  </r>
  <r>
    <s v="Нижегородская"/>
    <x v="0"/>
    <x v="3"/>
    <x v="8"/>
    <m/>
    <m/>
    <m/>
    <s v="TR"/>
    <n v="0"/>
    <n v="0"/>
    <n v="0"/>
    <n v="0"/>
    <n v="1041681577.0615587"/>
    <n v="0"/>
    <n v="651264436.76190007"/>
    <n v="0"/>
    <m/>
  </r>
  <r>
    <s v="Нижегородская"/>
    <x v="0"/>
    <x v="3"/>
    <x v="10"/>
    <m/>
    <m/>
    <m/>
    <s v="TR"/>
    <n v="0"/>
    <n v="0"/>
    <n v="0"/>
    <n v="0"/>
    <n v="1765265709.8193688"/>
    <n v="0"/>
    <n v="978077545.10700023"/>
    <n v="0"/>
    <m/>
  </r>
  <r>
    <s v="Рязанская"/>
    <x v="0"/>
    <x v="4"/>
    <x v="9"/>
    <m/>
    <m/>
    <m/>
    <s v="Open"/>
    <n v="0"/>
    <n v="0"/>
    <n v="0"/>
    <n v="0"/>
    <n v="1038614436.6483186"/>
    <n v="0"/>
    <n v="480428274.77450013"/>
    <n v="0"/>
    <m/>
  </r>
  <r>
    <s v="Тульская"/>
    <x v="0"/>
    <x v="4"/>
    <x v="9"/>
    <m/>
    <m/>
    <m/>
    <s v="Open"/>
    <n v="0"/>
    <n v="0"/>
    <n v="0"/>
    <n v="0"/>
    <n v="1627551925.4856875"/>
    <n v="0"/>
    <n v="741268860.08500016"/>
    <n v="0"/>
    <m/>
  </r>
  <r>
    <s v="Чувашская Республика -"/>
    <x v="0"/>
    <x v="3"/>
    <x v="10"/>
    <m/>
    <m/>
    <m/>
    <s v="TR"/>
    <n v="0"/>
    <n v="0"/>
    <n v="0"/>
    <n v="0"/>
    <n v="666661438.05790865"/>
    <n v="0"/>
    <n v="409132633.48490024"/>
    <n v="0"/>
    <m/>
  </r>
  <r>
    <s v="Московская"/>
    <x v="0"/>
    <x v="2"/>
    <x v="16"/>
    <m/>
    <m/>
    <m/>
    <s v="TR-Project / Open"/>
    <n v="283124.17999999993"/>
    <n v="0"/>
    <n v="0"/>
    <n v="0"/>
    <n v="0"/>
    <n v="0"/>
    <n v="0"/>
    <n v="0"/>
    <m/>
  </r>
  <r>
    <s v="Владимирская"/>
    <x v="0"/>
    <x v="2"/>
    <x v="16"/>
    <m/>
    <m/>
    <m/>
    <s v="TR-Project"/>
    <n v="105566381.88999967"/>
    <n v="0"/>
    <n v="0"/>
    <n v="0"/>
    <n v="0"/>
    <n v="0"/>
    <n v="0"/>
    <n v="0"/>
    <m/>
  </r>
  <r>
    <s v="Калужская"/>
    <x v="0"/>
    <x v="2"/>
    <x v="16"/>
    <m/>
    <m/>
    <m/>
    <s v="Open"/>
    <n v="64720074.180000171"/>
    <n v="0"/>
    <n v="0"/>
    <n v="0"/>
    <n v="0"/>
    <n v="0"/>
    <n v="0"/>
    <n v="0"/>
    <m/>
  </r>
  <r>
    <s v="Ленинградская"/>
    <x v="0"/>
    <x v="2"/>
    <x v="16"/>
    <m/>
    <m/>
    <m/>
    <s v="TR-Project"/>
    <n v="121614441.35999963"/>
    <n v="0"/>
    <n v="0"/>
    <n v="0"/>
    <n v="0"/>
    <n v="0"/>
    <n v="0"/>
    <n v="0"/>
    <m/>
  </r>
  <r>
    <s v="Москва"/>
    <x v="0"/>
    <x v="2"/>
    <x v="16"/>
    <m/>
    <m/>
    <n v="1"/>
    <s v="TR-Project / Open"/>
    <n v="112033790.56999968"/>
    <n v="0"/>
    <n v="0"/>
    <n v="0"/>
    <n v="0"/>
    <n v="0"/>
    <n v="0"/>
    <n v="0"/>
    <m/>
  </r>
  <r>
    <s v="Московская"/>
    <x v="0"/>
    <x v="2"/>
    <x v="16"/>
    <m/>
    <m/>
    <m/>
    <s v="TR-Project / Open"/>
    <n v="526009540.95000339"/>
    <n v="0"/>
    <n v="0"/>
    <n v="0"/>
    <n v="0"/>
    <n v="0"/>
    <n v="0"/>
    <n v="0"/>
    <m/>
  </r>
  <r>
    <s v="Новгородская"/>
    <x v="0"/>
    <x v="2"/>
    <x v="16"/>
    <m/>
    <m/>
    <m/>
    <s v="TR-Project"/>
    <n v="29237977.820000004"/>
    <n v="0"/>
    <n v="0"/>
    <n v="0"/>
    <n v="0"/>
    <n v="0"/>
    <n v="0"/>
    <n v="0"/>
    <m/>
  </r>
  <r>
    <s v="Санкт-Петербург"/>
    <x v="0"/>
    <x v="2"/>
    <x v="16"/>
    <m/>
    <m/>
    <m/>
    <s v="TR-Project"/>
    <n v="75479434.529999688"/>
    <n v="0"/>
    <n v="0"/>
    <n v="0"/>
    <n v="0"/>
    <n v="0"/>
    <n v="0"/>
    <n v="0"/>
    <m/>
  </r>
  <r>
    <s v="Свердловская"/>
    <x v="0"/>
    <x v="2"/>
    <x v="16"/>
    <m/>
    <m/>
    <m/>
    <s v="Open"/>
    <n v="148975561.0899995"/>
    <n v="0"/>
    <n v="0"/>
    <n v="0"/>
    <n v="0"/>
    <n v="0"/>
    <n v="0"/>
    <n v="0"/>
    <m/>
  </r>
  <r>
    <s v="Татарстан"/>
    <x v="0"/>
    <x v="2"/>
    <x v="16"/>
    <m/>
    <m/>
    <m/>
    <s v="Open"/>
    <n v="69785619.640000135"/>
    <n v="0"/>
    <n v="0"/>
    <n v="0"/>
    <n v="0"/>
    <n v="0"/>
    <n v="0"/>
    <n v="0"/>
    <m/>
  </r>
  <r>
    <s v="Тверская"/>
    <x v="0"/>
    <x v="2"/>
    <x v="16"/>
    <m/>
    <m/>
    <m/>
    <s v="TR-Project"/>
    <n v="31075214.729999986"/>
    <n v="0"/>
    <n v="0"/>
    <n v="0"/>
    <n v="0"/>
    <n v="0"/>
    <n v="0"/>
    <n v="0"/>
    <m/>
  </r>
  <r>
    <s v="Тульская"/>
    <x v="0"/>
    <x v="2"/>
    <x v="16"/>
    <m/>
    <m/>
    <m/>
    <s v="Open"/>
    <n v="77073871.469999909"/>
    <n v="0"/>
    <n v="0"/>
    <n v="0"/>
    <n v="0"/>
    <n v="0"/>
    <n v="0"/>
    <n v="0"/>
    <m/>
  </r>
  <r>
    <s v="Ярославская"/>
    <x v="0"/>
    <x v="2"/>
    <x v="16"/>
    <m/>
    <m/>
    <m/>
    <s v="TR-Project"/>
    <n v="35515056.810000002"/>
    <n v="0"/>
    <n v="0"/>
    <n v="0"/>
    <n v="0"/>
    <n v="0"/>
    <n v="0"/>
    <n v="0"/>
    <m/>
  </r>
  <r>
    <s v="Москва"/>
    <x v="0"/>
    <x v="1"/>
    <x v="1"/>
    <m/>
    <m/>
    <n v="1"/>
    <s v="Open/TR"/>
    <n v="75907049.919999987"/>
    <n v="0"/>
    <n v="0"/>
    <n v="0"/>
    <n v="0"/>
    <n v="0"/>
    <n v="0"/>
    <n v="0"/>
    <m/>
  </r>
  <r>
    <s v="Марий Эл "/>
    <x v="0"/>
    <x v="0"/>
    <x v="2"/>
    <s v="Сладкая жизнь Плюс ООО"/>
    <m/>
    <m/>
    <m/>
    <n v="0"/>
    <n v="0"/>
    <n v="0"/>
    <n v="27831061.140000023"/>
    <n v="0"/>
    <n v="49094726.479999989"/>
    <n v="0"/>
    <n v="0"/>
    <m/>
  </r>
  <r>
    <s v="Нижегородская"/>
    <x v="0"/>
    <x v="0"/>
    <x v="5"/>
    <s v="Сладкая Жизнь Плюс ООО (Москва)"/>
    <m/>
    <m/>
    <m/>
    <n v="0"/>
    <n v="0"/>
    <n v="0"/>
    <n v="0"/>
    <n v="0"/>
    <n v="0"/>
    <n v="0"/>
    <n v="0"/>
    <m/>
  </r>
  <r>
    <s v="Московская"/>
    <x v="0"/>
    <x v="4"/>
    <x v="17"/>
    <m/>
    <m/>
    <m/>
    <m/>
    <n v="0"/>
    <n v="0"/>
    <n v="0"/>
    <n v="0"/>
    <n v="0"/>
    <n v="0"/>
    <n v="0"/>
    <n v="11314707530.999416"/>
    <m/>
  </r>
  <r>
    <s v="Алтайский"/>
    <x v="0"/>
    <x v="0"/>
    <x v="2"/>
    <s v="Сладкая жизнь Плюс ООО"/>
    <m/>
    <m/>
    <m/>
    <n v="16492.399999999998"/>
    <n v="0"/>
    <n v="0"/>
    <n v="0"/>
    <n v="0"/>
    <n v="0"/>
    <n v="0"/>
    <n v="0"/>
    <m/>
  </r>
  <r>
    <s v="Башкортостан"/>
    <x v="0"/>
    <x v="0"/>
    <x v="2"/>
    <s v="Сладкая жизнь Плюс ООО"/>
    <m/>
    <m/>
    <m/>
    <n v="4318141.4600000009"/>
    <n v="0"/>
    <n v="0"/>
    <n v="0"/>
    <n v="0"/>
    <n v="0"/>
    <n v="0"/>
    <n v="0"/>
    <m/>
  </r>
  <r>
    <s v="Владимирская"/>
    <x v="0"/>
    <x v="0"/>
    <x v="2"/>
    <s v="Сладкая жизнь Плюс ООО"/>
    <m/>
    <m/>
    <m/>
    <n v="21819448.430000007"/>
    <n v="0"/>
    <n v="0"/>
    <n v="0"/>
    <n v="0"/>
    <n v="0"/>
    <n v="0"/>
    <n v="0"/>
    <m/>
  </r>
  <r>
    <s v="Ивановская"/>
    <x v="0"/>
    <x v="0"/>
    <x v="2"/>
    <s v="Сладкая жизнь Плюс ООО"/>
    <m/>
    <m/>
    <m/>
    <n v="9185746.0500000063"/>
    <n v="0"/>
    <n v="0"/>
    <n v="0"/>
    <n v="0"/>
    <n v="0"/>
    <n v="0"/>
    <n v="0"/>
    <m/>
  </r>
  <r>
    <s v="Иркутская"/>
    <x v="0"/>
    <x v="0"/>
    <x v="2"/>
    <s v="Сладкая жизнь Плюс ООО"/>
    <m/>
    <m/>
    <m/>
    <n v="78932.240000000005"/>
    <n v="0"/>
    <n v="0"/>
    <n v="0"/>
    <n v="0"/>
    <n v="0"/>
    <n v="0"/>
    <n v="0"/>
    <m/>
  </r>
  <r>
    <s v="Калужская"/>
    <x v="0"/>
    <x v="0"/>
    <x v="2"/>
    <s v="Сладкая жизнь Плюс ООО"/>
    <m/>
    <m/>
    <m/>
    <n v="152696.55999999997"/>
    <n v="0"/>
    <n v="0"/>
    <n v="0"/>
    <n v="0"/>
    <n v="0"/>
    <n v="0"/>
    <n v="0"/>
    <m/>
  </r>
  <r>
    <s v="Калужская"/>
    <x v="0"/>
    <x v="0"/>
    <x v="2"/>
    <s v="Сладкая Жизнь Плюс ООО (Москва)"/>
    <m/>
    <m/>
    <m/>
    <n v="12786581.08999995"/>
    <n v="0"/>
    <n v="0"/>
    <n v="0"/>
    <n v="0"/>
    <n v="0"/>
    <n v="0"/>
    <n v="0"/>
    <m/>
  </r>
  <r>
    <s v="Кировская"/>
    <x v="0"/>
    <x v="0"/>
    <x v="2"/>
    <s v="Сладкая жизнь Плюс ООО"/>
    <m/>
    <m/>
    <m/>
    <n v="25568610.759999935"/>
    <n v="0"/>
    <n v="0"/>
    <n v="0"/>
    <n v="0"/>
    <n v="0"/>
    <n v="0"/>
    <n v="0"/>
    <m/>
  </r>
  <r>
    <s v="Костромская"/>
    <x v="0"/>
    <x v="0"/>
    <x v="2"/>
    <s v="Сладкая жизнь Плюс ООО"/>
    <m/>
    <m/>
    <m/>
    <n v="2964846.8800000008"/>
    <n v="0"/>
    <n v="0"/>
    <n v="0"/>
    <n v="0"/>
    <n v="0"/>
    <n v="0"/>
    <n v="0"/>
    <m/>
  </r>
  <r>
    <s v="Марий Эл"/>
    <x v="0"/>
    <x v="0"/>
    <x v="2"/>
    <s v="Сладкая жизнь Плюс ООО"/>
    <m/>
    <m/>
    <m/>
    <n v="11122562.409999976"/>
    <n v="0"/>
    <n v="0"/>
    <n v="0"/>
    <n v="0"/>
    <n v="0"/>
    <n v="0"/>
    <n v="0"/>
    <m/>
  </r>
  <r>
    <s v="Мордовия"/>
    <x v="0"/>
    <x v="0"/>
    <x v="2"/>
    <s v="Сладкая жизнь Плюс ООО"/>
    <m/>
    <m/>
    <m/>
    <n v="5516975.6900000079"/>
    <n v="0"/>
    <n v="0"/>
    <n v="0"/>
    <n v="0"/>
    <n v="0"/>
    <n v="0"/>
    <n v="0"/>
    <m/>
  </r>
  <r>
    <s v="Москва"/>
    <x v="0"/>
    <x v="0"/>
    <x v="2"/>
    <s v="Сладкая жизнь Плюс ООО"/>
    <m/>
    <m/>
    <m/>
    <n v="597781.92999999993"/>
    <n v="0"/>
    <n v="0"/>
    <n v="0"/>
    <n v="0"/>
    <n v="0"/>
    <n v="0"/>
    <n v="0"/>
    <m/>
  </r>
  <r>
    <s v="Москва"/>
    <x v="0"/>
    <x v="0"/>
    <x v="2"/>
    <s v="Сладкая Жизнь Плюс ООО (Москва)"/>
    <m/>
    <m/>
    <m/>
    <n v="8503970.8899999987"/>
    <n v="0"/>
    <n v="0"/>
    <n v="0"/>
    <n v="0"/>
    <n v="0"/>
    <n v="0"/>
    <n v="0"/>
    <m/>
  </r>
  <r>
    <s v="Московская"/>
    <x v="0"/>
    <x v="0"/>
    <x v="2"/>
    <s v="Сладкая Жизнь Плюс ООО (Москва)"/>
    <m/>
    <m/>
    <m/>
    <n v="38756102.86999961"/>
    <n v="0"/>
    <n v="0"/>
    <n v="0"/>
    <n v="0"/>
    <n v="0"/>
    <n v="0"/>
    <n v="0"/>
    <m/>
  </r>
  <r>
    <s v="Нижегородская"/>
    <x v="0"/>
    <x v="0"/>
    <x v="2"/>
    <s v="Сладкая жизнь Плюс ООО"/>
    <m/>
    <m/>
    <m/>
    <n v="40099952.099999592"/>
    <n v="0"/>
    <n v="0"/>
    <n v="0"/>
    <n v="0"/>
    <n v="0"/>
    <n v="0"/>
    <n v="0"/>
    <m/>
  </r>
  <r>
    <s v="Пензенская"/>
    <x v="0"/>
    <x v="0"/>
    <x v="2"/>
    <s v="Сладкая жизнь Плюс ООО"/>
    <m/>
    <m/>
    <m/>
    <n v="6101533.7600000193"/>
    <n v="0"/>
    <n v="0"/>
    <n v="0"/>
    <n v="0"/>
    <n v="0"/>
    <n v="0"/>
    <n v="0"/>
    <m/>
  </r>
  <r>
    <s v="Рязанская"/>
    <x v="0"/>
    <x v="0"/>
    <x v="2"/>
    <s v="Сладкая жизнь Плюс ООО"/>
    <m/>
    <m/>
    <m/>
    <n v="11308710.899999972"/>
    <n v="0"/>
    <n v="0"/>
    <n v="0"/>
    <n v="0"/>
    <n v="0"/>
    <n v="0"/>
    <n v="0"/>
    <m/>
  </r>
  <r>
    <s v="Самарская"/>
    <x v="0"/>
    <x v="0"/>
    <x v="2"/>
    <s v="Сладкая жизнь Плюс ООО"/>
    <m/>
    <m/>
    <m/>
    <n v="286145.93999999994"/>
    <n v="0"/>
    <n v="0"/>
    <n v="0"/>
    <n v="0"/>
    <n v="0"/>
    <n v="0"/>
    <n v="0"/>
    <m/>
  </r>
  <r>
    <s v="Татарстан"/>
    <x v="0"/>
    <x v="0"/>
    <x v="2"/>
    <s v="Сладкая жизнь Плюс ООО"/>
    <m/>
    <m/>
    <m/>
    <n v="17912428.459999882"/>
    <n v="0"/>
    <n v="0"/>
    <n v="0"/>
    <n v="0"/>
    <n v="0"/>
    <n v="0"/>
    <n v="0"/>
    <m/>
  </r>
  <r>
    <s v="Тверская"/>
    <x v="0"/>
    <x v="0"/>
    <x v="2"/>
    <s v="Сладкая Жизнь Плюс ООО (Москва)"/>
    <m/>
    <m/>
    <m/>
    <n v="5842546.7000000197"/>
    <n v="0"/>
    <n v="0"/>
    <n v="0"/>
    <n v="0"/>
    <n v="0"/>
    <n v="0"/>
    <n v="0"/>
    <m/>
  </r>
  <r>
    <s v="Тульская"/>
    <x v="0"/>
    <x v="0"/>
    <x v="2"/>
    <s v="Сладкая Жизнь Плюс ООО (Москва)"/>
    <m/>
    <m/>
    <m/>
    <n v="19446886.789999954"/>
    <n v="0"/>
    <n v="0"/>
    <n v="0"/>
    <n v="0"/>
    <n v="0"/>
    <n v="0"/>
    <n v="0"/>
    <m/>
  </r>
  <r>
    <s v="Удмуртская"/>
    <x v="0"/>
    <x v="0"/>
    <x v="2"/>
    <s v="Сладкая жизнь Плюс ООО"/>
    <m/>
    <m/>
    <m/>
    <n v="7878247.5200000014"/>
    <n v="0"/>
    <n v="0"/>
    <n v="0"/>
    <n v="0"/>
    <n v="0"/>
    <n v="0"/>
    <n v="0"/>
    <m/>
  </r>
  <r>
    <s v="Ульяновская"/>
    <x v="0"/>
    <x v="0"/>
    <x v="2"/>
    <s v="Сладкая жизнь Плюс ООО"/>
    <m/>
    <m/>
    <m/>
    <n v="459590.29"/>
    <n v="0"/>
    <n v="0"/>
    <n v="0"/>
    <n v="0"/>
    <n v="0"/>
    <n v="0"/>
    <n v="0"/>
    <m/>
  </r>
  <r>
    <s v="Чувашская Республика -"/>
    <x v="0"/>
    <x v="0"/>
    <x v="2"/>
    <s v="Сладкая жизнь Плюс ООО"/>
    <m/>
    <m/>
    <m/>
    <n v="11608457.909999993"/>
    <n v="0"/>
    <n v="0"/>
    <n v="0"/>
    <n v="0"/>
    <n v="0"/>
    <n v="0"/>
    <n v="0"/>
    <m/>
  </r>
  <r>
    <s v="Ярославская"/>
    <x v="0"/>
    <x v="0"/>
    <x v="2"/>
    <s v="Сладкая жизнь Плюс ООО"/>
    <m/>
    <m/>
    <m/>
    <n v="2743343.1599999988"/>
    <n v="0"/>
    <n v="0"/>
    <n v="0"/>
    <n v="0"/>
    <n v="0"/>
    <n v="0"/>
    <n v="0"/>
    <m/>
  </r>
  <r>
    <s v="Ярославская"/>
    <x v="0"/>
    <x v="0"/>
    <x v="2"/>
    <s v="Сладкая Жизнь Плюс ООО (Москва)"/>
    <m/>
    <m/>
    <m/>
    <n v="377880.25999999989"/>
    <n v="0"/>
    <n v="0"/>
    <n v="0"/>
    <n v="0"/>
    <n v="0"/>
    <n v="0"/>
    <n v="0"/>
    <m/>
  </r>
  <r>
    <s v="Рязанская"/>
    <x v="0"/>
    <x v="0"/>
    <x v="0"/>
    <s v="Сладкая жизнь Плюс ООО"/>
    <m/>
    <m/>
    <m/>
    <n v="0"/>
    <n v="0"/>
    <n v="0"/>
    <n v="0"/>
    <n v="0"/>
    <n v="11308710.900000002"/>
    <n v="0"/>
    <n v="0"/>
    <m/>
  </r>
  <r>
    <s v="Курганская"/>
    <x v="1"/>
    <x v="5"/>
    <x v="18"/>
    <s v="Фуд-Трейд ООО"/>
    <n v="1"/>
    <n v="1"/>
    <s v="Open"/>
    <n v="0"/>
    <n v="273375212.92999798"/>
    <n v="1308584.48"/>
    <n v="27757720.270000011"/>
    <n v="295869483.78616917"/>
    <n v="0"/>
    <n v="136896493.58840001"/>
    <n v="0"/>
    <n v="18010939.100000001"/>
  </r>
  <r>
    <s v="Оренбургская"/>
    <x v="1"/>
    <x v="6"/>
    <x v="19"/>
    <s v="Фуд-Трейд ООО"/>
    <n v="1"/>
    <m/>
    <m/>
    <n v="0"/>
    <n v="410425.87"/>
    <n v="4796203.9399999995"/>
    <n v="7264198.879999999"/>
    <n v="0"/>
    <n v="0"/>
    <n v="0"/>
    <n v="0"/>
    <n v="271516.5"/>
  </r>
  <r>
    <s v="Марий Эл"/>
    <x v="1"/>
    <x v="6"/>
    <x v="20"/>
    <s v="Фуд-Трейд ООО"/>
    <m/>
    <m/>
    <m/>
    <n v="0"/>
    <n v="500000000"/>
    <n v="0"/>
    <n v="0"/>
    <n v="0"/>
    <n v="0"/>
    <n v="0"/>
    <n v="0"/>
    <n v="0"/>
  </r>
  <r>
    <s v="Оренбургская"/>
    <x v="1"/>
    <x v="6"/>
    <x v="21"/>
    <s v="Рэйд-21 ООО"/>
    <m/>
    <m/>
    <m/>
    <n v="0"/>
    <n v="0"/>
    <n v="6859376.6300000027"/>
    <n v="1600855.32"/>
    <n v="0"/>
    <n v="0"/>
    <n v="0"/>
    <n v="0"/>
    <n v="98073.75"/>
  </r>
  <r>
    <s v="Тюменская"/>
    <x v="1"/>
    <x v="7"/>
    <x v="22"/>
    <s v="Эвенкс ООО (Тюмень)"/>
    <n v="1"/>
    <n v="1"/>
    <s v="Open"/>
    <n v="0"/>
    <n v="11696539.060000004"/>
    <n v="0"/>
    <n v="55325264.270000003"/>
    <n v="1077378891.5505776"/>
    <n v="212080190.04999906"/>
    <n v="748324785.27690029"/>
    <n v="0"/>
    <n v="21870426.049999997"/>
  </r>
  <r>
    <s v="Ульяновская"/>
    <x v="1"/>
    <x v="5"/>
    <x v="23"/>
    <s v="Фуд-Трейд ООО"/>
    <n v="4"/>
    <n v="2"/>
    <m/>
    <n v="743484501.85000026"/>
    <n v="0"/>
    <n v="17632294.399999999"/>
    <n v="11623141.609999999"/>
    <n v="0"/>
    <n v="0"/>
    <n v="0"/>
    <n v="0"/>
    <n v="1288855.8400000001"/>
  </r>
  <r>
    <s v="Марий Эл"/>
    <x v="1"/>
    <x v="8"/>
    <x v="24"/>
    <m/>
    <m/>
    <m/>
    <s v="Open"/>
    <n v="0"/>
    <n v="0"/>
    <n v="0"/>
    <n v="0"/>
    <n v="58644616.523887977"/>
    <n v="0"/>
    <n v="0"/>
    <n v="0"/>
    <n v="0"/>
  </r>
  <r>
    <s v="Татарстан"/>
    <x v="1"/>
    <x v="8"/>
    <x v="24"/>
    <m/>
    <m/>
    <m/>
    <s v="Open"/>
    <n v="0"/>
    <n v="0"/>
    <n v="0"/>
    <n v="0"/>
    <n v="2477576350.1662774"/>
    <n v="0"/>
    <n v="1259436385.0236988"/>
    <n v="218761180.7299979"/>
    <n v="0"/>
  </r>
  <r>
    <s v="Челябинская"/>
    <x v="1"/>
    <x v="9"/>
    <x v="25"/>
    <m/>
    <m/>
    <m/>
    <s v="Open"/>
    <n v="0"/>
    <n v="0"/>
    <n v="0"/>
    <n v="0"/>
    <n v="2326531547.897965"/>
    <n v="0"/>
    <n v="1270221008.9855001"/>
    <n v="1003918901.3799986"/>
    <n v="0"/>
  </r>
  <r>
    <s v="Свердловская"/>
    <x v="1"/>
    <x v="9"/>
    <x v="26"/>
    <m/>
    <m/>
    <m/>
    <s v="Open"/>
    <n v="0"/>
    <n v="0"/>
    <n v="0"/>
    <n v="0"/>
    <n v="1556732899.31043"/>
    <n v="0"/>
    <n v="809693097.54320014"/>
    <n v="5201309809"/>
    <n v="0"/>
  </r>
  <r>
    <s v="Свердловская"/>
    <x v="1"/>
    <x v="9"/>
    <x v="27"/>
    <m/>
    <m/>
    <m/>
    <s v="Open"/>
    <n v="0"/>
    <n v="0"/>
    <n v="0"/>
    <n v="0"/>
    <n v="1431955621.1198773"/>
    <n v="0"/>
    <n v="854540439.37340009"/>
    <n v="7842292527.5393858"/>
    <n v="0"/>
  </r>
  <r>
    <s v="Пермский"/>
    <x v="1"/>
    <x v="9"/>
    <x v="28"/>
    <m/>
    <m/>
    <m/>
    <s v="Open"/>
    <n v="0"/>
    <n v="0"/>
    <n v="0"/>
    <n v="0"/>
    <n v="1955446764.2040288"/>
    <n v="0"/>
    <n v="1106109946.8952"/>
    <n v="261530577.7100001"/>
    <n v="0"/>
  </r>
  <r>
    <s v="Удмуртская"/>
    <x v="1"/>
    <x v="9"/>
    <x v="28"/>
    <m/>
    <m/>
    <m/>
    <s v="Open"/>
    <n v="0"/>
    <n v="0"/>
    <n v="0"/>
    <n v="0"/>
    <n v="1088667452.0411131"/>
    <n v="0"/>
    <n v="753558814.78799975"/>
    <n v="0"/>
    <n v="0"/>
  </r>
  <r>
    <s v="Самарская"/>
    <x v="1"/>
    <x v="8"/>
    <x v="29"/>
    <m/>
    <m/>
    <m/>
    <s v="Open"/>
    <n v="0"/>
    <n v="0"/>
    <n v="0"/>
    <n v="0"/>
    <n v="2532698383.7220397"/>
    <n v="0"/>
    <n v="1635326902.4612002"/>
    <n v="3581306822"/>
    <n v="0"/>
  </r>
  <r>
    <s v="Ульяновская"/>
    <x v="1"/>
    <x v="8"/>
    <x v="29"/>
    <m/>
    <m/>
    <m/>
    <s v="Open"/>
    <n v="0"/>
    <n v="0"/>
    <n v="0"/>
    <n v="0"/>
    <n v="737844954.10071135"/>
    <n v="0"/>
    <n v="473242568.68590033"/>
    <n v="0"/>
    <n v="0"/>
  </r>
  <r>
    <s v="Башкортостан"/>
    <x v="1"/>
    <x v="8"/>
    <x v="30"/>
    <m/>
    <m/>
    <m/>
    <s v="TR-Project"/>
    <n v="0"/>
    <n v="0"/>
    <n v="0"/>
    <n v="0"/>
    <n v="1734424295.8827801"/>
    <n v="0"/>
    <n v="911492076.11280048"/>
    <n v="236932645.48000008"/>
    <n v="0"/>
  </r>
  <r>
    <s v="Оренбургская"/>
    <x v="1"/>
    <x v="8"/>
    <x v="31"/>
    <s v="Фуд-Трейд ООО"/>
    <n v="1"/>
    <m/>
    <s v="Open"/>
    <n v="0"/>
    <n v="14118688.039999999"/>
    <n v="47082491.349999994"/>
    <n v="21770737.020000003"/>
    <n v="1195807959.6473541"/>
    <n v="0"/>
    <n v="627491536.84229958"/>
    <n v="1541010962"/>
    <n v="1997857.99"/>
  </r>
  <r>
    <s v="Башкортостан"/>
    <x v="1"/>
    <x v="6"/>
    <x v="21"/>
    <s v="Рэйд-21 ООО"/>
    <n v="1"/>
    <n v="1"/>
    <m/>
    <n v="0"/>
    <n v="6797469.4299999997"/>
    <n v="68919637.749999896"/>
    <n v="60424031.840000011"/>
    <n v="0"/>
    <n v="255081129.14000046"/>
    <n v="119395924.48810005"/>
    <n v="0"/>
    <n v="16290350.629999997"/>
  </r>
  <r>
    <s v="Пермский"/>
    <x v="1"/>
    <x v="6"/>
    <x v="32"/>
    <s v="Фуд-Трейд ООО"/>
    <n v="1"/>
    <n v="2"/>
    <m/>
    <n v="0"/>
    <n v="17566407.939999998"/>
    <n v="38383692.549999997"/>
    <n v="155048074.95999986"/>
    <n v="0"/>
    <n v="399077386.26000172"/>
    <n v="129383535.6268"/>
    <n v="0"/>
    <n v="36021878.199999981"/>
  </r>
  <r>
    <s v="Пермский"/>
    <x v="1"/>
    <x v="7"/>
    <x v="33"/>
    <s v="Эвенкс ООО (Екатеринбург)"/>
    <m/>
    <m/>
    <m/>
    <n v="0"/>
    <n v="876061.97"/>
    <n v="0"/>
    <n v="0"/>
    <n v="0"/>
    <n v="0"/>
    <n v="0"/>
    <n v="0"/>
    <n v="0"/>
  </r>
  <r>
    <s v="Самарская"/>
    <x v="1"/>
    <x v="6"/>
    <x v="19"/>
    <s v="Фуд-Трейд ООО"/>
    <n v="1"/>
    <m/>
    <m/>
    <n v="0"/>
    <n v="11012437.9"/>
    <n v="218337576.42999807"/>
    <n v="101476809.00999995"/>
    <n v="0"/>
    <n v="0"/>
    <n v="0"/>
    <n v="0"/>
    <n v="6582960"/>
  </r>
  <r>
    <s v="Самарская"/>
    <x v="1"/>
    <x v="6"/>
    <x v="21"/>
    <s v="Рэйд-21 ООО"/>
    <m/>
    <m/>
    <m/>
    <n v="0"/>
    <n v="0"/>
    <n v="778536.94"/>
    <n v="0"/>
    <n v="0"/>
    <n v="0"/>
    <n v="0"/>
    <n v="0"/>
    <n v="293012.60000000003"/>
  </r>
  <r>
    <s v="Свердловская"/>
    <x v="1"/>
    <x v="5"/>
    <x v="34"/>
    <s v="Эвенкс ООО (Екатеринбург)"/>
    <m/>
    <n v="1"/>
    <m/>
    <n v="0"/>
    <n v="0"/>
    <n v="26279873.48"/>
    <n v="18050152.199999999"/>
    <n v="0"/>
    <n v="745246078.51999485"/>
    <n v="0"/>
    <n v="0"/>
    <n v="63038286.849999949"/>
  </r>
  <r>
    <s v="Свердловская"/>
    <x v="1"/>
    <x v="5"/>
    <x v="35"/>
    <s v="Эвенкс ООО (Екатеринбург)"/>
    <n v="2"/>
    <m/>
    <m/>
    <n v="323366528.169999"/>
    <n v="0"/>
    <n v="0"/>
    <n v="0"/>
    <n v="0"/>
    <n v="260328241.31999904"/>
    <n v="260328241.31999904"/>
    <n v="0"/>
    <n v="0"/>
  </r>
  <r>
    <s v="Свердловская"/>
    <x v="1"/>
    <x v="7"/>
    <x v="33"/>
    <s v="Эвенкс ООО (Екатеринбург)"/>
    <n v="1"/>
    <m/>
    <m/>
    <n v="0"/>
    <n v="512675533.57000101"/>
    <n v="3863402.85"/>
    <n v="312364324.05999964"/>
    <n v="0"/>
    <n v="0"/>
    <n v="0"/>
    <n v="0"/>
    <n v="0"/>
  </r>
  <r>
    <s v="Свердловская"/>
    <x v="1"/>
    <x v="6"/>
    <x v="32"/>
    <s v="Фуд-Трейд ООО"/>
    <m/>
    <m/>
    <m/>
    <n v="0"/>
    <n v="0"/>
    <n v="6631434.7199999923"/>
    <n v="0"/>
    <n v="0"/>
    <n v="0"/>
    <n v="0"/>
    <n v="0"/>
    <n v="0"/>
  </r>
  <r>
    <s v="Свердловская"/>
    <x v="1"/>
    <x v="7"/>
    <x v="22"/>
    <s v="Эвенкс ООО (Тюмень)"/>
    <m/>
    <m/>
    <m/>
    <n v="0"/>
    <n v="0"/>
    <n v="0"/>
    <n v="6961655.1200000001"/>
    <n v="0"/>
    <n v="0"/>
    <n v="0"/>
    <n v="0"/>
    <n v="0"/>
  </r>
  <r>
    <s v="Татарстан"/>
    <x v="1"/>
    <x v="6"/>
    <x v="32"/>
    <s v="Фуд-Трейд ООО"/>
    <m/>
    <m/>
    <m/>
    <n v="0"/>
    <n v="0"/>
    <n v="0"/>
    <n v="727126.16999999993"/>
    <n v="0"/>
    <n v="0"/>
    <n v="0"/>
    <n v="0"/>
    <n v="0"/>
  </r>
  <r>
    <s v="Татарстан"/>
    <x v="1"/>
    <x v="6"/>
    <x v="20"/>
    <s v="Фуд-Трейд ООО"/>
    <n v="1"/>
    <m/>
    <m/>
    <n v="0"/>
    <n v="37867925.61999999"/>
    <n v="48991654.930000298"/>
    <n v="83731236.620000064"/>
    <n v="0"/>
    <n v="9452726.7900000159"/>
    <n v="0"/>
    <n v="0"/>
    <n v="292274.43"/>
  </r>
  <r>
    <s v="Томская"/>
    <x v="1"/>
    <x v="7"/>
    <x v="36"/>
    <s v="Эвенкс ООО (Тюмень)"/>
    <m/>
    <n v="1"/>
    <m/>
    <n v="0"/>
    <n v="0"/>
    <n v="0"/>
    <n v="867862.86999999988"/>
    <n v="0"/>
    <n v="9452726.7899999991"/>
    <n v="0"/>
    <n v="0"/>
    <n v="0"/>
  </r>
  <r>
    <s v="Тюменская"/>
    <x v="1"/>
    <x v="7"/>
    <x v="33"/>
    <s v="Эвенкс ООО (Екатеринбург)"/>
    <m/>
    <m/>
    <m/>
    <n v="0"/>
    <n v="0"/>
    <n v="1036658.8200000001"/>
    <n v="0"/>
    <n v="0"/>
    <n v="0"/>
    <n v="0"/>
    <n v="0"/>
    <n v="0"/>
  </r>
  <r>
    <s v="Тюменская"/>
    <x v="1"/>
    <x v="5"/>
    <x v="18"/>
    <s v="Фуд-Трейд ООО"/>
    <m/>
    <m/>
    <m/>
    <n v="0"/>
    <n v="21095811.210000005"/>
    <n v="0"/>
    <n v="0"/>
    <n v="0"/>
    <n v="0"/>
    <n v="0"/>
    <n v="0"/>
    <n v="0"/>
  </r>
  <r>
    <s v="Удмуртская"/>
    <x v="1"/>
    <x v="6"/>
    <x v="32"/>
    <s v="Фуд-Трейд ООО"/>
    <n v="1"/>
    <m/>
    <m/>
    <n v="0"/>
    <n v="0"/>
    <n v="3709919.7600000007"/>
    <n v="61572551.459999993"/>
    <n v="0"/>
    <n v="33039185.340000033"/>
    <n v="6893112.2441999996"/>
    <n v="0"/>
    <n v="669466"/>
  </r>
  <r>
    <s v="Удмуртская"/>
    <x v="1"/>
    <x v="6"/>
    <x v="21"/>
    <s v="Рэйд-21 ООО"/>
    <m/>
    <m/>
    <m/>
    <n v="0"/>
    <n v="0"/>
    <n v="0"/>
    <n v="363411.85"/>
    <n v="0"/>
    <n v="0"/>
    <n v="0"/>
    <n v="0"/>
    <n v="0"/>
  </r>
  <r>
    <s v="Ханты-Мансийский Автономный округ - Югра"/>
    <x v="1"/>
    <x v="7"/>
    <x v="36"/>
    <s v="Эвенкс ООО (Тюмень)"/>
    <n v="1"/>
    <n v="1"/>
    <s v="Open"/>
    <n v="0"/>
    <n v="8722385.4600000009"/>
    <n v="656791.19999999995"/>
    <n v="58926900.209999993"/>
    <n v="1000058232.5383745"/>
    <n v="173307347.28000036"/>
    <n v="601796653.87660027"/>
    <n v="99474719.699999988"/>
    <n v="0"/>
  </r>
  <r>
    <s v="Челябинская"/>
    <x v="1"/>
    <x v="5"/>
    <x v="34"/>
    <s v="Эвенкс ООО (Екатеринбург)"/>
    <m/>
    <m/>
    <m/>
    <n v="0"/>
    <n v="0"/>
    <n v="77805536.48999998"/>
    <n v="0"/>
    <n v="0"/>
    <n v="0"/>
    <n v="0"/>
    <n v="0"/>
    <n v="0"/>
  </r>
  <r>
    <s v="Челябинская"/>
    <x v="1"/>
    <x v="6"/>
    <x v="37"/>
    <s v="Фуд-Трейд ООО"/>
    <n v="1"/>
    <n v="1"/>
    <m/>
    <n v="0"/>
    <n v="5248127.7100000009"/>
    <n v="2517076.71"/>
    <n v="101239778.97"/>
    <n v="0"/>
    <n v="249482271.56000093"/>
    <n v="92206844.813199982"/>
    <n v="0"/>
    <n v="59178799.899999954"/>
  </r>
  <r>
    <s v="Челябинская"/>
    <x v="1"/>
    <x v="7"/>
    <x v="33"/>
    <s v="Эвенкс ООО (Екатеринбург)"/>
    <m/>
    <m/>
    <m/>
    <n v="0"/>
    <n v="0"/>
    <n v="2257325.5700000003"/>
    <n v="1243551.72"/>
    <n v="0"/>
    <n v="0"/>
    <n v="0"/>
    <n v="0"/>
    <n v="0"/>
  </r>
  <r>
    <s v="Челябинская"/>
    <x v="1"/>
    <x v="6"/>
    <x v="21"/>
    <s v="Рэйд-21 ООО"/>
    <m/>
    <m/>
    <m/>
    <n v="0"/>
    <n v="0"/>
    <n v="0"/>
    <n v="1593870.07"/>
    <n v="0"/>
    <n v="0"/>
    <n v="0"/>
    <n v="0"/>
    <n v="0"/>
  </r>
  <r>
    <s v="Ямало-Ненецкий"/>
    <x v="1"/>
    <x v="7"/>
    <x v="36"/>
    <s v="Эвенкс ООО (Тюмень)"/>
    <m/>
    <n v="1"/>
    <s v="Open"/>
    <n v="0"/>
    <n v="0"/>
    <n v="0"/>
    <n v="10032609.34"/>
    <n v="166575782.33000067"/>
    <n v="69327183.080000117"/>
    <n v="23181716.654200006"/>
    <n v="0"/>
    <n v="3859752.72"/>
  </r>
  <r>
    <s v="Адыгея"/>
    <x v="1"/>
    <x v="5"/>
    <x v="35"/>
    <s v="Дакорт-Юг ООО"/>
    <m/>
    <m/>
    <m/>
    <n v="835821.95"/>
    <n v="0"/>
    <n v="0"/>
    <n v="0"/>
    <n v="0"/>
    <n v="0"/>
    <n v="0"/>
    <n v="0"/>
    <n v="0"/>
  </r>
  <r>
    <s v="Алтай"/>
    <x v="1"/>
    <x v="5"/>
    <x v="35"/>
    <s v="РП Альянс ООО"/>
    <m/>
    <m/>
    <m/>
    <n v="836011.14999999991"/>
    <n v="0"/>
    <n v="0"/>
    <n v="0"/>
    <n v="0"/>
    <n v="0"/>
    <n v="0"/>
    <n v="0"/>
    <n v="0"/>
  </r>
  <r>
    <s v="Самарская"/>
    <x v="1"/>
    <x v="5"/>
    <x v="35"/>
    <s v="Фуд-Трейд ООО"/>
    <m/>
    <m/>
    <m/>
    <n v="228590.15"/>
    <n v="0"/>
    <n v="0"/>
    <n v="0"/>
    <n v="0"/>
    <n v="0"/>
    <n v="0"/>
    <n v="0"/>
    <n v="0"/>
  </r>
  <r>
    <s v="Самарская"/>
    <x v="1"/>
    <x v="5"/>
    <x v="35"/>
    <s v="Фуд-Трейд ООО"/>
    <m/>
    <m/>
    <m/>
    <n v="688143.6"/>
    <n v="0"/>
    <n v="0"/>
    <n v="0"/>
    <n v="0"/>
    <n v="0"/>
    <n v="0"/>
    <n v="0"/>
    <n v="0"/>
  </r>
  <r>
    <s v="Адыгея"/>
    <x v="1"/>
    <x v="5"/>
    <x v="35"/>
    <s v="Дакорт-Юг ООО"/>
    <m/>
    <m/>
    <m/>
    <n v="44163988.919999994"/>
    <n v="0"/>
    <n v="0"/>
    <n v="0"/>
    <n v="0"/>
    <n v="0"/>
    <n v="0"/>
    <n v="0"/>
    <n v="0"/>
  </r>
  <r>
    <s v="Адыгея"/>
    <x v="1"/>
    <x v="5"/>
    <x v="35"/>
    <s v="Фуд-Трейд ООО"/>
    <m/>
    <m/>
    <m/>
    <n v="4002531.09"/>
    <n v="0"/>
    <n v="0"/>
    <n v="0"/>
    <n v="0"/>
    <n v="0"/>
    <n v="0"/>
    <n v="0"/>
    <n v="0"/>
  </r>
  <r>
    <s v="Алтай"/>
    <x v="1"/>
    <x v="5"/>
    <x v="35"/>
    <s v="РП Альянс ООО"/>
    <m/>
    <m/>
    <m/>
    <n v="3046694.5799999996"/>
    <n v="0"/>
    <n v="0"/>
    <n v="0"/>
    <n v="0"/>
    <n v="0"/>
    <n v="0"/>
    <n v="0"/>
    <n v="0"/>
  </r>
  <r>
    <s v="Алтай"/>
    <x v="1"/>
    <x v="5"/>
    <x v="35"/>
    <s v="Фуд-Трейд ООО"/>
    <m/>
    <m/>
    <m/>
    <n v="2125019.96"/>
    <n v="0"/>
    <n v="0"/>
    <n v="0"/>
    <n v="0"/>
    <n v="0"/>
    <n v="0"/>
    <n v="0"/>
    <n v="0"/>
  </r>
  <r>
    <s v="Алтайский"/>
    <x v="1"/>
    <x v="5"/>
    <x v="35"/>
    <s v="РП Альянс ООО"/>
    <m/>
    <m/>
    <m/>
    <n v="12307302.329999996"/>
    <n v="0"/>
    <n v="0"/>
    <n v="0"/>
    <n v="0"/>
    <n v="0"/>
    <n v="0"/>
    <n v="0"/>
    <n v="0"/>
  </r>
  <r>
    <s v="Алтайский"/>
    <x v="1"/>
    <x v="5"/>
    <x v="35"/>
    <s v="Фуд-Трейд ООО"/>
    <m/>
    <m/>
    <m/>
    <n v="9498768.2299999986"/>
    <n v="0"/>
    <n v="0"/>
    <n v="0"/>
    <n v="0"/>
    <n v="0"/>
    <n v="0"/>
    <n v="0"/>
    <n v="0"/>
  </r>
  <r>
    <s v="Амурская"/>
    <x v="1"/>
    <x v="5"/>
    <x v="35"/>
    <s v="Эником ООО"/>
    <m/>
    <m/>
    <m/>
    <n v="1850809.5699999998"/>
    <n v="0"/>
    <n v="0"/>
    <n v="0"/>
    <n v="0"/>
    <n v="0"/>
    <n v="0"/>
    <n v="0"/>
    <n v="0"/>
  </r>
  <r>
    <s v="Архангельская"/>
    <x v="1"/>
    <x v="5"/>
    <x v="35"/>
    <s v="Алколайн ООО"/>
    <m/>
    <m/>
    <m/>
    <n v="3916673.8"/>
    <n v="0"/>
    <n v="0"/>
    <n v="0"/>
    <n v="0"/>
    <n v="0"/>
    <n v="0"/>
    <n v="0"/>
    <n v="0"/>
  </r>
  <r>
    <s v="Архангельская"/>
    <x v="1"/>
    <x v="5"/>
    <x v="35"/>
    <s v="Роздухов М.Е. ИП"/>
    <m/>
    <m/>
    <m/>
    <n v="2292216.67"/>
    <n v="0"/>
    <n v="0"/>
    <n v="0"/>
    <n v="0"/>
    <n v="0"/>
    <n v="0"/>
    <n v="0"/>
    <n v="0"/>
  </r>
  <r>
    <s v="Астраханская"/>
    <x v="1"/>
    <x v="5"/>
    <x v="35"/>
    <s v="Фуд-Трейд ООО"/>
    <m/>
    <m/>
    <m/>
    <n v="1669261.7300000004"/>
    <n v="0"/>
    <n v="0"/>
    <n v="0"/>
    <n v="0"/>
    <n v="0"/>
    <n v="0"/>
    <n v="0"/>
    <n v="0"/>
  </r>
  <r>
    <s v="Башкортостан"/>
    <x v="1"/>
    <x v="5"/>
    <x v="35"/>
    <s v="Рэйд-21 ООО"/>
    <m/>
    <m/>
    <m/>
    <n v="16290350.629999995"/>
    <n v="0"/>
    <n v="0"/>
    <n v="0"/>
    <n v="0"/>
    <n v="0"/>
    <n v="0"/>
    <n v="0"/>
    <n v="0"/>
  </r>
  <r>
    <s v="Белгородская"/>
    <x v="1"/>
    <x v="5"/>
    <x v="35"/>
    <s v="Фуд-Трейд ООО"/>
    <m/>
    <m/>
    <m/>
    <n v="13742490.699999999"/>
    <n v="0"/>
    <n v="0"/>
    <n v="0"/>
    <n v="0"/>
    <n v="0"/>
    <n v="0"/>
    <n v="0"/>
    <n v="0"/>
  </r>
  <r>
    <s v="Брянская"/>
    <x v="1"/>
    <x v="5"/>
    <x v="35"/>
    <s v="Фуд-Трейд ООО"/>
    <m/>
    <m/>
    <m/>
    <n v="8182930.8999999994"/>
    <n v="0"/>
    <n v="0"/>
    <n v="0"/>
    <n v="0"/>
    <n v="0"/>
    <n v="0"/>
    <n v="0"/>
    <n v="0"/>
  </r>
  <r>
    <s v="Бурятия"/>
    <x v="1"/>
    <x v="5"/>
    <x v="35"/>
    <s v="Проект-Инвест ООО"/>
    <m/>
    <m/>
    <m/>
    <n v="1212322.8800000001"/>
    <n v="0"/>
    <n v="0"/>
    <n v="0"/>
    <n v="0"/>
    <n v="0"/>
    <n v="0"/>
    <n v="0"/>
    <n v="0"/>
  </r>
  <r>
    <s v="Волгоградская"/>
    <x v="1"/>
    <x v="5"/>
    <x v="35"/>
    <s v="Фуд-Трейд ООО"/>
    <m/>
    <m/>
    <m/>
    <n v="3727231.73"/>
    <n v="0"/>
    <n v="0"/>
    <n v="0"/>
    <n v="0"/>
    <n v="0"/>
    <n v="0"/>
    <n v="0"/>
    <n v="0"/>
  </r>
  <r>
    <s v="Вологодская"/>
    <x v="1"/>
    <x v="5"/>
    <x v="35"/>
    <s v="Алколайн ООО"/>
    <m/>
    <m/>
    <m/>
    <n v="1282400.56"/>
    <n v="0"/>
    <n v="0"/>
    <n v="0"/>
    <n v="0"/>
    <n v="0"/>
    <n v="0"/>
    <n v="0"/>
    <n v="0"/>
  </r>
  <r>
    <s v="Вологодская"/>
    <x v="1"/>
    <x v="5"/>
    <x v="35"/>
    <s v="Роздухов М.Е. ИП"/>
    <m/>
    <m/>
    <m/>
    <n v="551136.82000000007"/>
    <n v="0"/>
    <n v="0"/>
    <n v="0"/>
    <n v="0"/>
    <n v="0"/>
    <n v="0"/>
    <n v="0"/>
    <n v="0"/>
  </r>
  <r>
    <s v="Воронежская"/>
    <x v="1"/>
    <x v="5"/>
    <x v="35"/>
    <s v="Фуд-Трейд ООО"/>
    <m/>
    <m/>
    <m/>
    <n v="526862.52"/>
    <n v="0"/>
    <n v="0"/>
    <n v="0"/>
    <n v="0"/>
    <n v="0"/>
    <n v="0"/>
    <n v="0"/>
    <n v="0"/>
  </r>
  <r>
    <s v="Забайкальский"/>
    <x v="1"/>
    <x v="5"/>
    <x v="35"/>
    <s v="Проект-Инвест ООО"/>
    <m/>
    <m/>
    <m/>
    <n v="6645557.3500000015"/>
    <n v="0"/>
    <n v="0"/>
    <n v="0"/>
    <n v="0"/>
    <n v="0"/>
    <n v="0"/>
    <n v="0"/>
    <n v="0"/>
  </r>
  <r>
    <s v="Ивановская"/>
    <x v="1"/>
    <x v="5"/>
    <x v="35"/>
    <s v="Вектор ООО"/>
    <m/>
    <m/>
    <m/>
    <n v="715825.47"/>
    <n v="0"/>
    <n v="0"/>
    <n v="0"/>
    <n v="0"/>
    <n v="0"/>
    <n v="0"/>
    <n v="0"/>
    <n v="0"/>
  </r>
  <r>
    <s v="Иркутская"/>
    <x v="1"/>
    <x v="5"/>
    <x v="35"/>
    <s v="Проект-Инвест ООО"/>
    <m/>
    <m/>
    <m/>
    <n v="2816299.63"/>
    <n v="0"/>
    <n v="0"/>
    <n v="0"/>
    <n v="0"/>
    <n v="0"/>
    <n v="0"/>
    <n v="0"/>
    <n v="0"/>
  </r>
  <r>
    <s v="Калужская"/>
    <x v="1"/>
    <x v="5"/>
    <x v="35"/>
    <s v="Фуд-Трейд ООО"/>
    <m/>
    <m/>
    <m/>
    <n v="1402526.35"/>
    <n v="0"/>
    <n v="0"/>
    <n v="0"/>
    <n v="0"/>
    <n v="0"/>
    <n v="0"/>
    <n v="0"/>
    <n v="0"/>
  </r>
  <r>
    <s v="Камчатский"/>
    <x v="1"/>
    <x v="5"/>
    <x v="35"/>
    <s v="Эником ООО"/>
    <m/>
    <m/>
    <m/>
    <n v="342333.51999999996"/>
    <n v="0"/>
    <n v="0"/>
    <n v="0"/>
    <n v="0"/>
    <n v="0"/>
    <n v="0"/>
    <n v="0"/>
    <n v="0"/>
  </r>
  <r>
    <s v="Карелия"/>
    <x v="1"/>
    <x v="5"/>
    <x v="35"/>
    <s v="Денди ЗАО"/>
    <m/>
    <m/>
    <m/>
    <n v="3642683.080000001"/>
    <n v="0"/>
    <n v="0"/>
    <n v="0"/>
    <n v="0"/>
    <n v="0"/>
    <n v="0"/>
    <n v="0"/>
    <n v="0"/>
  </r>
  <r>
    <s v="Кемеровская область - Кузбасс"/>
    <x v="1"/>
    <x v="5"/>
    <x v="35"/>
    <s v="ТД Шкуренко ООО (Томск)"/>
    <m/>
    <m/>
    <m/>
    <n v="16476732.709999997"/>
    <n v="0"/>
    <n v="0"/>
    <n v="0"/>
    <n v="0"/>
    <n v="0"/>
    <n v="0"/>
    <n v="0"/>
    <n v="0"/>
  </r>
  <r>
    <s v="Кировская"/>
    <x v="1"/>
    <x v="5"/>
    <x v="35"/>
    <s v="Фуд-Трейд ООО"/>
    <m/>
    <m/>
    <m/>
    <n v="1067159.2200000002"/>
    <n v="0"/>
    <n v="0"/>
    <n v="0"/>
    <n v="0"/>
    <n v="0"/>
    <n v="0"/>
    <n v="0"/>
    <n v="0"/>
  </r>
  <r>
    <s v="Коми"/>
    <x v="1"/>
    <x v="5"/>
    <x v="35"/>
    <s v="Киселенко А.А. ИП"/>
    <m/>
    <m/>
    <m/>
    <n v="497928.88"/>
    <n v="0"/>
    <n v="0"/>
    <n v="0"/>
    <n v="0"/>
    <n v="0"/>
    <n v="0"/>
    <n v="0"/>
    <n v="0"/>
  </r>
  <r>
    <s v="Костромская"/>
    <x v="1"/>
    <x v="5"/>
    <x v="35"/>
    <s v="Вектор ООО"/>
    <m/>
    <m/>
    <m/>
    <n v="217936.43"/>
    <n v="0"/>
    <n v="0"/>
    <n v="0"/>
    <n v="0"/>
    <n v="0"/>
    <n v="0"/>
    <n v="0"/>
    <n v="0"/>
  </r>
  <r>
    <s v="Краснодарский"/>
    <x v="1"/>
    <x v="5"/>
    <x v="35"/>
    <s v="Дакорт-Юг ООО"/>
    <m/>
    <m/>
    <m/>
    <n v="18206006.04000001"/>
    <n v="0"/>
    <n v="0"/>
    <n v="0"/>
    <n v="0"/>
    <n v="0"/>
    <n v="0"/>
    <n v="0"/>
    <n v="0"/>
  </r>
  <r>
    <s v="Краснодарский"/>
    <x v="1"/>
    <x v="5"/>
    <x v="35"/>
    <s v="Фуд-Трейд ООО"/>
    <m/>
    <m/>
    <m/>
    <n v="22305574.450000003"/>
    <n v="0"/>
    <n v="0"/>
    <n v="0"/>
    <n v="0"/>
    <n v="0"/>
    <n v="0"/>
    <n v="0"/>
    <n v="0"/>
  </r>
  <r>
    <s v="Крым"/>
    <x v="1"/>
    <x v="5"/>
    <x v="35"/>
    <s v="Дакорт-Юг ООО"/>
    <m/>
    <m/>
    <m/>
    <n v="148303293.16999984"/>
    <n v="0"/>
    <n v="0"/>
    <n v="0"/>
    <n v="0"/>
    <n v="0"/>
    <n v="0"/>
    <n v="0"/>
    <n v="0"/>
  </r>
  <r>
    <s v="Курганская"/>
    <x v="1"/>
    <x v="5"/>
    <x v="35"/>
    <s v="Эвенкс ООО (Екатеринбург)"/>
    <m/>
    <m/>
    <m/>
    <n v="18010939.100000005"/>
    <n v="0"/>
    <n v="0"/>
    <n v="0"/>
    <n v="0"/>
    <n v="0"/>
    <n v="0"/>
    <n v="0"/>
    <n v="0"/>
  </r>
  <r>
    <s v="Ленинградская"/>
    <x v="1"/>
    <x v="5"/>
    <x v="35"/>
    <s v="Денди ЗАО"/>
    <m/>
    <m/>
    <m/>
    <n v="8843623.5500000007"/>
    <n v="0"/>
    <n v="0"/>
    <n v="0"/>
    <n v="0"/>
    <n v="0"/>
    <n v="0"/>
    <n v="0"/>
    <n v="0"/>
  </r>
  <r>
    <s v="Липецкая"/>
    <x v="1"/>
    <x v="5"/>
    <x v="35"/>
    <s v="Фуд-Трейд ООО"/>
    <m/>
    <m/>
    <m/>
    <n v="4388912.41"/>
    <n v="0"/>
    <n v="0"/>
    <n v="0"/>
    <n v="0"/>
    <n v="0"/>
    <n v="0"/>
    <n v="0"/>
    <n v="0"/>
  </r>
  <r>
    <s v="Московская"/>
    <x v="1"/>
    <x v="5"/>
    <x v="35"/>
    <s v="Фуд-Трейд ООО"/>
    <m/>
    <m/>
    <m/>
    <n v="16865038.440000001"/>
    <n v="0"/>
    <n v="0"/>
    <n v="0"/>
    <n v="0"/>
    <n v="0"/>
    <n v="0"/>
    <n v="0"/>
    <n v="0"/>
  </r>
  <r>
    <s v="Мурманская"/>
    <x v="1"/>
    <x v="5"/>
    <x v="35"/>
    <s v="Денди ЗАО"/>
    <m/>
    <m/>
    <m/>
    <n v="2126298.59"/>
    <n v="0"/>
    <n v="0"/>
    <n v="0"/>
    <n v="0"/>
    <n v="0"/>
    <n v="0"/>
    <n v="0"/>
    <n v="0"/>
  </r>
  <r>
    <s v="Новгородская"/>
    <x v="1"/>
    <x v="5"/>
    <x v="35"/>
    <s v="Денди ЗАО"/>
    <m/>
    <m/>
    <m/>
    <n v="2711752.3"/>
    <n v="0"/>
    <n v="0"/>
    <n v="0"/>
    <n v="0"/>
    <n v="0"/>
    <n v="0"/>
    <n v="0"/>
    <n v="0"/>
  </r>
  <r>
    <s v="Новосибирская"/>
    <x v="1"/>
    <x v="5"/>
    <x v="35"/>
    <s v="РП Альянс ООО"/>
    <m/>
    <m/>
    <m/>
    <n v="6187042.1399999997"/>
    <n v="0"/>
    <n v="0"/>
    <n v="0"/>
    <n v="0"/>
    <n v="0"/>
    <n v="0"/>
    <n v="0"/>
    <n v="0"/>
  </r>
  <r>
    <s v="Новосибирская"/>
    <x v="1"/>
    <x v="5"/>
    <x v="35"/>
    <s v="Фуд-Трейд ООО"/>
    <m/>
    <m/>
    <m/>
    <n v="6168560.4500000011"/>
    <n v="0"/>
    <n v="0"/>
    <n v="0"/>
    <n v="0"/>
    <n v="0"/>
    <n v="0"/>
    <n v="0"/>
    <n v="0"/>
  </r>
  <r>
    <s v="Омская"/>
    <x v="1"/>
    <x v="5"/>
    <x v="35"/>
    <s v="ТД Шкуренко ООО"/>
    <m/>
    <m/>
    <m/>
    <n v="13379034.709999999"/>
    <n v="0"/>
    <n v="0"/>
    <n v="0"/>
    <n v="0"/>
    <n v="0"/>
    <n v="0"/>
    <n v="0"/>
    <n v="0"/>
  </r>
  <r>
    <s v="Оренбургская"/>
    <x v="1"/>
    <x v="5"/>
    <x v="35"/>
    <s v="Фуд-Трейд ООО"/>
    <m/>
    <m/>
    <m/>
    <n v="2367448.2399999998"/>
    <n v="0"/>
    <n v="0"/>
    <n v="0"/>
    <n v="0"/>
    <n v="0"/>
    <n v="0"/>
    <n v="0"/>
    <n v="0"/>
  </r>
  <r>
    <s v="Орловская"/>
    <x v="1"/>
    <x v="5"/>
    <x v="35"/>
    <s v="Фуд-Трейд ООО"/>
    <m/>
    <m/>
    <m/>
    <n v="66978.100000000006"/>
    <n v="0"/>
    <n v="0"/>
    <n v="0"/>
    <n v="0"/>
    <n v="0"/>
    <n v="0"/>
    <n v="0"/>
    <n v="0"/>
  </r>
  <r>
    <s v="Пензенская"/>
    <x v="1"/>
    <x v="5"/>
    <x v="35"/>
    <s v="Фуд-Трейд ООО"/>
    <m/>
    <m/>
    <m/>
    <n v="1620898.1300000001"/>
    <n v="0"/>
    <n v="0"/>
    <n v="0"/>
    <n v="0"/>
    <n v="0"/>
    <n v="0"/>
    <n v="0"/>
    <n v="0"/>
  </r>
  <r>
    <s v="Пермский"/>
    <x v="1"/>
    <x v="5"/>
    <x v="35"/>
    <s v="Эвенкс ООО (Екатеринбург)"/>
    <m/>
    <m/>
    <m/>
    <n v="36021878.200000018"/>
    <n v="0"/>
    <n v="0"/>
    <n v="0"/>
    <n v="0"/>
    <n v="0"/>
    <n v="0"/>
    <n v="0"/>
    <n v="0"/>
  </r>
  <r>
    <s v="Приморский"/>
    <x v="1"/>
    <x v="5"/>
    <x v="35"/>
    <s v="Эником ООО"/>
    <m/>
    <m/>
    <m/>
    <n v="132631.12"/>
    <n v="0"/>
    <n v="0"/>
    <n v="0"/>
    <n v="0"/>
    <n v="0"/>
    <n v="0"/>
    <n v="0"/>
    <n v="0"/>
  </r>
  <r>
    <s v="Псковская"/>
    <x v="1"/>
    <x v="5"/>
    <x v="35"/>
    <s v="Денди ЗАО"/>
    <m/>
    <m/>
    <m/>
    <n v="7241718.1199999992"/>
    <n v="0"/>
    <n v="0"/>
    <n v="0"/>
    <n v="0"/>
    <n v="0"/>
    <n v="0"/>
    <n v="0"/>
    <n v="0"/>
  </r>
  <r>
    <s v="Ростовская"/>
    <x v="1"/>
    <x v="5"/>
    <x v="35"/>
    <s v="Миллениум-Дон ООО"/>
    <m/>
    <m/>
    <m/>
    <n v="2537846.2700000005"/>
    <n v="0"/>
    <n v="0"/>
    <n v="0"/>
    <n v="0"/>
    <n v="0"/>
    <n v="0"/>
    <n v="0"/>
    <n v="0"/>
  </r>
  <r>
    <s v="Рязанская"/>
    <x v="1"/>
    <x v="5"/>
    <x v="35"/>
    <s v="Фуд-Трейд ООО"/>
    <m/>
    <m/>
    <m/>
    <n v="1761030.05"/>
    <n v="0"/>
    <n v="0"/>
    <n v="0"/>
    <n v="0"/>
    <n v="0"/>
    <n v="0"/>
    <n v="0"/>
    <n v="0"/>
  </r>
  <r>
    <s v="Самарская"/>
    <x v="1"/>
    <x v="5"/>
    <x v="35"/>
    <s v="Фуд-Трейд ООО"/>
    <m/>
    <m/>
    <m/>
    <n v="6875972.790000001"/>
    <n v="0"/>
    <n v="0"/>
    <n v="0"/>
    <n v="0"/>
    <n v="0"/>
    <n v="0"/>
    <n v="0"/>
    <n v="0"/>
  </r>
  <r>
    <s v="Санкт-Петербург"/>
    <x v="1"/>
    <x v="5"/>
    <x v="35"/>
    <s v="Денди ЗАО"/>
    <m/>
    <m/>
    <m/>
    <n v="166482.5"/>
    <n v="0"/>
    <n v="0"/>
    <n v="0"/>
    <n v="0"/>
    <n v="0"/>
    <n v="0"/>
    <n v="0"/>
    <n v="0"/>
  </r>
  <r>
    <s v="Саратовская"/>
    <x v="1"/>
    <x v="5"/>
    <x v="35"/>
    <s v="Фуд-Трейд ООО"/>
    <m/>
    <m/>
    <m/>
    <n v="923748.45000000019"/>
    <n v="0"/>
    <n v="0"/>
    <n v="0"/>
    <n v="0"/>
    <n v="0"/>
    <n v="0"/>
    <n v="0"/>
    <n v="0"/>
  </r>
  <r>
    <s v="Сахалинская"/>
    <x v="1"/>
    <x v="5"/>
    <x v="35"/>
    <s v="Эником ООО"/>
    <m/>
    <m/>
    <m/>
    <n v="915171.79"/>
    <n v="0"/>
    <n v="0"/>
    <n v="0"/>
    <n v="0"/>
    <n v="0"/>
    <n v="0"/>
    <n v="0"/>
    <n v="0"/>
  </r>
  <r>
    <s v="Севастополь"/>
    <x v="1"/>
    <x v="5"/>
    <x v="35"/>
    <s v="Дакорт-Юг ООО"/>
    <m/>
    <m/>
    <m/>
    <n v="24173379.469999999"/>
    <n v="0"/>
    <n v="0"/>
    <n v="0"/>
    <n v="0"/>
    <n v="0"/>
    <n v="0"/>
    <n v="0"/>
    <n v="0"/>
  </r>
  <r>
    <s v="Ставропольский"/>
    <x v="1"/>
    <x v="5"/>
    <x v="35"/>
    <s v="Фуд-Трейд ООО"/>
    <m/>
    <m/>
    <m/>
    <n v="3460921.04"/>
    <n v="0"/>
    <n v="0"/>
    <n v="0"/>
    <n v="0"/>
    <n v="0"/>
    <n v="0"/>
    <n v="0"/>
    <n v="0"/>
  </r>
  <r>
    <s v="Тамбовская"/>
    <x v="1"/>
    <x v="5"/>
    <x v="35"/>
    <s v="Фуд-Трейд ООО"/>
    <m/>
    <m/>
    <m/>
    <n v="3728265.5200000005"/>
    <n v="0"/>
    <n v="0"/>
    <n v="0"/>
    <n v="0"/>
    <n v="0"/>
    <n v="0"/>
    <n v="0"/>
    <n v="0"/>
  </r>
  <r>
    <s v="Татарстан"/>
    <x v="1"/>
    <x v="5"/>
    <x v="35"/>
    <s v="Фуд-Трейд ООО"/>
    <m/>
    <m/>
    <m/>
    <n v="292274.43"/>
    <n v="0"/>
    <n v="0"/>
    <n v="0"/>
    <n v="0"/>
    <n v="0"/>
    <n v="0"/>
    <n v="0"/>
    <n v="0"/>
  </r>
  <r>
    <s v="Тверская"/>
    <x v="1"/>
    <x v="5"/>
    <x v="35"/>
    <s v="Вектор ООО"/>
    <m/>
    <m/>
    <m/>
    <n v="372200.5"/>
    <n v="0"/>
    <n v="0"/>
    <n v="0"/>
    <n v="0"/>
    <n v="0"/>
    <n v="0"/>
    <n v="0"/>
    <n v="0"/>
  </r>
  <r>
    <s v="Томская"/>
    <x v="1"/>
    <x v="5"/>
    <x v="35"/>
    <s v="ТД Шкуренко ООО (Томск)"/>
    <m/>
    <m/>
    <m/>
    <n v="5559329.3000000007"/>
    <n v="0"/>
    <n v="0"/>
    <n v="0"/>
    <n v="0"/>
    <n v="0"/>
    <n v="0"/>
    <n v="0"/>
    <n v="0"/>
  </r>
  <r>
    <s v="Тульская"/>
    <x v="1"/>
    <x v="5"/>
    <x v="35"/>
    <s v="Фуд-Трейд ООО"/>
    <m/>
    <m/>
    <m/>
    <n v="1871079.9999999998"/>
    <n v="0"/>
    <n v="0"/>
    <n v="0"/>
    <n v="0"/>
    <n v="0"/>
    <n v="0"/>
    <n v="0"/>
    <n v="0"/>
  </r>
  <r>
    <s v="Тюменская"/>
    <x v="1"/>
    <x v="5"/>
    <x v="35"/>
    <s v="Эвенкс ООО (Екатеринбург)"/>
    <m/>
    <m/>
    <m/>
    <n v="21870426.050000016"/>
    <n v="0"/>
    <n v="0"/>
    <n v="0"/>
    <n v="0"/>
    <n v="0"/>
    <n v="0"/>
    <n v="0"/>
    <n v="0"/>
  </r>
  <r>
    <s v="Удмуртская"/>
    <x v="1"/>
    <x v="5"/>
    <x v="35"/>
    <s v="Фуд-Трейд ООО"/>
    <m/>
    <m/>
    <m/>
    <n v="669465.87"/>
    <n v="0"/>
    <n v="0"/>
    <n v="0"/>
    <n v="0"/>
    <n v="0"/>
    <n v="0"/>
    <n v="0"/>
    <n v="0"/>
  </r>
  <r>
    <s v="Челябинская"/>
    <x v="1"/>
    <x v="5"/>
    <x v="35"/>
    <s v="Эвенкс ООО (Екатеринбург)"/>
    <m/>
    <m/>
    <m/>
    <n v="59178799.899999708"/>
    <n v="0"/>
    <n v="0"/>
    <n v="0"/>
    <n v="0"/>
    <n v="0"/>
    <n v="0"/>
    <n v="0"/>
    <n v="0"/>
  </r>
  <r>
    <s v="Чувашская Республика -"/>
    <x v="1"/>
    <x v="5"/>
    <x v="35"/>
    <s v="Фуд-Трейд ООО"/>
    <m/>
    <m/>
    <m/>
    <n v="221696.62000000002"/>
    <n v="0"/>
    <n v="0"/>
    <n v="0"/>
    <n v="0"/>
    <n v="0"/>
    <n v="0"/>
    <n v="0"/>
    <n v="0"/>
  </r>
  <r>
    <s v="Ямало-Ненецкий"/>
    <x v="1"/>
    <x v="5"/>
    <x v="35"/>
    <s v="Эвенкс ООО (Екатеринбург)"/>
    <m/>
    <m/>
    <m/>
    <n v="3859752.7199999997"/>
    <n v="0"/>
    <n v="0"/>
    <n v="0"/>
    <n v="0"/>
    <n v="0"/>
    <n v="0"/>
    <n v="0"/>
    <n v="0"/>
  </r>
  <r>
    <s v="Ярославская"/>
    <x v="1"/>
    <x v="5"/>
    <x v="35"/>
    <s v="Вектор ООО"/>
    <m/>
    <m/>
    <m/>
    <n v="1319912.0300000003"/>
    <n v="0"/>
    <n v="0"/>
    <n v="0"/>
    <n v="0"/>
    <n v="0"/>
    <n v="0"/>
    <n v="0"/>
    <n v="0"/>
  </r>
  <r>
    <s v="Краснодарский"/>
    <x v="1"/>
    <x v="5"/>
    <x v="23"/>
    <s v="Фуд-Трейд ООО"/>
    <m/>
    <m/>
    <m/>
    <n v="18991406.05999998"/>
    <n v="0"/>
    <n v="0"/>
    <n v="0"/>
    <n v="0"/>
    <n v="0"/>
    <n v="0"/>
    <n v="0"/>
    <n v="0"/>
  </r>
  <r>
    <s v="Ростовская"/>
    <x v="1"/>
    <x v="5"/>
    <x v="23"/>
    <s v="Фуд-Трейд ООО"/>
    <m/>
    <m/>
    <m/>
    <n v="1221334.9700000002"/>
    <n v="0"/>
    <n v="0"/>
    <n v="0"/>
    <n v="0"/>
    <n v="0"/>
    <n v="0"/>
    <n v="0"/>
    <n v="0"/>
  </r>
  <r>
    <s v="Адыгея"/>
    <x v="1"/>
    <x v="5"/>
    <x v="23"/>
    <s v="Фуд-Трейд ООО"/>
    <m/>
    <m/>
    <m/>
    <n v="90879464.680000007"/>
    <n v="0"/>
    <n v="0"/>
    <n v="0"/>
    <n v="0"/>
    <n v="0"/>
    <n v="0"/>
    <n v="0"/>
    <n v="0"/>
  </r>
  <r>
    <s v="Астраханская"/>
    <x v="1"/>
    <x v="5"/>
    <x v="23"/>
    <s v="Фуд-Трейд ООО"/>
    <m/>
    <m/>
    <m/>
    <n v="10828622.959999999"/>
    <n v="0"/>
    <n v="0"/>
    <n v="0"/>
    <n v="0"/>
    <n v="0"/>
    <n v="0"/>
    <n v="0"/>
    <n v="0"/>
  </r>
  <r>
    <s v="Башкортостан"/>
    <x v="1"/>
    <x v="5"/>
    <x v="23"/>
    <s v="Фуд-Трейд ООО"/>
    <m/>
    <m/>
    <m/>
    <n v="56096761.779999882"/>
    <n v="0"/>
    <n v="0"/>
    <n v="0"/>
    <n v="0"/>
    <n v="0"/>
    <n v="0"/>
    <n v="0"/>
    <n v="0"/>
  </r>
  <r>
    <s v="Белгородская"/>
    <x v="1"/>
    <x v="5"/>
    <x v="23"/>
    <s v="Фуд-Трейд ООО"/>
    <m/>
    <m/>
    <m/>
    <n v="42349125.859999932"/>
    <n v="0"/>
    <n v="0"/>
    <n v="0"/>
    <n v="0"/>
    <n v="0"/>
    <n v="0"/>
    <n v="0"/>
    <n v="0"/>
  </r>
  <r>
    <s v="Брянская"/>
    <x v="1"/>
    <x v="5"/>
    <x v="23"/>
    <s v="Фуд-Трейд ООО"/>
    <m/>
    <m/>
    <m/>
    <n v="12460186.710000001"/>
    <n v="0"/>
    <n v="0"/>
    <n v="0"/>
    <n v="0"/>
    <n v="0"/>
    <n v="0"/>
    <n v="0"/>
    <n v="0"/>
  </r>
  <r>
    <s v="Владимирская"/>
    <x v="1"/>
    <x v="5"/>
    <x v="23"/>
    <s v="Фуд-Трейд ООО"/>
    <m/>
    <m/>
    <m/>
    <n v="1513833.15"/>
    <n v="0"/>
    <n v="0"/>
    <n v="0"/>
    <n v="0"/>
    <n v="0"/>
    <n v="0"/>
    <n v="0"/>
    <n v="0"/>
  </r>
  <r>
    <s v="Волгоградская"/>
    <x v="1"/>
    <x v="5"/>
    <x v="23"/>
    <s v="Фуд-Трейд ООО"/>
    <m/>
    <m/>
    <m/>
    <n v="242485214.69000125"/>
    <n v="0"/>
    <n v="0"/>
    <n v="0"/>
    <n v="0"/>
    <n v="0"/>
    <n v="0"/>
    <n v="0"/>
    <n v="0"/>
  </r>
  <r>
    <s v="Воронежская"/>
    <x v="1"/>
    <x v="5"/>
    <x v="23"/>
    <s v="Фуд-Трейд ООО"/>
    <m/>
    <m/>
    <m/>
    <n v="130075043.88000013"/>
    <n v="0"/>
    <n v="0"/>
    <n v="0"/>
    <n v="0"/>
    <n v="0"/>
    <n v="0"/>
    <n v="0"/>
    <n v="0"/>
  </r>
  <r>
    <s v="Донецкая Народная"/>
    <x v="1"/>
    <x v="5"/>
    <x v="23"/>
    <s v="Фуд-Трейд ООО"/>
    <m/>
    <m/>
    <m/>
    <n v="8317598.129999999"/>
    <n v="0"/>
    <n v="0"/>
    <n v="0"/>
    <n v="0"/>
    <n v="0"/>
    <n v="0"/>
    <n v="0"/>
    <n v="0"/>
  </r>
  <r>
    <s v="Калужская"/>
    <x v="1"/>
    <x v="5"/>
    <x v="23"/>
    <s v="Фуд-Трейд ООО"/>
    <m/>
    <m/>
    <m/>
    <n v="19951807.690000013"/>
    <n v="0"/>
    <n v="0"/>
    <n v="0"/>
    <n v="0"/>
    <n v="0"/>
    <n v="0"/>
    <n v="0"/>
    <n v="0"/>
  </r>
  <r>
    <s v="Кировская"/>
    <x v="1"/>
    <x v="5"/>
    <x v="23"/>
    <s v="Фуд-Трейд ООО"/>
    <m/>
    <m/>
    <m/>
    <n v="3514936.0200000005"/>
    <n v="0"/>
    <n v="0"/>
    <n v="0"/>
    <n v="0"/>
    <n v="0"/>
    <n v="0"/>
    <n v="0"/>
    <n v="0"/>
  </r>
  <r>
    <s v="Краснодарский"/>
    <x v="1"/>
    <x v="5"/>
    <x v="23"/>
    <s v="Фуд-Трейд ООО"/>
    <m/>
    <m/>
    <m/>
    <n v="579441303.72000396"/>
    <n v="0"/>
    <n v="0"/>
    <n v="0"/>
    <n v="0"/>
    <n v="0"/>
    <n v="0"/>
    <n v="0"/>
    <n v="0"/>
  </r>
  <r>
    <s v="Крым"/>
    <x v="1"/>
    <x v="5"/>
    <x v="23"/>
    <s v="Фуд-Трейд ООО"/>
    <m/>
    <m/>
    <m/>
    <n v="170025769.98000044"/>
    <n v="0"/>
    <n v="0"/>
    <n v="0"/>
    <n v="0"/>
    <n v="0"/>
    <n v="0"/>
    <n v="0"/>
    <n v="0"/>
  </r>
  <r>
    <s v="Курская"/>
    <x v="1"/>
    <x v="5"/>
    <x v="23"/>
    <s v="Фуд-Трейд ООО"/>
    <m/>
    <m/>
    <m/>
    <n v="60282489.34999986"/>
    <n v="0"/>
    <n v="0"/>
    <n v="0"/>
    <n v="0"/>
    <n v="0"/>
    <n v="0"/>
    <n v="0"/>
    <n v="0"/>
  </r>
  <r>
    <s v="Липецкая"/>
    <x v="1"/>
    <x v="5"/>
    <x v="23"/>
    <s v="Фуд-Трейд ООО"/>
    <m/>
    <m/>
    <m/>
    <n v="103135696.96999992"/>
    <n v="0"/>
    <n v="0"/>
    <n v="0"/>
    <n v="0"/>
    <n v="0"/>
    <n v="0"/>
    <n v="0"/>
    <n v="0"/>
  </r>
  <r>
    <s v="Марий Эл"/>
    <x v="1"/>
    <x v="5"/>
    <x v="23"/>
    <s v="Фуд-Трейд ООО"/>
    <m/>
    <m/>
    <m/>
    <n v="21394608.250000011"/>
    <n v="0"/>
    <n v="0"/>
    <n v="0"/>
    <n v="0"/>
    <n v="0"/>
    <n v="0"/>
    <n v="0"/>
    <n v="0"/>
  </r>
  <r>
    <s v="Мордовия"/>
    <x v="1"/>
    <x v="5"/>
    <x v="23"/>
    <s v="Фуд-Трейд ООО"/>
    <m/>
    <m/>
    <m/>
    <n v="20762694.490000002"/>
    <n v="0"/>
    <n v="0"/>
    <n v="0"/>
    <n v="0"/>
    <n v="0"/>
    <n v="0"/>
    <n v="0"/>
    <n v="0"/>
  </r>
  <r>
    <s v="Москва"/>
    <x v="1"/>
    <x v="5"/>
    <x v="23"/>
    <s v="Фуд-Трейд ООО"/>
    <m/>
    <m/>
    <m/>
    <n v="5977787.830000001"/>
    <n v="0"/>
    <n v="0"/>
    <n v="0"/>
    <n v="0"/>
    <n v="0"/>
    <n v="0"/>
    <n v="0"/>
    <n v="0"/>
  </r>
  <r>
    <s v="Московская"/>
    <x v="1"/>
    <x v="5"/>
    <x v="23"/>
    <s v="Фуд-Трейд ООО"/>
    <m/>
    <m/>
    <m/>
    <n v="181352079.10000029"/>
    <n v="0"/>
    <n v="0"/>
    <n v="0"/>
    <n v="0"/>
    <n v="0"/>
    <n v="0"/>
    <n v="0"/>
    <n v="0"/>
  </r>
  <r>
    <s v="Нижегородская"/>
    <x v="1"/>
    <x v="5"/>
    <x v="23"/>
    <s v="Фуд-Трейд ООО"/>
    <m/>
    <m/>
    <m/>
    <n v="2442669.94"/>
    <n v="0"/>
    <n v="0"/>
    <n v="0"/>
    <n v="0"/>
    <n v="0"/>
    <n v="0"/>
    <n v="0"/>
    <n v="0"/>
  </r>
  <r>
    <s v="Оренбургская"/>
    <x v="1"/>
    <x v="5"/>
    <x v="23"/>
    <s v="Фуд-Трейд ООО"/>
    <m/>
    <m/>
    <m/>
    <n v="25712040.959999997"/>
    <n v="0"/>
    <n v="0"/>
    <n v="0"/>
    <n v="0"/>
    <n v="0"/>
    <n v="0"/>
    <n v="0"/>
    <n v="0"/>
  </r>
  <r>
    <s v="Орловская"/>
    <x v="1"/>
    <x v="5"/>
    <x v="23"/>
    <s v="Фуд-Трейд ООО"/>
    <m/>
    <m/>
    <m/>
    <n v="36875949.079999946"/>
    <n v="0"/>
    <n v="0"/>
    <n v="0"/>
    <n v="0"/>
    <n v="0"/>
    <n v="0"/>
    <n v="0"/>
    <n v="0"/>
  </r>
  <r>
    <s v="Пензенская"/>
    <x v="1"/>
    <x v="5"/>
    <x v="23"/>
    <s v="Фуд-Трейд ООО"/>
    <m/>
    <m/>
    <m/>
    <n v="1009222.1000000001"/>
    <n v="0"/>
    <n v="0"/>
    <n v="0"/>
    <n v="0"/>
    <n v="0"/>
    <n v="0"/>
    <n v="0"/>
    <n v="0"/>
  </r>
  <r>
    <s v="Пензенская"/>
    <x v="1"/>
    <x v="5"/>
    <x v="23"/>
    <s v="Фуд-Трейд ООО"/>
    <m/>
    <m/>
    <m/>
    <n v="14656019.640000004"/>
    <n v="0"/>
    <n v="0"/>
    <n v="0"/>
    <n v="0"/>
    <n v="0"/>
    <n v="0"/>
    <n v="0"/>
    <n v="0"/>
  </r>
  <r>
    <s v="Пермский"/>
    <x v="1"/>
    <x v="5"/>
    <x v="23"/>
    <s v="Фуд-Трейд ООО"/>
    <m/>
    <m/>
    <m/>
    <n v="7030017.2700000023"/>
    <n v="0"/>
    <n v="0"/>
    <n v="0"/>
    <n v="0"/>
    <n v="0"/>
    <n v="0"/>
    <n v="0"/>
    <n v="0"/>
  </r>
  <r>
    <s v="Ростовская"/>
    <x v="1"/>
    <x v="5"/>
    <x v="23"/>
    <s v="Фуд-Трейд ООО"/>
    <m/>
    <m/>
    <m/>
    <n v="348384027.26000243"/>
    <n v="0"/>
    <n v="0"/>
    <n v="0"/>
    <n v="0"/>
    <n v="0"/>
    <n v="0"/>
    <n v="0"/>
    <n v="0"/>
  </r>
  <r>
    <s v="Рязанская"/>
    <x v="1"/>
    <x v="5"/>
    <x v="23"/>
    <s v="Фуд-Трейд ООО"/>
    <m/>
    <m/>
    <m/>
    <n v="66260277.17999991"/>
    <n v="0"/>
    <n v="0"/>
    <n v="0"/>
    <n v="0"/>
    <n v="0"/>
    <n v="0"/>
    <n v="0"/>
    <n v="0"/>
  </r>
  <r>
    <s v="Самарская"/>
    <x v="1"/>
    <x v="5"/>
    <x v="23"/>
    <s v="Фуд-Трейд ООО"/>
    <m/>
    <m/>
    <m/>
    <n v="339032466.54000002"/>
    <n v="0"/>
    <n v="0"/>
    <n v="0"/>
    <n v="0"/>
    <n v="0"/>
    <n v="0"/>
    <n v="0"/>
    <n v="0"/>
  </r>
  <r>
    <s v="Саратовская"/>
    <x v="1"/>
    <x v="5"/>
    <x v="23"/>
    <s v="Фуд-Трейд ООО"/>
    <m/>
    <m/>
    <m/>
    <n v="182776693.56999993"/>
    <n v="0"/>
    <n v="0"/>
    <n v="0"/>
    <n v="0"/>
    <n v="0"/>
    <n v="0"/>
    <n v="0"/>
    <n v="0"/>
  </r>
  <r>
    <s v="Севастополь"/>
    <x v="1"/>
    <x v="5"/>
    <x v="23"/>
    <s v="Фуд-Трейд ООО"/>
    <m/>
    <m/>
    <m/>
    <n v="614114.75"/>
    <n v="0"/>
    <n v="0"/>
    <n v="0"/>
    <n v="0"/>
    <n v="0"/>
    <n v="0"/>
    <n v="0"/>
    <n v="0"/>
  </r>
  <r>
    <s v="Ставропольский"/>
    <x v="1"/>
    <x v="5"/>
    <x v="23"/>
    <s v="Фуд-Трейд ООО"/>
    <m/>
    <m/>
    <m/>
    <n v="92721808.929999992"/>
    <n v="0"/>
    <n v="0"/>
    <n v="0"/>
    <n v="0"/>
    <n v="0"/>
    <n v="0"/>
    <n v="0"/>
    <n v="0"/>
  </r>
  <r>
    <s v="Тамбовская"/>
    <x v="1"/>
    <x v="5"/>
    <x v="23"/>
    <s v="Фуд-Трейд ООО"/>
    <m/>
    <m/>
    <m/>
    <n v="42349125.859999947"/>
    <n v="0"/>
    <n v="0"/>
    <n v="0"/>
    <n v="0"/>
    <n v="0"/>
    <n v="0"/>
    <n v="0"/>
    <n v="0"/>
  </r>
  <r>
    <s v="Татарстан"/>
    <x v="1"/>
    <x v="5"/>
    <x v="23"/>
    <s v="Фуд-Трейд ООО"/>
    <m/>
    <m/>
    <m/>
    <n v="139760675.00000012"/>
    <n v="0"/>
    <n v="0"/>
    <n v="0"/>
    <n v="0"/>
    <n v="0"/>
    <n v="0"/>
    <n v="0"/>
    <n v="0"/>
  </r>
  <r>
    <s v="Тульская"/>
    <x v="1"/>
    <x v="5"/>
    <x v="23"/>
    <s v="Фуд-Трейд ООО"/>
    <m/>
    <m/>
    <m/>
    <n v="84690420.809999883"/>
    <n v="0"/>
    <n v="0"/>
    <n v="0"/>
    <n v="0"/>
    <n v="0"/>
    <n v="0"/>
    <n v="0"/>
    <n v="0"/>
  </r>
  <r>
    <s v="Херсонская"/>
    <x v="1"/>
    <x v="5"/>
    <x v="23"/>
    <s v="Фуд-Трейд ООО"/>
    <m/>
    <m/>
    <m/>
    <n v="7703483.379999999"/>
    <n v="0"/>
    <n v="0"/>
    <n v="0"/>
    <n v="0"/>
    <n v="0"/>
    <n v="0"/>
    <n v="0"/>
    <n v="0"/>
  </r>
  <r>
    <s v="Чувашская Республика -"/>
    <x v="1"/>
    <x v="5"/>
    <x v="23"/>
    <s v="Фуд-Трейд ООО"/>
    <m/>
    <m/>
    <m/>
    <n v="32976044.18999996"/>
    <n v="0"/>
    <n v="0"/>
    <n v="0"/>
    <n v="0"/>
    <n v="0"/>
    <n v="0"/>
    <n v="0"/>
    <n v="0"/>
  </r>
  <r>
    <s v="Алтай"/>
    <x v="1"/>
    <x v="5"/>
    <x v="38"/>
    <s v="Эвенкс ООО (Екатеринбург)"/>
    <m/>
    <m/>
    <m/>
    <n v="4386979.9100000029"/>
    <n v="0"/>
    <n v="0"/>
    <n v="0"/>
    <n v="0"/>
    <n v="0"/>
    <n v="0"/>
    <n v="0"/>
    <n v="0"/>
  </r>
  <r>
    <s v="Алтайский"/>
    <x v="1"/>
    <x v="5"/>
    <x v="38"/>
    <s v="Эвенкс ООО (Екатеринбург)"/>
    <m/>
    <m/>
    <m/>
    <n v="108629205.9599967"/>
    <n v="0"/>
    <n v="0"/>
    <n v="0"/>
    <n v="0"/>
    <n v="0"/>
    <n v="0"/>
    <n v="0"/>
    <n v="0"/>
  </r>
  <r>
    <s v="Башкортостан"/>
    <x v="1"/>
    <x v="5"/>
    <x v="38"/>
    <s v="Эвенкс ООО (Екатеринбург)"/>
    <m/>
    <m/>
    <m/>
    <n v="255081129.14003366"/>
    <n v="0"/>
    <n v="0"/>
    <n v="0"/>
    <n v="0"/>
    <n v="0"/>
    <n v="0"/>
    <n v="0"/>
    <n v="0"/>
  </r>
  <r>
    <s v="Волгоградская"/>
    <x v="1"/>
    <x v="5"/>
    <x v="38"/>
    <s v="Эвенкс ООО (Екатеринбург)"/>
    <m/>
    <m/>
    <m/>
    <n v="1006884.1400000002"/>
    <n v="0"/>
    <n v="0"/>
    <n v="0"/>
    <n v="0"/>
    <n v="0"/>
    <n v="0"/>
    <n v="0"/>
    <n v="0"/>
  </r>
  <r>
    <s v="Иркутская"/>
    <x v="1"/>
    <x v="5"/>
    <x v="38"/>
    <s v="Эвенкс ООО (Екатеринбург)"/>
    <m/>
    <m/>
    <m/>
    <n v="1220654.8799999994"/>
    <n v="0"/>
    <n v="0"/>
    <n v="0"/>
    <n v="0"/>
    <n v="0"/>
    <n v="0"/>
    <n v="0"/>
    <n v="0"/>
  </r>
  <r>
    <s v="Кемеровская область - Кузбасс"/>
    <x v="1"/>
    <x v="5"/>
    <x v="38"/>
    <s v="Эвенкс ООО (Екатеринбург)"/>
    <m/>
    <m/>
    <m/>
    <n v="238713553.10999355"/>
    <n v="0"/>
    <n v="0"/>
    <n v="0"/>
    <n v="0"/>
    <n v="0"/>
    <n v="0"/>
    <n v="0"/>
    <n v="0"/>
  </r>
  <r>
    <s v="Коми"/>
    <x v="1"/>
    <x v="5"/>
    <x v="38"/>
    <s v="Эвенкс ООО (Екатеринбург)"/>
    <m/>
    <m/>
    <m/>
    <n v="911585.5900000002"/>
    <n v="0"/>
    <n v="0"/>
    <n v="0"/>
    <n v="0"/>
    <n v="0"/>
    <n v="0"/>
    <n v="0"/>
    <n v="0"/>
  </r>
  <r>
    <s v="Краснодарский"/>
    <x v="1"/>
    <x v="5"/>
    <x v="38"/>
    <s v="Эвенкс ООО (Екатеринбург)"/>
    <m/>
    <m/>
    <m/>
    <n v="2132240.4700000016"/>
    <n v="0"/>
    <n v="0"/>
    <n v="0"/>
    <n v="0"/>
    <n v="0"/>
    <n v="0"/>
    <n v="0"/>
    <n v="0"/>
  </r>
  <r>
    <s v="Красноярский"/>
    <x v="1"/>
    <x v="5"/>
    <x v="38"/>
    <s v="Эвенкс ООО (Екатеринбург)"/>
    <m/>
    <m/>
    <m/>
    <n v="1220654.8799999997"/>
    <n v="0"/>
    <n v="0"/>
    <n v="0"/>
    <n v="0"/>
    <n v="0"/>
    <n v="0"/>
    <n v="0"/>
    <n v="0"/>
  </r>
  <r>
    <s v="Курганская"/>
    <x v="1"/>
    <x v="5"/>
    <x v="38"/>
    <s v="Эвенкс ООО (Екатеринбург)"/>
    <m/>
    <m/>
    <m/>
    <n v="62849378.649999693"/>
    <n v="0"/>
    <n v="0"/>
    <n v="0"/>
    <n v="0"/>
    <n v="62849378.649999693"/>
    <n v="0"/>
    <n v="0"/>
    <n v="0"/>
  </r>
  <r>
    <s v="Ленинградская"/>
    <x v="1"/>
    <x v="5"/>
    <x v="38"/>
    <s v="Эвенкс ООО (Екатеринбург)"/>
    <m/>
    <m/>
    <m/>
    <n v="3592537.7499999967"/>
    <n v="0"/>
    <n v="0"/>
    <n v="0"/>
    <n v="0"/>
    <n v="0"/>
    <n v="0"/>
    <n v="0"/>
    <n v="0"/>
  </r>
  <r>
    <s v="Московская"/>
    <x v="1"/>
    <x v="5"/>
    <x v="38"/>
    <s v="Эвенкс ООО (Екатеринбург)"/>
    <m/>
    <m/>
    <m/>
    <n v="3020652.4200000013"/>
    <n v="0"/>
    <n v="0"/>
    <n v="0"/>
    <n v="0"/>
    <n v="0"/>
    <n v="0"/>
    <n v="0"/>
    <n v="0"/>
  </r>
  <r>
    <s v="Новосибирская"/>
    <x v="1"/>
    <x v="5"/>
    <x v="38"/>
    <s v="Эвенкс ООО (Екатеринбург)"/>
    <m/>
    <m/>
    <m/>
    <n v="300455001.50000781"/>
    <n v="0"/>
    <n v="0"/>
    <n v="0"/>
    <n v="0"/>
    <n v="0"/>
    <n v="0"/>
    <n v="0"/>
    <n v="0"/>
  </r>
  <r>
    <s v="Омская"/>
    <x v="1"/>
    <x v="5"/>
    <x v="38"/>
    <s v="Эвенкс ООО (Екатеринбург)"/>
    <m/>
    <m/>
    <m/>
    <n v="1220654.8799999992"/>
    <n v="0"/>
    <n v="0"/>
    <n v="0"/>
    <n v="0"/>
    <n v="0"/>
    <n v="0"/>
    <n v="0"/>
    <n v="0"/>
  </r>
  <r>
    <s v="Пермский"/>
    <x v="1"/>
    <x v="5"/>
    <x v="38"/>
    <s v="Эвенкс ООО (Екатеринбург)"/>
    <m/>
    <m/>
    <m/>
    <n v="399077386.25999945"/>
    <n v="0"/>
    <n v="0"/>
    <n v="0"/>
    <n v="0"/>
    <n v="0"/>
    <n v="0"/>
    <n v="0"/>
    <n v="0"/>
  </r>
  <r>
    <s v="Ростовская"/>
    <x v="1"/>
    <x v="5"/>
    <x v="38"/>
    <s v="Эвенкс ООО (Екатеринбург)"/>
    <m/>
    <m/>
    <m/>
    <n v="1006884.1399999999"/>
    <n v="0"/>
    <n v="0"/>
    <n v="0"/>
    <n v="0"/>
    <n v="0"/>
    <n v="0"/>
    <n v="0"/>
    <n v="0"/>
  </r>
  <r>
    <s v="Санкт-Петербург"/>
    <x v="1"/>
    <x v="5"/>
    <x v="38"/>
    <s v="Эвенкс ООО (Екатеринбург)"/>
    <m/>
    <m/>
    <m/>
    <n v="1006884.1400000001"/>
    <n v="0"/>
    <n v="0"/>
    <n v="0"/>
    <n v="0"/>
    <n v="0"/>
    <n v="0"/>
    <n v="0"/>
    <n v="0"/>
  </r>
  <r>
    <s v="Свердловская"/>
    <x v="1"/>
    <x v="5"/>
    <x v="38"/>
    <s v="Эвенкс ООО (Екатеринбург)"/>
    <n v="1"/>
    <n v="1"/>
    <s v="Open"/>
    <n v="745246078.52010083"/>
    <n v="0"/>
    <n v="0"/>
    <n v="0"/>
    <n v="0"/>
    <n v="0"/>
    <n v="453601227.03999996"/>
    <n v="0"/>
    <n v="0"/>
  </r>
  <r>
    <s v="Ставропольский"/>
    <x v="1"/>
    <x v="5"/>
    <x v="38"/>
    <s v="Эвенкс ООО (Екатеринбург)"/>
    <m/>
    <m/>
    <m/>
    <n v="1006884.1400000001"/>
    <n v="0"/>
    <n v="0"/>
    <n v="0"/>
    <n v="0"/>
    <n v="0"/>
    <n v="0"/>
    <n v="0"/>
    <n v="0"/>
  </r>
  <r>
    <s v="Татарстан"/>
    <x v="1"/>
    <x v="5"/>
    <x v="38"/>
    <s v="Эвенкс ООО (Екатеринбург)"/>
    <m/>
    <m/>
    <m/>
    <n v="9452726.7900000159"/>
    <n v="0"/>
    <n v="0"/>
    <n v="0"/>
    <n v="0"/>
    <n v="0"/>
    <n v="0"/>
    <n v="0"/>
    <n v="0"/>
  </r>
  <r>
    <s v="Тверская"/>
    <x v="1"/>
    <x v="5"/>
    <x v="38"/>
    <s v="Эвенкс ООО (Екатеринбург)"/>
    <m/>
    <m/>
    <m/>
    <n v="1006884.1399999999"/>
    <n v="0"/>
    <n v="0"/>
    <n v="0"/>
    <n v="0"/>
    <n v="0"/>
    <n v="0"/>
    <n v="0"/>
    <n v="0"/>
  </r>
  <r>
    <s v="Томская"/>
    <x v="1"/>
    <x v="5"/>
    <x v="38"/>
    <s v="Эвенкс ООО (Екатеринбург)"/>
    <m/>
    <m/>
    <m/>
    <n v="22106208.609999988"/>
    <n v="0"/>
    <n v="0"/>
    <n v="0"/>
    <n v="0"/>
    <n v="0"/>
    <n v="0"/>
    <n v="0"/>
    <n v="0"/>
  </r>
  <r>
    <s v="Тюменская"/>
    <x v="1"/>
    <x v="5"/>
    <x v="38"/>
    <s v="Эвенкс ООО (Екатеринбург)"/>
    <m/>
    <m/>
    <m/>
    <n v="212080190.05000722"/>
    <n v="0"/>
    <n v="0"/>
    <n v="0"/>
    <n v="0"/>
    <n v="0"/>
    <n v="0"/>
    <n v="0"/>
    <n v="0"/>
  </r>
  <r>
    <s v="Удмуртская"/>
    <x v="1"/>
    <x v="5"/>
    <x v="38"/>
    <s v="Эвенкс ООО (Екатеринбург)"/>
    <m/>
    <m/>
    <m/>
    <n v="33039185.340000134"/>
    <n v="0"/>
    <n v="0"/>
    <n v="0"/>
    <n v="0"/>
    <n v="0"/>
    <n v="0"/>
    <n v="0"/>
    <n v="0"/>
  </r>
  <r>
    <s v="Ханты-Мансийский Автономный округ - Югра"/>
    <x v="1"/>
    <x v="5"/>
    <x v="38"/>
    <s v="Эвенкс ООО (Екатеринбург)"/>
    <m/>
    <m/>
    <m/>
    <n v="173307347.28000385"/>
    <n v="0"/>
    <n v="0"/>
    <n v="0"/>
    <n v="0"/>
    <n v="0"/>
    <n v="0"/>
    <n v="0"/>
    <n v="0"/>
  </r>
  <r>
    <s v="Челябинская"/>
    <x v="1"/>
    <x v="5"/>
    <x v="38"/>
    <s v="Эвенкс ООО (Екатеринбург)"/>
    <m/>
    <m/>
    <m/>
    <n v="249482271.56004351"/>
    <n v="0"/>
    <n v="0"/>
    <n v="0"/>
    <n v="0"/>
    <n v="0"/>
    <n v="0"/>
    <n v="0"/>
    <n v="0"/>
  </r>
  <r>
    <s v="Ямало-Ненецкий"/>
    <x v="1"/>
    <x v="5"/>
    <x v="38"/>
    <s v="Эвенкс ООО (Екатеринбург)"/>
    <m/>
    <m/>
    <m/>
    <n v="69327183.080001146"/>
    <n v="0"/>
    <n v="0"/>
    <n v="0"/>
    <n v="0"/>
    <n v="0"/>
    <n v="0"/>
    <n v="0"/>
    <n v="0"/>
  </r>
  <r>
    <s v="Амурская"/>
    <x v="2"/>
    <x v="10"/>
    <x v="39"/>
    <s v="Эником ООО"/>
    <m/>
    <m/>
    <m/>
    <n v="0"/>
    <n v="0"/>
    <n v="0"/>
    <n v="208688.66999999998"/>
    <n v="0"/>
    <n v="0"/>
    <n v="0"/>
    <n v="0"/>
    <n v="0"/>
  </r>
  <r>
    <s v="Амурская"/>
    <x v="2"/>
    <x v="10"/>
    <x v="40"/>
    <s v="Атика ООО"/>
    <m/>
    <m/>
    <m/>
    <n v="0"/>
    <n v="0"/>
    <n v="0"/>
    <n v="11776760.620000001"/>
    <n v="0"/>
    <n v="0"/>
    <n v="0"/>
    <n v="0"/>
    <n v="0"/>
  </r>
  <r>
    <s v="Амурская"/>
    <x v="2"/>
    <x v="10"/>
    <x v="40"/>
    <s v="Эником ООО"/>
    <m/>
    <m/>
    <s v="Open"/>
    <n v="0"/>
    <n v="153019583.42999998"/>
    <n v="134970165.77000001"/>
    <n v="322128488.81000018"/>
    <n v="13117256.509999998"/>
    <n v="27361099.270000003"/>
    <n v="1989224.5970999999"/>
    <n v="0"/>
    <n v="0"/>
  </r>
  <r>
    <s v="Бурятия"/>
    <x v="2"/>
    <x v="11"/>
    <x v="41"/>
    <s v="Проект-Инвест ООО"/>
    <m/>
    <m/>
    <s v="TR-Project"/>
    <n v="0"/>
    <n v="6003235.9700000007"/>
    <n v="221515033.27000004"/>
    <n v="26051285.77999999"/>
    <n v="43675974.810000084"/>
    <n v="0"/>
    <n v="43675974.810000084"/>
    <n v="0"/>
    <n v="0"/>
  </r>
  <r>
    <s v="Бурятия"/>
    <x v="2"/>
    <x v="11"/>
    <x v="42"/>
    <s v="Проект-Инвест ООО"/>
    <m/>
    <m/>
    <m/>
    <n v="0"/>
    <n v="23080630.669999998"/>
    <n v="628783.19000000006"/>
    <n v="141679553.97000003"/>
    <n v="511490.75000000006"/>
    <n v="0"/>
    <n v="0"/>
    <n v="0"/>
    <n v="0"/>
  </r>
  <r>
    <s v="Бурятия"/>
    <x v="2"/>
    <x v="11"/>
    <x v="43"/>
    <s v="Проект-Инвест ООО"/>
    <m/>
    <m/>
    <m/>
    <n v="0"/>
    <n v="3048091.0600000005"/>
    <n v="2767536.3699999996"/>
    <n v="20306140.809999995"/>
    <n v="0"/>
    <n v="0"/>
    <n v="0"/>
    <n v="0"/>
    <n v="0"/>
  </r>
  <r>
    <s v="Бурятия"/>
    <x v="2"/>
    <x v="12"/>
    <x v="44"/>
    <s v="Проект-Инвест ООО"/>
    <m/>
    <m/>
    <m/>
    <n v="0"/>
    <n v="0"/>
    <n v="0"/>
    <n v="0"/>
    <n v="0"/>
    <n v="0"/>
    <n v="0"/>
    <n v="0"/>
    <n v="179038670.03000003"/>
  </r>
  <r>
    <s v="Еврейская"/>
    <x v="2"/>
    <x v="10"/>
    <x v="39"/>
    <s v="Владторг ООО"/>
    <m/>
    <m/>
    <m/>
    <n v="0"/>
    <n v="0"/>
    <n v="0"/>
    <n v="1185678.5599999998"/>
    <n v="0"/>
    <n v="0"/>
    <n v="0"/>
    <n v="0"/>
    <n v="0"/>
  </r>
  <r>
    <s v="Еврейская"/>
    <x v="2"/>
    <x v="10"/>
    <x v="45"/>
    <s v="Эником ООО"/>
    <m/>
    <m/>
    <m/>
    <n v="0"/>
    <n v="0"/>
    <n v="0"/>
    <n v="60209490.649999976"/>
    <n v="0"/>
    <n v="0"/>
    <n v="0"/>
    <n v="0"/>
    <n v="0"/>
  </r>
  <r>
    <s v="Еврейская"/>
    <x v="2"/>
    <x v="10"/>
    <x v="39"/>
    <s v="Эником ООО"/>
    <m/>
    <m/>
    <s v="Open"/>
    <n v="0"/>
    <n v="34691444.800000004"/>
    <n v="0"/>
    <n v="0"/>
    <n v="12714006.299999993"/>
    <n v="19653666.589999996"/>
    <n v="650000"/>
    <n v="0"/>
    <n v="0"/>
  </r>
  <r>
    <s v="Забайкальский"/>
    <x v="2"/>
    <x v="11"/>
    <x v="46"/>
    <s v="Проект-Инвест ООО"/>
    <m/>
    <m/>
    <s v="TR-Project"/>
    <n v="0"/>
    <n v="121671430.49999997"/>
    <n v="183658746.71000001"/>
    <n v="227938901.79999974"/>
    <n v="121867232.1300009"/>
    <n v="0"/>
    <n v="70488320.631299987"/>
    <n v="0"/>
    <n v="0"/>
  </r>
  <r>
    <s v="Забайкальский"/>
    <x v="2"/>
    <x v="12"/>
    <x v="44"/>
    <s v="Проект-Инвест ООО"/>
    <m/>
    <m/>
    <m/>
    <n v="0"/>
    <n v="0"/>
    <n v="0"/>
    <n v="0"/>
    <n v="0"/>
    <n v="0"/>
    <n v="0"/>
    <n v="0"/>
    <n v="120850016.12999998"/>
  </r>
  <r>
    <s v="Иркутская"/>
    <x v="2"/>
    <x v="11"/>
    <x v="41"/>
    <s v="Проект-Инвест ООО"/>
    <n v="1"/>
    <n v="2"/>
    <s v="TR-Project"/>
    <n v="0"/>
    <n v="201600905.64000005"/>
    <n v="46083759.960000001"/>
    <n v="38379886.579999991"/>
    <n v="311425467.55000055"/>
    <n v="0"/>
    <n v="296054124.14759994"/>
    <n v="0"/>
    <n v="0"/>
  </r>
  <r>
    <s v="Иркутская"/>
    <x v="2"/>
    <x v="11"/>
    <x v="42"/>
    <s v="Проект-Инвест ООО"/>
    <m/>
    <m/>
    <m/>
    <n v="0"/>
    <n v="104860578.90999995"/>
    <n v="1722313.4900000002"/>
    <n v="162118278.36999997"/>
    <n v="0"/>
    <n v="18110606.940000001"/>
    <n v="0"/>
    <n v="0"/>
    <n v="0"/>
  </r>
  <r>
    <s v="Иркутская"/>
    <x v="2"/>
    <x v="11"/>
    <x v="43"/>
    <s v="Проект-Инвест ООО"/>
    <m/>
    <m/>
    <s v="TR-Project"/>
    <n v="0"/>
    <n v="441448884.41999984"/>
    <n v="65985340.409999982"/>
    <n v="262371949.57000005"/>
    <n v="275845491.41999978"/>
    <n v="0"/>
    <n v="176294026.74129999"/>
    <n v="0"/>
    <n v="0"/>
  </r>
  <r>
    <s v="Иркутская"/>
    <x v="2"/>
    <x v="13"/>
    <x v="47"/>
    <s v="Проект-Инвест ООО"/>
    <m/>
    <m/>
    <m/>
    <n v="0"/>
    <n v="0"/>
    <n v="0"/>
    <n v="99500.459999999992"/>
    <n v="0"/>
    <n v="0"/>
    <n v="0"/>
    <n v="0"/>
    <n v="0"/>
  </r>
  <r>
    <s v="Иркутская"/>
    <x v="2"/>
    <x v="12"/>
    <x v="44"/>
    <s v="Проект-Инвест ООО"/>
    <m/>
    <m/>
    <m/>
    <n v="0"/>
    <n v="0"/>
    <n v="0"/>
    <n v="0"/>
    <n v="0"/>
    <n v="0"/>
    <n v="0"/>
    <n v="0"/>
    <n v="535714473.38999999"/>
  </r>
  <r>
    <s v="Камчатский"/>
    <x v="2"/>
    <x v="13"/>
    <x v="48"/>
    <s v="Эником ООО"/>
    <m/>
    <m/>
    <m/>
    <n v="0"/>
    <n v="342333.52"/>
    <n v="73470389.230000004"/>
    <n v="129327350.88000001"/>
    <n v="0"/>
    <n v="51890853.25"/>
    <n v="0"/>
    <n v="0"/>
    <n v="0"/>
  </r>
  <r>
    <s v="Магаданская"/>
    <x v="2"/>
    <x v="13"/>
    <x v="47"/>
    <s v="Владторг ООО"/>
    <m/>
    <m/>
    <m/>
    <n v="0"/>
    <n v="0"/>
    <n v="0"/>
    <n v="1138102.06"/>
    <n v="0"/>
    <n v="0"/>
    <n v="0"/>
    <n v="0"/>
    <n v="0"/>
  </r>
  <r>
    <s v="Магаданская"/>
    <x v="2"/>
    <x v="13"/>
    <x v="47"/>
    <s v="Эником ООО"/>
    <m/>
    <m/>
    <m/>
    <n v="0"/>
    <n v="0"/>
    <n v="0"/>
    <n v="85490087.909999996"/>
    <n v="0"/>
    <n v="18132123.189999998"/>
    <n v="0"/>
    <n v="0"/>
    <n v="0"/>
  </r>
  <r>
    <s v="Приморский"/>
    <x v="2"/>
    <x v="13"/>
    <x v="49"/>
    <s v="Владторг ООО"/>
    <n v="1"/>
    <n v="2"/>
    <s v="Open"/>
    <n v="0"/>
    <n v="162288104.04000002"/>
    <n v="2795778.5500000003"/>
    <n v="253464764.50999996"/>
    <n v="42057506.110000044"/>
    <n v="0"/>
    <n v="42057506.110000044"/>
    <n v="0"/>
    <n v="0"/>
  </r>
  <r>
    <s v="Приморский"/>
    <x v="2"/>
    <x v="13"/>
    <x v="49"/>
    <s v="Эником ООО"/>
    <m/>
    <n v="3"/>
    <m/>
    <n v="0"/>
    <n v="72507901.849999994"/>
    <n v="0"/>
    <n v="11787053.539999999"/>
    <n v="0"/>
    <n v="0"/>
    <n v="0"/>
    <n v="0"/>
    <n v="0"/>
  </r>
  <r>
    <s v="Приморский"/>
    <x v="2"/>
    <x v="13"/>
    <x v="50"/>
    <s v="Владторг ООО"/>
    <m/>
    <m/>
    <m/>
    <n v="0"/>
    <n v="108176429.54000001"/>
    <n v="965889.3600000001"/>
    <n v="153317268.61999995"/>
    <n v="0"/>
    <n v="112886230.99000001"/>
    <n v="0"/>
    <n v="0"/>
    <n v="0"/>
  </r>
  <r>
    <s v="Приморский"/>
    <x v="2"/>
    <x v="13"/>
    <x v="50"/>
    <s v="Эником ООО"/>
    <m/>
    <m/>
    <s v="Open"/>
    <n v="0"/>
    <n v="136311684.74000001"/>
    <n v="0"/>
    <n v="161329599.02000001"/>
    <n v="85979673.750000238"/>
    <n v="0"/>
    <n v="52620015.693699993"/>
    <n v="0"/>
    <n v="0"/>
  </r>
  <r>
    <s v="Приморский"/>
    <x v="2"/>
    <x v="13"/>
    <x v="47"/>
    <s v="Владторг ООО"/>
    <m/>
    <m/>
    <s v="Open"/>
    <n v="0"/>
    <n v="124147509.69999997"/>
    <n v="1186505.8400000001"/>
    <n v="406056098.95000011"/>
    <n v="73076719.090000346"/>
    <n v="70473505.910000011"/>
    <n v="44026513.027900003"/>
    <n v="0"/>
    <n v="0"/>
  </r>
  <r>
    <s v="Приморский"/>
    <x v="2"/>
    <x v="13"/>
    <x v="47"/>
    <s v="Эником ООО"/>
    <m/>
    <m/>
    <m/>
    <n v="0"/>
    <n v="144232227.30999997"/>
    <n v="0"/>
    <n v="5910.24"/>
    <n v="0"/>
    <n v="0"/>
    <n v="0"/>
    <n v="0"/>
    <n v="0"/>
  </r>
  <r>
    <s v="Приморский"/>
    <x v="2"/>
    <x v="12"/>
    <x v="44"/>
    <s v="Владторг ООО"/>
    <m/>
    <m/>
    <m/>
    <n v="0"/>
    <n v="0"/>
    <n v="0"/>
    <n v="0"/>
    <n v="0"/>
    <n v="0"/>
    <n v="0"/>
    <n v="0"/>
    <n v="306584396.88999999"/>
  </r>
  <r>
    <s v="Приморский"/>
    <x v="2"/>
    <x v="12"/>
    <x v="44"/>
    <s v="Эником ООО"/>
    <m/>
    <m/>
    <m/>
    <n v="0"/>
    <n v="0"/>
    <n v="0"/>
    <n v="0"/>
    <n v="0"/>
    <n v="0"/>
    <n v="0"/>
    <n v="0"/>
    <n v="133764346.09999998"/>
  </r>
  <r>
    <s v="Саха (Якутия)"/>
    <x v="2"/>
    <x v="10"/>
    <x v="51"/>
    <s v="Атика ООО"/>
    <n v="1"/>
    <m/>
    <s v="Open"/>
    <n v="0"/>
    <n v="0"/>
    <n v="99588543.879999995"/>
    <n v="304359569.74999988"/>
    <n v="10295973.709999979"/>
    <n v="41179517.719999999"/>
    <n v="650000"/>
    <n v="0"/>
    <n v="0"/>
  </r>
  <r>
    <s v="Саха (Якутия)"/>
    <x v="2"/>
    <x v="10"/>
    <x v="51"/>
    <s v="Владторг ООО"/>
    <m/>
    <m/>
    <m/>
    <n v="0"/>
    <n v="0"/>
    <n v="0"/>
    <n v="4068172.7399999998"/>
    <n v="0"/>
    <n v="0"/>
    <n v="0"/>
    <n v="0"/>
    <n v="0"/>
  </r>
  <r>
    <s v="Саха (Якутия)"/>
    <x v="2"/>
    <x v="10"/>
    <x v="51"/>
    <s v="Эником ООО"/>
    <m/>
    <m/>
    <m/>
    <n v="0"/>
    <n v="0"/>
    <n v="0"/>
    <n v="92672.789999999979"/>
    <n v="0"/>
    <n v="0"/>
    <n v="0"/>
    <n v="0"/>
    <n v="0"/>
  </r>
  <r>
    <s v="Сахалинская"/>
    <x v="2"/>
    <x v="13"/>
    <x v="48"/>
    <s v="Владторг ООО"/>
    <m/>
    <m/>
    <m/>
    <n v="0"/>
    <n v="0"/>
    <n v="0"/>
    <n v="1571412.16"/>
    <n v="0"/>
    <n v="0"/>
    <n v="0"/>
    <n v="0"/>
    <n v="0"/>
  </r>
  <r>
    <s v="Сахалинская"/>
    <x v="2"/>
    <x v="13"/>
    <x v="48"/>
    <s v="Эником ООО"/>
    <m/>
    <m/>
    <m/>
    <n v="0"/>
    <n v="87513734.649999991"/>
    <n v="0"/>
    <n v="322766397.86999983"/>
    <n v="0"/>
    <n v="107271744.92999998"/>
    <n v="0"/>
    <n v="0"/>
    <n v="0"/>
  </r>
  <r>
    <s v="Хабаровский"/>
    <x v="2"/>
    <x v="10"/>
    <x v="39"/>
    <s v="Владторг ООО"/>
    <m/>
    <m/>
    <m/>
    <n v="0"/>
    <n v="72973257.709999979"/>
    <n v="1069912.8400000001"/>
    <n v="199166366.24000001"/>
    <n v="0"/>
    <n v="151412020.53999996"/>
    <n v="0"/>
    <n v="0"/>
    <n v="0"/>
  </r>
  <r>
    <s v="Хабаровский"/>
    <x v="2"/>
    <x v="10"/>
    <x v="39"/>
    <s v="Эником ООО"/>
    <n v="1"/>
    <m/>
    <s v="Open"/>
    <n v="0"/>
    <n v="272667604.43000001"/>
    <n v="0"/>
    <n v="71722248.539999992"/>
    <n v="129002635.05000092"/>
    <n v="0"/>
    <n v="19381660.741299998"/>
    <n v="0"/>
    <n v="0"/>
  </r>
  <r>
    <s v="Хабаровский"/>
    <x v="2"/>
    <x v="10"/>
    <x v="45"/>
    <s v="Владторг ООО"/>
    <m/>
    <m/>
    <m/>
    <n v="0"/>
    <n v="0"/>
    <n v="0"/>
    <n v="25022.84"/>
    <n v="0"/>
    <n v="0"/>
    <n v="0"/>
    <n v="0"/>
    <n v="0"/>
  </r>
  <r>
    <s v="Хабаровский"/>
    <x v="2"/>
    <x v="10"/>
    <x v="45"/>
    <s v="Эником ООО"/>
    <m/>
    <m/>
    <s v="Open"/>
    <n v="0"/>
    <n v="180123255.57999998"/>
    <n v="0"/>
    <n v="105165021.79999992"/>
    <n v="149308281.99999991"/>
    <n v="17840405.869999994"/>
    <n v="107753024.60259996"/>
    <n v="0"/>
    <n v="0"/>
  </r>
  <r>
    <s v="Хабаровский"/>
    <x v="2"/>
    <x v="12"/>
    <x v="44"/>
    <s v="Владторг ООО"/>
    <m/>
    <m/>
    <m/>
    <n v="0"/>
    <n v="0"/>
    <n v="0"/>
    <n v="0"/>
    <n v="0"/>
    <n v="0"/>
    <n v="0"/>
    <n v="0"/>
    <n v="39536460.18"/>
  </r>
  <r>
    <s v="Хабаровский"/>
    <x v="2"/>
    <x v="12"/>
    <x v="44"/>
    <s v="Эником ООО"/>
    <m/>
    <m/>
    <m/>
    <n v="0"/>
    <n v="0"/>
    <n v="0"/>
    <n v="0"/>
    <n v="0"/>
    <n v="0"/>
    <n v="0"/>
    <n v="0"/>
    <n v="170304571.24000007"/>
  </r>
  <r>
    <s v="Чукотский"/>
    <x v="2"/>
    <x v="10"/>
    <x v="39"/>
    <s v="Владторг ООО"/>
    <m/>
    <m/>
    <m/>
    <n v="0"/>
    <n v="0"/>
    <n v="0"/>
    <n v="1908716.2599999998"/>
    <n v="0"/>
    <n v="0"/>
    <n v="0"/>
    <n v="0"/>
    <n v="0"/>
  </r>
  <r>
    <s v="Чукотский"/>
    <x v="2"/>
    <x v="10"/>
    <x v="39"/>
    <s v="Эником ООО"/>
    <m/>
    <m/>
    <m/>
    <n v="0"/>
    <n v="0"/>
    <n v="0"/>
    <n v="216311.05"/>
    <n v="0"/>
    <n v="0"/>
    <n v="0"/>
    <n v="0"/>
    <n v="0"/>
  </r>
  <r>
    <s v="Амурская"/>
    <x v="2"/>
    <x v="13"/>
    <x v="52"/>
    <m/>
    <m/>
    <m/>
    <m/>
    <n v="0"/>
    <n v="0"/>
    <n v="0"/>
    <n v="0"/>
    <n v="0"/>
    <n v="0"/>
    <n v="0"/>
    <n v="13117256.510000009"/>
    <n v="0"/>
  </r>
  <r>
    <s v="Бурятия"/>
    <x v="2"/>
    <x v="13"/>
    <x v="52"/>
    <m/>
    <m/>
    <m/>
    <m/>
    <n v="0"/>
    <n v="0"/>
    <n v="0"/>
    <n v="0"/>
    <n v="0"/>
    <n v="0"/>
    <n v="0"/>
    <n v="44187465.560000092"/>
    <n v="0"/>
  </r>
  <r>
    <s v="Еврейская"/>
    <x v="2"/>
    <x v="13"/>
    <x v="52"/>
    <m/>
    <m/>
    <m/>
    <m/>
    <n v="0"/>
    <n v="0"/>
    <n v="0"/>
    <n v="0"/>
    <n v="0"/>
    <n v="0"/>
    <n v="0"/>
    <n v="12714006.299999991"/>
    <n v="0"/>
  </r>
  <r>
    <s v="Забайкальский"/>
    <x v="2"/>
    <x v="13"/>
    <x v="52"/>
    <m/>
    <m/>
    <m/>
    <m/>
    <n v="0"/>
    <n v="0"/>
    <n v="0"/>
    <n v="0"/>
    <n v="0"/>
    <n v="0"/>
    <n v="0"/>
    <n v="121867232.13000081"/>
    <n v="0"/>
  </r>
  <r>
    <s v="Иркутская"/>
    <x v="2"/>
    <x v="13"/>
    <x v="52"/>
    <m/>
    <m/>
    <m/>
    <m/>
    <n v="0"/>
    <n v="0"/>
    <n v="0"/>
    <n v="0"/>
    <n v="0"/>
    <n v="0"/>
    <n v="0"/>
    <n v="304655540.56999564"/>
    <n v="0"/>
  </r>
  <r>
    <s v="Приморский"/>
    <x v="2"/>
    <x v="13"/>
    <x v="52"/>
    <m/>
    <m/>
    <m/>
    <m/>
    <n v="0"/>
    <n v="0"/>
    <n v="0"/>
    <n v="0"/>
    <n v="0"/>
    <n v="0"/>
    <n v="0"/>
    <n v="201113898.94999927"/>
    <n v="0"/>
  </r>
  <r>
    <s v="Саха (Якутия)"/>
    <x v="2"/>
    <x v="13"/>
    <x v="52"/>
    <m/>
    <m/>
    <m/>
    <m/>
    <n v="0"/>
    <n v="0"/>
    <n v="0"/>
    <n v="0"/>
    <n v="0"/>
    <n v="0"/>
    <n v="0"/>
    <n v="10295973.709999979"/>
    <n v="0"/>
  </r>
  <r>
    <s v="Хабаровский"/>
    <x v="2"/>
    <x v="13"/>
    <x v="52"/>
    <m/>
    <m/>
    <m/>
    <m/>
    <n v="0"/>
    <n v="0"/>
    <n v="0"/>
    <n v="0"/>
    <n v="0"/>
    <n v="0"/>
    <n v="0"/>
    <n v="278310917.04999495"/>
    <n v="0"/>
  </r>
  <r>
    <s v="Амурская"/>
    <x v="2"/>
    <x v="14"/>
    <x v="53"/>
    <s v="Эником ООО"/>
    <m/>
    <m/>
    <m/>
    <n v="27361099.270000003"/>
    <n v="0"/>
    <n v="0"/>
    <n v="0"/>
    <n v="0"/>
    <n v="0"/>
    <n v="0"/>
    <n v="0"/>
    <n v="37125393.990000002"/>
  </r>
  <r>
    <s v="Бурятия"/>
    <x v="2"/>
    <x v="14"/>
    <x v="53"/>
    <s v="Проект-Инвест ООО"/>
    <m/>
    <m/>
    <m/>
    <n v="0"/>
    <n v="0"/>
    <n v="0"/>
    <n v="0"/>
    <n v="0"/>
    <n v="0"/>
    <n v="0"/>
    <n v="0"/>
    <n v="24916398.850000013"/>
  </r>
  <r>
    <s v="Еврейская"/>
    <x v="2"/>
    <x v="14"/>
    <x v="53"/>
    <s v="Эником ООО"/>
    <m/>
    <m/>
    <m/>
    <n v="19653666.590000004"/>
    <n v="0"/>
    <n v="0"/>
    <n v="0"/>
    <n v="0"/>
    <n v="0"/>
    <n v="0"/>
    <n v="0"/>
    <n v="0"/>
  </r>
  <r>
    <s v="Забайкальский"/>
    <x v="2"/>
    <x v="14"/>
    <x v="53"/>
    <s v="Проект-Инвест ООО"/>
    <m/>
    <m/>
    <m/>
    <n v="0"/>
    <n v="0"/>
    <n v="0"/>
    <n v="0"/>
    <n v="0"/>
    <n v="0"/>
    <n v="0"/>
    <n v="0"/>
    <n v="16294318.680000011"/>
  </r>
  <r>
    <s v="Иркутская"/>
    <x v="2"/>
    <x v="14"/>
    <x v="53"/>
    <s v="Проект-Инвест ООО"/>
    <m/>
    <m/>
    <m/>
    <n v="18110606.940000001"/>
    <n v="0"/>
    <n v="0"/>
    <n v="0"/>
    <n v="0"/>
    <n v="0"/>
    <n v="0"/>
    <n v="0"/>
    <n v="115017032.07000068"/>
  </r>
  <r>
    <s v="Камчатский"/>
    <x v="2"/>
    <x v="14"/>
    <x v="53"/>
    <s v="Эником ООО"/>
    <m/>
    <m/>
    <m/>
    <n v="51890853.249999955"/>
    <n v="0"/>
    <n v="0"/>
    <n v="0"/>
    <n v="0"/>
    <n v="0"/>
    <n v="0"/>
    <n v="0"/>
    <n v="0"/>
  </r>
  <r>
    <s v="Магаданская"/>
    <x v="2"/>
    <x v="14"/>
    <x v="53"/>
    <s v="Эником ООО"/>
    <m/>
    <m/>
    <m/>
    <n v="18132123.190000005"/>
    <n v="0"/>
    <n v="0"/>
    <n v="0"/>
    <n v="0"/>
    <n v="0"/>
    <n v="0"/>
    <n v="0"/>
    <n v="0"/>
  </r>
  <r>
    <s v="Приморский"/>
    <x v="2"/>
    <x v="14"/>
    <x v="53"/>
    <s v="Владторг ООО"/>
    <m/>
    <n v="1"/>
    <m/>
    <n v="411669864.01999992"/>
    <n v="0"/>
    <n v="0"/>
    <n v="0"/>
    <n v="0"/>
    <n v="0"/>
    <n v="0"/>
    <n v="0"/>
    <n v="88027646.390002668"/>
  </r>
  <r>
    <s v="Саха (Якутия)"/>
    <x v="2"/>
    <x v="14"/>
    <x v="53"/>
    <s v="Атика ООО"/>
    <m/>
    <m/>
    <m/>
    <n v="41179517.719999976"/>
    <n v="0"/>
    <n v="0"/>
    <n v="0"/>
    <n v="0"/>
    <n v="0"/>
    <n v="0"/>
    <n v="0"/>
    <n v="0"/>
  </r>
  <r>
    <s v="Сахалинская"/>
    <x v="2"/>
    <x v="14"/>
    <x v="53"/>
    <s v="Эником ООО"/>
    <m/>
    <m/>
    <m/>
    <n v="107271744.92999998"/>
    <n v="0"/>
    <n v="0"/>
    <n v="0"/>
    <n v="0"/>
    <n v="0"/>
    <n v="0"/>
    <n v="0"/>
    <n v="57027462.479999512"/>
  </r>
  <r>
    <s v="Хабаровский"/>
    <x v="2"/>
    <x v="14"/>
    <x v="53"/>
    <s v="Владторг ООО"/>
    <m/>
    <m/>
    <m/>
    <n v="151412020.53999996"/>
    <n v="0"/>
    <n v="0"/>
    <n v="0"/>
    <n v="0"/>
    <n v="0"/>
    <n v="0"/>
    <n v="0"/>
    <n v="33436797.529999971"/>
  </r>
  <r>
    <s v="Хабаровский"/>
    <x v="2"/>
    <x v="14"/>
    <x v="53"/>
    <s v="Эником ООО"/>
    <m/>
    <m/>
    <m/>
    <n v="17840405.869999994"/>
    <n v="0"/>
    <n v="0"/>
    <n v="0"/>
    <n v="0"/>
    <n v="0"/>
    <n v="0"/>
    <n v="0"/>
    <n v="56020149.88000001"/>
  </r>
  <r>
    <s v="Алтай"/>
    <x v="3"/>
    <x v="15"/>
    <x v="54"/>
    <m/>
    <m/>
    <m/>
    <s v="Open"/>
    <n v="0"/>
    <n v="0"/>
    <n v="0"/>
    <n v="0"/>
    <n v="26878553.780000001"/>
    <n v="0"/>
    <n v="16195212.219508626"/>
    <n v="0"/>
    <m/>
  </r>
  <r>
    <s v="Алтай"/>
    <x v="3"/>
    <x v="15"/>
    <x v="55"/>
    <m/>
    <m/>
    <m/>
    <s v="Open"/>
    <n v="0"/>
    <n v="0"/>
    <n v="0"/>
    <n v="0"/>
    <n v="23322433.139999986"/>
    <n v="0"/>
    <n v="13664666.418945458"/>
    <n v="0"/>
    <m/>
  </r>
  <r>
    <s v="Алтайский"/>
    <x v="3"/>
    <x v="15"/>
    <x v="56"/>
    <m/>
    <m/>
    <m/>
    <s v="Open"/>
    <n v="0"/>
    <n v="0"/>
    <n v="0"/>
    <n v="0"/>
    <n v="332413436.29000008"/>
    <n v="0"/>
    <n v="174616680.01398039"/>
    <n v="0"/>
    <m/>
  </r>
  <r>
    <s v="Алтайский"/>
    <x v="3"/>
    <x v="15"/>
    <x v="54"/>
    <m/>
    <m/>
    <m/>
    <s v="Open"/>
    <n v="0"/>
    <n v="0"/>
    <n v="0"/>
    <n v="0"/>
    <n v="240333341.74999815"/>
    <n v="0"/>
    <n v="144155161.36722988"/>
    <n v="0"/>
    <m/>
  </r>
  <r>
    <s v="Алтайский"/>
    <x v="3"/>
    <x v="15"/>
    <x v="55"/>
    <m/>
    <m/>
    <m/>
    <s v="Open"/>
    <n v="0"/>
    <n v="0"/>
    <n v="0"/>
    <n v="0"/>
    <n v="397528163.22705197"/>
    <n v="0"/>
    <n v="214707919.45257866"/>
    <n v="0"/>
    <m/>
  </r>
  <r>
    <s v="Кемеровская область - Кузбасс"/>
    <x v="3"/>
    <x v="15"/>
    <x v="56"/>
    <m/>
    <m/>
    <m/>
    <s v="Open"/>
    <n v="0"/>
    <n v="0"/>
    <n v="0"/>
    <n v="0"/>
    <n v="304780849.35999978"/>
    <n v="0"/>
    <n v="256886599.36924022"/>
    <n v="0"/>
    <m/>
  </r>
  <r>
    <s v="Кемеровская область - Кузбасс"/>
    <x v="3"/>
    <x v="15"/>
    <x v="54"/>
    <m/>
    <m/>
    <m/>
    <s v="Open"/>
    <n v="0"/>
    <n v="0"/>
    <n v="0"/>
    <n v="0"/>
    <n v="495952707.25997794"/>
    <n v="0"/>
    <n v="364637232.31962079"/>
    <n v="0"/>
    <m/>
  </r>
  <r>
    <s v="Кемеровская область - Кузбасс"/>
    <x v="3"/>
    <x v="15"/>
    <x v="55"/>
    <m/>
    <m/>
    <m/>
    <s v="Open"/>
    <n v="0"/>
    <n v="0"/>
    <n v="0"/>
    <n v="0"/>
    <n v="756592001.80682433"/>
    <n v="0"/>
    <n v="439291285.33328962"/>
    <n v="0"/>
    <m/>
  </r>
  <r>
    <s v="Красноярский"/>
    <x v="3"/>
    <x v="15"/>
    <x v="56"/>
    <m/>
    <m/>
    <m/>
    <s v="Open"/>
    <n v="0"/>
    <n v="0"/>
    <n v="0"/>
    <n v="0"/>
    <n v="495583291.13000023"/>
    <n v="0"/>
    <n v="376762477.31162196"/>
    <n v="0"/>
    <m/>
  </r>
  <r>
    <s v="Красноярский"/>
    <x v="3"/>
    <x v="15"/>
    <x v="54"/>
    <m/>
    <m/>
    <m/>
    <s v="Open"/>
    <n v="0"/>
    <n v="0"/>
    <n v="0"/>
    <n v="0"/>
    <n v="412164553.66998988"/>
    <n v="0"/>
    <n v="162136070.93284538"/>
    <n v="0"/>
    <m/>
  </r>
  <r>
    <s v="Красноярский"/>
    <x v="3"/>
    <x v="15"/>
    <x v="55"/>
    <m/>
    <m/>
    <m/>
    <s v="Open"/>
    <n v="0"/>
    <n v="0"/>
    <n v="0"/>
    <n v="0"/>
    <n v="345434227.77508652"/>
    <n v="0"/>
    <n v="109997293.42112722"/>
    <n v="0"/>
    <m/>
  </r>
  <r>
    <s v="Новосибирская"/>
    <x v="3"/>
    <x v="15"/>
    <x v="56"/>
    <m/>
    <m/>
    <m/>
    <s v="Open"/>
    <n v="0"/>
    <n v="0"/>
    <n v="0"/>
    <n v="0"/>
    <n v="432450294.59999979"/>
    <n v="0"/>
    <n v="399355093.71045363"/>
    <n v="0"/>
    <m/>
  </r>
  <r>
    <s v="Новосибирская"/>
    <x v="3"/>
    <x v="15"/>
    <x v="54"/>
    <m/>
    <m/>
    <m/>
    <s v="Open"/>
    <n v="0"/>
    <n v="0"/>
    <n v="0"/>
    <n v="0"/>
    <n v="720357330.67994857"/>
    <n v="0"/>
    <n v="457684038.42423284"/>
    <n v="0"/>
    <m/>
  </r>
  <r>
    <s v="Новосибирская"/>
    <x v="3"/>
    <x v="15"/>
    <x v="55"/>
    <m/>
    <m/>
    <m/>
    <s v="Open"/>
    <n v="0"/>
    <n v="0"/>
    <n v="0"/>
    <n v="0"/>
    <n v="678890851.25582337"/>
    <n v="0"/>
    <n v="317998083.97826719"/>
    <n v="0"/>
    <m/>
  </r>
  <r>
    <s v="Омская"/>
    <x v="3"/>
    <x v="15"/>
    <x v="56"/>
    <m/>
    <m/>
    <m/>
    <s v="Open"/>
    <n v="0"/>
    <n v="0"/>
    <n v="0"/>
    <n v="0"/>
    <n v="391069588.05999988"/>
    <n v="0"/>
    <n v="270622904.49078172"/>
    <n v="0"/>
    <m/>
  </r>
  <r>
    <s v="Омская"/>
    <x v="3"/>
    <x v="15"/>
    <x v="54"/>
    <m/>
    <m/>
    <m/>
    <s v="Open"/>
    <n v="0"/>
    <n v="0"/>
    <n v="0"/>
    <n v="0"/>
    <n v="405930565.79998654"/>
    <n v="0"/>
    <n v="239646523.62898597"/>
    <n v="0"/>
    <m/>
  </r>
  <r>
    <s v="Омская"/>
    <x v="3"/>
    <x v="15"/>
    <x v="55"/>
    <m/>
    <m/>
    <m/>
    <s v="Open"/>
    <n v="0"/>
    <n v="0"/>
    <n v="0"/>
    <n v="0"/>
    <n v="667958742.03163064"/>
    <n v="0"/>
    <n v="372755289.98508257"/>
    <n v="0"/>
    <m/>
  </r>
  <r>
    <s v="Томская"/>
    <x v="3"/>
    <x v="15"/>
    <x v="56"/>
    <m/>
    <m/>
    <m/>
    <s v="Open"/>
    <n v="0"/>
    <n v="0"/>
    <n v="0"/>
    <n v="0"/>
    <n v="193965373.34000003"/>
    <n v="0"/>
    <n v="92070658.783025026"/>
    <n v="0"/>
    <m/>
  </r>
  <r>
    <s v="Томская"/>
    <x v="3"/>
    <x v="15"/>
    <x v="54"/>
    <m/>
    <m/>
    <m/>
    <s v="Open"/>
    <n v="0"/>
    <n v="0"/>
    <n v="0"/>
    <n v="0"/>
    <n v="174182560.96000022"/>
    <n v="0"/>
    <n v="79420634.167939931"/>
    <n v="0"/>
    <m/>
  </r>
  <r>
    <s v="Томская"/>
    <x v="3"/>
    <x v="15"/>
    <x v="55"/>
    <m/>
    <m/>
    <m/>
    <s v="Open"/>
    <n v="0"/>
    <n v="0"/>
    <n v="0"/>
    <n v="0"/>
    <n v="202035965.30119014"/>
    <n v="0"/>
    <n v="75843903.12156269"/>
    <n v="0"/>
    <m/>
  </r>
  <r>
    <s v="Тыва"/>
    <x v="3"/>
    <x v="15"/>
    <x v="54"/>
    <m/>
    <m/>
    <m/>
    <s v="Open"/>
    <n v="0"/>
    <n v="0"/>
    <n v="0"/>
    <n v="0"/>
    <n v="5973567.5699999966"/>
    <n v="0"/>
    <n v="1647175.0264981817"/>
    <n v="0"/>
    <m/>
  </r>
  <r>
    <s v="Хакасия"/>
    <x v="3"/>
    <x v="15"/>
    <x v="54"/>
    <m/>
    <m/>
    <m/>
    <s v="Open"/>
    <n v="0"/>
    <n v="0"/>
    <n v="0"/>
    <n v="0"/>
    <n v="96871737.75000076"/>
    <n v="0"/>
    <n v="58048939.991533652"/>
    <n v="0"/>
    <m/>
  </r>
  <r>
    <s v="Хакасия"/>
    <x v="3"/>
    <x v="15"/>
    <x v="55"/>
    <m/>
    <m/>
    <m/>
    <s v="Open"/>
    <n v="0"/>
    <n v="0"/>
    <n v="0"/>
    <n v="0"/>
    <n v="39857025.539999969"/>
    <n v="0"/>
    <n v="20859020.983254999"/>
    <n v="0"/>
    <m/>
  </r>
  <r>
    <s v="Воронежская"/>
    <x v="3"/>
    <x v="16"/>
    <x v="57"/>
    <m/>
    <m/>
    <m/>
    <s v="Open"/>
    <n v="973063.07778321125"/>
    <n v="0"/>
    <n v="0"/>
    <n v="0"/>
    <n v="0"/>
    <n v="0"/>
    <n v="0"/>
    <n v="0"/>
    <m/>
  </r>
  <r>
    <s v="Курская"/>
    <x v="3"/>
    <x v="16"/>
    <x v="57"/>
    <m/>
    <m/>
    <m/>
    <s v="Open"/>
    <n v="1284322.225178503"/>
    <n v="0"/>
    <n v="0"/>
    <n v="0"/>
    <n v="0"/>
    <n v="0"/>
    <n v="0"/>
    <n v="0"/>
    <m/>
  </r>
  <r>
    <s v="Брянская"/>
    <x v="3"/>
    <x v="16"/>
    <x v="57"/>
    <m/>
    <m/>
    <m/>
    <s v="Open"/>
    <n v="1732123.1739566694"/>
    <n v="0"/>
    <n v="0"/>
    <n v="0"/>
    <n v="0"/>
    <n v="0"/>
    <n v="0"/>
    <n v="0"/>
    <m/>
  </r>
  <r>
    <s v="Орловская"/>
    <x v="3"/>
    <x v="16"/>
    <x v="57"/>
    <m/>
    <m/>
    <m/>
    <s v="Open"/>
    <n v="1183998.7546954493"/>
    <n v="0"/>
    <n v="0"/>
    <n v="0"/>
    <n v="0"/>
    <n v="0"/>
    <n v="0"/>
    <n v="0"/>
    <m/>
  </r>
  <r>
    <s v="Тамбовская"/>
    <x v="3"/>
    <x v="16"/>
    <x v="57"/>
    <m/>
    <m/>
    <m/>
    <s v="Open"/>
    <n v="4528032.3227405883"/>
    <n v="0"/>
    <n v="0"/>
    <n v="0"/>
    <n v="0"/>
    <n v="0"/>
    <n v="0"/>
    <n v="0"/>
    <m/>
  </r>
  <r>
    <s v="Свердловская"/>
    <x v="3"/>
    <x v="16"/>
    <x v="57"/>
    <m/>
    <m/>
    <m/>
    <s v="Open"/>
    <n v="2979722.6300543761"/>
    <n v="0"/>
    <n v="0"/>
    <n v="0"/>
    <n v="0"/>
    <n v="0"/>
    <n v="0"/>
    <n v="0"/>
    <m/>
  </r>
  <r>
    <s v="Тюменская"/>
    <x v="3"/>
    <x v="16"/>
    <x v="57"/>
    <m/>
    <m/>
    <m/>
    <s v="Open"/>
    <n v="4739026.6542581888"/>
    <n v="0"/>
    <n v="0"/>
    <n v="0"/>
    <n v="0"/>
    <n v="0"/>
    <n v="0"/>
    <n v="0"/>
    <m/>
  </r>
  <r>
    <s v="Пермский"/>
    <x v="3"/>
    <x v="16"/>
    <x v="57"/>
    <m/>
    <m/>
    <m/>
    <s v="Open"/>
    <n v="4968506.8015938709"/>
    <n v="0"/>
    <n v="0"/>
    <n v="0"/>
    <n v="0"/>
    <n v="0"/>
    <n v="0"/>
    <n v="0"/>
    <m/>
  </r>
  <r>
    <s v="Челябинская"/>
    <x v="3"/>
    <x v="16"/>
    <x v="57"/>
    <m/>
    <m/>
    <m/>
    <s v="Open"/>
    <n v="2203885.0860657538"/>
    <n v="0"/>
    <n v="0"/>
    <n v="0"/>
    <n v="0"/>
    <n v="0"/>
    <n v="0"/>
    <n v="0"/>
    <m/>
  </r>
  <r>
    <s v="Самарская"/>
    <x v="3"/>
    <x v="16"/>
    <x v="57"/>
    <m/>
    <m/>
    <m/>
    <s v="Open"/>
    <n v="3042784.7210369534"/>
    <n v="0"/>
    <n v="0"/>
    <n v="0"/>
    <n v="0"/>
    <n v="0"/>
    <n v="0"/>
    <n v="0"/>
    <m/>
  </r>
  <r>
    <s v="Ивановская"/>
    <x v="3"/>
    <x v="16"/>
    <x v="57"/>
    <m/>
    <m/>
    <m/>
    <s v="Open"/>
    <n v="4023682.8871393208"/>
    <n v="0"/>
    <n v="0"/>
    <n v="0"/>
    <n v="0"/>
    <n v="0"/>
    <n v="0"/>
    <n v="0"/>
    <m/>
  </r>
  <r>
    <s v="Тверская"/>
    <x v="3"/>
    <x v="16"/>
    <x v="57"/>
    <m/>
    <m/>
    <m/>
    <s v="Open"/>
    <n v="1880421.7924100675"/>
    <n v="0"/>
    <n v="0"/>
    <n v="0"/>
    <n v="0"/>
    <n v="0"/>
    <n v="0"/>
    <n v="0"/>
    <m/>
  </r>
  <r>
    <s v="Ярославская"/>
    <x v="3"/>
    <x v="16"/>
    <x v="57"/>
    <m/>
    <m/>
    <m/>
    <s v="Open"/>
    <n v="27130505.840957616"/>
    <n v="0"/>
    <n v="0"/>
    <n v="0"/>
    <n v="0"/>
    <n v="0"/>
    <n v="0"/>
    <n v="0"/>
    <m/>
  </r>
  <r>
    <s v="Тверская"/>
    <x v="3"/>
    <x v="16"/>
    <x v="57"/>
    <m/>
    <m/>
    <m/>
    <s v="Open"/>
    <n v="8930720.8169237953"/>
    <n v="0"/>
    <n v="0"/>
    <n v="0"/>
    <n v="0"/>
    <n v="0"/>
    <n v="0"/>
    <n v="0"/>
    <m/>
  </r>
  <r>
    <s v="Московская"/>
    <x v="3"/>
    <x v="16"/>
    <x v="57"/>
    <m/>
    <m/>
    <m/>
    <s v="Action"/>
    <n v="193413695.79842499"/>
    <n v="0"/>
    <n v="0"/>
    <n v="0"/>
    <n v="0"/>
    <n v="0"/>
    <n v="0"/>
    <n v="0"/>
    <m/>
  </r>
  <r>
    <s v="Владимирская"/>
    <x v="3"/>
    <x v="16"/>
    <x v="57"/>
    <m/>
    <m/>
    <m/>
    <s v="Action"/>
    <n v="28521750.036892459"/>
    <n v="0"/>
    <n v="0"/>
    <n v="0"/>
    <n v="0"/>
    <n v="0"/>
    <n v="0"/>
    <n v="0"/>
    <m/>
  </r>
  <r>
    <s v="Нижегородская"/>
    <x v="3"/>
    <x v="16"/>
    <x v="57"/>
    <m/>
    <m/>
    <m/>
    <s v="Action"/>
    <n v="1384314.2112077558"/>
    <n v="0"/>
    <n v="0"/>
    <n v="0"/>
    <n v="0"/>
    <n v="0"/>
    <n v="0"/>
    <n v="0"/>
    <m/>
  </r>
  <r>
    <s v="Тульская"/>
    <x v="3"/>
    <x v="16"/>
    <x v="57"/>
    <m/>
    <m/>
    <m/>
    <s v="Action"/>
    <n v="22746542.853066351"/>
    <n v="0"/>
    <n v="0"/>
    <n v="0"/>
    <n v="0"/>
    <n v="0"/>
    <n v="0"/>
    <n v="0"/>
    <m/>
  </r>
  <r>
    <s v="Калужская"/>
    <x v="3"/>
    <x v="16"/>
    <x v="57"/>
    <m/>
    <m/>
    <m/>
    <s v="Action"/>
    <n v="2348828.3742962028"/>
    <n v="0"/>
    <n v="0"/>
    <n v="0"/>
    <n v="0"/>
    <n v="0"/>
    <n v="0"/>
    <n v="0"/>
    <m/>
  </r>
  <r>
    <s v="Липецкая"/>
    <x v="3"/>
    <x v="16"/>
    <x v="57"/>
    <m/>
    <m/>
    <m/>
    <s v="Action"/>
    <n v="1595653.2482846803"/>
    <n v="0"/>
    <n v="0"/>
    <n v="0"/>
    <n v="0"/>
    <n v="0"/>
    <n v="0"/>
    <n v="0"/>
    <m/>
  </r>
  <r>
    <s v="Рязанская"/>
    <x v="3"/>
    <x v="16"/>
    <x v="57"/>
    <m/>
    <m/>
    <m/>
    <s v="Action"/>
    <n v="11732044.909700001"/>
    <n v="0"/>
    <n v="0"/>
    <n v="0"/>
    <n v="0"/>
    <n v="0"/>
    <n v="0"/>
    <n v="0"/>
    <m/>
  </r>
  <r>
    <s v="Алтайский"/>
    <x v="3"/>
    <x v="16"/>
    <x v="57"/>
    <m/>
    <m/>
    <m/>
    <s v="Open"/>
    <n v="153865470.28550819"/>
    <n v="0"/>
    <n v="0"/>
    <n v="0"/>
    <n v="0"/>
    <n v="0"/>
    <n v="0"/>
    <n v="0"/>
    <m/>
  </r>
  <r>
    <s v="Кемеровская область - Кузбасс"/>
    <x v="3"/>
    <x v="16"/>
    <x v="57"/>
    <m/>
    <m/>
    <m/>
    <s v="Open"/>
    <n v="300562568.50841665"/>
    <n v="0"/>
    <n v="0"/>
    <n v="0"/>
    <n v="0"/>
    <n v="0"/>
    <n v="0"/>
    <n v="0"/>
    <m/>
  </r>
  <r>
    <s v="Красноярский"/>
    <x v="3"/>
    <x v="16"/>
    <x v="57"/>
    <m/>
    <m/>
    <m/>
    <s v="Open"/>
    <n v="49400893.391934566"/>
    <n v="0"/>
    <n v="0"/>
    <n v="0"/>
    <n v="0"/>
    <n v="0"/>
    <n v="0"/>
    <n v="0"/>
    <m/>
  </r>
  <r>
    <s v="Новосибирская"/>
    <x v="3"/>
    <x v="16"/>
    <x v="57"/>
    <m/>
    <m/>
    <m/>
    <s v="Open"/>
    <n v="282709671.91138828"/>
    <n v="0"/>
    <n v="0"/>
    <n v="0"/>
    <n v="0"/>
    <n v="0"/>
    <n v="0"/>
    <n v="0"/>
    <m/>
  </r>
  <r>
    <s v="Омская"/>
    <x v="3"/>
    <x v="16"/>
    <x v="57"/>
    <m/>
    <m/>
    <m/>
    <s v="Open"/>
    <n v="117114145.83411548"/>
    <n v="0"/>
    <n v="0"/>
    <n v="0"/>
    <n v="0"/>
    <n v="0"/>
    <n v="0"/>
    <n v="0"/>
    <m/>
  </r>
  <r>
    <s v="Томская"/>
    <x v="3"/>
    <x v="16"/>
    <x v="57"/>
    <m/>
    <m/>
    <n v="1"/>
    <s v="Open"/>
    <n v="228502433.21530333"/>
    <n v="0"/>
    <n v="0"/>
    <n v="0"/>
    <n v="0"/>
    <n v="0"/>
    <n v="0"/>
    <n v="0"/>
    <m/>
  </r>
  <r>
    <s v="Алтайский"/>
    <x v="3"/>
    <x v="15"/>
    <x v="58"/>
    <m/>
    <m/>
    <m/>
    <s v="Open"/>
    <n v="0"/>
    <n v="0"/>
    <n v="0"/>
    <n v="0"/>
    <n v="0"/>
    <n v="153865470.28550819"/>
    <n v="116547393.0289679"/>
    <n v="0"/>
    <m/>
  </r>
  <r>
    <s v="Кемеровская область - Кузбасс"/>
    <x v="3"/>
    <x v="15"/>
    <x v="58"/>
    <m/>
    <m/>
    <m/>
    <s v="Open"/>
    <n v="0"/>
    <n v="0"/>
    <n v="0"/>
    <n v="0"/>
    <n v="0"/>
    <n v="300562568.50841665"/>
    <n v="231806702.65685073"/>
    <n v="0"/>
    <m/>
  </r>
  <r>
    <s v="Красноярский"/>
    <x v="3"/>
    <x v="15"/>
    <x v="58"/>
    <m/>
    <m/>
    <m/>
    <s v="Open"/>
    <n v="0"/>
    <n v="0"/>
    <n v="0"/>
    <n v="0"/>
    <n v="0"/>
    <n v="49400893.391934566"/>
    <n v="13861067.77554908"/>
    <n v="0"/>
    <m/>
  </r>
  <r>
    <s v="Новосибирская"/>
    <x v="3"/>
    <x v="15"/>
    <x v="58"/>
    <m/>
    <m/>
    <m/>
    <s v="Open"/>
    <n v="0"/>
    <n v="0"/>
    <n v="0"/>
    <n v="0"/>
    <n v="0"/>
    <n v="282709671.91138828"/>
    <n v="217785764.00050426"/>
    <n v="0"/>
    <m/>
  </r>
  <r>
    <s v="Омская"/>
    <x v="3"/>
    <x v="15"/>
    <x v="58"/>
    <m/>
    <m/>
    <m/>
    <s v="Open"/>
    <n v="0"/>
    <n v="0"/>
    <n v="0"/>
    <n v="0"/>
    <n v="0"/>
    <n v="117114145.83411548"/>
    <n v="76132782.152658641"/>
    <n v="0"/>
    <m/>
  </r>
  <r>
    <s v="Томская"/>
    <x v="3"/>
    <x v="15"/>
    <x v="58"/>
    <m/>
    <m/>
    <m/>
    <s v="Open"/>
    <n v="0"/>
    <n v="0"/>
    <n v="0"/>
    <n v="0"/>
    <n v="0"/>
    <n v="228502433.21530333"/>
    <n v="132744789.49687061"/>
    <n v="0"/>
    <m/>
  </r>
  <r>
    <s v="Алтайский"/>
    <x v="3"/>
    <x v="16"/>
    <x v="59"/>
    <m/>
    <m/>
    <n v="1"/>
    <s v="Open"/>
    <n v="594299663.16174626"/>
    <n v="0"/>
    <n v="0"/>
    <n v="0"/>
    <n v="0"/>
    <n v="0"/>
    <n v="0"/>
    <n v="0"/>
    <m/>
  </r>
  <r>
    <s v="Кемеровская область - Кузбасс"/>
    <x v="3"/>
    <x v="16"/>
    <x v="59"/>
    <m/>
    <m/>
    <m/>
    <s v="Open"/>
    <n v="491515278.56228167"/>
    <n v="0"/>
    <n v="0"/>
    <n v="0"/>
    <n v="0"/>
    <n v="0"/>
    <n v="0"/>
    <n v="0"/>
    <m/>
  </r>
  <r>
    <s v="Новосибирская"/>
    <x v="3"/>
    <x v="16"/>
    <x v="59"/>
    <m/>
    <m/>
    <m/>
    <s v="Open"/>
    <n v="321261802.06234795"/>
    <n v="0"/>
    <n v="0"/>
    <n v="0"/>
    <n v="0"/>
    <n v="0"/>
    <n v="0"/>
    <n v="0"/>
    <m/>
  </r>
  <r>
    <s v="Томская"/>
    <x v="3"/>
    <x v="16"/>
    <x v="59"/>
    <m/>
    <m/>
    <m/>
    <s v="Open"/>
    <n v="114883267.42855136"/>
    <n v="0"/>
    <n v="0"/>
    <n v="0"/>
    <n v="0"/>
    <n v="0"/>
    <n v="0"/>
    <n v="0"/>
    <m/>
  </r>
  <r>
    <s v="Алтай"/>
    <x v="3"/>
    <x v="16"/>
    <x v="59"/>
    <m/>
    <m/>
    <m/>
    <s v="Open"/>
    <n v="24762485.965072762"/>
    <n v="0"/>
    <n v="0"/>
    <n v="0"/>
    <n v="0"/>
    <n v="0"/>
    <n v="0"/>
    <n v="0"/>
    <m/>
  </r>
  <r>
    <s v="Алтайский"/>
    <x v="3"/>
    <x v="15"/>
    <x v="58"/>
    <m/>
    <m/>
    <m/>
    <s v="Open"/>
    <n v="0"/>
    <n v="0"/>
    <n v="0"/>
    <n v="0"/>
    <n v="0"/>
    <n v="594299663.16174626"/>
    <n v="461572470.0557043"/>
    <n v="0"/>
    <m/>
  </r>
  <r>
    <s v="Кемеровская область - Кузбасс"/>
    <x v="3"/>
    <x v="15"/>
    <x v="58"/>
    <m/>
    <m/>
    <m/>
    <s v="Open"/>
    <n v="0"/>
    <n v="0"/>
    <n v="0"/>
    <n v="0"/>
    <n v="0"/>
    <n v="491515278.56228167"/>
    <n v="368676205.98230016"/>
    <n v="0"/>
    <m/>
  </r>
  <r>
    <s v="Новосибирская"/>
    <x v="3"/>
    <x v="15"/>
    <x v="58"/>
    <m/>
    <m/>
    <m/>
    <s v="Open"/>
    <n v="0"/>
    <n v="0"/>
    <n v="0"/>
    <n v="0"/>
    <n v="0"/>
    <n v="321261802.06234795"/>
    <n v="256180909.35876647"/>
    <n v="0"/>
    <m/>
  </r>
  <r>
    <s v="Томская"/>
    <x v="3"/>
    <x v="15"/>
    <x v="58"/>
    <m/>
    <m/>
    <m/>
    <s v="Open"/>
    <n v="0"/>
    <n v="0"/>
    <n v="0"/>
    <n v="0"/>
    <n v="0"/>
    <n v="114883267.42855136"/>
    <n v="68437168.244202793"/>
    <n v="0"/>
    <m/>
  </r>
  <r>
    <s v="Алтай"/>
    <x v="3"/>
    <x v="15"/>
    <x v="58"/>
    <m/>
    <m/>
    <m/>
    <s v="Open"/>
    <n v="0"/>
    <n v="0"/>
    <n v="0"/>
    <n v="0"/>
    <n v="0"/>
    <n v="24762485.965072762"/>
    <n v="0"/>
    <n v="0"/>
    <m/>
  </r>
  <r>
    <s v="Алтай"/>
    <x v="3"/>
    <x v="15"/>
    <x v="58"/>
    <m/>
    <m/>
    <m/>
    <s v="Open"/>
    <n v="0"/>
    <n v="0"/>
    <n v="0"/>
    <n v="0"/>
    <n v="0"/>
    <n v="4386979.91"/>
    <n v="0"/>
    <n v="0"/>
    <m/>
  </r>
  <r>
    <s v="Алтайский"/>
    <x v="3"/>
    <x v="15"/>
    <x v="58"/>
    <m/>
    <m/>
    <m/>
    <s v="Open"/>
    <n v="0"/>
    <n v="0"/>
    <n v="0"/>
    <n v="0"/>
    <n v="0"/>
    <n v="108629205.9599995"/>
    <n v="27587077.313190907"/>
    <n v="0"/>
    <m/>
  </r>
  <r>
    <s v="Кемеровская область - Кузбасс"/>
    <x v="3"/>
    <x v="15"/>
    <x v="58"/>
    <m/>
    <m/>
    <m/>
    <s v="Open"/>
    <n v="0"/>
    <n v="0"/>
    <n v="0"/>
    <n v="0"/>
    <n v="0"/>
    <n v="238713553.10999873"/>
    <n v="160342343.65884095"/>
    <n v="0"/>
    <m/>
  </r>
  <r>
    <s v="Красноярский"/>
    <x v="3"/>
    <x v="15"/>
    <x v="58"/>
    <m/>
    <m/>
    <m/>
    <s v="Open"/>
    <n v="0"/>
    <n v="0"/>
    <n v="0"/>
    <n v="0"/>
    <n v="0"/>
    <n v="1220654.8799999997"/>
    <n v="0"/>
    <n v="0"/>
    <m/>
  </r>
  <r>
    <s v="Новосибирская"/>
    <x v="3"/>
    <x v="15"/>
    <x v="58"/>
    <m/>
    <m/>
    <m/>
    <s v="Open"/>
    <n v="0"/>
    <n v="0"/>
    <n v="0"/>
    <n v="0"/>
    <n v="0"/>
    <n v="300455001.49999845"/>
    <n v="77923810.478209168"/>
    <n v="0"/>
    <m/>
  </r>
  <r>
    <s v="Омская"/>
    <x v="3"/>
    <x v="15"/>
    <x v="58"/>
    <m/>
    <m/>
    <m/>
    <s v="Open"/>
    <n v="0"/>
    <n v="0"/>
    <n v="0"/>
    <n v="0"/>
    <n v="0"/>
    <n v="1220654.8799999999"/>
    <n v="0"/>
    <n v="0"/>
    <m/>
  </r>
  <r>
    <s v="Томская"/>
    <x v="3"/>
    <x v="15"/>
    <x v="58"/>
    <m/>
    <m/>
    <m/>
    <s v="Open"/>
    <n v="0"/>
    <n v="0"/>
    <n v="0"/>
    <n v="0"/>
    <n v="0"/>
    <n v="22106208.609999988"/>
    <n v="0"/>
    <n v="0"/>
    <m/>
  </r>
  <r>
    <s v="Красноярский"/>
    <x v="3"/>
    <x v="16"/>
    <x v="60"/>
    <s v="Сервико (Красноярск) ООО"/>
    <m/>
    <n v="1"/>
    <m/>
    <n v="190260307.72000337"/>
    <n v="0"/>
    <n v="0"/>
    <n v="0"/>
    <n v="0"/>
    <n v="0"/>
    <n v="0"/>
    <n v="0"/>
    <m/>
  </r>
  <r>
    <s v="Хакасия"/>
    <x v="3"/>
    <x v="16"/>
    <x v="60"/>
    <s v="Сервико (Красноярск) ООО"/>
    <m/>
    <m/>
    <m/>
    <n v="29062463.519999985"/>
    <n v="0"/>
    <n v="0"/>
    <n v="0"/>
    <n v="0"/>
    <n v="0"/>
    <n v="0"/>
    <n v="0"/>
    <m/>
  </r>
  <r>
    <s v="Красноярский"/>
    <x v="3"/>
    <x v="16"/>
    <x v="60"/>
    <s v="Сервико (Красноярск) ООО"/>
    <m/>
    <n v="1"/>
    <m/>
    <n v="398858193.26999992"/>
    <n v="0"/>
    <n v="0"/>
    <n v="0"/>
    <n v="0"/>
    <n v="0"/>
    <n v="0"/>
    <n v="0"/>
    <m/>
  </r>
  <r>
    <s v="Красноярский"/>
    <x v="3"/>
    <x v="15"/>
    <x v="58"/>
    <m/>
    <m/>
    <m/>
    <s v="Open"/>
    <n v="0"/>
    <n v="0"/>
    <n v="0"/>
    <n v="0"/>
    <n v="0"/>
    <n v="190260307.72000337"/>
    <n v="0"/>
    <n v="0"/>
    <m/>
  </r>
  <r>
    <s v="Хакасия"/>
    <x v="3"/>
    <x v="15"/>
    <x v="58"/>
    <m/>
    <m/>
    <m/>
    <s v="Open"/>
    <n v="0"/>
    <n v="0"/>
    <n v="0"/>
    <n v="0"/>
    <n v="0"/>
    <n v="29062463.519999985"/>
    <n v="0"/>
    <n v="0"/>
    <m/>
  </r>
  <r>
    <s v="Красноярский"/>
    <x v="3"/>
    <x v="15"/>
    <x v="58"/>
    <m/>
    <m/>
    <m/>
    <s v="Open"/>
    <n v="0"/>
    <n v="0"/>
    <n v="0"/>
    <n v="0"/>
    <n v="0"/>
    <n v="398858193.26999992"/>
    <n v="0"/>
    <n v="0"/>
    <m/>
  </r>
  <r>
    <s v="Красноярский"/>
    <x v="3"/>
    <x v="17"/>
    <x v="61"/>
    <s v="Сервико (Красноярск) ООО"/>
    <n v="1"/>
    <m/>
    <m/>
    <n v="0"/>
    <n v="283457019.83000004"/>
    <n v="14201168.000000009"/>
    <n v="196318626.89000005"/>
    <n v="0"/>
    <n v="0"/>
    <n v="0"/>
    <n v="0"/>
    <m/>
  </r>
  <r>
    <s v="Новосибирская"/>
    <x v="3"/>
    <x v="17"/>
    <x v="62"/>
    <s v="РП Альянс ООО"/>
    <n v="1"/>
    <m/>
    <m/>
    <n v="0"/>
    <n v="34880558.810000002"/>
    <n v="2091125.26"/>
    <n v="139815950.95999998"/>
    <n v="0"/>
    <n v="0"/>
    <n v="0"/>
    <n v="0"/>
    <m/>
  </r>
  <r>
    <s v="Алтай"/>
    <x v="3"/>
    <x v="17"/>
    <x v="63"/>
    <s v="РП Альянс ООО"/>
    <m/>
    <m/>
    <m/>
    <n v="0"/>
    <n v="7559280.2800000003"/>
    <n v="293180.96000000002"/>
    <n v="6270010.7999999998"/>
    <n v="0"/>
    <n v="0"/>
    <n v="0"/>
    <n v="0"/>
    <m/>
  </r>
  <r>
    <s v="Алтай"/>
    <x v="3"/>
    <x v="16"/>
    <x v="64"/>
    <s v="РП Альянс ООО"/>
    <m/>
    <m/>
    <m/>
    <n v="0"/>
    <n v="0"/>
    <n v="8338655.9999999981"/>
    <n v="0"/>
    <n v="0"/>
    <n v="8338655.9999999981"/>
    <n v="0"/>
    <n v="0"/>
    <m/>
  </r>
  <r>
    <s v="Алтайский"/>
    <x v="3"/>
    <x v="17"/>
    <x v="63"/>
    <s v="РП Альянс ООО"/>
    <n v="1"/>
    <m/>
    <m/>
    <n v="0"/>
    <n v="86102087.389999986"/>
    <n v="2997710.13"/>
    <n v="111635936.67000006"/>
    <n v="0"/>
    <n v="0"/>
    <n v="0"/>
    <n v="0"/>
    <m/>
  </r>
  <r>
    <s v="Алтайский"/>
    <x v="3"/>
    <x v="17"/>
    <x v="61"/>
    <s v="Сервико (Красноярск) ООО"/>
    <m/>
    <m/>
    <m/>
    <n v="0"/>
    <n v="0"/>
    <n v="0"/>
    <n v="28433.079999999998"/>
    <n v="0"/>
    <n v="0"/>
    <n v="0"/>
    <n v="0"/>
    <m/>
  </r>
  <r>
    <s v="Алтайский"/>
    <x v="3"/>
    <x v="17"/>
    <x v="65"/>
    <s v="ТД Шкуренко ООО (Томск)"/>
    <m/>
    <m/>
    <m/>
    <n v="0"/>
    <n v="0"/>
    <n v="0"/>
    <n v="6889610.7199999969"/>
    <n v="0"/>
    <n v="0"/>
    <n v="0"/>
    <n v="0"/>
    <m/>
  </r>
  <r>
    <s v="Алтайский"/>
    <x v="3"/>
    <x v="16"/>
    <x v="64"/>
    <s v="РП Альянс ООО"/>
    <n v="1"/>
    <m/>
    <m/>
    <n v="0"/>
    <n v="0"/>
    <n v="55786787.809999935"/>
    <n v="0"/>
    <n v="0"/>
    <n v="55786787.809999935"/>
    <n v="0"/>
    <n v="0"/>
    <m/>
  </r>
  <r>
    <s v="Алтайский"/>
    <x v="3"/>
    <x v="17"/>
    <x v="65"/>
    <s v="ТД Шкуренко ООО"/>
    <m/>
    <m/>
    <m/>
    <n v="0"/>
    <n v="0"/>
    <n v="2201971.15"/>
    <n v="0"/>
    <n v="0"/>
    <n v="0"/>
    <n v="0"/>
    <n v="0"/>
    <m/>
  </r>
  <r>
    <s v="Кемеровская область - Кузбасс"/>
    <x v="3"/>
    <x v="17"/>
    <x v="65"/>
    <s v="ТД Шкуренко ООО (Томск)"/>
    <n v="1"/>
    <m/>
    <m/>
    <n v="0"/>
    <n v="16476732.709999999"/>
    <n v="4822398.8600000003"/>
    <n v="58859998.560000047"/>
    <n v="0"/>
    <n v="0"/>
    <n v="0"/>
    <n v="0"/>
    <m/>
  </r>
  <r>
    <s v="Кемеровская область - Кузбасс"/>
    <x v="3"/>
    <x v="17"/>
    <x v="65"/>
    <s v="ТД Шкуренко ООО"/>
    <m/>
    <m/>
    <m/>
    <n v="0"/>
    <n v="0"/>
    <n v="390935.39"/>
    <n v="0"/>
    <n v="0"/>
    <n v="0"/>
    <n v="0"/>
    <n v="0"/>
    <m/>
  </r>
  <r>
    <s v="Кемеровская область - Кузбасс"/>
    <x v="3"/>
    <x v="16"/>
    <x v="64"/>
    <s v="ТД Шкуренко ООО (Томск)"/>
    <n v="1"/>
    <m/>
    <m/>
    <n v="0"/>
    <n v="0"/>
    <n v="26885692.90000001"/>
    <n v="0"/>
    <n v="0"/>
    <n v="26885692.90000001"/>
    <n v="0"/>
    <n v="0"/>
    <m/>
  </r>
  <r>
    <s v="Кемеровская область - Кузбасс"/>
    <x v="3"/>
    <x v="16"/>
    <x v="64"/>
    <s v="РП Альянс ООО"/>
    <m/>
    <m/>
    <m/>
    <n v="0"/>
    <n v="0"/>
    <n v="47364394.949999921"/>
    <n v="0"/>
    <n v="0"/>
    <n v="47364394.949999921"/>
    <n v="0"/>
    <n v="0"/>
    <m/>
  </r>
  <r>
    <s v="Кемеровская область - Кузбасс"/>
    <x v="3"/>
    <x v="17"/>
    <x v="65"/>
    <s v="РП Альянс ООО"/>
    <m/>
    <m/>
    <m/>
    <n v="0"/>
    <n v="0"/>
    <n v="0"/>
    <n v="5225326.0500000007"/>
    <n v="0"/>
    <n v="0"/>
    <n v="0"/>
    <n v="0"/>
    <m/>
  </r>
  <r>
    <s v="Кемеровская область - Кузбасс"/>
    <x v="3"/>
    <x v="17"/>
    <x v="61"/>
    <s v="Сервико (Красноярск) ООО"/>
    <m/>
    <m/>
    <m/>
    <n v="0"/>
    <n v="0"/>
    <n v="0"/>
    <n v="9909.8700000000008"/>
    <n v="0"/>
    <n v="0"/>
    <n v="0"/>
    <n v="0"/>
    <m/>
  </r>
  <r>
    <s v="Кемеровская область - Кузбасс"/>
    <x v="3"/>
    <x v="17"/>
    <x v="62"/>
    <s v="ТД Шкуренко ООО (Томск)"/>
    <m/>
    <m/>
    <m/>
    <n v="0"/>
    <n v="0"/>
    <n v="0"/>
    <n v="7785298.8700000001"/>
    <n v="0"/>
    <n v="0"/>
    <n v="0"/>
    <n v="0"/>
    <m/>
  </r>
  <r>
    <s v="Красноярский"/>
    <x v="3"/>
    <x v="17"/>
    <x v="61"/>
    <s v="Стандарт ООО"/>
    <n v="1"/>
    <m/>
    <m/>
    <n v="0"/>
    <n v="0"/>
    <n v="0"/>
    <n v="109518113.71000004"/>
    <n v="0"/>
    <n v="0"/>
    <n v="0"/>
    <n v="0"/>
    <m/>
  </r>
  <r>
    <s v="Красноярский"/>
    <x v="3"/>
    <x v="17"/>
    <x v="62"/>
    <s v="РП Альянс ООО"/>
    <m/>
    <m/>
    <m/>
    <n v="0"/>
    <n v="0"/>
    <n v="0"/>
    <n v="3302547.12"/>
    <n v="0"/>
    <n v="0"/>
    <n v="0"/>
    <n v="0"/>
    <m/>
  </r>
  <r>
    <s v="Красноярский"/>
    <x v="3"/>
    <x v="17"/>
    <x v="62"/>
    <s v="Сервико (Красноярск) ООО"/>
    <m/>
    <m/>
    <m/>
    <n v="0"/>
    <n v="19524447.250000004"/>
    <n v="0"/>
    <n v="65665.02"/>
    <n v="0"/>
    <n v="0"/>
    <n v="0"/>
    <n v="0"/>
    <m/>
  </r>
  <r>
    <s v="Новосибирская"/>
    <x v="3"/>
    <x v="17"/>
    <x v="63"/>
    <s v="РП Альянс ООО"/>
    <m/>
    <m/>
    <m/>
    <n v="0"/>
    <n v="0"/>
    <n v="0"/>
    <n v="10775322.740000002"/>
    <n v="0"/>
    <n v="0"/>
    <n v="0"/>
    <n v="0"/>
    <m/>
  </r>
  <r>
    <s v="Новосибирская"/>
    <x v="3"/>
    <x v="16"/>
    <x v="64"/>
    <s v="РП Альянс ООО"/>
    <n v="1"/>
    <m/>
    <m/>
    <n v="0"/>
    <n v="0"/>
    <n v="31316449.110000011"/>
    <n v="0"/>
    <n v="0"/>
    <n v="31316449.110000011"/>
    <n v="0"/>
    <n v="0"/>
    <m/>
  </r>
  <r>
    <s v="Новосибирская"/>
    <x v="3"/>
    <x v="17"/>
    <x v="65"/>
    <s v="ТД Шкуренко ООО"/>
    <m/>
    <m/>
    <m/>
    <n v="0"/>
    <n v="0"/>
    <n v="16367163.050000001"/>
    <n v="0"/>
    <n v="0"/>
    <n v="0"/>
    <n v="0"/>
    <n v="0"/>
    <m/>
  </r>
  <r>
    <s v="Новосибирская"/>
    <x v="3"/>
    <x v="17"/>
    <x v="62"/>
    <s v="Сервико (Красноярск) ООО"/>
    <m/>
    <m/>
    <m/>
    <n v="0"/>
    <n v="0"/>
    <n v="0"/>
    <n v="15694.580000000002"/>
    <n v="0"/>
    <n v="0"/>
    <n v="0"/>
    <n v="0"/>
    <m/>
  </r>
  <r>
    <s v="Новосибирская"/>
    <x v="3"/>
    <x v="17"/>
    <x v="62"/>
    <s v="ТД Шкуренко ООО (Томск)"/>
    <m/>
    <m/>
    <m/>
    <n v="0"/>
    <n v="0"/>
    <n v="0"/>
    <n v="31116021.569999993"/>
    <n v="0"/>
    <n v="0"/>
    <n v="0"/>
    <n v="0"/>
    <m/>
  </r>
  <r>
    <s v="Омская"/>
    <x v="3"/>
    <x v="17"/>
    <x v="65"/>
    <s v="ТД Шкуренко ООО"/>
    <n v="1"/>
    <m/>
    <m/>
    <n v="0"/>
    <n v="14587671.609999998"/>
    <n v="84991549.110000074"/>
    <n v="61231694.460000016"/>
    <n v="0"/>
    <n v="0"/>
    <n v="0"/>
    <n v="0"/>
    <m/>
  </r>
  <r>
    <s v="Томская"/>
    <x v="3"/>
    <x v="16"/>
    <x v="64"/>
    <s v="ТД Шкуренко ООО (Томск)"/>
    <n v="1"/>
    <m/>
    <m/>
    <n v="0"/>
    <n v="0"/>
    <n v="87333646.37999998"/>
    <n v="0"/>
    <n v="0"/>
    <n v="87333646.37999998"/>
    <n v="0"/>
    <n v="0"/>
    <m/>
  </r>
  <r>
    <s v="Томская"/>
    <x v="3"/>
    <x v="16"/>
    <x v="64"/>
    <s v="РП Альянс ООО"/>
    <m/>
    <m/>
    <m/>
    <n v="0"/>
    <n v="0"/>
    <n v="855691.44000000006"/>
    <n v="0"/>
    <n v="0"/>
    <n v="855691.44000000006"/>
    <n v="0"/>
    <n v="0"/>
    <m/>
  </r>
  <r>
    <s v="Томская"/>
    <x v="3"/>
    <x v="17"/>
    <x v="62"/>
    <s v="РП Альянс ООО"/>
    <m/>
    <m/>
    <m/>
    <n v="0"/>
    <n v="0"/>
    <n v="0"/>
    <n v="508431.55999999994"/>
    <n v="0"/>
    <n v="0"/>
    <n v="0"/>
    <n v="0"/>
    <m/>
  </r>
  <r>
    <s v="Томская"/>
    <x v="3"/>
    <x v="17"/>
    <x v="65"/>
    <s v="ТД Шкуренко ООО (Томск)"/>
    <n v="1"/>
    <m/>
    <m/>
    <n v="0"/>
    <n v="6077749.5899999999"/>
    <n v="982012.08"/>
    <n v="47188551.959999993"/>
    <n v="0"/>
    <n v="0"/>
    <n v="0"/>
    <n v="0"/>
    <m/>
  </r>
  <r>
    <s v="Томская"/>
    <x v="3"/>
    <x v="17"/>
    <x v="62"/>
    <s v="ТД Шкуренко ООО (Томск)"/>
    <m/>
    <m/>
    <m/>
    <n v="0"/>
    <n v="6196445.6400000006"/>
    <n v="0"/>
    <n v="1588019.9799999997"/>
    <n v="0"/>
    <n v="0"/>
    <n v="0"/>
    <n v="0"/>
    <m/>
  </r>
  <r>
    <s v="Тыва"/>
    <x v="3"/>
    <x v="17"/>
    <x v="61"/>
    <s v="Сервико (Красноярск) ООО"/>
    <m/>
    <m/>
    <m/>
    <n v="0"/>
    <n v="7522983.4700000007"/>
    <n v="98786.069999999992"/>
    <n v="9930056.3099999987"/>
    <n v="0"/>
    <n v="0"/>
    <n v="0"/>
    <n v="0"/>
    <m/>
  </r>
  <r>
    <s v="Хакасия"/>
    <x v="3"/>
    <x v="17"/>
    <x v="61"/>
    <s v="Сервико (Красноярск) ООО"/>
    <n v="1"/>
    <m/>
    <m/>
    <n v="0"/>
    <n v="31451267.149999999"/>
    <n v="1880603.23"/>
    <n v="94654020.920000017"/>
    <n v="0"/>
    <n v="0"/>
    <n v="0"/>
    <n v="0"/>
    <m/>
  </r>
  <r>
    <s v="Иркутская"/>
    <x v="3"/>
    <x v="16"/>
    <x v="60"/>
    <s v="Проект-Инвест ООО"/>
    <m/>
    <m/>
    <m/>
    <n v="34087387.920000017"/>
    <n v="0"/>
    <n v="0"/>
    <n v="0"/>
    <n v="0"/>
    <n v="0"/>
    <n v="0"/>
    <n v="0"/>
    <m/>
  </r>
  <r>
    <s v="Иркутская"/>
    <x v="3"/>
    <x v="16"/>
    <x v="60"/>
    <s v="Проект-Инвест ООО"/>
    <m/>
    <m/>
    <m/>
    <n v="100115674.67999995"/>
    <n v="0"/>
    <n v="0"/>
    <n v="0"/>
    <n v="0"/>
    <n v="0"/>
    <n v="0"/>
    <n v="0"/>
    <m/>
  </r>
  <r>
    <s v="Чеченская"/>
    <x v="4"/>
    <x v="18"/>
    <x v="66"/>
    <s v="Малаев Ш. А. ИП"/>
    <n v="1"/>
    <m/>
    <s v="TR"/>
    <n v="0"/>
    <n v="0"/>
    <n v="0"/>
    <n v="227263261.77000019"/>
    <n v="1176382.5"/>
    <n v="0"/>
    <n v="0"/>
    <n v="0"/>
    <m/>
  </r>
  <r>
    <s v="Ингушетия"/>
    <x v="4"/>
    <x v="18"/>
    <x v="66"/>
    <s v="Малаев Ш. А. ИП"/>
    <m/>
    <m/>
    <s v="TR"/>
    <n v="0"/>
    <n v="0"/>
    <n v="0"/>
    <n v="16462739.199999999"/>
    <n v="30322114.23"/>
    <n v="0"/>
    <n v="0"/>
    <n v="0"/>
    <m/>
  </r>
  <r>
    <s v="Дагестан"/>
    <x v="4"/>
    <x v="18"/>
    <x v="66"/>
    <s v="ТД Майдан ООО"/>
    <n v="1"/>
    <m/>
    <s v="TR"/>
    <n v="0"/>
    <n v="0"/>
    <n v="0"/>
    <n v="169980065.36999968"/>
    <n v="231789435.21883488"/>
    <n v="0"/>
    <n v="0"/>
    <n v="0"/>
    <m/>
  </r>
  <r>
    <s v="Белгородская"/>
    <x v="4"/>
    <x v="19"/>
    <x v="67"/>
    <s v="Коробов В.Ю. ИП"/>
    <m/>
    <m/>
    <m/>
    <n v="0"/>
    <n v="9630012.4900000021"/>
    <n v="17548196.280000009"/>
    <n v="65743240.020000026"/>
    <n v="0"/>
    <n v="0"/>
    <n v="0"/>
    <n v="0"/>
    <m/>
  </r>
  <r>
    <s v="Брянская"/>
    <x v="4"/>
    <x v="19"/>
    <x v="67"/>
    <s v="Коробов В.Ю. ИП"/>
    <m/>
    <m/>
    <m/>
    <n v="0"/>
    <n v="4048926.66"/>
    <n v="9623118.0900000036"/>
    <n v="0"/>
    <n v="0"/>
    <n v="0"/>
    <n v="0"/>
    <n v="0"/>
    <m/>
  </r>
  <r>
    <s v="Воронежская"/>
    <x v="4"/>
    <x v="19"/>
    <x v="67"/>
    <s v="Коробов В.Ю. ИП"/>
    <m/>
    <m/>
    <m/>
    <n v="0"/>
    <n v="5071280.9400000013"/>
    <n v="5044642.3100000024"/>
    <n v="423235.34"/>
    <n v="0"/>
    <n v="0"/>
    <n v="0"/>
    <n v="0"/>
    <m/>
  </r>
  <r>
    <s v="Калужская"/>
    <x v="4"/>
    <x v="19"/>
    <x v="67"/>
    <s v="Коробов В.Ю. ИП"/>
    <m/>
    <m/>
    <m/>
    <n v="0"/>
    <n v="0"/>
    <n v="1842842.9100000006"/>
    <n v="0"/>
    <n v="0"/>
    <n v="0"/>
    <n v="0"/>
    <n v="0"/>
    <m/>
  </r>
  <r>
    <s v="Курская"/>
    <x v="4"/>
    <x v="19"/>
    <x v="67"/>
    <s v="Коробов В.Ю. ИП"/>
    <n v="1"/>
    <n v="1"/>
    <m/>
    <n v="0"/>
    <n v="331967808.94"/>
    <n v="22487563.250000011"/>
    <n v="54774882.81000001"/>
    <n v="0"/>
    <n v="0"/>
    <n v="0"/>
    <n v="0"/>
    <m/>
  </r>
  <r>
    <s v="Липецкая"/>
    <x v="4"/>
    <x v="19"/>
    <x v="67"/>
    <s v="Коробов В.Ю. ИП"/>
    <m/>
    <m/>
    <m/>
    <n v="0"/>
    <n v="5013011.4000000013"/>
    <n v="8840937.0700000059"/>
    <n v="51865.83"/>
    <n v="0"/>
    <n v="0"/>
    <n v="0"/>
    <n v="0"/>
    <m/>
  </r>
  <r>
    <s v="Орловская"/>
    <x v="4"/>
    <x v="19"/>
    <x v="67"/>
    <s v="Коробов В.Ю. ИП"/>
    <m/>
    <m/>
    <m/>
    <n v="0"/>
    <n v="10686714.570000002"/>
    <n v="7538965.8100000042"/>
    <n v="0"/>
    <n v="0"/>
    <n v="0"/>
    <n v="0"/>
    <n v="0"/>
    <m/>
  </r>
  <r>
    <s v="Рязанская"/>
    <x v="4"/>
    <x v="19"/>
    <x v="67"/>
    <s v="Коробов В.Ю. ИП"/>
    <m/>
    <m/>
    <m/>
    <n v="0"/>
    <n v="2385267.1800000006"/>
    <n v="0"/>
    <n v="0"/>
    <n v="0"/>
    <n v="0"/>
    <n v="0"/>
    <n v="0"/>
    <m/>
  </r>
  <r>
    <s v="Смоленская"/>
    <x v="4"/>
    <x v="19"/>
    <x v="67"/>
    <s v="Коробов В.Ю. ИП"/>
    <m/>
    <m/>
    <m/>
    <n v="0"/>
    <n v="0"/>
    <n v="3476324.0200000023"/>
    <n v="0"/>
    <n v="0"/>
    <n v="0"/>
    <n v="0"/>
    <n v="0"/>
    <m/>
  </r>
  <r>
    <s v="Тамбовская"/>
    <x v="4"/>
    <x v="19"/>
    <x v="67"/>
    <s v="Коробов В.Ю. ИП"/>
    <m/>
    <m/>
    <m/>
    <n v="0"/>
    <n v="4475652.3499999996"/>
    <n v="2618541.3100000019"/>
    <n v="0"/>
    <n v="0"/>
    <n v="0"/>
    <n v="0"/>
    <n v="0"/>
    <m/>
  </r>
  <r>
    <s v="Тульская"/>
    <x v="4"/>
    <x v="19"/>
    <x v="67"/>
    <s v="Коробов В.Ю. ИП"/>
    <m/>
    <m/>
    <m/>
    <n v="0"/>
    <n v="0"/>
    <n v="4029235.5400000019"/>
    <n v="0"/>
    <n v="0"/>
    <n v="0"/>
    <n v="0"/>
    <n v="0"/>
    <m/>
  </r>
  <r>
    <s v="Брянская"/>
    <x v="4"/>
    <x v="19"/>
    <x v="68"/>
    <s v="Коробов В.Ю. ИП"/>
    <m/>
    <m/>
    <m/>
    <n v="0"/>
    <n v="0"/>
    <n v="0"/>
    <n v="58509460.75"/>
    <n v="0"/>
    <n v="0"/>
    <n v="0"/>
    <n v="0"/>
    <m/>
  </r>
  <r>
    <s v="Орловская"/>
    <x v="4"/>
    <x v="19"/>
    <x v="68"/>
    <s v="Коробов В.Ю. ИП"/>
    <m/>
    <m/>
    <m/>
    <n v="0"/>
    <n v="0"/>
    <n v="0"/>
    <n v="42690834.829999998"/>
    <n v="0"/>
    <n v="0"/>
    <n v="0"/>
    <n v="0"/>
    <m/>
  </r>
  <r>
    <s v="Донецкая Народная"/>
    <x v="4"/>
    <x v="18"/>
    <x v="69"/>
    <s v="Дакорт-Юг ООО"/>
    <m/>
    <m/>
    <m/>
    <n v="0"/>
    <n v="0"/>
    <n v="9007988.3699999992"/>
    <n v="0"/>
    <n v="0"/>
    <n v="0"/>
    <n v="0"/>
    <n v="0"/>
    <m/>
  </r>
  <r>
    <s v="Краснодарский"/>
    <x v="4"/>
    <x v="18"/>
    <x v="69"/>
    <s v="Дакорт-Юг ООО"/>
    <m/>
    <m/>
    <s v="TR"/>
    <n v="0"/>
    <n v="19610069.489999998"/>
    <n v="0"/>
    <n v="87453026.309999973"/>
    <n v="0"/>
    <n v="0"/>
    <n v="0"/>
    <n v="0"/>
    <m/>
  </r>
  <r>
    <s v="Крым"/>
    <x v="4"/>
    <x v="18"/>
    <x v="69"/>
    <s v="Дакорт-Юг ООО"/>
    <n v="1"/>
    <m/>
    <s v="TR"/>
    <n v="0"/>
    <n v="8664932.9100000001"/>
    <n v="0"/>
    <n v="176490389.13000005"/>
    <n v="108346020.1999999"/>
    <n v="0"/>
    <n v="0"/>
    <n v="0"/>
    <m/>
  </r>
  <r>
    <s v="Луганская Народная"/>
    <x v="4"/>
    <x v="18"/>
    <x v="69"/>
    <s v="Дакорт-Юг ООО"/>
    <m/>
    <m/>
    <m/>
    <n v="0"/>
    <n v="0"/>
    <n v="862676.57000000007"/>
    <n v="0"/>
    <n v="0"/>
    <n v="0"/>
    <n v="0"/>
    <n v="0"/>
    <m/>
  </r>
  <r>
    <s v="Севастополь"/>
    <x v="4"/>
    <x v="18"/>
    <x v="69"/>
    <s v="Дакорт-Юг ООО"/>
    <m/>
    <m/>
    <s v="TR"/>
    <n v="0"/>
    <n v="926090.49"/>
    <n v="1738562.6699999997"/>
    <n v="128342701.22"/>
    <n v="22129635.599999979"/>
    <n v="0"/>
    <n v="0"/>
    <n v="0"/>
    <m/>
  </r>
  <r>
    <s v="Крым"/>
    <x v="4"/>
    <x v="18"/>
    <x v="70"/>
    <s v="Дакорт-Юг ООО"/>
    <m/>
    <m/>
    <m/>
    <n v="0"/>
    <n v="140474182.20999998"/>
    <n v="452439335.18000209"/>
    <n v="0"/>
    <n v="0"/>
    <n v="0"/>
    <n v="0"/>
    <n v="0"/>
    <m/>
  </r>
  <r>
    <s v="Севастополь"/>
    <x v="4"/>
    <x v="18"/>
    <x v="70"/>
    <s v="Дакорт-Юг ООО"/>
    <m/>
    <m/>
    <m/>
    <n v="0"/>
    <n v="23247288.98"/>
    <n v="133489459.22000003"/>
    <n v="0"/>
    <n v="0"/>
    <n v="0"/>
    <n v="0"/>
    <n v="0"/>
    <m/>
  </r>
  <r>
    <s v="Адыгея"/>
    <x v="4"/>
    <x v="18"/>
    <x v="71"/>
    <s v="Дакорт-Юг ООО"/>
    <m/>
    <m/>
    <m/>
    <n v="0"/>
    <n v="44163988.920000002"/>
    <n v="0"/>
    <n v="0"/>
    <n v="0"/>
    <n v="0"/>
    <n v="0"/>
    <n v="0"/>
    <m/>
  </r>
  <r>
    <s v="Донецкая Народная"/>
    <x v="4"/>
    <x v="20"/>
    <x v="72"/>
    <s v="Миллениум-Дон ООО"/>
    <m/>
    <m/>
    <m/>
    <n v="0"/>
    <n v="0"/>
    <n v="0"/>
    <n v="1104480.68"/>
    <n v="0"/>
    <n v="0"/>
    <n v="0"/>
    <n v="0"/>
    <m/>
  </r>
  <r>
    <s v="Краснодарский"/>
    <x v="4"/>
    <x v="20"/>
    <x v="72"/>
    <s v="Миллениум-Дон ООО"/>
    <m/>
    <m/>
    <m/>
    <n v="0"/>
    <n v="0"/>
    <n v="0"/>
    <n v="24991736.36999999"/>
    <n v="0"/>
    <n v="0"/>
    <n v="0"/>
    <n v="0"/>
    <m/>
  </r>
  <r>
    <s v="Ростовская"/>
    <x v="4"/>
    <x v="20"/>
    <x v="72"/>
    <s v="Миллениум-Дон ООО"/>
    <n v="1"/>
    <m/>
    <m/>
    <n v="0"/>
    <n v="109650428.40999998"/>
    <n v="178509407.2299999"/>
    <n v="134460850.65000001"/>
    <n v="0"/>
    <n v="0"/>
    <n v="0"/>
    <n v="0"/>
    <m/>
  </r>
  <r>
    <s v="Калмыкия"/>
    <x v="4"/>
    <x v="20"/>
    <x v="72"/>
    <s v="Миллениум-Дон ООО"/>
    <m/>
    <m/>
    <m/>
    <n v="0"/>
    <n v="0"/>
    <n v="0"/>
    <n v="335637.49"/>
    <n v="0"/>
    <n v="0"/>
    <n v="0"/>
    <n v="0"/>
    <m/>
  </r>
  <r>
    <s v="Краснодарский"/>
    <x v="4"/>
    <x v="20"/>
    <x v="73"/>
    <s v="Миллениум-Дон ООО"/>
    <m/>
    <m/>
    <s v="TR"/>
    <n v="0"/>
    <n v="0"/>
    <n v="11059.08"/>
    <n v="65360653.509999998"/>
    <n v="889574794.65997851"/>
    <n v="0"/>
    <n v="577762884.74320006"/>
    <n v="0"/>
    <m/>
  </r>
  <r>
    <s v="Абхазия"/>
    <x v="4"/>
    <x v="20"/>
    <x v="73"/>
    <s v="Миллениум-Дон ООО"/>
    <m/>
    <m/>
    <m/>
    <n v="0"/>
    <n v="0"/>
    <n v="0"/>
    <n v="4263920.2100000018"/>
    <n v="0"/>
    <n v="0"/>
    <n v="0"/>
    <n v="0"/>
    <m/>
  </r>
  <r>
    <s v="Адыгея"/>
    <x v="4"/>
    <x v="21"/>
    <x v="74"/>
    <m/>
    <m/>
    <m/>
    <s v="TR"/>
    <n v="0"/>
    <n v="0"/>
    <n v="0"/>
    <n v="0"/>
    <n v="59940865.589999959"/>
    <n v="0"/>
    <n v="23887809.095800001"/>
    <n v="2065790674.7799973"/>
    <m/>
  </r>
  <r>
    <s v="Адыгея"/>
    <x v="4"/>
    <x v="18"/>
    <x v="66"/>
    <s v="Фуд-Трейд"/>
    <m/>
    <m/>
    <s v="TR"/>
    <n v="0"/>
    <n v="1673944.2999999998"/>
    <n v="5644864.1600000011"/>
    <n v="17962969.829999998"/>
    <n v="279412824.3448205"/>
    <n v="0"/>
    <n v="147977785.23060003"/>
    <n v="0"/>
    <m/>
  </r>
  <r>
    <s v="Астраханская"/>
    <x v="4"/>
    <x v="22"/>
    <x v="75"/>
    <m/>
    <m/>
    <m/>
    <s v="TR"/>
    <n v="0"/>
    <n v="0"/>
    <n v="0"/>
    <n v="0"/>
    <n v="790815852.52475572"/>
    <n v="0"/>
    <n v="544184205.98619974"/>
    <n v="6441328980.5292301"/>
    <m/>
  </r>
  <r>
    <s v="Белгородская"/>
    <x v="4"/>
    <x v="22"/>
    <x v="76"/>
    <m/>
    <m/>
    <m/>
    <s v="TR"/>
    <n v="0"/>
    <n v="0"/>
    <n v="0"/>
    <n v="0"/>
    <n v="506111051.7499826"/>
    <n v="0"/>
    <n v="280737179.26800001"/>
    <n v="8562904904.0596447"/>
    <m/>
  </r>
  <r>
    <s v="Брянская"/>
    <x v="4"/>
    <x v="22"/>
    <x v="76"/>
    <m/>
    <m/>
    <m/>
    <s v="TR"/>
    <n v="0"/>
    <n v="0"/>
    <n v="0"/>
    <n v="0"/>
    <n v="363427541.97998726"/>
    <n v="0"/>
    <n v="221090062.43870005"/>
    <n v="0"/>
    <m/>
  </r>
  <r>
    <s v="Волгоградская"/>
    <x v="4"/>
    <x v="22"/>
    <x v="75"/>
    <m/>
    <m/>
    <m/>
    <s v="TR"/>
    <n v="0"/>
    <n v="0"/>
    <n v="0"/>
    <n v="0"/>
    <n v="1704417290.2950521"/>
    <n v="0"/>
    <n v="1131603727.040801"/>
    <n v="0"/>
    <m/>
  </r>
  <r>
    <s v="Воронежская"/>
    <x v="4"/>
    <x v="22"/>
    <x v="76"/>
    <m/>
    <m/>
    <m/>
    <s v="TR"/>
    <n v="0"/>
    <n v="0"/>
    <n v="0"/>
    <n v="0"/>
    <n v="794455738.63996136"/>
    <n v="0"/>
    <n v="573647981.04380012"/>
    <n v="0"/>
    <m/>
  </r>
  <r>
    <s v="Кабардино-Балкарская"/>
    <x v="4"/>
    <x v="21"/>
    <x v="77"/>
    <m/>
    <m/>
    <m/>
    <s v="TR"/>
    <n v="0"/>
    <n v="0"/>
    <n v="0"/>
    <n v="0"/>
    <n v="256667592.99931648"/>
    <n v="0"/>
    <n v="136655603.58450004"/>
    <n v="0"/>
    <m/>
  </r>
  <r>
    <s v="Калмыкия"/>
    <x v="4"/>
    <x v="22"/>
    <x v="75"/>
    <m/>
    <m/>
    <m/>
    <s v="TR"/>
    <n v="0"/>
    <n v="0"/>
    <n v="0"/>
    <n v="0"/>
    <n v="92954906.814622194"/>
    <n v="0"/>
    <n v="51890148.134499997"/>
    <n v="0"/>
    <m/>
  </r>
  <r>
    <s v="Карачаево-Черкесская"/>
    <x v="4"/>
    <x v="21"/>
    <x v="77"/>
    <m/>
    <m/>
    <m/>
    <s v="TR"/>
    <n v="0"/>
    <n v="0"/>
    <n v="0"/>
    <n v="0"/>
    <n v="144770267.3128247"/>
    <n v="0"/>
    <n v="85552599.98739998"/>
    <n v="0"/>
    <m/>
  </r>
  <r>
    <s v="Краснодарский"/>
    <x v="4"/>
    <x v="21"/>
    <x v="74"/>
    <m/>
    <m/>
    <m/>
    <s v="TR"/>
    <n v="0"/>
    <n v="0"/>
    <n v="0"/>
    <n v="0"/>
    <n v="2721243855.1642342"/>
    <n v="0"/>
    <n v="1938906834.9962986"/>
    <n v="0"/>
    <m/>
  </r>
  <r>
    <s v="Краснодарский"/>
    <x v="4"/>
    <x v="21"/>
    <x v="78"/>
    <m/>
    <m/>
    <m/>
    <s v="TR"/>
    <n v="0"/>
    <n v="0"/>
    <n v="0"/>
    <n v="0"/>
    <n v="261404870.19377583"/>
    <n v="0"/>
    <n v="105970379.57999998"/>
    <n v="6441328980.5292301"/>
    <m/>
  </r>
  <r>
    <s v="Курская"/>
    <x v="4"/>
    <x v="22"/>
    <x v="76"/>
    <m/>
    <m/>
    <m/>
    <s v="TR"/>
    <n v="0"/>
    <n v="0"/>
    <n v="0"/>
    <n v="0"/>
    <n v="407168168.51999384"/>
    <n v="0"/>
    <n v="242263446.25079992"/>
    <n v="0"/>
    <m/>
  </r>
  <r>
    <s v="Липецкая"/>
    <x v="4"/>
    <x v="22"/>
    <x v="76"/>
    <m/>
    <m/>
    <m/>
    <s v="TR"/>
    <n v="0"/>
    <n v="0"/>
    <n v="0"/>
    <n v="0"/>
    <n v="482326588.95998514"/>
    <n v="0"/>
    <n v="362534982.53960001"/>
    <n v="0"/>
    <m/>
  </r>
  <r>
    <s v="Орловская"/>
    <x v="4"/>
    <x v="22"/>
    <x v="76"/>
    <m/>
    <m/>
    <m/>
    <s v="TR"/>
    <n v="0"/>
    <n v="0"/>
    <n v="0"/>
    <n v="0"/>
    <n v="274661986.03999752"/>
    <n v="0"/>
    <n v="181023400.17449993"/>
    <n v="0"/>
    <m/>
  </r>
  <r>
    <s v="Пензенская"/>
    <x v="4"/>
    <x v="22"/>
    <x v="79"/>
    <m/>
    <m/>
    <m/>
    <s v="TR"/>
    <n v="0"/>
    <n v="0"/>
    <n v="0"/>
    <n v="0"/>
    <n v="777585366.91837251"/>
    <n v="0"/>
    <n v="381960960.90099984"/>
    <n v="333354165.76000047"/>
    <m/>
  </r>
  <r>
    <s v="Ростовская"/>
    <x v="4"/>
    <x v="21"/>
    <x v="78"/>
    <m/>
    <m/>
    <m/>
    <s v="TR"/>
    <n v="0"/>
    <n v="0"/>
    <n v="0"/>
    <n v="0"/>
    <n v="4631433153.9692402"/>
    <n v="0"/>
    <n v="2969791621.8204007"/>
    <n v="0"/>
    <m/>
  </r>
  <r>
    <s v="Саратовская"/>
    <x v="4"/>
    <x v="22"/>
    <x v="79"/>
    <m/>
    <m/>
    <m/>
    <s v="TR"/>
    <n v="0"/>
    <n v="0"/>
    <n v="0"/>
    <n v="0"/>
    <n v="1690562926.0115399"/>
    <n v="0"/>
    <n v="1050024310.0880005"/>
    <n v="0"/>
    <m/>
  </r>
  <r>
    <s v="Северная Осетия - Алания"/>
    <x v="4"/>
    <x v="21"/>
    <x v="77"/>
    <m/>
    <m/>
    <m/>
    <s v="TR"/>
    <n v="0"/>
    <n v="0"/>
    <n v="0"/>
    <n v="0"/>
    <n v="300363427.39183956"/>
    <n v="0"/>
    <n v="195799301.25860009"/>
    <n v="0"/>
    <m/>
  </r>
  <r>
    <s v="Ставропольский"/>
    <x v="4"/>
    <x v="21"/>
    <x v="77"/>
    <m/>
    <m/>
    <m/>
    <s v="TR"/>
    <n v="0"/>
    <n v="0"/>
    <n v="0"/>
    <n v="0"/>
    <n v="1748815591.954936"/>
    <n v="0"/>
    <n v="1113203080.3724992"/>
    <n v="0"/>
    <m/>
  </r>
  <r>
    <s v="Тамбовская"/>
    <x v="4"/>
    <x v="22"/>
    <x v="76"/>
    <m/>
    <m/>
    <m/>
    <s v="TR"/>
    <n v="0"/>
    <n v="0"/>
    <n v="0"/>
    <n v="0"/>
    <n v="320497709.13999486"/>
    <n v="0"/>
    <n v="193982358.73899996"/>
    <n v="0"/>
    <m/>
  </r>
  <r>
    <s v="Белгородская"/>
    <x v="4"/>
    <x v="22"/>
    <x v="80"/>
    <m/>
    <m/>
    <m/>
    <s v="TR"/>
    <n v="0"/>
    <n v="0"/>
    <n v="0"/>
    <n v="0"/>
    <n v="686433526.75362909"/>
    <n v="0"/>
    <n v="383589624.24380004"/>
    <n v="1264255297.0799983"/>
    <m/>
  </r>
  <r>
    <s v="Брянская"/>
    <x v="4"/>
    <x v="22"/>
    <x v="80"/>
    <m/>
    <m/>
    <m/>
    <s v="TR"/>
    <n v="0"/>
    <n v="0"/>
    <n v="0"/>
    <n v="0"/>
    <n v="588019498.70052648"/>
    <n v="0"/>
    <n v="319467848.86250019"/>
    <n v="0"/>
    <m/>
  </r>
  <r>
    <s v="Воронежская"/>
    <x v="4"/>
    <x v="22"/>
    <x v="80"/>
    <m/>
    <m/>
    <m/>
    <s v="TR"/>
    <n v="0"/>
    <n v="0"/>
    <n v="0"/>
    <n v="0"/>
    <n v="949621290.1921854"/>
    <n v="0"/>
    <n v="577722381.09299958"/>
    <n v="0"/>
    <m/>
  </r>
  <r>
    <s v="Краснодарский"/>
    <x v="4"/>
    <x v="22"/>
    <x v="75"/>
    <m/>
    <m/>
    <m/>
    <s v="TR"/>
    <n v="0"/>
    <n v="0"/>
    <n v="0"/>
    <n v="0"/>
    <n v="1494673.280976"/>
    <n v="0"/>
    <n v="0"/>
    <n v="0"/>
    <m/>
  </r>
  <r>
    <s v="Курская"/>
    <x v="4"/>
    <x v="22"/>
    <x v="80"/>
    <m/>
    <m/>
    <m/>
    <s v="TR"/>
    <n v="0"/>
    <n v="0"/>
    <n v="0"/>
    <n v="0"/>
    <n v="439515234.61708415"/>
    <n v="0"/>
    <n v="244595402.85570005"/>
    <n v="0"/>
    <m/>
  </r>
  <r>
    <s v="Липецкая"/>
    <x v="4"/>
    <x v="22"/>
    <x v="80"/>
    <m/>
    <m/>
    <m/>
    <s v="TR"/>
    <n v="0"/>
    <n v="0"/>
    <n v="0"/>
    <n v="0"/>
    <n v="384967335.97932667"/>
    <n v="0"/>
    <n v="238600337.93050003"/>
    <n v="0"/>
    <m/>
  </r>
  <r>
    <s v="Орловская"/>
    <x v="4"/>
    <x v="22"/>
    <x v="80"/>
    <m/>
    <m/>
    <m/>
    <s v="TR"/>
    <n v="0"/>
    <n v="0"/>
    <n v="0"/>
    <n v="0"/>
    <n v="332584151.66513157"/>
    <n v="0"/>
    <n v="175410934.04640001"/>
    <n v="0"/>
    <m/>
  </r>
  <r>
    <s v="Саратовская"/>
    <x v="4"/>
    <x v="22"/>
    <x v="75"/>
    <m/>
    <m/>
    <m/>
    <s v="TR"/>
    <n v="0"/>
    <n v="0"/>
    <n v="0"/>
    <n v="0"/>
    <n v="347336.67000000004"/>
    <n v="0"/>
    <n v="3357900"/>
    <n v="0"/>
    <m/>
  </r>
  <r>
    <s v="Тамбовская"/>
    <x v="4"/>
    <x v="22"/>
    <x v="79"/>
    <m/>
    <m/>
    <m/>
    <s v="TR"/>
    <n v="0"/>
    <n v="0"/>
    <n v="0"/>
    <n v="0"/>
    <n v="382313707.37538594"/>
    <n v="0"/>
    <n v="191982465.48129994"/>
    <n v="0"/>
    <m/>
  </r>
  <r>
    <s v="Адыгея"/>
    <x v="4"/>
    <x v="18"/>
    <x v="71"/>
    <s v="Фуд-Трейд"/>
    <m/>
    <m/>
    <m/>
    <n v="0"/>
    <n v="2328586.79"/>
    <n v="13130.27"/>
    <n v="806469.12999999989"/>
    <n v="0"/>
    <n v="90879464.679999992"/>
    <n v="0"/>
    <n v="0"/>
    <m/>
  </r>
  <r>
    <s v="Белгородская"/>
    <x v="4"/>
    <x v="19"/>
    <x v="67"/>
    <s v="Фуд-Трейд"/>
    <m/>
    <m/>
    <m/>
    <n v="0"/>
    <n v="13742490.699999999"/>
    <n v="3022022.7600000002"/>
    <n v="400453.30999999994"/>
    <n v="0"/>
    <n v="42349125.859999992"/>
    <n v="0"/>
    <n v="0"/>
    <m/>
  </r>
  <r>
    <s v="Белгородская"/>
    <x v="4"/>
    <x v="19"/>
    <x v="68"/>
    <s v="Фуд-Трейд"/>
    <m/>
    <m/>
    <m/>
    <n v="0"/>
    <n v="0"/>
    <n v="0"/>
    <n v="1361356.9399999995"/>
    <n v="0"/>
    <n v="0"/>
    <n v="0"/>
    <n v="0"/>
    <m/>
  </r>
  <r>
    <s v="Брянская"/>
    <x v="4"/>
    <x v="19"/>
    <x v="67"/>
    <s v="Фуд-Трейд"/>
    <m/>
    <m/>
    <m/>
    <n v="0"/>
    <n v="8182930.8999999994"/>
    <n v="0"/>
    <n v="0"/>
    <n v="0"/>
    <n v="12460186.710000001"/>
    <n v="0"/>
    <n v="0"/>
    <m/>
  </r>
  <r>
    <s v="Воронежская"/>
    <x v="4"/>
    <x v="19"/>
    <x v="67"/>
    <s v="Фуд-Трейд"/>
    <n v="1"/>
    <m/>
    <m/>
    <n v="0"/>
    <n v="526862.52"/>
    <n v="0"/>
    <n v="1241115.1800000004"/>
    <n v="0"/>
    <n v="130075043.87999995"/>
    <n v="0"/>
    <n v="0"/>
    <m/>
  </r>
  <r>
    <s v="Воронежская"/>
    <x v="4"/>
    <x v="19"/>
    <x v="68"/>
    <s v="Фуд-Трейд"/>
    <m/>
    <m/>
    <m/>
    <n v="0"/>
    <n v="8536955.5500000007"/>
    <n v="5757796.0499999989"/>
    <n v="78761623.449999958"/>
    <n v="0"/>
    <n v="0"/>
    <n v="0"/>
    <n v="0"/>
    <m/>
  </r>
  <r>
    <s v="Дагестан"/>
    <x v="4"/>
    <x v="18"/>
    <x v="66"/>
    <s v="Фуд-Трейд"/>
    <m/>
    <m/>
    <m/>
    <n v="0"/>
    <n v="0"/>
    <n v="0"/>
    <n v="492352.85000000003"/>
    <n v="0"/>
    <n v="0"/>
    <n v="104971901.41360001"/>
    <n v="0"/>
    <m/>
  </r>
  <r>
    <s v="Донецкая Народная"/>
    <x v="4"/>
    <x v="18"/>
    <x v="71"/>
    <s v="Фуд-Трейд"/>
    <m/>
    <m/>
    <m/>
    <n v="0"/>
    <n v="0"/>
    <n v="0"/>
    <n v="2874266.73"/>
    <n v="0"/>
    <n v="8317598.1300000008"/>
    <n v="0"/>
    <n v="0"/>
    <m/>
  </r>
  <r>
    <s v="Калужская"/>
    <x v="4"/>
    <x v="19"/>
    <x v="67"/>
    <s v="Фуд-Трейд"/>
    <m/>
    <m/>
    <m/>
    <n v="0"/>
    <n v="0"/>
    <n v="0"/>
    <n v="0"/>
    <n v="0"/>
    <n v="19951807.690000005"/>
    <n v="0"/>
    <n v="0"/>
    <m/>
  </r>
  <r>
    <s v="Краснодарский"/>
    <x v="4"/>
    <x v="18"/>
    <x v="69"/>
    <s v="Фуд-Трейд"/>
    <n v="1"/>
    <m/>
    <m/>
    <n v="0"/>
    <n v="0"/>
    <n v="0"/>
    <n v="10295643.300000003"/>
    <n v="0"/>
    <n v="0"/>
    <n v="0"/>
    <n v="0"/>
    <m/>
  </r>
  <r>
    <s v="Краснодарский"/>
    <x v="4"/>
    <x v="18"/>
    <x v="71"/>
    <s v="Фуд-Трейд"/>
    <m/>
    <m/>
    <m/>
    <n v="0"/>
    <n v="4270575.3600000003"/>
    <n v="111221156.59"/>
    <n v="637981612.9000001"/>
    <n v="0"/>
    <n v="541872107.94999981"/>
    <n v="0"/>
    <n v="0"/>
    <m/>
  </r>
  <r>
    <s v="Краснодарский"/>
    <x v="4"/>
    <x v="20"/>
    <x v="72"/>
    <s v="Фуд-Трейд"/>
    <m/>
    <m/>
    <m/>
    <n v="0"/>
    <n v="8978605.0899999999"/>
    <n v="0"/>
    <n v="1849561.63"/>
    <n v="0"/>
    <n v="8931712.879999999"/>
    <n v="0"/>
    <n v="0"/>
    <m/>
  </r>
  <r>
    <s v="Краснодарский"/>
    <x v="4"/>
    <x v="20"/>
    <x v="73"/>
    <s v="Фуд-Трейд"/>
    <m/>
    <m/>
    <m/>
    <n v="0"/>
    <n v="3701884.3000000007"/>
    <n v="1630364.4800000007"/>
    <n v="1121129.4099999999"/>
    <n v="0"/>
    <n v="614114.75"/>
    <n v="0"/>
    <n v="0"/>
    <m/>
  </r>
  <r>
    <s v="Краснодарский"/>
    <x v="4"/>
    <x v="18"/>
    <x v="66"/>
    <s v="Фуд-Трейд"/>
    <m/>
    <m/>
    <s v="TR"/>
    <n v="0"/>
    <n v="16025621.889999999"/>
    <n v="9900680.1600000001"/>
    <n v="163356771.46999994"/>
    <n v="1467439433.5898113"/>
    <n v="10774057.129999999"/>
    <n v="663558106.29289997"/>
    <n v="0"/>
    <m/>
  </r>
  <r>
    <s v="Крым"/>
    <x v="4"/>
    <x v="18"/>
    <x v="69"/>
    <s v="Фуд-Трейд"/>
    <m/>
    <m/>
    <m/>
    <n v="0"/>
    <n v="0"/>
    <n v="0"/>
    <n v="0"/>
    <n v="0"/>
    <n v="4912918.0000000009"/>
    <n v="162486690.05530003"/>
    <n v="0"/>
    <m/>
  </r>
  <r>
    <s v="Крым"/>
    <x v="4"/>
    <x v="18"/>
    <x v="71"/>
    <s v="Фуд-Трейд"/>
    <m/>
    <m/>
    <m/>
    <n v="0"/>
    <n v="0"/>
    <n v="0"/>
    <n v="173787.44"/>
    <n v="0"/>
    <n v="165112851.97999996"/>
    <n v="0"/>
    <n v="0"/>
    <m/>
  </r>
  <r>
    <s v="Курская"/>
    <x v="4"/>
    <x v="19"/>
    <x v="67"/>
    <s v="Фуд-Трейд"/>
    <m/>
    <m/>
    <m/>
    <n v="0"/>
    <n v="0"/>
    <n v="313148.25"/>
    <n v="0"/>
    <n v="0"/>
    <n v="60282489.349999987"/>
    <n v="0"/>
    <n v="0"/>
    <m/>
  </r>
  <r>
    <s v="Курская"/>
    <x v="4"/>
    <x v="19"/>
    <x v="68"/>
    <s v="Фуд-Трейд"/>
    <m/>
    <m/>
    <m/>
    <n v="0"/>
    <n v="0"/>
    <n v="0"/>
    <n v="21807.65"/>
    <n v="0"/>
    <n v="0"/>
    <n v="0"/>
    <n v="0"/>
    <m/>
  </r>
  <r>
    <s v="Липецкая"/>
    <x v="4"/>
    <x v="19"/>
    <x v="67"/>
    <s v="Фуд-Трейд"/>
    <m/>
    <m/>
    <m/>
    <n v="0"/>
    <n v="4388912.41"/>
    <n v="1236435.1200000001"/>
    <n v="2294897.2300000004"/>
    <n v="0"/>
    <n v="103135696.96999998"/>
    <n v="0"/>
    <n v="0"/>
    <m/>
  </r>
  <r>
    <s v="Липецкая"/>
    <x v="4"/>
    <x v="19"/>
    <x v="68"/>
    <s v="Фуд-Трейд"/>
    <m/>
    <m/>
    <m/>
    <n v="0"/>
    <n v="0"/>
    <n v="0"/>
    <n v="13155875.800000003"/>
    <n v="0"/>
    <n v="0"/>
    <n v="0"/>
    <n v="0"/>
    <m/>
  </r>
  <r>
    <s v="Луганская Народная"/>
    <x v="4"/>
    <x v="18"/>
    <x v="71"/>
    <s v="Фуд-Трейд"/>
    <m/>
    <m/>
    <m/>
    <n v="0"/>
    <n v="0"/>
    <n v="0"/>
    <n v="16108388.52"/>
    <n v="0"/>
    <n v="0"/>
    <n v="0"/>
    <n v="0"/>
    <m/>
  </r>
  <r>
    <s v="Москва"/>
    <x v="4"/>
    <x v="19"/>
    <x v="67"/>
    <s v="Фуд-Трейд"/>
    <m/>
    <m/>
    <m/>
    <n v="0"/>
    <n v="0"/>
    <n v="0"/>
    <n v="0"/>
    <n v="0"/>
    <n v="5977787.8299999991"/>
    <n v="0"/>
    <n v="0"/>
    <m/>
  </r>
  <r>
    <s v="Орловская"/>
    <x v="4"/>
    <x v="19"/>
    <x v="67"/>
    <s v="Фуд-Трейд"/>
    <m/>
    <m/>
    <m/>
    <n v="0"/>
    <n v="66978.099999999991"/>
    <n v="0"/>
    <n v="0"/>
    <n v="0"/>
    <n v="36875949.079999991"/>
    <n v="0"/>
    <n v="0"/>
    <m/>
  </r>
  <r>
    <s v="Орловская"/>
    <x v="4"/>
    <x v="19"/>
    <x v="68"/>
    <s v="Фуд-Трейд"/>
    <m/>
    <m/>
    <m/>
    <n v="0"/>
    <n v="0"/>
    <n v="0"/>
    <n v="965432.04999999993"/>
    <n v="0"/>
    <n v="0"/>
    <n v="0"/>
    <n v="0"/>
    <m/>
  </r>
  <r>
    <s v="Ростовская"/>
    <x v="4"/>
    <x v="18"/>
    <x v="71"/>
    <s v="Фуд-Трейд"/>
    <m/>
    <m/>
    <m/>
    <n v="0"/>
    <n v="0"/>
    <n v="0"/>
    <n v="0"/>
    <n v="0"/>
    <n v="154349675.96999997"/>
    <n v="0"/>
    <n v="0"/>
    <m/>
  </r>
  <r>
    <s v="Ростовская"/>
    <x v="4"/>
    <x v="19"/>
    <x v="81"/>
    <s v="Фуд-Трейд"/>
    <m/>
    <m/>
    <m/>
    <n v="0"/>
    <n v="0"/>
    <n v="0"/>
    <n v="0"/>
    <n v="0"/>
    <n v="97457606.640000045"/>
    <n v="0"/>
    <n v="0"/>
    <m/>
  </r>
  <r>
    <s v="Ростовская"/>
    <x v="4"/>
    <x v="20"/>
    <x v="72"/>
    <s v="Фуд-Трейд"/>
    <m/>
    <m/>
    <m/>
    <n v="0"/>
    <n v="647650.96"/>
    <n v="0"/>
    <n v="2343202.3099999996"/>
    <n v="0"/>
    <n v="96576744.649999991"/>
    <n v="0"/>
    <n v="0"/>
    <m/>
  </r>
  <r>
    <s v="Рязанская"/>
    <x v="0"/>
    <x v="0"/>
    <x v="0"/>
    <s v="Фуд-Трейд"/>
    <m/>
    <m/>
    <m/>
    <n v="0"/>
    <n v="0"/>
    <n v="0"/>
    <n v="0"/>
    <n v="0"/>
    <n v="66260277.179999992"/>
    <n v="0"/>
    <n v="0"/>
    <m/>
  </r>
  <r>
    <s v="Севастополь"/>
    <x v="4"/>
    <x v="18"/>
    <x v="69"/>
    <s v="Фуд-Трейд"/>
    <m/>
    <m/>
    <m/>
    <n v="0"/>
    <n v="0"/>
    <n v="0"/>
    <n v="0"/>
    <n v="0"/>
    <n v="614114.75000000012"/>
    <n v="0"/>
    <n v="0"/>
    <m/>
  </r>
  <r>
    <s v="Тамбовская"/>
    <x v="4"/>
    <x v="19"/>
    <x v="67"/>
    <s v="Фуд-Трейд"/>
    <m/>
    <m/>
    <m/>
    <n v="0"/>
    <n v="3728265.5199999996"/>
    <n v="690778.12"/>
    <n v="14242540.309999997"/>
    <n v="0"/>
    <n v="42349125.859999992"/>
    <n v="0"/>
    <n v="0"/>
    <m/>
  </r>
  <r>
    <s v="Тамбовская"/>
    <x v="4"/>
    <x v="19"/>
    <x v="68"/>
    <s v="Фуд-Трейд"/>
    <m/>
    <m/>
    <m/>
    <n v="0"/>
    <n v="0"/>
    <n v="0"/>
    <n v="20217879.569999993"/>
    <n v="0"/>
    <n v="0"/>
    <n v="0"/>
    <n v="0"/>
    <m/>
  </r>
  <r>
    <s v="Тамбовская"/>
    <x v="4"/>
    <x v="19"/>
    <x v="81"/>
    <s v="Фуд-Трейд"/>
    <m/>
    <m/>
    <m/>
    <n v="0"/>
    <n v="0"/>
    <n v="915017.40000000014"/>
    <n v="0"/>
    <n v="0"/>
    <n v="0"/>
    <n v="0"/>
    <n v="0"/>
    <m/>
  </r>
  <r>
    <s v="Тульская"/>
    <x v="0"/>
    <x v="0"/>
    <x v="5"/>
    <s v="Фуд-Трейд"/>
    <m/>
    <m/>
    <m/>
    <n v="0"/>
    <n v="0"/>
    <n v="0"/>
    <n v="0"/>
    <n v="0"/>
    <n v="84690420.809999987"/>
    <n v="0"/>
    <n v="0"/>
    <m/>
  </r>
  <r>
    <s v="Чеченская"/>
    <x v="4"/>
    <x v="18"/>
    <x v="66"/>
    <s v="Фуд-Трейд"/>
    <m/>
    <m/>
    <m/>
    <n v="0"/>
    <n v="0"/>
    <n v="0"/>
    <n v="7100323.7600000007"/>
    <n v="0"/>
    <n v="0"/>
    <n v="0"/>
    <n v="0"/>
    <m/>
  </r>
  <r>
    <s v="Саратовская"/>
    <x v="4"/>
    <x v="19"/>
    <x v="81"/>
    <s v="Фуд-Трейд"/>
    <n v="1"/>
    <m/>
    <m/>
    <n v="0"/>
    <n v="5206415.1100000003"/>
    <n v="19855977.530000001"/>
    <n v="55258671.310000002"/>
    <n v="0"/>
    <n v="88824023.780000031"/>
    <n v="0"/>
    <n v="0"/>
    <m/>
  </r>
  <r>
    <s v="Московская"/>
    <x v="4"/>
    <x v="19"/>
    <x v="67"/>
    <s v="Фуд-Трейд"/>
    <m/>
    <m/>
    <m/>
    <n v="0"/>
    <n v="0"/>
    <n v="0"/>
    <n v="0"/>
    <n v="0"/>
    <n v="181352079.10000005"/>
    <n v="0"/>
    <n v="0"/>
    <m/>
  </r>
  <r>
    <s v="Пензенская"/>
    <x v="4"/>
    <x v="18"/>
    <x v="71"/>
    <s v="Фуд-Трейд"/>
    <n v="1"/>
    <m/>
    <m/>
    <n v="0"/>
    <n v="0"/>
    <n v="0"/>
    <n v="11634677.039999999"/>
    <n v="0"/>
    <n v="0"/>
    <n v="0"/>
    <n v="0"/>
    <m/>
  </r>
  <r>
    <s v="Пензенская"/>
    <x v="4"/>
    <x v="19"/>
    <x v="81"/>
    <s v="Фуд-Трейд"/>
    <m/>
    <m/>
    <m/>
    <n v="0"/>
    <n v="1620898.13"/>
    <n v="124765002.74000025"/>
    <n v="230945526.10000005"/>
    <n v="0"/>
    <n v="1009222.0999999999"/>
    <n v="1117306.8829000001"/>
    <n v="0"/>
    <m/>
  </r>
  <r>
    <s v="Ульяновская"/>
    <x v="4"/>
    <x v="19"/>
    <x v="81"/>
    <s v="Фуд-Трейд"/>
    <m/>
    <m/>
    <m/>
    <n v="0"/>
    <n v="0"/>
    <n v="11906702.150000004"/>
    <n v="0"/>
    <n v="0"/>
    <n v="0"/>
    <n v="0"/>
    <n v="0"/>
    <m/>
  </r>
  <r>
    <s v="Мордовия"/>
    <x v="4"/>
    <x v="19"/>
    <x v="81"/>
    <s v="Фуд-Трейд"/>
    <m/>
    <m/>
    <m/>
    <n v="0"/>
    <n v="0"/>
    <n v="6405121.8000000017"/>
    <n v="0"/>
    <n v="0"/>
    <n v="0"/>
    <n v="0"/>
    <n v="0"/>
    <m/>
  </r>
  <r>
    <s v="Самарская"/>
    <x v="4"/>
    <x v="19"/>
    <x v="81"/>
    <s v="Фуд-Трейд"/>
    <m/>
    <m/>
    <m/>
    <n v="0"/>
    <n v="0"/>
    <n v="12810243.600000003"/>
    <n v="0"/>
    <n v="0"/>
    <n v="0"/>
    <n v="0"/>
    <n v="0"/>
    <m/>
  </r>
  <r>
    <s v="Кабардино-Балкарская"/>
    <x v="4"/>
    <x v="20"/>
    <x v="82"/>
    <s v="Фуд-Трейд"/>
    <m/>
    <m/>
    <m/>
    <n v="0"/>
    <n v="0"/>
    <n v="0"/>
    <n v="24907468.829999991"/>
    <n v="0"/>
    <n v="0"/>
    <n v="0"/>
    <n v="0"/>
    <m/>
  </r>
  <r>
    <s v="Северная Осетия - Алания"/>
    <x v="4"/>
    <x v="20"/>
    <x v="82"/>
    <s v="Фуд-Трейд"/>
    <m/>
    <m/>
    <m/>
    <n v="0"/>
    <n v="0"/>
    <n v="0"/>
    <n v="30155136.449999988"/>
    <n v="0"/>
    <n v="0"/>
    <n v="0"/>
    <n v="0"/>
    <m/>
  </r>
  <r>
    <s v="Ставропольский"/>
    <x v="4"/>
    <x v="18"/>
    <x v="71"/>
    <s v="Фуд-Трейд"/>
    <n v="1"/>
    <m/>
    <m/>
    <n v="0"/>
    <n v="0"/>
    <n v="0"/>
    <n v="0"/>
    <n v="0"/>
    <n v="89037120.429999992"/>
    <n v="0"/>
    <n v="0"/>
    <m/>
  </r>
  <r>
    <s v="Ставропольский"/>
    <x v="4"/>
    <x v="20"/>
    <x v="82"/>
    <s v="Фуд-Трейд"/>
    <m/>
    <m/>
    <m/>
    <n v="0"/>
    <n v="10314526.239999991"/>
    <n v="24605835.830000002"/>
    <n v="109960896.36000003"/>
    <n v="0"/>
    <n v="3684688.5000000005"/>
    <n v="0"/>
    <n v="0"/>
    <m/>
  </r>
  <r>
    <s v="Карачаево-Черкесская"/>
    <x v="4"/>
    <x v="20"/>
    <x v="82"/>
    <s v="Фуд-Трейд"/>
    <m/>
    <m/>
    <m/>
    <n v="0"/>
    <n v="0"/>
    <n v="0"/>
    <n v="14702241.270000007"/>
    <n v="0"/>
    <n v="0"/>
    <n v="0"/>
    <n v="0"/>
    <m/>
  </r>
  <r>
    <s v="Калмыкия"/>
    <x v="4"/>
    <x v="19"/>
    <x v="81"/>
    <s v="Фуд-Трейд"/>
    <m/>
    <m/>
    <m/>
    <n v="0"/>
    <n v="0"/>
    <n v="237522.24999999997"/>
    <n v="2479073.3599999994"/>
    <n v="0"/>
    <n v="0"/>
    <n v="0"/>
    <n v="0"/>
    <m/>
  </r>
  <r>
    <s v="Владимирская"/>
    <x v="0"/>
    <x v="0"/>
    <x v="0"/>
    <s v="Фуд-Трейд"/>
    <m/>
    <m/>
    <m/>
    <n v="0"/>
    <n v="0"/>
    <n v="0"/>
    <n v="0"/>
    <n v="0"/>
    <n v="1513833.15"/>
    <n v="0"/>
    <n v="0"/>
    <m/>
  </r>
  <r>
    <s v="Волгоградская"/>
    <x v="4"/>
    <x v="19"/>
    <x v="81"/>
    <s v="Фуд-Трейд"/>
    <n v="1"/>
    <m/>
    <m/>
    <n v="0"/>
    <n v="3727231.7300000004"/>
    <n v="10856478.960000003"/>
    <n v="50522859.790000044"/>
    <n v="0"/>
    <n v="242485214.68999997"/>
    <n v="0"/>
    <n v="0"/>
    <m/>
  </r>
  <r>
    <s v="Астраханская"/>
    <x v="4"/>
    <x v="19"/>
    <x v="81"/>
    <s v="Фуд-Трейд"/>
    <m/>
    <m/>
    <m/>
    <n v="0"/>
    <n v="1669261.73"/>
    <n v="1934370.9699999997"/>
    <n v="41914160.969999999"/>
    <n v="0"/>
    <n v="10828622.960000001"/>
    <n v="2678030.1171000004"/>
    <n v="0"/>
    <m/>
  </r>
  <r>
    <s v="Херсонская"/>
    <x v="4"/>
    <x v="18"/>
    <x v="71"/>
    <s v="Фуд-Трейд"/>
    <m/>
    <m/>
    <m/>
    <n v="0"/>
    <n v="0"/>
    <n v="0"/>
    <n v="899894.52"/>
    <n v="0"/>
    <n v="7703483.3799999999"/>
    <n v="0"/>
    <n v="0"/>
    <m/>
  </r>
  <r>
    <s v="Запорожская"/>
    <x v="4"/>
    <x v="18"/>
    <x v="71"/>
    <s v="Фуд-Трейд"/>
    <m/>
    <m/>
    <m/>
    <n v="0"/>
    <n v="0"/>
    <n v="0"/>
    <n v="3774807.22"/>
    <n v="0"/>
    <n v="0"/>
    <n v="0"/>
    <n v="0"/>
    <m/>
  </r>
  <r>
    <s v="Рязанская"/>
    <x v="0"/>
    <x v="0"/>
    <x v="0"/>
    <s v="Фуд-Трейд"/>
    <m/>
    <m/>
    <m/>
    <n v="0"/>
    <n v="0"/>
    <n v="0"/>
    <n v="0"/>
    <n v="0"/>
    <n v="1761030.0499999998"/>
    <n v="0"/>
    <n v="0"/>
    <m/>
  </r>
  <r>
    <s v="Тульская"/>
    <x v="0"/>
    <x v="0"/>
    <x v="83"/>
    <s v="Фуд-Трейд"/>
    <m/>
    <m/>
    <m/>
    <n v="0"/>
    <n v="0"/>
    <n v="0"/>
    <n v="0"/>
    <n v="0"/>
    <n v="1871080"/>
    <n v="0"/>
    <n v="0"/>
    <m/>
  </r>
  <r>
    <s v="Калужская"/>
    <x v="0"/>
    <x v="1"/>
    <x v="1"/>
    <s v="Фуд-Трейд"/>
    <m/>
    <m/>
    <m/>
    <n v="0"/>
    <n v="0"/>
    <n v="0"/>
    <n v="0"/>
    <n v="0"/>
    <n v="1402526.35"/>
    <n v="0"/>
    <n v="0"/>
    <m/>
  </r>
  <r>
    <s v="Архангельская область"/>
    <x v="5"/>
    <x v="23"/>
    <x v="84"/>
    <s v="Роздухов М.Е. ИП"/>
    <m/>
    <m/>
    <m/>
    <n v="98053376.850000009"/>
    <n v="6208890.4699999997"/>
    <n v="0"/>
    <n v="124811072.15000001"/>
    <n v="0"/>
    <n v="0"/>
    <n v="1119300"/>
    <n v="0"/>
    <m/>
  </r>
  <r>
    <s v="Архангельская область"/>
    <x v="5"/>
    <x v="24"/>
    <x v="85"/>
    <s v="Денди ЗАО"/>
    <m/>
    <m/>
    <m/>
    <n v="0"/>
    <n v="0"/>
    <n v="323974269.37999994"/>
    <n v="163844.40999999997"/>
    <n v="0"/>
    <n v="0"/>
    <n v="0"/>
    <n v="0"/>
    <m/>
  </r>
  <r>
    <s v="Смоленская область"/>
    <x v="5"/>
    <x v="23"/>
    <x v="86"/>
    <s v="Вектор ООО"/>
    <m/>
    <m/>
    <m/>
    <n v="0"/>
    <n v="0"/>
    <n v="0"/>
    <n v="29118.399999999994"/>
    <n v="0"/>
    <n v="0"/>
    <n v="0"/>
    <n v="0"/>
    <m/>
  </r>
  <r>
    <s v="Ивановская область"/>
    <x v="5"/>
    <x v="23"/>
    <x v="86"/>
    <s v="Вектор ООО"/>
    <m/>
    <m/>
    <m/>
    <n v="0"/>
    <n v="0"/>
    <n v="0"/>
    <n v="1899221.75"/>
    <n v="0"/>
    <n v="0"/>
    <n v="0"/>
    <n v="0"/>
    <m/>
  </r>
  <r>
    <s v="Вологодская область"/>
    <x v="5"/>
    <x v="23"/>
    <x v="86"/>
    <s v="Вектор ООО"/>
    <m/>
    <m/>
    <m/>
    <n v="0"/>
    <n v="0"/>
    <n v="0"/>
    <n v="152530.80999999997"/>
    <n v="0"/>
    <n v="0"/>
    <n v="0"/>
    <n v="0"/>
    <m/>
  </r>
  <r>
    <s v="Вологодская область"/>
    <x v="5"/>
    <x v="23"/>
    <x v="84"/>
    <s v="Роздухов М.Е. ИП"/>
    <n v="1"/>
    <n v="1"/>
    <m/>
    <n v="248808684.2100001"/>
    <n v="1833537.3800000001"/>
    <n v="0"/>
    <n v="270601609.64999998"/>
    <n v="0"/>
    <n v="0"/>
    <n v="0"/>
    <n v="0"/>
    <m/>
  </r>
  <r>
    <s v="Ивановская область"/>
    <x v="5"/>
    <x v="23"/>
    <x v="87"/>
    <s v="Вектор ООО"/>
    <n v="1"/>
    <m/>
    <m/>
    <n v="0"/>
    <n v="14108514.950000038"/>
    <n v="26769822.289999992"/>
    <n v="19226500.279999997"/>
    <n v="0"/>
    <n v="0"/>
    <n v="0"/>
    <n v="0"/>
    <m/>
  </r>
  <r>
    <s v="Калининградская область"/>
    <x v="5"/>
    <x v="24"/>
    <x v="88"/>
    <s v="Кан Опт ООО"/>
    <n v="1"/>
    <m/>
    <m/>
    <n v="455626091.64999998"/>
    <n v="240569215.74000001"/>
    <n v="130862903.00999998"/>
    <n v="352208206.12"/>
    <n v="0"/>
    <n v="0"/>
    <n v="398605680.44700003"/>
    <n v="0"/>
    <m/>
  </r>
  <r>
    <s v="республика Карелия"/>
    <x v="5"/>
    <x v="24"/>
    <x v="85"/>
    <s v="Денди ЗАО"/>
    <m/>
    <m/>
    <m/>
    <n v="0"/>
    <n v="5204.96"/>
    <n v="0"/>
    <n v="0"/>
    <n v="0"/>
    <n v="0"/>
    <n v="0"/>
    <n v="0"/>
    <m/>
  </r>
  <r>
    <s v="республика Карелия"/>
    <x v="5"/>
    <x v="24"/>
    <x v="89"/>
    <s v="Денди ЗАО"/>
    <m/>
    <m/>
    <m/>
    <n v="0"/>
    <n v="3642683.0799999996"/>
    <n v="33326363.230000008"/>
    <n v="43984312.290000007"/>
    <n v="0"/>
    <n v="0"/>
    <n v="0"/>
    <n v="0"/>
    <m/>
  </r>
  <r>
    <s v="Республика Коми"/>
    <x v="5"/>
    <x v="23"/>
    <x v="84"/>
    <s v="Киселенко А.А. ИП"/>
    <n v="1"/>
    <m/>
    <m/>
    <n v="0"/>
    <n v="497928.87999999995"/>
    <n v="0"/>
    <n v="56459824.24000001"/>
    <n v="0"/>
    <n v="0"/>
    <n v="0"/>
    <n v="0"/>
    <m/>
  </r>
  <r>
    <s v="Костромская область"/>
    <x v="5"/>
    <x v="23"/>
    <x v="86"/>
    <s v="Вектор ООО"/>
    <m/>
    <m/>
    <m/>
    <n v="0"/>
    <n v="0"/>
    <n v="132750834.23999995"/>
    <n v="0"/>
    <n v="0"/>
    <n v="0"/>
    <n v="0"/>
    <n v="0"/>
    <m/>
  </r>
  <r>
    <s v="Костромская область"/>
    <x v="5"/>
    <x v="23"/>
    <x v="87"/>
    <s v="Вектор ООО"/>
    <m/>
    <m/>
    <m/>
    <n v="0"/>
    <n v="217936.43"/>
    <n v="199150953.43999991"/>
    <n v="25826029.060000006"/>
    <n v="0"/>
    <n v="0"/>
    <n v="0"/>
    <n v="0"/>
    <m/>
  </r>
  <r>
    <s v="Ленинградская область"/>
    <x v="5"/>
    <x v="24"/>
    <x v="85"/>
    <s v="Денди ЗАО"/>
    <m/>
    <m/>
    <m/>
    <n v="0"/>
    <n v="3967429.6400000006"/>
    <n v="0"/>
    <n v="16454309.859999999"/>
    <n v="0"/>
    <n v="0"/>
    <n v="0"/>
    <n v="0"/>
    <m/>
  </r>
  <r>
    <s v="Ленинградская область"/>
    <x v="5"/>
    <x v="24"/>
    <x v="89"/>
    <s v="Денди ЗАО"/>
    <m/>
    <m/>
    <m/>
    <n v="0"/>
    <n v="14267249.269999998"/>
    <n v="577223.67999999993"/>
    <n v="52068124.899999984"/>
    <n v="0"/>
    <n v="0"/>
    <n v="14550900"/>
    <n v="0"/>
    <m/>
  </r>
  <r>
    <s v="Ленинградская область"/>
    <x v="5"/>
    <x v="24"/>
    <x v="90"/>
    <s v="Денди ЗАО"/>
    <m/>
    <m/>
    <m/>
    <n v="164492870.23000002"/>
    <n v="0"/>
    <n v="0"/>
    <n v="1102.44"/>
    <n v="0"/>
    <n v="0"/>
    <n v="0"/>
    <n v="0"/>
    <m/>
  </r>
  <r>
    <s v="Тверская область"/>
    <x v="5"/>
    <x v="23"/>
    <x v="86"/>
    <s v="Вектор ООО"/>
    <m/>
    <m/>
    <m/>
    <n v="0"/>
    <n v="0"/>
    <n v="0"/>
    <n v="226.72"/>
    <n v="0"/>
    <n v="0"/>
    <n v="0"/>
    <n v="0"/>
    <m/>
  </r>
  <r>
    <s v="Тверская область"/>
    <x v="5"/>
    <x v="23"/>
    <x v="87"/>
    <s v="Вектор ООО"/>
    <m/>
    <m/>
    <m/>
    <n v="0"/>
    <n v="7225392.2900000028"/>
    <n v="0"/>
    <n v="18155.52"/>
    <n v="0"/>
    <n v="0"/>
    <n v="0"/>
    <n v="0"/>
    <m/>
  </r>
  <r>
    <s v="Тверская область"/>
    <x v="5"/>
    <x v="24"/>
    <x v="90"/>
    <s v="Денди ЗАО"/>
    <m/>
    <m/>
    <m/>
    <n v="0"/>
    <n v="0"/>
    <n v="2886118.4000000004"/>
    <n v="0"/>
    <n v="0"/>
    <n v="0"/>
    <n v="0"/>
    <n v="0"/>
    <m/>
  </r>
  <r>
    <s v="Тверская область"/>
    <x v="5"/>
    <x v="23"/>
    <x v="86"/>
    <s v="Вектор ООО"/>
    <m/>
    <m/>
    <m/>
    <n v="0"/>
    <n v="0"/>
    <n v="0"/>
    <n v="2602.48"/>
    <n v="0"/>
    <n v="0"/>
    <n v="0"/>
    <n v="0"/>
    <m/>
  </r>
  <r>
    <s v="Тверская область"/>
    <x v="5"/>
    <x v="23"/>
    <x v="87"/>
    <s v="Вектор ООО"/>
    <m/>
    <m/>
    <m/>
    <n v="0"/>
    <n v="0"/>
    <n v="2602.48"/>
    <n v="21753.73"/>
    <n v="0"/>
    <n v="0"/>
    <n v="0"/>
    <n v="0"/>
    <m/>
  </r>
  <r>
    <s v="псковская область"/>
    <x v="5"/>
    <x v="24"/>
    <x v="85"/>
    <s v="Денди ЗАО"/>
    <m/>
    <m/>
    <m/>
    <n v="0"/>
    <n v="0"/>
    <n v="577223.67999999993"/>
    <n v="0"/>
    <n v="0"/>
    <n v="0"/>
    <n v="0"/>
    <n v="0"/>
    <m/>
  </r>
  <r>
    <s v="псковская область"/>
    <x v="5"/>
    <x v="24"/>
    <x v="90"/>
    <s v="Денди ЗАО"/>
    <m/>
    <m/>
    <m/>
    <n v="0"/>
    <n v="0"/>
    <n v="5772236.169999999"/>
    <n v="0"/>
    <n v="0"/>
    <n v="0"/>
    <n v="0"/>
    <n v="0"/>
    <m/>
  </r>
  <r>
    <s v="Мурманская область"/>
    <x v="5"/>
    <x v="24"/>
    <x v="85"/>
    <s v="Денди ЗАО"/>
    <m/>
    <m/>
    <m/>
    <n v="0"/>
    <n v="2148542.7700000005"/>
    <n v="0"/>
    <n v="20448323.419999998"/>
    <n v="0"/>
    <n v="0"/>
    <n v="1119300"/>
    <n v="0"/>
    <m/>
  </r>
  <r>
    <s v="Ненецкий"/>
    <x v="5"/>
    <x v="23"/>
    <x v="84"/>
    <s v="Роздухов М.Е. ИП"/>
    <m/>
    <m/>
    <m/>
    <n v="0"/>
    <n v="0"/>
    <n v="0"/>
    <n v="5930871.1500000004"/>
    <n v="0"/>
    <n v="0"/>
    <n v="0"/>
    <n v="0"/>
    <m/>
  </r>
  <r>
    <s v="Ненецкий"/>
    <x v="5"/>
    <x v="23"/>
    <x v="84"/>
    <s v="Киселенко А.А. ИП"/>
    <m/>
    <m/>
    <m/>
    <n v="0"/>
    <n v="0"/>
    <n v="154394419.58000001"/>
    <n v="11272.92"/>
    <n v="0"/>
    <n v="0"/>
    <n v="0"/>
    <n v="0"/>
    <m/>
  </r>
  <r>
    <s v="Новгородская область"/>
    <x v="5"/>
    <x v="24"/>
    <x v="85"/>
    <s v="Денди ЗАО"/>
    <m/>
    <m/>
    <m/>
    <n v="0"/>
    <n v="58695919.390000023"/>
    <n v="3463342.0800000001"/>
    <n v="50107053.129999988"/>
    <n v="0"/>
    <n v="0"/>
    <n v="0"/>
    <n v="0"/>
    <m/>
  </r>
  <r>
    <s v="псковская область"/>
    <x v="5"/>
    <x v="23"/>
    <x v="86"/>
    <s v="Вектор ООО"/>
    <m/>
    <m/>
    <m/>
    <n v="0"/>
    <n v="0"/>
    <n v="1706.04"/>
    <n v="0"/>
    <n v="0"/>
    <n v="0"/>
    <n v="0"/>
    <n v="0"/>
    <m/>
  </r>
  <r>
    <s v="псковская область"/>
    <x v="5"/>
    <x v="24"/>
    <x v="90"/>
    <s v="Денди ЗАО"/>
    <m/>
    <m/>
    <m/>
    <n v="0"/>
    <n v="0"/>
    <n v="0"/>
    <n v="0"/>
    <n v="0"/>
    <n v="0"/>
    <n v="0"/>
    <n v="0"/>
    <m/>
  </r>
  <r>
    <s v="Санкт-Петербург"/>
    <x v="5"/>
    <x v="24"/>
    <x v="85"/>
    <s v="Денди ЗАО"/>
    <n v="1"/>
    <m/>
    <m/>
    <n v="0"/>
    <n v="32393444.969999995"/>
    <n v="933137.57000000007"/>
    <n v="38392610.00999999"/>
    <n v="0"/>
    <n v="0"/>
    <n v="66047800"/>
    <n v="0"/>
    <m/>
  </r>
  <r>
    <s v="Санкт-Петербург"/>
    <x v="5"/>
    <x v="24"/>
    <x v="89"/>
    <s v="Денди ЗАО"/>
    <n v="1"/>
    <m/>
    <m/>
    <n v="0"/>
    <n v="296693840.26999998"/>
    <n v="52911435.689999998"/>
    <n v="58847600.110000007"/>
    <n v="0"/>
    <n v="0"/>
    <n v="11475100"/>
    <n v="0"/>
    <m/>
  </r>
  <r>
    <s v="Санкт-Петербург"/>
    <x v="5"/>
    <x v="24"/>
    <x v="90"/>
    <s v="Денди ЗАО"/>
    <n v="1"/>
    <n v="1"/>
    <m/>
    <n v="386058892.07000017"/>
    <n v="20589477.049999982"/>
    <n v="0"/>
    <n v="0"/>
    <n v="0"/>
    <n v="0"/>
    <n v="41486900"/>
    <n v="0"/>
    <m/>
  </r>
  <r>
    <s v="Смоленская область"/>
    <x v="5"/>
    <x v="23"/>
    <x v="86"/>
    <s v="Вектор ООО"/>
    <m/>
    <m/>
    <m/>
    <n v="0"/>
    <n v="0"/>
    <n v="291668161.47000003"/>
    <n v="2953223.4999999995"/>
    <n v="0"/>
    <n v="0"/>
    <n v="0"/>
    <n v="0"/>
    <m/>
  </r>
  <r>
    <s v="Тверская область"/>
    <x v="5"/>
    <x v="23"/>
    <x v="87"/>
    <s v="Вектор ООО"/>
    <m/>
    <m/>
    <s v="TR-Project"/>
    <n v="0"/>
    <n v="372200.5"/>
    <n v="57536.499999999993"/>
    <n v="91160814.329999998"/>
    <n v="0"/>
    <n v="0"/>
    <n v="0"/>
    <n v="0"/>
    <m/>
  </r>
  <r>
    <s v="Тверская область"/>
    <x v="5"/>
    <x v="24"/>
    <x v="89"/>
    <s v="Денди ЗАО"/>
    <m/>
    <m/>
    <m/>
    <n v="0"/>
    <n v="4078128.26"/>
    <n v="17222382.179999996"/>
    <n v="231481.23"/>
    <n v="0"/>
    <n v="0"/>
    <n v="0"/>
    <n v="0"/>
    <m/>
  </r>
  <r>
    <s v="Ямало-Ненецкий"/>
    <x v="5"/>
    <x v="23"/>
    <x v="84"/>
    <s v="Киселенко А.А. ИП"/>
    <m/>
    <m/>
    <m/>
    <n v="0"/>
    <n v="0"/>
    <n v="0"/>
    <n v="350170504.11000001"/>
    <n v="0"/>
    <n v="0"/>
    <n v="0"/>
    <n v="0"/>
    <m/>
  </r>
  <r>
    <s v="Ямало-Ненецкий АО, Ямальский р-н, Новый Порт п, ул Советская 20"/>
    <x v="5"/>
    <x v="23"/>
    <x v="84"/>
    <s v="Киселенко А.А. ИП"/>
    <m/>
    <m/>
    <m/>
    <n v="0"/>
    <n v="0"/>
    <n v="0"/>
    <n v="72525.900000000009"/>
    <n v="0"/>
    <n v="0"/>
    <n v="0"/>
    <n v="0"/>
    <m/>
  </r>
  <r>
    <s v="Ярославская область"/>
    <x v="5"/>
    <x v="23"/>
    <x v="86"/>
    <s v="Вектор ООО"/>
    <m/>
    <m/>
    <m/>
    <n v="0"/>
    <n v="0"/>
    <n v="2267890.4699999997"/>
    <n v="0"/>
    <n v="0"/>
    <n v="0"/>
    <n v="0"/>
    <n v="0"/>
    <m/>
  </r>
  <r>
    <s v="Ярославская область"/>
    <x v="5"/>
    <x v="23"/>
    <x v="87"/>
    <s v="Вектор ООО"/>
    <m/>
    <m/>
    <m/>
    <n v="0"/>
    <n v="1319912.03"/>
    <n v="0"/>
    <n v="26874644.050000004"/>
    <n v="0"/>
    <n v="0"/>
    <n v="0"/>
    <n v="0"/>
    <m/>
  </r>
  <r>
    <s v="Архангельская область"/>
    <x v="5"/>
    <x v="25"/>
    <x v="91"/>
    <m/>
    <m/>
    <m/>
    <s v="TR-Project"/>
    <n v="0"/>
    <n v="0"/>
    <n v="0"/>
    <n v="0"/>
    <n v="836729573.17709005"/>
    <n v="0"/>
    <n v="473767979.99310005"/>
    <n v="797692429.12999988"/>
    <m/>
  </r>
  <r>
    <s v="Вологодская область"/>
    <x v="5"/>
    <x v="25"/>
    <x v="92"/>
    <m/>
    <m/>
    <m/>
    <s v="TR-Project"/>
    <n v="0"/>
    <n v="0"/>
    <n v="0"/>
    <n v="0"/>
    <n v="875989074.51481271"/>
    <n v="0"/>
    <n v="464654798.07890016"/>
    <n v="0"/>
    <m/>
  </r>
  <r>
    <s v="Ивановская область"/>
    <x v="5"/>
    <x v="25"/>
    <x v="91"/>
    <m/>
    <m/>
    <m/>
    <s v="TR-Project"/>
    <n v="0"/>
    <n v="0"/>
    <n v="0"/>
    <n v="0"/>
    <n v="972681258.01652825"/>
    <n v="0"/>
    <n v="0"/>
    <n v="441584308.78997934"/>
    <m/>
  </r>
  <r>
    <s v="Костромская область"/>
    <x v="5"/>
    <x v="25"/>
    <x v="93"/>
    <m/>
    <m/>
    <m/>
    <s v="TR-Project"/>
    <n v="0"/>
    <n v="0"/>
    <n v="0"/>
    <n v="0"/>
    <n v="411849664.02079684"/>
    <n v="0"/>
    <n v="201456929.39970002"/>
    <n v="0"/>
    <m/>
  </r>
  <r>
    <s v="Ленинградская область"/>
    <x v="5"/>
    <x v="26"/>
    <x v="94"/>
    <m/>
    <m/>
    <m/>
    <s v="TR-Project"/>
    <n v="0"/>
    <n v="0"/>
    <n v="0"/>
    <n v="0"/>
    <n v="888852025.48993647"/>
    <n v="0"/>
    <n v="543043386.05659974"/>
    <n v="6981487904.4999857"/>
    <m/>
  </r>
  <r>
    <s v="Ленинградская область"/>
    <x v="5"/>
    <x v="26"/>
    <x v="95"/>
    <m/>
    <m/>
    <m/>
    <s v="TR-Project"/>
    <n v="0"/>
    <n v="0"/>
    <n v="0"/>
    <n v="0"/>
    <n v="667890310.36386871"/>
    <n v="1006884.1399999999"/>
    <n v="567872517.65789998"/>
    <n v="1812890091.9499843"/>
    <m/>
  </r>
  <r>
    <s v="Мурманская область"/>
    <x v="5"/>
    <x v="25"/>
    <x v="91"/>
    <m/>
    <m/>
    <m/>
    <s v="TR-Project"/>
    <n v="0"/>
    <n v="0"/>
    <n v="0"/>
    <n v="0"/>
    <n v="689776942.79219866"/>
    <n v="0"/>
    <n v="534932683.48779994"/>
    <n v="0"/>
    <m/>
  </r>
  <r>
    <s v="Мурманская область"/>
    <x v="5"/>
    <x v="26"/>
    <x v="94"/>
    <m/>
    <m/>
    <m/>
    <s v="TR-Project"/>
    <n v="0"/>
    <n v="0"/>
    <n v="0"/>
    <n v="0"/>
    <n v="0"/>
    <n v="0"/>
    <n v="1785014.0099999998"/>
    <n v="0"/>
    <m/>
  </r>
  <r>
    <s v="Новгородская область"/>
    <x v="5"/>
    <x v="26"/>
    <x v="95"/>
    <m/>
    <m/>
    <m/>
    <s v="TR-Project"/>
    <n v="0"/>
    <n v="0"/>
    <n v="0"/>
    <n v="0"/>
    <n v="802225334.26869702"/>
    <n v="0"/>
    <n v="607576306.9467001"/>
    <n v="0"/>
    <m/>
  </r>
  <r>
    <s v="псковская область"/>
    <x v="5"/>
    <x v="26"/>
    <x v="95"/>
    <m/>
    <m/>
    <m/>
    <s v="TR-Project"/>
    <n v="0"/>
    <n v="0"/>
    <n v="0"/>
    <n v="0"/>
    <n v="797723901.73658943"/>
    <n v="0"/>
    <n v="489575548.97810006"/>
    <n v="0"/>
    <m/>
  </r>
  <r>
    <s v="республика Карелия"/>
    <x v="5"/>
    <x v="25"/>
    <x v="92"/>
    <m/>
    <m/>
    <m/>
    <s v="TR-Project"/>
    <n v="0"/>
    <n v="0"/>
    <n v="0"/>
    <n v="0"/>
    <n v="655412059.29759574"/>
    <n v="0"/>
    <n v="371177128.75099981"/>
    <n v="0"/>
    <m/>
  </r>
  <r>
    <s v="Республика Коми"/>
    <x v="5"/>
    <x v="25"/>
    <x v="92"/>
    <m/>
    <m/>
    <m/>
    <s v="TR-Project"/>
    <n v="0"/>
    <n v="0"/>
    <n v="0"/>
    <n v="0"/>
    <n v="658081627.3988291"/>
    <n v="0"/>
    <n v="340990386.10000014"/>
    <n v="0"/>
    <m/>
  </r>
  <r>
    <s v="Санкт-Петербург"/>
    <x v="5"/>
    <x v="26"/>
    <x v="94"/>
    <m/>
    <m/>
    <m/>
    <s v="TR-Project"/>
    <n v="0"/>
    <n v="0"/>
    <n v="0"/>
    <n v="0"/>
    <n v="1348240045.9498818"/>
    <n v="0"/>
    <n v="1256610687.3800988"/>
    <n v="0"/>
    <m/>
  </r>
  <r>
    <s v="Смоленская область"/>
    <x v="5"/>
    <x v="25"/>
    <x v="96"/>
    <m/>
    <m/>
    <m/>
    <s v="TR-Project"/>
    <n v="0"/>
    <n v="0"/>
    <n v="0"/>
    <n v="0"/>
    <n v="1052771590.1537045"/>
    <n v="0"/>
    <n v="638591919.81389999"/>
    <n v="0"/>
    <m/>
  </r>
  <r>
    <s v="Тверская область"/>
    <x v="5"/>
    <x v="25"/>
    <x v="96"/>
    <m/>
    <m/>
    <m/>
    <s v="TR-Project"/>
    <n v="0"/>
    <n v="0"/>
    <n v="0"/>
    <n v="0"/>
    <n v="1510694794.0663226"/>
    <n v="0"/>
    <n v="970857482.53520048"/>
    <n v="0"/>
    <m/>
  </r>
  <r>
    <s v="Ярославская область"/>
    <x v="5"/>
    <x v="25"/>
    <x v="93"/>
    <m/>
    <m/>
    <m/>
    <s v="TR-Project"/>
    <n v="0"/>
    <n v="0"/>
    <n v="0"/>
    <n v="0"/>
    <n v="1516920046.1571732"/>
    <n v="27130505.840957616"/>
    <n v="1097746765.7857997"/>
    <n v="0"/>
    <m/>
  </r>
  <r>
    <s v="Ленинградская область"/>
    <x v="5"/>
    <x v="26"/>
    <x v="97"/>
    <m/>
    <m/>
    <m/>
    <s v="TR-Project"/>
    <n v="0"/>
    <n v="0"/>
    <n v="0"/>
    <n v="0"/>
    <n v="1047083677.2343158"/>
    <n v="0"/>
    <n v="561781057.31280017"/>
    <n v="7861104101.8997154"/>
    <m/>
  </r>
  <r>
    <s v="Санкт-Петербург"/>
    <x v="5"/>
    <x v="26"/>
    <x v="97"/>
    <m/>
    <m/>
    <m/>
    <s v="TR-Project"/>
    <n v="0"/>
    <n v="0"/>
    <n v="0"/>
    <n v="0"/>
    <n v="1198289819.5309277"/>
    <n v="0"/>
    <n v="705518663.33519995"/>
    <n v="0"/>
    <m/>
  </r>
  <r>
    <s v="Тверская область"/>
    <x v="5"/>
    <x v="25"/>
    <x v="93"/>
    <m/>
    <m/>
    <m/>
    <s v="TR-Project"/>
    <n v="0"/>
    <n v="0"/>
    <n v="0"/>
    <n v="0"/>
    <n v="38543446.49000001"/>
    <n v="0"/>
    <n v="0"/>
    <n v="0"/>
    <m/>
  </r>
  <r>
    <s v="Санкт-Петербург"/>
    <x v="5"/>
    <x v="26"/>
    <x v="95"/>
    <m/>
    <m/>
    <m/>
    <s v="TR-Project"/>
    <n v="0"/>
    <n v="0"/>
    <n v="0"/>
    <n v="0"/>
    <n v="1069481198.1399873"/>
    <n v="2013768.2799999998"/>
    <n v="886176641.00030017"/>
    <n v="0"/>
    <m/>
  </r>
  <r>
    <s v="Ивановская область"/>
    <x v="5"/>
    <x v="25"/>
    <x v="96"/>
    <m/>
    <m/>
    <m/>
    <m/>
    <n v="0"/>
    <n v="0"/>
    <n v="0"/>
    <n v="0"/>
    <n v="0"/>
    <n v="0"/>
    <n v="0"/>
    <n v="0"/>
    <m/>
  </r>
  <r>
    <s v="Вологодская область"/>
    <x v="5"/>
    <x v="23"/>
    <x v="84"/>
    <m/>
    <m/>
    <m/>
    <m/>
    <n v="16316055.810000001"/>
    <n v="0"/>
    <n v="0"/>
    <n v="0"/>
    <n v="0"/>
    <n v="0"/>
    <n v="0"/>
    <n v="0"/>
    <m/>
  </r>
  <r>
    <s v="Ярославская область"/>
    <x v="5"/>
    <x v="23"/>
    <x v="84"/>
    <m/>
    <m/>
    <m/>
    <m/>
    <n v="27312790.859999999"/>
    <n v="0"/>
    <n v="0"/>
    <n v="0"/>
    <n v="0"/>
    <n v="0"/>
    <n v="0"/>
    <n v="0"/>
    <m/>
  </r>
  <r>
    <s v="Мурманская область"/>
    <x v="5"/>
    <x v="24"/>
    <x v="90"/>
    <s v="Денди ЗАО"/>
    <m/>
    <m/>
    <m/>
    <n v="0"/>
    <n v="1456400.8099999996"/>
    <n v="0"/>
    <n v="0"/>
    <n v="0"/>
    <n v="0"/>
    <n v="0"/>
    <n v="0"/>
    <m/>
  </r>
  <r>
    <s v="Ивановская область"/>
    <x v="5"/>
    <x v="25"/>
    <x v="93"/>
    <m/>
    <m/>
    <m/>
    <s v="TR-Project"/>
    <n v="0"/>
    <n v="0"/>
    <n v="0"/>
    <n v="0"/>
    <n v="0"/>
    <n v="0"/>
    <n v="668377808.25270033"/>
    <n v="0"/>
    <m/>
  </r>
  <r>
    <m/>
    <x v="6"/>
    <x v="27"/>
    <x v="98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">
  <r>
    <s v="Владимирская"/>
    <s v="HSR Moscow"/>
    <x v="0"/>
    <s v="DDM MOS Sladkaay Zhizn"/>
    <x v="0"/>
    <x v="0"/>
    <m/>
    <s v="Сладкая жизнь Плюс ООО"/>
    <n v="1"/>
    <m/>
    <m/>
    <n v="0"/>
    <n v="0"/>
    <n v="0"/>
    <n v="95205964.680000037"/>
    <n v="0"/>
    <n v="21794935.420000013"/>
    <n v="0"/>
    <n v="0"/>
    <m/>
  </r>
  <r>
    <s v="Владимирская"/>
    <s v="HSR Moscow"/>
    <x v="0"/>
    <s v="DDM MOS Sladkaay Zhizn"/>
    <x v="0"/>
    <x v="0"/>
    <m/>
    <s v="Сладкая Жизнь Плюс ООО (Москва)"/>
    <m/>
    <m/>
    <m/>
    <n v="0"/>
    <n v="0"/>
    <n v="0"/>
    <n v="50034.48"/>
    <n v="0"/>
    <n v="34922534.530000046"/>
    <n v="0"/>
    <n v="0"/>
    <m/>
  </r>
  <r>
    <s v="Владимирская"/>
    <s v="HSR Moscow"/>
    <x v="0"/>
    <s v="ASM MOS Food Trade+Sorso"/>
    <x v="0"/>
    <x v="1"/>
    <m/>
    <s v="СОРСО-СТР ООО"/>
    <m/>
    <m/>
    <m/>
    <n v="0"/>
    <n v="0"/>
    <n v="0"/>
    <n v="1201332.8999999999"/>
    <n v="0"/>
    <n v="0"/>
    <n v="0"/>
    <n v="0"/>
    <m/>
  </r>
  <r>
    <s v="Владимирская"/>
    <s v="HSR Moscow"/>
    <x v="0"/>
    <s v="DDM MOS Sladkaay Zhizn"/>
    <x v="0"/>
    <x v="0"/>
    <m/>
    <s v="Сладкая жизнь Плюс ООО"/>
    <m/>
    <m/>
    <m/>
    <n v="0"/>
    <n v="0"/>
    <n v="0"/>
    <n v="16388.569999999996"/>
    <n v="0"/>
    <n v="0"/>
    <n v="0"/>
    <n v="0"/>
    <m/>
  </r>
  <r>
    <s v="Владимирская"/>
    <s v="HSR Moscow"/>
    <x v="0"/>
    <s v="DDM MOS Sladkaay Zhizn"/>
    <x v="0"/>
    <x v="0"/>
    <m/>
    <s v="Сладкая жизнь Плюс ООО"/>
    <m/>
    <m/>
    <m/>
    <n v="0"/>
    <n v="0"/>
    <n v="0"/>
    <n v="16388.569999999996"/>
    <n v="0"/>
    <n v="0"/>
    <n v="0"/>
    <n v="0"/>
    <m/>
  </r>
  <r>
    <s v="Калужская"/>
    <s v="HSR Moscow"/>
    <x v="1"/>
    <s v="ASM MOS Food Trade+Sorso"/>
    <x v="1"/>
    <x v="1"/>
    <m/>
    <s v="СОРСО-СТР ООО"/>
    <m/>
    <m/>
    <m/>
    <n v="0"/>
    <n v="0"/>
    <n v="0"/>
    <n v="167213.97"/>
    <n v="0"/>
    <n v="0"/>
    <n v="0"/>
    <n v="0"/>
    <m/>
  </r>
  <r>
    <s v="Калужская"/>
    <s v="HSR Moscow"/>
    <x v="1"/>
    <s v="ASM MOS Food Trade+Sorso"/>
    <x v="1"/>
    <x v="1"/>
    <m/>
    <s v="СОРСО-СТР ООО"/>
    <m/>
    <m/>
    <m/>
    <n v="0"/>
    <n v="0"/>
    <n v="0"/>
    <n v="4921.2"/>
    <n v="0"/>
    <n v="0"/>
    <n v="0"/>
    <n v="0"/>
    <m/>
  </r>
  <r>
    <s v="Калужская"/>
    <s v="HSR Moscow"/>
    <x v="1"/>
    <s v="DDM MOS Sladkaay Zhizn"/>
    <x v="1"/>
    <x v="2"/>
    <s v="TSL MOS  Moscow 2 Sladkaya Zhizn"/>
    <s v="Сладкая жизнь Плюс ООО"/>
    <m/>
    <m/>
    <m/>
    <n v="0"/>
    <n v="0"/>
    <n v="0"/>
    <n v="74443.789999999994"/>
    <n v="0"/>
    <n v="0"/>
    <n v="0"/>
    <n v="0"/>
    <m/>
  </r>
  <r>
    <s v="Калужская"/>
    <s v="HSR Moscow"/>
    <x v="1"/>
    <s v="DDM MOS Sladkaay Zhizn"/>
    <x v="1"/>
    <x v="2"/>
    <s v="TSL MOS  Moscow 2 Sladkaya Zhizn"/>
    <s v="Сладкая Жизнь Плюс ООО (Москва)"/>
    <m/>
    <m/>
    <m/>
    <n v="0"/>
    <n v="0"/>
    <n v="0"/>
    <n v="61550673.18"/>
    <n v="0"/>
    <n v="0"/>
    <n v="0"/>
    <n v="0"/>
    <m/>
  </r>
  <r>
    <s v="Калужская"/>
    <s v="HSR Moscow"/>
    <x v="1"/>
    <s v="ASM MOS Food Trade+Sorso"/>
    <x v="1"/>
    <x v="1"/>
    <m/>
    <s v="СОРСО-СТР ООО"/>
    <m/>
    <m/>
    <m/>
    <n v="0"/>
    <n v="0"/>
    <n v="0"/>
    <n v="793480.71000000031"/>
    <n v="0"/>
    <n v="0"/>
    <n v="0"/>
    <n v="0"/>
    <m/>
  </r>
  <r>
    <s v="Калужская"/>
    <s v="HSR Moscow"/>
    <x v="1"/>
    <s v="ASM MOS Food Trade+Sorso"/>
    <x v="1"/>
    <x v="3"/>
    <m/>
    <s v="Фуд-Трейд ООО (Москва)"/>
    <m/>
    <m/>
    <m/>
    <n v="0"/>
    <n v="0"/>
    <n v="0"/>
    <n v="1728.22"/>
    <n v="0"/>
    <n v="0"/>
    <n v="0"/>
    <n v="0"/>
    <m/>
  </r>
  <r>
    <s v="Калужская"/>
    <s v="HSR Moscow"/>
    <x v="1"/>
    <s v="DDM MOS Sladkaay Zhizn"/>
    <x v="1"/>
    <x v="4"/>
    <s v="TSL MOS  Moscow 2 Sladkaya Zhizn"/>
    <s v="Сладкая жизнь Плюс ООО"/>
    <m/>
    <m/>
    <m/>
    <n v="0"/>
    <n v="0"/>
    <n v="0"/>
    <n v="0"/>
    <n v="0"/>
    <n v="152696.56"/>
    <n v="0"/>
    <n v="0"/>
    <m/>
  </r>
  <r>
    <s v="Калужская"/>
    <s v="HSR Moscow"/>
    <x v="1"/>
    <s v="DDM MOS Sladkaay Zhizn"/>
    <x v="1"/>
    <x v="4"/>
    <s v="TSL MOS  Moscow 2 Sladkaya Zhizn"/>
    <s v="Сладкая Жизнь Плюс ООО (Москва)"/>
    <m/>
    <m/>
    <m/>
    <n v="0"/>
    <n v="0"/>
    <n v="0"/>
    <n v="62066.210000000006"/>
    <n v="0"/>
    <n v="12675102.270000005"/>
    <n v="0"/>
    <n v="0"/>
    <m/>
  </r>
  <r>
    <s v="Калужская"/>
    <s v="HSR Moscow"/>
    <x v="1"/>
    <s v="DDM MOS Sladkaay Zhizn"/>
    <x v="1"/>
    <x v="2"/>
    <s v="TSL MOS  Moscow 2 Sladkaya Zhizn"/>
    <s v="Сладкая Жизнь Плюс ООО (Москва)"/>
    <m/>
    <m/>
    <m/>
    <n v="0"/>
    <n v="0"/>
    <n v="50540.084999999999"/>
    <n v="0"/>
    <n v="0"/>
    <n v="0"/>
    <n v="0"/>
    <n v="0"/>
    <m/>
  </r>
  <r>
    <s v="Калужская"/>
    <s v="HSR Moscow"/>
    <x v="1"/>
    <s v="DDM MOS Sladkaay Zhizn"/>
    <x v="1"/>
    <x v="4"/>
    <s v="TSL MOS  Moscow 2 Sladkaya Zhizn"/>
    <s v="Сладкая Жизнь Плюс ООО (Москва)"/>
    <m/>
    <m/>
    <m/>
    <n v="0"/>
    <n v="0"/>
    <n v="50540.084999999999"/>
    <n v="0"/>
    <n v="0"/>
    <n v="31855181.779999994"/>
    <n v="0"/>
    <n v="0"/>
    <m/>
  </r>
  <r>
    <s v="Кировская"/>
    <s v="HSR Moscow"/>
    <x v="2"/>
    <s v="DDM MOS Sladkaay Zhizn"/>
    <x v="2"/>
    <x v="5"/>
    <m/>
    <s v="Сладкая жизнь Плюс ООО"/>
    <m/>
    <m/>
    <m/>
    <n v="0"/>
    <n v="0"/>
    <n v="67690161.789999992"/>
    <n v="108624731.87000002"/>
    <n v="0"/>
    <n v="0"/>
    <n v="0"/>
    <n v="0"/>
    <m/>
  </r>
  <r>
    <s v="Кировская"/>
    <s v="HSR Moscow"/>
    <x v="2"/>
    <s v="DDM MOS Sladkaay Zhizn"/>
    <x v="2"/>
    <x v="5"/>
    <m/>
    <s v="Сладкая жизнь Плюс ООО"/>
    <m/>
    <m/>
    <m/>
    <n v="0"/>
    <n v="0"/>
    <n v="350.35"/>
    <n v="2324.8900000000003"/>
    <n v="0"/>
    <n v="0"/>
    <n v="0"/>
    <n v="0"/>
    <m/>
  </r>
  <r>
    <s v="Кировская"/>
    <s v="HSR Moscow"/>
    <x v="2"/>
    <s v="DDM MOS Sladkaay Zhizn"/>
    <x v="2"/>
    <x v="5"/>
    <m/>
    <s v="Сладкая жизнь Плюс ООО"/>
    <m/>
    <m/>
    <m/>
    <n v="0"/>
    <n v="0"/>
    <n v="350.35"/>
    <n v="2324.8900000000003"/>
    <n v="0"/>
    <n v="33734181.700000025"/>
    <n v="0"/>
    <n v="0"/>
    <m/>
  </r>
  <r>
    <s v="Мордовия"/>
    <s v="HSR Moscow"/>
    <x v="2"/>
    <s v="ASM MOS Food Trade+Sorso"/>
    <x v="2"/>
    <x v="1"/>
    <m/>
    <s v="СОРСО-СТР ООО"/>
    <m/>
    <m/>
    <m/>
    <n v="0"/>
    <n v="0"/>
    <n v="0"/>
    <n v="1230.3"/>
    <n v="0"/>
    <n v="0"/>
    <n v="0"/>
    <n v="0"/>
    <m/>
  </r>
  <r>
    <s v="Мордовия"/>
    <s v="HSR Moscow"/>
    <x v="2"/>
    <s v="DDM MOS Sladkaay Zhizn"/>
    <x v="2"/>
    <x v="5"/>
    <m/>
    <s v="Сладкая жизнь Плюс ООО"/>
    <m/>
    <m/>
    <m/>
    <n v="0"/>
    <n v="0"/>
    <n v="0"/>
    <n v="18267262.890000012"/>
    <n v="0"/>
    <n v="82315096.500000089"/>
    <n v="0"/>
    <n v="0"/>
    <m/>
  </r>
  <r>
    <s v="Мордовия"/>
    <s v="HSR Moscow"/>
    <x v="2"/>
    <s v="ASM MOS Food Trade+Sorso"/>
    <x v="2"/>
    <x v="1"/>
    <m/>
    <s v="СОРСО-СТР ООО"/>
    <m/>
    <m/>
    <m/>
    <n v="0"/>
    <n v="0"/>
    <n v="0"/>
    <n v="8612.1"/>
    <n v="0"/>
    <n v="0"/>
    <n v="0"/>
    <n v="0"/>
    <m/>
  </r>
  <r>
    <s v="Мордовия"/>
    <s v="HSR Moscow"/>
    <x v="2"/>
    <s v="DDM MOS Sladkaay Zhizn"/>
    <x v="2"/>
    <x v="5"/>
    <m/>
    <s v="Сладкая жизнь Плюс ООО"/>
    <m/>
    <m/>
    <m/>
    <n v="0"/>
    <n v="0"/>
    <n v="0"/>
    <n v="938"/>
    <n v="0"/>
    <n v="0"/>
    <n v="0"/>
    <n v="0"/>
    <m/>
  </r>
  <r>
    <s v="Мордовия"/>
    <s v="HSR Moscow"/>
    <x v="2"/>
    <s v="DDM MOS Sladkaay Zhizn"/>
    <x v="2"/>
    <x v="5"/>
    <m/>
    <s v="Сладкая жизнь Плюс ООО"/>
    <m/>
    <m/>
    <m/>
    <n v="0"/>
    <n v="0"/>
    <n v="0"/>
    <n v="938"/>
    <n v="0"/>
    <n v="0"/>
    <n v="0"/>
    <n v="0"/>
    <m/>
  </r>
  <r>
    <s v="Москва"/>
    <s v="HSR Moscow"/>
    <x v="0"/>
    <s v="ASM MOS Food Trade+Sorso"/>
    <x v="0"/>
    <x v="1"/>
    <m/>
    <s v="СОРСО-СТР ООО"/>
    <n v="1"/>
    <m/>
    <m/>
    <n v="0"/>
    <n v="0"/>
    <n v="0"/>
    <n v="3934548.4099999992"/>
    <n v="0"/>
    <n v="51488847.459999874"/>
    <n v="0"/>
    <n v="0"/>
    <m/>
  </r>
  <r>
    <s v="Москва"/>
    <s v="HSR Moscow"/>
    <x v="0"/>
    <s v="ASM MOS Food Trade+Sorso"/>
    <x v="0"/>
    <x v="1"/>
    <m/>
    <s v="СОРСО-СТР ООО"/>
    <n v="1"/>
    <m/>
    <m/>
    <n v="0"/>
    <n v="0"/>
    <n v="0"/>
    <n v="26241041.290000029"/>
    <n v="0"/>
    <n v="0"/>
    <n v="0"/>
    <n v="0"/>
    <m/>
  </r>
  <r>
    <s v="Москва"/>
    <s v="HSR Moscow"/>
    <x v="0"/>
    <s v="ASM MOS Food Trade+Sorso"/>
    <x v="0"/>
    <x v="3"/>
    <m/>
    <s v="Фуд-Трейд ООО (Москва)"/>
    <m/>
    <m/>
    <m/>
    <n v="0"/>
    <n v="0"/>
    <n v="26286175.709999982"/>
    <n v="11021748.269999998"/>
    <n v="0"/>
    <n v="0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371171.09"/>
    <n v="0"/>
    <n v="0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47580.24"/>
    <n v="0"/>
    <n v="0"/>
    <n v="0"/>
    <n v="0"/>
    <m/>
  </r>
  <r>
    <s v="Москва"/>
    <s v="HSR Moscow"/>
    <x v="0"/>
    <s v="ASM MOS Food Trade+Sorso"/>
    <x v="0"/>
    <x v="1"/>
    <m/>
    <s v="Сладкая Жизнь Плюс ООО (Москва)"/>
    <n v="1"/>
    <m/>
    <m/>
    <n v="0"/>
    <n v="0"/>
    <n v="87719.900000000009"/>
    <n v="68426.539999999994"/>
    <n v="0"/>
    <n v="0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54846.799999999996"/>
    <n v="0"/>
    <n v="0"/>
    <n v="0"/>
    <n v="0"/>
    <m/>
  </r>
  <r>
    <s v="Москва"/>
    <s v="HSR Moscow"/>
    <x v="0"/>
    <s v="ASM MOS Food Trade+Sorso"/>
    <x v="0"/>
    <x v="3"/>
    <m/>
    <s v="Фуд-Трейд ООО (Москва)"/>
    <m/>
    <m/>
    <m/>
    <n v="0"/>
    <n v="0"/>
    <n v="705614.96000000008"/>
    <n v="18449570.049999993"/>
    <n v="0"/>
    <n v="0"/>
    <n v="0"/>
    <n v="0"/>
    <m/>
  </r>
  <r>
    <s v="Москва"/>
    <s v="HSR Moscow"/>
    <x v="0"/>
    <s v="ASM MOS Food Trade+Sorso"/>
    <x v="0"/>
    <x v="3"/>
    <m/>
    <s v="Фуд-Трейд ООО (Москва)"/>
    <m/>
    <m/>
    <m/>
    <n v="0"/>
    <n v="0"/>
    <n v="304618.33"/>
    <n v="70699872.200000003"/>
    <n v="0"/>
    <n v="0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1520239.6600000001"/>
    <n v="0"/>
    <n v="0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8470784.9499999974"/>
    <n v="0"/>
    <n v="0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74381.34"/>
    <n v="0"/>
    <n v="0"/>
    <n v="0"/>
    <n v="0"/>
    <m/>
  </r>
  <r>
    <s v="Москва"/>
    <s v="HSR Moscow"/>
    <x v="0"/>
    <s v="DDM MOS Sladkaay Zhizn"/>
    <x v="0"/>
    <x v="2"/>
    <m/>
    <s v="Сладкая Жизнь Плюс ООО (Москва)"/>
    <m/>
    <m/>
    <m/>
    <n v="0"/>
    <n v="2268781.3500000006"/>
    <n v="0"/>
    <n v="41559387.57"/>
    <n v="0"/>
    <n v="109321797.52999994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7381.7999999999993"/>
    <n v="0"/>
    <n v="0"/>
    <n v="0"/>
    <n v="0"/>
    <m/>
  </r>
  <r>
    <s v="Москва"/>
    <s v="HSR Moscow"/>
    <x v="0"/>
    <s v="ASM MOS Food Trade+Sorso"/>
    <x v="0"/>
    <x v="3"/>
    <m/>
    <s v="Фуд-Трейд ООО (Москва)"/>
    <m/>
    <m/>
    <m/>
    <n v="0"/>
    <n v="16865038.440000001"/>
    <n v="886166.9800000001"/>
    <n v="125038.38"/>
    <n v="0"/>
    <n v="0"/>
    <n v="0"/>
    <n v="0"/>
    <m/>
  </r>
  <r>
    <s v="Москва"/>
    <s v="HSR Moscow"/>
    <x v="0"/>
    <s v="DDM MOS Sladkaay Zhizn"/>
    <x v="0"/>
    <x v="2"/>
    <m/>
    <s v="Сладкая Жизнь Плюс ООО (Москва)"/>
    <m/>
    <m/>
    <m/>
    <n v="0"/>
    <n v="0"/>
    <n v="0"/>
    <n v="2572223.2800000003"/>
    <n v="0"/>
    <n v="85074102.199999973"/>
    <n v="0"/>
    <n v="0"/>
    <m/>
  </r>
  <r>
    <s v="Москва"/>
    <s v="HSR Moscow"/>
    <x v="0"/>
    <s v="DDM MOS Sladkaay Zhizn"/>
    <x v="0"/>
    <x v="4"/>
    <m/>
    <s v="Сладкая Жизнь Плюс ООО (Москва)"/>
    <m/>
    <m/>
    <m/>
    <n v="0"/>
    <n v="0"/>
    <n v="0"/>
    <n v="2572223.2800000003"/>
    <n v="0"/>
    <n v="67792885.019999981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113749.7"/>
    <n v="0"/>
    <n v="0"/>
    <n v="0"/>
    <n v="0"/>
    <m/>
  </r>
  <r>
    <s v="Москва"/>
    <s v="HSR Moscow"/>
    <x v="0"/>
    <s v="ASM MOS Food Trade+Sorso"/>
    <x v="0"/>
    <x v="1"/>
    <m/>
    <s v="СОРСО-СТР ООО"/>
    <m/>
    <m/>
    <m/>
    <n v="0"/>
    <n v="0"/>
    <n v="0"/>
    <n v="2460.6"/>
    <n v="0"/>
    <n v="0"/>
    <n v="0"/>
    <n v="0"/>
    <m/>
  </r>
  <r>
    <s v="Москва"/>
    <s v="HSR Moscow"/>
    <x v="0"/>
    <s v="ASM MOS Food Trade+Sorso"/>
    <x v="0"/>
    <x v="3"/>
    <m/>
    <s v="Фуд-Трейд ООО (Москва)"/>
    <n v="1"/>
    <m/>
    <m/>
    <n v="0"/>
    <n v="0"/>
    <n v="0"/>
    <n v="1531398.9"/>
    <n v="0"/>
    <n v="0"/>
    <n v="3208724.3721000003"/>
    <n v="0"/>
    <m/>
  </r>
  <r>
    <s v="Москва"/>
    <s v="HSR Moscow"/>
    <x v="0"/>
    <s v="ASM MOS Food Trade+Sorso"/>
    <x v="0"/>
    <x v="1"/>
    <m/>
    <s v="СОРСО-СТР ООО"/>
    <m/>
    <m/>
    <m/>
    <n v="0"/>
    <n v="35998.819999999992"/>
    <n v="0"/>
    <n v="9500000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566466.16"/>
    <n v="0"/>
    <n v="101427.09999999998"/>
    <n v="0"/>
    <n v="4983223.1399999978"/>
    <n v="0"/>
    <n v="0"/>
    <m/>
  </r>
  <r>
    <s v="Московская"/>
    <s v="HSR Moscow"/>
    <x v="0"/>
    <s v="ASM MOS Food Trade+Sorso"/>
    <x v="0"/>
    <x v="3"/>
    <m/>
    <s v="Сладкая Жизнь Плюс ООО (Москва)"/>
    <m/>
    <m/>
    <m/>
    <n v="0"/>
    <n v="0"/>
    <n v="120703.57999999999"/>
    <n v="397389.71999999991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16695851.649999999"/>
    <n v="71189.710000000021"/>
    <n v="85800621.210000008"/>
    <n v="0"/>
    <n v="0"/>
    <n v="0"/>
    <n v="0"/>
    <m/>
  </r>
  <r>
    <s v="Московская"/>
    <s v="HSR Moscow"/>
    <x v="0"/>
    <s v="ASM MOS Food Trade+Sorso"/>
    <x v="0"/>
    <x v="3"/>
    <m/>
    <s v="Фуд-Трейд ООО (Москва)"/>
    <m/>
    <m/>
    <m/>
    <n v="0"/>
    <n v="0"/>
    <n v="85685187.23999998"/>
    <n v="5272787.08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165427.24999999997"/>
    <n v="0"/>
    <n v="0"/>
    <n v="0"/>
    <n v="0"/>
    <m/>
  </r>
  <r>
    <s v="Московская"/>
    <s v="HSR Moscow"/>
    <x v="0"/>
    <s v="DDM MOS Sladkaay Zhizn"/>
    <x v="0"/>
    <x v="4"/>
    <m/>
    <s v="Сладкая Жизнь Плюс ООО (Москва)"/>
    <m/>
    <m/>
    <m/>
    <n v="0"/>
    <n v="0"/>
    <n v="999864.46999999986"/>
    <n v="155721.815"/>
    <n v="0"/>
    <n v="7046878.6800000081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6943.3199999999988"/>
    <n v="10388589.640000002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311135.37"/>
    <n v="0"/>
    <n v="0"/>
    <n v="0"/>
    <n v="0"/>
    <m/>
  </r>
  <r>
    <s v="Московская"/>
    <s v="HSR Moscow"/>
    <x v="0"/>
    <s v="ASM MOS Food Trade+Sorso"/>
    <x v="0"/>
    <x v="1"/>
    <m/>
    <s v="Сладкая Жизнь Плюс ООО (Москва)"/>
    <m/>
    <m/>
    <m/>
    <n v="0"/>
    <n v="0"/>
    <n v="4845344.1499999985"/>
    <n v="137176.10999999999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408997.65000000014"/>
    <n v="0"/>
    <n v="0"/>
    <n v="0"/>
    <n v="0"/>
    <m/>
  </r>
  <r>
    <s v="Московская"/>
    <s v="HSR Moscow"/>
    <x v="0"/>
    <s v="ASM MOS Food Trade+Sorso"/>
    <x v="0"/>
    <x v="3"/>
    <m/>
    <s v="Фуд-Трейд ООО (Москва)"/>
    <m/>
    <m/>
    <m/>
    <n v="0"/>
    <n v="0"/>
    <n v="3081161.5200000005"/>
    <n v="74616016.360000014"/>
    <n v="0"/>
    <n v="0"/>
    <n v="0"/>
    <n v="0"/>
    <m/>
  </r>
  <r>
    <s v="Московская"/>
    <s v="HSR Moscow"/>
    <x v="0"/>
    <s v="ASM MOS Food Trade+Sorso"/>
    <x v="0"/>
    <x v="3"/>
    <m/>
    <s v="Фуд-Трейд ООО (Москва)"/>
    <m/>
    <m/>
    <m/>
    <n v="0"/>
    <n v="26855371.18"/>
    <n v="350754.54"/>
    <n v="57941924.849999994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5204556.9600000037"/>
    <n v="0"/>
    <n v="14969645.509999998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149566469.50999999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76737.759999999995"/>
    <n v="0"/>
    <n v="0"/>
    <n v="0"/>
    <n v="0"/>
    <m/>
  </r>
  <r>
    <s v="Московская"/>
    <s v="HSR Moscow"/>
    <x v="0"/>
    <s v="DDM MOS Sladkaay Zhizn"/>
    <x v="0"/>
    <x v="4"/>
    <m/>
    <s v="Сладкая Жизнь Плюс ООО (Москва)"/>
    <m/>
    <m/>
    <m/>
    <n v="0"/>
    <n v="0"/>
    <n v="744141.68999998644"/>
    <n v="138685329.41000003"/>
    <n v="0"/>
    <n v="696849.14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420271.38"/>
    <n v="0"/>
    <n v="0"/>
    <n v="0"/>
    <n v="0"/>
    <m/>
  </r>
  <r>
    <s v="Московская"/>
    <s v="HSR Moscow"/>
    <x v="0"/>
    <s v="ASM MOS Food Trade+Sorso"/>
    <x v="0"/>
    <x v="3"/>
    <m/>
    <s v="Фуд-Трейд ООО (Москва)"/>
    <m/>
    <m/>
    <m/>
    <n v="0"/>
    <n v="0"/>
    <n v="0"/>
    <n v="30561.46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163640.16999999998"/>
    <n v="0"/>
    <n v="0"/>
    <n v="0"/>
    <n v="0"/>
    <m/>
  </r>
  <r>
    <s v="Московская"/>
    <s v="HSR Moscow"/>
    <x v="0"/>
    <s v="DDM MOS Sladkaay Zhizn"/>
    <x v="0"/>
    <x v="2"/>
    <m/>
    <s v="Сладкая Жизнь Плюс ООО (Москва)"/>
    <m/>
    <m/>
    <m/>
    <n v="0"/>
    <n v="0"/>
    <n v="136413.45000000112"/>
    <n v="67124558.00999999"/>
    <n v="0"/>
    <n v="4154461.5100000035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835.28"/>
    <n v="78450.569999999992"/>
    <n v="0"/>
    <n v="0"/>
    <n v="0"/>
    <n v="0"/>
    <m/>
  </r>
  <r>
    <s v="Московская"/>
    <s v="HSR Moscow"/>
    <x v="0"/>
    <s v="ASM MOS Food Trade+Sorso"/>
    <x v="0"/>
    <x v="3"/>
    <m/>
    <s v="Фуд-Трейд ООО (Москва)"/>
    <m/>
    <m/>
    <m/>
    <n v="0"/>
    <n v="0"/>
    <n v="0"/>
    <n v="4902766.1800000006"/>
    <n v="0"/>
    <n v="0"/>
    <n v="0"/>
    <n v="0"/>
    <m/>
  </r>
  <r>
    <s v="Московская"/>
    <s v="HSR Moscow"/>
    <x v="0"/>
    <s v="DDM MOS Sladkaay Zhizn"/>
    <x v="0"/>
    <x v="0"/>
    <m/>
    <s v="Сладкая жизнь Плюс ООО"/>
    <m/>
    <m/>
    <m/>
    <n v="0"/>
    <n v="0"/>
    <n v="9777794.9499999974"/>
    <n v="27367959.500000022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161081.58000000002"/>
    <n v="0"/>
    <n v="0"/>
    <n v="0"/>
    <n v="0"/>
    <m/>
  </r>
  <r>
    <s v="Московская"/>
    <s v="HSR Moscow"/>
    <x v="0"/>
    <s v="DDM MOS Sladkaay Zhizn"/>
    <x v="0"/>
    <x v="0"/>
    <m/>
    <s v="Сладкая жизнь Плюс ООО"/>
    <m/>
    <m/>
    <m/>
    <n v="0"/>
    <n v="0"/>
    <n v="11308710.9"/>
    <n v="33925558.109999999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1131619.42"/>
    <n v="0"/>
    <n v="0"/>
    <n v="0"/>
    <n v="0"/>
    <m/>
  </r>
  <r>
    <s v="Московская"/>
    <s v="HSR Moscow"/>
    <x v="0"/>
    <s v="ASM MOS Food Trade+Sorso"/>
    <x v="0"/>
    <x v="3"/>
    <m/>
    <s v="Фуд-Трейд ООО (Москва)"/>
    <m/>
    <m/>
    <m/>
    <n v="0"/>
    <n v="0"/>
    <n v="0"/>
    <n v="15431.249999999998"/>
    <n v="0"/>
    <n v="0"/>
    <n v="0"/>
    <n v="0"/>
    <m/>
  </r>
  <r>
    <s v="Московская"/>
    <s v="HSR Moscow"/>
    <x v="0"/>
    <s v="DDM MOS Sladkaay Zhizn"/>
    <x v="0"/>
    <x v="2"/>
    <m/>
    <s v="Сладкая Жизнь Плюс ООО (Москва)"/>
    <m/>
    <m/>
    <m/>
    <n v="0"/>
    <n v="0"/>
    <n v="0"/>
    <n v="15804044.249999998"/>
    <n v="0"/>
    <n v="17640633.704999998"/>
    <n v="0"/>
    <n v="0"/>
    <m/>
  </r>
  <r>
    <s v="Московская"/>
    <s v="HSR Moscow"/>
    <x v="0"/>
    <s v="DDM MOS Sladkaay Zhizn"/>
    <x v="0"/>
    <x v="4"/>
    <m/>
    <s v="Сладкая Жизнь Плюс ООО (Москва)"/>
    <m/>
    <m/>
    <m/>
    <n v="0"/>
    <n v="0"/>
    <n v="0"/>
    <n v="15804044.249999998"/>
    <n v="0"/>
    <n v="21115469.165000014"/>
    <n v="0"/>
    <n v="0"/>
    <m/>
  </r>
  <r>
    <s v="Московская"/>
    <s v="HSR Moscow"/>
    <x v="0"/>
    <s v="DDM MOS Sladkaay Zhizn"/>
    <x v="0"/>
    <x v="0"/>
    <m/>
    <s v="Сладкая жизнь Плюс ООО"/>
    <m/>
    <m/>
    <m/>
    <n v="0"/>
    <n v="0"/>
    <n v="0"/>
    <n v="19333835.870000001"/>
    <n v="0"/>
    <n v="0"/>
    <n v="0"/>
    <n v="0"/>
    <m/>
  </r>
  <r>
    <s v="Московская"/>
    <s v="HSR Moscow"/>
    <x v="0"/>
    <s v="DDM MOS Sladkaay Zhizn"/>
    <x v="0"/>
    <x v="0"/>
    <m/>
    <s v="Сладкая жизнь Плюс ООО"/>
    <m/>
    <m/>
    <m/>
    <n v="0"/>
    <n v="0"/>
    <n v="0"/>
    <n v="19333835.870000001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41072051.439999998"/>
    <n v="0"/>
    <n v="0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763225.07"/>
    <n v="0"/>
    <n v="0"/>
    <n v="0"/>
    <n v="0"/>
    <m/>
  </r>
  <r>
    <s v="Московская"/>
    <s v="HSR Moscow"/>
    <x v="0"/>
    <s v="DDM MOS Sladkaay Zhizn"/>
    <x v="0"/>
    <x v="2"/>
    <m/>
    <s v="Сладкая Жизнь Плюс ООО (Москва)"/>
    <m/>
    <m/>
    <m/>
    <n v="0"/>
    <n v="0"/>
    <n v="0"/>
    <n v="155721.815"/>
    <n v="0"/>
    <n v="3126523.5300000012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0"/>
    <n v="0"/>
    <n v="41915.080000000009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14477.22"/>
    <n v="0"/>
    <n v="0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3549.6000000000004"/>
    <n v="0"/>
    <n v="0"/>
    <n v="0"/>
    <n v="0"/>
    <n v="0"/>
    <n v="0"/>
    <m/>
  </r>
  <r>
    <s v="Московская"/>
    <s v="HSR Moscow"/>
    <x v="0"/>
    <s v="ASM MOS Food Trade+Sorso"/>
    <x v="0"/>
    <x v="1"/>
    <m/>
    <s v="СОРСО-СТР ООО"/>
    <m/>
    <m/>
    <m/>
    <n v="0"/>
    <n v="19308"/>
    <n v="0"/>
    <n v="0"/>
    <n v="0"/>
    <n v="0"/>
    <n v="0"/>
    <n v="0"/>
    <m/>
  </r>
  <r>
    <s v="Нижегородская"/>
    <s v="HSR Moscow"/>
    <x v="0"/>
    <s v="ASM MOS Food Trade+Sorso"/>
    <x v="0"/>
    <x v="1"/>
    <m/>
    <s v="СОРСО-СТР ООО"/>
    <m/>
    <m/>
    <m/>
    <n v="0"/>
    <n v="0"/>
    <n v="0"/>
    <n v="129955.4"/>
    <n v="0"/>
    <n v="0"/>
    <n v="0"/>
    <n v="0"/>
    <m/>
  </r>
  <r>
    <s v="Нижегородская"/>
    <s v="HSR Moscow"/>
    <x v="0"/>
    <s v="DDM MOS Sladkaay Zhizn"/>
    <x v="0"/>
    <x v="0"/>
    <m/>
    <s v="Сладкая жизнь Плюс ООО"/>
    <n v="1"/>
    <m/>
    <m/>
    <n v="0"/>
    <n v="63562247.979999989"/>
    <n v="0"/>
    <n v="77453434.560000166"/>
    <n v="0"/>
    <n v="66363320.945000082"/>
    <n v="650000"/>
    <n v="0"/>
    <m/>
  </r>
  <r>
    <s v="Нижегородская"/>
    <s v="HSR Moscow"/>
    <x v="0"/>
    <s v="ASM MOS Food Trade+Sorso"/>
    <x v="0"/>
    <x v="1"/>
    <m/>
    <s v="СОРСО-СТР ООО"/>
    <m/>
    <m/>
    <m/>
    <n v="0"/>
    <n v="0"/>
    <n v="0"/>
    <n v="15797.939999999999"/>
    <n v="0"/>
    <n v="0"/>
    <n v="0"/>
    <n v="0"/>
    <m/>
  </r>
  <r>
    <s v="Нижегородская"/>
    <s v="HSR Moscow"/>
    <x v="0"/>
    <s v="DDM MOS Sladkaay Zhizn"/>
    <x v="0"/>
    <x v="0"/>
    <m/>
    <s v="Сладкая жизнь Плюс ООО"/>
    <m/>
    <m/>
    <m/>
    <n v="0"/>
    <n v="0"/>
    <n v="36039.75"/>
    <n v="2646.7699999999995"/>
    <n v="0"/>
    <n v="296596293.75999993"/>
    <n v="0"/>
    <n v="0"/>
    <m/>
  </r>
  <r>
    <s v="Нижегородская"/>
    <s v="HSR Moscow"/>
    <x v="0"/>
    <s v="DDM MOS Sladkaay Zhizn"/>
    <x v="0"/>
    <x v="0"/>
    <m/>
    <s v="Сладкая жизнь Плюс ООО"/>
    <m/>
    <m/>
    <m/>
    <n v="0"/>
    <n v="0"/>
    <n v="19547.75"/>
    <n v="2646.7699999999995"/>
    <n v="0"/>
    <n v="0"/>
    <n v="0"/>
    <n v="0"/>
    <m/>
  </r>
  <r>
    <s v="Нижегородская"/>
    <s v="HSR Moscow"/>
    <x v="0"/>
    <s v="DDM MOS Sladkaay Zhizn"/>
    <x v="0"/>
    <x v="0"/>
    <m/>
    <s v="Сладкая жизнь Плюс ООО"/>
    <m/>
    <m/>
    <m/>
    <n v="0"/>
    <n v="0"/>
    <n v="266477.83"/>
    <n v="2207814.08"/>
    <n v="0"/>
    <n v="0"/>
    <n v="0"/>
    <n v="0"/>
    <m/>
  </r>
  <r>
    <s v="Нижегородская"/>
    <s v="HSR Moscow"/>
    <x v="0"/>
    <s v="ASM MOS Food Trade+Sorso"/>
    <x v="0"/>
    <x v="1"/>
    <m/>
    <s v="СОРСО-СТР ООО"/>
    <m/>
    <m/>
    <m/>
    <n v="0"/>
    <n v="0"/>
    <n v="0"/>
    <n v="21101.88"/>
    <n v="0"/>
    <n v="0"/>
    <n v="0"/>
    <n v="0"/>
    <m/>
  </r>
  <r>
    <s v="Тульская"/>
    <s v="HSR Moscow"/>
    <x v="1"/>
    <s v="ASM MOS Food Trade+Sorso"/>
    <x v="1"/>
    <x v="1"/>
    <m/>
    <s v="СОРСО-СТР ООО"/>
    <m/>
    <m/>
    <m/>
    <n v="0"/>
    <n v="0"/>
    <n v="0"/>
    <n v="88016.4"/>
    <n v="0"/>
    <n v="0"/>
    <n v="0"/>
    <n v="0"/>
    <m/>
  </r>
  <r>
    <s v="Тульская"/>
    <s v="HSR Moscow"/>
    <x v="1"/>
    <s v="DDM MOS Sladkaay Zhizn"/>
    <x v="1"/>
    <x v="4"/>
    <s v="TSL MOS  Moscow 2 Sladkaya Zhizn"/>
    <s v="Сладкая Жизнь Плюс ООО (Москва)"/>
    <m/>
    <m/>
    <m/>
    <n v="0"/>
    <n v="0"/>
    <n v="0"/>
    <n v="30797380.840000004"/>
    <n v="0"/>
    <n v="19446886.790000033"/>
    <n v="0"/>
    <n v="0"/>
    <m/>
  </r>
  <r>
    <s v="Тульская"/>
    <s v="HSR Moscow"/>
    <x v="1"/>
    <s v="ASM MOS Food Trade+Sorso"/>
    <x v="1"/>
    <x v="1"/>
    <m/>
    <s v="СОРСО-СТР ООО"/>
    <m/>
    <m/>
    <m/>
    <n v="0"/>
    <n v="0"/>
    <n v="0"/>
    <n v="1850878.62"/>
    <n v="0"/>
    <n v="0"/>
    <n v="0"/>
    <n v="0"/>
    <m/>
  </r>
  <r>
    <s v="Тульская"/>
    <s v="HSR Moscow"/>
    <x v="1"/>
    <s v="ASM MOS Food Trade+Sorso"/>
    <x v="1"/>
    <x v="3"/>
    <m/>
    <s v="Фуд-Трейд ООО (Москва)"/>
    <m/>
    <m/>
    <m/>
    <n v="0"/>
    <n v="0"/>
    <n v="0"/>
    <n v="31905.269999999997"/>
    <n v="0"/>
    <n v="0"/>
    <n v="0"/>
    <n v="0"/>
    <m/>
  </r>
  <r>
    <s v="Тульская"/>
    <s v="HSR Moscow"/>
    <x v="1"/>
    <s v="DDM MOS Sladkaay Zhizn"/>
    <x v="1"/>
    <x v="2"/>
    <s v="TSL MOS  Moscow 2 Sladkaya Zhizn"/>
    <s v="Сладкая Жизнь Плюс ООО (Москва)"/>
    <m/>
    <m/>
    <m/>
    <n v="0"/>
    <n v="0"/>
    <n v="0"/>
    <n v="2274.2749999999996"/>
    <n v="0"/>
    <n v="0"/>
    <n v="0"/>
    <n v="0"/>
    <m/>
  </r>
  <r>
    <s v="Тульская"/>
    <s v="HSR Moscow"/>
    <x v="1"/>
    <s v="DDM MOS Sladkaay Zhizn"/>
    <x v="1"/>
    <x v="4"/>
    <s v="TSL MOS  Moscow 2 Sladkaya Zhizn"/>
    <s v="Сладкая Жизнь Плюс ООО (Москва)"/>
    <m/>
    <m/>
    <m/>
    <n v="0"/>
    <n v="0"/>
    <n v="0"/>
    <n v="2274.2749999999996"/>
    <n v="0"/>
    <n v="0"/>
    <n v="0"/>
    <n v="0"/>
    <m/>
  </r>
  <r>
    <s v="Чувашская Республика -"/>
    <s v="HSR Moscow"/>
    <x v="2"/>
    <s v="DDM MOS Sladkaay Zhizn"/>
    <x v="2"/>
    <x v="5"/>
    <m/>
    <s v="Сладкая жизнь Плюс ООО"/>
    <m/>
    <m/>
    <m/>
    <n v="0"/>
    <n v="0"/>
    <n v="0"/>
    <n v="36896244.130000025"/>
    <n v="0"/>
    <n v="44164732.540000081"/>
    <n v="0"/>
    <n v="0"/>
    <m/>
  </r>
  <r>
    <s v="Чувашская Республика -"/>
    <s v="HSR Moscow"/>
    <x v="2"/>
    <s v="DDM MOS Sladkaay Zhizn"/>
    <x v="2"/>
    <x v="5"/>
    <m/>
    <s v="Сладкая жизнь Плюс ООО"/>
    <m/>
    <m/>
    <m/>
    <n v="0"/>
    <n v="0"/>
    <n v="0"/>
    <n v="66329.489999999991"/>
    <n v="0"/>
    <n v="0"/>
    <n v="0"/>
    <n v="0"/>
    <m/>
  </r>
  <r>
    <s v="Чувашская Республика -"/>
    <s v="HSR Moscow"/>
    <x v="2"/>
    <s v="DDM MOS Sladkaay Zhizn"/>
    <x v="2"/>
    <x v="5"/>
    <m/>
    <s v="Сладкая жизнь Плюс ООО"/>
    <m/>
    <m/>
    <m/>
    <n v="0"/>
    <n v="0"/>
    <n v="0"/>
    <n v="66329.489999999991"/>
    <n v="0"/>
    <n v="0"/>
    <n v="0"/>
    <n v="0"/>
    <m/>
  </r>
  <r>
    <s v="Адыгея"/>
    <s v="HSR Moscow"/>
    <x v="0"/>
    <s v="RADM Moscow"/>
    <x v="3"/>
    <x v="6"/>
    <m/>
    <m/>
    <m/>
    <m/>
    <m/>
    <n v="740866.42488330521"/>
    <n v="0"/>
    <n v="0"/>
    <n v="0"/>
    <n v="0"/>
    <n v="0"/>
    <n v="0"/>
    <n v="0"/>
    <m/>
  </r>
  <r>
    <s v="Архангельская"/>
    <s v="HSR Moscow"/>
    <x v="0"/>
    <s v="RADM Moscow"/>
    <x v="3"/>
    <x v="6"/>
    <m/>
    <m/>
    <m/>
    <m/>
    <m/>
    <n v="2222599.2746499158"/>
    <n v="0"/>
    <n v="0"/>
    <n v="0"/>
    <n v="0"/>
    <n v="0"/>
    <n v="0"/>
    <n v="0"/>
    <m/>
  </r>
  <r>
    <s v="Астраханская"/>
    <s v="HSR Moscow"/>
    <x v="0"/>
    <s v="RADM Moscow"/>
    <x v="3"/>
    <x v="6"/>
    <m/>
    <m/>
    <m/>
    <m/>
    <m/>
    <n v="1481732.8497666104"/>
    <n v="0"/>
    <n v="0"/>
    <n v="0"/>
    <n v="0"/>
    <n v="0"/>
    <n v="0"/>
    <n v="0"/>
    <m/>
  </r>
  <r>
    <s v="Белгородская"/>
    <s v="HSR Moscow"/>
    <x v="0"/>
    <s v="RADM Moscow"/>
    <x v="3"/>
    <x v="6"/>
    <m/>
    <m/>
    <m/>
    <m/>
    <m/>
    <n v="1481732.8497666104"/>
    <n v="0"/>
    <n v="0"/>
    <n v="0"/>
    <n v="0"/>
    <n v="0"/>
    <n v="0"/>
    <n v="0"/>
    <m/>
  </r>
  <r>
    <s v="Владимирская"/>
    <s v="HSR Moscow"/>
    <x v="0"/>
    <s v="RADM Moscow"/>
    <x v="3"/>
    <x v="6"/>
    <m/>
    <m/>
    <m/>
    <m/>
    <s v="TR"/>
    <n v="4445198.5492998315"/>
    <n v="0"/>
    <n v="0"/>
    <n v="0"/>
    <n v="0"/>
    <n v="0"/>
    <n v="0"/>
    <n v="0"/>
    <m/>
  </r>
  <r>
    <s v="Волгоградская"/>
    <s v="HSR Moscow"/>
    <x v="0"/>
    <s v="RADM Moscow"/>
    <x v="3"/>
    <x v="6"/>
    <m/>
    <m/>
    <m/>
    <m/>
    <s v="TR"/>
    <n v="5926931.3990664417"/>
    <n v="0"/>
    <n v="0"/>
    <n v="0"/>
    <n v="0"/>
    <n v="0"/>
    <n v="0"/>
    <n v="0"/>
    <m/>
  </r>
  <r>
    <s v="Вологодская"/>
    <s v="HSR Moscow"/>
    <x v="0"/>
    <s v="RADM Moscow"/>
    <x v="3"/>
    <x v="6"/>
    <m/>
    <m/>
    <m/>
    <m/>
    <m/>
    <n v="740866.42488330521"/>
    <n v="0"/>
    <n v="0"/>
    <n v="0"/>
    <n v="0"/>
    <n v="0"/>
    <n v="0"/>
    <n v="0"/>
    <m/>
  </r>
  <r>
    <s v="Воронежская"/>
    <s v="HSR Moscow"/>
    <x v="0"/>
    <s v="RADM Moscow"/>
    <x v="3"/>
    <x v="6"/>
    <m/>
    <m/>
    <m/>
    <m/>
    <s v="TR"/>
    <n v="8890397.098599663"/>
    <n v="0"/>
    <n v="0"/>
    <n v="0"/>
    <n v="0"/>
    <n v="0"/>
    <n v="0"/>
    <n v="0"/>
    <m/>
  </r>
  <r>
    <s v="Ивановская"/>
    <s v="HSR Moscow"/>
    <x v="0"/>
    <s v="RADM Moscow"/>
    <x v="3"/>
    <x v="6"/>
    <m/>
    <m/>
    <m/>
    <m/>
    <s v="TR"/>
    <n v="2963465.6995332208"/>
    <n v="0"/>
    <n v="0"/>
    <n v="0"/>
    <n v="0"/>
    <n v="0"/>
    <n v="0"/>
    <n v="0"/>
    <m/>
  </r>
  <r>
    <s v="Калужская"/>
    <s v="HSR Moscow"/>
    <x v="0"/>
    <s v="RADM Moscow"/>
    <x v="3"/>
    <x v="6"/>
    <m/>
    <m/>
    <m/>
    <m/>
    <s v="Open"/>
    <n v="5186064.9741831366"/>
    <n v="0"/>
    <n v="0"/>
    <n v="0"/>
    <n v="0"/>
    <n v="0"/>
    <n v="0"/>
    <n v="0"/>
    <m/>
  </r>
  <r>
    <s v="Кемеровская область - Кузбасс"/>
    <s v="HSR Moscow"/>
    <x v="0"/>
    <s v="RADM Moscow"/>
    <x v="3"/>
    <x v="6"/>
    <m/>
    <m/>
    <m/>
    <m/>
    <m/>
    <n v="1481732.8497666104"/>
    <n v="0"/>
    <n v="0"/>
    <n v="0"/>
    <n v="0"/>
    <n v="0"/>
    <n v="0"/>
    <n v="0"/>
    <m/>
  </r>
  <r>
    <s v="Костромская"/>
    <s v="HSR Moscow"/>
    <x v="0"/>
    <s v="RADM Moscow"/>
    <x v="3"/>
    <x v="6"/>
    <m/>
    <m/>
    <m/>
    <m/>
    <s v="TR"/>
    <n v="2222599.2746499158"/>
    <n v="0"/>
    <n v="0"/>
    <n v="0"/>
    <n v="0"/>
    <n v="0"/>
    <n v="0"/>
    <n v="0"/>
    <m/>
  </r>
  <r>
    <s v="Краснодарский"/>
    <s v="HSR Moscow"/>
    <x v="0"/>
    <s v="RADM Moscow"/>
    <x v="3"/>
    <x v="6"/>
    <m/>
    <m/>
    <m/>
    <m/>
    <m/>
    <n v="6667797.8239497459"/>
    <n v="0"/>
    <n v="0"/>
    <n v="0"/>
    <n v="0"/>
    <n v="0"/>
    <n v="0"/>
    <n v="0"/>
    <m/>
  </r>
  <r>
    <s v="Курская"/>
    <s v="HSR Moscow"/>
    <x v="0"/>
    <s v="RADM Moscow"/>
    <x v="3"/>
    <x v="6"/>
    <m/>
    <m/>
    <m/>
    <m/>
    <s v="TR"/>
    <n v="2222599.2746499158"/>
    <n v="0"/>
    <n v="0"/>
    <n v="0"/>
    <n v="0"/>
    <n v="0"/>
    <n v="0"/>
    <n v="0"/>
    <m/>
  </r>
  <r>
    <s v="Ленинградская"/>
    <s v="HSR Moscow"/>
    <x v="0"/>
    <s v="RADM Moscow"/>
    <x v="3"/>
    <x v="6"/>
    <m/>
    <m/>
    <m/>
    <m/>
    <m/>
    <n v="2963465.6995332208"/>
    <n v="0"/>
    <n v="0"/>
    <n v="0"/>
    <n v="0"/>
    <n v="0"/>
    <n v="0"/>
    <n v="0"/>
    <m/>
  </r>
  <r>
    <s v="Липецкая"/>
    <s v="HSR Moscow"/>
    <x v="0"/>
    <s v="RADM Moscow"/>
    <x v="3"/>
    <x v="6"/>
    <m/>
    <m/>
    <m/>
    <m/>
    <s v="TR"/>
    <n v="4445198.5492998315"/>
    <n v="0"/>
    <n v="0"/>
    <n v="0"/>
    <n v="0"/>
    <n v="0"/>
    <n v="0"/>
    <n v="0"/>
    <m/>
  </r>
  <r>
    <s v="Москва"/>
    <s v="HSR Moscow"/>
    <x v="0"/>
    <s v="RADM Moscow"/>
    <x v="3"/>
    <x v="6"/>
    <m/>
    <m/>
    <m/>
    <n v="1"/>
    <s v="Open"/>
    <n v="160027147.77479389"/>
    <n v="0"/>
    <n v="0"/>
    <n v="0"/>
    <n v="0"/>
    <n v="0"/>
    <n v="202930000"/>
    <n v="0"/>
    <m/>
  </r>
  <r>
    <s v="Московская"/>
    <s v="HSR Moscow"/>
    <x v="0"/>
    <s v="RADM Moscow"/>
    <x v="3"/>
    <x v="6"/>
    <m/>
    <m/>
    <m/>
    <m/>
    <s v="Open"/>
    <n v="98535234.509479582"/>
    <n v="0"/>
    <n v="0"/>
    <n v="0"/>
    <n v="0"/>
    <n v="0"/>
    <n v="158080000"/>
    <n v="0"/>
    <m/>
  </r>
  <r>
    <s v="Мурманская"/>
    <s v="HSR Moscow"/>
    <x v="0"/>
    <s v="RADM Moscow"/>
    <x v="3"/>
    <x v="6"/>
    <m/>
    <m/>
    <m/>
    <m/>
    <m/>
    <n v="1481732.8497666104"/>
    <n v="0"/>
    <n v="0"/>
    <n v="0"/>
    <n v="0"/>
    <n v="0"/>
    <n v="0"/>
    <n v="0"/>
    <m/>
  </r>
  <r>
    <s v="Нижегородская"/>
    <s v="HSR Moscow"/>
    <x v="0"/>
    <s v="RADM Moscow"/>
    <x v="3"/>
    <x v="6"/>
    <m/>
    <m/>
    <m/>
    <m/>
    <s v="TR"/>
    <n v="7408664.2488330519"/>
    <n v="0"/>
    <n v="0"/>
    <n v="0"/>
    <n v="0"/>
    <n v="0"/>
    <n v="0"/>
    <n v="0"/>
    <m/>
  </r>
  <r>
    <s v="Омская"/>
    <s v="HSR Moscow"/>
    <x v="0"/>
    <s v="RADM Moscow"/>
    <x v="3"/>
    <x v="6"/>
    <m/>
    <m/>
    <m/>
    <m/>
    <m/>
    <n v="2222599.2746499158"/>
    <n v="0"/>
    <n v="0"/>
    <n v="0"/>
    <n v="0"/>
    <n v="0"/>
    <n v="0"/>
    <n v="0"/>
    <m/>
  </r>
  <r>
    <s v="Орловская"/>
    <s v="HSR Moscow"/>
    <x v="0"/>
    <s v="RADM Moscow"/>
    <x v="3"/>
    <x v="6"/>
    <m/>
    <m/>
    <m/>
    <m/>
    <s v="TR"/>
    <n v="740866.42488330521"/>
    <n v="0"/>
    <n v="0"/>
    <n v="0"/>
    <n v="0"/>
    <n v="0"/>
    <n v="0"/>
    <n v="0"/>
    <m/>
  </r>
  <r>
    <s v="Пермский"/>
    <s v="HSR Moscow"/>
    <x v="0"/>
    <s v="RADM Moscow"/>
    <x v="3"/>
    <x v="6"/>
    <m/>
    <m/>
    <m/>
    <m/>
    <m/>
    <n v="1481732.8497666104"/>
    <n v="0"/>
    <n v="0"/>
    <n v="0"/>
    <n v="0"/>
    <n v="0"/>
    <n v="0"/>
    <n v="0"/>
    <m/>
  </r>
  <r>
    <s v="Псковская"/>
    <s v="HSR Moscow"/>
    <x v="0"/>
    <s v="RADM Moscow"/>
    <x v="3"/>
    <x v="6"/>
    <m/>
    <m/>
    <m/>
    <m/>
    <m/>
    <n v="740866.42488330521"/>
    <n v="0"/>
    <n v="0"/>
    <n v="0"/>
    <n v="0"/>
    <n v="0"/>
    <n v="0"/>
    <n v="0"/>
    <m/>
  </r>
  <r>
    <s v="Ростовская"/>
    <s v="HSR Moscow"/>
    <x v="0"/>
    <s v="RADM Moscow"/>
    <x v="3"/>
    <x v="6"/>
    <m/>
    <m/>
    <m/>
    <m/>
    <m/>
    <n v="2963465.6995332208"/>
    <n v="0"/>
    <n v="0"/>
    <n v="0"/>
    <n v="0"/>
    <n v="0"/>
    <n v="0"/>
    <n v="0"/>
    <m/>
  </r>
  <r>
    <s v="Рязанская"/>
    <s v="HSR Moscow"/>
    <x v="0"/>
    <s v="RADM Moscow"/>
    <x v="3"/>
    <x v="6"/>
    <m/>
    <m/>
    <m/>
    <m/>
    <s v="Open"/>
    <n v="2963465.6995332208"/>
    <n v="0"/>
    <n v="0"/>
    <n v="0"/>
    <n v="0"/>
    <n v="0"/>
    <n v="0"/>
    <n v="0"/>
    <m/>
  </r>
  <r>
    <s v="Самарская"/>
    <s v="HSR Moscow"/>
    <x v="0"/>
    <s v="RADM Moscow"/>
    <x v="3"/>
    <x v="6"/>
    <m/>
    <m/>
    <m/>
    <m/>
    <m/>
    <n v="3704332.1244165259"/>
    <n v="0"/>
    <n v="0"/>
    <n v="0"/>
    <n v="0"/>
    <n v="0"/>
    <n v="0"/>
    <n v="0"/>
    <m/>
  </r>
  <r>
    <s v="Санкт-Петербург"/>
    <s v="HSR Moscow"/>
    <x v="0"/>
    <s v="RADM Moscow"/>
    <x v="3"/>
    <x v="6"/>
    <m/>
    <m/>
    <m/>
    <m/>
    <s v="TR"/>
    <n v="34820721.969515346"/>
    <n v="0"/>
    <n v="0"/>
    <n v="0"/>
    <n v="0"/>
    <n v="0"/>
    <n v="0"/>
    <n v="0"/>
    <m/>
  </r>
  <r>
    <s v="Саратовская"/>
    <s v="HSR Moscow"/>
    <x v="0"/>
    <s v="RADM Moscow"/>
    <x v="3"/>
    <x v="6"/>
    <m/>
    <m/>
    <m/>
    <m/>
    <m/>
    <n v="2222599.2746499158"/>
    <n v="0"/>
    <n v="0"/>
    <n v="0"/>
    <n v="0"/>
    <n v="0"/>
    <n v="0"/>
    <n v="0"/>
    <m/>
  </r>
  <r>
    <s v="Свердловская"/>
    <s v="HSR Moscow"/>
    <x v="0"/>
    <s v="RADM Moscow"/>
    <x v="3"/>
    <x v="6"/>
    <m/>
    <m/>
    <m/>
    <m/>
    <s v="Open"/>
    <n v="6667797.8239497459"/>
    <n v="0"/>
    <n v="0"/>
    <n v="0"/>
    <n v="0"/>
    <n v="0"/>
    <n v="0"/>
    <n v="0"/>
    <m/>
  </r>
  <r>
    <s v="Тамбовская"/>
    <s v="HSR Moscow"/>
    <x v="0"/>
    <s v="RADM Moscow"/>
    <x v="3"/>
    <x v="6"/>
    <m/>
    <m/>
    <m/>
    <m/>
    <m/>
    <n v="740866.42488330521"/>
    <n v="0"/>
    <n v="0"/>
    <n v="0"/>
    <n v="0"/>
    <n v="0"/>
    <n v="0"/>
    <n v="0"/>
    <m/>
  </r>
  <r>
    <s v="Татарстан"/>
    <s v="HSR Moscow"/>
    <x v="0"/>
    <s v="RADM Moscow"/>
    <x v="3"/>
    <x v="6"/>
    <m/>
    <m/>
    <m/>
    <m/>
    <s v="Open"/>
    <n v="5186064.9741831366"/>
    <n v="0"/>
    <n v="0"/>
    <n v="0"/>
    <n v="0"/>
    <n v="0"/>
    <n v="0"/>
    <n v="0"/>
    <m/>
  </r>
  <r>
    <s v="Тверская"/>
    <s v="HSR Moscow"/>
    <x v="0"/>
    <s v="RADM Moscow"/>
    <x v="3"/>
    <x v="6"/>
    <m/>
    <m/>
    <m/>
    <m/>
    <s v="TR"/>
    <n v="2222599.2746499158"/>
    <n v="0"/>
    <n v="0"/>
    <n v="0"/>
    <n v="0"/>
    <n v="0"/>
    <n v="0"/>
    <n v="0"/>
    <m/>
  </r>
  <r>
    <s v="Тульская"/>
    <s v="HSR Moscow"/>
    <x v="0"/>
    <s v="RADM Moscow"/>
    <x v="3"/>
    <x v="6"/>
    <m/>
    <m/>
    <m/>
    <m/>
    <s v="Open"/>
    <n v="8149530.673716356"/>
    <n v="0"/>
    <n v="0"/>
    <n v="0"/>
    <n v="0"/>
    <n v="0"/>
    <n v="0"/>
    <n v="0"/>
    <m/>
  </r>
  <r>
    <s v="Тюменская"/>
    <s v="HSR Moscow"/>
    <x v="0"/>
    <s v="RADM Moscow"/>
    <x v="3"/>
    <x v="6"/>
    <m/>
    <m/>
    <m/>
    <m/>
    <s v="Open"/>
    <n v="3704332.1244165259"/>
    <n v="0"/>
    <n v="0"/>
    <n v="0"/>
    <n v="0"/>
    <n v="0"/>
    <n v="0"/>
    <n v="0"/>
    <m/>
  </r>
  <r>
    <s v="Ульяновская"/>
    <s v="HSR Moscow"/>
    <x v="0"/>
    <s v="RADM Moscow"/>
    <x v="3"/>
    <x v="6"/>
    <m/>
    <m/>
    <m/>
    <m/>
    <m/>
    <n v="740866.42488330521"/>
    <n v="0"/>
    <n v="0"/>
    <n v="0"/>
    <n v="0"/>
    <n v="0"/>
    <n v="0"/>
    <n v="0"/>
    <m/>
  </r>
  <r>
    <s v="Ханты-Мансийский Автономный округ - Югра"/>
    <s v="HSR Moscow"/>
    <x v="0"/>
    <s v="RADM Moscow"/>
    <x v="3"/>
    <x v="6"/>
    <m/>
    <m/>
    <m/>
    <m/>
    <m/>
    <n v="3704332.1244165259"/>
    <n v="0"/>
    <n v="0"/>
    <n v="0"/>
    <n v="0"/>
    <n v="0"/>
    <n v="0"/>
    <n v="0"/>
    <m/>
  </r>
  <r>
    <s v="Челябинская"/>
    <s v="HSR Moscow"/>
    <x v="0"/>
    <s v="RADM Moscow"/>
    <x v="3"/>
    <x v="6"/>
    <m/>
    <m/>
    <m/>
    <m/>
    <m/>
    <n v="2963465.6995332208"/>
    <n v="0"/>
    <n v="0"/>
    <n v="0"/>
    <n v="0"/>
    <n v="0"/>
    <n v="0"/>
    <n v="0"/>
    <m/>
  </r>
  <r>
    <s v="Ярославская"/>
    <s v="HSR Moscow"/>
    <x v="0"/>
    <s v="RADM Moscow"/>
    <x v="3"/>
    <x v="6"/>
    <m/>
    <m/>
    <m/>
    <m/>
    <s v="TR"/>
    <n v="5186064.9741831366"/>
    <n v="0"/>
    <n v="0"/>
    <n v="0"/>
    <n v="0"/>
    <n v="0"/>
    <n v="0"/>
    <n v="0"/>
    <m/>
  </r>
  <r>
    <s v="Нижегородская"/>
    <s v="HSR Moscow"/>
    <x v="0"/>
    <s v="RADM Moscow"/>
    <x v="3"/>
    <x v="7"/>
    <m/>
    <s v="Сладкая жизнь Плюс ООО"/>
    <m/>
    <n v="2"/>
    <m/>
    <n v="4133704.7500000019"/>
    <n v="0"/>
    <n v="0"/>
    <n v="0"/>
    <n v="0"/>
    <n v="0"/>
    <n v="0"/>
    <n v="0"/>
    <m/>
  </r>
  <r>
    <s v="Владимирская"/>
    <s v="HSR Moscow"/>
    <x v="0"/>
    <s v="RADM Moscow"/>
    <x v="3"/>
    <x v="7"/>
    <m/>
    <s v="Сладкая жизнь Плюс ООО"/>
    <m/>
    <m/>
    <m/>
    <n v="106329968.9599999"/>
    <n v="0"/>
    <n v="0"/>
    <n v="0"/>
    <n v="0"/>
    <n v="0"/>
    <n v="0"/>
    <n v="0"/>
    <m/>
  </r>
  <r>
    <s v="Ивановская"/>
    <s v="HSR Moscow"/>
    <x v="0"/>
    <s v="RADM Moscow"/>
    <x v="3"/>
    <x v="7"/>
    <m/>
    <s v="Сладкая жизнь Плюс ООО"/>
    <m/>
    <m/>
    <m/>
    <n v="33638771.900000058"/>
    <n v="0"/>
    <n v="0"/>
    <n v="0"/>
    <n v="0"/>
    <n v="0"/>
    <n v="0"/>
    <n v="0"/>
    <m/>
  </r>
  <r>
    <s v="Кировская"/>
    <s v="HSR Moscow"/>
    <x v="0"/>
    <s v="RADM Moscow"/>
    <x v="3"/>
    <x v="7"/>
    <m/>
    <s v="Сладкая жизнь Плюс ООО"/>
    <m/>
    <m/>
    <m/>
    <n v="17735235.059999984"/>
    <n v="0"/>
    <n v="0"/>
    <n v="0"/>
    <n v="0"/>
    <n v="0"/>
    <n v="0"/>
    <n v="0"/>
    <m/>
  </r>
  <r>
    <s v="Костромская"/>
    <s v="HSR Moscow"/>
    <x v="0"/>
    <s v="RADM Moscow"/>
    <x v="3"/>
    <x v="7"/>
    <m/>
    <s v="Сладкая жизнь Плюс ООО"/>
    <m/>
    <m/>
    <m/>
    <n v="37869.070000000007"/>
    <n v="0"/>
    <n v="0"/>
    <n v="0"/>
    <n v="0"/>
    <n v="0"/>
    <n v="0"/>
    <n v="0"/>
    <m/>
  </r>
  <r>
    <s v="Марий Эл"/>
    <s v="HSR Moscow"/>
    <x v="0"/>
    <s v="RADM Moscow"/>
    <x v="3"/>
    <x v="7"/>
    <m/>
    <s v="Сладкая жизнь Плюс ООО"/>
    <m/>
    <m/>
    <m/>
    <n v="38645289.219999984"/>
    <n v="0"/>
    <n v="0"/>
    <n v="0"/>
    <n v="0"/>
    <n v="0"/>
    <n v="0"/>
    <n v="0"/>
    <m/>
  </r>
  <r>
    <s v="Мордовия"/>
    <s v="HSR Moscow"/>
    <x v="0"/>
    <s v="RADM Moscow"/>
    <x v="3"/>
    <x v="7"/>
    <m/>
    <s v="Сладкая жизнь Плюс ООО"/>
    <m/>
    <m/>
    <m/>
    <n v="47237007.010000035"/>
    <n v="0"/>
    <n v="0"/>
    <n v="0"/>
    <n v="0"/>
    <n v="0"/>
    <n v="0"/>
    <n v="0"/>
    <m/>
  </r>
  <r>
    <s v="Нижегородская"/>
    <s v="HSR Moscow"/>
    <x v="0"/>
    <s v="RADM Moscow"/>
    <x v="3"/>
    <x v="7"/>
    <m/>
    <s v="Сладкая жизнь Плюс ООО"/>
    <m/>
    <m/>
    <m/>
    <n v="536814012.13001424"/>
    <n v="0"/>
    <n v="0"/>
    <n v="0"/>
    <n v="0"/>
    <n v="0"/>
    <n v="0"/>
    <n v="0"/>
    <m/>
  </r>
  <r>
    <s v="Пензенская"/>
    <s v="HSR Moscow"/>
    <x v="0"/>
    <s v="RADM Moscow"/>
    <x v="3"/>
    <x v="7"/>
    <m/>
    <s v="Сладкая жизнь Плюс ООО"/>
    <m/>
    <m/>
    <m/>
    <n v="13739359.569999987"/>
    <n v="0"/>
    <n v="0"/>
    <n v="0"/>
    <n v="0"/>
    <n v="0"/>
    <n v="0"/>
    <n v="0"/>
    <m/>
  </r>
  <r>
    <s v="Рязанская"/>
    <s v="HSR Moscow"/>
    <x v="0"/>
    <s v="RADM Moscow"/>
    <x v="3"/>
    <x v="7"/>
    <m/>
    <s v="Сладкая жизнь Плюс ООО"/>
    <m/>
    <m/>
    <m/>
    <n v="8153129.5399999972"/>
    <n v="0"/>
    <n v="0"/>
    <n v="0"/>
    <n v="0"/>
    <n v="0"/>
    <n v="0"/>
    <n v="0"/>
    <m/>
  </r>
  <r>
    <s v="Татарстан"/>
    <s v="HSR Moscow"/>
    <x v="0"/>
    <s v="RADM Moscow"/>
    <x v="3"/>
    <x v="7"/>
    <m/>
    <s v="Сладкая жизнь Плюс ООО"/>
    <m/>
    <m/>
    <m/>
    <n v="22475823.93999996"/>
    <n v="0"/>
    <n v="0"/>
    <n v="0"/>
    <n v="0"/>
    <n v="0"/>
    <n v="0"/>
    <n v="0"/>
    <m/>
  </r>
  <r>
    <s v="Чувашская Республика -"/>
    <s v="HSR Moscow"/>
    <x v="0"/>
    <s v="RADM Moscow"/>
    <x v="3"/>
    <x v="7"/>
    <m/>
    <s v="Сладкая жизнь Плюс ООО"/>
    <m/>
    <m/>
    <m/>
    <n v="27729672.150000017"/>
    <n v="0"/>
    <n v="0"/>
    <n v="0"/>
    <n v="0"/>
    <n v="0"/>
    <n v="0"/>
    <n v="0"/>
    <m/>
  </r>
  <r>
    <s v="Ярославская"/>
    <s v="HSR Moscow"/>
    <x v="0"/>
    <s v="RADM Moscow"/>
    <x v="3"/>
    <x v="7"/>
    <m/>
    <s v="Сладкая жизнь Плюс ООО"/>
    <m/>
    <m/>
    <m/>
    <n v="12720317.61999999"/>
    <n v="0"/>
    <n v="0"/>
    <n v="0"/>
    <n v="0"/>
    <n v="0"/>
    <n v="0"/>
    <n v="0"/>
    <m/>
  </r>
  <r>
    <s v="Нижегородская"/>
    <s v="HSR Moscow"/>
    <x v="0"/>
    <s v="RADM Moscow"/>
    <x v="3"/>
    <x v="7"/>
    <m/>
    <s v="Сладкая Жизнь Плюс ООО (Москва)"/>
    <m/>
    <m/>
    <m/>
    <n v="4173924.4899999993"/>
    <n v="0"/>
    <n v="0"/>
    <n v="0"/>
    <n v="0"/>
    <n v="0"/>
    <n v="0"/>
    <n v="0"/>
    <m/>
  </r>
  <r>
    <s v="Владимирская"/>
    <s v="HSR Moscow"/>
    <x v="0"/>
    <s v="RADM Moscow"/>
    <x v="3"/>
    <x v="7"/>
    <m/>
    <s v="Сладкая Жизнь Плюс ООО (Москва)"/>
    <m/>
    <m/>
    <m/>
    <n v="11023567.570000023"/>
    <n v="0"/>
    <n v="0"/>
    <n v="0"/>
    <n v="0"/>
    <n v="0"/>
    <n v="0"/>
    <n v="0"/>
    <m/>
  </r>
  <r>
    <s v="Калужская"/>
    <s v="HSR Moscow"/>
    <x v="0"/>
    <s v="RADM Moscow"/>
    <x v="3"/>
    <x v="7"/>
    <m/>
    <s v="Сладкая Жизнь Плюс ООО (Москва)"/>
    <m/>
    <m/>
    <m/>
    <n v="23926032.889999863"/>
    <n v="0"/>
    <n v="0"/>
    <n v="0"/>
    <n v="0"/>
    <n v="0"/>
    <n v="0"/>
    <n v="0"/>
    <m/>
  </r>
  <r>
    <s v="Ленинградская"/>
    <s v="HSR Moscow"/>
    <x v="0"/>
    <s v="RADM Moscow"/>
    <x v="3"/>
    <x v="7"/>
    <m/>
    <s v="Сладкая Жизнь Плюс ООО (Москва)"/>
    <m/>
    <m/>
    <m/>
    <n v="123535.67"/>
    <n v="0"/>
    <n v="0"/>
    <n v="0"/>
    <n v="0"/>
    <n v="0"/>
    <n v="0"/>
    <n v="0"/>
    <m/>
  </r>
  <r>
    <s v="Москва"/>
    <s v="HSR Moscow"/>
    <x v="0"/>
    <s v="RADM Moscow"/>
    <x v="3"/>
    <x v="7"/>
    <m/>
    <s v="Сладкая Жизнь Плюс ООО (Москва)"/>
    <m/>
    <m/>
    <m/>
    <n v="107010419.06999928"/>
    <n v="0"/>
    <n v="0"/>
    <n v="0"/>
    <n v="0"/>
    <n v="0"/>
    <n v="0"/>
    <n v="0"/>
    <m/>
  </r>
  <r>
    <s v="Московская"/>
    <s v="HSR Moscow"/>
    <x v="0"/>
    <s v="RADM Moscow"/>
    <x v="3"/>
    <x v="7"/>
    <m/>
    <s v="Сладкая Жизнь Плюс ООО (Москва)"/>
    <m/>
    <m/>
    <m/>
    <n v="154799260.07999986"/>
    <n v="0"/>
    <n v="0"/>
    <n v="0"/>
    <n v="0"/>
    <n v="0"/>
    <n v="0"/>
    <n v="0"/>
    <m/>
  </r>
  <r>
    <s v="Санкт-Петербург"/>
    <s v="HSR Moscow"/>
    <x v="0"/>
    <s v="RADM Moscow"/>
    <x v="3"/>
    <x v="7"/>
    <m/>
    <s v="Сладкая Жизнь Плюс ООО (Москва)"/>
    <m/>
    <m/>
    <m/>
    <n v="7796925.8200000012"/>
    <n v="0"/>
    <n v="0"/>
    <n v="0"/>
    <n v="0"/>
    <n v="0"/>
    <n v="0"/>
    <n v="0"/>
    <m/>
  </r>
  <r>
    <s v="Тверская"/>
    <s v="HSR Moscow"/>
    <x v="0"/>
    <s v="RADM Moscow"/>
    <x v="3"/>
    <x v="7"/>
    <m/>
    <s v="Сладкая Жизнь Плюс ООО (Москва)"/>
    <m/>
    <m/>
    <m/>
    <n v="2517045.3900000011"/>
    <n v="0"/>
    <n v="0"/>
    <n v="0"/>
    <n v="0"/>
    <n v="0"/>
    <n v="0"/>
    <n v="0"/>
    <m/>
  </r>
  <r>
    <s v="Ярославская"/>
    <s v="HSR Moscow"/>
    <x v="0"/>
    <s v="RADM Moscow"/>
    <x v="3"/>
    <x v="7"/>
    <m/>
    <s v="Сладкая Жизнь Плюс ООО (Москва)"/>
    <m/>
    <m/>
    <m/>
    <n v="445154.67000000004"/>
    <n v="0"/>
    <n v="0"/>
    <n v="0"/>
    <n v="0"/>
    <n v="0"/>
    <n v="0"/>
    <n v="0"/>
    <m/>
  </r>
  <r>
    <s v="Ленинградская"/>
    <s v="HSR Moscow"/>
    <x v="0"/>
    <s v="DDM MOS Sladkaay Zhizn"/>
    <x v="0"/>
    <x v="0"/>
    <m/>
    <s v="Денди ЗАО"/>
    <m/>
    <m/>
    <m/>
    <n v="5423625.7199999932"/>
    <n v="0"/>
    <n v="0"/>
    <n v="0"/>
    <n v="0"/>
    <n v="0"/>
    <n v="0"/>
    <n v="0"/>
    <m/>
  </r>
  <r>
    <s v="Мурманская"/>
    <s v="HSR Moscow"/>
    <x v="0"/>
    <s v="DDM MOS Sladkaay Zhizn"/>
    <x v="0"/>
    <x v="0"/>
    <m/>
    <s v="Денди ЗАО"/>
    <m/>
    <m/>
    <m/>
    <n v="1456400.8099999996"/>
    <n v="0"/>
    <n v="0"/>
    <n v="0"/>
    <n v="0"/>
    <n v="0"/>
    <n v="0"/>
    <n v="0"/>
    <m/>
  </r>
  <r>
    <s v="Санкт-Петербург"/>
    <s v="HSR Moscow"/>
    <x v="0"/>
    <s v="DDM MOS Sladkaay Zhizn"/>
    <x v="0"/>
    <x v="0"/>
    <m/>
    <s v="Денди ЗАО"/>
    <m/>
    <n v="1"/>
    <m/>
    <n v="54851077.389999077"/>
    <n v="0"/>
    <n v="0"/>
    <n v="0"/>
    <n v="0"/>
    <n v="0"/>
    <n v="0"/>
    <n v="0"/>
    <m/>
  </r>
  <r>
    <s v="Башкортостан"/>
    <s v="HSR Moscow"/>
    <x v="0"/>
    <s v="DDM MOS Sladkaay Zhizn"/>
    <x v="0"/>
    <x v="0"/>
    <m/>
    <s v="СОРСО-СТР ООО"/>
    <m/>
    <m/>
    <m/>
    <n v="25370.440000000002"/>
    <n v="0"/>
    <n v="0"/>
    <n v="0"/>
    <n v="0"/>
    <n v="0"/>
    <n v="0"/>
    <n v="0"/>
    <m/>
  </r>
  <r>
    <s v="Владимирская"/>
    <s v="HSR Moscow"/>
    <x v="0"/>
    <s v="DDM MOS Sladkaay Zhizn"/>
    <x v="0"/>
    <x v="0"/>
    <m/>
    <s v="СОРСО-СТР ООО"/>
    <m/>
    <m/>
    <m/>
    <n v="18648.36"/>
    <n v="0"/>
    <n v="0"/>
    <n v="0"/>
    <n v="0"/>
    <n v="0"/>
    <n v="0"/>
    <n v="0"/>
    <m/>
  </r>
  <r>
    <s v="Воронежская"/>
    <s v="HSR Moscow"/>
    <x v="0"/>
    <s v="DDM MOS Sladkaay Zhizn"/>
    <x v="0"/>
    <x v="0"/>
    <m/>
    <s v="СОРСО-СТР ООО"/>
    <m/>
    <m/>
    <m/>
    <n v="2366.4"/>
    <n v="0"/>
    <n v="0"/>
    <n v="0"/>
    <n v="0"/>
    <n v="0"/>
    <n v="0"/>
    <n v="0"/>
    <m/>
  </r>
  <r>
    <s v="Москва"/>
    <s v="HSR Moscow"/>
    <x v="0"/>
    <s v="DDM MOS Sladkaay Zhizn"/>
    <x v="0"/>
    <x v="0"/>
    <m/>
    <s v="СОРСО-СТР ООО"/>
    <m/>
    <m/>
    <m/>
    <n v="37065.72"/>
    <n v="0"/>
    <n v="0"/>
    <n v="0"/>
    <n v="0"/>
    <n v="0"/>
    <n v="0"/>
    <n v="0"/>
    <m/>
  </r>
  <r>
    <s v="Московская"/>
    <s v="HSR Moscow"/>
    <x v="0"/>
    <s v="DDM MOS Sladkaay Zhizn"/>
    <x v="0"/>
    <x v="0"/>
    <m/>
    <s v="СОРСО-СТР ООО"/>
    <m/>
    <m/>
    <m/>
    <n v="7905.2800000000007"/>
    <n v="0"/>
    <n v="0"/>
    <n v="0"/>
    <n v="0"/>
    <n v="0"/>
    <n v="0"/>
    <n v="0"/>
    <m/>
  </r>
  <r>
    <s v="Новосибирская"/>
    <s v="HSR Moscow"/>
    <x v="0"/>
    <s v="DDM MOS Sladkaay Zhizn"/>
    <x v="0"/>
    <x v="0"/>
    <m/>
    <s v="СОРСО-СТР ООО"/>
    <m/>
    <m/>
    <m/>
    <n v="8188.1200000000008"/>
    <n v="0"/>
    <n v="0"/>
    <n v="0"/>
    <n v="0"/>
    <n v="0"/>
    <n v="0"/>
    <n v="0"/>
    <m/>
  </r>
  <r>
    <s v="Пермский"/>
    <s v="HSR Moscow"/>
    <x v="0"/>
    <s v="DDM MOS Sladkaay Zhizn"/>
    <x v="0"/>
    <x v="0"/>
    <m/>
    <s v="СОРСО-СТР ООО"/>
    <m/>
    <m/>
    <m/>
    <n v="16376.24"/>
    <n v="0"/>
    <n v="0"/>
    <n v="0"/>
    <n v="0"/>
    <n v="0"/>
    <n v="0"/>
    <n v="0"/>
    <m/>
  </r>
  <r>
    <s v="Самарская"/>
    <s v="HSR Moscow"/>
    <x v="0"/>
    <s v="DDM MOS Sladkaay Zhizn"/>
    <x v="0"/>
    <x v="0"/>
    <m/>
    <s v="СОРСО-СТР ООО"/>
    <m/>
    <m/>
    <m/>
    <n v="21109.040000000001"/>
    <n v="0"/>
    <n v="0"/>
    <n v="0"/>
    <n v="0"/>
    <n v="0"/>
    <n v="0"/>
    <n v="0"/>
    <m/>
  </r>
  <r>
    <s v="Саратовская"/>
    <s v="HSR Moscow"/>
    <x v="0"/>
    <s v="DDM MOS Sladkaay Zhizn"/>
    <x v="0"/>
    <x v="0"/>
    <m/>
    <s v="СОРСО-СТР ООО"/>
    <m/>
    <m/>
    <m/>
    <n v="1183.2"/>
    <n v="0"/>
    <n v="0"/>
    <n v="0"/>
    <n v="0"/>
    <n v="0"/>
    <n v="0"/>
    <n v="0"/>
    <m/>
  </r>
  <r>
    <s v="Свердловская"/>
    <s v="HSR Moscow"/>
    <x v="0"/>
    <s v="DDM MOS Sladkaay Zhizn"/>
    <x v="0"/>
    <x v="0"/>
    <m/>
    <s v="СОРСО-СТР ООО"/>
    <m/>
    <m/>
    <m/>
    <n v="3549.6000000000004"/>
    <n v="0"/>
    <n v="0"/>
    <n v="0"/>
    <n v="0"/>
    <n v="0"/>
    <n v="0"/>
    <n v="0"/>
    <m/>
  </r>
  <r>
    <s v="Ростовская"/>
    <s v="HSR Moscow"/>
    <x v="0"/>
    <s v="DDM MOS Sladkaay Zhizn"/>
    <x v="0"/>
    <x v="0"/>
    <m/>
    <s v="Миллениум-Дон ООО"/>
    <m/>
    <m/>
    <m/>
    <n v="921680.2300000001"/>
    <n v="0"/>
    <n v="0"/>
    <n v="0"/>
    <n v="0"/>
    <n v="0"/>
    <n v="0"/>
    <n v="0"/>
    <m/>
  </r>
  <r>
    <s v="Новосибирская"/>
    <s v="HSR Moscow"/>
    <x v="0"/>
    <s v="DDM MOS Sladkaay Zhizn"/>
    <x v="0"/>
    <x v="0"/>
    <m/>
    <s v="РП Альянс ООО"/>
    <m/>
    <m/>
    <m/>
    <n v="5926665.4000000013"/>
    <n v="0"/>
    <n v="0"/>
    <n v="0"/>
    <n v="0"/>
    <n v="0"/>
    <n v="0"/>
    <n v="0"/>
    <m/>
  </r>
  <r>
    <s v="Владимирская"/>
    <s v="HSR Moscow"/>
    <x v="0"/>
    <s v="DDM MOS Sladkaay Zhizn"/>
    <x v="0"/>
    <x v="0"/>
    <m/>
    <s v="Сладкая жизнь Плюс ООО"/>
    <m/>
    <m/>
    <m/>
    <n v="5086111.4299999988"/>
    <n v="0"/>
    <n v="0"/>
    <n v="0"/>
    <n v="0"/>
    <n v="0"/>
    <n v="0"/>
    <n v="0"/>
    <m/>
  </r>
  <r>
    <s v="Нижегородская"/>
    <s v="HSR Moscow"/>
    <x v="0"/>
    <s v="DDM MOS Sladkaay Zhizn"/>
    <x v="0"/>
    <x v="0"/>
    <m/>
    <s v="Сладкая жизнь Плюс ООО"/>
    <m/>
    <n v="1"/>
    <m/>
    <n v="26291849.469999973"/>
    <n v="0"/>
    <n v="0"/>
    <n v="0"/>
    <n v="0"/>
    <n v="0"/>
    <n v="0"/>
    <n v="0"/>
    <m/>
  </r>
  <r>
    <s v="Татарстан"/>
    <s v="HSR Moscow"/>
    <x v="0"/>
    <s v="DDM MOS Sladkaay Zhizn"/>
    <x v="0"/>
    <x v="0"/>
    <m/>
    <s v="Сладкая жизнь Плюс ООО"/>
    <m/>
    <m/>
    <m/>
    <n v="22420066.279999983"/>
    <n v="0"/>
    <n v="0"/>
    <n v="0"/>
    <n v="0"/>
    <n v="0"/>
    <n v="0"/>
    <n v="0"/>
    <m/>
  </r>
  <r>
    <s v="Москва"/>
    <s v="HSR Moscow"/>
    <x v="0"/>
    <s v="DDM MOS Sladkaay Zhizn"/>
    <x v="0"/>
    <x v="0"/>
    <m/>
    <s v="Сладкая Жизнь Плюс ООО (Москва)"/>
    <m/>
    <m/>
    <m/>
    <n v="85074102.199999839"/>
    <n v="0"/>
    <n v="0"/>
    <n v="0"/>
    <n v="0"/>
    <n v="0"/>
    <n v="0"/>
    <n v="0"/>
    <m/>
  </r>
  <r>
    <s v="Московская"/>
    <s v="HSR Moscow"/>
    <x v="0"/>
    <s v="DDM MOS Sladkaay Zhizn"/>
    <x v="0"/>
    <x v="0"/>
    <m/>
    <s v="Сладкая Жизнь Плюс ООО (Москва)"/>
    <m/>
    <m/>
    <m/>
    <n v="3823372.6700000009"/>
    <n v="0"/>
    <n v="0"/>
    <n v="0"/>
    <n v="0"/>
    <n v="0"/>
    <n v="0"/>
    <n v="0"/>
    <m/>
  </r>
  <r>
    <s v="Воронежская"/>
    <s v="HSR Moscow"/>
    <x v="0"/>
    <s v="DDM MOS Sladkaay Zhizn"/>
    <x v="0"/>
    <x v="0"/>
    <m/>
    <s v="Фуд-Трейд ООО (Воронеж)"/>
    <m/>
    <m/>
    <m/>
    <n v="8536955.5500000007"/>
    <n v="0"/>
    <n v="0"/>
    <n v="0"/>
    <n v="0"/>
    <n v="0"/>
    <n v="0"/>
    <n v="0"/>
    <m/>
  </r>
  <r>
    <s v="Краснодарский"/>
    <s v="HSR Moscow"/>
    <x v="0"/>
    <s v="DDM MOS Sladkaay Zhizn"/>
    <x v="0"/>
    <x v="0"/>
    <m/>
    <s v="Фуд-Трейд ООО (Воронеж)"/>
    <m/>
    <m/>
    <m/>
    <n v="10671112.189999996"/>
    <n v="0"/>
    <n v="0"/>
    <n v="0"/>
    <n v="0"/>
    <n v="0"/>
    <n v="0"/>
    <n v="0"/>
    <m/>
  </r>
  <r>
    <s v="Ростовская"/>
    <s v="HSR Moscow"/>
    <x v="0"/>
    <s v="DDM MOS Sladkaay Zhizn"/>
    <x v="0"/>
    <x v="0"/>
    <m/>
    <s v="Фуд-Трейд ООО (Воронеж)"/>
    <m/>
    <m/>
    <m/>
    <n v="647650.9600000002"/>
    <n v="0"/>
    <n v="0"/>
    <n v="0"/>
    <n v="0"/>
    <n v="0"/>
    <n v="0"/>
    <n v="0"/>
    <m/>
  </r>
  <r>
    <s v="Саратовская"/>
    <s v="HSR Moscow"/>
    <x v="0"/>
    <s v="DDM MOS Sladkaay Zhizn"/>
    <x v="0"/>
    <x v="0"/>
    <m/>
    <s v="Фуд-Трейд ООО (Воронеж)"/>
    <m/>
    <m/>
    <m/>
    <n v="4282666.66"/>
    <n v="0"/>
    <n v="0"/>
    <n v="0"/>
    <n v="0"/>
    <n v="0"/>
    <n v="0"/>
    <n v="0"/>
    <m/>
  </r>
  <r>
    <s v="Ставропольский"/>
    <s v="HSR Moscow"/>
    <x v="0"/>
    <s v="DDM MOS Sladkaay Zhizn"/>
    <x v="0"/>
    <x v="0"/>
    <m/>
    <s v="Фуд-Трейд ООО (Воронеж)"/>
    <m/>
    <m/>
    <m/>
    <n v="6853605.1999999909"/>
    <n v="0"/>
    <n v="0"/>
    <n v="0"/>
    <n v="0"/>
    <n v="0"/>
    <n v="0"/>
    <n v="0"/>
    <m/>
  </r>
  <r>
    <s v="Новосибирская"/>
    <s v="HSR Moscow"/>
    <x v="0"/>
    <s v="DDM MOS Sladkaay Zhizn"/>
    <x v="0"/>
    <x v="0"/>
    <m/>
    <s v="Фуд-Трейд ООО (Новосибирск)"/>
    <m/>
    <m/>
    <m/>
    <n v="3186751.46"/>
    <n v="0"/>
    <n v="0"/>
    <n v="0"/>
    <n v="0"/>
    <n v="0"/>
    <n v="0"/>
    <n v="0"/>
    <m/>
  </r>
  <r>
    <s v="Пермский"/>
    <s v="HSR Moscow"/>
    <x v="0"/>
    <s v="DDM MOS Sladkaay Zhizn"/>
    <x v="0"/>
    <x v="0"/>
    <m/>
    <s v="Фуд-Трейд ООО (Пермь)"/>
    <m/>
    <m/>
    <m/>
    <n v="17566407.939999998"/>
    <n v="0"/>
    <n v="0"/>
    <n v="0"/>
    <n v="0"/>
    <n v="0"/>
    <n v="0"/>
    <n v="0"/>
    <m/>
  </r>
  <r>
    <s v="Челябинская"/>
    <s v="HSR Moscow"/>
    <x v="0"/>
    <s v="DDM MOS Sladkaay Zhizn"/>
    <x v="0"/>
    <x v="0"/>
    <m/>
    <s v="Фуд-Трейд ООО (Пермь)"/>
    <m/>
    <m/>
    <m/>
    <n v="664339.91000000038"/>
    <n v="0"/>
    <n v="0"/>
    <n v="0"/>
    <n v="0"/>
    <n v="0"/>
    <n v="0"/>
    <n v="0"/>
    <m/>
  </r>
  <r>
    <s v="Самарская"/>
    <s v="HSR Moscow"/>
    <x v="0"/>
    <s v="DDM MOS Sladkaay Zhizn"/>
    <x v="0"/>
    <x v="0"/>
    <m/>
    <s v="Фуд-Трейд ООО (Самара)"/>
    <m/>
    <m/>
    <m/>
    <n v="8668249.0399999991"/>
    <n v="0"/>
    <n v="0"/>
    <n v="0"/>
    <n v="0"/>
    <n v="0"/>
    <n v="0"/>
    <n v="0"/>
    <m/>
  </r>
  <r>
    <s v="Свердловская"/>
    <s v="HSR Moscow"/>
    <x v="0"/>
    <s v="DDM MOS Sladkaay Zhizn"/>
    <x v="0"/>
    <x v="0"/>
    <m/>
    <s v="Эвенкс ООО (Екатеринбург)"/>
    <m/>
    <m/>
    <m/>
    <n v="20660.689999999999"/>
    <n v="0"/>
    <n v="0"/>
    <n v="0"/>
    <n v="0"/>
    <n v="0"/>
    <n v="0"/>
    <n v="0"/>
    <m/>
  </r>
  <r>
    <s v="Белгородская"/>
    <s v="HSR Moscow"/>
    <x v="0"/>
    <s v="RADM Moscow"/>
    <x v="3"/>
    <x v="6"/>
    <m/>
    <s v="СОРСО-СТР ООО"/>
    <m/>
    <m/>
    <m/>
    <n v="43742.18"/>
    <n v="0"/>
    <n v="0"/>
    <n v="0"/>
    <n v="0"/>
    <n v="0"/>
    <n v="0"/>
    <n v="0"/>
    <m/>
  </r>
  <r>
    <s v="Москва"/>
    <s v="HSR Moscow"/>
    <x v="0"/>
    <s v="RADM Moscow"/>
    <x v="3"/>
    <x v="6"/>
    <m/>
    <s v="СОРСО-СТР ООО"/>
    <m/>
    <n v="1"/>
    <m/>
    <n v="51488847.459999874"/>
    <n v="0"/>
    <n v="0"/>
    <n v="0"/>
    <n v="0"/>
    <n v="0"/>
    <n v="0"/>
    <n v="0"/>
    <m/>
  </r>
  <r>
    <s v="Московская"/>
    <s v="HSR Moscow"/>
    <x v="0"/>
    <s v="RADM Moscow"/>
    <x v="3"/>
    <x v="6"/>
    <m/>
    <s v="СОРСО-СТР ООО"/>
    <m/>
    <m/>
    <m/>
    <n v="4983223.1399999978"/>
    <n v="0"/>
    <n v="0"/>
    <n v="0"/>
    <n v="0"/>
    <n v="0"/>
    <n v="0"/>
    <n v="0"/>
    <m/>
  </r>
  <r>
    <s v="Самарская"/>
    <s v="HSR Moscow"/>
    <x v="0"/>
    <s v="RADM Moscow"/>
    <x v="3"/>
    <x v="6"/>
    <m/>
    <s v="СОРСО-СТР ООО"/>
    <m/>
    <m/>
    <m/>
    <n v="28707.439999999991"/>
    <n v="0"/>
    <n v="0"/>
    <n v="0"/>
    <n v="0"/>
    <n v="0"/>
    <n v="0"/>
    <n v="0"/>
    <m/>
  </r>
  <r>
    <s v="Санкт-Петербург"/>
    <s v="HSR Moscow"/>
    <x v="0"/>
    <s v="RADM Moscow"/>
    <x v="3"/>
    <x v="6"/>
    <m/>
    <s v="СОРСО-СТР ООО"/>
    <m/>
    <m/>
    <m/>
    <n v="904834.39000000013"/>
    <n v="0"/>
    <n v="0"/>
    <n v="0"/>
    <n v="0"/>
    <n v="0"/>
    <n v="0"/>
    <n v="0"/>
    <m/>
  </r>
  <r>
    <s v="Владимирская"/>
    <s v="HSR Moscow"/>
    <x v="0"/>
    <s v="TDM MOS Grocery RKA+NA Moscow North"/>
    <x v="4"/>
    <x v="8"/>
    <m/>
    <m/>
    <m/>
    <m/>
    <s v="TR"/>
    <n v="0"/>
    <n v="0"/>
    <n v="0"/>
    <n v="0"/>
    <n v="1574705433.900434"/>
    <n v="0"/>
    <n v="850113432.71010005"/>
    <n v="0"/>
    <m/>
  </r>
  <r>
    <s v="Калужская"/>
    <s v="HSR Moscow"/>
    <x v="1"/>
    <s v="TDM MOS Grocery RKA+NA Moscow South"/>
    <x v="5"/>
    <x v="9"/>
    <m/>
    <m/>
    <m/>
    <m/>
    <s v="Open"/>
    <n v="0"/>
    <n v="0"/>
    <n v="0"/>
    <n v="0"/>
    <n v="1261789709.1353848"/>
    <n v="0"/>
    <n v="662172794.79000032"/>
    <n v="0"/>
    <m/>
  </r>
  <r>
    <s v="Кировская"/>
    <s v="HSR Moscow"/>
    <x v="2"/>
    <s v="TDM MOS Grocery RKA+NA Moscow North"/>
    <x v="6"/>
    <x v="10"/>
    <m/>
    <m/>
    <m/>
    <m/>
    <s v="TR"/>
    <n v="0"/>
    <n v="0"/>
    <n v="0"/>
    <n v="0"/>
    <n v="1008606761.4179183"/>
    <n v="0"/>
    <n v="600256169.04110003"/>
    <n v="0"/>
    <m/>
  </r>
  <r>
    <s v="Марий Эл"/>
    <s v="HSR Moscow"/>
    <x v="2"/>
    <s v="TDM MOS Grocery RKA+NA Moscow North"/>
    <x v="6"/>
    <x v="10"/>
    <m/>
    <m/>
    <m/>
    <m/>
    <m/>
    <n v="0"/>
    <n v="0"/>
    <n v="0"/>
    <n v="0"/>
    <n v="372331071.40695155"/>
    <n v="0"/>
    <n v="241381462.22059995"/>
    <n v="6817750437.9784079"/>
    <m/>
  </r>
  <r>
    <s v="Мордовия"/>
    <s v="HSR Moscow"/>
    <x v="2"/>
    <s v="TDM MOS Grocery RKA+NA Moscow North"/>
    <x v="6"/>
    <x v="10"/>
    <m/>
    <m/>
    <m/>
    <m/>
    <s v="TR/Open"/>
    <n v="0"/>
    <n v="0"/>
    <n v="0"/>
    <n v="0"/>
    <n v="363908644.75262171"/>
    <n v="0"/>
    <n v="118931747.26550004"/>
    <n v="0"/>
    <m/>
  </r>
  <r>
    <s v="Москва"/>
    <s v="HSR Moscow"/>
    <x v="0"/>
    <s v="TDM MOS Grocery RKA+NA Moscow North"/>
    <x v="4"/>
    <x v="11"/>
    <m/>
    <m/>
    <m/>
    <m/>
    <s v="TR"/>
    <n v="0"/>
    <n v="0"/>
    <n v="0"/>
    <n v="0"/>
    <n v="1036468770.0691371"/>
    <n v="0"/>
    <n v="657929607.73280001"/>
    <n v="0"/>
    <m/>
  </r>
  <r>
    <s v="Москва"/>
    <s v="HSR Moscow"/>
    <x v="0"/>
    <s v="TDM MOS Grocery RKA+NA Moscow North"/>
    <x v="4"/>
    <x v="12"/>
    <m/>
    <m/>
    <m/>
    <m/>
    <s v="TR"/>
    <n v="0"/>
    <n v="0"/>
    <n v="0"/>
    <n v="0"/>
    <n v="795403118.30058694"/>
    <n v="0"/>
    <n v="680999942.92850018"/>
    <n v="0"/>
    <m/>
  </r>
  <r>
    <s v="Москва"/>
    <s v="HSR Moscow"/>
    <x v="0"/>
    <s v="TDM MOS Grocery RKA+NA Moscow North"/>
    <x v="4"/>
    <x v="13"/>
    <m/>
    <m/>
    <m/>
    <m/>
    <s v="TR"/>
    <n v="0"/>
    <n v="0"/>
    <n v="0"/>
    <n v="0"/>
    <n v="1515150860.7424669"/>
    <n v="0"/>
    <n v="1000410897.2363987"/>
    <n v="0"/>
    <m/>
  </r>
  <r>
    <s v="Москва"/>
    <s v="HSR Moscow"/>
    <x v="0"/>
    <s v="TDM MOS Grocery RKA+NA Moscow South"/>
    <x v="7"/>
    <x v="14"/>
    <m/>
    <m/>
    <m/>
    <m/>
    <s v="Open"/>
    <n v="0"/>
    <n v="0"/>
    <n v="0"/>
    <n v="0"/>
    <n v="957298104.97257185"/>
    <n v="0"/>
    <n v="647372110.11980021"/>
    <n v="0"/>
    <m/>
  </r>
  <r>
    <s v="Москва"/>
    <s v="HSR Moscow"/>
    <x v="0"/>
    <s v="TDM MOS Grocery RKA+NA Moscow South"/>
    <x v="7"/>
    <x v="15"/>
    <m/>
    <m/>
    <m/>
    <m/>
    <s v="Open"/>
    <n v="0"/>
    <n v="0"/>
    <n v="0"/>
    <n v="0"/>
    <n v="1830138460.7654872"/>
    <n v="0"/>
    <n v="1033839503.4343996"/>
    <n v="0"/>
    <m/>
  </r>
  <r>
    <s v="Московская"/>
    <s v="HSR Moscow"/>
    <x v="0"/>
    <s v="TDM MOS Grocery RKA+NA Moscow North"/>
    <x v="4"/>
    <x v="11"/>
    <m/>
    <m/>
    <m/>
    <m/>
    <s v="TR"/>
    <n v="0"/>
    <n v="0"/>
    <n v="0"/>
    <n v="0"/>
    <n v="2145155606.2921829"/>
    <n v="0"/>
    <n v="1183794628.9130003"/>
    <n v="0"/>
    <m/>
  </r>
  <r>
    <s v="Московская"/>
    <s v="HSR Moscow"/>
    <x v="0"/>
    <s v="TDM MOS Grocery RKA+NA Moscow North"/>
    <x v="4"/>
    <x v="12"/>
    <m/>
    <m/>
    <m/>
    <m/>
    <s v="TR"/>
    <n v="0"/>
    <n v="0"/>
    <n v="0"/>
    <n v="0"/>
    <n v="1373186133.5273333"/>
    <n v="0"/>
    <n v="679826351.63689983"/>
    <n v="0"/>
    <m/>
  </r>
  <r>
    <s v="Московская"/>
    <s v="HSR Moscow"/>
    <x v="0"/>
    <s v="TDM MOS Grocery RKA+NA Moscow North"/>
    <x v="4"/>
    <x v="13"/>
    <m/>
    <m/>
    <m/>
    <m/>
    <s v="TR"/>
    <n v="0"/>
    <n v="0"/>
    <n v="0"/>
    <n v="0"/>
    <n v="1682882221.7050142"/>
    <n v="0"/>
    <n v="815322183.05460024"/>
    <n v="0"/>
    <m/>
  </r>
  <r>
    <s v="Московская"/>
    <s v="HSR Moscow"/>
    <x v="0"/>
    <s v="TDM MOS Grocery RKA+NA Moscow South"/>
    <x v="7"/>
    <x v="14"/>
    <m/>
    <m/>
    <m/>
    <m/>
    <s v="Open"/>
    <n v="0"/>
    <n v="0"/>
    <n v="0"/>
    <n v="0"/>
    <n v="2456433269.3302546"/>
    <n v="0"/>
    <n v="1229216756.1869001"/>
    <n v="0"/>
    <m/>
  </r>
  <r>
    <s v="Московская"/>
    <s v="HSR Moscow"/>
    <x v="0"/>
    <s v="TDM MOS Grocery RKA+NA Moscow South"/>
    <x v="7"/>
    <x v="15"/>
    <m/>
    <m/>
    <m/>
    <m/>
    <s v="Open"/>
    <n v="0"/>
    <n v="0"/>
    <n v="0"/>
    <n v="0"/>
    <n v="2974553447.1966333"/>
    <n v="0"/>
    <n v="1516192695.7996001"/>
    <n v="0"/>
    <m/>
  </r>
  <r>
    <s v="Нижегородская"/>
    <s v="HSR Moscow"/>
    <x v="0"/>
    <s v="TDM MOS Grocery RKA+NA Moscow North"/>
    <x v="4"/>
    <x v="8"/>
    <m/>
    <m/>
    <m/>
    <m/>
    <s v="TR"/>
    <n v="0"/>
    <n v="0"/>
    <n v="0"/>
    <n v="0"/>
    <n v="1041681577.0615587"/>
    <n v="0"/>
    <n v="651264436.76190007"/>
    <n v="0"/>
    <m/>
  </r>
  <r>
    <s v="Нижегородская"/>
    <s v="HSR Moscow"/>
    <x v="0"/>
    <s v="TDM MOS Grocery RKA+NA Moscow North"/>
    <x v="4"/>
    <x v="8"/>
    <m/>
    <m/>
    <m/>
    <m/>
    <s v="TR"/>
    <n v="0"/>
    <n v="0"/>
    <n v="0"/>
    <n v="0"/>
    <n v="1765265709.8193688"/>
    <n v="0"/>
    <n v="978077545.10700023"/>
    <n v="0"/>
    <m/>
  </r>
  <r>
    <s v="Рязанская"/>
    <s v="HSR Moscow"/>
    <x v="1"/>
    <s v="TDM MOS Grocery RKA+NA Moscow South"/>
    <x v="5"/>
    <x v="9"/>
    <m/>
    <m/>
    <m/>
    <m/>
    <s v="Open"/>
    <n v="0"/>
    <n v="0"/>
    <n v="0"/>
    <n v="0"/>
    <n v="1038614436.6483186"/>
    <n v="0"/>
    <n v="480428274.77450013"/>
    <n v="0"/>
    <m/>
  </r>
  <r>
    <s v="Тульская"/>
    <s v="HSR Moscow"/>
    <x v="1"/>
    <s v="TDM MOS Grocery RKA+NA Moscow South"/>
    <x v="5"/>
    <x v="9"/>
    <m/>
    <m/>
    <m/>
    <m/>
    <s v="Open"/>
    <n v="0"/>
    <n v="0"/>
    <n v="0"/>
    <n v="0"/>
    <n v="1627551925.4856875"/>
    <n v="0"/>
    <n v="741268860.08500016"/>
    <n v="0"/>
    <m/>
  </r>
  <r>
    <s v="Чувашская Республика -"/>
    <s v="HSR Moscow"/>
    <x v="2"/>
    <s v="TDM MOS Grocery RKA+NA Moscow North"/>
    <x v="6"/>
    <x v="10"/>
    <m/>
    <m/>
    <m/>
    <m/>
    <s v="TR"/>
    <n v="0"/>
    <n v="0"/>
    <n v="0"/>
    <n v="0"/>
    <n v="666661438.05790865"/>
    <n v="0"/>
    <n v="409132633.48490024"/>
    <n v="0"/>
    <m/>
  </r>
  <r>
    <s v="Московская"/>
    <s v="HSR Moscow"/>
    <x v="0"/>
    <s v="RADM Moscow"/>
    <x v="3"/>
    <x v="16"/>
    <m/>
    <m/>
    <m/>
    <m/>
    <s v="TR-Project / Open"/>
    <n v="283124.17999999993"/>
    <n v="0"/>
    <n v="0"/>
    <n v="0"/>
    <n v="0"/>
    <n v="0"/>
    <n v="0"/>
    <n v="0"/>
    <m/>
  </r>
  <r>
    <s v="Владимирская"/>
    <s v="HSR Moscow"/>
    <x v="0"/>
    <s v="RADM Moscow"/>
    <x v="3"/>
    <x v="16"/>
    <m/>
    <m/>
    <m/>
    <m/>
    <s v="TR-Project"/>
    <n v="105566381.88999967"/>
    <n v="0"/>
    <n v="0"/>
    <n v="0"/>
    <n v="0"/>
    <n v="0"/>
    <n v="0"/>
    <n v="0"/>
    <m/>
  </r>
  <r>
    <s v="Калужская"/>
    <s v="HSR Moscow"/>
    <x v="0"/>
    <s v="RADM Moscow"/>
    <x v="3"/>
    <x v="16"/>
    <m/>
    <m/>
    <m/>
    <m/>
    <s v="Open"/>
    <n v="64720074.180000171"/>
    <n v="0"/>
    <n v="0"/>
    <n v="0"/>
    <n v="0"/>
    <n v="0"/>
    <n v="0"/>
    <n v="0"/>
    <m/>
  </r>
  <r>
    <s v="Ленинградская"/>
    <s v="HSR Moscow"/>
    <x v="0"/>
    <s v="RADM Moscow"/>
    <x v="3"/>
    <x v="16"/>
    <m/>
    <m/>
    <m/>
    <m/>
    <s v="TR-Project"/>
    <n v="121614441.35999963"/>
    <n v="0"/>
    <n v="0"/>
    <n v="0"/>
    <n v="0"/>
    <n v="0"/>
    <n v="0"/>
    <n v="0"/>
    <m/>
  </r>
  <r>
    <s v="Москва"/>
    <s v="HSR Moscow"/>
    <x v="0"/>
    <s v="RADM Moscow"/>
    <x v="3"/>
    <x v="16"/>
    <m/>
    <m/>
    <m/>
    <n v="1"/>
    <s v="TR-Project / Open"/>
    <n v="112033790.56999968"/>
    <n v="0"/>
    <n v="0"/>
    <n v="0"/>
    <n v="0"/>
    <n v="0"/>
    <n v="0"/>
    <n v="0"/>
    <m/>
  </r>
  <r>
    <s v="Московская"/>
    <s v="HSR Moscow"/>
    <x v="0"/>
    <s v="RADM Moscow"/>
    <x v="3"/>
    <x v="16"/>
    <m/>
    <m/>
    <m/>
    <m/>
    <s v="TR-Project / Open"/>
    <n v="526009540.95000339"/>
    <n v="0"/>
    <n v="0"/>
    <n v="0"/>
    <n v="0"/>
    <n v="0"/>
    <n v="0"/>
    <n v="0"/>
    <m/>
  </r>
  <r>
    <s v="Новгородская"/>
    <s v="HSR Moscow"/>
    <x v="0"/>
    <s v="RADM Moscow"/>
    <x v="3"/>
    <x v="16"/>
    <m/>
    <m/>
    <m/>
    <m/>
    <s v="TR-Project"/>
    <n v="29237977.820000004"/>
    <n v="0"/>
    <n v="0"/>
    <n v="0"/>
    <n v="0"/>
    <n v="0"/>
    <n v="0"/>
    <n v="0"/>
    <m/>
  </r>
  <r>
    <s v="Санкт-Петербург"/>
    <s v="HSR Moscow"/>
    <x v="0"/>
    <s v="RADM Moscow"/>
    <x v="3"/>
    <x v="16"/>
    <m/>
    <m/>
    <m/>
    <m/>
    <s v="TR-Project"/>
    <n v="75479434.529999688"/>
    <n v="0"/>
    <n v="0"/>
    <n v="0"/>
    <n v="0"/>
    <n v="0"/>
    <n v="0"/>
    <n v="0"/>
    <m/>
  </r>
  <r>
    <s v="Свердловская"/>
    <s v="HSR Moscow"/>
    <x v="0"/>
    <s v="RADM Moscow"/>
    <x v="3"/>
    <x v="16"/>
    <m/>
    <m/>
    <m/>
    <m/>
    <s v="Open"/>
    <n v="148975561.0899995"/>
    <n v="0"/>
    <n v="0"/>
    <n v="0"/>
    <n v="0"/>
    <n v="0"/>
    <n v="0"/>
    <n v="0"/>
    <m/>
  </r>
  <r>
    <s v="Татарстан"/>
    <s v="HSR Moscow"/>
    <x v="0"/>
    <s v="RADM Moscow"/>
    <x v="3"/>
    <x v="16"/>
    <m/>
    <m/>
    <m/>
    <m/>
    <s v="Open"/>
    <n v="69785619.640000135"/>
    <n v="0"/>
    <n v="0"/>
    <n v="0"/>
    <n v="0"/>
    <n v="0"/>
    <n v="0"/>
    <n v="0"/>
    <m/>
  </r>
  <r>
    <s v="Тверская"/>
    <s v="HSR Moscow"/>
    <x v="0"/>
    <s v="RADM Moscow"/>
    <x v="3"/>
    <x v="16"/>
    <m/>
    <m/>
    <m/>
    <m/>
    <s v="TR-Project"/>
    <n v="31075214.729999986"/>
    <n v="0"/>
    <n v="0"/>
    <n v="0"/>
    <n v="0"/>
    <n v="0"/>
    <n v="0"/>
    <n v="0"/>
    <m/>
  </r>
  <r>
    <s v="Тульская"/>
    <s v="HSR Moscow"/>
    <x v="0"/>
    <s v="RADM Moscow"/>
    <x v="3"/>
    <x v="16"/>
    <m/>
    <m/>
    <m/>
    <m/>
    <s v="Open"/>
    <n v="77073871.469999909"/>
    <n v="0"/>
    <n v="0"/>
    <n v="0"/>
    <n v="0"/>
    <n v="0"/>
    <n v="0"/>
    <n v="0"/>
    <m/>
  </r>
  <r>
    <s v="Ярославская"/>
    <s v="HSR Moscow"/>
    <x v="0"/>
    <s v="RADM Moscow"/>
    <x v="3"/>
    <x v="16"/>
    <m/>
    <m/>
    <m/>
    <m/>
    <s v="TR-Project"/>
    <n v="35515056.810000002"/>
    <n v="0"/>
    <n v="0"/>
    <n v="0"/>
    <n v="0"/>
    <n v="0"/>
    <n v="0"/>
    <n v="0"/>
    <m/>
  </r>
  <r>
    <s v="Москва"/>
    <s v="HSR Moscow"/>
    <x v="0"/>
    <s v="ASM MOS Food Trade+Sorso"/>
    <x v="0"/>
    <x v="1"/>
    <m/>
    <m/>
    <m/>
    <n v="1"/>
    <s v="Open/TR"/>
    <n v="75907049.919999987"/>
    <n v="0"/>
    <n v="0"/>
    <n v="0"/>
    <n v="0"/>
    <n v="0"/>
    <n v="0"/>
    <n v="0"/>
    <m/>
  </r>
  <r>
    <s v="Марий Эл "/>
    <s v="HSR Moscow"/>
    <x v="2"/>
    <s v="DDM MOS Sladkaay Zhizn"/>
    <x v="2"/>
    <x v="5"/>
    <m/>
    <s v="Сладкая жизнь Плюс ООО"/>
    <m/>
    <m/>
    <m/>
    <n v="0"/>
    <n v="0"/>
    <n v="0"/>
    <n v="27831061.140000023"/>
    <n v="0"/>
    <n v="49094726.479999989"/>
    <n v="0"/>
    <n v="0"/>
    <m/>
  </r>
  <r>
    <s v="Нижегородская"/>
    <s v="HSR Moscow"/>
    <x v="0"/>
    <s v="DDM MOS Sladkaay Zhizn"/>
    <x v="0"/>
    <x v="4"/>
    <m/>
    <s v="Сладкая Жизнь Плюс ООО (Москва)"/>
    <m/>
    <m/>
    <m/>
    <n v="0"/>
    <n v="0"/>
    <n v="0"/>
    <n v="0"/>
    <n v="0"/>
    <n v="0"/>
    <n v="0"/>
    <n v="0"/>
    <m/>
  </r>
  <r>
    <s v="Московская"/>
    <s v="HSR Moscow"/>
    <x v="0"/>
    <s v="TDM MOS Grocery RKA+NA Moscow South"/>
    <x v="7"/>
    <x v="17"/>
    <m/>
    <m/>
    <m/>
    <m/>
    <m/>
    <n v="0"/>
    <n v="0"/>
    <n v="0"/>
    <n v="0"/>
    <n v="0"/>
    <n v="0"/>
    <n v="0"/>
    <n v="11314707530.999416"/>
    <m/>
  </r>
  <r>
    <s v="Алтайский"/>
    <s v="HSR Moscow"/>
    <x v="0"/>
    <s v="DDM MOS Sladkaay Zhizn"/>
    <x v="0"/>
    <x v="0"/>
    <m/>
    <s v="Сладкая жизнь Плюс ООО"/>
    <m/>
    <m/>
    <m/>
    <n v="16492.399999999998"/>
    <n v="0"/>
    <n v="0"/>
    <n v="0"/>
    <n v="0"/>
    <n v="0"/>
    <n v="0"/>
    <n v="0"/>
    <m/>
  </r>
  <r>
    <s v="Башкортостан"/>
    <s v="HSR Moscow"/>
    <x v="0"/>
    <s v="DDM MOS Sladkaay Zhizn"/>
    <x v="0"/>
    <x v="0"/>
    <m/>
    <s v="Сладкая жизнь Плюс ООО"/>
    <m/>
    <m/>
    <m/>
    <n v="4318141.4600000009"/>
    <n v="0"/>
    <n v="0"/>
    <n v="0"/>
    <n v="0"/>
    <n v="0"/>
    <n v="0"/>
    <n v="0"/>
    <m/>
  </r>
  <r>
    <s v="Владимирская"/>
    <s v="HSR Moscow"/>
    <x v="0"/>
    <s v="DDM MOS Sladkaay Zhizn"/>
    <x v="0"/>
    <x v="0"/>
    <m/>
    <s v="Сладкая жизнь Плюс ООО"/>
    <m/>
    <m/>
    <m/>
    <n v="21819448.430000007"/>
    <n v="0"/>
    <n v="0"/>
    <n v="0"/>
    <n v="0"/>
    <n v="0"/>
    <n v="0"/>
    <n v="0"/>
    <m/>
  </r>
  <r>
    <s v="Ивановская"/>
    <s v="HSR Moscow"/>
    <x v="0"/>
    <s v="DDM MOS Sladkaay Zhizn"/>
    <x v="0"/>
    <x v="0"/>
    <m/>
    <s v="Сладкая жизнь Плюс ООО"/>
    <m/>
    <m/>
    <m/>
    <n v="9185746.0500000063"/>
    <n v="0"/>
    <n v="0"/>
    <n v="0"/>
    <n v="0"/>
    <n v="0"/>
    <n v="0"/>
    <n v="0"/>
    <m/>
  </r>
  <r>
    <s v="Иркутская"/>
    <s v="HSR Moscow"/>
    <x v="0"/>
    <s v="DDM MOS Sladkaay Zhizn"/>
    <x v="0"/>
    <x v="0"/>
    <m/>
    <s v="Сладкая жизнь Плюс ООО"/>
    <m/>
    <m/>
    <m/>
    <n v="78932.240000000005"/>
    <n v="0"/>
    <n v="0"/>
    <n v="0"/>
    <n v="0"/>
    <n v="0"/>
    <n v="0"/>
    <n v="0"/>
    <m/>
  </r>
  <r>
    <s v="Калужская"/>
    <s v="HSR Moscow"/>
    <x v="0"/>
    <s v="DDM MOS Sladkaay Zhizn"/>
    <x v="0"/>
    <x v="0"/>
    <s v="TSL MOS N.Novgorod"/>
    <s v="Сладкая жизнь Плюс ООО"/>
    <m/>
    <m/>
    <m/>
    <n v="152696.55999999997"/>
    <n v="0"/>
    <n v="0"/>
    <n v="0"/>
    <n v="0"/>
    <n v="0"/>
    <n v="0"/>
    <n v="0"/>
    <m/>
  </r>
  <r>
    <s v="Калужская"/>
    <s v="HSR Moscow"/>
    <x v="0"/>
    <s v="DDM MOS Sladkaay Zhizn"/>
    <x v="0"/>
    <x v="0"/>
    <s v="TSL MOS N.Novgorod"/>
    <s v="Сладкая Жизнь Плюс ООО (Москва)"/>
    <m/>
    <m/>
    <m/>
    <n v="12786581.08999995"/>
    <n v="0"/>
    <n v="0"/>
    <n v="0"/>
    <n v="0"/>
    <n v="0"/>
    <n v="0"/>
    <n v="0"/>
    <m/>
  </r>
  <r>
    <s v="Кировская"/>
    <s v="HSR Moscow"/>
    <x v="0"/>
    <s v="DDM MOS Sladkaay Zhizn"/>
    <x v="0"/>
    <x v="0"/>
    <m/>
    <s v="Сладкая жизнь Плюс ООО"/>
    <m/>
    <m/>
    <m/>
    <n v="25568610.759999935"/>
    <n v="0"/>
    <n v="0"/>
    <n v="0"/>
    <n v="0"/>
    <n v="0"/>
    <n v="0"/>
    <n v="0"/>
    <m/>
  </r>
  <r>
    <s v="Костромская"/>
    <s v="HSR Moscow"/>
    <x v="0"/>
    <s v="DDM MOS Sladkaay Zhizn"/>
    <x v="0"/>
    <x v="0"/>
    <m/>
    <s v="Сладкая жизнь Плюс ООО"/>
    <m/>
    <m/>
    <m/>
    <n v="2964846.8800000008"/>
    <n v="0"/>
    <n v="0"/>
    <n v="0"/>
    <n v="0"/>
    <n v="0"/>
    <n v="0"/>
    <n v="0"/>
    <m/>
  </r>
  <r>
    <s v="Марий Эл"/>
    <s v="HSR Moscow"/>
    <x v="0"/>
    <s v="DDM MOS Sladkaay Zhizn"/>
    <x v="0"/>
    <x v="0"/>
    <m/>
    <s v="Сладкая жизнь Плюс ООО"/>
    <m/>
    <m/>
    <m/>
    <n v="11122562.409999976"/>
    <n v="0"/>
    <n v="0"/>
    <n v="0"/>
    <n v="0"/>
    <n v="0"/>
    <n v="0"/>
    <n v="0"/>
    <m/>
  </r>
  <r>
    <s v="Мордовия"/>
    <s v="HSR Moscow"/>
    <x v="0"/>
    <s v="DDM MOS Sladkaay Zhizn"/>
    <x v="0"/>
    <x v="0"/>
    <m/>
    <s v="Сладкая жизнь Плюс ООО"/>
    <m/>
    <m/>
    <m/>
    <n v="5516975.6900000079"/>
    <n v="0"/>
    <n v="0"/>
    <n v="0"/>
    <n v="0"/>
    <n v="0"/>
    <n v="0"/>
    <n v="0"/>
    <m/>
  </r>
  <r>
    <s v="Москва"/>
    <s v="HSR Moscow"/>
    <x v="0"/>
    <s v="DDM MOS Sladkaay Zhizn"/>
    <x v="0"/>
    <x v="0"/>
    <m/>
    <s v="Сладкая жизнь Плюс ООО"/>
    <m/>
    <m/>
    <m/>
    <n v="597781.92999999993"/>
    <n v="0"/>
    <n v="0"/>
    <n v="0"/>
    <n v="0"/>
    <n v="0"/>
    <n v="0"/>
    <n v="0"/>
    <m/>
  </r>
  <r>
    <s v="Москва"/>
    <s v="HSR Moscow"/>
    <x v="0"/>
    <s v="DDM MOS Sladkaay Zhizn"/>
    <x v="0"/>
    <x v="0"/>
    <m/>
    <s v="Сладкая Жизнь Плюс ООО (Москва)"/>
    <m/>
    <m/>
    <m/>
    <n v="8503970.8899999987"/>
    <n v="0"/>
    <n v="0"/>
    <n v="0"/>
    <n v="0"/>
    <n v="0"/>
    <n v="0"/>
    <n v="0"/>
    <m/>
  </r>
  <r>
    <s v="Московская"/>
    <s v="HSR Moscow"/>
    <x v="0"/>
    <s v="DDM MOS Sladkaay Zhizn"/>
    <x v="0"/>
    <x v="0"/>
    <m/>
    <s v="Сладкая Жизнь Плюс ООО (Москва)"/>
    <m/>
    <m/>
    <m/>
    <n v="38756102.86999961"/>
    <n v="0"/>
    <n v="0"/>
    <n v="0"/>
    <n v="0"/>
    <n v="0"/>
    <n v="0"/>
    <n v="0"/>
    <m/>
  </r>
  <r>
    <s v="Нижегородская"/>
    <s v="HSR Moscow"/>
    <x v="0"/>
    <s v="DDM MOS Sladkaay Zhizn"/>
    <x v="0"/>
    <x v="0"/>
    <m/>
    <s v="Сладкая жизнь Плюс ООО"/>
    <m/>
    <m/>
    <m/>
    <n v="40099952.099999592"/>
    <n v="0"/>
    <n v="0"/>
    <n v="0"/>
    <n v="0"/>
    <n v="0"/>
    <n v="0"/>
    <n v="0"/>
    <m/>
  </r>
  <r>
    <s v="Пензенская"/>
    <s v="HSR Moscow"/>
    <x v="0"/>
    <s v="DDM MOS Sladkaay Zhizn"/>
    <x v="0"/>
    <x v="0"/>
    <m/>
    <s v="Сладкая жизнь Плюс ООО"/>
    <m/>
    <m/>
    <m/>
    <n v="6101533.7600000193"/>
    <n v="0"/>
    <n v="0"/>
    <n v="0"/>
    <n v="0"/>
    <n v="0"/>
    <n v="0"/>
    <n v="0"/>
    <m/>
  </r>
  <r>
    <s v="Рязанская"/>
    <s v="HSR Moscow"/>
    <x v="0"/>
    <s v="DDM MOS Sladkaay Zhizn"/>
    <x v="0"/>
    <x v="0"/>
    <s v="TSL MOS N.Novgorod"/>
    <s v="Сладкая жизнь Плюс ООО"/>
    <m/>
    <m/>
    <m/>
    <n v="11308710.899999972"/>
    <n v="0"/>
    <n v="0"/>
    <n v="0"/>
    <n v="0"/>
    <n v="0"/>
    <n v="0"/>
    <n v="0"/>
    <m/>
  </r>
  <r>
    <s v="Самарская"/>
    <s v="HSR Moscow"/>
    <x v="0"/>
    <s v="DDM MOS Sladkaay Zhizn"/>
    <x v="0"/>
    <x v="0"/>
    <m/>
    <s v="Сладкая жизнь Плюс ООО"/>
    <m/>
    <m/>
    <m/>
    <n v="286145.93999999994"/>
    <n v="0"/>
    <n v="0"/>
    <n v="0"/>
    <n v="0"/>
    <n v="0"/>
    <n v="0"/>
    <n v="0"/>
    <m/>
  </r>
  <r>
    <s v="Татарстан"/>
    <s v="HSR Moscow"/>
    <x v="0"/>
    <s v="DDM MOS Sladkaay Zhizn"/>
    <x v="0"/>
    <x v="0"/>
    <m/>
    <s v="Сладкая жизнь Плюс ООО"/>
    <m/>
    <m/>
    <m/>
    <n v="17912428.459999882"/>
    <n v="0"/>
    <n v="0"/>
    <n v="0"/>
    <n v="0"/>
    <n v="0"/>
    <n v="0"/>
    <n v="0"/>
    <m/>
  </r>
  <r>
    <s v="Тверская"/>
    <s v="HSR Moscow"/>
    <x v="0"/>
    <s v="DDM MOS Sladkaay Zhizn"/>
    <x v="0"/>
    <x v="0"/>
    <m/>
    <s v="Сладкая Жизнь Плюс ООО (Москва)"/>
    <m/>
    <m/>
    <m/>
    <n v="5842546.7000000197"/>
    <n v="0"/>
    <n v="0"/>
    <n v="0"/>
    <n v="0"/>
    <n v="0"/>
    <n v="0"/>
    <n v="0"/>
    <m/>
  </r>
  <r>
    <s v="Тульская"/>
    <s v="HSR Moscow"/>
    <x v="0"/>
    <s v="DDM MOS Sladkaay Zhizn"/>
    <x v="0"/>
    <x v="0"/>
    <s v="TSL MOS N.Novgorod"/>
    <s v="Сладкая Жизнь Плюс ООО (Москва)"/>
    <m/>
    <m/>
    <m/>
    <n v="19446886.789999954"/>
    <n v="0"/>
    <n v="0"/>
    <n v="0"/>
    <n v="0"/>
    <n v="0"/>
    <n v="0"/>
    <n v="0"/>
    <m/>
  </r>
  <r>
    <s v="Удмуртская"/>
    <s v="HSR Moscow"/>
    <x v="0"/>
    <s v="DDM MOS Sladkaay Zhizn"/>
    <x v="0"/>
    <x v="0"/>
    <m/>
    <s v="Сладкая жизнь Плюс ООО"/>
    <m/>
    <m/>
    <m/>
    <n v="7878247.5200000014"/>
    <n v="0"/>
    <n v="0"/>
    <n v="0"/>
    <n v="0"/>
    <n v="0"/>
    <n v="0"/>
    <n v="0"/>
    <m/>
  </r>
  <r>
    <s v="Ульяновская"/>
    <s v="HSR Moscow"/>
    <x v="0"/>
    <s v="DDM MOS Sladkaay Zhizn"/>
    <x v="0"/>
    <x v="0"/>
    <m/>
    <s v="Сладкая жизнь Плюс ООО"/>
    <m/>
    <m/>
    <m/>
    <n v="459590.29"/>
    <n v="0"/>
    <n v="0"/>
    <n v="0"/>
    <n v="0"/>
    <n v="0"/>
    <n v="0"/>
    <n v="0"/>
    <m/>
  </r>
  <r>
    <s v="Чувашская Республика -"/>
    <s v="HSR Moscow"/>
    <x v="0"/>
    <s v="DDM MOS Sladkaay Zhizn"/>
    <x v="0"/>
    <x v="0"/>
    <m/>
    <s v="Сладкая жизнь Плюс ООО"/>
    <m/>
    <m/>
    <m/>
    <n v="11608457.909999993"/>
    <n v="0"/>
    <n v="0"/>
    <n v="0"/>
    <n v="0"/>
    <n v="0"/>
    <n v="0"/>
    <n v="0"/>
    <m/>
  </r>
  <r>
    <s v="Ярославская"/>
    <s v="HSR Moscow"/>
    <x v="0"/>
    <s v="DDM MOS Sladkaay Zhizn"/>
    <x v="0"/>
    <x v="0"/>
    <m/>
    <s v="Сладкая жизнь Плюс ООО"/>
    <m/>
    <m/>
    <m/>
    <n v="2743343.1599999988"/>
    <n v="0"/>
    <n v="0"/>
    <n v="0"/>
    <n v="0"/>
    <n v="0"/>
    <n v="0"/>
    <n v="0"/>
    <m/>
  </r>
  <r>
    <s v="Ярославская"/>
    <s v="HSR Moscow"/>
    <x v="0"/>
    <s v="DDM MOS Sladkaay Zhizn"/>
    <x v="0"/>
    <x v="0"/>
    <m/>
    <s v="Сладкая Жизнь Плюс ООО (Москва)"/>
    <m/>
    <m/>
    <m/>
    <n v="377880.25999999989"/>
    <n v="0"/>
    <n v="0"/>
    <n v="0"/>
    <n v="0"/>
    <n v="0"/>
    <n v="0"/>
    <n v="0"/>
    <m/>
  </r>
  <r>
    <s v="Рязанская"/>
    <s v="HSR Moscow"/>
    <x v="1"/>
    <s v="DDM MOS Sladkaay Zhizn"/>
    <x v="1"/>
    <x v="0"/>
    <s v="TSL MOS N.Novgorod"/>
    <s v="Сладкая жизнь Плюс ООО"/>
    <m/>
    <m/>
    <m/>
    <n v="0"/>
    <n v="0"/>
    <n v="0"/>
    <n v="0"/>
    <n v="0"/>
    <n v="11308710.900000002"/>
    <n v="0"/>
    <n v="0"/>
    <m/>
  </r>
  <r>
    <s v="Курганская"/>
    <s v="HSR Center"/>
    <x v="2"/>
    <s v="RADM CEN Grocery RKA+Monetka,Krasnoe i beloe, Kiro"/>
    <x v="8"/>
    <x v="18"/>
    <m/>
    <s v="Фуд-Трейд ООО"/>
    <n v="1"/>
    <n v="1"/>
    <s v="Open"/>
    <n v="0"/>
    <n v="273375212.92999798"/>
    <n v="1308584.48"/>
    <n v="27757720.270000011"/>
    <n v="295869483.78616917"/>
    <n v="0"/>
    <n v="136896493.58840001"/>
    <n v="0"/>
    <n v="18010939.100000001"/>
  </r>
  <r>
    <s v="Оренбургская"/>
    <s v="HSR Center"/>
    <x v="2"/>
    <s v="ASM CEN Fud-trade+Reid-21"/>
    <x v="2"/>
    <x v="19"/>
    <m/>
    <s v="Фуд-Трейд ООО"/>
    <n v="1"/>
    <m/>
    <m/>
    <n v="0"/>
    <n v="410425.87"/>
    <n v="4796203.9399999995"/>
    <n v="7264198.879999999"/>
    <n v="0"/>
    <n v="0"/>
    <n v="0"/>
    <n v="0"/>
    <n v="271516.5"/>
  </r>
  <r>
    <s v="Марий Эл"/>
    <s v="HSR Center"/>
    <x v="2"/>
    <s v="ASM CEN Fud-trade+Reid-21"/>
    <x v="2"/>
    <x v="20"/>
    <m/>
    <s v="Фуд-Трейд ООО"/>
    <m/>
    <m/>
    <m/>
    <n v="0"/>
    <n v="500000000"/>
    <n v="0"/>
    <n v="0"/>
    <n v="0"/>
    <n v="0"/>
    <n v="0"/>
    <n v="0"/>
    <n v="0"/>
  </r>
  <r>
    <s v="Оренбургская"/>
    <s v="HSR Center"/>
    <x v="2"/>
    <s v="ASM CEN Fud-trade+Reid-21"/>
    <x v="2"/>
    <x v="21"/>
    <m/>
    <s v="Рэйд-21 ООО"/>
    <m/>
    <m/>
    <m/>
    <n v="0"/>
    <n v="0"/>
    <n v="6859376.6300000027"/>
    <n v="1600855.32"/>
    <n v="0"/>
    <n v="0"/>
    <n v="0"/>
    <n v="0"/>
    <n v="98073.75"/>
  </r>
  <r>
    <s v="Тюменская"/>
    <s v="HSR Center"/>
    <x v="2"/>
    <s v="DDM CEN"/>
    <x v="9"/>
    <x v="22"/>
    <m/>
    <s v="Эвенкс ООО (Тюмень)"/>
    <n v="1"/>
    <n v="1"/>
    <s v="Open"/>
    <n v="0"/>
    <n v="11696539.060000004"/>
    <n v="0"/>
    <n v="55325264.270000003"/>
    <n v="1077378891.5505776"/>
    <n v="212080190.04999906"/>
    <n v="748324785.27690029"/>
    <n v="0"/>
    <n v="21870426.049999997"/>
  </r>
  <r>
    <s v="Ульяновская"/>
    <s v="HSR Center"/>
    <x v="2"/>
    <s v="RADM CEN Grocery RKA+Monetka,Krasnoe i beloe, Kiro"/>
    <x v="8"/>
    <x v="23"/>
    <m/>
    <s v="Фуд-Трейд ООО"/>
    <n v="4"/>
    <n v="2"/>
    <m/>
    <n v="743484501.85000026"/>
    <n v="0"/>
    <n v="17632294.399999999"/>
    <n v="11623141.609999999"/>
    <n v="0"/>
    <n v="0"/>
    <n v="0"/>
    <n v="0"/>
    <n v="1288855.8400000001"/>
  </r>
  <r>
    <s v="Марий Эл"/>
    <s v="HSR Center"/>
    <x v="2"/>
    <s v="TDM CEN Samara"/>
    <x v="6"/>
    <x v="24"/>
    <m/>
    <m/>
    <m/>
    <m/>
    <s v="Open"/>
    <n v="0"/>
    <n v="0"/>
    <n v="0"/>
    <n v="0"/>
    <n v="58644616.523887977"/>
    <n v="0"/>
    <n v="0"/>
    <n v="0"/>
    <n v="0"/>
  </r>
  <r>
    <s v="Татарстан"/>
    <s v="HSR Center"/>
    <x v="2"/>
    <s v="TDM CEN Samara"/>
    <x v="6"/>
    <x v="24"/>
    <m/>
    <m/>
    <m/>
    <m/>
    <s v="Open"/>
    <n v="0"/>
    <n v="0"/>
    <n v="0"/>
    <n v="0"/>
    <n v="2477576350.1662774"/>
    <n v="0"/>
    <n v="1259436385.0236988"/>
    <n v="218761180.7299979"/>
    <n v="0"/>
  </r>
  <r>
    <s v="Челябинская"/>
    <s v="HSR Center"/>
    <x v="2"/>
    <s v="TDM CEN Chelyabinsk"/>
    <x v="10"/>
    <x v="25"/>
    <m/>
    <m/>
    <m/>
    <m/>
    <s v="Open"/>
    <n v="0"/>
    <n v="0"/>
    <n v="0"/>
    <n v="0"/>
    <n v="2326531547.897965"/>
    <n v="0"/>
    <n v="1270221008.9855001"/>
    <n v="1003918901.3799986"/>
    <n v="0"/>
  </r>
  <r>
    <s v="Свердловская"/>
    <s v="HSR Center"/>
    <x v="2"/>
    <s v="TDM CEN Chelyabinsk"/>
    <x v="10"/>
    <x v="26"/>
    <m/>
    <m/>
    <m/>
    <m/>
    <s v="Open"/>
    <n v="0"/>
    <n v="0"/>
    <n v="0"/>
    <n v="0"/>
    <n v="1556732899.31043"/>
    <n v="0"/>
    <n v="809693097.54320014"/>
    <n v="5201309809"/>
    <n v="0"/>
  </r>
  <r>
    <s v="Свердловская"/>
    <s v="HSR Center"/>
    <x v="2"/>
    <s v="TDM CEN Chelyabinsk"/>
    <x v="10"/>
    <x v="27"/>
    <m/>
    <m/>
    <m/>
    <m/>
    <s v="Open"/>
    <n v="0"/>
    <n v="0"/>
    <n v="0"/>
    <n v="0"/>
    <n v="1431955621.1198773"/>
    <n v="0"/>
    <n v="854540439.37340009"/>
    <n v="7842292527.5393858"/>
    <n v="0"/>
  </r>
  <r>
    <s v="Пермский"/>
    <s v="HSR Center"/>
    <x v="2"/>
    <s v="TDM CEN Chelyabinsk"/>
    <x v="10"/>
    <x v="28"/>
    <m/>
    <m/>
    <m/>
    <m/>
    <s v="Open"/>
    <n v="0"/>
    <n v="0"/>
    <n v="0"/>
    <n v="0"/>
    <n v="1955446764.2040288"/>
    <n v="0"/>
    <n v="1106109946.8952"/>
    <n v="261530577.7100001"/>
    <n v="0"/>
  </r>
  <r>
    <s v="Удмуртская"/>
    <s v="HSR Center"/>
    <x v="2"/>
    <s v="TDM CEN Chelyabinsk"/>
    <x v="10"/>
    <x v="28"/>
    <m/>
    <m/>
    <m/>
    <m/>
    <s v="Open"/>
    <n v="0"/>
    <n v="0"/>
    <n v="0"/>
    <n v="0"/>
    <n v="1088667452.0411131"/>
    <n v="0"/>
    <n v="753558814.78799975"/>
    <n v="0"/>
    <n v="0"/>
  </r>
  <r>
    <s v="Самарская"/>
    <s v="HSR Center"/>
    <x v="2"/>
    <s v="TDM CEN Samara"/>
    <x v="6"/>
    <x v="29"/>
    <m/>
    <m/>
    <m/>
    <m/>
    <s v="Open"/>
    <n v="0"/>
    <n v="0"/>
    <n v="0"/>
    <n v="0"/>
    <n v="2532698383.7220397"/>
    <n v="0"/>
    <n v="1635326902.4612002"/>
    <n v="3581306822"/>
    <n v="0"/>
  </r>
  <r>
    <s v="Ульяновская"/>
    <s v="HSR Center"/>
    <x v="2"/>
    <s v="TDM CEN Samara"/>
    <x v="6"/>
    <x v="29"/>
    <m/>
    <m/>
    <m/>
    <m/>
    <s v="Open"/>
    <n v="0"/>
    <n v="0"/>
    <n v="0"/>
    <n v="0"/>
    <n v="737844954.10071135"/>
    <n v="0"/>
    <n v="473242568.68590033"/>
    <n v="0"/>
    <n v="0"/>
  </r>
  <r>
    <s v="Башкортостан"/>
    <s v="HSR Center"/>
    <x v="2"/>
    <s v="TDM CEN Samara"/>
    <x v="6"/>
    <x v="30"/>
    <m/>
    <m/>
    <m/>
    <m/>
    <s v="TR-Project"/>
    <n v="0"/>
    <n v="0"/>
    <n v="0"/>
    <n v="0"/>
    <n v="1734424295.8827801"/>
    <n v="0"/>
    <n v="911492076.11280048"/>
    <n v="236932645.48000008"/>
    <n v="0"/>
  </r>
  <r>
    <s v="Оренбургская"/>
    <s v="HSR Center"/>
    <x v="2"/>
    <s v="TDM CEN Samara"/>
    <x v="6"/>
    <x v="31"/>
    <m/>
    <s v="Фуд-Трейд ООО"/>
    <n v="1"/>
    <m/>
    <s v="Open"/>
    <n v="0"/>
    <n v="14118688.039999999"/>
    <n v="47082491.349999994"/>
    <n v="21770737.020000003"/>
    <n v="1195807959.6473541"/>
    <n v="0"/>
    <n v="627491536.84229958"/>
    <n v="1541010962"/>
    <n v="1997857.99"/>
  </r>
  <r>
    <s v="Башкортостан"/>
    <s v="HSR Center"/>
    <x v="2"/>
    <s v="ASM CEN Fud-trade+Reid-21"/>
    <x v="2"/>
    <x v="21"/>
    <m/>
    <s v="Рэйд-21 ООО"/>
    <n v="1"/>
    <n v="1"/>
    <m/>
    <n v="0"/>
    <n v="6797469.4299999997"/>
    <n v="68919637.749999896"/>
    <n v="60424031.840000011"/>
    <n v="0"/>
    <n v="255081129.14000046"/>
    <n v="119395924.48810005"/>
    <n v="0"/>
    <n v="16290350.629999997"/>
  </r>
  <r>
    <s v="Пермский"/>
    <s v="HSR Center"/>
    <x v="2"/>
    <s v="ASM CEN Fud-trade+Reid-21"/>
    <x v="2"/>
    <x v="32"/>
    <m/>
    <s v="Фуд-Трейд ООО"/>
    <n v="1"/>
    <n v="2"/>
    <m/>
    <n v="0"/>
    <n v="17566407.939999998"/>
    <n v="38383692.549999997"/>
    <n v="155048074.95999986"/>
    <n v="0"/>
    <n v="399077386.26000172"/>
    <n v="129383535.6268"/>
    <n v="0"/>
    <n v="36021878.199999981"/>
  </r>
  <r>
    <s v="Пермский"/>
    <s v="HSR Center"/>
    <x v="2"/>
    <s v="DDM CEN"/>
    <x v="9"/>
    <x v="33"/>
    <m/>
    <s v="Эвенкс ООО (Екатеринбург)"/>
    <m/>
    <m/>
    <m/>
    <n v="0"/>
    <n v="876061.97"/>
    <n v="0"/>
    <n v="0"/>
    <n v="0"/>
    <n v="0"/>
    <n v="0"/>
    <n v="0"/>
    <n v="0"/>
  </r>
  <r>
    <s v="Самарская"/>
    <s v="HSR Center"/>
    <x v="2"/>
    <s v="ASM CEN Fud-trade+Reid-21"/>
    <x v="2"/>
    <x v="19"/>
    <m/>
    <s v="Фуд-Трейд ООО"/>
    <n v="1"/>
    <m/>
    <m/>
    <n v="0"/>
    <n v="11012437.9"/>
    <n v="218337576.42999807"/>
    <n v="101476809.00999995"/>
    <n v="0"/>
    <n v="0"/>
    <n v="0"/>
    <n v="0"/>
    <n v="6582960"/>
  </r>
  <r>
    <s v="Самарская"/>
    <s v="HSR Center"/>
    <x v="2"/>
    <s v="ASM CEN Fud-trade+Reid-21"/>
    <x v="2"/>
    <x v="21"/>
    <m/>
    <s v="Рэйд-21 ООО"/>
    <m/>
    <m/>
    <m/>
    <n v="0"/>
    <n v="0"/>
    <n v="778536.94"/>
    <n v="0"/>
    <n v="0"/>
    <n v="0"/>
    <n v="0"/>
    <n v="0"/>
    <n v="293012.60000000003"/>
  </r>
  <r>
    <s v="Свердловская"/>
    <s v="HSR Center"/>
    <x v="2"/>
    <s v="RADM CEN Grocery RKA+Monetka,Krasnoe i beloe, Kiro"/>
    <x v="8"/>
    <x v="34"/>
    <m/>
    <s v="Эвенкс ООО (Екатеринбург)"/>
    <m/>
    <n v="1"/>
    <m/>
    <n v="0"/>
    <n v="0"/>
    <n v="26279873.48"/>
    <n v="18050152.199999999"/>
    <n v="0"/>
    <n v="745246078.51999485"/>
    <n v="0"/>
    <n v="0"/>
    <n v="63038286.849999949"/>
  </r>
  <r>
    <s v="Свердловская"/>
    <s v="HSR Center"/>
    <x v="2"/>
    <s v="RADM CEN Grocery RKA+Monetka,Krasnoe i beloe, Kiro"/>
    <x v="8"/>
    <x v="35"/>
    <m/>
    <s v="Эвенкс ООО (Екатеринбург)"/>
    <n v="2"/>
    <m/>
    <m/>
    <n v="323366528.169999"/>
    <n v="0"/>
    <n v="0"/>
    <n v="0"/>
    <n v="0"/>
    <n v="260328241.31999904"/>
    <n v="260328241.31999904"/>
    <n v="0"/>
    <n v="0"/>
  </r>
  <r>
    <s v="Свердловская"/>
    <s v="HSR Center"/>
    <x v="2"/>
    <s v="DDM CEN"/>
    <x v="9"/>
    <x v="33"/>
    <m/>
    <s v="Эвенкс ООО (Екатеринбург)"/>
    <n v="1"/>
    <m/>
    <m/>
    <n v="0"/>
    <n v="512675533.57000101"/>
    <n v="3863402.85"/>
    <n v="312364324.05999964"/>
    <n v="0"/>
    <n v="0"/>
    <n v="0"/>
    <n v="0"/>
    <n v="0"/>
  </r>
  <r>
    <s v="Свердловская"/>
    <s v="HSR Center"/>
    <x v="2"/>
    <s v="ASM CEN Fud-trade+Reid-21"/>
    <x v="2"/>
    <x v="32"/>
    <m/>
    <s v="Фуд-Трейд ООО"/>
    <m/>
    <m/>
    <m/>
    <n v="0"/>
    <n v="0"/>
    <n v="6631434.7199999923"/>
    <n v="0"/>
    <n v="0"/>
    <n v="0"/>
    <n v="0"/>
    <n v="0"/>
    <n v="0"/>
  </r>
  <r>
    <s v="Свердловская"/>
    <s v="HSR Center"/>
    <x v="2"/>
    <s v="DDM CEN"/>
    <x v="9"/>
    <x v="22"/>
    <m/>
    <s v="Эвенкс ООО (Тюмень)"/>
    <m/>
    <m/>
    <m/>
    <n v="0"/>
    <n v="0"/>
    <n v="0"/>
    <n v="6961655.1200000001"/>
    <n v="0"/>
    <n v="0"/>
    <n v="0"/>
    <n v="0"/>
    <n v="0"/>
  </r>
  <r>
    <s v="Татарстан"/>
    <s v="HSR Center"/>
    <x v="2"/>
    <s v="ASM CEN Fud-trade+Reid-21"/>
    <x v="2"/>
    <x v="32"/>
    <m/>
    <s v="Фуд-Трейд ООО"/>
    <m/>
    <m/>
    <m/>
    <n v="0"/>
    <n v="0"/>
    <n v="0"/>
    <n v="727126.16999999993"/>
    <n v="0"/>
    <n v="0"/>
    <n v="0"/>
    <n v="0"/>
    <n v="0"/>
  </r>
  <r>
    <s v="Татарстан"/>
    <s v="HSR Center"/>
    <x v="2"/>
    <s v="ASM CEN Fud-trade+Reid-21"/>
    <x v="2"/>
    <x v="20"/>
    <m/>
    <s v="Фуд-Трейд ООО"/>
    <n v="1"/>
    <m/>
    <m/>
    <n v="0"/>
    <n v="37867925.61999999"/>
    <n v="48991654.930000298"/>
    <n v="83731236.620000064"/>
    <n v="0"/>
    <n v="9452726.7900000159"/>
    <n v="0"/>
    <n v="0"/>
    <n v="292274.43"/>
  </r>
  <r>
    <s v="Томская"/>
    <s v="HSR Center"/>
    <x v="2"/>
    <s v="DDM CEN"/>
    <x v="9"/>
    <x v="36"/>
    <m/>
    <s v="Эвенкс ООО (Тюмень)"/>
    <m/>
    <n v="1"/>
    <m/>
    <n v="0"/>
    <n v="0"/>
    <n v="0"/>
    <n v="867862.86999999988"/>
    <n v="0"/>
    <n v="9452726.7899999991"/>
    <n v="0"/>
    <n v="0"/>
    <n v="0"/>
  </r>
  <r>
    <s v="Тюменская"/>
    <s v="HSR Center"/>
    <x v="2"/>
    <s v="DDM CEN"/>
    <x v="9"/>
    <x v="33"/>
    <m/>
    <s v="Эвенкс ООО (Екатеринбург)"/>
    <m/>
    <m/>
    <m/>
    <n v="0"/>
    <n v="0"/>
    <n v="1036658.8200000001"/>
    <n v="0"/>
    <n v="0"/>
    <n v="0"/>
    <n v="0"/>
    <n v="0"/>
    <n v="0"/>
  </r>
  <r>
    <s v="Тюменская"/>
    <s v="HSR Center"/>
    <x v="2"/>
    <s v="RADM CEN Grocery RKA+Monetka,Krasnoe i beloe, Kiro"/>
    <x v="8"/>
    <x v="18"/>
    <m/>
    <s v="Фуд-Трейд ООО"/>
    <m/>
    <m/>
    <m/>
    <n v="0"/>
    <n v="21095811.210000005"/>
    <n v="0"/>
    <n v="0"/>
    <n v="0"/>
    <n v="0"/>
    <n v="0"/>
    <n v="0"/>
    <n v="0"/>
  </r>
  <r>
    <s v="Удмуртская"/>
    <s v="HSR Center"/>
    <x v="2"/>
    <s v="ASM CEN Fud-trade+Reid-21"/>
    <x v="2"/>
    <x v="32"/>
    <m/>
    <s v="Фуд-Трейд ООО"/>
    <n v="1"/>
    <m/>
    <m/>
    <n v="0"/>
    <n v="0"/>
    <n v="3709919.7600000007"/>
    <n v="61572551.459999993"/>
    <n v="0"/>
    <n v="33039185.340000033"/>
    <n v="6893112.2441999996"/>
    <n v="0"/>
    <n v="669466"/>
  </r>
  <r>
    <s v="Удмуртская"/>
    <s v="HSR Center"/>
    <x v="2"/>
    <s v="ASM CEN Fud-trade+Reid-21"/>
    <x v="2"/>
    <x v="21"/>
    <m/>
    <s v="Рэйд-21 ООО"/>
    <m/>
    <m/>
    <m/>
    <n v="0"/>
    <n v="0"/>
    <n v="0"/>
    <n v="363411.85"/>
    <n v="0"/>
    <n v="0"/>
    <n v="0"/>
    <n v="0"/>
    <n v="0"/>
  </r>
  <r>
    <s v="Ханты-Мансийский Автономный округ - Югра"/>
    <s v="HSR Center"/>
    <x v="2"/>
    <s v="DDM CEN"/>
    <x v="9"/>
    <x v="36"/>
    <m/>
    <s v="Эвенкс ООО (Тюмень)"/>
    <n v="1"/>
    <n v="1"/>
    <s v="Open"/>
    <n v="0"/>
    <n v="8722385.4600000009"/>
    <n v="656791.19999999995"/>
    <n v="58926900.209999993"/>
    <n v="1000058232.5383745"/>
    <n v="173307347.28000036"/>
    <n v="601796653.87660027"/>
    <n v="99474719.699999988"/>
    <n v="0"/>
  </r>
  <r>
    <s v="Челябинская"/>
    <s v="HSR Center"/>
    <x v="2"/>
    <s v="RADM CEN Grocery RKA+Monetka,Krasnoe i beloe, Kiro"/>
    <x v="8"/>
    <x v="34"/>
    <m/>
    <s v="Эвенкс ООО (Екатеринбург)"/>
    <m/>
    <m/>
    <m/>
    <n v="0"/>
    <n v="0"/>
    <n v="77805536.48999998"/>
    <n v="0"/>
    <n v="0"/>
    <n v="0"/>
    <n v="0"/>
    <n v="0"/>
    <n v="0"/>
  </r>
  <r>
    <s v="Челябинская"/>
    <s v="HSR Center"/>
    <x v="2"/>
    <s v="ASM CEN Fud-trade+Reid-21"/>
    <x v="2"/>
    <x v="37"/>
    <m/>
    <s v="Фуд-Трейд ООО"/>
    <n v="1"/>
    <n v="1"/>
    <m/>
    <n v="0"/>
    <n v="5248127.7100000009"/>
    <n v="2517076.71"/>
    <n v="101239778.97"/>
    <n v="0"/>
    <n v="249482271.56000093"/>
    <n v="92206844.813199982"/>
    <n v="0"/>
    <n v="59178799.899999954"/>
  </r>
  <r>
    <s v="Челябинская"/>
    <s v="HSR Center"/>
    <x v="2"/>
    <s v="DDM CEN"/>
    <x v="9"/>
    <x v="33"/>
    <m/>
    <s v="Эвенкс ООО (Екатеринбург)"/>
    <m/>
    <m/>
    <m/>
    <n v="0"/>
    <n v="0"/>
    <n v="2257325.5700000003"/>
    <n v="1243551.72"/>
    <n v="0"/>
    <n v="0"/>
    <n v="0"/>
    <n v="0"/>
    <n v="0"/>
  </r>
  <r>
    <s v="Челябинская"/>
    <s v="HSR Center"/>
    <x v="2"/>
    <s v="ASM CEN Fud-trade+Reid-21"/>
    <x v="2"/>
    <x v="21"/>
    <m/>
    <s v="Рэйд-21 ООО"/>
    <m/>
    <m/>
    <m/>
    <n v="0"/>
    <n v="0"/>
    <n v="0"/>
    <n v="1593870.07"/>
    <n v="0"/>
    <n v="0"/>
    <n v="0"/>
    <n v="0"/>
    <n v="0"/>
  </r>
  <r>
    <s v="Ямало-Ненецкий"/>
    <s v="HSR Center"/>
    <x v="2"/>
    <s v="DDM CEN"/>
    <x v="9"/>
    <x v="36"/>
    <m/>
    <s v="Эвенкс ООО (Тюмень)"/>
    <m/>
    <n v="1"/>
    <s v="Open"/>
    <n v="0"/>
    <n v="0"/>
    <n v="0"/>
    <n v="10032609.34"/>
    <n v="166575782.33000067"/>
    <n v="69327183.080000117"/>
    <n v="23181716.654200006"/>
    <n v="0"/>
    <n v="3859752.72"/>
  </r>
  <r>
    <s v="без привязки"/>
    <s v="HSR Center"/>
    <x v="2"/>
    <s v="RADM CEN Grocery RKA+Monetka,Krasnoe i beloe, Kiro"/>
    <x v="8"/>
    <x v="35"/>
    <m/>
    <s v="Дакорт-Юг ООО"/>
    <m/>
    <m/>
    <m/>
    <n v="835821.95"/>
    <n v="0"/>
    <n v="0"/>
    <n v="0"/>
    <n v="0"/>
    <n v="0"/>
    <n v="0"/>
    <n v="0"/>
    <n v="0"/>
  </r>
  <r>
    <s v="без привязки"/>
    <s v="HSR Center"/>
    <x v="2"/>
    <s v="RADM CEN Grocery RKA+Monetka,Krasnoe i beloe, Kiro"/>
    <x v="8"/>
    <x v="35"/>
    <m/>
    <s v="РП Альянс ООО"/>
    <m/>
    <m/>
    <m/>
    <n v="836011.14999999991"/>
    <n v="0"/>
    <n v="0"/>
    <n v="0"/>
    <n v="0"/>
    <n v="0"/>
    <n v="0"/>
    <n v="0"/>
    <n v="0"/>
  </r>
  <r>
    <s v="без привязки"/>
    <s v="HSR Center"/>
    <x v="2"/>
    <s v="RADM CEN Grocery RKA+Monetka,Krasnoe i beloe, Kiro"/>
    <x v="8"/>
    <x v="35"/>
    <m/>
    <s v="Фуд-Трейд ООО"/>
    <m/>
    <m/>
    <m/>
    <n v="228590.15"/>
    <n v="0"/>
    <n v="0"/>
    <n v="0"/>
    <n v="0"/>
    <n v="0"/>
    <n v="0"/>
    <n v="0"/>
    <n v="0"/>
  </r>
  <r>
    <s v="без привязки"/>
    <s v="HSR Center"/>
    <x v="2"/>
    <s v="RADM CEN Grocery RKA+Monetka,Krasnoe i beloe, Kiro"/>
    <x v="8"/>
    <x v="35"/>
    <m/>
    <s v="Фуд-Трейд ООО"/>
    <m/>
    <m/>
    <m/>
    <n v="688143.6"/>
    <n v="0"/>
    <n v="0"/>
    <n v="0"/>
    <n v="0"/>
    <n v="0"/>
    <n v="0"/>
    <n v="0"/>
    <n v="0"/>
  </r>
  <r>
    <s v="Адыгея"/>
    <s v="HSR Center"/>
    <x v="2"/>
    <s v="RADM CEN Grocery RKA+Monetka,Krasnoe i beloe, Kiro"/>
    <x v="8"/>
    <x v="35"/>
    <m/>
    <s v="Дакорт-Юг ООО"/>
    <m/>
    <m/>
    <m/>
    <n v="44163988.919999994"/>
    <n v="0"/>
    <n v="0"/>
    <n v="0"/>
    <n v="0"/>
    <n v="0"/>
    <n v="0"/>
    <n v="0"/>
    <n v="0"/>
  </r>
  <r>
    <s v="Адыгея"/>
    <s v="HSR Center"/>
    <x v="2"/>
    <s v="RADM CEN Grocery RKA+Monetka,Krasnoe i beloe, Kiro"/>
    <x v="8"/>
    <x v="35"/>
    <m/>
    <s v="Фуд-Трейд ООО"/>
    <m/>
    <m/>
    <m/>
    <n v="4002531.09"/>
    <n v="0"/>
    <n v="0"/>
    <n v="0"/>
    <n v="0"/>
    <n v="0"/>
    <n v="0"/>
    <n v="0"/>
    <n v="0"/>
  </r>
  <r>
    <s v="Алтай"/>
    <s v="HSR Center"/>
    <x v="2"/>
    <s v="RADM CEN Grocery RKA+Monetka,Krasnoe i beloe, Kiro"/>
    <x v="8"/>
    <x v="35"/>
    <m/>
    <s v="РП Альянс ООО"/>
    <m/>
    <m/>
    <m/>
    <n v="3046694.5799999996"/>
    <n v="0"/>
    <n v="0"/>
    <n v="0"/>
    <n v="0"/>
    <n v="0"/>
    <n v="0"/>
    <n v="0"/>
    <n v="0"/>
  </r>
  <r>
    <s v="Алтай"/>
    <s v="HSR Center"/>
    <x v="2"/>
    <s v="RADM CEN Grocery RKA+Monetka,Krasnoe i beloe, Kiro"/>
    <x v="8"/>
    <x v="35"/>
    <m/>
    <s v="Фуд-Трейд ООО"/>
    <m/>
    <m/>
    <m/>
    <n v="2125019.96"/>
    <n v="0"/>
    <n v="0"/>
    <n v="0"/>
    <n v="0"/>
    <n v="0"/>
    <n v="0"/>
    <n v="0"/>
    <n v="0"/>
  </r>
  <r>
    <s v="Алтайский"/>
    <s v="HSR Center"/>
    <x v="2"/>
    <s v="RADM CEN Grocery RKA+Monetka,Krasnoe i beloe, Kiro"/>
    <x v="8"/>
    <x v="35"/>
    <m/>
    <s v="РП Альянс ООО"/>
    <m/>
    <m/>
    <m/>
    <n v="12307302.329999996"/>
    <n v="0"/>
    <n v="0"/>
    <n v="0"/>
    <n v="0"/>
    <n v="0"/>
    <n v="0"/>
    <n v="0"/>
    <n v="0"/>
  </r>
  <r>
    <s v="Алтайский"/>
    <s v="HSR Center"/>
    <x v="2"/>
    <s v="RADM CEN Grocery RKA+Monetka,Krasnoe i beloe, Kiro"/>
    <x v="8"/>
    <x v="35"/>
    <m/>
    <s v="Фуд-Трейд ООО"/>
    <m/>
    <m/>
    <m/>
    <n v="9498768.2299999986"/>
    <n v="0"/>
    <n v="0"/>
    <n v="0"/>
    <n v="0"/>
    <n v="0"/>
    <n v="0"/>
    <n v="0"/>
    <n v="0"/>
  </r>
  <r>
    <s v="Амурская"/>
    <s v="HSR Center"/>
    <x v="2"/>
    <s v="RADM CEN Grocery RKA+Monetka,Krasnoe i beloe, Kiro"/>
    <x v="8"/>
    <x v="35"/>
    <m/>
    <s v="Эником ООО"/>
    <m/>
    <m/>
    <m/>
    <n v="1850809.5699999998"/>
    <n v="0"/>
    <n v="0"/>
    <n v="0"/>
    <n v="0"/>
    <n v="0"/>
    <n v="0"/>
    <n v="0"/>
    <n v="0"/>
  </r>
  <r>
    <s v="Архангельская"/>
    <s v="HSR Center"/>
    <x v="2"/>
    <s v="RADM CEN Grocery RKA+Monetka,Krasnoe i beloe, Kiro"/>
    <x v="8"/>
    <x v="35"/>
    <m/>
    <s v="Алколайн ООО"/>
    <m/>
    <m/>
    <m/>
    <n v="3916673.8"/>
    <n v="0"/>
    <n v="0"/>
    <n v="0"/>
    <n v="0"/>
    <n v="0"/>
    <n v="0"/>
    <n v="0"/>
    <n v="0"/>
  </r>
  <r>
    <s v="Архангельская"/>
    <s v="HSR Center"/>
    <x v="2"/>
    <s v="RADM CEN Grocery RKA+Monetka,Krasnoe i beloe, Kiro"/>
    <x v="8"/>
    <x v="35"/>
    <m/>
    <s v="Роздухов М.Е. ИП"/>
    <m/>
    <m/>
    <m/>
    <n v="2292216.67"/>
    <n v="0"/>
    <n v="0"/>
    <n v="0"/>
    <n v="0"/>
    <n v="0"/>
    <n v="0"/>
    <n v="0"/>
    <n v="0"/>
  </r>
  <r>
    <s v="Астраханская"/>
    <s v="HSR Center"/>
    <x v="2"/>
    <s v="RADM CEN Grocery RKA+Monetka,Krasnoe i beloe, Kiro"/>
    <x v="8"/>
    <x v="35"/>
    <m/>
    <s v="Фуд-Трейд ООО"/>
    <m/>
    <m/>
    <m/>
    <n v="1669261.7300000004"/>
    <n v="0"/>
    <n v="0"/>
    <n v="0"/>
    <n v="0"/>
    <n v="0"/>
    <n v="0"/>
    <n v="0"/>
    <n v="0"/>
  </r>
  <r>
    <s v="Башкортостан"/>
    <s v="HSR Center"/>
    <x v="2"/>
    <s v="RADM CEN Grocery RKA+Monetka,Krasnoe i beloe, Kiro"/>
    <x v="8"/>
    <x v="35"/>
    <m/>
    <s v="Рэйд-21 ООО"/>
    <m/>
    <m/>
    <m/>
    <n v="16290350.629999995"/>
    <n v="0"/>
    <n v="0"/>
    <n v="0"/>
    <n v="0"/>
    <n v="0"/>
    <n v="0"/>
    <n v="0"/>
    <n v="0"/>
  </r>
  <r>
    <s v="Белгородская"/>
    <s v="HSR Center"/>
    <x v="2"/>
    <s v="RADM CEN Grocery RKA+Monetka,Krasnoe i beloe, Kiro"/>
    <x v="8"/>
    <x v="35"/>
    <m/>
    <s v="Фуд-Трейд ООО"/>
    <m/>
    <m/>
    <m/>
    <n v="13742490.699999999"/>
    <n v="0"/>
    <n v="0"/>
    <n v="0"/>
    <n v="0"/>
    <n v="0"/>
    <n v="0"/>
    <n v="0"/>
    <n v="0"/>
  </r>
  <r>
    <s v="Брянская"/>
    <s v="HSR Center"/>
    <x v="2"/>
    <s v="RADM CEN Grocery RKA+Monetka,Krasnoe i beloe, Kiro"/>
    <x v="8"/>
    <x v="35"/>
    <m/>
    <s v="Фуд-Трейд ООО"/>
    <m/>
    <m/>
    <m/>
    <n v="8182930.8999999994"/>
    <n v="0"/>
    <n v="0"/>
    <n v="0"/>
    <n v="0"/>
    <n v="0"/>
    <n v="0"/>
    <n v="0"/>
    <n v="0"/>
  </r>
  <r>
    <s v="Бурятия"/>
    <s v="HSR Center"/>
    <x v="2"/>
    <s v="RADM CEN Grocery RKA+Monetka,Krasnoe i beloe, Kiro"/>
    <x v="8"/>
    <x v="35"/>
    <m/>
    <s v="Проект-Инвест ООО"/>
    <m/>
    <m/>
    <m/>
    <n v="1212322.8800000001"/>
    <n v="0"/>
    <n v="0"/>
    <n v="0"/>
    <n v="0"/>
    <n v="0"/>
    <n v="0"/>
    <n v="0"/>
    <n v="0"/>
  </r>
  <r>
    <s v="Волгоградская"/>
    <s v="HSR Center"/>
    <x v="2"/>
    <s v="RADM CEN Grocery RKA+Monetka,Krasnoe i beloe, Kiro"/>
    <x v="8"/>
    <x v="35"/>
    <m/>
    <s v="Фуд-Трейд ООО"/>
    <m/>
    <m/>
    <m/>
    <n v="3727231.73"/>
    <n v="0"/>
    <n v="0"/>
    <n v="0"/>
    <n v="0"/>
    <n v="0"/>
    <n v="0"/>
    <n v="0"/>
    <n v="0"/>
  </r>
  <r>
    <s v="Вологодская"/>
    <s v="HSR Center"/>
    <x v="2"/>
    <s v="RADM CEN Grocery RKA+Monetka,Krasnoe i beloe, Kiro"/>
    <x v="8"/>
    <x v="35"/>
    <m/>
    <s v="Алколайн ООО"/>
    <m/>
    <m/>
    <m/>
    <n v="1282400.56"/>
    <n v="0"/>
    <n v="0"/>
    <n v="0"/>
    <n v="0"/>
    <n v="0"/>
    <n v="0"/>
    <n v="0"/>
    <n v="0"/>
  </r>
  <r>
    <s v="Вологодская"/>
    <s v="HSR Center"/>
    <x v="2"/>
    <s v="RADM CEN Grocery RKA+Monetka,Krasnoe i beloe, Kiro"/>
    <x v="8"/>
    <x v="35"/>
    <m/>
    <s v="Роздухов М.Е. ИП"/>
    <m/>
    <m/>
    <m/>
    <n v="551136.82000000007"/>
    <n v="0"/>
    <n v="0"/>
    <n v="0"/>
    <n v="0"/>
    <n v="0"/>
    <n v="0"/>
    <n v="0"/>
    <n v="0"/>
  </r>
  <r>
    <s v="Воронежская"/>
    <s v="HSR Center"/>
    <x v="2"/>
    <s v="RADM CEN Grocery RKA+Monetka,Krasnoe i beloe, Kiro"/>
    <x v="8"/>
    <x v="35"/>
    <m/>
    <s v="Фуд-Трейд ООО"/>
    <m/>
    <m/>
    <m/>
    <n v="526862.52"/>
    <n v="0"/>
    <n v="0"/>
    <n v="0"/>
    <n v="0"/>
    <n v="0"/>
    <n v="0"/>
    <n v="0"/>
    <n v="0"/>
  </r>
  <r>
    <s v="Забайкальский"/>
    <s v="HSR Center"/>
    <x v="2"/>
    <s v="RADM CEN Grocery RKA+Monetka,Krasnoe i beloe, Kiro"/>
    <x v="8"/>
    <x v="35"/>
    <m/>
    <s v="Проект-Инвест ООО"/>
    <m/>
    <m/>
    <m/>
    <n v="6645557.3500000015"/>
    <n v="0"/>
    <n v="0"/>
    <n v="0"/>
    <n v="0"/>
    <n v="0"/>
    <n v="0"/>
    <n v="0"/>
    <n v="0"/>
  </r>
  <r>
    <s v="Ивановская"/>
    <s v="HSR Center"/>
    <x v="2"/>
    <s v="RADM CEN Grocery RKA+Monetka,Krasnoe i beloe, Kiro"/>
    <x v="8"/>
    <x v="35"/>
    <m/>
    <s v="Вектор ООО"/>
    <m/>
    <m/>
    <m/>
    <n v="715825.47"/>
    <n v="0"/>
    <n v="0"/>
    <n v="0"/>
    <n v="0"/>
    <n v="0"/>
    <n v="0"/>
    <n v="0"/>
    <n v="0"/>
  </r>
  <r>
    <s v="Иркутская"/>
    <s v="HSR Center"/>
    <x v="2"/>
    <s v="RADM CEN Grocery RKA+Monetka,Krasnoe i beloe, Kiro"/>
    <x v="8"/>
    <x v="35"/>
    <m/>
    <s v="Проект-Инвест ООО"/>
    <m/>
    <m/>
    <m/>
    <n v="2816299.63"/>
    <n v="0"/>
    <n v="0"/>
    <n v="0"/>
    <n v="0"/>
    <n v="0"/>
    <n v="0"/>
    <n v="0"/>
    <n v="0"/>
  </r>
  <r>
    <s v="Калужская"/>
    <s v="HSR Center"/>
    <x v="2"/>
    <s v="RADM CEN Grocery RKA+Monetka,Krasnoe i beloe, Kiro"/>
    <x v="8"/>
    <x v="35"/>
    <m/>
    <s v="Фуд-Трейд ООО"/>
    <m/>
    <m/>
    <m/>
    <n v="1402526.35"/>
    <n v="0"/>
    <n v="0"/>
    <n v="0"/>
    <n v="0"/>
    <n v="0"/>
    <n v="0"/>
    <n v="0"/>
    <n v="0"/>
  </r>
  <r>
    <s v="Камчатский"/>
    <s v="HSR Center"/>
    <x v="2"/>
    <s v="RADM CEN Grocery RKA+Monetka,Krasnoe i beloe, Kiro"/>
    <x v="8"/>
    <x v="35"/>
    <m/>
    <s v="Эником ООО"/>
    <m/>
    <m/>
    <m/>
    <n v="342333.51999999996"/>
    <n v="0"/>
    <n v="0"/>
    <n v="0"/>
    <n v="0"/>
    <n v="0"/>
    <n v="0"/>
    <n v="0"/>
    <n v="0"/>
  </r>
  <r>
    <s v="Карелия"/>
    <s v="HSR Center"/>
    <x v="2"/>
    <s v="RADM CEN Grocery RKA+Monetka,Krasnoe i beloe, Kiro"/>
    <x v="8"/>
    <x v="35"/>
    <m/>
    <s v="Денди ЗАО"/>
    <m/>
    <m/>
    <m/>
    <n v="3642683.080000001"/>
    <n v="0"/>
    <n v="0"/>
    <n v="0"/>
    <n v="0"/>
    <n v="0"/>
    <n v="0"/>
    <n v="0"/>
    <n v="0"/>
  </r>
  <r>
    <s v="Кемеровская область - Кузбасс"/>
    <s v="HSR Center"/>
    <x v="2"/>
    <s v="RADM CEN Grocery RKA+Monetka,Krasnoe i beloe, Kiro"/>
    <x v="8"/>
    <x v="35"/>
    <m/>
    <s v="ТД Шкуренко ООО (Томск)"/>
    <m/>
    <m/>
    <m/>
    <n v="16476732.709999997"/>
    <n v="0"/>
    <n v="0"/>
    <n v="0"/>
    <n v="0"/>
    <n v="0"/>
    <n v="0"/>
    <n v="0"/>
    <n v="0"/>
  </r>
  <r>
    <s v="Кировская"/>
    <s v="HSR Center"/>
    <x v="2"/>
    <s v="RADM CEN Grocery RKA+Monetka,Krasnoe i beloe, Kiro"/>
    <x v="8"/>
    <x v="35"/>
    <m/>
    <s v="Фуд-Трейд ООО"/>
    <m/>
    <m/>
    <m/>
    <n v="1067159.2200000002"/>
    <n v="0"/>
    <n v="0"/>
    <n v="0"/>
    <n v="0"/>
    <n v="0"/>
    <n v="0"/>
    <n v="0"/>
    <n v="0"/>
  </r>
  <r>
    <s v="Коми"/>
    <s v="HSR Center"/>
    <x v="2"/>
    <s v="RADM CEN Grocery RKA+Monetka,Krasnoe i beloe, Kiro"/>
    <x v="8"/>
    <x v="35"/>
    <m/>
    <s v="Киселенко А.А. ИП"/>
    <m/>
    <m/>
    <m/>
    <n v="497928.88"/>
    <n v="0"/>
    <n v="0"/>
    <n v="0"/>
    <n v="0"/>
    <n v="0"/>
    <n v="0"/>
    <n v="0"/>
    <n v="0"/>
  </r>
  <r>
    <s v="Костромская"/>
    <s v="HSR Center"/>
    <x v="2"/>
    <s v="RADM CEN Grocery RKA+Monetka,Krasnoe i beloe, Kiro"/>
    <x v="8"/>
    <x v="35"/>
    <m/>
    <s v="Вектор ООО"/>
    <m/>
    <m/>
    <m/>
    <n v="217936.43"/>
    <n v="0"/>
    <n v="0"/>
    <n v="0"/>
    <n v="0"/>
    <n v="0"/>
    <n v="0"/>
    <n v="0"/>
    <n v="0"/>
  </r>
  <r>
    <s v="Краснодарский"/>
    <s v="HSR Center"/>
    <x v="2"/>
    <s v="RADM CEN Grocery RKA+Monetka,Krasnoe i beloe, Kiro"/>
    <x v="8"/>
    <x v="35"/>
    <m/>
    <s v="Дакорт-Юг ООО"/>
    <m/>
    <m/>
    <m/>
    <n v="18206006.04000001"/>
    <n v="0"/>
    <n v="0"/>
    <n v="0"/>
    <n v="0"/>
    <n v="0"/>
    <n v="0"/>
    <n v="0"/>
    <n v="0"/>
  </r>
  <r>
    <s v="Краснодарский"/>
    <s v="HSR Center"/>
    <x v="2"/>
    <s v="RADM CEN Grocery RKA+Monetka,Krasnoe i beloe, Kiro"/>
    <x v="8"/>
    <x v="35"/>
    <m/>
    <s v="Фуд-Трейд ООО"/>
    <m/>
    <m/>
    <m/>
    <n v="22305574.450000003"/>
    <n v="0"/>
    <n v="0"/>
    <n v="0"/>
    <n v="0"/>
    <n v="0"/>
    <n v="0"/>
    <n v="0"/>
    <n v="0"/>
  </r>
  <r>
    <s v="Крым"/>
    <s v="HSR Center"/>
    <x v="2"/>
    <s v="RADM CEN Grocery RKA+Monetka,Krasnoe i beloe, Kiro"/>
    <x v="8"/>
    <x v="35"/>
    <m/>
    <s v="Дакорт-Юг ООО"/>
    <m/>
    <m/>
    <m/>
    <n v="148303293.16999984"/>
    <n v="0"/>
    <n v="0"/>
    <n v="0"/>
    <n v="0"/>
    <n v="0"/>
    <n v="0"/>
    <n v="0"/>
    <n v="0"/>
  </r>
  <r>
    <s v="Курганская"/>
    <s v="HSR Center"/>
    <x v="2"/>
    <s v="RADM CEN Grocery RKA+Monetka,Krasnoe i beloe, Kiro"/>
    <x v="8"/>
    <x v="35"/>
    <m/>
    <s v="Эвенкс ООО (Екатеринбург)"/>
    <m/>
    <m/>
    <m/>
    <n v="18010939.100000005"/>
    <n v="0"/>
    <n v="0"/>
    <n v="0"/>
    <n v="0"/>
    <n v="0"/>
    <n v="0"/>
    <n v="0"/>
    <n v="0"/>
  </r>
  <r>
    <s v="Ленинградская"/>
    <s v="HSR Center"/>
    <x v="2"/>
    <s v="RADM CEN Grocery RKA+Monetka,Krasnoe i beloe, Kiro"/>
    <x v="8"/>
    <x v="35"/>
    <m/>
    <s v="Денди ЗАО"/>
    <m/>
    <m/>
    <m/>
    <n v="8843623.5500000007"/>
    <n v="0"/>
    <n v="0"/>
    <n v="0"/>
    <n v="0"/>
    <n v="0"/>
    <n v="0"/>
    <n v="0"/>
    <n v="0"/>
  </r>
  <r>
    <s v="Липецкая"/>
    <s v="HSR Center"/>
    <x v="2"/>
    <s v="RADM CEN Grocery RKA+Monetka,Krasnoe i beloe, Kiro"/>
    <x v="8"/>
    <x v="35"/>
    <m/>
    <s v="Фуд-Трейд ООО"/>
    <m/>
    <m/>
    <m/>
    <n v="4388912.41"/>
    <n v="0"/>
    <n v="0"/>
    <n v="0"/>
    <n v="0"/>
    <n v="0"/>
    <n v="0"/>
    <n v="0"/>
    <n v="0"/>
  </r>
  <r>
    <s v="Московская"/>
    <s v="HSR Center"/>
    <x v="2"/>
    <s v="RADM CEN Grocery RKA+Monetka,Krasnoe i beloe, Kiro"/>
    <x v="8"/>
    <x v="35"/>
    <m/>
    <s v="Фуд-Трейд ООО"/>
    <m/>
    <m/>
    <m/>
    <n v="16865038.440000001"/>
    <n v="0"/>
    <n v="0"/>
    <n v="0"/>
    <n v="0"/>
    <n v="0"/>
    <n v="0"/>
    <n v="0"/>
    <n v="0"/>
  </r>
  <r>
    <s v="Мурманская"/>
    <s v="HSR Center"/>
    <x v="2"/>
    <s v="RADM CEN Grocery RKA+Monetka,Krasnoe i beloe, Kiro"/>
    <x v="8"/>
    <x v="35"/>
    <m/>
    <s v="Денди ЗАО"/>
    <m/>
    <m/>
    <m/>
    <n v="2126298.59"/>
    <n v="0"/>
    <n v="0"/>
    <n v="0"/>
    <n v="0"/>
    <n v="0"/>
    <n v="0"/>
    <n v="0"/>
    <n v="0"/>
  </r>
  <r>
    <s v="Новгородская"/>
    <s v="HSR Center"/>
    <x v="2"/>
    <s v="RADM CEN Grocery RKA+Monetka,Krasnoe i beloe, Kiro"/>
    <x v="8"/>
    <x v="35"/>
    <m/>
    <s v="Денди ЗАО"/>
    <m/>
    <m/>
    <m/>
    <n v="2711752.3"/>
    <n v="0"/>
    <n v="0"/>
    <n v="0"/>
    <n v="0"/>
    <n v="0"/>
    <n v="0"/>
    <n v="0"/>
    <n v="0"/>
  </r>
  <r>
    <s v="Новосибирская"/>
    <s v="HSR Center"/>
    <x v="2"/>
    <s v="RADM CEN Grocery RKA+Monetka,Krasnoe i beloe, Kiro"/>
    <x v="8"/>
    <x v="35"/>
    <m/>
    <s v="РП Альянс ООО"/>
    <m/>
    <m/>
    <m/>
    <n v="6187042.1399999997"/>
    <n v="0"/>
    <n v="0"/>
    <n v="0"/>
    <n v="0"/>
    <n v="0"/>
    <n v="0"/>
    <n v="0"/>
    <n v="0"/>
  </r>
  <r>
    <s v="Новосибирская"/>
    <s v="HSR Center"/>
    <x v="2"/>
    <s v="RADM CEN Grocery RKA+Monetka,Krasnoe i beloe, Kiro"/>
    <x v="8"/>
    <x v="35"/>
    <m/>
    <s v="Фуд-Трейд ООО"/>
    <m/>
    <m/>
    <m/>
    <n v="6168560.4500000011"/>
    <n v="0"/>
    <n v="0"/>
    <n v="0"/>
    <n v="0"/>
    <n v="0"/>
    <n v="0"/>
    <n v="0"/>
    <n v="0"/>
  </r>
  <r>
    <s v="Омская"/>
    <s v="HSR Center"/>
    <x v="2"/>
    <s v="RADM CEN Grocery RKA+Monetka,Krasnoe i beloe, Kiro"/>
    <x v="8"/>
    <x v="35"/>
    <m/>
    <s v="ТД Шкуренко ООО"/>
    <m/>
    <m/>
    <m/>
    <n v="13379034.709999999"/>
    <n v="0"/>
    <n v="0"/>
    <n v="0"/>
    <n v="0"/>
    <n v="0"/>
    <n v="0"/>
    <n v="0"/>
    <n v="0"/>
  </r>
  <r>
    <s v="Оренбургская"/>
    <s v="HSR Center"/>
    <x v="2"/>
    <s v="RADM CEN Grocery RKA+Monetka,Krasnoe i beloe, Kiro"/>
    <x v="8"/>
    <x v="35"/>
    <m/>
    <s v="Фуд-Трейд ООО"/>
    <m/>
    <m/>
    <m/>
    <n v="2367448.2399999998"/>
    <n v="0"/>
    <n v="0"/>
    <n v="0"/>
    <n v="0"/>
    <n v="0"/>
    <n v="0"/>
    <n v="0"/>
    <n v="0"/>
  </r>
  <r>
    <s v="Орловская"/>
    <s v="HSR Center"/>
    <x v="2"/>
    <s v="RADM CEN Grocery RKA+Monetka,Krasnoe i beloe, Kiro"/>
    <x v="8"/>
    <x v="35"/>
    <m/>
    <s v="Фуд-Трейд ООО"/>
    <m/>
    <m/>
    <m/>
    <n v="66978.100000000006"/>
    <n v="0"/>
    <n v="0"/>
    <n v="0"/>
    <n v="0"/>
    <n v="0"/>
    <n v="0"/>
    <n v="0"/>
    <n v="0"/>
  </r>
  <r>
    <s v="Пензенская"/>
    <s v="HSR Center"/>
    <x v="2"/>
    <s v="RADM CEN Grocery RKA+Monetka,Krasnoe i beloe, Kiro"/>
    <x v="8"/>
    <x v="35"/>
    <m/>
    <s v="Фуд-Трейд ООО"/>
    <m/>
    <m/>
    <m/>
    <n v="1620898.1300000001"/>
    <n v="0"/>
    <n v="0"/>
    <n v="0"/>
    <n v="0"/>
    <n v="0"/>
    <n v="0"/>
    <n v="0"/>
    <n v="0"/>
  </r>
  <r>
    <s v="Пермский"/>
    <s v="HSR Center"/>
    <x v="2"/>
    <s v="RADM CEN Grocery RKA+Monetka,Krasnoe i beloe, Kiro"/>
    <x v="8"/>
    <x v="35"/>
    <m/>
    <s v="Эвенкс ООО (Екатеринбург)"/>
    <m/>
    <m/>
    <m/>
    <n v="36021878.200000018"/>
    <n v="0"/>
    <n v="0"/>
    <n v="0"/>
    <n v="0"/>
    <n v="0"/>
    <n v="0"/>
    <n v="0"/>
    <n v="0"/>
  </r>
  <r>
    <s v="Приморский"/>
    <s v="HSR Center"/>
    <x v="2"/>
    <s v="RADM CEN Grocery RKA+Monetka,Krasnoe i beloe, Kiro"/>
    <x v="8"/>
    <x v="35"/>
    <m/>
    <s v="Эником ООО"/>
    <m/>
    <m/>
    <m/>
    <n v="132631.12"/>
    <n v="0"/>
    <n v="0"/>
    <n v="0"/>
    <n v="0"/>
    <n v="0"/>
    <n v="0"/>
    <n v="0"/>
    <n v="0"/>
  </r>
  <r>
    <s v="Псковская"/>
    <s v="HSR Center"/>
    <x v="2"/>
    <s v="RADM CEN Grocery RKA+Monetka,Krasnoe i beloe, Kiro"/>
    <x v="8"/>
    <x v="35"/>
    <m/>
    <s v="Денди ЗАО"/>
    <m/>
    <m/>
    <m/>
    <n v="7241718.1199999992"/>
    <n v="0"/>
    <n v="0"/>
    <n v="0"/>
    <n v="0"/>
    <n v="0"/>
    <n v="0"/>
    <n v="0"/>
    <n v="0"/>
  </r>
  <r>
    <s v="Ростовская"/>
    <s v="HSR Center"/>
    <x v="2"/>
    <s v="RADM CEN Grocery RKA+Monetka,Krasnoe i beloe, Kiro"/>
    <x v="8"/>
    <x v="35"/>
    <m/>
    <s v="Миллениум-Дон ООО"/>
    <m/>
    <m/>
    <m/>
    <n v="2537846.2700000005"/>
    <n v="0"/>
    <n v="0"/>
    <n v="0"/>
    <n v="0"/>
    <n v="0"/>
    <n v="0"/>
    <n v="0"/>
    <n v="0"/>
  </r>
  <r>
    <s v="Рязанская"/>
    <s v="HSR Center"/>
    <x v="2"/>
    <s v="RADM CEN Grocery RKA+Monetka,Krasnoe i beloe, Kiro"/>
    <x v="8"/>
    <x v="35"/>
    <m/>
    <s v="Фуд-Трейд ООО"/>
    <m/>
    <m/>
    <m/>
    <n v="1761030.05"/>
    <n v="0"/>
    <n v="0"/>
    <n v="0"/>
    <n v="0"/>
    <n v="0"/>
    <n v="0"/>
    <n v="0"/>
    <n v="0"/>
  </r>
  <r>
    <s v="Самарская"/>
    <s v="HSR Center"/>
    <x v="2"/>
    <s v="RADM CEN Grocery RKA+Monetka,Krasnoe i beloe, Kiro"/>
    <x v="8"/>
    <x v="35"/>
    <m/>
    <s v="Фуд-Трейд ООО"/>
    <m/>
    <m/>
    <m/>
    <n v="6875972.790000001"/>
    <n v="0"/>
    <n v="0"/>
    <n v="0"/>
    <n v="0"/>
    <n v="0"/>
    <n v="0"/>
    <n v="0"/>
    <n v="0"/>
  </r>
  <r>
    <s v="Санкт-Петербург"/>
    <s v="HSR Center"/>
    <x v="2"/>
    <s v="RADM CEN Grocery RKA+Monetka,Krasnoe i beloe, Kiro"/>
    <x v="8"/>
    <x v="35"/>
    <m/>
    <s v="Денди ЗАО"/>
    <m/>
    <m/>
    <m/>
    <n v="166482.5"/>
    <n v="0"/>
    <n v="0"/>
    <n v="0"/>
    <n v="0"/>
    <n v="0"/>
    <n v="0"/>
    <n v="0"/>
    <n v="0"/>
  </r>
  <r>
    <s v="Саратовская"/>
    <s v="HSR Center"/>
    <x v="2"/>
    <s v="RADM CEN Grocery RKA+Monetka,Krasnoe i beloe, Kiro"/>
    <x v="8"/>
    <x v="35"/>
    <m/>
    <s v="Фуд-Трейд ООО"/>
    <m/>
    <m/>
    <m/>
    <n v="923748.45000000019"/>
    <n v="0"/>
    <n v="0"/>
    <n v="0"/>
    <n v="0"/>
    <n v="0"/>
    <n v="0"/>
    <n v="0"/>
    <n v="0"/>
  </r>
  <r>
    <s v="Сахалинская"/>
    <s v="HSR Center"/>
    <x v="2"/>
    <s v="RADM CEN Grocery RKA+Monetka,Krasnoe i beloe, Kiro"/>
    <x v="8"/>
    <x v="35"/>
    <m/>
    <s v="Эником ООО"/>
    <m/>
    <m/>
    <m/>
    <n v="915171.79"/>
    <n v="0"/>
    <n v="0"/>
    <n v="0"/>
    <n v="0"/>
    <n v="0"/>
    <n v="0"/>
    <n v="0"/>
    <n v="0"/>
  </r>
  <r>
    <s v="Севастополь"/>
    <s v="HSR Center"/>
    <x v="2"/>
    <s v="RADM CEN Grocery RKA+Monetka,Krasnoe i beloe, Kiro"/>
    <x v="8"/>
    <x v="35"/>
    <m/>
    <s v="Дакорт-Юг ООО"/>
    <m/>
    <m/>
    <m/>
    <n v="24173379.469999999"/>
    <n v="0"/>
    <n v="0"/>
    <n v="0"/>
    <n v="0"/>
    <n v="0"/>
    <n v="0"/>
    <n v="0"/>
    <n v="0"/>
  </r>
  <r>
    <s v="Ставропольский"/>
    <s v="HSR Center"/>
    <x v="2"/>
    <s v="RADM CEN Grocery RKA+Monetka,Krasnoe i beloe, Kiro"/>
    <x v="8"/>
    <x v="35"/>
    <m/>
    <s v="Фуд-Трейд ООО"/>
    <m/>
    <m/>
    <m/>
    <n v="3460921.04"/>
    <n v="0"/>
    <n v="0"/>
    <n v="0"/>
    <n v="0"/>
    <n v="0"/>
    <n v="0"/>
    <n v="0"/>
    <n v="0"/>
  </r>
  <r>
    <s v="Тамбовская"/>
    <s v="HSR Center"/>
    <x v="2"/>
    <s v="RADM CEN Grocery RKA+Monetka,Krasnoe i beloe, Kiro"/>
    <x v="8"/>
    <x v="35"/>
    <m/>
    <s v="Фуд-Трейд ООО"/>
    <m/>
    <m/>
    <m/>
    <n v="3728265.5200000005"/>
    <n v="0"/>
    <n v="0"/>
    <n v="0"/>
    <n v="0"/>
    <n v="0"/>
    <n v="0"/>
    <n v="0"/>
    <n v="0"/>
  </r>
  <r>
    <s v="Татарстан"/>
    <s v="HSR Center"/>
    <x v="2"/>
    <s v="RADM CEN Grocery RKA+Monetka,Krasnoe i beloe, Kiro"/>
    <x v="8"/>
    <x v="35"/>
    <m/>
    <s v="Фуд-Трейд ООО"/>
    <m/>
    <m/>
    <m/>
    <n v="292274.43"/>
    <n v="0"/>
    <n v="0"/>
    <n v="0"/>
    <n v="0"/>
    <n v="0"/>
    <n v="0"/>
    <n v="0"/>
    <n v="0"/>
  </r>
  <r>
    <s v="Тверская"/>
    <s v="HSR Center"/>
    <x v="2"/>
    <s v="RADM CEN Grocery RKA+Monetka,Krasnoe i beloe, Kiro"/>
    <x v="8"/>
    <x v="35"/>
    <m/>
    <s v="Вектор ООО"/>
    <m/>
    <m/>
    <m/>
    <n v="372200.5"/>
    <n v="0"/>
    <n v="0"/>
    <n v="0"/>
    <n v="0"/>
    <n v="0"/>
    <n v="0"/>
    <n v="0"/>
    <n v="0"/>
  </r>
  <r>
    <s v="Томская"/>
    <s v="HSR Center"/>
    <x v="2"/>
    <s v="RADM CEN Grocery RKA+Monetka,Krasnoe i beloe, Kiro"/>
    <x v="8"/>
    <x v="35"/>
    <m/>
    <s v="ТД Шкуренко ООО (Томск)"/>
    <m/>
    <m/>
    <m/>
    <n v="5559329.3000000007"/>
    <n v="0"/>
    <n v="0"/>
    <n v="0"/>
    <n v="0"/>
    <n v="0"/>
    <n v="0"/>
    <n v="0"/>
    <n v="0"/>
  </r>
  <r>
    <s v="Тульская"/>
    <s v="HSR Center"/>
    <x v="2"/>
    <s v="RADM CEN Grocery RKA+Monetka,Krasnoe i beloe, Kiro"/>
    <x v="8"/>
    <x v="35"/>
    <m/>
    <s v="Фуд-Трейд ООО"/>
    <m/>
    <m/>
    <m/>
    <n v="1871079.9999999998"/>
    <n v="0"/>
    <n v="0"/>
    <n v="0"/>
    <n v="0"/>
    <n v="0"/>
    <n v="0"/>
    <n v="0"/>
    <n v="0"/>
  </r>
  <r>
    <s v="Тюменская"/>
    <s v="HSR Center"/>
    <x v="2"/>
    <s v="RADM CEN Grocery RKA+Monetka,Krasnoe i beloe, Kiro"/>
    <x v="8"/>
    <x v="35"/>
    <m/>
    <s v="Эвенкс ООО (Екатеринбург)"/>
    <m/>
    <m/>
    <m/>
    <n v="21870426.050000016"/>
    <n v="0"/>
    <n v="0"/>
    <n v="0"/>
    <n v="0"/>
    <n v="0"/>
    <n v="0"/>
    <n v="0"/>
    <n v="0"/>
  </r>
  <r>
    <s v="Удмуртская"/>
    <s v="HSR Center"/>
    <x v="2"/>
    <s v="RADM CEN Grocery RKA+Monetka,Krasnoe i beloe, Kiro"/>
    <x v="8"/>
    <x v="35"/>
    <m/>
    <s v="Фуд-Трейд ООО"/>
    <m/>
    <m/>
    <m/>
    <n v="669465.87"/>
    <n v="0"/>
    <n v="0"/>
    <n v="0"/>
    <n v="0"/>
    <n v="0"/>
    <n v="0"/>
    <n v="0"/>
    <n v="0"/>
  </r>
  <r>
    <s v="Челябинская"/>
    <s v="HSR Center"/>
    <x v="2"/>
    <s v="RADM CEN Grocery RKA+Monetka,Krasnoe i beloe, Kiro"/>
    <x v="8"/>
    <x v="35"/>
    <m/>
    <s v="Эвенкс ООО (Екатеринбург)"/>
    <m/>
    <m/>
    <m/>
    <n v="59178799.899999708"/>
    <n v="0"/>
    <n v="0"/>
    <n v="0"/>
    <n v="0"/>
    <n v="0"/>
    <n v="0"/>
    <n v="0"/>
    <n v="0"/>
  </r>
  <r>
    <s v="Чувашская Республика -"/>
    <s v="HSR Center"/>
    <x v="2"/>
    <s v="RADM CEN Grocery RKA+Monetka,Krasnoe i beloe, Kiro"/>
    <x v="8"/>
    <x v="35"/>
    <m/>
    <s v="Фуд-Трейд ООО"/>
    <m/>
    <m/>
    <m/>
    <n v="221696.62000000002"/>
    <n v="0"/>
    <n v="0"/>
    <n v="0"/>
    <n v="0"/>
    <n v="0"/>
    <n v="0"/>
    <n v="0"/>
    <n v="0"/>
  </r>
  <r>
    <s v="Ямало-Ненецкий"/>
    <s v="HSR Center"/>
    <x v="2"/>
    <s v="RADM CEN Grocery RKA+Monetka,Krasnoe i beloe, Kiro"/>
    <x v="8"/>
    <x v="35"/>
    <m/>
    <s v="Эвенкс ООО (Екатеринбург)"/>
    <m/>
    <m/>
    <m/>
    <n v="3859752.7199999997"/>
    <n v="0"/>
    <n v="0"/>
    <n v="0"/>
    <n v="0"/>
    <n v="0"/>
    <n v="0"/>
    <n v="0"/>
    <n v="0"/>
  </r>
  <r>
    <s v="Ярославская"/>
    <s v="HSR Center"/>
    <x v="2"/>
    <s v="RADM CEN Grocery RKA+Monetka,Krasnoe i beloe, Kiro"/>
    <x v="8"/>
    <x v="35"/>
    <m/>
    <s v="Вектор ООО"/>
    <m/>
    <m/>
    <m/>
    <n v="1319912.0300000003"/>
    <n v="0"/>
    <n v="0"/>
    <n v="0"/>
    <n v="0"/>
    <n v="0"/>
    <n v="0"/>
    <n v="0"/>
    <n v="0"/>
  </r>
  <r>
    <s v="???"/>
    <s v="HSR Center"/>
    <x v="2"/>
    <s v="RADM CEN Grocery RKA+Monetka,Krasnoe i beloe, Kiro"/>
    <x v="8"/>
    <x v="23"/>
    <m/>
    <s v="Фуд-Трейд ООО"/>
    <m/>
    <m/>
    <m/>
    <n v="18991406.05999998"/>
    <n v="0"/>
    <n v="0"/>
    <n v="0"/>
    <n v="0"/>
    <n v="0"/>
    <n v="0"/>
    <n v="0"/>
    <n v="0"/>
  </r>
  <r>
    <s v="???"/>
    <s v="HSR Center"/>
    <x v="2"/>
    <s v="RADM CEN Grocery RKA+Monetka,Krasnoe i beloe, Kiro"/>
    <x v="8"/>
    <x v="23"/>
    <m/>
    <s v="Фуд-Трейд ООО"/>
    <m/>
    <m/>
    <m/>
    <n v="1221334.9700000002"/>
    <n v="0"/>
    <n v="0"/>
    <n v="0"/>
    <n v="0"/>
    <n v="0"/>
    <n v="0"/>
    <n v="0"/>
    <n v="0"/>
  </r>
  <r>
    <s v="Адыгея"/>
    <s v="HSR Center"/>
    <x v="2"/>
    <s v="RADM CEN Grocery RKA+Monetka,Krasnoe i beloe, Kiro"/>
    <x v="8"/>
    <x v="23"/>
    <m/>
    <s v="Фуд-Трейд ООО"/>
    <m/>
    <m/>
    <m/>
    <n v="90879464.680000007"/>
    <n v="0"/>
    <n v="0"/>
    <n v="0"/>
    <n v="0"/>
    <n v="0"/>
    <n v="0"/>
    <n v="0"/>
    <n v="0"/>
  </r>
  <r>
    <s v="Астраханская"/>
    <s v="HSR Center"/>
    <x v="2"/>
    <s v="RADM CEN Grocery RKA+Monetka,Krasnoe i beloe, Kiro"/>
    <x v="8"/>
    <x v="23"/>
    <m/>
    <s v="Фуд-Трейд ООО"/>
    <m/>
    <m/>
    <m/>
    <n v="10828622.959999999"/>
    <n v="0"/>
    <n v="0"/>
    <n v="0"/>
    <n v="0"/>
    <n v="0"/>
    <n v="0"/>
    <n v="0"/>
    <n v="0"/>
  </r>
  <r>
    <s v="Башкортостан"/>
    <s v="HSR Center"/>
    <x v="2"/>
    <s v="RADM CEN Grocery RKA+Monetka,Krasnoe i beloe, Kiro"/>
    <x v="8"/>
    <x v="23"/>
    <m/>
    <s v="Фуд-Трейд ООО"/>
    <m/>
    <m/>
    <m/>
    <n v="56096761.779999882"/>
    <n v="0"/>
    <n v="0"/>
    <n v="0"/>
    <n v="0"/>
    <n v="0"/>
    <n v="0"/>
    <n v="0"/>
    <n v="0"/>
  </r>
  <r>
    <s v="Белгородская"/>
    <s v="HSR Center"/>
    <x v="2"/>
    <s v="RADM CEN Grocery RKA+Monetka,Krasnoe i beloe, Kiro"/>
    <x v="8"/>
    <x v="23"/>
    <m/>
    <s v="Фуд-Трейд ООО"/>
    <m/>
    <m/>
    <m/>
    <n v="42349125.859999932"/>
    <n v="0"/>
    <n v="0"/>
    <n v="0"/>
    <n v="0"/>
    <n v="0"/>
    <n v="0"/>
    <n v="0"/>
    <n v="0"/>
  </r>
  <r>
    <s v="Брянская"/>
    <s v="HSR Center"/>
    <x v="2"/>
    <s v="RADM CEN Grocery RKA+Monetka,Krasnoe i beloe, Kiro"/>
    <x v="8"/>
    <x v="23"/>
    <m/>
    <s v="Фуд-Трейд ООО"/>
    <m/>
    <m/>
    <m/>
    <n v="12460186.710000001"/>
    <n v="0"/>
    <n v="0"/>
    <n v="0"/>
    <n v="0"/>
    <n v="0"/>
    <n v="0"/>
    <n v="0"/>
    <n v="0"/>
  </r>
  <r>
    <s v="Владимирская"/>
    <s v="HSR Center"/>
    <x v="2"/>
    <s v="RADM CEN Grocery RKA+Monetka,Krasnoe i beloe, Kiro"/>
    <x v="8"/>
    <x v="23"/>
    <m/>
    <s v="Фуд-Трейд ООО"/>
    <m/>
    <m/>
    <m/>
    <n v="1513833.15"/>
    <n v="0"/>
    <n v="0"/>
    <n v="0"/>
    <n v="0"/>
    <n v="0"/>
    <n v="0"/>
    <n v="0"/>
    <n v="0"/>
  </r>
  <r>
    <s v="Волгоградская"/>
    <s v="HSR Center"/>
    <x v="2"/>
    <s v="RADM CEN Grocery RKA+Monetka,Krasnoe i beloe, Kiro"/>
    <x v="8"/>
    <x v="23"/>
    <m/>
    <s v="Фуд-Трейд ООО"/>
    <m/>
    <m/>
    <m/>
    <n v="242485214.69000125"/>
    <n v="0"/>
    <n v="0"/>
    <n v="0"/>
    <n v="0"/>
    <n v="0"/>
    <n v="0"/>
    <n v="0"/>
    <n v="0"/>
  </r>
  <r>
    <s v="Воронежская"/>
    <s v="HSR Center"/>
    <x v="2"/>
    <s v="RADM CEN Grocery RKA+Monetka,Krasnoe i beloe, Kiro"/>
    <x v="8"/>
    <x v="23"/>
    <m/>
    <s v="Фуд-Трейд ООО"/>
    <m/>
    <m/>
    <m/>
    <n v="130075043.88000013"/>
    <n v="0"/>
    <n v="0"/>
    <n v="0"/>
    <n v="0"/>
    <n v="0"/>
    <n v="0"/>
    <n v="0"/>
    <n v="0"/>
  </r>
  <r>
    <s v="Донецкая Народная"/>
    <s v="HSR Center"/>
    <x v="2"/>
    <s v="RADM CEN Grocery RKA+Monetka,Krasnoe i beloe, Kiro"/>
    <x v="8"/>
    <x v="23"/>
    <m/>
    <s v="Фуд-Трейд ООО"/>
    <m/>
    <m/>
    <m/>
    <n v="8317598.129999999"/>
    <n v="0"/>
    <n v="0"/>
    <n v="0"/>
    <n v="0"/>
    <n v="0"/>
    <n v="0"/>
    <n v="0"/>
    <n v="0"/>
  </r>
  <r>
    <s v="Калужская"/>
    <s v="HSR Center"/>
    <x v="2"/>
    <s v="RADM CEN Grocery RKA+Monetka,Krasnoe i beloe, Kiro"/>
    <x v="8"/>
    <x v="23"/>
    <m/>
    <s v="Фуд-Трейд ООО"/>
    <m/>
    <m/>
    <m/>
    <n v="19951807.690000013"/>
    <n v="0"/>
    <n v="0"/>
    <n v="0"/>
    <n v="0"/>
    <n v="0"/>
    <n v="0"/>
    <n v="0"/>
    <n v="0"/>
  </r>
  <r>
    <s v="Кировская"/>
    <s v="HSR Center"/>
    <x v="2"/>
    <s v="RADM CEN Grocery RKA+Monetka,Krasnoe i beloe, Kiro"/>
    <x v="8"/>
    <x v="23"/>
    <m/>
    <s v="Фуд-Трейд ООО"/>
    <m/>
    <m/>
    <m/>
    <n v="3514936.0200000005"/>
    <n v="0"/>
    <n v="0"/>
    <n v="0"/>
    <n v="0"/>
    <n v="0"/>
    <n v="0"/>
    <n v="0"/>
    <n v="0"/>
  </r>
  <r>
    <s v="Краснодарский"/>
    <s v="HSR Center"/>
    <x v="2"/>
    <s v="RADM CEN Grocery RKA+Monetka,Krasnoe i beloe, Kiro"/>
    <x v="8"/>
    <x v="23"/>
    <m/>
    <s v="Фуд-Трейд ООО"/>
    <m/>
    <m/>
    <m/>
    <n v="579441303.72000396"/>
    <n v="0"/>
    <n v="0"/>
    <n v="0"/>
    <n v="0"/>
    <n v="0"/>
    <n v="0"/>
    <n v="0"/>
    <n v="0"/>
  </r>
  <r>
    <s v="Крым"/>
    <s v="HSR Center"/>
    <x v="2"/>
    <s v="RADM CEN Grocery RKA+Monetka,Krasnoe i beloe, Kiro"/>
    <x v="8"/>
    <x v="23"/>
    <m/>
    <s v="Фуд-Трейд ООО"/>
    <m/>
    <m/>
    <m/>
    <n v="170025769.98000044"/>
    <n v="0"/>
    <n v="0"/>
    <n v="0"/>
    <n v="0"/>
    <n v="0"/>
    <n v="0"/>
    <n v="0"/>
    <n v="0"/>
  </r>
  <r>
    <s v="Курская"/>
    <s v="HSR Center"/>
    <x v="2"/>
    <s v="RADM CEN Grocery RKA+Monetka,Krasnoe i beloe, Kiro"/>
    <x v="8"/>
    <x v="23"/>
    <m/>
    <s v="Фуд-Трейд ООО"/>
    <m/>
    <m/>
    <m/>
    <n v="60282489.34999986"/>
    <n v="0"/>
    <n v="0"/>
    <n v="0"/>
    <n v="0"/>
    <n v="0"/>
    <n v="0"/>
    <n v="0"/>
    <n v="0"/>
  </r>
  <r>
    <s v="Липецкая"/>
    <s v="HSR Center"/>
    <x v="2"/>
    <s v="RADM CEN Grocery RKA+Monetka,Krasnoe i beloe, Kiro"/>
    <x v="8"/>
    <x v="23"/>
    <m/>
    <s v="Фуд-Трейд ООО"/>
    <m/>
    <m/>
    <m/>
    <n v="103135696.96999992"/>
    <n v="0"/>
    <n v="0"/>
    <n v="0"/>
    <n v="0"/>
    <n v="0"/>
    <n v="0"/>
    <n v="0"/>
    <n v="0"/>
  </r>
  <r>
    <s v="Марий Эл"/>
    <s v="HSR Center"/>
    <x v="2"/>
    <s v="RADM CEN Grocery RKA+Monetka,Krasnoe i beloe, Kiro"/>
    <x v="8"/>
    <x v="23"/>
    <m/>
    <s v="Фуд-Трейд ООО"/>
    <m/>
    <m/>
    <m/>
    <n v="21394608.250000011"/>
    <n v="0"/>
    <n v="0"/>
    <n v="0"/>
    <n v="0"/>
    <n v="0"/>
    <n v="0"/>
    <n v="0"/>
    <n v="0"/>
  </r>
  <r>
    <s v="Мордовия"/>
    <s v="HSR Center"/>
    <x v="2"/>
    <s v="RADM CEN Grocery RKA+Monetka,Krasnoe i beloe, Kiro"/>
    <x v="8"/>
    <x v="23"/>
    <m/>
    <s v="Фуд-Трейд ООО"/>
    <m/>
    <m/>
    <m/>
    <n v="20762694.490000002"/>
    <n v="0"/>
    <n v="0"/>
    <n v="0"/>
    <n v="0"/>
    <n v="0"/>
    <n v="0"/>
    <n v="0"/>
    <n v="0"/>
  </r>
  <r>
    <s v="Москва"/>
    <s v="HSR Center"/>
    <x v="2"/>
    <s v="RADM CEN Grocery RKA+Monetka,Krasnoe i beloe, Kiro"/>
    <x v="8"/>
    <x v="23"/>
    <m/>
    <s v="Фуд-Трейд ООО"/>
    <m/>
    <m/>
    <m/>
    <n v="5977787.830000001"/>
    <n v="0"/>
    <n v="0"/>
    <n v="0"/>
    <n v="0"/>
    <n v="0"/>
    <n v="0"/>
    <n v="0"/>
    <n v="0"/>
  </r>
  <r>
    <s v="Московская"/>
    <s v="HSR Center"/>
    <x v="2"/>
    <s v="RADM CEN Grocery RKA+Monetka,Krasnoe i beloe, Kiro"/>
    <x v="8"/>
    <x v="23"/>
    <m/>
    <s v="Фуд-Трейд ООО"/>
    <m/>
    <m/>
    <m/>
    <n v="181352079.10000029"/>
    <n v="0"/>
    <n v="0"/>
    <n v="0"/>
    <n v="0"/>
    <n v="0"/>
    <n v="0"/>
    <n v="0"/>
    <n v="0"/>
  </r>
  <r>
    <s v="Нижегородская"/>
    <s v="HSR Center"/>
    <x v="2"/>
    <s v="RADM CEN Grocery RKA+Monetka,Krasnoe i beloe, Kiro"/>
    <x v="8"/>
    <x v="23"/>
    <m/>
    <s v="Фуд-Трейд ООО"/>
    <m/>
    <m/>
    <m/>
    <n v="2442669.94"/>
    <n v="0"/>
    <n v="0"/>
    <n v="0"/>
    <n v="0"/>
    <n v="0"/>
    <n v="0"/>
    <n v="0"/>
    <n v="0"/>
  </r>
  <r>
    <s v="Оренбургская"/>
    <s v="HSR Center"/>
    <x v="2"/>
    <s v="RADM CEN Grocery RKA+Monetka,Krasnoe i beloe, Kiro"/>
    <x v="8"/>
    <x v="23"/>
    <m/>
    <s v="Фуд-Трейд ООО"/>
    <m/>
    <m/>
    <m/>
    <n v="25712040.959999997"/>
    <n v="0"/>
    <n v="0"/>
    <n v="0"/>
    <n v="0"/>
    <n v="0"/>
    <n v="0"/>
    <n v="0"/>
    <n v="0"/>
  </r>
  <r>
    <s v="Орловская"/>
    <s v="HSR Center"/>
    <x v="2"/>
    <s v="RADM CEN Grocery RKA+Monetka,Krasnoe i beloe, Kiro"/>
    <x v="8"/>
    <x v="23"/>
    <m/>
    <s v="Фуд-Трейд ООО"/>
    <m/>
    <m/>
    <m/>
    <n v="36875949.079999946"/>
    <n v="0"/>
    <n v="0"/>
    <n v="0"/>
    <n v="0"/>
    <n v="0"/>
    <n v="0"/>
    <n v="0"/>
    <n v="0"/>
  </r>
  <r>
    <s v="Пензенская"/>
    <s v="HSR Center"/>
    <x v="2"/>
    <s v="RADM CEN Grocery RKA+Monetka,Krasnoe i beloe, Kiro"/>
    <x v="8"/>
    <x v="23"/>
    <m/>
    <s v="Фуд-Трейд ООО"/>
    <m/>
    <m/>
    <m/>
    <n v="1009222.1000000001"/>
    <n v="0"/>
    <n v="0"/>
    <n v="0"/>
    <n v="0"/>
    <n v="0"/>
    <n v="0"/>
    <n v="0"/>
    <n v="0"/>
  </r>
  <r>
    <s v="Пензенская"/>
    <s v="HSR Center"/>
    <x v="2"/>
    <s v="RADM CEN Grocery RKA+Monetka,Krasnoe i beloe, Kiro"/>
    <x v="8"/>
    <x v="23"/>
    <m/>
    <s v="Фуд-Трейд ООО"/>
    <m/>
    <m/>
    <m/>
    <n v="14656019.640000004"/>
    <n v="0"/>
    <n v="0"/>
    <n v="0"/>
    <n v="0"/>
    <n v="0"/>
    <n v="0"/>
    <n v="0"/>
    <n v="0"/>
  </r>
  <r>
    <s v="Пермский"/>
    <s v="HSR Center"/>
    <x v="2"/>
    <s v="RADM CEN Grocery RKA+Monetka,Krasnoe i beloe, Kiro"/>
    <x v="8"/>
    <x v="23"/>
    <m/>
    <s v="Фуд-Трейд ООО"/>
    <m/>
    <m/>
    <m/>
    <n v="7030017.2700000023"/>
    <n v="0"/>
    <n v="0"/>
    <n v="0"/>
    <n v="0"/>
    <n v="0"/>
    <n v="0"/>
    <n v="0"/>
    <n v="0"/>
  </r>
  <r>
    <s v="Ростовская"/>
    <s v="HSR Center"/>
    <x v="2"/>
    <s v="RADM CEN Grocery RKA+Monetka,Krasnoe i beloe, Kiro"/>
    <x v="8"/>
    <x v="23"/>
    <m/>
    <s v="Фуд-Трейд ООО"/>
    <m/>
    <m/>
    <m/>
    <n v="348384027.26000243"/>
    <n v="0"/>
    <n v="0"/>
    <n v="0"/>
    <n v="0"/>
    <n v="0"/>
    <n v="0"/>
    <n v="0"/>
    <n v="0"/>
  </r>
  <r>
    <s v="Рязанская"/>
    <s v="HSR Center"/>
    <x v="2"/>
    <s v="RADM CEN Grocery RKA+Monetka,Krasnoe i beloe, Kiro"/>
    <x v="8"/>
    <x v="23"/>
    <m/>
    <s v="Фуд-Трейд ООО"/>
    <m/>
    <m/>
    <m/>
    <n v="66260277.17999991"/>
    <n v="0"/>
    <n v="0"/>
    <n v="0"/>
    <n v="0"/>
    <n v="0"/>
    <n v="0"/>
    <n v="0"/>
    <n v="0"/>
  </r>
  <r>
    <s v="Самарская"/>
    <s v="HSR Center"/>
    <x v="2"/>
    <s v="RADM CEN Grocery RKA+Monetka,Krasnoe i beloe, Kiro"/>
    <x v="8"/>
    <x v="23"/>
    <m/>
    <s v="Фуд-Трейд ООО"/>
    <m/>
    <m/>
    <m/>
    <n v="339032466.54000002"/>
    <n v="0"/>
    <n v="0"/>
    <n v="0"/>
    <n v="0"/>
    <n v="0"/>
    <n v="0"/>
    <n v="0"/>
    <n v="0"/>
  </r>
  <r>
    <s v="Саратовская"/>
    <s v="HSR Center"/>
    <x v="2"/>
    <s v="RADM CEN Grocery RKA+Monetka,Krasnoe i beloe, Kiro"/>
    <x v="8"/>
    <x v="23"/>
    <m/>
    <s v="Фуд-Трейд ООО"/>
    <m/>
    <m/>
    <m/>
    <n v="182776693.56999993"/>
    <n v="0"/>
    <n v="0"/>
    <n v="0"/>
    <n v="0"/>
    <n v="0"/>
    <n v="0"/>
    <n v="0"/>
    <n v="0"/>
  </r>
  <r>
    <s v="Севастополь"/>
    <s v="HSR Center"/>
    <x v="2"/>
    <s v="RADM CEN Grocery RKA+Monetka,Krasnoe i beloe, Kiro"/>
    <x v="8"/>
    <x v="23"/>
    <m/>
    <s v="Фуд-Трейд ООО"/>
    <m/>
    <m/>
    <m/>
    <n v="614114.75"/>
    <n v="0"/>
    <n v="0"/>
    <n v="0"/>
    <n v="0"/>
    <n v="0"/>
    <n v="0"/>
    <n v="0"/>
    <n v="0"/>
  </r>
  <r>
    <s v="Ставропольский"/>
    <s v="HSR Center"/>
    <x v="2"/>
    <s v="RADM CEN Grocery RKA+Monetka,Krasnoe i beloe, Kiro"/>
    <x v="8"/>
    <x v="23"/>
    <m/>
    <s v="Фуд-Трейд ООО"/>
    <m/>
    <m/>
    <m/>
    <n v="92721808.929999992"/>
    <n v="0"/>
    <n v="0"/>
    <n v="0"/>
    <n v="0"/>
    <n v="0"/>
    <n v="0"/>
    <n v="0"/>
    <n v="0"/>
  </r>
  <r>
    <s v="Тамбовская"/>
    <s v="HSR Center"/>
    <x v="2"/>
    <s v="RADM CEN Grocery RKA+Monetka,Krasnoe i beloe, Kiro"/>
    <x v="8"/>
    <x v="23"/>
    <m/>
    <s v="Фуд-Трейд ООО"/>
    <m/>
    <m/>
    <m/>
    <n v="42349125.859999947"/>
    <n v="0"/>
    <n v="0"/>
    <n v="0"/>
    <n v="0"/>
    <n v="0"/>
    <n v="0"/>
    <n v="0"/>
    <n v="0"/>
  </r>
  <r>
    <s v="Татарстан"/>
    <s v="HSR Center"/>
    <x v="2"/>
    <s v="RADM CEN Grocery RKA+Monetka,Krasnoe i beloe, Kiro"/>
    <x v="8"/>
    <x v="23"/>
    <m/>
    <s v="Фуд-Трейд ООО"/>
    <m/>
    <m/>
    <m/>
    <n v="139760675.00000012"/>
    <n v="0"/>
    <n v="0"/>
    <n v="0"/>
    <n v="0"/>
    <n v="0"/>
    <n v="0"/>
    <n v="0"/>
    <n v="0"/>
  </r>
  <r>
    <s v="Тульская"/>
    <s v="HSR Center"/>
    <x v="2"/>
    <s v="RADM CEN Grocery RKA+Monetka,Krasnoe i beloe, Kiro"/>
    <x v="8"/>
    <x v="23"/>
    <m/>
    <s v="Фуд-Трейд ООО"/>
    <m/>
    <m/>
    <m/>
    <n v="84690420.809999883"/>
    <n v="0"/>
    <n v="0"/>
    <n v="0"/>
    <n v="0"/>
    <n v="0"/>
    <n v="0"/>
    <n v="0"/>
    <n v="0"/>
  </r>
  <r>
    <s v="Херсонская"/>
    <s v="HSR Center"/>
    <x v="2"/>
    <s v="RADM CEN Grocery RKA+Monetka,Krasnoe i beloe, Kiro"/>
    <x v="8"/>
    <x v="23"/>
    <m/>
    <s v="Фуд-Трейд ООО"/>
    <m/>
    <m/>
    <m/>
    <n v="7703483.379999999"/>
    <n v="0"/>
    <n v="0"/>
    <n v="0"/>
    <n v="0"/>
    <n v="0"/>
    <n v="0"/>
    <n v="0"/>
    <n v="0"/>
  </r>
  <r>
    <s v="Чувашская Республика -"/>
    <s v="HSR Center"/>
    <x v="2"/>
    <s v="RADM CEN Grocery RKA+Monetka,Krasnoe i beloe, Kiro"/>
    <x v="8"/>
    <x v="23"/>
    <m/>
    <s v="Фуд-Трейд ООО"/>
    <m/>
    <m/>
    <m/>
    <n v="32976044.18999996"/>
    <n v="0"/>
    <n v="0"/>
    <n v="0"/>
    <n v="0"/>
    <n v="0"/>
    <n v="0"/>
    <n v="0"/>
    <n v="0"/>
  </r>
  <r>
    <s v="Алтай"/>
    <s v="HSR Center"/>
    <x v="2"/>
    <s v="RADM CEN Grocery RKA+Monetka,Krasnoe i beloe, Kiro"/>
    <x v="8"/>
    <x v="38"/>
    <m/>
    <s v="Эвенкс ООО (Екатеринбург)"/>
    <m/>
    <m/>
    <m/>
    <n v="4386979.9100000029"/>
    <n v="0"/>
    <n v="0"/>
    <n v="0"/>
    <n v="0"/>
    <n v="0"/>
    <n v="0"/>
    <n v="0"/>
    <n v="0"/>
  </r>
  <r>
    <s v="Алтайский"/>
    <s v="HSR Center"/>
    <x v="2"/>
    <s v="RADM CEN Grocery RKA+Monetka,Krasnoe i beloe, Kiro"/>
    <x v="8"/>
    <x v="38"/>
    <m/>
    <s v="Эвенкс ООО (Екатеринбург)"/>
    <m/>
    <m/>
    <m/>
    <n v="108629205.9599967"/>
    <n v="0"/>
    <n v="0"/>
    <n v="0"/>
    <n v="0"/>
    <n v="0"/>
    <n v="0"/>
    <n v="0"/>
    <n v="0"/>
  </r>
  <r>
    <s v="Башкортостан"/>
    <s v="HSR Center"/>
    <x v="2"/>
    <s v="RADM CEN Grocery RKA+Monetka,Krasnoe i beloe, Kiro"/>
    <x v="8"/>
    <x v="38"/>
    <m/>
    <s v="Эвенкс ООО (Екатеринбург)"/>
    <m/>
    <m/>
    <m/>
    <n v="255081129.14003366"/>
    <n v="0"/>
    <n v="0"/>
    <n v="0"/>
    <n v="0"/>
    <n v="0"/>
    <n v="0"/>
    <n v="0"/>
    <n v="0"/>
  </r>
  <r>
    <s v="Волгоградская"/>
    <s v="HSR Center"/>
    <x v="2"/>
    <s v="RADM CEN Grocery RKA+Monetka,Krasnoe i beloe, Kiro"/>
    <x v="8"/>
    <x v="38"/>
    <m/>
    <s v="Эвенкс ООО (Екатеринбург)"/>
    <m/>
    <m/>
    <m/>
    <n v="1006884.1400000002"/>
    <n v="0"/>
    <n v="0"/>
    <n v="0"/>
    <n v="0"/>
    <n v="0"/>
    <n v="0"/>
    <n v="0"/>
    <n v="0"/>
  </r>
  <r>
    <s v="Иркутская"/>
    <s v="HSR Center"/>
    <x v="2"/>
    <s v="RADM CEN Grocery RKA+Monetka,Krasnoe i beloe, Kiro"/>
    <x v="8"/>
    <x v="38"/>
    <m/>
    <s v="Эвенкс ООО (Екатеринбург)"/>
    <m/>
    <m/>
    <m/>
    <n v="1220654.8799999994"/>
    <n v="0"/>
    <n v="0"/>
    <n v="0"/>
    <n v="0"/>
    <n v="0"/>
    <n v="0"/>
    <n v="0"/>
    <n v="0"/>
  </r>
  <r>
    <s v="Кемеровская область - Кузбасс"/>
    <s v="HSR Center"/>
    <x v="2"/>
    <s v="RADM CEN Grocery RKA+Monetka,Krasnoe i beloe, Kiro"/>
    <x v="8"/>
    <x v="38"/>
    <m/>
    <s v="Эвенкс ООО (Екатеринбург)"/>
    <m/>
    <m/>
    <m/>
    <n v="238713553.10999355"/>
    <n v="0"/>
    <n v="0"/>
    <n v="0"/>
    <n v="0"/>
    <n v="0"/>
    <n v="0"/>
    <n v="0"/>
    <n v="0"/>
  </r>
  <r>
    <s v="Коми"/>
    <s v="HSR Center"/>
    <x v="2"/>
    <s v="RADM CEN Grocery RKA+Monetka,Krasnoe i beloe, Kiro"/>
    <x v="8"/>
    <x v="38"/>
    <m/>
    <s v="Эвенкс ООО (Екатеринбург)"/>
    <m/>
    <m/>
    <m/>
    <n v="911585.5900000002"/>
    <n v="0"/>
    <n v="0"/>
    <n v="0"/>
    <n v="0"/>
    <n v="0"/>
    <n v="0"/>
    <n v="0"/>
    <n v="0"/>
  </r>
  <r>
    <s v="Краснодарский"/>
    <s v="HSR Center"/>
    <x v="2"/>
    <s v="RADM CEN Grocery RKA+Monetka,Krasnoe i beloe, Kiro"/>
    <x v="8"/>
    <x v="38"/>
    <m/>
    <s v="Эвенкс ООО (Екатеринбург)"/>
    <m/>
    <m/>
    <m/>
    <n v="2132240.4700000016"/>
    <n v="0"/>
    <n v="0"/>
    <n v="0"/>
    <n v="0"/>
    <n v="0"/>
    <n v="0"/>
    <n v="0"/>
    <n v="0"/>
  </r>
  <r>
    <s v="Красноярский"/>
    <s v="HSR Center"/>
    <x v="2"/>
    <s v="RADM CEN Grocery RKA+Monetka,Krasnoe i beloe, Kiro"/>
    <x v="8"/>
    <x v="38"/>
    <m/>
    <s v="Эвенкс ООО (Екатеринбург)"/>
    <m/>
    <m/>
    <m/>
    <n v="1220654.8799999997"/>
    <n v="0"/>
    <n v="0"/>
    <n v="0"/>
    <n v="0"/>
    <n v="0"/>
    <n v="0"/>
    <n v="0"/>
    <n v="0"/>
  </r>
  <r>
    <s v="Курганская"/>
    <s v="HSR Center"/>
    <x v="2"/>
    <s v="RADM CEN Grocery RKA+Monetka,Krasnoe i beloe, Kiro"/>
    <x v="8"/>
    <x v="38"/>
    <m/>
    <s v="Эвенкс ООО (Екатеринбург)"/>
    <m/>
    <m/>
    <m/>
    <n v="62849378.649999693"/>
    <n v="0"/>
    <n v="0"/>
    <n v="0"/>
    <n v="0"/>
    <n v="62849378.649999693"/>
    <n v="0"/>
    <n v="0"/>
    <n v="0"/>
  </r>
  <r>
    <s v="Ленинградская"/>
    <s v="HSR Center"/>
    <x v="2"/>
    <s v="RADM CEN Grocery RKA+Monetka,Krasnoe i beloe, Kiro"/>
    <x v="8"/>
    <x v="38"/>
    <m/>
    <s v="Эвенкс ООО (Екатеринбург)"/>
    <m/>
    <m/>
    <m/>
    <n v="3592537.7499999967"/>
    <n v="0"/>
    <n v="0"/>
    <n v="0"/>
    <n v="0"/>
    <n v="0"/>
    <n v="0"/>
    <n v="0"/>
    <n v="0"/>
  </r>
  <r>
    <s v="Московская"/>
    <s v="HSR Center"/>
    <x v="2"/>
    <s v="RADM CEN Grocery RKA+Monetka,Krasnoe i beloe, Kiro"/>
    <x v="8"/>
    <x v="38"/>
    <m/>
    <s v="Эвенкс ООО (Екатеринбург)"/>
    <m/>
    <m/>
    <m/>
    <n v="3020652.4200000013"/>
    <n v="0"/>
    <n v="0"/>
    <n v="0"/>
    <n v="0"/>
    <n v="0"/>
    <n v="0"/>
    <n v="0"/>
    <n v="0"/>
  </r>
  <r>
    <s v="Новосибирская"/>
    <s v="HSR Center"/>
    <x v="2"/>
    <s v="RADM CEN Grocery RKA+Monetka,Krasnoe i beloe, Kiro"/>
    <x v="8"/>
    <x v="38"/>
    <m/>
    <s v="Эвенкс ООО (Екатеринбург)"/>
    <m/>
    <m/>
    <m/>
    <n v="300455001.50000781"/>
    <n v="0"/>
    <n v="0"/>
    <n v="0"/>
    <n v="0"/>
    <n v="0"/>
    <n v="0"/>
    <n v="0"/>
    <n v="0"/>
  </r>
  <r>
    <s v="Омская"/>
    <s v="HSR Center"/>
    <x v="2"/>
    <s v="RADM CEN Grocery RKA+Monetka,Krasnoe i beloe, Kiro"/>
    <x v="8"/>
    <x v="38"/>
    <m/>
    <s v="Эвенкс ООО (Екатеринбург)"/>
    <m/>
    <m/>
    <m/>
    <n v="1220654.8799999992"/>
    <n v="0"/>
    <n v="0"/>
    <n v="0"/>
    <n v="0"/>
    <n v="0"/>
    <n v="0"/>
    <n v="0"/>
    <n v="0"/>
  </r>
  <r>
    <s v="Пермский"/>
    <s v="HSR Center"/>
    <x v="2"/>
    <s v="RADM CEN Grocery RKA+Monetka,Krasnoe i beloe, Kiro"/>
    <x v="8"/>
    <x v="38"/>
    <m/>
    <s v="Эвенкс ООО (Екатеринбург)"/>
    <m/>
    <m/>
    <m/>
    <n v="399077386.25999945"/>
    <n v="0"/>
    <n v="0"/>
    <n v="0"/>
    <n v="0"/>
    <n v="0"/>
    <n v="0"/>
    <n v="0"/>
    <n v="0"/>
  </r>
  <r>
    <s v="Ростовская"/>
    <s v="HSR Center"/>
    <x v="2"/>
    <s v="RADM CEN Grocery RKA+Monetka,Krasnoe i beloe, Kiro"/>
    <x v="8"/>
    <x v="38"/>
    <m/>
    <s v="Эвенкс ООО (Екатеринбург)"/>
    <m/>
    <m/>
    <m/>
    <n v="1006884.1399999999"/>
    <n v="0"/>
    <n v="0"/>
    <n v="0"/>
    <n v="0"/>
    <n v="0"/>
    <n v="0"/>
    <n v="0"/>
    <n v="0"/>
  </r>
  <r>
    <s v="Санкт-Петербург"/>
    <s v="HSR Center"/>
    <x v="2"/>
    <s v="RADM CEN Grocery RKA+Monetka,Krasnoe i beloe, Kiro"/>
    <x v="8"/>
    <x v="38"/>
    <m/>
    <s v="Эвенкс ООО (Екатеринбург)"/>
    <m/>
    <m/>
    <m/>
    <n v="1006884.1400000001"/>
    <n v="0"/>
    <n v="0"/>
    <n v="0"/>
    <n v="0"/>
    <n v="0"/>
    <n v="0"/>
    <n v="0"/>
    <n v="0"/>
  </r>
  <r>
    <s v="Свердловская"/>
    <s v="HSR Center"/>
    <x v="2"/>
    <s v="RADM CEN Grocery RKA+Monetka,Krasnoe i beloe, Kiro"/>
    <x v="8"/>
    <x v="38"/>
    <m/>
    <s v="Эвенкс ООО (Екатеринбург)"/>
    <n v="1"/>
    <n v="1"/>
    <s v="Open"/>
    <n v="745246078.52010083"/>
    <n v="0"/>
    <n v="0"/>
    <n v="0"/>
    <n v="0"/>
    <n v="0"/>
    <n v="453601227.03999996"/>
    <n v="0"/>
    <n v="0"/>
  </r>
  <r>
    <s v="Ставропольский"/>
    <s v="HSR Center"/>
    <x v="2"/>
    <s v="RADM CEN Grocery RKA+Monetka,Krasnoe i beloe, Kiro"/>
    <x v="8"/>
    <x v="38"/>
    <m/>
    <s v="Эвенкс ООО (Екатеринбург)"/>
    <m/>
    <m/>
    <m/>
    <n v="1006884.1400000001"/>
    <n v="0"/>
    <n v="0"/>
    <n v="0"/>
    <n v="0"/>
    <n v="0"/>
    <n v="0"/>
    <n v="0"/>
    <n v="0"/>
  </r>
  <r>
    <s v="Татарстан"/>
    <s v="HSR Center"/>
    <x v="2"/>
    <s v="RADM CEN Grocery RKA+Monetka,Krasnoe i beloe, Kiro"/>
    <x v="8"/>
    <x v="38"/>
    <m/>
    <s v="Эвенкс ООО (Екатеринбург)"/>
    <m/>
    <m/>
    <m/>
    <n v="9452726.7900000159"/>
    <n v="0"/>
    <n v="0"/>
    <n v="0"/>
    <n v="0"/>
    <n v="0"/>
    <n v="0"/>
    <n v="0"/>
    <n v="0"/>
  </r>
  <r>
    <s v="Тверская"/>
    <s v="HSR Center"/>
    <x v="2"/>
    <s v="RADM CEN Grocery RKA+Monetka,Krasnoe i beloe, Kiro"/>
    <x v="8"/>
    <x v="38"/>
    <m/>
    <s v="Эвенкс ООО (Екатеринбург)"/>
    <m/>
    <m/>
    <m/>
    <n v="1006884.1399999999"/>
    <n v="0"/>
    <n v="0"/>
    <n v="0"/>
    <n v="0"/>
    <n v="0"/>
    <n v="0"/>
    <n v="0"/>
    <n v="0"/>
  </r>
  <r>
    <s v="Томская"/>
    <s v="HSR Center"/>
    <x v="2"/>
    <s v="RADM CEN Grocery RKA+Monetka,Krasnoe i beloe, Kiro"/>
    <x v="8"/>
    <x v="38"/>
    <m/>
    <s v="Эвенкс ООО (Екатеринбург)"/>
    <m/>
    <m/>
    <m/>
    <n v="22106208.609999988"/>
    <n v="0"/>
    <n v="0"/>
    <n v="0"/>
    <n v="0"/>
    <n v="0"/>
    <n v="0"/>
    <n v="0"/>
    <n v="0"/>
  </r>
  <r>
    <s v="Тюменская"/>
    <s v="HSR Center"/>
    <x v="2"/>
    <s v="RADM CEN Grocery RKA+Monetka,Krasnoe i beloe, Kiro"/>
    <x v="8"/>
    <x v="38"/>
    <m/>
    <s v="Эвенкс ООО (Екатеринбург)"/>
    <m/>
    <m/>
    <m/>
    <n v="212080190.05000722"/>
    <n v="0"/>
    <n v="0"/>
    <n v="0"/>
    <n v="0"/>
    <n v="0"/>
    <n v="0"/>
    <n v="0"/>
    <n v="0"/>
  </r>
  <r>
    <s v="Удмуртская"/>
    <s v="HSR Center"/>
    <x v="2"/>
    <s v="RADM CEN Grocery RKA+Monetka,Krasnoe i beloe, Kiro"/>
    <x v="8"/>
    <x v="38"/>
    <m/>
    <s v="Эвенкс ООО (Екатеринбург)"/>
    <m/>
    <m/>
    <m/>
    <n v="33039185.340000134"/>
    <n v="0"/>
    <n v="0"/>
    <n v="0"/>
    <n v="0"/>
    <n v="0"/>
    <n v="0"/>
    <n v="0"/>
    <n v="0"/>
  </r>
  <r>
    <s v="Ханты-Мансийский Автономный округ - Югра"/>
    <s v="HSR Center"/>
    <x v="2"/>
    <s v="RADM CEN Grocery RKA+Monetka,Krasnoe i beloe, Kiro"/>
    <x v="8"/>
    <x v="38"/>
    <m/>
    <s v="Эвенкс ООО (Екатеринбург)"/>
    <m/>
    <m/>
    <m/>
    <n v="173307347.28000385"/>
    <n v="0"/>
    <n v="0"/>
    <n v="0"/>
    <n v="0"/>
    <n v="0"/>
    <n v="0"/>
    <n v="0"/>
    <n v="0"/>
  </r>
  <r>
    <s v="Челябинская"/>
    <s v="HSR Center"/>
    <x v="2"/>
    <s v="RADM CEN Grocery RKA+Monetka,Krasnoe i beloe, Kiro"/>
    <x v="8"/>
    <x v="38"/>
    <m/>
    <s v="Эвенкс ООО (Екатеринбург)"/>
    <m/>
    <m/>
    <m/>
    <n v="249482271.56004351"/>
    <n v="0"/>
    <n v="0"/>
    <n v="0"/>
    <n v="0"/>
    <n v="0"/>
    <n v="0"/>
    <n v="0"/>
    <n v="0"/>
  </r>
  <r>
    <s v="Ямало-Ненецкий"/>
    <s v="HSR Center"/>
    <x v="2"/>
    <s v="RADM CEN Grocery RKA+Monetka,Krasnoe i beloe, Kiro"/>
    <x v="8"/>
    <x v="38"/>
    <m/>
    <s v="Эвенкс ООО (Екатеринбург)"/>
    <m/>
    <m/>
    <m/>
    <n v="69327183.080001146"/>
    <n v="0"/>
    <n v="0"/>
    <n v="0"/>
    <n v="0"/>
    <n v="0"/>
    <n v="0"/>
    <n v="0"/>
    <n v="0"/>
  </r>
  <r>
    <s v="Амурская"/>
    <s v="HSR RFE"/>
    <x v="3"/>
    <s v="ASM RFE Grocery+SPT Khabarovsk"/>
    <x v="11"/>
    <x v="39"/>
    <m/>
    <s v="Эником ООО"/>
    <m/>
    <m/>
    <m/>
    <n v="0"/>
    <n v="0"/>
    <n v="0"/>
    <n v="208688.66999999998"/>
    <n v="0"/>
    <n v="0"/>
    <n v="0"/>
    <n v="0"/>
    <n v="0"/>
  </r>
  <r>
    <s v="Амурская"/>
    <s v="HSR RFE"/>
    <x v="3"/>
    <s v="ASM RFE Grocery+SPT Khabarovsk"/>
    <x v="11"/>
    <x v="40"/>
    <m/>
    <s v="Атика ООО"/>
    <m/>
    <m/>
    <m/>
    <n v="0"/>
    <n v="0"/>
    <n v="0"/>
    <n v="11776760.620000001"/>
    <n v="0"/>
    <n v="0"/>
    <n v="0"/>
    <n v="0"/>
    <n v="0"/>
  </r>
  <r>
    <s v="Амурская"/>
    <s v="HSR RFE"/>
    <x v="3"/>
    <s v="ASM RFE Grocery+SPT Khabarovsk"/>
    <x v="11"/>
    <x v="40"/>
    <m/>
    <s v="Эником ООО"/>
    <m/>
    <m/>
    <s v="Open"/>
    <n v="0"/>
    <n v="153019583.42999998"/>
    <n v="134970165.77000001"/>
    <n v="322128488.81000018"/>
    <n v="13117256.509999998"/>
    <n v="27361099.270000003"/>
    <n v="1989224.5970999999"/>
    <n v="0"/>
    <n v="0"/>
  </r>
  <r>
    <s v="Бурятия"/>
    <s v="HSR RFE"/>
    <x v="3"/>
    <s v="ASM RFE Grocery+SPT Irkutsk"/>
    <x v="12"/>
    <x v="41"/>
    <m/>
    <s v="Проект-Инвест ООО"/>
    <m/>
    <m/>
    <s v="TR-Project"/>
    <n v="0"/>
    <n v="6003235.9700000007"/>
    <n v="221515033.27000004"/>
    <n v="26051285.77999999"/>
    <n v="43675974.810000084"/>
    <n v="0"/>
    <n v="43675974.810000084"/>
    <n v="0"/>
    <n v="0"/>
  </r>
  <r>
    <s v="Бурятия"/>
    <s v="HSR RFE"/>
    <x v="3"/>
    <s v="ASM RFE Grocery+SPT Irkutsk"/>
    <x v="12"/>
    <x v="42"/>
    <m/>
    <s v="Проект-Инвест ООО"/>
    <m/>
    <m/>
    <m/>
    <n v="0"/>
    <n v="23080630.669999998"/>
    <n v="628783.19000000006"/>
    <n v="141679553.97000003"/>
    <n v="511490.75000000006"/>
    <n v="0"/>
    <n v="0"/>
    <n v="0"/>
    <n v="0"/>
  </r>
  <r>
    <s v="Бурятия"/>
    <s v="HSR RFE"/>
    <x v="3"/>
    <s v="ASM RFE Grocery+SPT Irkutsk"/>
    <x v="12"/>
    <x v="43"/>
    <m/>
    <s v="Проект-Инвест ООО"/>
    <m/>
    <m/>
    <m/>
    <n v="0"/>
    <n v="3048091.0600000005"/>
    <n v="2767536.3699999996"/>
    <n v="20306140.809999995"/>
    <n v="0"/>
    <n v="0"/>
    <n v="0"/>
    <n v="0"/>
    <n v="0"/>
  </r>
  <r>
    <s v="Бурятия"/>
    <s v="HSR RFE"/>
    <x v="3"/>
    <s v="RDM RFE Grocery SS"/>
    <x v="13"/>
    <x v="44"/>
    <m/>
    <s v="Проект-Инвест ООО"/>
    <m/>
    <m/>
    <m/>
    <n v="0"/>
    <n v="0"/>
    <n v="0"/>
    <n v="0"/>
    <n v="0"/>
    <n v="0"/>
    <n v="0"/>
    <n v="0"/>
    <n v="179038670.03000003"/>
  </r>
  <r>
    <s v="Еврейская"/>
    <s v="HSR RFE"/>
    <x v="3"/>
    <s v="ASM RFE Grocery+SPT Khabarovsk"/>
    <x v="11"/>
    <x v="39"/>
    <m/>
    <s v="Владторг ООО"/>
    <m/>
    <m/>
    <m/>
    <n v="0"/>
    <n v="0"/>
    <n v="0"/>
    <n v="1185678.5599999998"/>
    <n v="0"/>
    <n v="0"/>
    <n v="0"/>
    <n v="0"/>
    <n v="0"/>
  </r>
  <r>
    <s v="Еврейская"/>
    <s v="HSR RFE"/>
    <x v="3"/>
    <s v="ASM RFE Grocery+SPT Khabarovsk"/>
    <x v="11"/>
    <x v="45"/>
    <m/>
    <s v="Эником ООО"/>
    <m/>
    <m/>
    <m/>
    <n v="0"/>
    <n v="0"/>
    <n v="0"/>
    <n v="60209490.649999976"/>
    <n v="0"/>
    <n v="0"/>
    <n v="0"/>
    <n v="0"/>
    <n v="0"/>
  </r>
  <r>
    <s v="Еврейская"/>
    <s v="HSR RFE"/>
    <x v="3"/>
    <s v="ASM RFE Grocery+SPT Khabarovsk"/>
    <x v="11"/>
    <x v="39"/>
    <m/>
    <s v="Эником ООО"/>
    <m/>
    <m/>
    <s v="Open"/>
    <n v="0"/>
    <n v="34691444.800000004"/>
    <n v="0"/>
    <n v="0"/>
    <n v="12714006.299999993"/>
    <n v="19653666.589999996"/>
    <n v="650000"/>
    <n v="0"/>
    <n v="0"/>
  </r>
  <r>
    <s v="Забайкальский"/>
    <s v="HSR RFE"/>
    <x v="3"/>
    <s v="ASM RFE Grocery+SPT Irkutsk"/>
    <x v="12"/>
    <x v="46"/>
    <m/>
    <s v="Проект-Инвест ООО"/>
    <m/>
    <m/>
    <s v="TR-Project"/>
    <n v="0"/>
    <n v="121671430.49999997"/>
    <n v="183658746.71000001"/>
    <n v="227938901.79999974"/>
    <n v="121867232.1300009"/>
    <n v="0"/>
    <n v="70488320.631299987"/>
    <n v="0"/>
    <n v="0"/>
  </r>
  <r>
    <s v="Забайкальский"/>
    <s v="HSR RFE"/>
    <x v="3"/>
    <s v="RDM RFE Grocery SS"/>
    <x v="13"/>
    <x v="44"/>
    <m/>
    <s v="Проект-Инвест ООО"/>
    <m/>
    <m/>
    <m/>
    <n v="0"/>
    <n v="0"/>
    <n v="0"/>
    <n v="0"/>
    <n v="0"/>
    <n v="0"/>
    <n v="0"/>
    <n v="0"/>
    <n v="120850016.12999998"/>
  </r>
  <r>
    <s v="Иркутская"/>
    <s v="HSR RFE"/>
    <x v="3"/>
    <s v="ASM RFE Grocery+SPT Irkutsk"/>
    <x v="12"/>
    <x v="41"/>
    <m/>
    <s v="Проект-Инвест ООО"/>
    <n v="1"/>
    <n v="2"/>
    <s v="TR-Project"/>
    <n v="0"/>
    <n v="201600905.64000005"/>
    <n v="46083759.960000001"/>
    <n v="38379886.579999991"/>
    <n v="311425467.55000055"/>
    <n v="0"/>
    <n v="296054124.14759994"/>
    <n v="0"/>
    <n v="0"/>
  </r>
  <r>
    <s v="Иркутская"/>
    <s v="HSR RFE"/>
    <x v="3"/>
    <s v="ASM RFE Grocery+SPT Irkutsk"/>
    <x v="12"/>
    <x v="42"/>
    <m/>
    <s v="Проект-Инвест ООО"/>
    <m/>
    <m/>
    <m/>
    <n v="0"/>
    <n v="104860578.90999995"/>
    <n v="1722313.4900000002"/>
    <n v="162118278.36999997"/>
    <n v="0"/>
    <n v="18110606.940000001"/>
    <n v="0"/>
    <n v="0"/>
    <n v="0"/>
  </r>
  <r>
    <s v="Иркутская"/>
    <s v="HSR RFE"/>
    <x v="3"/>
    <s v="ASM RFE Grocery+SPT Irkutsk"/>
    <x v="12"/>
    <x v="43"/>
    <m/>
    <s v="Проект-Инвест ООО"/>
    <m/>
    <m/>
    <s v="TR-Project"/>
    <n v="0"/>
    <n v="441448884.41999984"/>
    <n v="65985340.409999982"/>
    <n v="262371949.57000005"/>
    <n v="275845491.41999978"/>
    <n v="0"/>
    <n v="176294026.74129999"/>
    <n v="0"/>
    <n v="0"/>
  </r>
  <r>
    <s v="Иркутская"/>
    <s v="HSR RFE"/>
    <x v="3"/>
    <s v="ASM RFE Grocery+SPT Vladivostok"/>
    <x v="14"/>
    <x v="47"/>
    <m/>
    <s v="Проект-Инвест ООО"/>
    <m/>
    <m/>
    <m/>
    <n v="0"/>
    <n v="0"/>
    <n v="0"/>
    <n v="99500.459999999992"/>
    <n v="0"/>
    <n v="0"/>
    <n v="0"/>
    <n v="0"/>
    <n v="0"/>
  </r>
  <r>
    <s v="Иркутская"/>
    <s v="HSR RFE"/>
    <x v="3"/>
    <s v="RDM RFE Grocery SS"/>
    <x v="13"/>
    <x v="44"/>
    <m/>
    <s v="Проект-Инвест ООО"/>
    <m/>
    <m/>
    <m/>
    <n v="0"/>
    <n v="0"/>
    <n v="0"/>
    <n v="0"/>
    <n v="0"/>
    <n v="0"/>
    <n v="0"/>
    <n v="0"/>
    <n v="535714473.38999999"/>
  </r>
  <r>
    <s v="Камчатский"/>
    <s v="HSR RFE"/>
    <x v="3"/>
    <s v="ASM RFE Grocery+SPT Vladivostok"/>
    <x v="14"/>
    <x v="48"/>
    <m/>
    <s v="Эником ООО"/>
    <m/>
    <m/>
    <m/>
    <n v="0"/>
    <n v="342333.52"/>
    <n v="73470389.230000004"/>
    <n v="129327350.88000001"/>
    <n v="0"/>
    <n v="51890853.25"/>
    <n v="0"/>
    <n v="0"/>
    <n v="0"/>
  </r>
  <r>
    <s v="Магаданская"/>
    <s v="HSR RFE"/>
    <x v="3"/>
    <s v="ASM RFE Grocery+SPT Vladivostok"/>
    <x v="14"/>
    <x v="47"/>
    <m/>
    <s v="Владторг ООО"/>
    <m/>
    <m/>
    <m/>
    <n v="0"/>
    <n v="0"/>
    <n v="0"/>
    <n v="1138102.06"/>
    <n v="0"/>
    <n v="0"/>
    <n v="0"/>
    <n v="0"/>
    <n v="0"/>
  </r>
  <r>
    <s v="Магаданская"/>
    <s v="HSR RFE"/>
    <x v="3"/>
    <s v="ASM RFE Grocery+SPT Vladivostok"/>
    <x v="14"/>
    <x v="47"/>
    <m/>
    <s v="Эником ООО"/>
    <m/>
    <m/>
    <m/>
    <n v="0"/>
    <n v="0"/>
    <n v="0"/>
    <n v="85490087.909999996"/>
    <n v="0"/>
    <n v="18132123.189999998"/>
    <n v="0"/>
    <n v="0"/>
    <n v="0"/>
  </r>
  <r>
    <s v="Приморский"/>
    <s v="HSR RFE"/>
    <x v="3"/>
    <s v="ASM RFE Grocery+SPT Vladivostok"/>
    <x v="14"/>
    <x v="49"/>
    <m/>
    <s v="Владторг ООО"/>
    <n v="1"/>
    <n v="2"/>
    <s v="Open"/>
    <n v="0"/>
    <n v="162288104.04000002"/>
    <n v="2795778.5500000003"/>
    <n v="253464764.50999996"/>
    <n v="42057506.110000044"/>
    <n v="0"/>
    <n v="42057506.110000044"/>
    <n v="0"/>
    <n v="0"/>
  </r>
  <r>
    <s v="Приморский"/>
    <s v="HSR RFE"/>
    <x v="3"/>
    <s v="ASM RFE Grocery+SPT Vladivostok"/>
    <x v="14"/>
    <x v="49"/>
    <m/>
    <s v="Эником ООО"/>
    <m/>
    <n v="3"/>
    <m/>
    <n v="0"/>
    <n v="72507901.849999994"/>
    <n v="0"/>
    <n v="11787053.539999999"/>
    <n v="0"/>
    <n v="0"/>
    <n v="0"/>
    <n v="0"/>
    <n v="0"/>
  </r>
  <r>
    <s v="Приморский"/>
    <s v="HSR RFE"/>
    <x v="3"/>
    <s v="ASM RFE Grocery+SPT Vladivostok"/>
    <x v="14"/>
    <x v="50"/>
    <m/>
    <s v="Владторг ООО"/>
    <m/>
    <m/>
    <m/>
    <n v="0"/>
    <n v="108176429.54000001"/>
    <n v="965889.3600000001"/>
    <n v="153317268.61999995"/>
    <n v="0"/>
    <n v="112886230.99000001"/>
    <n v="0"/>
    <n v="0"/>
    <n v="0"/>
  </r>
  <r>
    <s v="Приморский"/>
    <s v="HSR RFE"/>
    <x v="3"/>
    <s v="ASM RFE Grocery+SPT Vladivostok"/>
    <x v="14"/>
    <x v="50"/>
    <m/>
    <s v="Эником ООО"/>
    <m/>
    <m/>
    <s v="Open"/>
    <n v="0"/>
    <n v="136311684.74000001"/>
    <n v="0"/>
    <n v="161329599.02000001"/>
    <n v="85979673.750000238"/>
    <n v="0"/>
    <n v="52620015.693699993"/>
    <n v="0"/>
    <n v="0"/>
  </r>
  <r>
    <s v="Приморский"/>
    <s v="HSR RFE"/>
    <x v="3"/>
    <s v="ASM RFE Grocery+SPT Vladivostok"/>
    <x v="14"/>
    <x v="47"/>
    <m/>
    <s v="Владторг ООО"/>
    <m/>
    <m/>
    <s v="Open"/>
    <n v="0"/>
    <n v="124147509.69999997"/>
    <n v="1186505.8400000001"/>
    <n v="406056098.95000011"/>
    <n v="73076719.090000346"/>
    <n v="70473505.910000011"/>
    <n v="44026513.027900003"/>
    <n v="0"/>
    <n v="0"/>
  </r>
  <r>
    <s v="Приморский"/>
    <s v="HSR RFE"/>
    <x v="3"/>
    <s v="ASM RFE Grocery+SPT Vladivostok"/>
    <x v="14"/>
    <x v="47"/>
    <m/>
    <s v="Эником ООО"/>
    <m/>
    <m/>
    <m/>
    <n v="0"/>
    <n v="144232227.30999997"/>
    <n v="0"/>
    <n v="5910.24"/>
    <n v="0"/>
    <n v="0"/>
    <n v="0"/>
    <n v="0"/>
    <n v="0"/>
  </r>
  <r>
    <s v="Приморский"/>
    <s v="HSR RFE"/>
    <x v="3"/>
    <s v="RDM RFE Grocery SS"/>
    <x v="13"/>
    <x v="44"/>
    <m/>
    <s v="Владторг ООО"/>
    <m/>
    <m/>
    <m/>
    <n v="0"/>
    <n v="0"/>
    <n v="0"/>
    <n v="0"/>
    <n v="0"/>
    <n v="0"/>
    <n v="0"/>
    <n v="0"/>
    <n v="306584396.88999999"/>
  </r>
  <r>
    <s v="Приморский"/>
    <s v="HSR RFE"/>
    <x v="3"/>
    <s v="RDM RFE Grocery SS"/>
    <x v="13"/>
    <x v="44"/>
    <m/>
    <s v="Эником ООО"/>
    <m/>
    <m/>
    <m/>
    <n v="0"/>
    <n v="0"/>
    <n v="0"/>
    <n v="0"/>
    <n v="0"/>
    <n v="0"/>
    <n v="0"/>
    <n v="0"/>
    <n v="133764346.09999998"/>
  </r>
  <r>
    <s v="Саха (Якутия)"/>
    <s v="HSR RFE"/>
    <x v="3"/>
    <s v="ASM RFE Grocery+SPT Khabarovsk"/>
    <x v="11"/>
    <x v="51"/>
    <m/>
    <s v="Атика ООО"/>
    <n v="1"/>
    <m/>
    <s v="Open"/>
    <n v="0"/>
    <n v="0"/>
    <n v="99588543.879999995"/>
    <n v="304359569.74999988"/>
    <n v="10295973.709999979"/>
    <n v="41179517.719999999"/>
    <n v="650000"/>
    <n v="0"/>
    <n v="0"/>
  </r>
  <r>
    <s v="Саха (Якутия)"/>
    <s v="HSR RFE"/>
    <x v="3"/>
    <s v="ASM RFE Grocery+SPT Khabarovsk"/>
    <x v="11"/>
    <x v="51"/>
    <m/>
    <s v="Владторг ООО"/>
    <m/>
    <m/>
    <m/>
    <n v="0"/>
    <n v="0"/>
    <n v="0"/>
    <n v="4068172.7399999998"/>
    <n v="0"/>
    <n v="0"/>
    <n v="0"/>
    <n v="0"/>
    <n v="0"/>
  </r>
  <r>
    <s v="Саха (Якутия)"/>
    <s v="HSR RFE"/>
    <x v="3"/>
    <s v="ASM RFE Grocery+SPT Khabarovsk"/>
    <x v="11"/>
    <x v="51"/>
    <m/>
    <s v="Эником ООО"/>
    <m/>
    <m/>
    <m/>
    <n v="0"/>
    <n v="0"/>
    <n v="0"/>
    <n v="92672.789999999979"/>
    <n v="0"/>
    <n v="0"/>
    <n v="0"/>
    <n v="0"/>
    <n v="0"/>
  </r>
  <r>
    <s v="Сахалинская"/>
    <s v="HSR RFE"/>
    <x v="3"/>
    <s v="ASM RFE Grocery+SPT Vladivostok"/>
    <x v="14"/>
    <x v="48"/>
    <m/>
    <s v="Владторг ООО"/>
    <m/>
    <m/>
    <m/>
    <n v="0"/>
    <n v="0"/>
    <n v="0"/>
    <n v="1571412.16"/>
    <n v="0"/>
    <n v="0"/>
    <n v="0"/>
    <n v="0"/>
    <n v="0"/>
  </r>
  <r>
    <s v="Сахалинская"/>
    <s v="HSR RFE"/>
    <x v="3"/>
    <s v="ASM RFE Grocery+SPT Vladivostok"/>
    <x v="14"/>
    <x v="48"/>
    <m/>
    <s v="Эником ООО"/>
    <m/>
    <m/>
    <m/>
    <n v="0"/>
    <n v="87513734.649999991"/>
    <n v="0"/>
    <n v="322766397.86999983"/>
    <n v="0"/>
    <n v="107271744.92999998"/>
    <n v="0"/>
    <n v="0"/>
    <n v="0"/>
  </r>
  <r>
    <s v="Хабаровский"/>
    <s v="HSR RFE"/>
    <x v="3"/>
    <s v="ASM RFE Grocery+SPT Khabarovsk"/>
    <x v="11"/>
    <x v="39"/>
    <m/>
    <s v="Владторг ООО"/>
    <m/>
    <m/>
    <m/>
    <n v="0"/>
    <n v="72973257.709999979"/>
    <n v="1069912.8400000001"/>
    <n v="199166366.24000001"/>
    <n v="0"/>
    <n v="151412020.53999996"/>
    <n v="0"/>
    <n v="0"/>
    <n v="0"/>
  </r>
  <r>
    <s v="Хабаровский"/>
    <s v="HSR RFE"/>
    <x v="3"/>
    <s v="ASM RFE Grocery+SPT Khabarovsk"/>
    <x v="11"/>
    <x v="39"/>
    <m/>
    <s v="Эником ООО"/>
    <n v="1"/>
    <m/>
    <s v="Open"/>
    <n v="0"/>
    <n v="272667604.43000001"/>
    <n v="0"/>
    <n v="71722248.539999992"/>
    <n v="129002635.05000092"/>
    <n v="0"/>
    <n v="19381660.741299998"/>
    <n v="0"/>
    <n v="0"/>
  </r>
  <r>
    <s v="Хабаровский"/>
    <s v="HSR RFE"/>
    <x v="3"/>
    <s v="ASM RFE Grocery+SPT Khabarovsk"/>
    <x v="11"/>
    <x v="45"/>
    <m/>
    <s v="Владторг ООО"/>
    <m/>
    <m/>
    <m/>
    <n v="0"/>
    <n v="0"/>
    <n v="0"/>
    <n v="25022.84"/>
    <n v="0"/>
    <n v="0"/>
    <n v="0"/>
    <n v="0"/>
    <n v="0"/>
  </r>
  <r>
    <s v="Хабаровский"/>
    <s v="HSR RFE"/>
    <x v="3"/>
    <s v="ASM RFE Grocery+SPT Khabarovsk"/>
    <x v="11"/>
    <x v="45"/>
    <m/>
    <s v="Эником ООО"/>
    <m/>
    <m/>
    <s v="Open"/>
    <n v="0"/>
    <n v="180123255.57999998"/>
    <n v="0"/>
    <n v="105165021.79999992"/>
    <n v="149308281.99999991"/>
    <n v="17840405.869999994"/>
    <n v="107753024.60259996"/>
    <n v="0"/>
    <n v="0"/>
  </r>
  <r>
    <s v="Хабаровский"/>
    <s v="HSR RFE"/>
    <x v="3"/>
    <s v="RDM RFE Grocery SS"/>
    <x v="13"/>
    <x v="44"/>
    <m/>
    <s v="Владторг ООО"/>
    <m/>
    <m/>
    <m/>
    <n v="0"/>
    <n v="0"/>
    <n v="0"/>
    <n v="0"/>
    <n v="0"/>
    <n v="0"/>
    <n v="0"/>
    <n v="0"/>
    <n v="39536460.18"/>
  </r>
  <r>
    <s v="Хабаровский"/>
    <s v="HSR RFE"/>
    <x v="3"/>
    <s v="RDM RFE Grocery SS"/>
    <x v="13"/>
    <x v="44"/>
    <m/>
    <s v="Эником ООО"/>
    <m/>
    <m/>
    <m/>
    <n v="0"/>
    <n v="0"/>
    <n v="0"/>
    <n v="0"/>
    <n v="0"/>
    <n v="0"/>
    <n v="0"/>
    <n v="0"/>
    <n v="170304571.24000007"/>
  </r>
  <r>
    <s v="Чукотский"/>
    <s v="HSR RFE"/>
    <x v="3"/>
    <s v="ASM RFE Grocery+SPT Khabarovsk"/>
    <x v="11"/>
    <x v="39"/>
    <m/>
    <s v="Владторг ООО"/>
    <m/>
    <m/>
    <m/>
    <n v="0"/>
    <n v="0"/>
    <n v="0"/>
    <n v="1908716.2599999998"/>
    <n v="0"/>
    <n v="0"/>
    <n v="0"/>
    <n v="0"/>
    <n v="0"/>
  </r>
  <r>
    <s v="Чукотский"/>
    <s v="HSR RFE"/>
    <x v="3"/>
    <s v="ASM RFE Grocery+SPT Khabarovsk"/>
    <x v="11"/>
    <x v="39"/>
    <m/>
    <s v="Эником ООО"/>
    <m/>
    <m/>
    <m/>
    <n v="0"/>
    <n v="0"/>
    <n v="0"/>
    <n v="216311.05"/>
    <n v="0"/>
    <n v="0"/>
    <n v="0"/>
    <n v="0"/>
    <n v="0"/>
  </r>
  <r>
    <s v="Амурская"/>
    <s v="HSR RFE"/>
    <x v="3"/>
    <s v="ASM RFE Grocery+SPT Vladivostok"/>
    <x v="14"/>
    <x v="52"/>
    <m/>
    <m/>
    <m/>
    <m/>
    <m/>
    <n v="0"/>
    <n v="0"/>
    <n v="0"/>
    <n v="0"/>
    <n v="0"/>
    <n v="0"/>
    <n v="0"/>
    <n v="13117256.510000009"/>
    <n v="0"/>
  </r>
  <r>
    <s v="Бурятия"/>
    <s v="HSR RFE"/>
    <x v="3"/>
    <s v="ASM RFE Grocery+SPT Vladivostok"/>
    <x v="14"/>
    <x v="52"/>
    <m/>
    <m/>
    <m/>
    <m/>
    <m/>
    <n v="0"/>
    <n v="0"/>
    <n v="0"/>
    <n v="0"/>
    <n v="0"/>
    <n v="0"/>
    <n v="0"/>
    <n v="44187465.560000092"/>
    <n v="0"/>
  </r>
  <r>
    <s v="Еврейская"/>
    <s v="HSR RFE"/>
    <x v="3"/>
    <s v="ASM RFE Grocery+SPT Vladivostok"/>
    <x v="14"/>
    <x v="52"/>
    <m/>
    <m/>
    <m/>
    <m/>
    <m/>
    <n v="0"/>
    <n v="0"/>
    <n v="0"/>
    <n v="0"/>
    <n v="0"/>
    <n v="0"/>
    <n v="0"/>
    <n v="12714006.299999991"/>
    <n v="0"/>
  </r>
  <r>
    <s v="Забайкальский"/>
    <s v="HSR RFE"/>
    <x v="3"/>
    <s v="ASM RFE Grocery+SPT Vladivostok"/>
    <x v="14"/>
    <x v="52"/>
    <m/>
    <m/>
    <m/>
    <m/>
    <m/>
    <n v="0"/>
    <n v="0"/>
    <n v="0"/>
    <n v="0"/>
    <n v="0"/>
    <n v="0"/>
    <n v="0"/>
    <n v="121867232.13000081"/>
    <n v="0"/>
  </r>
  <r>
    <s v="Иркутская"/>
    <s v="HSR RFE"/>
    <x v="3"/>
    <s v="ASM RFE Grocery+SPT Vladivostok"/>
    <x v="14"/>
    <x v="52"/>
    <m/>
    <m/>
    <m/>
    <m/>
    <m/>
    <n v="0"/>
    <n v="0"/>
    <n v="0"/>
    <n v="0"/>
    <n v="0"/>
    <n v="0"/>
    <n v="0"/>
    <n v="304655540.56999564"/>
    <n v="0"/>
  </r>
  <r>
    <s v="Приморский"/>
    <s v="HSR RFE"/>
    <x v="3"/>
    <s v="ASM RFE Grocery+SPT Vladivostok"/>
    <x v="14"/>
    <x v="52"/>
    <m/>
    <m/>
    <m/>
    <m/>
    <m/>
    <n v="0"/>
    <n v="0"/>
    <n v="0"/>
    <n v="0"/>
    <n v="0"/>
    <n v="0"/>
    <n v="0"/>
    <n v="201113898.94999927"/>
    <n v="0"/>
  </r>
  <r>
    <s v="Саха (Якутия)"/>
    <s v="HSR RFE"/>
    <x v="3"/>
    <s v="ASM RFE Grocery+SPT Vladivostok"/>
    <x v="14"/>
    <x v="52"/>
    <m/>
    <m/>
    <m/>
    <m/>
    <m/>
    <n v="0"/>
    <n v="0"/>
    <n v="0"/>
    <n v="0"/>
    <n v="0"/>
    <n v="0"/>
    <n v="0"/>
    <n v="10295973.709999979"/>
    <n v="0"/>
  </r>
  <r>
    <s v="Хабаровский"/>
    <s v="HSR RFE"/>
    <x v="3"/>
    <s v="ASM RFE Grocery+SPT Vladivostok"/>
    <x v="14"/>
    <x v="52"/>
    <m/>
    <m/>
    <m/>
    <m/>
    <m/>
    <n v="0"/>
    <n v="0"/>
    <n v="0"/>
    <n v="0"/>
    <n v="0"/>
    <n v="0"/>
    <n v="0"/>
    <n v="278310917.04999495"/>
    <n v="0"/>
  </r>
  <r>
    <s v="Амурская"/>
    <s v="HSR RFE"/>
    <x v="3"/>
    <s v="SPT Manager RFE"/>
    <x v="15"/>
    <x v="53"/>
    <m/>
    <s v="Эником ООО"/>
    <m/>
    <m/>
    <m/>
    <n v="27361099.270000003"/>
    <n v="0"/>
    <n v="0"/>
    <n v="0"/>
    <n v="0"/>
    <n v="0"/>
    <n v="0"/>
    <n v="0"/>
    <n v="37125393.990000002"/>
  </r>
  <r>
    <s v="Бурятия"/>
    <s v="HSR RFE"/>
    <x v="3"/>
    <s v="SPT Manager RFE"/>
    <x v="15"/>
    <x v="53"/>
    <m/>
    <s v="Проект-Инвест ООО"/>
    <m/>
    <m/>
    <m/>
    <n v="0"/>
    <n v="0"/>
    <n v="0"/>
    <n v="0"/>
    <n v="0"/>
    <n v="0"/>
    <n v="0"/>
    <n v="0"/>
    <n v="24916398.850000013"/>
  </r>
  <r>
    <s v="Еврейская"/>
    <s v="HSR RFE"/>
    <x v="3"/>
    <s v="SPT Manager RFE"/>
    <x v="15"/>
    <x v="53"/>
    <m/>
    <s v="Эником ООО"/>
    <m/>
    <m/>
    <m/>
    <n v="19653666.590000004"/>
    <n v="0"/>
    <n v="0"/>
    <n v="0"/>
    <n v="0"/>
    <n v="0"/>
    <n v="0"/>
    <n v="0"/>
    <n v="0"/>
  </r>
  <r>
    <s v="Забайкальский"/>
    <s v="HSR RFE"/>
    <x v="3"/>
    <s v="SPT Manager RFE"/>
    <x v="15"/>
    <x v="53"/>
    <m/>
    <s v="Проект-Инвест ООО"/>
    <m/>
    <m/>
    <m/>
    <n v="0"/>
    <n v="0"/>
    <n v="0"/>
    <n v="0"/>
    <n v="0"/>
    <n v="0"/>
    <n v="0"/>
    <n v="0"/>
    <n v="16294318.680000011"/>
  </r>
  <r>
    <s v="Иркутская"/>
    <s v="HSR RFE"/>
    <x v="3"/>
    <s v="SPT Manager RFE"/>
    <x v="15"/>
    <x v="53"/>
    <m/>
    <s v="Проект-Инвест ООО"/>
    <m/>
    <m/>
    <m/>
    <n v="18110606.940000001"/>
    <n v="0"/>
    <n v="0"/>
    <n v="0"/>
    <n v="0"/>
    <n v="0"/>
    <n v="0"/>
    <n v="0"/>
    <n v="115017032.07000068"/>
  </r>
  <r>
    <s v="Камчатский"/>
    <s v="HSR RFE"/>
    <x v="3"/>
    <s v="SPT Manager RFE"/>
    <x v="15"/>
    <x v="53"/>
    <m/>
    <s v="Эником ООО"/>
    <m/>
    <m/>
    <m/>
    <n v="51890853.249999955"/>
    <n v="0"/>
    <n v="0"/>
    <n v="0"/>
    <n v="0"/>
    <n v="0"/>
    <n v="0"/>
    <n v="0"/>
    <n v="0"/>
  </r>
  <r>
    <s v="Магаданская"/>
    <s v="HSR RFE"/>
    <x v="3"/>
    <s v="SPT Manager RFE"/>
    <x v="15"/>
    <x v="53"/>
    <m/>
    <s v="Эником ООО"/>
    <m/>
    <m/>
    <m/>
    <n v="18132123.190000005"/>
    <n v="0"/>
    <n v="0"/>
    <n v="0"/>
    <n v="0"/>
    <n v="0"/>
    <n v="0"/>
    <n v="0"/>
    <n v="0"/>
  </r>
  <r>
    <s v="Приморский"/>
    <s v="HSR RFE"/>
    <x v="3"/>
    <s v="SPT Manager RFE"/>
    <x v="15"/>
    <x v="53"/>
    <m/>
    <s v="Владторг ООО"/>
    <m/>
    <n v="1"/>
    <m/>
    <n v="411669864.01999992"/>
    <n v="0"/>
    <n v="0"/>
    <n v="0"/>
    <n v="0"/>
    <n v="0"/>
    <n v="0"/>
    <n v="0"/>
    <n v="88027646.390002668"/>
  </r>
  <r>
    <s v="Саха (Якутия)"/>
    <s v="HSR RFE"/>
    <x v="3"/>
    <s v="SPT Manager RFE"/>
    <x v="15"/>
    <x v="53"/>
    <m/>
    <s v="Атика ООО"/>
    <m/>
    <m/>
    <m/>
    <n v="41179517.719999976"/>
    <n v="0"/>
    <n v="0"/>
    <n v="0"/>
    <n v="0"/>
    <n v="0"/>
    <n v="0"/>
    <n v="0"/>
    <n v="0"/>
  </r>
  <r>
    <s v="Сахалинская"/>
    <s v="HSR RFE"/>
    <x v="3"/>
    <s v="SPT Manager RFE"/>
    <x v="15"/>
    <x v="53"/>
    <m/>
    <s v="Эником ООО"/>
    <m/>
    <m/>
    <m/>
    <n v="107271744.92999998"/>
    <n v="0"/>
    <n v="0"/>
    <n v="0"/>
    <n v="0"/>
    <n v="0"/>
    <n v="0"/>
    <n v="0"/>
    <n v="57027462.479999512"/>
  </r>
  <r>
    <s v="Хабаровский"/>
    <s v="HSR RFE"/>
    <x v="3"/>
    <s v="SPT Manager RFE"/>
    <x v="15"/>
    <x v="53"/>
    <m/>
    <s v="Владторг ООО"/>
    <m/>
    <m/>
    <m/>
    <n v="151412020.53999996"/>
    <n v="0"/>
    <n v="0"/>
    <n v="0"/>
    <n v="0"/>
    <n v="0"/>
    <n v="0"/>
    <n v="0"/>
    <n v="33436797.529999971"/>
  </r>
  <r>
    <s v="Хабаровский"/>
    <s v="HSR RFE"/>
    <x v="3"/>
    <s v="SPT Manager RFE"/>
    <x v="15"/>
    <x v="53"/>
    <m/>
    <s v="Эником ООО"/>
    <m/>
    <m/>
    <m/>
    <n v="17840405.869999994"/>
    <n v="0"/>
    <n v="0"/>
    <n v="0"/>
    <n v="0"/>
    <n v="0"/>
    <n v="0"/>
    <n v="0"/>
    <n v="56020149.88000001"/>
  </r>
  <r>
    <s v="Алтай"/>
    <s v="HSR Siberia"/>
    <x v="4"/>
    <s v="TDM Siberia"/>
    <x v="16"/>
    <x v="54"/>
    <m/>
    <m/>
    <m/>
    <m/>
    <s v="Open"/>
    <n v="0"/>
    <n v="0"/>
    <n v="0"/>
    <n v="0"/>
    <n v="26878553.780000001"/>
    <n v="0"/>
    <n v="16195212.219508626"/>
    <n v="0"/>
    <m/>
  </r>
  <r>
    <s v="Алтай"/>
    <s v="HSR Siberia"/>
    <x v="4"/>
    <s v="TDM Siberia"/>
    <x v="16"/>
    <x v="55"/>
    <m/>
    <m/>
    <m/>
    <m/>
    <s v="Open"/>
    <n v="0"/>
    <n v="0"/>
    <n v="0"/>
    <n v="0"/>
    <n v="23322433.139999986"/>
    <n v="0"/>
    <n v="13664666.418945458"/>
    <n v="0"/>
    <m/>
  </r>
  <r>
    <s v="Алтайский"/>
    <s v="HSR Siberia"/>
    <x v="4"/>
    <s v="TDM Siberia"/>
    <x v="16"/>
    <x v="56"/>
    <m/>
    <m/>
    <m/>
    <m/>
    <s v="Open"/>
    <n v="0"/>
    <n v="0"/>
    <n v="0"/>
    <n v="0"/>
    <n v="332413436.29000008"/>
    <n v="0"/>
    <n v="174616680.01398039"/>
    <n v="0"/>
    <m/>
  </r>
  <r>
    <s v="Алтайский"/>
    <s v="HSR Siberia"/>
    <x v="4"/>
    <s v="TDM Siberia"/>
    <x v="16"/>
    <x v="54"/>
    <m/>
    <m/>
    <m/>
    <m/>
    <s v="Open"/>
    <n v="0"/>
    <n v="0"/>
    <n v="0"/>
    <n v="0"/>
    <n v="240333341.74999815"/>
    <n v="0"/>
    <n v="144155161.36722988"/>
    <n v="0"/>
    <m/>
  </r>
  <r>
    <s v="Алтайский"/>
    <s v="HSR Siberia"/>
    <x v="4"/>
    <s v="TDM Siberia"/>
    <x v="16"/>
    <x v="55"/>
    <m/>
    <m/>
    <m/>
    <m/>
    <s v="Open"/>
    <n v="0"/>
    <n v="0"/>
    <n v="0"/>
    <n v="0"/>
    <n v="397528163.22705197"/>
    <n v="0"/>
    <n v="214707919.45257866"/>
    <n v="0"/>
    <m/>
  </r>
  <r>
    <s v="Кемеровская область - Кузбасс"/>
    <s v="HSR Siberia"/>
    <x v="4"/>
    <s v="TDM Siberia"/>
    <x v="16"/>
    <x v="56"/>
    <m/>
    <m/>
    <m/>
    <m/>
    <s v="Open"/>
    <n v="0"/>
    <n v="0"/>
    <n v="0"/>
    <n v="0"/>
    <n v="304780849.35999978"/>
    <n v="0"/>
    <n v="256886599.36924022"/>
    <n v="0"/>
    <m/>
  </r>
  <r>
    <s v="Кемеровская область - Кузбасс"/>
    <s v="HSR Siberia"/>
    <x v="4"/>
    <s v="TDM Siberia"/>
    <x v="16"/>
    <x v="54"/>
    <m/>
    <m/>
    <m/>
    <m/>
    <s v="Open"/>
    <n v="0"/>
    <n v="0"/>
    <n v="0"/>
    <n v="0"/>
    <n v="495952707.25997794"/>
    <n v="0"/>
    <n v="364637232.31962079"/>
    <n v="0"/>
    <m/>
  </r>
  <r>
    <s v="Кемеровская область - Кузбасс"/>
    <s v="HSR Siberia"/>
    <x v="4"/>
    <s v="TDM Siberia"/>
    <x v="16"/>
    <x v="55"/>
    <m/>
    <m/>
    <m/>
    <m/>
    <s v="Open"/>
    <n v="0"/>
    <n v="0"/>
    <n v="0"/>
    <n v="0"/>
    <n v="756592001.80682433"/>
    <n v="0"/>
    <n v="439291285.33328962"/>
    <n v="0"/>
    <m/>
  </r>
  <r>
    <s v="Красноярский"/>
    <s v="HSR Siberia"/>
    <x v="4"/>
    <s v="TDM Siberia"/>
    <x v="16"/>
    <x v="56"/>
    <m/>
    <m/>
    <m/>
    <m/>
    <s v="Open"/>
    <n v="0"/>
    <n v="0"/>
    <n v="0"/>
    <n v="0"/>
    <n v="495583291.13000023"/>
    <n v="0"/>
    <n v="376762477.31162196"/>
    <n v="0"/>
    <m/>
  </r>
  <r>
    <s v="Красноярский"/>
    <s v="HSR Siberia"/>
    <x v="4"/>
    <s v="TDM Siberia"/>
    <x v="16"/>
    <x v="54"/>
    <m/>
    <m/>
    <m/>
    <m/>
    <s v="Open"/>
    <n v="0"/>
    <n v="0"/>
    <n v="0"/>
    <n v="0"/>
    <n v="412164553.66998988"/>
    <n v="0"/>
    <n v="162136070.93284538"/>
    <n v="0"/>
    <m/>
  </r>
  <r>
    <s v="Красноярский"/>
    <s v="HSR Siberia"/>
    <x v="4"/>
    <s v="TDM Siberia"/>
    <x v="16"/>
    <x v="55"/>
    <m/>
    <m/>
    <m/>
    <m/>
    <s v="Open"/>
    <n v="0"/>
    <n v="0"/>
    <n v="0"/>
    <n v="0"/>
    <n v="345434227.77508652"/>
    <n v="0"/>
    <n v="109997293.42112722"/>
    <n v="0"/>
    <m/>
  </r>
  <r>
    <s v="Новосибирская"/>
    <s v="HSR Siberia"/>
    <x v="4"/>
    <s v="TDM Siberia"/>
    <x v="16"/>
    <x v="56"/>
    <m/>
    <m/>
    <m/>
    <m/>
    <s v="Open"/>
    <n v="0"/>
    <n v="0"/>
    <n v="0"/>
    <n v="0"/>
    <n v="432450294.59999979"/>
    <n v="0"/>
    <n v="399355093.71045363"/>
    <n v="0"/>
    <m/>
  </r>
  <r>
    <s v="Новосибирская"/>
    <s v="HSR Siberia"/>
    <x v="4"/>
    <s v="TDM Siberia"/>
    <x v="16"/>
    <x v="54"/>
    <m/>
    <m/>
    <m/>
    <m/>
    <s v="Open"/>
    <n v="0"/>
    <n v="0"/>
    <n v="0"/>
    <n v="0"/>
    <n v="720357330.67994857"/>
    <n v="0"/>
    <n v="457684038.42423284"/>
    <n v="0"/>
    <m/>
  </r>
  <r>
    <s v="Новосибирская"/>
    <s v="HSR Siberia"/>
    <x v="4"/>
    <s v="TDM Siberia"/>
    <x v="16"/>
    <x v="55"/>
    <m/>
    <m/>
    <m/>
    <m/>
    <s v="Open"/>
    <n v="0"/>
    <n v="0"/>
    <n v="0"/>
    <n v="0"/>
    <n v="678890851.25582337"/>
    <n v="0"/>
    <n v="317998083.97826719"/>
    <n v="0"/>
    <m/>
  </r>
  <r>
    <s v="Омская"/>
    <s v="HSR Siberia"/>
    <x v="4"/>
    <s v="TDM Siberia"/>
    <x v="16"/>
    <x v="56"/>
    <m/>
    <m/>
    <m/>
    <m/>
    <s v="Open"/>
    <n v="0"/>
    <n v="0"/>
    <n v="0"/>
    <n v="0"/>
    <n v="391069588.05999988"/>
    <n v="0"/>
    <n v="270622904.49078172"/>
    <n v="0"/>
    <m/>
  </r>
  <r>
    <s v="Омская"/>
    <s v="HSR Siberia"/>
    <x v="4"/>
    <s v="TDM Siberia"/>
    <x v="16"/>
    <x v="54"/>
    <m/>
    <m/>
    <m/>
    <m/>
    <s v="Open"/>
    <n v="0"/>
    <n v="0"/>
    <n v="0"/>
    <n v="0"/>
    <n v="405930565.79998654"/>
    <n v="0"/>
    <n v="239646523.62898597"/>
    <n v="0"/>
    <m/>
  </r>
  <r>
    <s v="Омская"/>
    <s v="HSR Siberia"/>
    <x v="4"/>
    <s v="TDM Siberia"/>
    <x v="16"/>
    <x v="55"/>
    <m/>
    <m/>
    <m/>
    <m/>
    <s v="Open"/>
    <n v="0"/>
    <n v="0"/>
    <n v="0"/>
    <n v="0"/>
    <n v="667958742.03163064"/>
    <n v="0"/>
    <n v="372755289.98508257"/>
    <n v="0"/>
    <m/>
  </r>
  <r>
    <s v="Томская"/>
    <s v="HSR Siberia"/>
    <x v="4"/>
    <s v="TDM Siberia"/>
    <x v="16"/>
    <x v="56"/>
    <m/>
    <m/>
    <m/>
    <m/>
    <s v="Open"/>
    <n v="0"/>
    <n v="0"/>
    <n v="0"/>
    <n v="0"/>
    <n v="193965373.34000003"/>
    <n v="0"/>
    <n v="92070658.783025026"/>
    <n v="0"/>
    <m/>
  </r>
  <r>
    <s v="Томская"/>
    <s v="HSR Siberia"/>
    <x v="4"/>
    <s v="TDM Siberia"/>
    <x v="16"/>
    <x v="54"/>
    <m/>
    <m/>
    <m/>
    <m/>
    <s v="Open"/>
    <n v="0"/>
    <n v="0"/>
    <n v="0"/>
    <n v="0"/>
    <n v="174182560.96000022"/>
    <n v="0"/>
    <n v="79420634.167939931"/>
    <n v="0"/>
    <m/>
  </r>
  <r>
    <s v="Томская"/>
    <s v="HSR Siberia"/>
    <x v="4"/>
    <s v="TDM Siberia"/>
    <x v="16"/>
    <x v="55"/>
    <m/>
    <m/>
    <m/>
    <m/>
    <s v="Open"/>
    <n v="0"/>
    <n v="0"/>
    <n v="0"/>
    <n v="0"/>
    <n v="202035965.30119014"/>
    <n v="0"/>
    <n v="75843903.12156269"/>
    <n v="0"/>
    <m/>
  </r>
  <r>
    <s v="Тыва"/>
    <s v="HSR Siberia"/>
    <x v="4"/>
    <s v="TDM Siberia"/>
    <x v="16"/>
    <x v="54"/>
    <m/>
    <m/>
    <m/>
    <m/>
    <s v="Open"/>
    <n v="0"/>
    <n v="0"/>
    <n v="0"/>
    <n v="0"/>
    <n v="5973567.5699999966"/>
    <n v="0"/>
    <n v="1647175.0264981817"/>
    <n v="0"/>
    <m/>
  </r>
  <r>
    <s v="Хакасия"/>
    <s v="HSR Siberia"/>
    <x v="4"/>
    <s v="TDM Siberia"/>
    <x v="16"/>
    <x v="54"/>
    <m/>
    <m/>
    <m/>
    <m/>
    <s v="Open"/>
    <n v="0"/>
    <n v="0"/>
    <n v="0"/>
    <n v="0"/>
    <n v="96871737.75000076"/>
    <n v="0"/>
    <n v="58048939.991533652"/>
    <n v="0"/>
    <m/>
  </r>
  <r>
    <s v="Хакасия"/>
    <s v="HSR Siberia"/>
    <x v="4"/>
    <s v="TDM Siberia"/>
    <x v="16"/>
    <x v="55"/>
    <m/>
    <m/>
    <m/>
    <m/>
    <s v="Open"/>
    <n v="0"/>
    <n v="0"/>
    <n v="0"/>
    <n v="0"/>
    <n v="39857025.539999969"/>
    <n v="0"/>
    <n v="20859020.983254999"/>
    <n v="0"/>
    <m/>
  </r>
  <r>
    <s v="Воронежская"/>
    <s v="HSR Siberia"/>
    <x v="4"/>
    <s v="RADM Siberia"/>
    <x v="17"/>
    <x v="57"/>
    <m/>
    <m/>
    <m/>
    <m/>
    <s v="Open"/>
    <n v="973063.07778321125"/>
    <n v="0"/>
    <n v="0"/>
    <n v="0"/>
    <n v="0"/>
    <n v="0"/>
    <n v="0"/>
    <n v="0"/>
    <m/>
  </r>
  <r>
    <s v="Курская"/>
    <s v="HSR Siberia"/>
    <x v="4"/>
    <s v="RADM Siberia"/>
    <x v="17"/>
    <x v="57"/>
    <m/>
    <m/>
    <m/>
    <m/>
    <s v="Open"/>
    <n v="1284322.225178503"/>
    <n v="0"/>
    <n v="0"/>
    <n v="0"/>
    <n v="0"/>
    <n v="0"/>
    <n v="0"/>
    <n v="0"/>
    <m/>
  </r>
  <r>
    <s v="Брянская"/>
    <s v="HSR Siberia"/>
    <x v="4"/>
    <s v="RADM Siberia"/>
    <x v="17"/>
    <x v="57"/>
    <m/>
    <m/>
    <m/>
    <m/>
    <s v="Open"/>
    <n v="1732123.1739566694"/>
    <n v="0"/>
    <n v="0"/>
    <n v="0"/>
    <n v="0"/>
    <n v="0"/>
    <n v="0"/>
    <n v="0"/>
    <m/>
  </r>
  <r>
    <s v="Орловская"/>
    <s v="HSR Siberia"/>
    <x v="4"/>
    <s v="RADM Siberia"/>
    <x v="17"/>
    <x v="57"/>
    <m/>
    <m/>
    <m/>
    <m/>
    <s v="Open"/>
    <n v="1183998.7546954493"/>
    <n v="0"/>
    <n v="0"/>
    <n v="0"/>
    <n v="0"/>
    <n v="0"/>
    <n v="0"/>
    <n v="0"/>
    <m/>
  </r>
  <r>
    <s v="Тамбовская"/>
    <s v="HSR Siberia"/>
    <x v="4"/>
    <s v="RADM Siberia"/>
    <x v="17"/>
    <x v="57"/>
    <m/>
    <m/>
    <m/>
    <m/>
    <s v="Open"/>
    <n v="4528032.3227405883"/>
    <n v="0"/>
    <n v="0"/>
    <n v="0"/>
    <n v="0"/>
    <n v="0"/>
    <n v="0"/>
    <n v="0"/>
    <m/>
  </r>
  <r>
    <s v="Свердловская"/>
    <s v="HSR Siberia"/>
    <x v="4"/>
    <s v="RADM Siberia"/>
    <x v="17"/>
    <x v="57"/>
    <m/>
    <m/>
    <m/>
    <m/>
    <s v="Open"/>
    <n v="2979722.6300543761"/>
    <n v="0"/>
    <n v="0"/>
    <n v="0"/>
    <n v="0"/>
    <n v="0"/>
    <n v="0"/>
    <n v="0"/>
    <m/>
  </r>
  <r>
    <s v="Тюменская"/>
    <s v="HSR Siberia"/>
    <x v="4"/>
    <s v="RADM Siberia"/>
    <x v="17"/>
    <x v="57"/>
    <m/>
    <m/>
    <m/>
    <m/>
    <s v="Open"/>
    <n v="4739026.6542581888"/>
    <n v="0"/>
    <n v="0"/>
    <n v="0"/>
    <n v="0"/>
    <n v="0"/>
    <n v="0"/>
    <n v="0"/>
    <m/>
  </r>
  <r>
    <s v="Пермский"/>
    <s v="HSR Siberia"/>
    <x v="4"/>
    <s v="RADM Siberia"/>
    <x v="17"/>
    <x v="57"/>
    <m/>
    <m/>
    <m/>
    <m/>
    <s v="Open"/>
    <n v="4968506.8015938709"/>
    <n v="0"/>
    <n v="0"/>
    <n v="0"/>
    <n v="0"/>
    <n v="0"/>
    <n v="0"/>
    <n v="0"/>
    <m/>
  </r>
  <r>
    <s v="Челябинская"/>
    <s v="HSR Siberia"/>
    <x v="4"/>
    <s v="RADM Siberia"/>
    <x v="17"/>
    <x v="57"/>
    <m/>
    <m/>
    <m/>
    <m/>
    <s v="Open"/>
    <n v="2203885.0860657538"/>
    <n v="0"/>
    <n v="0"/>
    <n v="0"/>
    <n v="0"/>
    <n v="0"/>
    <n v="0"/>
    <n v="0"/>
    <m/>
  </r>
  <r>
    <s v="Самарская"/>
    <s v="HSR Siberia"/>
    <x v="4"/>
    <s v="RADM Siberia"/>
    <x v="17"/>
    <x v="57"/>
    <m/>
    <m/>
    <m/>
    <m/>
    <s v="Open"/>
    <n v="3042784.7210369534"/>
    <n v="0"/>
    <n v="0"/>
    <n v="0"/>
    <n v="0"/>
    <n v="0"/>
    <n v="0"/>
    <n v="0"/>
    <m/>
  </r>
  <r>
    <s v="Ивановская"/>
    <s v="HSR Siberia"/>
    <x v="4"/>
    <s v="RADM Siberia"/>
    <x v="17"/>
    <x v="57"/>
    <m/>
    <m/>
    <m/>
    <m/>
    <s v="Open"/>
    <n v="4023682.8871393208"/>
    <n v="0"/>
    <n v="0"/>
    <n v="0"/>
    <n v="0"/>
    <n v="0"/>
    <n v="0"/>
    <n v="0"/>
    <m/>
  </r>
  <r>
    <s v="Тверская"/>
    <s v="HSR Siberia"/>
    <x v="4"/>
    <s v="RADM Siberia"/>
    <x v="17"/>
    <x v="57"/>
    <m/>
    <m/>
    <m/>
    <m/>
    <s v="Open"/>
    <n v="1880421.7924100675"/>
    <n v="0"/>
    <n v="0"/>
    <n v="0"/>
    <n v="0"/>
    <n v="0"/>
    <n v="0"/>
    <n v="0"/>
    <m/>
  </r>
  <r>
    <s v="Ярославская"/>
    <s v="HSR Siberia"/>
    <x v="4"/>
    <s v="RADM Siberia"/>
    <x v="17"/>
    <x v="57"/>
    <m/>
    <m/>
    <m/>
    <m/>
    <s v="Open"/>
    <n v="27130505.840957616"/>
    <n v="0"/>
    <n v="0"/>
    <n v="0"/>
    <n v="0"/>
    <n v="0"/>
    <n v="0"/>
    <n v="0"/>
    <m/>
  </r>
  <r>
    <s v="Тверская"/>
    <s v="HSR Siberia"/>
    <x v="4"/>
    <s v="RADM Siberia"/>
    <x v="17"/>
    <x v="57"/>
    <m/>
    <m/>
    <m/>
    <m/>
    <s v="Open"/>
    <n v="8930720.8169237953"/>
    <n v="0"/>
    <n v="0"/>
    <n v="0"/>
    <n v="0"/>
    <n v="0"/>
    <n v="0"/>
    <n v="0"/>
    <m/>
  </r>
  <r>
    <s v="Московская"/>
    <s v="HSR Siberia"/>
    <x v="4"/>
    <s v="RADM Siberia"/>
    <x v="17"/>
    <x v="57"/>
    <m/>
    <m/>
    <m/>
    <m/>
    <s v="Action"/>
    <n v="193413695.79842499"/>
    <n v="0"/>
    <n v="0"/>
    <n v="0"/>
    <n v="0"/>
    <n v="0"/>
    <n v="0"/>
    <n v="0"/>
    <m/>
  </r>
  <r>
    <s v="Владимирская"/>
    <s v="HSR Siberia"/>
    <x v="4"/>
    <s v="RADM Siberia"/>
    <x v="17"/>
    <x v="57"/>
    <m/>
    <m/>
    <m/>
    <m/>
    <s v="Action"/>
    <n v="28521750.036892459"/>
    <n v="0"/>
    <n v="0"/>
    <n v="0"/>
    <n v="0"/>
    <n v="0"/>
    <n v="0"/>
    <n v="0"/>
    <m/>
  </r>
  <r>
    <s v="Нижегородская"/>
    <s v="HSR Siberia"/>
    <x v="4"/>
    <s v="RADM Siberia"/>
    <x v="17"/>
    <x v="57"/>
    <m/>
    <m/>
    <m/>
    <m/>
    <s v="Action"/>
    <n v="1384314.2112077558"/>
    <n v="0"/>
    <n v="0"/>
    <n v="0"/>
    <n v="0"/>
    <n v="0"/>
    <n v="0"/>
    <n v="0"/>
    <m/>
  </r>
  <r>
    <s v="Тульская"/>
    <s v="HSR Siberia"/>
    <x v="4"/>
    <s v="RADM Siberia"/>
    <x v="17"/>
    <x v="57"/>
    <m/>
    <m/>
    <m/>
    <m/>
    <s v="Action"/>
    <n v="22746542.853066351"/>
    <n v="0"/>
    <n v="0"/>
    <n v="0"/>
    <n v="0"/>
    <n v="0"/>
    <n v="0"/>
    <n v="0"/>
    <m/>
  </r>
  <r>
    <s v="Калужская"/>
    <s v="HSR Siberia"/>
    <x v="4"/>
    <s v="RADM Siberia"/>
    <x v="17"/>
    <x v="57"/>
    <m/>
    <m/>
    <m/>
    <m/>
    <s v="Action"/>
    <n v="2348828.3742962028"/>
    <n v="0"/>
    <n v="0"/>
    <n v="0"/>
    <n v="0"/>
    <n v="0"/>
    <n v="0"/>
    <n v="0"/>
    <m/>
  </r>
  <r>
    <s v="Липецкая"/>
    <s v="HSR Siberia"/>
    <x v="4"/>
    <s v="RADM Siberia"/>
    <x v="17"/>
    <x v="57"/>
    <m/>
    <m/>
    <m/>
    <m/>
    <s v="Action"/>
    <n v="1595653.2482846803"/>
    <n v="0"/>
    <n v="0"/>
    <n v="0"/>
    <n v="0"/>
    <n v="0"/>
    <n v="0"/>
    <n v="0"/>
    <m/>
  </r>
  <r>
    <s v="Рязанская"/>
    <s v="HSR Siberia"/>
    <x v="4"/>
    <s v="RADM Siberia"/>
    <x v="17"/>
    <x v="57"/>
    <m/>
    <m/>
    <m/>
    <m/>
    <s v="Action"/>
    <n v="11732044.909700001"/>
    <n v="0"/>
    <n v="0"/>
    <n v="0"/>
    <n v="0"/>
    <n v="0"/>
    <n v="0"/>
    <n v="0"/>
    <m/>
  </r>
  <r>
    <s v="Алтайский"/>
    <s v="HSR Siberia"/>
    <x v="4"/>
    <s v="RADM Siberia"/>
    <x v="17"/>
    <x v="57"/>
    <m/>
    <m/>
    <m/>
    <m/>
    <s v="Open"/>
    <n v="153865470.28550819"/>
    <n v="0"/>
    <n v="0"/>
    <n v="0"/>
    <n v="0"/>
    <n v="0"/>
    <n v="0"/>
    <n v="0"/>
    <m/>
  </r>
  <r>
    <s v="Кемеровская область - Кузбасс"/>
    <s v="HSR Siberia"/>
    <x v="4"/>
    <s v="RADM Siberia"/>
    <x v="17"/>
    <x v="57"/>
    <m/>
    <m/>
    <m/>
    <m/>
    <s v="Open"/>
    <n v="300562568.50841665"/>
    <n v="0"/>
    <n v="0"/>
    <n v="0"/>
    <n v="0"/>
    <n v="0"/>
    <n v="0"/>
    <n v="0"/>
    <m/>
  </r>
  <r>
    <s v="Красноярский"/>
    <s v="HSR Siberia"/>
    <x v="4"/>
    <s v="RADM Siberia"/>
    <x v="17"/>
    <x v="57"/>
    <m/>
    <m/>
    <m/>
    <m/>
    <s v="Open"/>
    <n v="49400893.391934566"/>
    <n v="0"/>
    <n v="0"/>
    <n v="0"/>
    <n v="0"/>
    <n v="0"/>
    <n v="0"/>
    <n v="0"/>
    <m/>
  </r>
  <r>
    <s v="Новосибирская"/>
    <s v="HSR Siberia"/>
    <x v="4"/>
    <s v="RADM Siberia"/>
    <x v="17"/>
    <x v="57"/>
    <m/>
    <m/>
    <m/>
    <m/>
    <s v="Open"/>
    <n v="282709671.91138828"/>
    <n v="0"/>
    <n v="0"/>
    <n v="0"/>
    <n v="0"/>
    <n v="0"/>
    <n v="0"/>
    <n v="0"/>
    <m/>
  </r>
  <r>
    <s v="Омская"/>
    <s v="HSR Siberia"/>
    <x v="4"/>
    <s v="RADM Siberia"/>
    <x v="17"/>
    <x v="57"/>
    <m/>
    <m/>
    <m/>
    <m/>
    <s v="Open"/>
    <n v="117114145.83411548"/>
    <n v="0"/>
    <n v="0"/>
    <n v="0"/>
    <n v="0"/>
    <n v="0"/>
    <n v="0"/>
    <n v="0"/>
    <m/>
  </r>
  <r>
    <s v="Томская"/>
    <s v="HSR Siberia"/>
    <x v="4"/>
    <s v="RADM Siberia"/>
    <x v="17"/>
    <x v="57"/>
    <m/>
    <m/>
    <m/>
    <n v="1"/>
    <s v="Open"/>
    <n v="228502433.21530333"/>
    <n v="0"/>
    <n v="0"/>
    <n v="0"/>
    <n v="0"/>
    <n v="0"/>
    <n v="0"/>
    <n v="0"/>
    <m/>
  </r>
  <r>
    <s v="Алтайский"/>
    <s v="HSR Siberia"/>
    <x v="4"/>
    <s v="TDM Siberia"/>
    <x v="16"/>
    <x v="58"/>
    <m/>
    <m/>
    <m/>
    <m/>
    <s v="Open"/>
    <n v="0"/>
    <n v="0"/>
    <n v="0"/>
    <n v="0"/>
    <n v="0"/>
    <n v="153865470.28550819"/>
    <n v="116547393.0289679"/>
    <n v="0"/>
    <m/>
  </r>
  <r>
    <s v="Кемеровская область - Кузбасс"/>
    <s v="HSR Siberia"/>
    <x v="4"/>
    <s v="TDM Siberia"/>
    <x v="16"/>
    <x v="58"/>
    <m/>
    <m/>
    <m/>
    <m/>
    <s v="Open"/>
    <n v="0"/>
    <n v="0"/>
    <n v="0"/>
    <n v="0"/>
    <n v="0"/>
    <n v="300562568.50841665"/>
    <n v="231806702.65685073"/>
    <n v="0"/>
    <m/>
  </r>
  <r>
    <s v="Красноярский"/>
    <s v="HSR Siberia"/>
    <x v="4"/>
    <s v="TDM Siberia"/>
    <x v="16"/>
    <x v="58"/>
    <m/>
    <m/>
    <m/>
    <m/>
    <s v="Open"/>
    <n v="0"/>
    <n v="0"/>
    <n v="0"/>
    <n v="0"/>
    <n v="0"/>
    <n v="49400893.391934566"/>
    <n v="13861067.77554908"/>
    <n v="0"/>
    <m/>
  </r>
  <r>
    <s v="Новосибирская"/>
    <s v="HSR Siberia"/>
    <x v="4"/>
    <s v="TDM Siberia"/>
    <x v="16"/>
    <x v="58"/>
    <m/>
    <m/>
    <m/>
    <m/>
    <s v="Open"/>
    <n v="0"/>
    <n v="0"/>
    <n v="0"/>
    <n v="0"/>
    <n v="0"/>
    <n v="282709671.91138828"/>
    <n v="217785764.00050426"/>
    <n v="0"/>
    <m/>
  </r>
  <r>
    <s v="Омская"/>
    <s v="HSR Siberia"/>
    <x v="4"/>
    <s v="TDM Siberia"/>
    <x v="16"/>
    <x v="58"/>
    <m/>
    <m/>
    <m/>
    <m/>
    <s v="Open"/>
    <n v="0"/>
    <n v="0"/>
    <n v="0"/>
    <n v="0"/>
    <n v="0"/>
    <n v="117114145.83411548"/>
    <n v="76132782.152658641"/>
    <n v="0"/>
    <m/>
  </r>
  <r>
    <s v="Томская"/>
    <s v="HSR Siberia"/>
    <x v="4"/>
    <s v="TDM Siberia"/>
    <x v="16"/>
    <x v="58"/>
    <m/>
    <m/>
    <m/>
    <m/>
    <s v="Open"/>
    <n v="0"/>
    <n v="0"/>
    <n v="0"/>
    <n v="0"/>
    <n v="0"/>
    <n v="228502433.21530333"/>
    <n v="132744789.49687061"/>
    <n v="0"/>
    <m/>
  </r>
  <r>
    <s v="Алтайский"/>
    <s v="HSR Siberia"/>
    <x v="4"/>
    <s v="RADM Siberia"/>
    <x v="17"/>
    <x v="59"/>
    <m/>
    <m/>
    <m/>
    <n v="1"/>
    <s v="Open"/>
    <n v="594299663.16174626"/>
    <n v="0"/>
    <n v="0"/>
    <n v="0"/>
    <n v="0"/>
    <n v="0"/>
    <n v="0"/>
    <n v="0"/>
    <m/>
  </r>
  <r>
    <s v="Кемеровская область - Кузбасс"/>
    <s v="HSR Siberia"/>
    <x v="4"/>
    <s v="RADM Siberia"/>
    <x v="17"/>
    <x v="59"/>
    <m/>
    <m/>
    <m/>
    <m/>
    <s v="Open"/>
    <n v="491515278.56228167"/>
    <n v="0"/>
    <n v="0"/>
    <n v="0"/>
    <n v="0"/>
    <n v="0"/>
    <n v="0"/>
    <n v="0"/>
    <m/>
  </r>
  <r>
    <s v="Новосибирская"/>
    <s v="HSR Siberia"/>
    <x v="4"/>
    <s v="RADM Siberia"/>
    <x v="17"/>
    <x v="59"/>
    <m/>
    <m/>
    <m/>
    <m/>
    <s v="Open"/>
    <n v="321261802.06234795"/>
    <n v="0"/>
    <n v="0"/>
    <n v="0"/>
    <n v="0"/>
    <n v="0"/>
    <n v="0"/>
    <n v="0"/>
    <m/>
  </r>
  <r>
    <s v="Томская"/>
    <s v="HSR Siberia"/>
    <x v="4"/>
    <s v="RADM Siberia"/>
    <x v="17"/>
    <x v="59"/>
    <m/>
    <m/>
    <m/>
    <m/>
    <s v="Open"/>
    <n v="114883267.42855136"/>
    <n v="0"/>
    <n v="0"/>
    <n v="0"/>
    <n v="0"/>
    <n v="0"/>
    <n v="0"/>
    <n v="0"/>
    <m/>
  </r>
  <r>
    <s v="Алтай"/>
    <s v="HSR Siberia"/>
    <x v="4"/>
    <s v="RADM Siberia"/>
    <x v="17"/>
    <x v="59"/>
    <m/>
    <m/>
    <m/>
    <m/>
    <s v="Open"/>
    <n v="24762485.965072762"/>
    <n v="0"/>
    <n v="0"/>
    <n v="0"/>
    <n v="0"/>
    <n v="0"/>
    <n v="0"/>
    <n v="0"/>
    <m/>
  </r>
  <r>
    <s v="Алтайский"/>
    <s v="HSR Siberia"/>
    <x v="4"/>
    <s v="TDM Siberia"/>
    <x v="16"/>
    <x v="58"/>
    <m/>
    <m/>
    <m/>
    <m/>
    <s v="Open"/>
    <n v="0"/>
    <n v="0"/>
    <n v="0"/>
    <n v="0"/>
    <n v="0"/>
    <n v="594299663.16174626"/>
    <n v="461572470.0557043"/>
    <n v="0"/>
    <m/>
  </r>
  <r>
    <s v="Кемеровская область - Кузбасс"/>
    <s v="HSR Siberia"/>
    <x v="4"/>
    <s v="TDM Siberia"/>
    <x v="16"/>
    <x v="58"/>
    <m/>
    <m/>
    <m/>
    <m/>
    <s v="Open"/>
    <n v="0"/>
    <n v="0"/>
    <n v="0"/>
    <n v="0"/>
    <n v="0"/>
    <n v="491515278.56228167"/>
    <n v="368676205.98230016"/>
    <n v="0"/>
    <m/>
  </r>
  <r>
    <s v="Новосибирская"/>
    <s v="HSR Siberia"/>
    <x v="4"/>
    <s v="TDM Siberia"/>
    <x v="16"/>
    <x v="58"/>
    <m/>
    <m/>
    <m/>
    <m/>
    <s v="Open"/>
    <n v="0"/>
    <n v="0"/>
    <n v="0"/>
    <n v="0"/>
    <n v="0"/>
    <n v="321261802.06234795"/>
    <n v="256180909.35876647"/>
    <n v="0"/>
    <m/>
  </r>
  <r>
    <s v="Томская"/>
    <s v="HSR Siberia"/>
    <x v="4"/>
    <s v="TDM Siberia"/>
    <x v="16"/>
    <x v="58"/>
    <m/>
    <m/>
    <m/>
    <m/>
    <s v="Open"/>
    <n v="0"/>
    <n v="0"/>
    <n v="0"/>
    <n v="0"/>
    <n v="0"/>
    <n v="114883267.42855136"/>
    <n v="68437168.244202793"/>
    <n v="0"/>
    <m/>
  </r>
  <r>
    <s v="Алтай"/>
    <s v="HSR Siberia"/>
    <x v="4"/>
    <s v="TDM Siberia"/>
    <x v="16"/>
    <x v="58"/>
    <m/>
    <m/>
    <m/>
    <m/>
    <s v="Open"/>
    <n v="0"/>
    <n v="0"/>
    <n v="0"/>
    <n v="0"/>
    <n v="0"/>
    <n v="24762485.965072762"/>
    <n v="0"/>
    <n v="0"/>
    <m/>
  </r>
  <r>
    <s v="Алтай"/>
    <s v="HSR Siberia"/>
    <x v="4"/>
    <s v="TDM Siberia"/>
    <x v="16"/>
    <x v="58"/>
    <m/>
    <m/>
    <m/>
    <m/>
    <s v="Open"/>
    <n v="0"/>
    <n v="0"/>
    <n v="0"/>
    <n v="0"/>
    <n v="0"/>
    <n v="4386979.91"/>
    <n v="0"/>
    <n v="0"/>
    <m/>
  </r>
  <r>
    <s v="Алтайский"/>
    <s v="HSR Siberia"/>
    <x v="4"/>
    <s v="TDM Siberia"/>
    <x v="16"/>
    <x v="58"/>
    <m/>
    <m/>
    <m/>
    <m/>
    <s v="Open"/>
    <n v="0"/>
    <n v="0"/>
    <n v="0"/>
    <n v="0"/>
    <n v="0"/>
    <n v="108629205.9599995"/>
    <n v="27587077.313190907"/>
    <n v="0"/>
    <m/>
  </r>
  <r>
    <s v="Кемеровская область - Кузбасс"/>
    <s v="HSR Siberia"/>
    <x v="4"/>
    <s v="TDM Siberia"/>
    <x v="16"/>
    <x v="58"/>
    <m/>
    <m/>
    <m/>
    <m/>
    <s v="Open"/>
    <n v="0"/>
    <n v="0"/>
    <n v="0"/>
    <n v="0"/>
    <n v="0"/>
    <n v="238713553.10999873"/>
    <n v="160342343.65884095"/>
    <n v="0"/>
    <m/>
  </r>
  <r>
    <s v="Красноярский"/>
    <s v="HSR Siberia"/>
    <x v="4"/>
    <s v="TDM Siberia"/>
    <x v="16"/>
    <x v="58"/>
    <m/>
    <m/>
    <m/>
    <m/>
    <s v="Open"/>
    <n v="0"/>
    <n v="0"/>
    <n v="0"/>
    <n v="0"/>
    <n v="0"/>
    <n v="1220654.8799999997"/>
    <n v="0"/>
    <n v="0"/>
    <m/>
  </r>
  <r>
    <s v="Новосибирская"/>
    <s v="HSR Siberia"/>
    <x v="4"/>
    <s v="TDM Siberia"/>
    <x v="16"/>
    <x v="58"/>
    <m/>
    <m/>
    <m/>
    <m/>
    <s v="Open"/>
    <n v="0"/>
    <n v="0"/>
    <n v="0"/>
    <n v="0"/>
    <n v="0"/>
    <n v="300455001.49999845"/>
    <n v="77923810.478209168"/>
    <n v="0"/>
    <m/>
  </r>
  <r>
    <s v="Омская"/>
    <s v="HSR Siberia"/>
    <x v="4"/>
    <s v="TDM Siberia"/>
    <x v="16"/>
    <x v="58"/>
    <m/>
    <m/>
    <m/>
    <m/>
    <s v="Open"/>
    <n v="0"/>
    <n v="0"/>
    <n v="0"/>
    <n v="0"/>
    <n v="0"/>
    <n v="1220654.8799999999"/>
    <n v="0"/>
    <n v="0"/>
    <m/>
  </r>
  <r>
    <s v="Томская"/>
    <s v="HSR Siberia"/>
    <x v="4"/>
    <s v="TDM Siberia"/>
    <x v="16"/>
    <x v="58"/>
    <m/>
    <m/>
    <m/>
    <m/>
    <s v="Open"/>
    <n v="0"/>
    <n v="0"/>
    <n v="0"/>
    <n v="0"/>
    <n v="0"/>
    <n v="22106208.609999988"/>
    <n v="0"/>
    <n v="0"/>
    <m/>
  </r>
  <r>
    <s v="Красноярский"/>
    <s v="HSR Siberia"/>
    <x v="4"/>
    <s v="RADM Siberia"/>
    <x v="17"/>
    <x v="60"/>
    <m/>
    <s v="Сервико (Красноярск) ООО"/>
    <m/>
    <n v="1"/>
    <m/>
    <n v="190260307.72000337"/>
    <n v="0"/>
    <n v="0"/>
    <n v="0"/>
    <n v="0"/>
    <n v="0"/>
    <n v="0"/>
    <n v="0"/>
    <m/>
  </r>
  <r>
    <s v="Хакасия"/>
    <s v="HSR Siberia"/>
    <x v="4"/>
    <s v="RADM Siberia"/>
    <x v="17"/>
    <x v="60"/>
    <m/>
    <s v="Сервико (Красноярск) ООО"/>
    <m/>
    <m/>
    <m/>
    <n v="29062463.519999985"/>
    <n v="0"/>
    <n v="0"/>
    <n v="0"/>
    <n v="0"/>
    <n v="0"/>
    <n v="0"/>
    <n v="0"/>
    <m/>
  </r>
  <r>
    <s v="Красноярский"/>
    <s v="HSR Siberia"/>
    <x v="4"/>
    <s v="RADM Siberia"/>
    <x v="17"/>
    <x v="60"/>
    <m/>
    <s v="Сервико (Красноярск) ООО"/>
    <m/>
    <n v="1"/>
    <m/>
    <n v="398858193.26999992"/>
    <n v="0"/>
    <n v="0"/>
    <n v="0"/>
    <n v="0"/>
    <n v="0"/>
    <n v="0"/>
    <n v="0"/>
    <m/>
  </r>
  <r>
    <s v="Красноярский"/>
    <s v="HSR Siberia"/>
    <x v="4"/>
    <s v="TDM Siberia"/>
    <x v="16"/>
    <x v="58"/>
    <m/>
    <m/>
    <m/>
    <m/>
    <s v="Open"/>
    <n v="0"/>
    <n v="0"/>
    <n v="0"/>
    <n v="0"/>
    <n v="0"/>
    <n v="190260307.72000337"/>
    <n v="0"/>
    <n v="0"/>
    <m/>
  </r>
  <r>
    <s v="Хакасия"/>
    <s v="HSR Siberia"/>
    <x v="4"/>
    <s v="TDM Siberia"/>
    <x v="16"/>
    <x v="58"/>
    <m/>
    <m/>
    <m/>
    <m/>
    <s v="Open"/>
    <n v="0"/>
    <n v="0"/>
    <n v="0"/>
    <n v="0"/>
    <n v="0"/>
    <n v="29062463.519999985"/>
    <n v="0"/>
    <n v="0"/>
    <m/>
  </r>
  <r>
    <s v="Красноярский"/>
    <s v="HSR Siberia"/>
    <x v="4"/>
    <s v="TDM Siberia"/>
    <x v="16"/>
    <x v="58"/>
    <m/>
    <m/>
    <m/>
    <m/>
    <s v="Open"/>
    <n v="0"/>
    <n v="0"/>
    <n v="0"/>
    <n v="0"/>
    <n v="0"/>
    <n v="398858193.26999992"/>
    <n v="0"/>
    <n v="0"/>
    <m/>
  </r>
  <r>
    <s v="Красноярский"/>
    <s v="HSR Siberia"/>
    <x v="4"/>
    <s v="ASM SIB Krasnoyarsk+Abakan+Tuva+Kuzbass+Norilsk"/>
    <x v="18"/>
    <x v="61"/>
    <m/>
    <s v="Сервико (Красноярск) ООО"/>
    <n v="1"/>
    <m/>
    <m/>
    <n v="0"/>
    <n v="283457019.83000004"/>
    <n v="14201168.000000009"/>
    <n v="196318626.89000005"/>
    <n v="0"/>
    <n v="0"/>
    <n v="0"/>
    <n v="0"/>
    <m/>
  </r>
  <r>
    <s v="Новосибирская"/>
    <s v="HSR Siberia"/>
    <x v="4"/>
    <s v="ASM SIB Krasnoyarsk+Abakan+Tuva+Kuzbass+Norilsk"/>
    <x v="18"/>
    <x v="62"/>
    <m/>
    <s v="РП Альянс ООО"/>
    <n v="1"/>
    <m/>
    <m/>
    <n v="0"/>
    <n v="34880558.810000002"/>
    <n v="2091125.26"/>
    <n v="139815950.95999998"/>
    <n v="0"/>
    <n v="0"/>
    <n v="0"/>
    <n v="0"/>
    <m/>
  </r>
  <r>
    <s v="Алтай"/>
    <s v="HSR Siberia"/>
    <x v="4"/>
    <s v="ASM SIB Krasnoyarsk+Abakan+Tuva+Kuzbass+Norilsk"/>
    <x v="18"/>
    <x v="63"/>
    <m/>
    <s v="РП Альянс ООО"/>
    <m/>
    <m/>
    <m/>
    <n v="0"/>
    <n v="7559280.2800000003"/>
    <n v="293180.96000000002"/>
    <n v="6270010.7999999998"/>
    <n v="0"/>
    <n v="0"/>
    <n v="0"/>
    <n v="0"/>
    <m/>
  </r>
  <r>
    <s v="Алтай"/>
    <s v="HSR Siberia"/>
    <x v="4"/>
    <s v="RADM Siberia"/>
    <x v="17"/>
    <x v="64"/>
    <m/>
    <s v="РП Альянс ООО"/>
    <m/>
    <m/>
    <m/>
    <n v="0"/>
    <n v="0"/>
    <n v="8338655.9999999981"/>
    <n v="0"/>
    <n v="0"/>
    <n v="8338655.9999999981"/>
    <n v="0"/>
    <n v="0"/>
    <m/>
  </r>
  <r>
    <s v="Алтайский"/>
    <s v="HSR Siberia"/>
    <x v="4"/>
    <s v="ASM SIB Krasnoyarsk+Abakan+Tuva+Kuzbass+Norilsk"/>
    <x v="18"/>
    <x v="63"/>
    <m/>
    <s v="РП Альянс ООО"/>
    <n v="1"/>
    <m/>
    <m/>
    <n v="0"/>
    <n v="86102087.389999986"/>
    <n v="2997710.13"/>
    <n v="111635936.67000006"/>
    <n v="0"/>
    <n v="0"/>
    <n v="0"/>
    <n v="0"/>
    <m/>
  </r>
  <r>
    <s v="Алтайский"/>
    <s v="HSR Siberia"/>
    <x v="4"/>
    <s v="ASM SIB Krasnoyarsk+Abakan+Tuva+Kuzbass+Norilsk"/>
    <x v="18"/>
    <x v="61"/>
    <m/>
    <s v="Сервико (Красноярск) ООО"/>
    <m/>
    <m/>
    <m/>
    <n v="0"/>
    <n v="0"/>
    <n v="0"/>
    <n v="28433.079999999998"/>
    <n v="0"/>
    <n v="0"/>
    <n v="0"/>
    <n v="0"/>
    <m/>
  </r>
  <r>
    <s v="Алтайский"/>
    <s v="HSR Siberia"/>
    <x v="4"/>
    <s v="ASM SIB Krasnoyarsk+Abakan+Tuva+Kuzbass+Norilsk"/>
    <x v="18"/>
    <x v="65"/>
    <m/>
    <s v="ТД Шкуренко ООО (Томск)"/>
    <m/>
    <m/>
    <m/>
    <n v="0"/>
    <n v="0"/>
    <n v="0"/>
    <n v="6889610.7199999969"/>
    <n v="0"/>
    <n v="0"/>
    <n v="0"/>
    <n v="0"/>
    <m/>
  </r>
  <r>
    <s v="Алтайский"/>
    <s v="HSR Siberia"/>
    <x v="4"/>
    <s v="RADM Siberia"/>
    <x v="17"/>
    <x v="64"/>
    <m/>
    <s v="РП Альянс ООО"/>
    <n v="1"/>
    <m/>
    <m/>
    <n v="0"/>
    <n v="0"/>
    <n v="55786787.809999935"/>
    <n v="0"/>
    <n v="0"/>
    <n v="55786787.809999935"/>
    <n v="0"/>
    <n v="0"/>
    <m/>
  </r>
  <r>
    <s v="Алтайский"/>
    <s v="HSR Siberia"/>
    <x v="4"/>
    <s v="ASM SIB Krasnoyarsk+Abakan+Tuva+Kuzbass+Norilsk"/>
    <x v="18"/>
    <x v="65"/>
    <m/>
    <s v="ТД Шкуренко ООО"/>
    <m/>
    <m/>
    <m/>
    <n v="0"/>
    <n v="0"/>
    <n v="2201971.15"/>
    <n v="0"/>
    <n v="0"/>
    <n v="0"/>
    <n v="0"/>
    <n v="0"/>
    <m/>
  </r>
  <r>
    <s v="Кемеровская область - Кузбасс"/>
    <s v="HSR Siberia"/>
    <x v="4"/>
    <s v="ASM SIB Krasnoyarsk+Abakan+Tuva+Kuzbass+Norilsk"/>
    <x v="18"/>
    <x v="65"/>
    <m/>
    <s v="ТД Шкуренко ООО (Томск)"/>
    <n v="1"/>
    <m/>
    <m/>
    <n v="0"/>
    <n v="16476732.709999999"/>
    <n v="4822398.8600000003"/>
    <n v="58859998.560000047"/>
    <n v="0"/>
    <n v="0"/>
    <n v="0"/>
    <n v="0"/>
    <m/>
  </r>
  <r>
    <s v="Кемеровская область - Кузбасс"/>
    <s v="HSR Siberia"/>
    <x v="4"/>
    <s v="ASM SIB Krasnoyarsk+Abakan+Tuva+Kuzbass+Norilsk"/>
    <x v="18"/>
    <x v="65"/>
    <m/>
    <s v="ТД Шкуренко ООО"/>
    <m/>
    <m/>
    <m/>
    <n v="0"/>
    <n v="0"/>
    <n v="390935.39"/>
    <n v="0"/>
    <n v="0"/>
    <n v="0"/>
    <n v="0"/>
    <n v="0"/>
    <m/>
  </r>
  <r>
    <s v="Кемеровская область - Кузбасс"/>
    <s v="HSR Siberia"/>
    <x v="4"/>
    <s v="RADM Siberia"/>
    <x v="17"/>
    <x v="64"/>
    <m/>
    <s v="ТД Шкуренко ООО (Томск)"/>
    <n v="1"/>
    <m/>
    <m/>
    <n v="0"/>
    <n v="0"/>
    <n v="26885692.90000001"/>
    <n v="0"/>
    <n v="0"/>
    <n v="26885692.90000001"/>
    <n v="0"/>
    <n v="0"/>
    <m/>
  </r>
  <r>
    <s v="Кемеровская область - Кузбасс"/>
    <s v="HSR Siberia"/>
    <x v="4"/>
    <s v="RADM Siberia"/>
    <x v="17"/>
    <x v="64"/>
    <m/>
    <s v="РП Альянс ООО"/>
    <m/>
    <m/>
    <m/>
    <n v="0"/>
    <n v="0"/>
    <n v="47364394.949999921"/>
    <n v="0"/>
    <n v="0"/>
    <n v="47364394.949999921"/>
    <n v="0"/>
    <n v="0"/>
    <m/>
  </r>
  <r>
    <s v="Кемеровская область - Кузбасс"/>
    <s v="HSR Siberia"/>
    <x v="4"/>
    <s v="ASM SIB Krasnoyarsk+Abakan+Tuva+Kuzbass+Norilsk"/>
    <x v="18"/>
    <x v="65"/>
    <m/>
    <s v="РП Альянс ООО"/>
    <m/>
    <m/>
    <m/>
    <n v="0"/>
    <n v="0"/>
    <n v="0"/>
    <n v="5225326.0500000007"/>
    <n v="0"/>
    <n v="0"/>
    <n v="0"/>
    <n v="0"/>
    <m/>
  </r>
  <r>
    <s v="Кемеровская область - Кузбасс"/>
    <s v="HSR Siberia"/>
    <x v="4"/>
    <s v="ASM SIB Krasnoyarsk+Abakan+Tuva+Kuzbass+Norilsk"/>
    <x v="18"/>
    <x v="61"/>
    <m/>
    <s v="Сервико (Красноярск) ООО"/>
    <m/>
    <m/>
    <m/>
    <n v="0"/>
    <n v="0"/>
    <n v="0"/>
    <n v="9909.8700000000008"/>
    <n v="0"/>
    <n v="0"/>
    <n v="0"/>
    <n v="0"/>
    <m/>
  </r>
  <r>
    <s v="Кемеровская область - Кузбасс"/>
    <s v="HSR Siberia"/>
    <x v="4"/>
    <s v="ASM SIB Krasnoyarsk+Abakan+Tuva+Kuzbass+Norilsk"/>
    <x v="18"/>
    <x v="62"/>
    <m/>
    <s v="ТД Шкуренко ООО (Томск)"/>
    <m/>
    <m/>
    <m/>
    <n v="0"/>
    <n v="0"/>
    <n v="0"/>
    <n v="7785298.8700000001"/>
    <n v="0"/>
    <n v="0"/>
    <n v="0"/>
    <n v="0"/>
    <m/>
  </r>
  <r>
    <s v="Красноярский"/>
    <s v="HSR Siberia"/>
    <x v="4"/>
    <s v="ASM SIB Krasnoyarsk+Abakan+Tuva+Kuzbass+Norilsk"/>
    <x v="18"/>
    <x v="61"/>
    <m/>
    <s v="Стандарт ООО"/>
    <n v="1"/>
    <m/>
    <m/>
    <n v="0"/>
    <n v="0"/>
    <n v="0"/>
    <n v="109518113.71000004"/>
    <n v="0"/>
    <n v="0"/>
    <n v="0"/>
    <n v="0"/>
    <m/>
  </r>
  <r>
    <s v="Красноярский"/>
    <s v="HSR Siberia"/>
    <x v="4"/>
    <s v="ASM SIB Krasnoyarsk+Abakan+Tuva+Kuzbass+Norilsk"/>
    <x v="18"/>
    <x v="62"/>
    <m/>
    <s v="РП Альянс ООО"/>
    <m/>
    <m/>
    <m/>
    <n v="0"/>
    <n v="0"/>
    <n v="0"/>
    <n v="3302547.12"/>
    <n v="0"/>
    <n v="0"/>
    <n v="0"/>
    <n v="0"/>
    <m/>
  </r>
  <r>
    <s v="Красноярский"/>
    <s v="HSR Siberia"/>
    <x v="4"/>
    <s v="ASM SIB Krasnoyarsk+Abakan+Tuva+Kuzbass+Norilsk"/>
    <x v="18"/>
    <x v="62"/>
    <m/>
    <s v="Сервико (Красноярск) ООО"/>
    <m/>
    <m/>
    <m/>
    <n v="0"/>
    <n v="19524447.250000004"/>
    <n v="0"/>
    <n v="65665.02"/>
    <n v="0"/>
    <n v="0"/>
    <n v="0"/>
    <n v="0"/>
    <m/>
  </r>
  <r>
    <s v="Новосибирская"/>
    <s v="HSR Siberia"/>
    <x v="4"/>
    <s v="ASM SIB Krasnoyarsk+Abakan+Tuva+Kuzbass+Norilsk"/>
    <x v="18"/>
    <x v="63"/>
    <m/>
    <s v="РП Альянс ООО"/>
    <m/>
    <m/>
    <m/>
    <n v="0"/>
    <n v="0"/>
    <n v="0"/>
    <n v="10775322.740000002"/>
    <n v="0"/>
    <n v="0"/>
    <n v="0"/>
    <n v="0"/>
    <m/>
  </r>
  <r>
    <s v="Новосибирская"/>
    <s v="HSR Siberia"/>
    <x v="4"/>
    <s v="RADM Siberia"/>
    <x v="17"/>
    <x v="64"/>
    <m/>
    <s v="РП Альянс ООО"/>
    <n v="1"/>
    <m/>
    <m/>
    <n v="0"/>
    <n v="0"/>
    <n v="31316449.110000011"/>
    <n v="0"/>
    <n v="0"/>
    <n v="31316449.110000011"/>
    <n v="0"/>
    <n v="0"/>
    <m/>
  </r>
  <r>
    <s v="Новосибирская"/>
    <s v="HSR Siberia"/>
    <x v="4"/>
    <s v="ASM SIB Krasnoyarsk+Abakan+Tuva+Kuzbass+Norilsk"/>
    <x v="18"/>
    <x v="65"/>
    <m/>
    <s v="ТД Шкуренко ООО"/>
    <m/>
    <m/>
    <m/>
    <n v="0"/>
    <n v="0"/>
    <n v="16367163.050000001"/>
    <n v="0"/>
    <n v="0"/>
    <n v="0"/>
    <n v="0"/>
    <n v="0"/>
    <m/>
  </r>
  <r>
    <s v="Новосибирская"/>
    <s v="HSR Siberia"/>
    <x v="4"/>
    <s v="ASM SIB Krasnoyarsk+Abakan+Tuva+Kuzbass+Norilsk"/>
    <x v="18"/>
    <x v="62"/>
    <m/>
    <s v="Сервико (Красноярск) ООО"/>
    <m/>
    <m/>
    <m/>
    <n v="0"/>
    <n v="0"/>
    <n v="0"/>
    <n v="15694.580000000002"/>
    <n v="0"/>
    <n v="0"/>
    <n v="0"/>
    <n v="0"/>
    <m/>
  </r>
  <r>
    <s v="Новосибирская"/>
    <s v="HSR Siberia"/>
    <x v="4"/>
    <s v="ASM SIB Krasnoyarsk+Abakan+Tuva+Kuzbass+Norilsk"/>
    <x v="18"/>
    <x v="62"/>
    <m/>
    <s v="ТД Шкуренко ООО (Томск)"/>
    <m/>
    <m/>
    <m/>
    <n v="0"/>
    <n v="0"/>
    <n v="0"/>
    <n v="31116021.569999993"/>
    <n v="0"/>
    <n v="0"/>
    <n v="0"/>
    <n v="0"/>
    <m/>
  </r>
  <r>
    <s v="Омская"/>
    <s v="HSR Siberia"/>
    <x v="4"/>
    <s v="ASM SIB Krasnoyarsk+Abakan+Tuva+Kuzbass+Norilsk"/>
    <x v="18"/>
    <x v="65"/>
    <m/>
    <s v="ТД Шкуренко ООО"/>
    <n v="1"/>
    <m/>
    <m/>
    <n v="0"/>
    <n v="14587671.609999998"/>
    <n v="84991549.110000074"/>
    <n v="61231694.460000016"/>
    <n v="0"/>
    <n v="0"/>
    <n v="0"/>
    <n v="0"/>
    <m/>
  </r>
  <r>
    <s v="Томская"/>
    <s v="HSR Siberia"/>
    <x v="4"/>
    <s v="RADM Siberia"/>
    <x v="17"/>
    <x v="64"/>
    <m/>
    <s v="ТД Шкуренко ООО (Томск)"/>
    <n v="1"/>
    <m/>
    <m/>
    <n v="0"/>
    <n v="0"/>
    <n v="87333646.37999998"/>
    <n v="0"/>
    <n v="0"/>
    <n v="87333646.37999998"/>
    <n v="0"/>
    <n v="0"/>
    <m/>
  </r>
  <r>
    <s v="Томская"/>
    <s v="HSR Siberia"/>
    <x v="4"/>
    <s v="RADM Siberia"/>
    <x v="17"/>
    <x v="64"/>
    <m/>
    <s v="РП Альянс ООО"/>
    <m/>
    <m/>
    <m/>
    <n v="0"/>
    <n v="0"/>
    <n v="855691.44000000006"/>
    <n v="0"/>
    <n v="0"/>
    <n v="855691.44000000006"/>
    <n v="0"/>
    <n v="0"/>
    <m/>
  </r>
  <r>
    <s v="Томская"/>
    <s v="HSR Siberia"/>
    <x v="4"/>
    <s v="ASM SIB Krasnoyarsk+Abakan+Tuva+Kuzbass+Norilsk"/>
    <x v="18"/>
    <x v="62"/>
    <m/>
    <s v="РП Альянс ООО"/>
    <m/>
    <m/>
    <m/>
    <n v="0"/>
    <n v="0"/>
    <n v="0"/>
    <n v="508431.55999999994"/>
    <n v="0"/>
    <n v="0"/>
    <n v="0"/>
    <n v="0"/>
    <m/>
  </r>
  <r>
    <s v="Томская"/>
    <s v="HSR Siberia"/>
    <x v="4"/>
    <s v="ASM SIB Krasnoyarsk+Abakan+Tuva+Kuzbass+Norilsk"/>
    <x v="18"/>
    <x v="65"/>
    <m/>
    <s v="ТД Шкуренко ООО (Томск)"/>
    <n v="1"/>
    <m/>
    <m/>
    <n v="0"/>
    <n v="6077749.5899999999"/>
    <n v="982012.08"/>
    <n v="47188551.959999993"/>
    <n v="0"/>
    <n v="0"/>
    <n v="0"/>
    <n v="0"/>
    <m/>
  </r>
  <r>
    <s v="Томская"/>
    <s v="HSR Siberia"/>
    <x v="4"/>
    <s v="ASM SIB Krasnoyarsk+Abakan+Tuva+Kuzbass+Norilsk"/>
    <x v="18"/>
    <x v="62"/>
    <m/>
    <s v="ТД Шкуренко ООО (Томск)"/>
    <m/>
    <m/>
    <m/>
    <n v="0"/>
    <n v="6196445.6400000006"/>
    <n v="0"/>
    <n v="1588019.9799999997"/>
    <n v="0"/>
    <n v="0"/>
    <n v="0"/>
    <n v="0"/>
    <m/>
  </r>
  <r>
    <s v="Тыва"/>
    <s v="HSR Siberia"/>
    <x v="4"/>
    <s v="ASM SIB Krasnoyarsk+Abakan+Tuva+Kuzbass+Norilsk"/>
    <x v="18"/>
    <x v="61"/>
    <m/>
    <s v="Сервико (Красноярск) ООО"/>
    <m/>
    <m/>
    <m/>
    <n v="0"/>
    <n v="7522983.4700000007"/>
    <n v="98786.069999999992"/>
    <n v="9930056.3099999987"/>
    <n v="0"/>
    <n v="0"/>
    <n v="0"/>
    <n v="0"/>
    <m/>
  </r>
  <r>
    <s v="Хакасия"/>
    <s v="HSR Siberia"/>
    <x v="4"/>
    <s v="ASM SIB Krasnoyarsk+Abakan+Tuva+Kuzbass+Norilsk"/>
    <x v="18"/>
    <x v="61"/>
    <m/>
    <s v="Сервико (Красноярск) ООО"/>
    <n v="1"/>
    <m/>
    <m/>
    <n v="0"/>
    <n v="31451267.149999999"/>
    <n v="1880603.23"/>
    <n v="94654020.920000017"/>
    <n v="0"/>
    <n v="0"/>
    <n v="0"/>
    <n v="0"/>
    <m/>
  </r>
  <r>
    <s v="Иркутская"/>
    <s v="HSR Siberia"/>
    <x v="4"/>
    <s v="RADM Siberia"/>
    <x v="17"/>
    <x v="60"/>
    <m/>
    <s v="Проект-Инвест ООО"/>
    <m/>
    <m/>
    <m/>
    <n v="34087387.920000017"/>
    <n v="0"/>
    <n v="0"/>
    <n v="0"/>
    <n v="0"/>
    <n v="0"/>
    <n v="0"/>
    <n v="0"/>
    <m/>
  </r>
  <r>
    <s v="Иркутская"/>
    <s v="HSR Siberia"/>
    <x v="4"/>
    <s v="RADM Siberia"/>
    <x v="17"/>
    <x v="60"/>
    <m/>
    <s v="Проект-Инвест ООО"/>
    <m/>
    <m/>
    <m/>
    <n v="100115674.67999995"/>
    <n v="0"/>
    <n v="0"/>
    <n v="0"/>
    <n v="0"/>
    <n v="0"/>
    <n v="0"/>
    <n v="0"/>
    <m/>
  </r>
  <r>
    <s v="Чеченская"/>
    <s v="HSR SOUTH"/>
    <x v="1"/>
    <s v="ASM SOU Krasnodar"/>
    <x v="19"/>
    <x v="66"/>
    <m/>
    <s v="Малаев Ш. А. ИП"/>
    <n v="1"/>
    <m/>
    <s v="TR"/>
    <n v="0"/>
    <n v="0"/>
    <n v="0"/>
    <n v="227263261.77000019"/>
    <n v="1176382.5"/>
    <n v="0"/>
    <n v="0"/>
    <n v="0"/>
    <m/>
  </r>
  <r>
    <s v="Ингушетия"/>
    <s v="HSR SOUTH"/>
    <x v="1"/>
    <s v="ASM SOU Krasnodar"/>
    <x v="19"/>
    <x v="66"/>
    <m/>
    <s v="Малаев Ш. А. ИП"/>
    <m/>
    <m/>
    <s v="TR"/>
    <n v="0"/>
    <n v="0"/>
    <n v="0"/>
    <n v="16462739.199999999"/>
    <n v="30322114.23"/>
    <n v="0"/>
    <n v="0"/>
    <n v="0"/>
    <m/>
  </r>
  <r>
    <s v="Дагестан"/>
    <s v="HSR SOUTH"/>
    <x v="1"/>
    <s v="ASM SOU Krasnodar"/>
    <x v="19"/>
    <x v="66"/>
    <m/>
    <s v="ТД Майдан ООО"/>
    <n v="1"/>
    <m/>
    <s v="TR"/>
    <n v="0"/>
    <n v="0"/>
    <n v="0"/>
    <n v="169980065.36999968"/>
    <n v="231789435.21883488"/>
    <n v="0"/>
    <n v="0"/>
    <n v="0"/>
    <m/>
  </r>
  <r>
    <s v="Белгородская"/>
    <s v="HSR SOUTH"/>
    <x v="1"/>
    <s v="ASM SOU Voronezh"/>
    <x v="1"/>
    <x v="67"/>
    <m/>
    <s v="Коробов В.Ю. ИП"/>
    <m/>
    <m/>
    <m/>
    <n v="0"/>
    <n v="9630012.4900000021"/>
    <n v="17548196.280000009"/>
    <n v="65743240.020000026"/>
    <n v="0"/>
    <n v="0"/>
    <n v="0"/>
    <n v="0"/>
    <m/>
  </r>
  <r>
    <s v="Брянская"/>
    <s v="HSR SOUTH"/>
    <x v="1"/>
    <s v="ASM SOU Voronezh"/>
    <x v="1"/>
    <x v="67"/>
    <m/>
    <s v="Коробов В.Ю. ИП"/>
    <m/>
    <m/>
    <m/>
    <n v="0"/>
    <n v="4048926.66"/>
    <n v="9623118.0900000036"/>
    <n v="0"/>
    <n v="0"/>
    <n v="0"/>
    <n v="0"/>
    <n v="0"/>
    <m/>
  </r>
  <r>
    <s v="Воронежская"/>
    <s v="HSR SOUTH"/>
    <x v="1"/>
    <s v="ASM SOU Voronezh"/>
    <x v="1"/>
    <x v="67"/>
    <m/>
    <s v="Коробов В.Ю. ИП"/>
    <m/>
    <m/>
    <m/>
    <n v="0"/>
    <n v="5071280.9400000013"/>
    <n v="5044642.3100000024"/>
    <n v="423235.34"/>
    <n v="0"/>
    <n v="0"/>
    <n v="0"/>
    <n v="0"/>
    <m/>
  </r>
  <r>
    <s v="Калужская"/>
    <s v="HSR SOUTH"/>
    <x v="1"/>
    <s v="ASM SOU Voronezh"/>
    <x v="1"/>
    <x v="67"/>
    <m/>
    <s v="Коробов В.Ю. ИП"/>
    <m/>
    <m/>
    <m/>
    <n v="0"/>
    <n v="0"/>
    <n v="1842842.9100000006"/>
    <n v="0"/>
    <n v="0"/>
    <n v="0"/>
    <n v="0"/>
    <n v="0"/>
    <m/>
  </r>
  <r>
    <s v="Курская"/>
    <s v="HSR SOUTH"/>
    <x v="1"/>
    <s v="ASM SOU Voronezh"/>
    <x v="1"/>
    <x v="67"/>
    <m/>
    <s v="Коробов В.Ю. ИП"/>
    <n v="1"/>
    <n v="1"/>
    <m/>
    <n v="0"/>
    <n v="331967808.94"/>
    <n v="22487563.250000011"/>
    <n v="54774882.81000001"/>
    <n v="0"/>
    <n v="0"/>
    <n v="0"/>
    <n v="0"/>
    <m/>
  </r>
  <r>
    <s v="Липецкая"/>
    <s v="HSR SOUTH"/>
    <x v="1"/>
    <s v="ASM SOU Voronezh"/>
    <x v="1"/>
    <x v="67"/>
    <m/>
    <s v="Коробов В.Ю. ИП"/>
    <m/>
    <m/>
    <m/>
    <n v="0"/>
    <n v="5013011.4000000013"/>
    <n v="8840937.0700000059"/>
    <n v="51865.83"/>
    <n v="0"/>
    <n v="0"/>
    <n v="0"/>
    <n v="0"/>
    <m/>
  </r>
  <r>
    <s v="Орловская"/>
    <s v="HSR SOUTH"/>
    <x v="1"/>
    <s v="ASM SOU Voronezh"/>
    <x v="1"/>
    <x v="67"/>
    <m/>
    <s v="Коробов В.Ю. ИП"/>
    <m/>
    <m/>
    <m/>
    <n v="0"/>
    <n v="10686714.570000002"/>
    <n v="7538965.8100000042"/>
    <n v="0"/>
    <n v="0"/>
    <n v="0"/>
    <n v="0"/>
    <n v="0"/>
    <m/>
  </r>
  <r>
    <s v="Рязанская"/>
    <s v="HSR SOUTH"/>
    <x v="1"/>
    <s v="ASM SOU Voronezh"/>
    <x v="1"/>
    <x v="67"/>
    <m/>
    <s v="Коробов В.Ю. ИП"/>
    <m/>
    <m/>
    <m/>
    <n v="0"/>
    <n v="2385267.1800000006"/>
    <n v="0"/>
    <n v="0"/>
    <n v="0"/>
    <n v="0"/>
    <n v="0"/>
    <n v="0"/>
    <m/>
  </r>
  <r>
    <s v="Смоленская"/>
    <s v="HSR SOUTH"/>
    <x v="1"/>
    <s v="ASM SOU Voronezh"/>
    <x v="1"/>
    <x v="67"/>
    <m/>
    <s v="Коробов В.Ю. ИП"/>
    <m/>
    <m/>
    <m/>
    <n v="0"/>
    <n v="0"/>
    <n v="3476324.0200000023"/>
    <n v="0"/>
    <n v="0"/>
    <n v="0"/>
    <n v="0"/>
    <n v="0"/>
    <m/>
  </r>
  <r>
    <s v="Тамбовская"/>
    <s v="HSR SOUTH"/>
    <x v="1"/>
    <s v="ASM SOU Voronezh"/>
    <x v="1"/>
    <x v="67"/>
    <m/>
    <s v="Коробов В.Ю. ИП"/>
    <m/>
    <m/>
    <m/>
    <n v="0"/>
    <n v="4475652.3499999996"/>
    <n v="2618541.3100000019"/>
    <n v="0"/>
    <n v="0"/>
    <n v="0"/>
    <n v="0"/>
    <n v="0"/>
    <m/>
  </r>
  <r>
    <s v="Тульская"/>
    <s v="HSR SOUTH"/>
    <x v="1"/>
    <s v="ASM SOU Voronezh"/>
    <x v="1"/>
    <x v="67"/>
    <m/>
    <s v="Коробов В.Ю. ИП"/>
    <m/>
    <m/>
    <m/>
    <n v="0"/>
    <n v="0"/>
    <n v="4029235.5400000019"/>
    <n v="0"/>
    <n v="0"/>
    <n v="0"/>
    <n v="0"/>
    <n v="0"/>
    <m/>
  </r>
  <r>
    <s v="Брянская"/>
    <s v="HSR SOUTH"/>
    <x v="1"/>
    <s v="ASM SOU Voronezh"/>
    <x v="1"/>
    <x v="68"/>
    <m/>
    <s v="Коробов В.Ю. ИП"/>
    <m/>
    <m/>
    <m/>
    <n v="0"/>
    <n v="0"/>
    <n v="0"/>
    <n v="58509460.75"/>
    <n v="0"/>
    <n v="0"/>
    <n v="0"/>
    <n v="0"/>
    <m/>
  </r>
  <r>
    <s v="Орловская"/>
    <s v="HSR SOUTH"/>
    <x v="1"/>
    <s v="ASM SOU Voronezh"/>
    <x v="1"/>
    <x v="68"/>
    <m/>
    <s v="Коробов В.Ю. ИП"/>
    <m/>
    <m/>
    <m/>
    <n v="0"/>
    <n v="0"/>
    <n v="0"/>
    <n v="42690834.829999998"/>
    <n v="0"/>
    <n v="0"/>
    <n v="0"/>
    <n v="0"/>
    <m/>
  </r>
  <r>
    <s v="Донецкая Народная"/>
    <s v="HSR SOUTH"/>
    <x v="1"/>
    <s v="ASM SOU Krasnodar"/>
    <x v="19"/>
    <x v="69"/>
    <m/>
    <s v="Дакорт-Юг ООО"/>
    <m/>
    <m/>
    <m/>
    <n v="0"/>
    <n v="0"/>
    <n v="9007988.3699999992"/>
    <n v="0"/>
    <n v="0"/>
    <n v="0"/>
    <n v="0"/>
    <n v="0"/>
    <m/>
  </r>
  <r>
    <s v="Краснодарский"/>
    <s v="HSR SOUTH"/>
    <x v="1"/>
    <s v="ASM SOU Krasnodar"/>
    <x v="19"/>
    <x v="69"/>
    <m/>
    <s v="Дакорт-Юг ООО"/>
    <m/>
    <m/>
    <s v="TR"/>
    <n v="0"/>
    <n v="19610069.489999998"/>
    <n v="0"/>
    <n v="87453026.309999973"/>
    <n v="0"/>
    <n v="0"/>
    <n v="0"/>
    <n v="0"/>
    <m/>
  </r>
  <r>
    <s v="Крым"/>
    <s v="HSR SOUTH"/>
    <x v="1"/>
    <s v="ASM SOU Krasnodar"/>
    <x v="19"/>
    <x v="69"/>
    <m/>
    <s v="Дакорт-Юг ООО"/>
    <n v="1"/>
    <m/>
    <s v="TR"/>
    <n v="0"/>
    <n v="8664932.9100000001"/>
    <n v="0"/>
    <n v="176490389.13000005"/>
    <n v="108346020.1999999"/>
    <n v="0"/>
    <n v="0"/>
    <n v="0"/>
    <m/>
  </r>
  <r>
    <s v="Луганская Народная"/>
    <s v="HSR SOUTH"/>
    <x v="1"/>
    <s v="ASM SOU Krasnodar"/>
    <x v="19"/>
    <x v="69"/>
    <m/>
    <s v="Дакорт-Юг ООО"/>
    <m/>
    <m/>
    <m/>
    <n v="0"/>
    <n v="0"/>
    <n v="862676.57000000007"/>
    <n v="0"/>
    <n v="0"/>
    <n v="0"/>
    <n v="0"/>
    <n v="0"/>
    <m/>
  </r>
  <r>
    <s v="Севастополь"/>
    <s v="HSR SOUTH"/>
    <x v="1"/>
    <s v="ASM SOU Krasnodar"/>
    <x v="19"/>
    <x v="69"/>
    <m/>
    <s v="Дакорт-Юг ООО"/>
    <m/>
    <m/>
    <s v="TR"/>
    <n v="0"/>
    <n v="926090.49"/>
    <n v="1738562.6699999997"/>
    <n v="128342701.22"/>
    <n v="22129635.599999979"/>
    <n v="0"/>
    <n v="0"/>
    <n v="0"/>
    <m/>
  </r>
  <r>
    <s v="Крым"/>
    <s v="HSR SOUTH"/>
    <x v="1"/>
    <s v="ASM SOU Krasnodar"/>
    <x v="19"/>
    <x v="70"/>
    <m/>
    <s v="Дакорт-Юг ООО"/>
    <m/>
    <m/>
    <m/>
    <n v="0"/>
    <n v="140474182.20999998"/>
    <n v="452439335.18000209"/>
    <n v="0"/>
    <n v="0"/>
    <n v="0"/>
    <n v="0"/>
    <n v="0"/>
    <m/>
  </r>
  <r>
    <s v="Севастополь"/>
    <s v="HSR SOUTH"/>
    <x v="1"/>
    <s v="ASM SOU Krasnodar"/>
    <x v="19"/>
    <x v="70"/>
    <m/>
    <s v="Дакорт-Юг ООО"/>
    <m/>
    <m/>
    <m/>
    <n v="0"/>
    <n v="23247288.98"/>
    <n v="133489459.22000003"/>
    <n v="0"/>
    <n v="0"/>
    <n v="0"/>
    <n v="0"/>
    <n v="0"/>
    <m/>
  </r>
  <r>
    <s v="Адыгея"/>
    <s v="HSR SOUTH"/>
    <x v="1"/>
    <s v="ASM SOU Krasnodar"/>
    <x v="19"/>
    <x v="71"/>
    <m/>
    <s v="Дакорт-Юг ООО"/>
    <m/>
    <m/>
    <m/>
    <n v="0"/>
    <n v="44163988.920000002"/>
    <n v="0"/>
    <n v="0"/>
    <n v="0"/>
    <n v="0"/>
    <n v="0"/>
    <n v="0"/>
    <m/>
  </r>
  <r>
    <s v="Донецкая Народная"/>
    <s v="HSR SOUTH"/>
    <x v="1"/>
    <s v="DDM SOU Rostov-On-Don"/>
    <x v="20"/>
    <x v="72"/>
    <m/>
    <s v="Миллениум-Дон ООО"/>
    <m/>
    <m/>
    <m/>
    <n v="0"/>
    <n v="0"/>
    <n v="0"/>
    <n v="1104480.68"/>
    <n v="0"/>
    <n v="0"/>
    <n v="0"/>
    <n v="0"/>
    <m/>
  </r>
  <r>
    <s v="Краснодарский"/>
    <s v="HSR SOUTH"/>
    <x v="1"/>
    <s v="DDM SOU Rostov-On-Don"/>
    <x v="20"/>
    <x v="72"/>
    <m/>
    <s v="Миллениум-Дон ООО"/>
    <m/>
    <m/>
    <m/>
    <n v="0"/>
    <n v="0"/>
    <n v="0"/>
    <n v="24991736.36999999"/>
    <n v="0"/>
    <n v="0"/>
    <n v="0"/>
    <n v="0"/>
    <m/>
  </r>
  <r>
    <s v="Ростовская"/>
    <s v="HSR SOUTH"/>
    <x v="1"/>
    <s v="DDM SOU Rostov-On-Don"/>
    <x v="20"/>
    <x v="72"/>
    <m/>
    <s v="Миллениум-Дон ООО"/>
    <n v="1"/>
    <m/>
    <m/>
    <n v="0"/>
    <n v="109650428.40999998"/>
    <n v="178509407.2299999"/>
    <n v="134460850.65000001"/>
    <n v="0"/>
    <n v="0"/>
    <n v="0"/>
    <n v="0"/>
    <m/>
  </r>
  <r>
    <s v="Калмыкия"/>
    <s v="HSR SOUTH"/>
    <x v="1"/>
    <s v="DDM SOU Rostov-On-Don"/>
    <x v="20"/>
    <x v="72"/>
    <m/>
    <s v="Миллениум-Дон ООО"/>
    <m/>
    <m/>
    <m/>
    <n v="0"/>
    <n v="0"/>
    <n v="0"/>
    <n v="335637.49"/>
    <n v="0"/>
    <n v="0"/>
    <n v="0"/>
    <n v="0"/>
    <m/>
  </r>
  <r>
    <s v="Краснодарский"/>
    <s v="HSR SOUTH"/>
    <x v="1"/>
    <s v="DDM SOU Rostov-On-Don"/>
    <x v="20"/>
    <x v="73"/>
    <m/>
    <s v="Миллениум-Дон ООО"/>
    <m/>
    <m/>
    <s v="TR"/>
    <n v="0"/>
    <n v="0"/>
    <n v="11059.08"/>
    <n v="65360653.509999998"/>
    <n v="889574794.65997851"/>
    <n v="0"/>
    <n v="577762884.74320006"/>
    <n v="0"/>
    <m/>
  </r>
  <r>
    <s v="Абхазия"/>
    <s v="HSR SOUTH"/>
    <x v="1"/>
    <s v="DDM SOU Rostov-On-Don"/>
    <x v="20"/>
    <x v="73"/>
    <m/>
    <s v="Миллениум-Дон ООО"/>
    <m/>
    <m/>
    <m/>
    <n v="0"/>
    <n v="0"/>
    <n v="0"/>
    <n v="4263920.2100000018"/>
    <n v="0"/>
    <n v="0"/>
    <n v="0"/>
    <n v="0"/>
    <m/>
  </r>
  <r>
    <s v="Адыгея"/>
    <s v="HSR SOUTH"/>
    <x v="1"/>
    <s v="TDM SOUTH 1"/>
    <x v="21"/>
    <x v="74"/>
    <m/>
    <m/>
    <m/>
    <m/>
    <s v="TR"/>
    <n v="0"/>
    <n v="0"/>
    <n v="0"/>
    <n v="0"/>
    <n v="59940865.589999959"/>
    <n v="0"/>
    <n v="23887809.095800001"/>
    <n v="2065790674.7799973"/>
    <m/>
  </r>
  <r>
    <s v="Адыгея"/>
    <s v="HSR SOUTH"/>
    <x v="1"/>
    <s v="ASM SOU Krasnodar"/>
    <x v="19"/>
    <x v="66"/>
    <m/>
    <s v="Фуд-Трейд"/>
    <m/>
    <m/>
    <s v="TR"/>
    <n v="0"/>
    <n v="1673944.2999999998"/>
    <n v="5644864.1600000011"/>
    <n v="17962969.829999998"/>
    <n v="279412824.3448205"/>
    <n v="0"/>
    <n v="147977785.23060003"/>
    <n v="0"/>
    <m/>
  </r>
  <r>
    <s v="Астраханская"/>
    <s v="HSR SOUTH"/>
    <x v="1"/>
    <s v="TDM SOUTH 2"/>
    <x v="5"/>
    <x v="75"/>
    <m/>
    <m/>
    <m/>
    <m/>
    <s v="TR"/>
    <n v="0"/>
    <n v="0"/>
    <n v="0"/>
    <n v="0"/>
    <n v="790815852.52475572"/>
    <n v="0"/>
    <n v="544184205.98619974"/>
    <n v="6441328980.5292301"/>
    <m/>
  </r>
  <r>
    <s v="Белгородская"/>
    <s v="HSR SOUTH"/>
    <x v="1"/>
    <s v="TDM SOUTH 2"/>
    <x v="5"/>
    <x v="76"/>
    <m/>
    <m/>
    <m/>
    <m/>
    <s v="TR"/>
    <n v="0"/>
    <n v="0"/>
    <n v="0"/>
    <n v="0"/>
    <n v="506111051.7499826"/>
    <n v="0"/>
    <n v="280737179.26800001"/>
    <n v="8562904904.0596447"/>
    <m/>
  </r>
  <r>
    <s v="Брянская"/>
    <s v="HSR SOUTH"/>
    <x v="1"/>
    <s v="TDM SOUTH 2"/>
    <x v="5"/>
    <x v="76"/>
    <m/>
    <m/>
    <m/>
    <m/>
    <s v="TR"/>
    <n v="0"/>
    <n v="0"/>
    <n v="0"/>
    <n v="0"/>
    <n v="363427541.97998726"/>
    <n v="0"/>
    <n v="221090062.43870005"/>
    <n v="0"/>
    <m/>
  </r>
  <r>
    <s v="Волгоградская"/>
    <s v="HSR SOUTH"/>
    <x v="1"/>
    <s v="TDM SOUTH 2"/>
    <x v="5"/>
    <x v="75"/>
    <m/>
    <m/>
    <m/>
    <m/>
    <s v="TR"/>
    <n v="0"/>
    <n v="0"/>
    <n v="0"/>
    <n v="0"/>
    <n v="1704417290.2950521"/>
    <n v="0"/>
    <n v="1131603727.040801"/>
    <n v="0"/>
    <m/>
  </r>
  <r>
    <s v="Воронежская"/>
    <s v="HSR SOUTH"/>
    <x v="1"/>
    <s v="TDM SOUTH 2"/>
    <x v="5"/>
    <x v="76"/>
    <m/>
    <m/>
    <m/>
    <m/>
    <s v="TR"/>
    <n v="0"/>
    <n v="0"/>
    <n v="0"/>
    <n v="0"/>
    <n v="794455738.63996136"/>
    <n v="0"/>
    <n v="573647981.04380012"/>
    <n v="0"/>
    <m/>
  </r>
  <r>
    <s v="Кабардино-Балкарская"/>
    <s v="HSR SOUTH"/>
    <x v="1"/>
    <s v="TDM SOUTH 1"/>
    <x v="21"/>
    <x v="77"/>
    <m/>
    <m/>
    <m/>
    <m/>
    <s v="TR"/>
    <n v="0"/>
    <n v="0"/>
    <n v="0"/>
    <n v="0"/>
    <n v="256667592.99931648"/>
    <n v="0"/>
    <n v="136655603.58450004"/>
    <n v="0"/>
    <m/>
  </r>
  <r>
    <s v="Калмыкия"/>
    <s v="HSR SOUTH"/>
    <x v="1"/>
    <s v="TDM SOUTH 2"/>
    <x v="5"/>
    <x v="75"/>
    <m/>
    <m/>
    <m/>
    <m/>
    <s v="TR"/>
    <n v="0"/>
    <n v="0"/>
    <n v="0"/>
    <n v="0"/>
    <n v="92954906.814622194"/>
    <n v="0"/>
    <n v="51890148.134499997"/>
    <n v="0"/>
    <m/>
  </r>
  <r>
    <s v="Карачаево-Черкесская"/>
    <s v="HSR SOUTH"/>
    <x v="1"/>
    <s v="TDM SOUTH 1"/>
    <x v="21"/>
    <x v="77"/>
    <m/>
    <m/>
    <m/>
    <m/>
    <s v="TR"/>
    <n v="0"/>
    <n v="0"/>
    <n v="0"/>
    <n v="0"/>
    <n v="144770267.3128247"/>
    <n v="0"/>
    <n v="85552599.98739998"/>
    <n v="0"/>
    <m/>
  </r>
  <r>
    <s v="Краснодарский"/>
    <s v="HSR SOUTH"/>
    <x v="1"/>
    <s v="TDM SOUTH 1"/>
    <x v="21"/>
    <x v="74"/>
    <m/>
    <m/>
    <m/>
    <m/>
    <s v="TR"/>
    <n v="0"/>
    <n v="0"/>
    <n v="0"/>
    <n v="0"/>
    <n v="2721243855.1642342"/>
    <n v="0"/>
    <n v="1938906834.9962986"/>
    <n v="0"/>
    <m/>
  </r>
  <r>
    <s v="Краснодарский"/>
    <s v="HSR SOUTH"/>
    <x v="1"/>
    <s v="TDM SOUTH 1"/>
    <x v="21"/>
    <x v="78"/>
    <m/>
    <m/>
    <m/>
    <m/>
    <s v="TR"/>
    <n v="0"/>
    <n v="0"/>
    <n v="0"/>
    <n v="0"/>
    <n v="261404870.19377583"/>
    <n v="0"/>
    <n v="105970379.57999998"/>
    <n v="6441328980.5292301"/>
    <m/>
  </r>
  <r>
    <s v="Курская"/>
    <s v="HSR SOUTH"/>
    <x v="1"/>
    <s v="TDM SOUTH 2"/>
    <x v="5"/>
    <x v="76"/>
    <m/>
    <m/>
    <m/>
    <m/>
    <s v="TR"/>
    <n v="0"/>
    <n v="0"/>
    <n v="0"/>
    <n v="0"/>
    <n v="407168168.51999384"/>
    <n v="0"/>
    <n v="242263446.25079992"/>
    <n v="0"/>
    <m/>
  </r>
  <r>
    <s v="Липецкая"/>
    <s v="HSR SOUTH"/>
    <x v="1"/>
    <s v="TDM SOUTH 2"/>
    <x v="5"/>
    <x v="76"/>
    <m/>
    <m/>
    <m/>
    <m/>
    <s v="TR"/>
    <n v="0"/>
    <n v="0"/>
    <n v="0"/>
    <n v="0"/>
    <n v="482326588.95998514"/>
    <n v="0"/>
    <n v="362534982.53960001"/>
    <n v="0"/>
    <m/>
  </r>
  <r>
    <s v="Орловская"/>
    <s v="HSR SOUTH"/>
    <x v="1"/>
    <s v="TDM SOUTH 2"/>
    <x v="5"/>
    <x v="76"/>
    <m/>
    <m/>
    <m/>
    <m/>
    <s v="TR"/>
    <n v="0"/>
    <n v="0"/>
    <n v="0"/>
    <n v="0"/>
    <n v="274661986.03999752"/>
    <n v="0"/>
    <n v="181023400.17449993"/>
    <n v="0"/>
    <m/>
  </r>
  <r>
    <s v="Пензенская"/>
    <s v="HSR SOUTH"/>
    <x v="1"/>
    <s v="TDM SOUTH 2"/>
    <x v="5"/>
    <x v="79"/>
    <m/>
    <m/>
    <m/>
    <m/>
    <s v="TR"/>
    <n v="0"/>
    <n v="0"/>
    <n v="0"/>
    <n v="0"/>
    <n v="777585366.91837251"/>
    <n v="0"/>
    <n v="381960960.90099984"/>
    <n v="333354165.76000047"/>
    <m/>
  </r>
  <r>
    <s v="Ростовская"/>
    <s v="HSR SOUTH"/>
    <x v="1"/>
    <s v="TDM SOUTH 1"/>
    <x v="21"/>
    <x v="78"/>
    <m/>
    <m/>
    <m/>
    <m/>
    <s v="TR"/>
    <n v="0"/>
    <n v="0"/>
    <n v="0"/>
    <n v="0"/>
    <n v="4631433153.9692402"/>
    <n v="0"/>
    <n v="2969791621.8204007"/>
    <n v="0"/>
    <m/>
  </r>
  <r>
    <s v="Саратовская"/>
    <s v="HSR SOUTH"/>
    <x v="1"/>
    <s v="TDM SOUTH 2"/>
    <x v="5"/>
    <x v="79"/>
    <m/>
    <m/>
    <m/>
    <m/>
    <s v="TR"/>
    <n v="0"/>
    <n v="0"/>
    <n v="0"/>
    <n v="0"/>
    <n v="1690562926.0115399"/>
    <n v="0"/>
    <n v="1050024310.0880005"/>
    <n v="0"/>
    <m/>
  </r>
  <r>
    <s v="Северная Осетия - Алания"/>
    <s v="HSR SOUTH"/>
    <x v="1"/>
    <s v="TDM SOUTH 1"/>
    <x v="21"/>
    <x v="77"/>
    <m/>
    <m/>
    <m/>
    <m/>
    <s v="TR"/>
    <n v="0"/>
    <n v="0"/>
    <n v="0"/>
    <n v="0"/>
    <n v="300363427.39183956"/>
    <n v="0"/>
    <n v="195799301.25860009"/>
    <n v="0"/>
    <m/>
  </r>
  <r>
    <s v="Ставропольский"/>
    <s v="HSR SOUTH"/>
    <x v="1"/>
    <s v="TDM SOUTH 1"/>
    <x v="21"/>
    <x v="77"/>
    <m/>
    <m/>
    <m/>
    <m/>
    <s v="TR"/>
    <n v="0"/>
    <n v="0"/>
    <n v="0"/>
    <n v="0"/>
    <n v="1748815591.954936"/>
    <n v="0"/>
    <n v="1113203080.3724992"/>
    <n v="0"/>
    <m/>
  </r>
  <r>
    <s v="Тамбовская"/>
    <s v="HSR SOUTH"/>
    <x v="1"/>
    <s v="TDM SOUTH 2"/>
    <x v="5"/>
    <x v="76"/>
    <m/>
    <m/>
    <m/>
    <m/>
    <s v="TR"/>
    <n v="0"/>
    <n v="0"/>
    <n v="0"/>
    <n v="0"/>
    <n v="320497709.13999486"/>
    <n v="0"/>
    <n v="193982358.73899996"/>
    <n v="0"/>
    <m/>
  </r>
  <r>
    <s v="Белгородская"/>
    <s v="HSR SOUTH"/>
    <x v="1"/>
    <s v="TDM SOUTH 2"/>
    <x v="5"/>
    <x v="80"/>
    <m/>
    <m/>
    <m/>
    <m/>
    <s v="TR"/>
    <n v="0"/>
    <n v="0"/>
    <n v="0"/>
    <n v="0"/>
    <n v="686433526.75362909"/>
    <n v="0"/>
    <n v="383589624.24380004"/>
    <n v="1264255297.0799983"/>
    <m/>
  </r>
  <r>
    <s v="Брянская"/>
    <s v="HSR SOUTH"/>
    <x v="1"/>
    <s v="TDM SOUTH 2"/>
    <x v="5"/>
    <x v="80"/>
    <m/>
    <m/>
    <m/>
    <m/>
    <s v="TR"/>
    <n v="0"/>
    <n v="0"/>
    <n v="0"/>
    <n v="0"/>
    <n v="588019498.70052648"/>
    <n v="0"/>
    <n v="319467848.86250019"/>
    <n v="0"/>
    <m/>
  </r>
  <r>
    <s v="Воронежская"/>
    <s v="HSR SOUTH"/>
    <x v="1"/>
    <s v="TDM SOUTH 2"/>
    <x v="5"/>
    <x v="80"/>
    <m/>
    <m/>
    <m/>
    <m/>
    <s v="TR"/>
    <n v="0"/>
    <n v="0"/>
    <n v="0"/>
    <n v="0"/>
    <n v="949621290.1921854"/>
    <n v="0"/>
    <n v="577722381.09299958"/>
    <n v="0"/>
    <m/>
  </r>
  <r>
    <s v="Краснодарский"/>
    <s v="HSR SOUTH"/>
    <x v="1"/>
    <s v="TDM SOUTH 2"/>
    <x v="5"/>
    <x v="75"/>
    <m/>
    <m/>
    <m/>
    <m/>
    <s v="TR"/>
    <n v="0"/>
    <n v="0"/>
    <n v="0"/>
    <n v="0"/>
    <n v="1494673.280976"/>
    <n v="0"/>
    <n v="0"/>
    <n v="0"/>
    <m/>
  </r>
  <r>
    <s v="Курская"/>
    <s v="HSR SOUTH"/>
    <x v="1"/>
    <s v="TDM SOUTH 2"/>
    <x v="5"/>
    <x v="80"/>
    <m/>
    <m/>
    <m/>
    <m/>
    <s v="TR"/>
    <n v="0"/>
    <n v="0"/>
    <n v="0"/>
    <n v="0"/>
    <n v="439515234.61708415"/>
    <n v="0"/>
    <n v="244595402.85570005"/>
    <n v="0"/>
    <m/>
  </r>
  <r>
    <s v="Липецкая"/>
    <s v="HSR SOUTH"/>
    <x v="1"/>
    <s v="TDM SOUTH 2"/>
    <x v="5"/>
    <x v="80"/>
    <m/>
    <m/>
    <m/>
    <m/>
    <s v="TR"/>
    <n v="0"/>
    <n v="0"/>
    <n v="0"/>
    <n v="0"/>
    <n v="384967335.97932667"/>
    <n v="0"/>
    <n v="238600337.93050003"/>
    <n v="0"/>
    <m/>
  </r>
  <r>
    <s v="Орловская"/>
    <s v="HSR SOUTH"/>
    <x v="1"/>
    <s v="TDM SOUTH 2"/>
    <x v="5"/>
    <x v="80"/>
    <m/>
    <m/>
    <m/>
    <m/>
    <s v="TR"/>
    <n v="0"/>
    <n v="0"/>
    <n v="0"/>
    <n v="0"/>
    <n v="332584151.66513157"/>
    <n v="0"/>
    <n v="175410934.04640001"/>
    <n v="0"/>
    <m/>
  </r>
  <r>
    <s v="Саратовская"/>
    <s v="HSR SOUTH"/>
    <x v="1"/>
    <s v="TDM SOUTH 2"/>
    <x v="5"/>
    <x v="75"/>
    <m/>
    <m/>
    <m/>
    <m/>
    <s v="TR"/>
    <n v="0"/>
    <n v="0"/>
    <n v="0"/>
    <n v="0"/>
    <n v="347336.67000000004"/>
    <n v="0"/>
    <n v="3357900"/>
    <n v="0"/>
    <m/>
  </r>
  <r>
    <s v="Тамбовская"/>
    <s v="HSR SOUTH"/>
    <x v="1"/>
    <s v="TDM SOUTH 2"/>
    <x v="5"/>
    <x v="79"/>
    <m/>
    <m/>
    <m/>
    <m/>
    <s v="TR"/>
    <n v="0"/>
    <n v="0"/>
    <n v="0"/>
    <n v="0"/>
    <n v="382313707.37538594"/>
    <n v="0"/>
    <n v="191982465.48129994"/>
    <n v="0"/>
    <m/>
  </r>
  <r>
    <s v="Адыгея"/>
    <s v="HSR SOUTH"/>
    <x v="1"/>
    <s v="ASM SOU Krasnodar"/>
    <x v="19"/>
    <x v="71"/>
    <m/>
    <s v="Фуд-Трейд"/>
    <m/>
    <m/>
    <m/>
    <n v="0"/>
    <n v="2328586.79"/>
    <n v="13130.27"/>
    <n v="806469.12999999989"/>
    <n v="0"/>
    <n v="90879464.679999992"/>
    <n v="0"/>
    <n v="0"/>
    <m/>
  </r>
  <r>
    <s v="Белгородская"/>
    <s v="HSR SOUTH"/>
    <x v="1"/>
    <s v="ASM SOU Voronezh"/>
    <x v="1"/>
    <x v="67"/>
    <m/>
    <s v="Фуд-Трейд"/>
    <m/>
    <m/>
    <m/>
    <n v="0"/>
    <n v="13742490.699999999"/>
    <n v="3022022.7600000002"/>
    <n v="400453.30999999994"/>
    <n v="0"/>
    <n v="42349125.859999992"/>
    <n v="0"/>
    <n v="0"/>
    <m/>
  </r>
  <r>
    <s v="Белгородская"/>
    <s v="HSR SOUTH"/>
    <x v="1"/>
    <s v="ASM SOU Voronezh"/>
    <x v="1"/>
    <x v="68"/>
    <m/>
    <s v="Фуд-Трейд"/>
    <m/>
    <m/>
    <m/>
    <n v="0"/>
    <n v="0"/>
    <n v="0"/>
    <n v="1361356.9399999995"/>
    <n v="0"/>
    <n v="0"/>
    <n v="0"/>
    <n v="0"/>
    <m/>
  </r>
  <r>
    <s v="Брянская"/>
    <s v="HSR SOUTH"/>
    <x v="1"/>
    <s v="ASM SOU Voronezh"/>
    <x v="1"/>
    <x v="67"/>
    <m/>
    <s v="Фуд-Трейд"/>
    <m/>
    <m/>
    <m/>
    <n v="0"/>
    <n v="8182930.8999999994"/>
    <n v="0"/>
    <n v="0"/>
    <n v="0"/>
    <n v="12460186.710000001"/>
    <n v="0"/>
    <n v="0"/>
    <m/>
  </r>
  <r>
    <s v="Воронежская"/>
    <s v="HSR SOUTH"/>
    <x v="1"/>
    <s v="ASM SOU Voronezh"/>
    <x v="1"/>
    <x v="67"/>
    <m/>
    <s v="Фуд-Трейд"/>
    <n v="1"/>
    <m/>
    <m/>
    <n v="0"/>
    <n v="526862.52"/>
    <n v="0"/>
    <n v="1241115.1800000004"/>
    <n v="0"/>
    <n v="130075043.87999995"/>
    <n v="0"/>
    <n v="0"/>
    <m/>
  </r>
  <r>
    <s v="Воронежская"/>
    <s v="HSR SOUTH"/>
    <x v="1"/>
    <s v="ASM SOU Voronezh"/>
    <x v="1"/>
    <x v="68"/>
    <m/>
    <s v="Фуд-Трейд"/>
    <m/>
    <m/>
    <m/>
    <n v="0"/>
    <n v="8536955.5500000007"/>
    <n v="5757796.0499999989"/>
    <n v="78761623.449999958"/>
    <n v="0"/>
    <n v="0"/>
    <n v="0"/>
    <n v="0"/>
    <m/>
  </r>
  <r>
    <s v="Дагестан"/>
    <s v="HSR SOUTH"/>
    <x v="1"/>
    <s v="ASM SOU Krasnodar"/>
    <x v="19"/>
    <x v="66"/>
    <m/>
    <s v="Фуд-Трейд"/>
    <m/>
    <m/>
    <m/>
    <n v="0"/>
    <n v="0"/>
    <n v="0"/>
    <n v="492352.85000000003"/>
    <n v="0"/>
    <n v="0"/>
    <n v="104971901.41360001"/>
    <n v="0"/>
    <m/>
  </r>
  <r>
    <s v="Донецкая Народная"/>
    <s v="HSR SOUTH"/>
    <x v="1"/>
    <s v="ASM SOU Krasnodar"/>
    <x v="19"/>
    <x v="71"/>
    <m/>
    <s v="Фуд-Трейд"/>
    <m/>
    <m/>
    <m/>
    <n v="0"/>
    <n v="0"/>
    <n v="0"/>
    <n v="2874266.73"/>
    <n v="0"/>
    <n v="8317598.1300000008"/>
    <n v="0"/>
    <n v="0"/>
    <m/>
  </r>
  <r>
    <s v="Калужская"/>
    <s v="HSR SOUTH"/>
    <x v="1"/>
    <s v="ASM SOU Voronezh"/>
    <x v="1"/>
    <x v="67"/>
    <m/>
    <s v="Фуд-Трейд"/>
    <m/>
    <m/>
    <m/>
    <n v="0"/>
    <n v="0"/>
    <n v="0"/>
    <n v="0"/>
    <n v="0"/>
    <n v="19951807.690000005"/>
    <n v="0"/>
    <n v="0"/>
    <m/>
  </r>
  <r>
    <s v="Краснодарский"/>
    <s v="HSR SOUTH"/>
    <x v="1"/>
    <s v="ASM SOU Krasnodar"/>
    <x v="19"/>
    <x v="69"/>
    <m/>
    <s v="Фуд-Трейд"/>
    <n v="1"/>
    <m/>
    <m/>
    <n v="0"/>
    <n v="0"/>
    <n v="0"/>
    <n v="10295643.300000003"/>
    <n v="0"/>
    <n v="0"/>
    <n v="0"/>
    <n v="0"/>
    <m/>
  </r>
  <r>
    <s v="Краснодарский"/>
    <s v="HSR SOUTH"/>
    <x v="1"/>
    <s v="ASM SOU Krasnodar"/>
    <x v="19"/>
    <x v="71"/>
    <m/>
    <s v="Фуд-Трейд"/>
    <m/>
    <m/>
    <m/>
    <n v="0"/>
    <n v="4270575.3600000003"/>
    <n v="111221156.59"/>
    <n v="637981612.9000001"/>
    <n v="0"/>
    <n v="541872107.94999981"/>
    <n v="0"/>
    <n v="0"/>
    <m/>
  </r>
  <r>
    <s v="Краснодарский"/>
    <s v="HSR SOUTH"/>
    <x v="1"/>
    <s v="DDM SOU Rostov-On-Don"/>
    <x v="20"/>
    <x v="72"/>
    <m/>
    <s v="Фуд-Трейд"/>
    <m/>
    <m/>
    <m/>
    <n v="0"/>
    <n v="8978605.0899999999"/>
    <n v="0"/>
    <n v="1849561.63"/>
    <n v="0"/>
    <n v="8931712.879999999"/>
    <n v="0"/>
    <n v="0"/>
    <m/>
  </r>
  <r>
    <s v="Краснодарский"/>
    <s v="HSR SOUTH"/>
    <x v="1"/>
    <s v="DDM SOU Rostov-On-Don"/>
    <x v="20"/>
    <x v="73"/>
    <m/>
    <s v="Фуд-Трейд"/>
    <m/>
    <m/>
    <m/>
    <n v="0"/>
    <n v="3701884.3000000007"/>
    <n v="1630364.4800000007"/>
    <n v="1121129.4099999999"/>
    <n v="0"/>
    <n v="614114.75"/>
    <n v="0"/>
    <n v="0"/>
    <m/>
  </r>
  <r>
    <s v="Краснодарский"/>
    <s v="HSR SOUTH"/>
    <x v="1"/>
    <s v="ASM SOU Krasnodar"/>
    <x v="19"/>
    <x v="66"/>
    <m/>
    <s v="Фуд-Трейд"/>
    <m/>
    <m/>
    <s v="TR"/>
    <n v="0"/>
    <n v="16025621.889999999"/>
    <n v="9900680.1600000001"/>
    <n v="163356771.46999994"/>
    <n v="1467439433.5898113"/>
    <n v="10774057.129999999"/>
    <n v="663558106.29289997"/>
    <n v="0"/>
    <m/>
  </r>
  <r>
    <s v="Крым"/>
    <s v="HSR SOUTH"/>
    <x v="1"/>
    <s v="ASM SOU Krasnodar"/>
    <x v="19"/>
    <x v="69"/>
    <m/>
    <s v="Фуд-Трейд"/>
    <m/>
    <m/>
    <m/>
    <n v="0"/>
    <n v="0"/>
    <n v="0"/>
    <n v="0"/>
    <n v="0"/>
    <n v="4912918.0000000009"/>
    <n v="162486690.05530003"/>
    <n v="0"/>
    <m/>
  </r>
  <r>
    <s v="Крым"/>
    <s v="HSR SOUTH"/>
    <x v="1"/>
    <s v="ASM SOU Krasnodar"/>
    <x v="19"/>
    <x v="71"/>
    <m/>
    <s v="Фуд-Трейд"/>
    <m/>
    <m/>
    <m/>
    <n v="0"/>
    <n v="0"/>
    <n v="0"/>
    <n v="173787.44"/>
    <n v="0"/>
    <n v="165112851.97999996"/>
    <n v="0"/>
    <n v="0"/>
    <m/>
  </r>
  <r>
    <s v="Курская"/>
    <s v="HSR SOUTH"/>
    <x v="1"/>
    <s v="ASM SOU Voronezh"/>
    <x v="1"/>
    <x v="67"/>
    <m/>
    <s v="Фуд-Трейд"/>
    <m/>
    <m/>
    <m/>
    <n v="0"/>
    <n v="0"/>
    <n v="313148.25"/>
    <n v="0"/>
    <n v="0"/>
    <n v="60282489.349999987"/>
    <n v="0"/>
    <n v="0"/>
    <m/>
  </r>
  <r>
    <s v="Курская"/>
    <s v="HSR SOUTH"/>
    <x v="1"/>
    <s v="ASM SOU Voronezh"/>
    <x v="1"/>
    <x v="68"/>
    <m/>
    <s v="Фуд-Трейд"/>
    <m/>
    <m/>
    <m/>
    <n v="0"/>
    <n v="0"/>
    <n v="0"/>
    <n v="21807.65"/>
    <n v="0"/>
    <n v="0"/>
    <n v="0"/>
    <n v="0"/>
    <m/>
  </r>
  <r>
    <s v="Липецкая"/>
    <s v="HSR SOUTH"/>
    <x v="1"/>
    <s v="ASM SOU Voronezh"/>
    <x v="1"/>
    <x v="67"/>
    <m/>
    <s v="Фуд-Трейд"/>
    <m/>
    <m/>
    <m/>
    <n v="0"/>
    <n v="4388912.41"/>
    <n v="1236435.1200000001"/>
    <n v="2294897.2300000004"/>
    <n v="0"/>
    <n v="103135696.96999998"/>
    <n v="0"/>
    <n v="0"/>
    <m/>
  </r>
  <r>
    <s v="Липецкая"/>
    <s v="HSR SOUTH"/>
    <x v="1"/>
    <s v="ASM SOU Voronezh"/>
    <x v="1"/>
    <x v="68"/>
    <m/>
    <s v="Фуд-Трейд"/>
    <m/>
    <m/>
    <m/>
    <n v="0"/>
    <n v="0"/>
    <n v="0"/>
    <n v="13155875.800000003"/>
    <n v="0"/>
    <n v="0"/>
    <n v="0"/>
    <n v="0"/>
    <m/>
  </r>
  <r>
    <s v="Луганская Народная"/>
    <s v="HSR SOUTH"/>
    <x v="1"/>
    <s v="ASM SOU Krasnodar"/>
    <x v="19"/>
    <x v="71"/>
    <m/>
    <s v="Фуд-Трейд"/>
    <m/>
    <m/>
    <m/>
    <n v="0"/>
    <n v="0"/>
    <n v="0"/>
    <n v="16108388.52"/>
    <n v="0"/>
    <n v="0"/>
    <n v="0"/>
    <n v="0"/>
    <m/>
  </r>
  <r>
    <s v="Москва"/>
    <s v="HSR SOUTH"/>
    <x v="1"/>
    <s v="ASM SOU Voronezh"/>
    <x v="1"/>
    <x v="67"/>
    <m/>
    <s v="Фуд-Трейд"/>
    <m/>
    <m/>
    <m/>
    <n v="0"/>
    <n v="0"/>
    <n v="0"/>
    <n v="0"/>
    <n v="0"/>
    <n v="5977787.8299999991"/>
    <n v="0"/>
    <n v="0"/>
    <m/>
  </r>
  <r>
    <s v="Орловская"/>
    <s v="HSR SOUTH"/>
    <x v="1"/>
    <s v="ASM SOU Voronezh"/>
    <x v="1"/>
    <x v="67"/>
    <m/>
    <s v="Фуд-Трейд"/>
    <m/>
    <m/>
    <m/>
    <n v="0"/>
    <n v="66978.099999999991"/>
    <n v="0"/>
    <n v="0"/>
    <n v="0"/>
    <n v="36875949.079999991"/>
    <n v="0"/>
    <n v="0"/>
    <m/>
  </r>
  <r>
    <s v="Орловская"/>
    <s v="HSR SOUTH"/>
    <x v="1"/>
    <s v="ASM SOU Voronezh"/>
    <x v="1"/>
    <x v="68"/>
    <m/>
    <s v="Фуд-Трейд"/>
    <m/>
    <m/>
    <m/>
    <n v="0"/>
    <n v="0"/>
    <n v="0"/>
    <n v="965432.04999999993"/>
    <n v="0"/>
    <n v="0"/>
    <n v="0"/>
    <n v="0"/>
    <m/>
  </r>
  <r>
    <s v="Ростовская"/>
    <s v="HSR SOUTH"/>
    <x v="1"/>
    <s v="ASM SOU Krasnodar"/>
    <x v="19"/>
    <x v="71"/>
    <m/>
    <s v="Фуд-Трейд"/>
    <m/>
    <m/>
    <m/>
    <n v="0"/>
    <n v="0"/>
    <n v="0"/>
    <n v="0"/>
    <n v="0"/>
    <n v="154349675.96999997"/>
    <n v="0"/>
    <n v="0"/>
    <m/>
  </r>
  <r>
    <s v="Ростовская"/>
    <s v="HSR SOUTH"/>
    <x v="1"/>
    <s v="ASM SOU Voronezh"/>
    <x v="1"/>
    <x v="81"/>
    <m/>
    <s v="Фуд-Трейд"/>
    <m/>
    <m/>
    <m/>
    <n v="0"/>
    <n v="0"/>
    <n v="0"/>
    <n v="0"/>
    <n v="0"/>
    <n v="97457606.640000045"/>
    <n v="0"/>
    <n v="0"/>
    <m/>
  </r>
  <r>
    <s v="Ростовская"/>
    <s v="HSR SOUTH"/>
    <x v="1"/>
    <s v="DDM SOU Rostov-On-Don"/>
    <x v="20"/>
    <x v="72"/>
    <m/>
    <s v="Фуд-Трейд"/>
    <m/>
    <m/>
    <m/>
    <n v="0"/>
    <n v="647650.96"/>
    <n v="0"/>
    <n v="2343202.3099999996"/>
    <n v="0"/>
    <n v="96576744.649999991"/>
    <n v="0"/>
    <n v="0"/>
    <m/>
  </r>
  <r>
    <s v="Рязанская"/>
    <s v="HSR Moscow"/>
    <x v="1"/>
    <s v="DDM MOS Sladkaay Zhizn"/>
    <x v="1"/>
    <x v="0"/>
    <s v="TSL MOS N.Novgorod"/>
    <s v="Фуд-Трейд"/>
    <m/>
    <m/>
    <m/>
    <n v="0"/>
    <n v="0"/>
    <n v="0"/>
    <n v="0"/>
    <n v="0"/>
    <n v="66260277.179999992"/>
    <n v="0"/>
    <n v="0"/>
    <m/>
  </r>
  <r>
    <s v="Севастополь"/>
    <s v="HSR SOUTH"/>
    <x v="1"/>
    <s v="ASM SOU Krasnodar"/>
    <x v="19"/>
    <x v="69"/>
    <m/>
    <s v="Фуд-Трейд"/>
    <m/>
    <m/>
    <m/>
    <n v="0"/>
    <n v="0"/>
    <n v="0"/>
    <n v="0"/>
    <n v="0"/>
    <n v="614114.75000000012"/>
    <n v="0"/>
    <n v="0"/>
    <m/>
  </r>
  <r>
    <s v="Тамбовская"/>
    <s v="HSR SOUTH"/>
    <x v="1"/>
    <s v="ASM SOU Voronezh"/>
    <x v="1"/>
    <x v="67"/>
    <m/>
    <s v="Фуд-Трейд"/>
    <m/>
    <m/>
    <m/>
    <n v="0"/>
    <n v="3728265.5199999996"/>
    <n v="690778.12"/>
    <n v="14242540.309999997"/>
    <n v="0"/>
    <n v="42349125.859999992"/>
    <n v="0"/>
    <n v="0"/>
    <m/>
  </r>
  <r>
    <s v="Тамбовская"/>
    <s v="HSR SOUTH"/>
    <x v="1"/>
    <s v="ASM SOU Voronezh"/>
    <x v="1"/>
    <x v="68"/>
    <m/>
    <s v="Фуд-Трейд"/>
    <m/>
    <m/>
    <m/>
    <n v="0"/>
    <n v="0"/>
    <n v="0"/>
    <n v="20217879.569999993"/>
    <n v="0"/>
    <n v="0"/>
    <n v="0"/>
    <n v="0"/>
    <m/>
  </r>
  <r>
    <s v="Тамбовская"/>
    <s v="HSR SOUTH"/>
    <x v="1"/>
    <s v="ASM SOU Voronezh"/>
    <x v="1"/>
    <x v="81"/>
    <m/>
    <s v="Фуд-Трейд"/>
    <m/>
    <m/>
    <m/>
    <n v="0"/>
    <n v="0"/>
    <n v="915017.40000000014"/>
    <n v="0"/>
    <n v="0"/>
    <n v="0"/>
    <n v="0"/>
    <n v="0"/>
    <m/>
  </r>
  <r>
    <s v="Тульская"/>
    <s v="HSR Moscow"/>
    <x v="1"/>
    <s v="DDM MOS Sladkaay Zhizn"/>
    <x v="1"/>
    <x v="4"/>
    <s v="TSL MOS  Moscow 1 Sladkaya Zhizn"/>
    <s v="Фуд-Трейд"/>
    <m/>
    <m/>
    <m/>
    <n v="0"/>
    <n v="0"/>
    <n v="0"/>
    <n v="0"/>
    <n v="0"/>
    <n v="84690420.809999987"/>
    <n v="0"/>
    <n v="0"/>
    <m/>
  </r>
  <r>
    <s v="Чеченская"/>
    <s v="HSR SOUTH"/>
    <x v="1"/>
    <s v="ASM SOU Krasnodar"/>
    <x v="19"/>
    <x v="66"/>
    <m/>
    <s v="Фуд-Трейд"/>
    <m/>
    <m/>
    <m/>
    <n v="0"/>
    <n v="0"/>
    <n v="0"/>
    <n v="7100323.7600000007"/>
    <n v="0"/>
    <n v="0"/>
    <n v="0"/>
    <n v="0"/>
    <m/>
  </r>
  <r>
    <s v="Саратовская"/>
    <s v="HSR SOUTH"/>
    <x v="1"/>
    <s v="ASM SOU Voronezh"/>
    <x v="1"/>
    <x v="81"/>
    <m/>
    <s v="Фуд-Трейд"/>
    <n v="1"/>
    <m/>
    <m/>
    <n v="0"/>
    <n v="5206415.1100000003"/>
    <n v="19855977.530000001"/>
    <n v="55258671.310000002"/>
    <n v="0"/>
    <n v="88824023.780000031"/>
    <n v="0"/>
    <n v="0"/>
    <m/>
  </r>
  <r>
    <s v="Московская"/>
    <s v="HSR SOUTH"/>
    <x v="1"/>
    <s v="ASM SOU Voronezh"/>
    <x v="1"/>
    <x v="67"/>
    <m/>
    <s v="Фуд-Трейд"/>
    <m/>
    <m/>
    <m/>
    <n v="0"/>
    <n v="0"/>
    <n v="0"/>
    <n v="0"/>
    <n v="0"/>
    <n v="181352079.10000005"/>
    <n v="0"/>
    <n v="0"/>
    <m/>
  </r>
  <r>
    <s v="Пензенская"/>
    <s v="HSR SOUTH"/>
    <x v="1"/>
    <s v="ASM SOU Krasnodar"/>
    <x v="19"/>
    <x v="71"/>
    <m/>
    <s v="Фуд-Трейд"/>
    <n v="1"/>
    <m/>
    <m/>
    <n v="0"/>
    <n v="0"/>
    <n v="0"/>
    <n v="11634677.039999999"/>
    <n v="0"/>
    <n v="0"/>
    <n v="0"/>
    <n v="0"/>
    <m/>
  </r>
  <r>
    <s v="Пензенская"/>
    <s v="HSR SOUTH"/>
    <x v="1"/>
    <s v="ASM SOU Voronezh"/>
    <x v="1"/>
    <x v="81"/>
    <m/>
    <s v="Фуд-Трейд"/>
    <m/>
    <m/>
    <m/>
    <n v="0"/>
    <n v="1620898.13"/>
    <n v="124765002.74000025"/>
    <n v="230945526.10000005"/>
    <n v="0"/>
    <n v="1009222.0999999999"/>
    <n v="1117306.8829000001"/>
    <n v="0"/>
    <m/>
  </r>
  <r>
    <s v="Ульяновская"/>
    <s v="HSR SOUTH"/>
    <x v="1"/>
    <s v="ASM SOU Voronezh"/>
    <x v="1"/>
    <x v="81"/>
    <m/>
    <s v="Фуд-Трейд"/>
    <m/>
    <m/>
    <m/>
    <n v="0"/>
    <n v="0"/>
    <n v="11906702.150000004"/>
    <n v="0"/>
    <n v="0"/>
    <n v="0"/>
    <n v="0"/>
    <n v="0"/>
    <m/>
  </r>
  <r>
    <s v="Мордовия"/>
    <s v="HSR SOUTH"/>
    <x v="1"/>
    <s v="ASM SOU Voronezh"/>
    <x v="1"/>
    <x v="81"/>
    <m/>
    <s v="Фуд-Трейд"/>
    <m/>
    <m/>
    <m/>
    <n v="0"/>
    <n v="0"/>
    <n v="6405121.8000000017"/>
    <n v="0"/>
    <n v="0"/>
    <n v="0"/>
    <n v="0"/>
    <n v="0"/>
    <m/>
  </r>
  <r>
    <s v="Самарская"/>
    <s v="HSR SOUTH"/>
    <x v="1"/>
    <s v="ASM SOU Voronezh"/>
    <x v="1"/>
    <x v="81"/>
    <m/>
    <s v="Фуд-Трейд"/>
    <m/>
    <m/>
    <m/>
    <n v="0"/>
    <n v="0"/>
    <n v="12810243.600000003"/>
    <n v="0"/>
    <n v="0"/>
    <n v="0"/>
    <n v="0"/>
    <n v="0"/>
    <m/>
  </r>
  <r>
    <s v="Кабардино-Балкарская"/>
    <s v="HSR SOUTH"/>
    <x v="1"/>
    <s v="DDM SOU Rostov-On-Don"/>
    <x v="20"/>
    <x v="82"/>
    <m/>
    <s v="Фуд-Трейд"/>
    <m/>
    <m/>
    <m/>
    <n v="0"/>
    <n v="0"/>
    <n v="0"/>
    <n v="24907468.829999991"/>
    <n v="0"/>
    <n v="0"/>
    <n v="0"/>
    <n v="0"/>
    <m/>
  </r>
  <r>
    <s v="Северная Осетия - Алания"/>
    <s v="HSR SOUTH"/>
    <x v="1"/>
    <s v="DDM SOU Rostov-On-Don"/>
    <x v="20"/>
    <x v="82"/>
    <m/>
    <s v="Фуд-Трейд"/>
    <m/>
    <m/>
    <m/>
    <n v="0"/>
    <n v="0"/>
    <n v="0"/>
    <n v="30155136.449999988"/>
    <n v="0"/>
    <n v="0"/>
    <n v="0"/>
    <n v="0"/>
    <m/>
  </r>
  <r>
    <s v="Ставропольский"/>
    <s v="HSR SOUTH"/>
    <x v="1"/>
    <s v="ASM SOU Krasnodar"/>
    <x v="19"/>
    <x v="71"/>
    <m/>
    <s v="Фуд-Трейд"/>
    <n v="1"/>
    <m/>
    <m/>
    <n v="0"/>
    <n v="0"/>
    <n v="0"/>
    <n v="0"/>
    <n v="0"/>
    <n v="89037120.429999992"/>
    <n v="0"/>
    <n v="0"/>
    <m/>
  </r>
  <r>
    <s v="Ставропольский"/>
    <s v="HSR SOUTH"/>
    <x v="1"/>
    <s v="DDM SOU Rostov-On-Don"/>
    <x v="20"/>
    <x v="82"/>
    <m/>
    <s v="Фуд-Трейд"/>
    <m/>
    <m/>
    <m/>
    <n v="0"/>
    <n v="10314526.239999991"/>
    <n v="24605835.830000002"/>
    <n v="109960896.36000003"/>
    <n v="0"/>
    <n v="3684688.5000000005"/>
    <n v="0"/>
    <n v="0"/>
    <m/>
  </r>
  <r>
    <s v="Карачаево-Черкесская"/>
    <s v="HSR SOUTH"/>
    <x v="1"/>
    <s v="DDM SOU Rostov-On-Don"/>
    <x v="20"/>
    <x v="82"/>
    <m/>
    <s v="Фуд-Трейд"/>
    <m/>
    <m/>
    <m/>
    <n v="0"/>
    <n v="0"/>
    <n v="0"/>
    <n v="14702241.270000007"/>
    <n v="0"/>
    <n v="0"/>
    <n v="0"/>
    <n v="0"/>
    <m/>
  </r>
  <r>
    <s v="Калмыкия"/>
    <s v="HSR SOUTH"/>
    <x v="1"/>
    <s v="ASM SOU Voronezh"/>
    <x v="1"/>
    <x v="81"/>
    <m/>
    <s v="Фуд-Трейд"/>
    <m/>
    <m/>
    <m/>
    <n v="0"/>
    <n v="0"/>
    <n v="237522.24999999997"/>
    <n v="2479073.3599999994"/>
    <n v="0"/>
    <n v="0"/>
    <n v="0"/>
    <n v="0"/>
    <m/>
  </r>
  <r>
    <s v="Владимирская"/>
    <s v="HSR Moscow"/>
    <x v="0"/>
    <s v="DDM MOS Sladkaay Zhizn"/>
    <x v="0"/>
    <x v="0"/>
    <m/>
    <s v="Фуд-Трейд"/>
    <m/>
    <m/>
    <m/>
    <n v="0"/>
    <n v="0"/>
    <n v="0"/>
    <n v="0"/>
    <n v="0"/>
    <n v="1513833.15"/>
    <n v="0"/>
    <n v="0"/>
    <m/>
  </r>
  <r>
    <s v="Волгоградская"/>
    <s v="HSR SOUTH"/>
    <x v="1"/>
    <s v="ASM SOU Voronezh"/>
    <x v="1"/>
    <x v="81"/>
    <m/>
    <s v="Фуд-Трейд"/>
    <n v="1"/>
    <m/>
    <m/>
    <n v="0"/>
    <n v="3727231.7300000004"/>
    <n v="10856478.960000003"/>
    <n v="50522859.790000044"/>
    <n v="0"/>
    <n v="242485214.68999997"/>
    <n v="0"/>
    <n v="0"/>
    <m/>
  </r>
  <r>
    <s v="Астраханская"/>
    <s v="HSR SOUTH"/>
    <x v="1"/>
    <s v="ASM SOU Voronezh"/>
    <x v="1"/>
    <x v="81"/>
    <m/>
    <s v="Фуд-Трейд"/>
    <m/>
    <m/>
    <m/>
    <n v="0"/>
    <n v="1669261.73"/>
    <n v="1934370.9699999997"/>
    <n v="41914160.969999999"/>
    <n v="0"/>
    <n v="10828622.960000001"/>
    <n v="2678030.1171000004"/>
    <n v="0"/>
    <m/>
  </r>
  <r>
    <s v="Херсонская"/>
    <s v="HSR SOUTH"/>
    <x v="1"/>
    <s v="ASM SOU Krasnodar"/>
    <x v="19"/>
    <x v="71"/>
    <m/>
    <s v="Фуд-Трейд"/>
    <m/>
    <m/>
    <m/>
    <n v="0"/>
    <n v="0"/>
    <n v="0"/>
    <n v="899894.52"/>
    <n v="0"/>
    <n v="7703483.3799999999"/>
    <n v="0"/>
    <n v="0"/>
    <m/>
  </r>
  <r>
    <s v="Запорожская"/>
    <s v="HSR SOUTH"/>
    <x v="1"/>
    <s v="ASM SOU Krasnodar"/>
    <x v="19"/>
    <x v="71"/>
    <m/>
    <s v="Фуд-Трейд"/>
    <m/>
    <m/>
    <m/>
    <n v="0"/>
    <n v="0"/>
    <n v="0"/>
    <n v="3774807.22"/>
    <n v="0"/>
    <n v="0"/>
    <n v="0"/>
    <n v="0"/>
    <m/>
  </r>
  <r>
    <s v="Рязанская"/>
    <s v="HSR Moscow"/>
    <x v="1"/>
    <s v="DDM MOS Sladkaay Zhizn"/>
    <x v="1"/>
    <x v="0"/>
    <s v="TSL MOS N.Novgorod"/>
    <s v="Фуд-Трейд"/>
    <m/>
    <m/>
    <m/>
    <n v="0"/>
    <n v="0"/>
    <n v="0"/>
    <n v="0"/>
    <n v="0"/>
    <n v="1761030.0499999998"/>
    <n v="0"/>
    <n v="0"/>
    <m/>
  </r>
  <r>
    <s v="Тульская"/>
    <s v="HSR Moscow"/>
    <x v="1"/>
    <s v="DDM MOS Sladkaay Zhizn"/>
    <x v="1"/>
    <x v="83"/>
    <s v="TSE MOS Grocery+SPT Kaluga"/>
    <s v="Фуд-Трейд"/>
    <m/>
    <m/>
    <m/>
    <n v="0"/>
    <n v="0"/>
    <n v="0"/>
    <n v="0"/>
    <n v="0"/>
    <n v="1871080"/>
    <n v="0"/>
    <n v="0"/>
    <m/>
  </r>
  <r>
    <s v="Калужская"/>
    <s v="HSR Moscow"/>
    <x v="1"/>
    <s v="ASM MOS Food Trade+Sorso"/>
    <x v="1"/>
    <x v="1"/>
    <m/>
    <s v="Фуд-Трейд"/>
    <m/>
    <m/>
    <m/>
    <n v="0"/>
    <n v="0"/>
    <n v="0"/>
    <n v="0"/>
    <n v="0"/>
    <n v="1402526.35"/>
    <n v="0"/>
    <n v="0"/>
    <m/>
  </r>
  <r>
    <s v="Архангельская область"/>
    <s v="HSR NOR"/>
    <x v="0"/>
    <s v="ASM NOR Vector Dendi"/>
    <x v="22"/>
    <x v="84"/>
    <m/>
    <s v="Роздухов М.Е. ИП"/>
    <m/>
    <m/>
    <m/>
    <n v="98053376.850000009"/>
    <n v="6208890.4699999997"/>
    <n v="0"/>
    <n v="124811072.15000001"/>
    <n v="0"/>
    <n v="0"/>
    <n v="1119300"/>
    <n v="0"/>
    <m/>
  </r>
  <r>
    <s v="Архангельская область"/>
    <s v="HSR NOR"/>
    <x v="0"/>
    <s v="DDM NOR Grocery+SPT Spb Nov Pskov"/>
    <x v="23"/>
    <x v="85"/>
    <m/>
    <s v="Денди ЗАО"/>
    <m/>
    <m/>
    <m/>
    <n v="0"/>
    <n v="0"/>
    <n v="323974269.37999994"/>
    <n v="163844.40999999997"/>
    <n v="0"/>
    <n v="0"/>
    <n v="0"/>
    <n v="0"/>
    <m/>
  </r>
  <r>
    <s v="Смоленская область"/>
    <s v="HSR NOR"/>
    <x v="0"/>
    <s v="ASM NOR Vector Dendi"/>
    <x v="22"/>
    <x v="86"/>
    <m/>
    <s v="Вектор ООО"/>
    <m/>
    <m/>
    <m/>
    <n v="0"/>
    <n v="0"/>
    <n v="0"/>
    <n v="29118.399999999994"/>
    <n v="0"/>
    <n v="0"/>
    <n v="0"/>
    <n v="0"/>
    <m/>
  </r>
  <r>
    <s v="Ивановская область"/>
    <s v="HSR NOR"/>
    <x v="0"/>
    <s v="ASM NOR Vector Dendi"/>
    <x v="22"/>
    <x v="86"/>
    <m/>
    <s v="Вектор ООО"/>
    <m/>
    <m/>
    <m/>
    <n v="0"/>
    <n v="0"/>
    <n v="0"/>
    <n v="1899221.75"/>
    <n v="0"/>
    <n v="0"/>
    <n v="0"/>
    <n v="0"/>
    <m/>
  </r>
  <r>
    <s v="Вологодская область"/>
    <s v="HSR NOR"/>
    <x v="0"/>
    <s v="ASM NOR Vector Dendi"/>
    <x v="22"/>
    <x v="86"/>
    <m/>
    <s v="Вектор ООО"/>
    <m/>
    <m/>
    <m/>
    <n v="0"/>
    <n v="0"/>
    <n v="0"/>
    <n v="152530.80999999997"/>
    <n v="0"/>
    <n v="0"/>
    <n v="0"/>
    <n v="0"/>
    <m/>
  </r>
  <r>
    <s v="Вологодская область"/>
    <s v="HSR NOR"/>
    <x v="0"/>
    <s v="ASM NOR Vector Dendi"/>
    <x v="22"/>
    <x v="84"/>
    <m/>
    <s v="Роздухов М.Е. ИП"/>
    <n v="1"/>
    <n v="1"/>
    <m/>
    <n v="248808684.2100001"/>
    <n v="1833537.3800000001"/>
    <n v="0"/>
    <n v="270601609.64999998"/>
    <n v="0"/>
    <n v="0"/>
    <n v="0"/>
    <n v="0"/>
    <m/>
  </r>
  <r>
    <s v="Ивановская область"/>
    <s v="HSR NOR"/>
    <x v="0"/>
    <s v="ASM NOR Vector Dendi"/>
    <x v="22"/>
    <x v="87"/>
    <m/>
    <s v="Вектор ООО"/>
    <n v="1"/>
    <m/>
    <m/>
    <n v="0"/>
    <n v="14108514.950000038"/>
    <n v="26769822.289999992"/>
    <n v="19226500.279999997"/>
    <n v="0"/>
    <n v="0"/>
    <n v="0"/>
    <n v="0"/>
    <m/>
  </r>
  <r>
    <s v="Калининградская область"/>
    <s v="HSR NOR"/>
    <x v="0"/>
    <s v="DDM NOR Grocery+SPT Spb Nov Pskov"/>
    <x v="23"/>
    <x v="88"/>
    <m/>
    <s v="Кан Опт ООО"/>
    <n v="1"/>
    <m/>
    <m/>
    <n v="455626091.64999998"/>
    <n v="240569215.74000001"/>
    <n v="130862903.00999998"/>
    <n v="352208206.12"/>
    <n v="0"/>
    <n v="0"/>
    <n v="398605680.44700003"/>
    <n v="0"/>
    <m/>
  </r>
  <r>
    <s v="республика Карелия"/>
    <s v="HSR NOR"/>
    <x v="0"/>
    <s v="DDM NOR Grocery+SPT Spb Nov Pskov"/>
    <x v="23"/>
    <x v="85"/>
    <m/>
    <s v="Денди ЗАО"/>
    <m/>
    <m/>
    <m/>
    <n v="0"/>
    <n v="5204.96"/>
    <n v="0"/>
    <n v="0"/>
    <n v="0"/>
    <n v="0"/>
    <n v="0"/>
    <n v="0"/>
    <m/>
  </r>
  <r>
    <s v="республика Карелия"/>
    <s v="HSR NOR"/>
    <x v="0"/>
    <s v="DDM NOR Grocery+SPT Spb Nov Pskov"/>
    <x v="23"/>
    <x v="89"/>
    <m/>
    <s v="Денди ЗАО"/>
    <m/>
    <m/>
    <m/>
    <n v="0"/>
    <n v="3642683.0799999996"/>
    <n v="33326363.230000008"/>
    <n v="43984312.290000007"/>
    <n v="0"/>
    <n v="0"/>
    <n v="0"/>
    <n v="0"/>
    <m/>
  </r>
  <r>
    <s v="Республика Коми"/>
    <s v="HSR NOR"/>
    <x v="0"/>
    <s v="ASM NOR Vector Dendi"/>
    <x v="22"/>
    <x v="84"/>
    <m/>
    <s v="Киселенко А.А. ИП"/>
    <n v="1"/>
    <m/>
    <m/>
    <n v="0"/>
    <n v="497928.87999999995"/>
    <n v="0"/>
    <n v="56459824.24000001"/>
    <n v="0"/>
    <n v="0"/>
    <n v="0"/>
    <n v="0"/>
    <m/>
  </r>
  <r>
    <s v="Костромская область"/>
    <s v="HSR NOR"/>
    <x v="0"/>
    <s v="ASM NOR Vector Dendi"/>
    <x v="22"/>
    <x v="86"/>
    <m/>
    <s v="Вектор ООО"/>
    <m/>
    <m/>
    <m/>
    <n v="0"/>
    <n v="0"/>
    <n v="132750834.23999995"/>
    <n v="0"/>
    <n v="0"/>
    <n v="0"/>
    <n v="0"/>
    <n v="0"/>
    <m/>
  </r>
  <r>
    <s v="Костромская область"/>
    <s v="HSR NOR"/>
    <x v="0"/>
    <s v="ASM NOR Vector Dendi"/>
    <x v="22"/>
    <x v="87"/>
    <m/>
    <s v="Вектор ООО"/>
    <m/>
    <m/>
    <m/>
    <n v="0"/>
    <n v="217936.43"/>
    <n v="199150953.43999991"/>
    <n v="25826029.060000006"/>
    <n v="0"/>
    <n v="0"/>
    <n v="0"/>
    <n v="0"/>
    <m/>
  </r>
  <r>
    <s v="Ленинградская область"/>
    <s v="HSR NOR"/>
    <x v="0"/>
    <s v="DDM NOR Grocery+SPT Spb Nov Pskov"/>
    <x v="23"/>
    <x v="85"/>
    <m/>
    <s v="Денди ЗАО"/>
    <m/>
    <m/>
    <m/>
    <n v="0"/>
    <n v="3967429.6400000006"/>
    <n v="0"/>
    <n v="16454309.859999999"/>
    <n v="0"/>
    <n v="0"/>
    <n v="0"/>
    <n v="0"/>
    <m/>
  </r>
  <r>
    <s v="Ленинградская область"/>
    <s v="HSR NOR"/>
    <x v="0"/>
    <s v="DDM NOR Grocery+SPT Spb Nov Pskov"/>
    <x v="23"/>
    <x v="89"/>
    <m/>
    <s v="Денди ЗАО"/>
    <m/>
    <m/>
    <m/>
    <n v="0"/>
    <n v="14267249.269999998"/>
    <n v="577223.67999999993"/>
    <n v="52068124.899999984"/>
    <n v="0"/>
    <n v="0"/>
    <n v="14550900"/>
    <n v="0"/>
    <m/>
  </r>
  <r>
    <s v="Ленинградская область"/>
    <s v="HSR NOR"/>
    <x v="0"/>
    <s v="DDM NOR Grocery+SPT Spb Nov Pskov"/>
    <x v="23"/>
    <x v="90"/>
    <m/>
    <s v="Денди ЗАО"/>
    <m/>
    <m/>
    <m/>
    <n v="164492870.23000002"/>
    <n v="0"/>
    <n v="0"/>
    <n v="1102.44"/>
    <n v="0"/>
    <n v="0"/>
    <n v="0"/>
    <n v="0"/>
    <m/>
  </r>
  <r>
    <s v="Тверская область"/>
    <s v="HSR NOR"/>
    <x v="0"/>
    <s v="ASM NOR Vector Dendi"/>
    <x v="22"/>
    <x v="86"/>
    <m/>
    <s v="Вектор ООО"/>
    <m/>
    <m/>
    <m/>
    <n v="0"/>
    <n v="0"/>
    <n v="0"/>
    <n v="226.72"/>
    <n v="0"/>
    <n v="0"/>
    <n v="0"/>
    <n v="0"/>
    <m/>
  </r>
  <r>
    <s v="Тверская область"/>
    <s v="HSR NOR"/>
    <x v="0"/>
    <s v="ASM NOR Vector Dendi"/>
    <x v="22"/>
    <x v="87"/>
    <m/>
    <s v="Вектор ООО"/>
    <m/>
    <m/>
    <m/>
    <n v="0"/>
    <n v="7225392.2900000028"/>
    <n v="0"/>
    <n v="18155.52"/>
    <n v="0"/>
    <n v="0"/>
    <n v="0"/>
    <n v="0"/>
    <m/>
  </r>
  <r>
    <s v="Тверская область"/>
    <s v="HSR NOR"/>
    <x v="0"/>
    <s v="DDM NOR Grocery+SPT Spb Nov Pskov"/>
    <x v="23"/>
    <x v="90"/>
    <m/>
    <s v="Денди ЗАО"/>
    <m/>
    <m/>
    <m/>
    <n v="0"/>
    <n v="0"/>
    <n v="2886118.4000000004"/>
    <n v="0"/>
    <n v="0"/>
    <n v="0"/>
    <n v="0"/>
    <n v="0"/>
    <m/>
  </r>
  <r>
    <s v="Тверская область"/>
    <s v="HSR NOR"/>
    <x v="0"/>
    <s v="ASM NOR Vector Dendi"/>
    <x v="22"/>
    <x v="86"/>
    <m/>
    <s v="Вектор ООО"/>
    <m/>
    <m/>
    <m/>
    <n v="0"/>
    <n v="0"/>
    <n v="0"/>
    <n v="2602.48"/>
    <n v="0"/>
    <n v="0"/>
    <n v="0"/>
    <n v="0"/>
    <m/>
  </r>
  <r>
    <s v="Тверская область"/>
    <s v="HSR NOR"/>
    <x v="0"/>
    <s v="ASM NOR Vector Dendi"/>
    <x v="22"/>
    <x v="87"/>
    <m/>
    <s v="Вектор ООО"/>
    <m/>
    <m/>
    <m/>
    <n v="0"/>
    <n v="0"/>
    <n v="2602.48"/>
    <n v="21753.73"/>
    <n v="0"/>
    <n v="0"/>
    <n v="0"/>
    <n v="0"/>
    <m/>
  </r>
  <r>
    <s v="псковская область"/>
    <s v="HSR NOR"/>
    <x v="0"/>
    <s v="DDM NOR Grocery+SPT Spb Nov Pskov"/>
    <x v="23"/>
    <x v="85"/>
    <m/>
    <s v="Денди ЗАО"/>
    <m/>
    <m/>
    <m/>
    <n v="0"/>
    <n v="0"/>
    <n v="577223.67999999993"/>
    <n v="0"/>
    <n v="0"/>
    <n v="0"/>
    <n v="0"/>
    <n v="0"/>
    <m/>
  </r>
  <r>
    <s v="псковская область"/>
    <s v="HSR NOR"/>
    <x v="0"/>
    <s v="DDM NOR Grocery+SPT Spb Nov Pskov"/>
    <x v="23"/>
    <x v="90"/>
    <m/>
    <s v="Денди ЗАО"/>
    <m/>
    <m/>
    <m/>
    <n v="0"/>
    <n v="0"/>
    <n v="5772236.169999999"/>
    <n v="0"/>
    <n v="0"/>
    <n v="0"/>
    <n v="0"/>
    <n v="0"/>
    <m/>
  </r>
  <r>
    <s v="Мурманская область"/>
    <s v="HSR NOR"/>
    <x v="0"/>
    <s v="DDM NOR Grocery+SPT Spb Nov Pskov"/>
    <x v="23"/>
    <x v="85"/>
    <m/>
    <s v="Денди ЗАО"/>
    <m/>
    <m/>
    <m/>
    <n v="0"/>
    <n v="2148542.7700000005"/>
    <n v="0"/>
    <n v="20448323.419999998"/>
    <n v="0"/>
    <n v="0"/>
    <n v="1119300"/>
    <n v="0"/>
    <m/>
  </r>
  <r>
    <s v="Ненецкий"/>
    <s v="HSR NOR"/>
    <x v="0"/>
    <s v="ASM NOR Vector Dendi"/>
    <x v="22"/>
    <x v="84"/>
    <m/>
    <s v="Роздухов М.Е. ИП"/>
    <m/>
    <m/>
    <m/>
    <n v="0"/>
    <n v="0"/>
    <n v="0"/>
    <n v="5930871.1500000004"/>
    <n v="0"/>
    <n v="0"/>
    <n v="0"/>
    <n v="0"/>
    <m/>
  </r>
  <r>
    <s v="Ненецкий"/>
    <s v="HSR NOR"/>
    <x v="0"/>
    <s v="ASM NOR Vector Dendi"/>
    <x v="22"/>
    <x v="84"/>
    <m/>
    <s v="Киселенко А.А. ИП"/>
    <m/>
    <m/>
    <m/>
    <n v="0"/>
    <n v="0"/>
    <n v="154394419.58000001"/>
    <n v="11272.92"/>
    <n v="0"/>
    <n v="0"/>
    <n v="0"/>
    <n v="0"/>
    <m/>
  </r>
  <r>
    <s v="Новгородская область"/>
    <s v="HSR NOR"/>
    <x v="0"/>
    <s v="DDM NOR Grocery+SPT Spb Nov Pskov"/>
    <x v="23"/>
    <x v="85"/>
    <m/>
    <s v="Денди ЗАО"/>
    <m/>
    <m/>
    <m/>
    <n v="0"/>
    <n v="58695919.390000023"/>
    <n v="3463342.0800000001"/>
    <n v="50107053.129999988"/>
    <n v="0"/>
    <n v="0"/>
    <n v="0"/>
    <n v="0"/>
    <m/>
  </r>
  <r>
    <s v="псковская область"/>
    <s v="HSR NOR"/>
    <x v="0"/>
    <s v="ASM NOR Vector Dendi"/>
    <x v="22"/>
    <x v="86"/>
    <m/>
    <s v="Вектор ООО"/>
    <m/>
    <m/>
    <m/>
    <n v="0"/>
    <n v="0"/>
    <n v="1706.04"/>
    <n v="0"/>
    <n v="0"/>
    <n v="0"/>
    <n v="0"/>
    <n v="0"/>
    <m/>
  </r>
  <r>
    <s v="псковская область"/>
    <s v="HSR NOR"/>
    <x v="0"/>
    <s v="DDM NOR Grocery+SPT Spb Nov Pskov"/>
    <x v="23"/>
    <x v="90"/>
    <m/>
    <s v="Денди ЗАО"/>
    <m/>
    <m/>
    <m/>
    <n v="0"/>
    <n v="0"/>
    <n v="0"/>
    <n v="0"/>
    <n v="0"/>
    <n v="0"/>
    <n v="0"/>
    <n v="0"/>
    <m/>
  </r>
  <r>
    <s v="Санкт-Петербург"/>
    <s v="HSR NOR"/>
    <x v="0"/>
    <s v="DDM NOR Grocery+SPT Spb Nov Pskov"/>
    <x v="23"/>
    <x v="85"/>
    <m/>
    <s v="Денди ЗАО"/>
    <n v="1"/>
    <m/>
    <m/>
    <n v="0"/>
    <n v="32393444.969999995"/>
    <n v="933137.57000000007"/>
    <n v="38392610.00999999"/>
    <n v="0"/>
    <n v="0"/>
    <n v="66047800"/>
    <n v="0"/>
    <m/>
  </r>
  <r>
    <s v="Санкт-Петербург"/>
    <s v="HSR NOR"/>
    <x v="0"/>
    <s v="DDM NOR Grocery+SPT Spb Nov Pskov"/>
    <x v="23"/>
    <x v="89"/>
    <m/>
    <s v="Денди ЗАО"/>
    <n v="1"/>
    <m/>
    <m/>
    <n v="0"/>
    <n v="296693840.26999998"/>
    <n v="52911435.689999998"/>
    <n v="58847600.110000007"/>
    <n v="0"/>
    <n v="0"/>
    <n v="11475100"/>
    <n v="0"/>
    <m/>
  </r>
  <r>
    <s v="Санкт-Петербург"/>
    <s v="HSR NOR"/>
    <x v="0"/>
    <s v="DDM NOR Grocery+SPT Spb Nov Pskov"/>
    <x v="23"/>
    <x v="90"/>
    <m/>
    <s v="Денди ЗАО"/>
    <n v="1"/>
    <n v="1"/>
    <m/>
    <n v="386058892.07000017"/>
    <n v="20589477.049999982"/>
    <n v="0"/>
    <n v="0"/>
    <n v="0"/>
    <n v="0"/>
    <n v="41486900"/>
    <n v="0"/>
    <m/>
  </r>
  <r>
    <s v="Смоленская область"/>
    <s v="HSR NOR"/>
    <x v="0"/>
    <s v="ASM NOR Vector Dendi"/>
    <x v="22"/>
    <x v="86"/>
    <m/>
    <s v="Вектор ООО"/>
    <m/>
    <m/>
    <m/>
    <n v="0"/>
    <n v="0"/>
    <n v="291668161.47000003"/>
    <n v="2953223.4999999995"/>
    <n v="0"/>
    <n v="0"/>
    <n v="0"/>
    <n v="0"/>
    <m/>
  </r>
  <r>
    <s v="Тверская область"/>
    <s v="HSR NOR"/>
    <x v="0"/>
    <s v="ASM NOR Vector Dendi"/>
    <x v="22"/>
    <x v="87"/>
    <m/>
    <s v="Вектор ООО"/>
    <m/>
    <m/>
    <s v="TR-Project"/>
    <n v="0"/>
    <n v="372200.5"/>
    <n v="57536.499999999993"/>
    <n v="91160814.329999998"/>
    <n v="0"/>
    <n v="0"/>
    <n v="0"/>
    <n v="0"/>
    <m/>
  </r>
  <r>
    <s v="Тверская область"/>
    <s v="HSR NOR"/>
    <x v="0"/>
    <s v="DDM NOR Grocery+SPT Spb Nov Pskov"/>
    <x v="23"/>
    <x v="89"/>
    <m/>
    <s v="Денди ЗАО"/>
    <m/>
    <m/>
    <m/>
    <n v="0"/>
    <n v="4078128.26"/>
    <n v="17222382.179999996"/>
    <n v="231481.23"/>
    <n v="0"/>
    <n v="0"/>
    <n v="0"/>
    <n v="0"/>
    <m/>
  </r>
  <r>
    <s v="Ямало-Ненецкий"/>
    <s v="HSR NOR"/>
    <x v="0"/>
    <s v="ASM NOR Vector Dendi"/>
    <x v="22"/>
    <x v="84"/>
    <m/>
    <s v="Киселенко А.А. ИП"/>
    <m/>
    <m/>
    <m/>
    <n v="0"/>
    <n v="0"/>
    <n v="0"/>
    <n v="350170504.11000001"/>
    <n v="0"/>
    <n v="0"/>
    <n v="0"/>
    <n v="0"/>
    <m/>
  </r>
  <r>
    <s v="Ямало-Ненецкий АО, Ямальский р-н, Новый Порт п, ул Советская 20"/>
    <s v="HSR NOR"/>
    <x v="0"/>
    <s v="ASM NOR Vector Dendi"/>
    <x v="22"/>
    <x v="84"/>
    <m/>
    <s v="Киселенко А.А. ИП"/>
    <m/>
    <m/>
    <m/>
    <n v="0"/>
    <n v="0"/>
    <n v="0"/>
    <n v="72525.900000000009"/>
    <n v="0"/>
    <n v="0"/>
    <n v="0"/>
    <n v="0"/>
    <m/>
  </r>
  <r>
    <s v="Ярославская область"/>
    <s v="HSR NOR"/>
    <x v="0"/>
    <s v="ASM NOR Vector Dendi"/>
    <x v="22"/>
    <x v="86"/>
    <m/>
    <s v="Вектор ООО"/>
    <m/>
    <m/>
    <m/>
    <n v="0"/>
    <n v="0"/>
    <n v="2267890.4699999997"/>
    <n v="0"/>
    <n v="0"/>
    <n v="0"/>
    <n v="0"/>
    <n v="0"/>
    <m/>
  </r>
  <r>
    <s v="Ярославская область"/>
    <s v="HSR NOR"/>
    <x v="0"/>
    <s v="ASM NOR Vector Dendi"/>
    <x v="22"/>
    <x v="87"/>
    <m/>
    <s v="Вектор ООО"/>
    <m/>
    <m/>
    <m/>
    <n v="0"/>
    <n v="1319912.03"/>
    <n v="0"/>
    <n v="26874644.050000004"/>
    <n v="0"/>
    <n v="0"/>
    <n v="0"/>
    <n v="0"/>
    <m/>
  </r>
  <r>
    <s v="Архангельская область"/>
    <s v="HSR NOR"/>
    <x v="0"/>
    <s v="TDM NOR Action"/>
    <x v="24"/>
    <x v="91"/>
    <m/>
    <m/>
    <m/>
    <m/>
    <s v="TR-Project"/>
    <n v="0"/>
    <n v="0"/>
    <n v="0"/>
    <n v="0"/>
    <n v="836729573.17709005"/>
    <n v="0"/>
    <n v="473767979.99310005"/>
    <n v="797692429.12999988"/>
    <m/>
  </r>
  <r>
    <s v="Вологодская область"/>
    <s v="HSR NOR"/>
    <x v="0"/>
    <s v="TDM NOR Action"/>
    <x v="24"/>
    <x v="92"/>
    <m/>
    <m/>
    <m/>
    <m/>
    <s v="TR-Project"/>
    <n v="0"/>
    <n v="0"/>
    <n v="0"/>
    <n v="0"/>
    <n v="875989074.51481271"/>
    <n v="0"/>
    <n v="464654798.07890016"/>
    <n v="0"/>
    <m/>
  </r>
  <r>
    <s v="Ивановская область"/>
    <s v="HSR NOR"/>
    <x v="0"/>
    <s v="TDM NOR Action"/>
    <x v="24"/>
    <x v="91"/>
    <m/>
    <m/>
    <m/>
    <m/>
    <s v="TR-Project"/>
    <n v="0"/>
    <n v="0"/>
    <n v="0"/>
    <n v="0"/>
    <n v="972681258.01652825"/>
    <n v="0"/>
    <n v="0"/>
    <n v="441584308.78997934"/>
    <m/>
  </r>
  <r>
    <s v="Костромская область"/>
    <s v="HSR NOR"/>
    <x v="0"/>
    <s v="TDM NOR Action"/>
    <x v="24"/>
    <x v="93"/>
    <m/>
    <m/>
    <m/>
    <m/>
    <s v="TR-Project"/>
    <n v="0"/>
    <n v="0"/>
    <n v="0"/>
    <n v="0"/>
    <n v="411849664.02079684"/>
    <n v="0"/>
    <n v="201456929.39970002"/>
    <n v="0"/>
    <m/>
  </r>
  <r>
    <s v="Ленинградская область"/>
    <s v="HSR NOR"/>
    <x v="0"/>
    <s v="TDM NOR Grocery"/>
    <x v="25"/>
    <x v="94"/>
    <m/>
    <m/>
    <m/>
    <m/>
    <s v="TR-Project"/>
    <n v="0"/>
    <n v="0"/>
    <n v="0"/>
    <n v="0"/>
    <n v="888852025.48993647"/>
    <n v="0"/>
    <n v="543043386.05659974"/>
    <n v="6981487904.4999857"/>
    <m/>
  </r>
  <r>
    <s v="Ленинградская область"/>
    <s v="HSR NOR"/>
    <x v="0"/>
    <s v="TDM NOR Grocery"/>
    <x v="25"/>
    <x v="95"/>
    <m/>
    <m/>
    <m/>
    <m/>
    <s v="TR-Project"/>
    <n v="0"/>
    <n v="0"/>
    <n v="0"/>
    <n v="0"/>
    <n v="667890310.36386871"/>
    <n v="1006884.1399999999"/>
    <n v="567872517.65789998"/>
    <n v="1812890091.9499843"/>
    <m/>
  </r>
  <r>
    <s v="Мурманская область"/>
    <s v="HSR NOR"/>
    <x v="0"/>
    <s v="TDM NOR Action"/>
    <x v="24"/>
    <x v="91"/>
    <m/>
    <m/>
    <m/>
    <m/>
    <s v="TR-Project"/>
    <n v="0"/>
    <n v="0"/>
    <n v="0"/>
    <n v="0"/>
    <n v="689776942.79219866"/>
    <n v="0"/>
    <n v="534932683.48779994"/>
    <n v="0"/>
    <m/>
  </r>
  <r>
    <s v="Мурманская область"/>
    <s v="HSR NOR"/>
    <x v="0"/>
    <s v="TDM NOR Grocery"/>
    <x v="25"/>
    <x v="94"/>
    <m/>
    <m/>
    <m/>
    <m/>
    <s v="TR-Project"/>
    <n v="0"/>
    <n v="0"/>
    <n v="0"/>
    <n v="0"/>
    <n v="0"/>
    <n v="0"/>
    <n v="1785014.0099999998"/>
    <n v="0"/>
    <m/>
  </r>
  <r>
    <s v="Новгородская область"/>
    <s v="HSR NOR"/>
    <x v="0"/>
    <s v="TDM NOR Grocery"/>
    <x v="25"/>
    <x v="95"/>
    <m/>
    <m/>
    <m/>
    <m/>
    <s v="TR-Project"/>
    <n v="0"/>
    <n v="0"/>
    <n v="0"/>
    <n v="0"/>
    <n v="802225334.26869702"/>
    <n v="0"/>
    <n v="607576306.9467001"/>
    <n v="0"/>
    <m/>
  </r>
  <r>
    <s v="псковская область"/>
    <s v="HSR NOR"/>
    <x v="0"/>
    <s v="TDM NOR Grocery"/>
    <x v="25"/>
    <x v="95"/>
    <m/>
    <m/>
    <m/>
    <m/>
    <s v="TR-Project"/>
    <n v="0"/>
    <n v="0"/>
    <n v="0"/>
    <n v="0"/>
    <n v="797723901.73658943"/>
    <n v="0"/>
    <n v="489575548.97810006"/>
    <n v="0"/>
    <m/>
  </r>
  <r>
    <s v="республика Карелия"/>
    <s v="HSR NOR"/>
    <x v="0"/>
    <s v="TDM NOR Action"/>
    <x v="24"/>
    <x v="92"/>
    <m/>
    <m/>
    <m/>
    <m/>
    <s v="TR-Project"/>
    <n v="0"/>
    <n v="0"/>
    <n v="0"/>
    <n v="0"/>
    <n v="655412059.29759574"/>
    <n v="0"/>
    <n v="371177128.75099981"/>
    <n v="0"/>
    <m/>
  </r>
  <r>
    <s v="Республика Коми"/>
    <s v="HSR NOR"/>
    <x v="0"/>
    <s v="TDM NOR Action"/>
    <x v="24"/>
    <x v="92"/>
    <m/>
    <m/>
    <m/>
    <m/>
    <s v="TR-Project"/>
    <n v="0"/>
    <n v="0"/>
    <n v="0"/>
    <n v="0"/>
    <n v="658081627.3988291"/>
    <n v="0"/>
    <n v="340990386.10000014"/>
    <n v="0"/>
    <m/>
  </r>
  <r>
    <s v="Санкт-Петербург"/>
    <s v="HSR NOR"/>
    <x v="0"/>
    <s v="TDM NOR Grocery"/>
    <x v="25"/>
    <x v="94"/>
    <m/>
    <m/>
    <m/>
    <m/>
    <s v="TR-Project"/>
    <n v="0"/>
    <n v="0"/>
    <n v="0"/>
    <n v="0"/>
    <n v="1348240045.9498818"/>
    <n v="0"/>
    <n v="1256610687.3800988"/>
    <n v="0"/>
    <m/>
  </r>
  <r>
    <s v="Смоленская область"/>
    <s v="HSR NOR"/>
    <x v="0"/>
    <s v="TDM NOR Action"/>
    <x v="24"/>
    <x v="96"/>
    <m/>
    <m/>
    <m/>
    <m/>
    <s v="TR-Project"/>
    <n v="0"/>
    <n v="0"/>
    <n v="0"/>
    <n v="0"/>
    <n v="1052771590.1537045"/>
    <n v="0"/>
    <n v="638591919.81389999"/>
    <n v="0"/>
    <m/>
  </r>
  <r>
    <s v="Тверская область"/>
    <s v="HSR NOR"/>
    <x v="0"/>
    <s v="TDM NOR Action"/>
    <x v="24"/>
    <x v="96"/>
    <m/>
    <m/>
    <m/>
    <m/>
    <s v="TR-Project"/>
    <n v="0"/>
    <n v="0"/>
    <n v="0"/>
    <n v="0"/>
    <n v="1510694794.0663226"/>
    <n v="0"/>
    <n v="970857482.53520048"/>
    <n v="0"/>
    <m/>
  </r>
  <r>
    <s v="Ярославская область"/>
    <s v="HSR NOR"/>
    <x v="0"/>
    <s v="TDM NOR Action"/>
    <x v="24"/>
    <x v="93"/>
    <m/>
    <m/>
    <m/>
    <m/>
    <s v="TR-Project"/>
    <n v="0"/>
    <n v="0"/>
    <n v="0"/>
    <n v="0"/>
    <n v="1516920046.1571732"/>
    <n v="27130505.840957616"/>
    <n v="1097746765.7857997"/>
    <n v="0"/>
    <m/>
  </r>
  <r>
    <s v="Ленинградская область"/>
    <s v="HSR NOR"/>
    <x v="0"/>
    <s v="TDM NOR Grocery"/>
    <x v="25"/>
    <x v="97"/>
    <m/>
    <m/>
    <m/>
    <m/>
    <s v="TR-Project"/>
    <n v="0"/>
    <n v="0"/>
    <n v="0"/>
    <n v="0"/>
    <n v="1047083677.2343158"/>
    <n v="0"/>
    <n v="561781057.31280017"/>
    <n v="7861104101.8997154"/>
    <m/>
  </r>
  <r>
    <s v="Санкт-Петербург"/>
    <s v="HSR NOR"/>
    <x v="0"/>
    <s v="TDM NOR Grocery"/>
    <x v="25"/>
    <x v="97"/>
    <m/>
    <m/>
    <m/>
    <m/>
    <s v="TR-Project"/>
    <n v="0"/>
    <n v="0"/>
    <n v="0"/>
    <n v="0"/>
    <n v="1198289819.5309277"/>
    <n v="0"/>
    <n v="705518663.33519995"/>
    <n v="0"/>
    <m/>
  </r>
  <r>
    <s v="Тверская область"/>
    <s v="HSR NOR"/>
    <x v="0"/>
    <s v="TDM NOR Action"/>
    <x v="24"/>
    <x v="93"/>
    <m/>
    <m/>
    <m/>
    <m/>
    <s v="TR-Project"/>
    <n v="0"/>
    <n v="0"/>
    <n v="0"/>
    <n v="0"/>
    <n v="38543446.49000001"/>
    <n v="0"/>
    <n v="0"/>
    <n v="0"/>
    <m/>
  </r>
  <r>
    <s v="Санкт-Петербург"/>
    <s v="HSR NOR"/>
    <x v="0"/>
    <s v="TDM NOR Grocery"/>
    <x v="25"/>
    <x v="95"/>
    <m/>
    <m/>
    <m/>
    <m/>
    <s v="TR-Project"/>
    <n v="0"/>
    <n v="0"/>
    <n v="0"/>
    <n v="0"/>
    <n v="1069481198.1399873"/>
    <n v="2013768.2799999998"/>
    <n v="886176641.00030017"/>
    <n v="0"/>
    <m/>
  </r>
  <r>
    <s v="Ивановская область"/>
    <s v="HSR NOR"/>
    <x v="0"/>
    <s v="TDM NOR Action"/>
    <x v="24"/>
    <x v="96"/>
    <m/>
    <m/>
    <m/>
    <m/>
    <m/>
    <n v="0"/>
    <n v="0"/>
    <n v="0"/>
    <n v="0"/>
    <n v="0"/>
    <n v="0"/>
    <n v="0"/>
    <n v="0"/>
    <m/>
  </r>
  <r>
    <s v="Вологодская область"/>
    <s v="HSR NOR"/>
    <x v="0"/>
    <s v="ASM NOR Vector Dendi"/>
    <x v="22"/>
    <x v="84"/>
    <m/>
    <m/>
    <m/>
    <m/>
    <m/>
    <n v="16316055.810000001"/>
    <n v="0"/>
    <n v="0"/>
    <n v="0"/>
    <n v="0"/>
    <n v="0"/>
    <n v="0"/>
    <n v="0"/>
    <m/>
  </r>
  <r>
    <s v="Ярославская область"/>
    <s v="HSR NOR"/>
    <x v="0"/>
    <s v="ASM NOR Vector Dendi"/>
    <x v="22"/>
    <x v="84"/>
    <m/>
    <m/>
    <m/>
    <m/>
    <m/>
    <n v="27312790.859999999"/>
    <n v="0"/>
    <n v="0"/>
    <n v="0"/>
    <n v="0"/>
    <n v="0"/>
    <n v="0"/>
    <n v="0"/>
    <m/>
  </r>
  <r>
    <s v="Мурманская область"/>
    <s v="HSR NOR"/>
    <x v="0"/>
    <s v="DDM NOR Grocery+SPT Spb Nov Pskov"/>
    <x v="23"/>
    <x v="90"/>
    <m/>
    <s v="Денди ЗАО"/>
    <m/>
    <m/>
    <m/>
    <n v="0"/>
    <n v="1456400.8099999996"/>
    <n v="0"/>
    <n v="0"/>
    <n v="0"/>
    <n v="0"/>
    <n v="0"/>
    <n v="0"/>
    <m/>
  </r>
  <r>
    <s v="Ивановская область"/>
    <s v="HSR NOR"/>
    <x v="0"/>
    <s v="TDM NOR Action"/>
    <x v="24"/>
    <x v="93"/>
    <m/>
    <m/>
    <m/>
    <m/>
    <s v="TR-Project"/>
    <n v="0"/>
    <n v="0"/>
    <n v="0"/>
    <n v="0"/>
    <n v="0"/>
    <n v="0"/>
    <n v="668377808.25270033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A2B3B-C6C7-4486-8385-DC21F62F93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" firstHeaderRow="0" firstDataRow="1" firstDataCol="1"/>
  <pivotFields count="17">
    <pivotField showAll="0"/>
    <pivotField axis="axisRow" showAll="0">
      <items count="8">
        <item x="1"/>
        <item x="0"/>
        <item x="5"/>
        <item x="2"/>
        <item x="3"/>
        <item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RKA" fld="8" baseField="0" baseItem="0"/>
    <dataField name="Sum of Non-Skyline" fld="9" baseField="0" baseItem="0"/>
    <dataField name="Sum of Skyline (Tier3)" fld="10" baseField="0" baseItem="0"/>
    <dataField name="Sum of Skyline (Other)" fld="11" baseField="0" baseItem="0"/>
    <dataField name="Sum of SO NA (w/o Chizhik)" fld="12" baseField="0" baseItem="0"/>
    <dataField name="Sum of SO RKA (execution)" fld="13" baseField="0" baseItem="0"/>
    <dataField name="Sum of Merch-model SO" fld="14" baseField="0" baseItem="0"/>
    <dataField name="Sum of NA Leading" fld="15" baseField="0" baseItem="0"/>
    <dataField name="Sum of RKA Leading" fld="16" baseField="0" baseItem="0"/>
  </dataFields>
  <formats count="22"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6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66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6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2">
      <pivotArea outline="0" collapsedLevelsAreSubtotals="1" fieldPosition="0">
        <references count="1">
          <reference field="4294967294" count="2" selected="0">
            <x v="7"/>
            <x v="8"/>
          </reference>
        </references>
      </pivotArea>
    </format>
    <format dxfId="61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60">
      <pivotArea grandRow="1" outline="0" collapsedLevelsAreSubtotals="1" fieldPosition="0"/>
    </format>
    <format dxfId="5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8">
      <pivotArea field="1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6">
      <pivotArea field="1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78BB0-9CD6-4D3D-B186-BD89950F43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37" firstHeaderRow="0" firstDataRow="1" firstDataCol="1"/>
  <pivotFields count="17">
    <pivotField showAll="0"/>
    <pivotField axis="axisRow" showAll="0">
      <items count="8">
        <item x="1"/>
        <item x="0"/>
        <item x="5"/>
        <item x="2"/>
        <item x="3"/>
        <item x="4"/>
        <item h="1" x="6"/>
        <item t="default"/>
      </items>
    </pivotField>
    <pivotField axis="axisRow" showAll="0">
      <items count="30">
        <item m="1" x="28"/>
        <item x="6"/>
        <item x="1"/>
        <item x="23"/>
        <item x="11"/>
        <item x="10"/>
        <item x="13"/>
        <item x="17"/>
        <item x="18"/>
        <item x="19"/>
        <item x="7"/>
        <item x="0"/>
        <item x="24"/>
        <item x="20"/>
        <item x="5"/>
        <item x="2"/>
        <item x="16"/>
        <item x="12"/>
        <item x="14"/>
        <item x="9"/>
        <item x="8"/>
        <item x="3"/>
        <item x="4"/>
        <item x="25"/>
        <item x="26"/>
        <item x="15"/>
        <item x="21"/>
        <item x="22"/>
        <item x="2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34">
    <i>
      <x/>
    </i>
    <i r="1">
      <x v="1"/>
    </i>
    <i r="1">
      <x v="10"/>
    </i>
    <i r="1">
      <x v="14"/>
    </i>
    <i r="1">
      <x v="19"/>
    </i>
    <i r="1">
      <x v="20"/>
    </i>
    <i>
      <x v="1"/>
    </i>
    <i r="1">
      <x v="2"/>
    </i>
    <i r="1">
      <x v="11"/>
    </i>
    <i r="1">
      <x v="15"/>
    </i>
    <i r="1">
      <x v="21"/>
    </i>
    <i r="1">
      <x v="22"/>
    </i>
    <i>
      <x v="2"/>
    </i>
    <i r="1">
      <x v="3"/>
    </i>
    <i r="1">
      <x v="12"/>
    </i>
    <i r="1">
      <x v="23"/>
    </i>
    <i r="1">
      <x v="24"/>
    </i>
    <i>
      <x v="3"/>
    </i>
    <i r="1">
      <x v="4"/>
    </i>
    <i r="1">
      <x v="5"/>
    </i>
    <i r="1">
      <x v="6"/>
    </i>
    <i r="1">
      <x v="17"/>
    </i>
    <i r="1">
      <x v="18"/>
    </i>
    <i>
      <x v="4"/>
    </i>
    <i r="1">
      <x v="7"/>
    </i>
    <i r="1">
      <x v="16"/>
    </i>
    <i r="1">
      <x v="25"/>
    </i>
    <i>
      <x v="5"/>
    </i>
    <i r="1">
      <x v="8"/>
    </i>
    <i r="1">
      <x v="9"/>
    </i>
    <i r="1">
      <x v="13"/>
    </i>
    <i r="1">
      <x v="26"/>
    </i>
    <i r="1">
      <x v="2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RKA" fld="8" baseField="0" baseItem="0"/>
    <dataField name="Sum of Non-Skyline" fld="9" baseField="0" baseItem="0"/>
    <dataField name="Sum of Skyline (Tier3)" fld="10" baseField="0" baseItem="0"/>
    <dataField name="Sum of Skyline (Other)" fld="11" baseField="0" baseItem="0"/>
    <dataField name="Sum of SO NA (w/o Chizhik)" fld="12" baseField="0" baseItem="0"/>
    <dataField name="Sum of SO RKA (execution)" fld="13" baseField="0" baseItem="0"/>
    <dataField name="Sum of Merch-model SO" fld="14" baseField="0" baseItem="0"/>
    <dataField name="Sum of NA Leading" fld="15" baseField="0" baseItem="0"/>
    <dataField name="Sum of RKA Leading" fld="16" baseField="0" baseItem="0"/>
  </dataFields>
  <formats count="17"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2">
      <pivotArea outline="0" collapsedLevelsAreSubtotals="1" fieldPosition="0"/>
    </format>
    <format dxfId="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46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45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1">
      <pivotArea outline="0" collapsedLevelsAreSubtotals="1" fieldPosition="0">
        <references count="1">
          <reference field="4294967294" count="2" selected="0">
            <x v="7"/>
            <x v="8"/>
          </reference>
        </references>
      </pivotArea>
    </format>
    <format dxfId="40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3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BBD55-64AE-4498-9181-405FC49170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136" firstHeaderRow="0" firstDataRow="1" firstDataCol="1"/>
  <pivotFields count="17">
    <pivotField showAll="0"/>
    <pivotField axis="axisRow" showAll="0">
      <items count="8">
        <item x="1"/>
        <item x="0"/>
        <item x="5"/>
        <item x="2"/>
        <item x="3"/>
        <item x="4"/>
        <item x="6"/>
        <item t="default"/>
      </items>
    </pivotField>
    <pivotField axis="axisRow" showAll="0">
      <items count="30">
        <item m="1" x="28"/>
        <item x="6"/>
        <item x="1"/>
        <item x="23"/>
        <item x="11"/>
        <item x="10"/>
        <item x="13"/>
        <item x="17"/>
        <item x="18"/>
        <item x="19"/>
        <item x="7"/>
        <item x="0"/>
        <item x="24"/>
        <item x="20"/>
        <item x="5"/>
        <item x="2"/>
        <item x="16"/>
        <item x="12"/>
        <item x="14"/>
        <item x="9"/>
        <item x="8"/>
        <item x="3"/>
        <item x="4"/>
        <item x="25"/>
        <item x="26"/>
        <item x="15"/>
        <item x="21"/>
        <item x="22"/>
        <item x="27"/>
        <item t="default"/>
      </items>
    </pivotField>
    <pivotField axis="axisRow" showAll="0">
      <items count="100">
        <item x="16"/>
        <item x="24"/>
        <item x="25"/>
        <item x="26"/>
        <item x="27"/>
        <item x="28"/>
        <item x="29"/>
        <item x="30"/>
        <item x="52"/>
        <item x="14"/>
        <item x="11"/>
        <item x="12"/>
        <item x="13"/>
        <item x="9"/>
        <item x="15"/>
        <item x="10"/>
        <item x="8"/>
        <item x="17"/>
        <item x="94"/>
        <item x="91"/>
        <item x="95"/>
        <item x="92"/>
        <item x="93"/>
        <item x="96"/>
        <item x="97"/>
        <item x="56"/>
        <item x="54"/>
        <item x="58"/>
        <item x="55"/>
        <item x="80"/>
        <item x="77"/>
        <item x="74"/>
        <item x="76"/>
        <item x="78"/>
        <item x="79"/>
        <item x="75"/>
        <item x="34"/>
        <item x="35"/>
        <item x="38"/>
        <item x="23"/>
        <item x="60"/>
        <item x="59"/>
        <item x="7"/>
        <item x="6"/>
        <item x="41"/>
        <item x="39"/>
        <item x="49"/>
        <item x="42"/>
        <item x="67"/>
        <item x="57"/>
        <item x="83"/>
        <item x="37"/>
        <item x="19"/>
        <item x="33"/>
        <item x="32"/>
        <item x="36"/>
        <item x="18"/>
        <item x="20"/>
        <item x="31"/>
        <item x="22"/>
        <item x="21"/>
        <item x="86"/>
        <item x="5"/>
        <item x="3"/>
        <item x="2"/>
        <item x="4"/>
        <item x="0"/>
        <item x="1"/>
        <item x="88"/>
        <item x="85"/>
        <item x="84"/>
        <item x="89"/>
        <item x="90"/>
        <item x="43"/>
        <item x="50"/>
        <item x="40"/>
        <item x="46"/>
        <item x="45"/>
        <item x="48"/>
        <item x="47"/>
        <item x="51"/>
        <item x="63"/>
        <item x="61"/>
        <item x="64"/>
        <item x="65"/>
        <item x="62"/>
        <item x="69"/>
        <item x="70"/>
        <item x="66"/>
        <item x="71"/>
        <item x="72"/>
        <item x="81"/>
        <item x="73"/>
        <item x="82"/>
        <item x="68"/>
        <item x="87"/>
        <item x="44"/>
        <item x="53"/>
        <item x="98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3">
    <field x="1"/>
    <field x="2"/>
    <field x="3"/>
  </rowFields>
  <rowItems count="135">
    <i>
      <x/>
    </i>
    <i r="1">
      <x v="1"/>
    </i>
    <i r="2">
      <x v="51"/>
    </i>
    <i r="2">
      <x v="52"/>
    </i>
    <i r="2">
      <x v="54"/>
    </i>
    <i r="2">
      <x v="57"/>
    </i>
    <i r="2">
      <x v="60"/>
    </i>
    <i r="1">
      <x v="10"/>
    </i>
    <i r="2">
      <x v="53"/>
    </i>
    <i r="2">
      <x v="55"/>
    </i>
    <i r="2">
      <x v="59"/>
    </i>
    <i r="1">
      <x v="14"/>
    </i>
    <i r="2">
      <x v="36"/>
    </i>
    <i r="2">
      <x v="37"/>
    </i>
    <i r="2">
      <x v="38"/>
    </i>
    <i r="2">
      <x v="39"/>
    </i>
    <i r="2">
      <x v="56"/>
    </i>
    <i r="1">
      <x v="19"/>
    </i>
    <i r="2">
      <x v="2"/>
    </i>
    <i r="2">
      <x v="3"/>
    </i>
    <i r="2">
      <x v="4"/>
    </i>
    <i r="2">
      <x v="5"/>
    </i>
    <i r="1">
      <x v="20"/>
    </i>
    <i r="2">
      <x v="1"/>
    </i>
    <i r="2">
      <x v="6"/>
    </i>
    <i r="2">
      <x v="7"/>
    </i>
    <i r="2">
      <x v="58"/>
    </i>
    <i>
      <x v="1"/>
    </i>
    <i r="1">
      <x v="2"/>
    </i>
    <i r="2">
      <x v="65"/>
    </i>
    <i r="2">
      <x v="67"/>
    </i>
    <i r="1">
      <x v="11"/>
    </i>
    <i r="2">
      <x v="50"/>
    </i>
    <i r="2">
      <x v="62"/>
    </i>
    <i r="2">
      <x v="63"/>
    </i>
    <i r="2">
      <x v="64"/>
    </i>
    <i r="2">
      <x v="66"/>
    </i>
    <i r="1">
      <x v="15"/>
    </i>
    <i r="2">
      <x/>
    </i>
    <i r="2">
      <x v="42"/>
    </i>
    <i r="2">
      <x v="43"/>
    </i>
    <i r="1">
      <x v="21"/>
    </i>
    <i r="2">
      <x v="10"/>
    </i>
    <i r="2">
      <x v="11"/>
    </i>
    <i r="2">
      <x v="12"/>
    </i>
    <i r="2">
      <x v="15"/>
    </i>
    <i r="2">
      <x v="16"/>
    </i>
    <i r="1">
      <x v="22"/>
    </i>
    <i r="2">
      <x v="9"/>
    </i>
    <i r="2">
      <x v="13"/>
    </i>
    <i r="2">
      <x v="14"/>
    </i>
    <i r="2">
      <x v="17"/>
    </i>
    <i>
      <x v="2"/>
    </i>
    <i r="1">
      <x v="3"/>
    </i>
    <i r="2">
      <x v="61"/>
    </i>
    <i r="2">
      <x v="70"/>
    </i>
    <i r="2">
      <x v="95"/>
    </i>
    <i r="1">
      <x v="12"/>
    </i>
    <i r="2">
      <x v="68"/>
    </i>
    <i r="2">
      <x v="69"/>
    </i>
    <i r="2">
      <x v="71"/>
    </i>
    <i r="2">
      <x v="72"/>
    </i>
    <i r="1">
      <x v="23"/>
    </i>
    <i r="2">
      <x v="19"/>
    </i>
    <i r="2">
      <x v="21"/>
    </i>
    <i r="2">
      <x v="22"/>
    </i>
    <i r="2">
      <x v="23"/>
    </i>
    <i r="1">
      <x v="24"/>
    </i>
    <i r="2">
      <x v="18"/>
    </i>
    <i r="2">
      <x v="20"/>
    </i>
    <i r="2">
      <x v="24"/>
    </i>
    <i>
      <x v="3"/>
    </i>
    <i r="1">
      <x v="4"/>
    </i>
    <i r="2">
      <x v="44"/>
    </i>
    <i r="2">
      <x v="47"/>
    </i>
    <i r="2">
      <x v="73"/>
    </i>
    <i r="2">
      <x v="76"/>
    </i>
    <i r="1">
      <x v="5"/>
    </i>
    <i r="2">
      <x v="45"/>
    </i>
    <i r="2">
      <x v="75"/>
    </i>
    <i r="2">
      <x v="77"/>
    </i>
    <i r="2">
      <x v="80"/>
    </i>
    <i r="1">
      <x v="6"/>
    </i>
    <i r="2">
      <x v="8"/>
    </i>
    <i r="2">
      <x v="46"/>
    </i>
    <i r="2">
      <x v="74"/>
    </i>
    <i r="2">
      <x v="78"/>
    </i>
    <i r="2">
      <x v="79"/>
    </i>
    <i r="1">
      <x v="17"/>
    </i>
    <i r="2">
      <x v="96"/>
    </i>
    <i r="1">
      <x v="18"/>
    </i>
    <i r="2">
      <x v="97"/>
    </i>
    <i>
      <x v="4"/>
    </i>
    <i r="1">
      <x v="7"/>
    </i>
    <i r="2">
      <x v="81"/>
    </i>
    <i r="2">
      <x v="82"/>
    </i>
    <i r="2">
      <x v="84"/>
    </i>
    <i r="2">
      <x v="85"/>
    </i>
    <i r="1">
      <x v="16"/>
    </i>
    <i r="2">
      <x v="40"/>
    </i>
    <i r="2">
      <x v="41"/>
    </i>
    <i r="2">
      <x v="49"/>
    </i>
    <i r="2">
      <x v="83"/>
    </i>
    <i r="1">
      <x v="25"/>
    </i>
    <i r="2">
      <x v="25"/>
    </i>
    <i r="2">
      <x v="26"/>
    </i>
    <i r="2">
      <x v="27"/>
    </i>
    <i r="2">
      <x v="28"/>
    </i>
    <i>
      <x v="5"/>
    </i>
    <i r="1">
      <x v="8"/>
    </i>
    <i r="2">
      <x v="86"/>
    </i>
    <i r="2">
      <x v="87"/>
    </i>
    <i r="2">
      <x v="88"/>
    </i>
    <i r="2">
      <x v="89"/>
    </i>
    <i r="1">
      <x v="9"/>
    </i>
    <i r="2">
      <x v="48"/>
    </i>
    <i r="2">
      <x v="91"/>
    </i>
    <i r="2">
      <x v="94"/>
    </i>
    <i r="1">
      <x v="13"/>
    </i>
    <i r="2">
      <x v="90"/>
    </i>
    <i r="2">
      <x v="92"/>
    </i>
    <i r="2">
      <x v="93"/>
    </i>
    <i r="1">
      <x v="26"/>
    </i>
    <i r="2">
      <x v="30"/>
    </i>
    <i r="2">
      <x v="31"/>
    </i>
    <i r="2">
      <x v="33"/>
    </i>
    <i r="1">
      <x v="27"/>
    </i>
    <i r="2">
      <x v="29"/>
    </i>
    <i r="2">
      <x v="32"/>
    </i>
    <i r="2">
      <x v="34"/>
    </i>
    <i r="2">
      <x v="35"/>
    </i>
    <i>
      <x v="6"/>
    </i>
    <i r="1">
      <x v="28"/>
    </i>
    <i r="2">
      <x v="9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RKA" fld="8" baseField="0" baseItem="0"/>
    <dataField name="Sum of Non-Skyline" fld="9" baseField="0" baseItem="0"/>
    <dataField name="Sum of Skyline (Tier3)" fld="10" baseField="0" baseItem="0"/>
    <dataField name="Sum of Skyline (Other)" fld="11" baseField="0" baseItem="0"/>
    <dataField name="Sum of SO NA (w/o Chizhik)" fld="12" baseField="0" baseItem="0"/>
    <dataField name="Sum of SO RKA (execution)" fld="13" baseField="0" baseItem="0"/>
    <dataField name="Sum of Merch-model SO" fld="14" baseField="0" baseItem="0"/>
    <dataField name="Sum of NA Leading" fld="15" baseField="0" baseItem="0"/>
    <dataField name="Sum of RKA Leading" fld="16" baseField="0" baseItem="0"/>
  </dataFields>
  <formats count="36">
    <format dxfId="37">
      <pivotArea field="1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28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7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26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3">
      <pivotArea outline="0" collapsedLevelsAreSubtotals="1" fieldPosition="0">
        <references count="1">
          <reference field="4294967294" count="2" selected="0">
            <x v="7"/>
            <x v="8"/>
          </reference>
        </references>
      </pivotArea>
    </format>
    <format dxfId="22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21">
      <pivotArea grandRow="1" outline="0" collapsedLevelsAreSubtotals="1" fieldPosition="0"/>
    </format>
    <format dxfId="20">
      <pivotArea collapsedLevelsAreSubtotals="1" fieldPosition="0">
        <references count="4">
          <reference field="4294967294" count="2" selected="0">
            <x v="1"/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>
            <x v="51"/>
          </reference>
        </references>
      </pivotArea>
    </format>
    <format dxfId="19">
      <pivotArea collapsedLevelsAreSubtotals="1" fieldPosition="0">
        <references count="4">
          <reference field="4294967294" count="2" selected="0">
            <x v="1"/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>
            <x v="54"/>
          </reference>
        </references>
      </pivotArea>
    </format>
    <format dxfId="18">
      <pivotArea collapsedLevelsAreSubtotals="1" fieldPosition="0">
        <references count="4">
          <reference field="4294967294" count="2" selected="0">
            <x v="2"/>
            <x v="3"/>
          </reference>
          <reference field="1" count="1" selected="0">
            <x v="0"/>
          </reference>
          <reference field="2" count="1" selected="0">
            <x v="14"/>
          </reference>
          <reference field="3" count="1">
            <x v="36"/>
          </reference>
        </references>
      </pivotArea>
    </format>
    <format dxfId="17">
      <pivotArea collapsedLevelsAreSubtotals="1" fieldPosition="0">
        <references count="4">
          <reference field="4294967294" count="8" selected="0">
            <x v="0"/>
            <x v="1"/>
            <x v="2"/>
            <x v="3"/>
            <x v="4"/>
            <x v="5"/>
            <x v="6"/>
            <x v="7"/>
          </reference>
          <reference field="1" count="1" selected="0">
            <x v="1"/>
          </reference>
          <reference field="2" count="1" selected="0">
            <x v="0"/>
          </reference>
          <reference field="3" count="1">
            <x v="50"/>
          </reference>
        </references>
      </pivotArea>
    </format>
    <format dxfId="16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>
            <x v="52"/>
          </reference>
        </references>
      </pivotArea>
    </format>
    <format dxfId="15">
      <pivotArea collapsedLevelsAreSubtotals="1" fieldPosition="0">
        <references count="4">
          <reference field="4294967294" count="3" selected="0">
            <x v="1"/>
            <x v="2"/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>
            <x v="60"/>
          </reference>
        </references>
      </pivotArea>
    </format>
    <format dxfId="14">
      <pivotArea collapsedLevelsAreSubtotals="1" fieldPosition="0">
        <references count="4">
          <reference field="4294967294" count="2" selected="0">
            <x v="2"/>
            <x v="3"/>
          </reference>
          <reference field="1" count="1" selected="0">
            <x v="1"/>
          </reference>
          <reference field="2" count="1" selected="0">
            <x v="11"/>
          </reference>
          <reference field="3" count="1">
            <x v="62"/>
          </reference>
        </references>
      </pivotArea>
    </format>
    <format dxfId="13">
      <pivotArea collapsedLevelsAreSubtotals="1" fieldPosition="0">
        <references count="4">
          <reference field="4294967294" count="3" selected="0">
            <x v="1"/>
            <x v="2"/>
            <x v="3"/>
          </reference>
          <reference field="1" count="1" selected="0">
            <x v="1"/>
          </reference>
          <reference field="2" count="1" selected="0">
            <x v="11"/>
          </reference>
          <reference field="3" count="1">
            <x v="63"/>
          </reference>
        </references>
      </pivotArea>
    </format>
    <format dxfId="12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1" count="1" selected="0">
            <x v="1"/>
          </reference>
          <reference field="2" count="1" selected="0">
            <x v="22"/>
          </reference>
          <reference field="3" count="1">
            <x v="17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2" count="1" selected="0">
            <x v="3"/>
          </reference>
          <reference field="3" count="1">
            <x v="61"/>
          </reference>
        </references>
      </pivotArea>
    </format>
    <format dxfId="10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3"/>
          </reference>
          <reference field="2" count="1" selected="0">
            <x v="5"/>
          </reference>
          <reference field="3" count="1">
            <x v="80"/>
          </reference>
        </references>
      </pivotArea>
    </format>
    <format dxfId="9">
      <pivotArea collapsedLevelsAreSubtotals="1" fieldPosition="0">
        <references count="4">
          <reference field="4294967294" count="4" selected="0">
            <x v="4"/>
            <x v="5"/>
            <x v="6"/>
            <x v="7"/>
          </reference>
          <reference field="1" count="1" selected="0">
            <x v="3"/>
          </reference>
          <reference field="2" count="1" selected="0">
            <x v="6"/>
          </reference>
          <reference field="3" count="1">
            <x v="8"/>
          </reference>
        </references>
      </pivotArea>
    </format>
    <format dxfId="8">
      <pivotArea collapsedLevelsAreSubtotals="1" fieldPosition="0">
        <references count="4">
          <reference field="4294967294" count="1" selected="0">
            <x v="2"/>
          </reference>
          <reference field="1" count="1" selected="0">
            <x v="4"/>
          </reference>
          <reference field="2" count="1" selected="0">
            <x v="16"/>
          </reference>
          <reference field="3" count="1">
            <x v="83"/>
          </reference>
        </references>
      </pivotArea>
    </format>
    <format dxfId="7">
      <pivotArea collapsedLevelsAreSubtotals="1" fieldPosition="0">
        <references count="4">
          <reference field="4294967294" count="3" selected="0">
            <x v="1"/>
            <x v="2"/>
            <x v="3"/>
          </reference>
          <reference field="1" count="1" selected="0">
            <x v="5"/>
          </reference>
          <reference field="2" count="1" selected="0">
            <x v="9"/>
          </reference>
          <reference field="3" count="1">
            <x v="94"/>
          </reference>
        </references>
      </pivotArea>
    </format>
    <format dxfId="6">
      <pivotArea collapsedLevelsAreSubtotals="1" fieldPosition="0">
        <references count="4">
          <reference field="4294967294" count="3" selected="0">
            <x v="1"/>
            <x v="2"/>
            <x v="3"/>
          </reference>
          <reference field="1" count="1" selected="0">
            <x v="5"/>
          </reference>
          <reference field="2" count="1" selected="0">
            <x v="13"/>
          </reference>
          <reference field="3" count="1">
            <x v="93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F09F4-ACD6-4A3E-9313-3E705585321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39" firstHeaderRow="0" firstDataRow="1" firstDataCol="1"/>
  <pivotFields count="20">
    <pivotField showAll="0"/>
    <pivotField showAll="0"/>
    <pivotField axis="axisRow" showAll="0">
      <items count="7">
        <item x="2"/>
        <item m="1" x="5"/>
        <item x="0"/>
        <item x="3"/>
        <item x="4"/>
        <item x="1"/>
        <item t="default"/>
      </items>
    </pivotField>
    <pivotField showAll="0"/>
    <pivotField axis="axisRow" showAll="0">
      <items count="27">
        <item x="2"/>
        <item x="22"/>
        <item x="12"/>
        <item x="11"/>
        <item x="14"/>
        <item x="18"/>
        <item x="19"/>
        <item x="1"/>
        <item x="9"/>
        <item x="0"/>
        <item x="23"/>
        <item x="20"/>
        <item x="8"/>
        <item x="3"/>
        <item x="17"/>
        <item x="13"/>
        <item x="15"/>
        <item x="10"/>
        <item x="6"/>
        <item x="4"/>
        <item x="7"/>
        <item x="24"/>
        <item x="25"/>
        <item x="16"/>
        <item x="21"/>
        <item x="5"/>
        <item t="default"/>
      </items>
    </pivotField>
    <pivotField axis="axisRow" showAll="0">
      <items count="99">
        <item x="16"/>
        <item x="24"/>
        <item x="25"/>
        <item x="26"/>
        <item x="27"/>
        <item x="28"/>
        <item x="29"/>
        <item x="30"/>
        <item x="52"/>
        <item x="14"/>
        <item x="11"/>
        <item x="12"/>
        <item x="13"/>
        <item x="9"/>
        <item x="15"/>
        <item x="10"/>
        <item x="8"/>
        <item x="17"/>
        <item x="94"/>
        <item x="91"/>
        <item x="95"/>
        <item x="92"/>
        <item x="93"/>
        <item x="96"/>
        <item x="97"/>
        <item x="56"/>
        <item x="54"/>
        <item x="58"/>
        <item x="55"/>
        <item x="80"/>
        <item x="77"/>
        <item x="74"/>
        <item x="76"/>
        <item x="78"/>
        <item x="79"/>
        <item x="75"/>
        <item x="34"/>
        <item x="35"/>
        <item x="38"/>
        <item x="23"/>
        <item x="60"/>
        <item x="59"/>
        <item x="7"/>
        <item x="6"/>
        <item x="41"/>
        <item x="39"/>
        <item x="49"/>
        <item x="42"/>
        <item x="67"/>
        <item x="57"/>
        <item x="83"/>
        <item x="37"/>
        <item x="19"/>
        <item x="33"/>
        <item x="32"/>
        <item x="36"/>
        <item x="18"/>
        <item x="20"/>
        <item x="31"/>
        <item x="22"/>
        <item x="21"/>
        <item x="86"/>
        <item x="4"/>
        <item x="2"/>
        <item x="5"/>
        <item x="3"/>
        <item x="0"/>
        <item x="1"/>
        <item x="88"/>
        <item x="85"/>
        <item x="84"/>
        <item x="89"/>
        <item x="90"/>
        <item x="43"/>
        <item x="50"/>
        <item x="40"/>
        <item x="46"/>
        <item x="45"/>
        <item x="48"/>
        <item x="47"/>
        <item x="51"/>
        <item x="63"/>
        <item x="61"/>
        <item x="64"/>
        <item x="65"/>
        <item x="62"/>
        <item x="69"/>
        <item x="70"/>
        <item x="66"/>
        <item x="71"/>
        <item x="72"/>
        <item x="81"/>
        <item x="73"/>
        <item x="82"/>
        <item x="68"/>
        <item x="87"/>
        <item x="44"/>
        <item x="5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3">
    <field x="2"/>
    <field x="4"/>
    <field x="5"/>
  </rowFields>
  <rowItems count="136">
    <i>
      <x/>
    </i>
    <i r="1">
      <x/>
    </i>
    <i r="2">
      <x v="51"/>
    </i>
    <i r="2">
      <x v="52"/>
    </i>
    <i r="2">
      <x v="54"/>
    </i>
    <i r="2">
      <x v="57"/>
    </i>
    <i r="2">
      <x v="60"/>
    </i>
    <i r="2">
      <x v="64"/>
    </i>
    <i r="2">
      <x v="67"/>
    </i>
    <i r="1">
      <x v="8"/>
    </i>
    <i r="2">
      <x v="53"/>
    </i>
    <i r="2">
      <x v="55"/>
    </i>
    <i r="2">
      <x v="59"/>
    </i>
    <i r="1">
      <x v="12"/>
    </i>
    <i r="2">
      <x v="36"/>
    </i>
    <i r="2">
      <x v="37"/>
    </i>
    <i r="2">
      <x v="38"/>
    </i>
    <i r="2">
      <x v="39"/>
    </i>
    <i r="2">
      <x v="56"/>
    </i>
    <i r="1">
      <x v="17"/>
    </i>
    <i r="2">
      <x v="2"/>
    </i>
    <i r="2">
      <x v="3"/>
    </i>
    <i r="2">
      <x v="4"/>
    </i>
    <i r="2">
      <x v="5"/>
    </i>
    <i r="1">
      <x v="18"/>
    </i>
    <i r="2">
      <x v="1"/>
    </i>
    <i r="2">
      <x v="6"/>
    </i>
    <i r="2">
      <x v="7"/>
    </i>
    <i r="2">
      <x v="15"/>
    </i>
    <i r="2">
      <x v="58"/>
    </i>
    <i>
      <x v="2"/>
    </i>
    <i r="1">
      <x v="1"/>
    </i>
    <i r="2">
      <x v="61"/>
    </i>
    <i r="2">
      <x v="70"/>
    </i>
    <i r="2">
      <x v="95"/>
    </i>
    <i r="1">
      <x v="9"/>
    </i>
    <i r="2">
      <x v="62"/>
    </i>
    <i r="2">
      <x v="63"/>
    </i>
    <i r="2">
      <x v="65"/>
    </i>
    <i r="2">
      <x v="66"/>
    </i>
    <i r="2">
      <x v="67"/>
    </i>
    <i r="1">
      <x v="10"/>
    </i>
    <i r="2">
      <x v="68"/>
    </i>
    <i r="2">
      <x v="69"/>
    </i>
    <i r="2">
      <x v="71"/>
    </i>
    <i r="2">
      <x v="72"/>
    </i>
    <i r="1">
      <x v="13"/>
    </i>
    <i r="2">
      <x/>
    </i>
    <i r="2">
      <x v="42"/>
    </i>
    <i r="2">
      <x v="43"/>
    </i>
    <i r="1">
      <x v="19"/>
    </i>
    <i r="2">
      <x v="10"/>
    </i>
    <i r="2">
      <x v="11"/>
    </i>
    <i r="2">
      <x v="12"/>
    </i>
    <i r="2">
      <x v="16"/>
    </i>
    <i r="1">
      <x v="20"/>
    </i>
    <i r="2">
      <x v="9"/>
    </i>
    <i r="2">
      <x v="14"/>
    </i>
    <i r="2">
      <x v="17"/>
    </i>
    <i r="1">
      <x v="21"/>
    </i>
    <i r="2">
      <x v="19"/>
    </i>
    <i r="2">
      <x v="21"/>
    </i>
    <i r="2">
      <x v="22"/>
    </i>
    <i r="2">
      <x v="23"/>
    </i>
    <i r="1">
      <x v="22"/>
    </i>
    <i r="2">
      <x v="18"/>
    </i>
    <i r="2">
      <x v="20"/>
    </i>
    <i r="2">
      <x v="24"/>
    </i>
    <i>
      <x v="3"/>
    </i>
    <i r="1">
      <x v="2"/>
    </i>
    <i r="2">
      <x v="44"/>
    </i>
    <i r="2">
      <x v="47"/>
    </i>
    <i r="2">
      <x v="73"/>
    </i>
    <i r="2">
      <x v="76"/>
    </i>
    <i r="1">
      <x v="3"/>
    </i>
    <i r="2">
      <x v="45"/>
    </i>
    <i r="2">
      <x v="75"/>
    </i>
    <i r="2">
      <x v="77"/>
    </i>
    <i r="2">
      <x v="80"/>
    </i>
    <i r="1">
      <x v="4"/>
    </i>
    <i r="2">
      <x v="8"/>
    </i>
    <i r="2">
      <x v="46"/>
    </i>
    <i r="2">
      <x v="74"/>
    </i>
    <i r="2">
      <x v="78"/>
    </i>
    <i r="2">
      <x v="79"/>
    </i>
    <i r="1">
      <x v="15"/>
    </i>
    <i r="2">
      <x v="96"/>
    </i>
    <i r="1">
      <x v="16"/>
    </i>
    <i r="2">
      <x v="97"/>
    </i>
    <i>
      <x v="4"/>
    </i>
    <i r="1">
      <x v="5"/>
    </i>
    <i r="2">
      <x v="81"/>
    </i>
    <i r="2">
      <x v="82"/>
    </i>
    <i r="2">
      <x v="84"/>
    </i>
    <i r="2">
      <x v="85"/>
    </i>
    <i r="1">
      <x v="14"/>
    </i>
    <i r="2">
      <x v="40"/>
    </i>
    <i r="2">
      <x v="41"/>
    </i>
    <i r="2">
      <x v="49"/>
    </i>
    <i r="2">
      <x v="83"/>
    </i>
    <i r="1">
      <x v="23"/>
    </i>
    <i r="2">
      <x v="25"/>
    </i>
    <i r="2">
      <x v="26"/>
    </i>
    <i r="2">
      <x v="27"/>
    </i>
    <i r="2">
      <x v="28"/>
    </i>
    <i>
      <x v="5"/>
    </i>
    <i r="1">
      <x v="6"/>
    </i>
    <i r="2">
      <x v="86"/>
    </i>
    <i r="2">
      <x v="87"/>
    </i>
    <i r="2">
      <x v="88"/>
    </i>
    <i r="2">
      <x v="89"/>
    </i>
    <i r="1">
      <x v="7"/>
    </i>
    <i r="2">
      <x v="48"/>
    </i>
    <i r="2">
      <x v="50"/>
    </i>
    <i r="2">
      <x v="62"/>
    </i>
    <i r="2">
      <x v="63"/>
    </i>
    <i r="2">
      <x v="65"/>
    </i>
    <i r="2">
      <x v="66"/>
    </i>
    <i r="2">
      <x v="67"/>
    </i>
    <i r="2">
      <x v="91"/>
    </i>
    <i r="2">
      <x v="94"/>
    </i>
    <i r="1">
      <x v="11"/>
    </i>
    <i r="2">
      <x v="90"/>
    </i>
    <i r="2">
      <x v="92"/>
    </i>
    <i r="2">
      <x v="93"/>
    </i>
    <i r="1">
      <x v="24"/>
    </i>
    <i r="2">
      <x v="30"/>
    </i>
    <i r="2">
      <x v="31"/>
    </i>
    <i r="2">
      <x v="33"/>
    </i>
    <i r="1">
      <x v="25"/>
    </i>
    <i r="2">
      <x v="13"/>
    </i>
    <i r="2">
      <x v="29"/>
    </i>
    <i r="2">
      <x v="32"/>
    </i>
    <i r="2">
      <x v="34"/>
    </i>
    <i r="2">
      <x v="3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SO NA (w/o Chizhik)" fld="15" baseField="0" baseItem="0"/>
    <dataField name="Sum of RKA" fld="11" baseField="0" baseItem="0"/>
    <dataField name="Sum of Non-Skyline" fld="12" baseField="0" baseItem="0"/>
    <dataField name="Sum of Skyline (Tier3)" fld="13" baseField="0" baseItem="0"/>
    <dataField name="Sum of Skyline (Other)" fld="14" baseField="0" baseItem="0"/>
    <dataField name="Sum of SO RKA (execution)" fld="16" baseField="0" baseItem="0"/>
    <dataField name="Sum of Merch-model SO" fld="17" baseField="0" baseItem="0"/>
    <dataField name="Sum of NA Leading" fld="18" baseField="0" baseItem="0"/>
    <dataField name="Sum of RKA Leading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1" dT="2026-02-12T10:00:36.55" personId="{22DB85E7-37EA-426C-A631-1B9518DDC50E}" id="{0C05AB44-692B-4E75-AB19-E848DC2F471D}">
    <text>Европа и Линия</text>
  </threadedComment>
  <threadedComment ref="T21" dT="2026-02-10T08:31:21.72" personId="{22DB85E7-37EA-426C-A631-1B9518DDC50E}" id="{E0B744BD-B51E-4777-821C-E4E38254D3FF}">
    <text>Доброцен</text>
  </threadedComment>
  <threadedComment ref="U21" dT="2026-02-10T08:32:11.10" personId="{22DB85E7-37EA-426C-A631-1B9518DDC50E}" id="{56DAA161-B1B5-46E9-9631-3C6E2D368086}">
    <text>ЗООДИСКОНТ
Любимчик убрала</text>
  </threadedComment>
  <threadedComment ref="T22" dT="2026-02-10T08:31:29.64" personId="{22DB85E7-37EA-426C-A631-1B9518DDC50E}" id="{32A78597-2499-4990-A607-B1230ECFA29D}">
    <text>Доброцен</text>
  </threadedComment>
  <threadedComment ref="T24" dT="2026-02-10T08:31:33.25" personId="{22DB85E7-37EA-426C-A631-1B9518DDC50E}" id="{79C7AA9A-2680-499B-B5CA-9B869354ADBB}">
    <text>Доброцен</text>
  </threadedComment>
  <threadedComment ref="T25" dT="2026-02-10T08:31:36.17" personId="{22DB85E7-37EA-426C-A631-1B9518DDC50E}" id="{7833366F-73AD-4764-85BD-E45756723733}">
    <text>Доброцен</text>
  </threadedComment>
  <threadedComment ref="T26" dT="2026-02-10T08:31:42.05" personId="{22DB85E7-37EA-426C-A631-1B9518DDC50E}" id="{D3124B9F-F62F-4FB5-A17C-35D29D8CEBB3}">
    <text>Доброцен</text>
  </threadedComment>
  <threadedComment ref="T27" dT="2026-02-10T08:31:46.15" personId="{22DB85E7-37EA-426C-A631-1B9518DDC50E}" id="{56A4E96F-F5C0-40FC-B73D-0EA3DDDEB3DA}">
    <text>Доброцен</text>
  </threadedComment>
  <threadedComment ref="T30" dT="2026-02-10T08:20:52.43" personId="{22DB85E7-37EA-426C-A631-1B9518DDC50E}" id="{3C1EC568-6E8A-499F-B5A9-9E989DB01860}">
    <text>Доброцен, больше не отгружается с МД, все отгрузки с Дакорт</text>
  </threadedComment>
  <threadedComment ref="AM34" dT="2026-02-13T08:42:43.96" personId="{22DB85E7-37EA-426C-A631-1B9518DDC50E}" id="{F7140340-FD2F-4D34-B635-0E5C3F8BF0CE}">
    <text>Весь Метро и Перекрёсток на Юге</text>
  </threadedComment>
  <threadedComment ref="T35" dT="2026-02-16T09:12:29.19" personId="{22DB85E7-37EA-426C-A631-1B9518DDC50E}" id="{0E96E146-F5EA-4BE0-A514-EB90761E1580}">
    <text>Доброцен, больше с ФТ не отгружается</text>
  </threadedComment>
  <threadedComment ref="AL36" dT="2026-02-13T08:43:38.40" personId="{22DB85E7-37EA-426C-A631-1B9518DDC50E}" id="{35D87E8B-11CC-486A-B0D2-4F2D95248036}">
    <text>50% Магнит на Юге</text>
  </threadedComment>
  <threadedComment ref="AK37" dT="2026-02-13T08:43:23.83" personId="{22DB85E7-37EA-426C-A631-1B9518DDC50E}" id="{5FB19028-3C14-464E-BA98-8A7F07416EDF}">
    <text>Вся Пятёрочка на Юге</text>
  </threadedComment>
  <threadedComment ref="AL45" dT="2026-02-13T08:43:41.96" personId="{22DB85E7-37EA-426C-A631-1B9518DDC50E}" id="{DDD67B2B-9F88-4082-B9BF-76AFCED3ECD3}">
    <text>50% Магнит на Юге</text>
  </threadedComment>
  <threadedComment ref="AM49" dT="2026-02-13T08:41:48.25" personId="{22DB85E7-37EA-426C-A631-1B9518DDC50E}" id="{1D6DC542-D9E2-4FCB-8DBF-E3AC76E70B59}">
    <text>Весь Ашан (+Атак) на Юге</text>
  </threadedComment>
  <threadedComment ref="AM55" dT="2026-02-13T08:40:43.65" personId="{22DB85E7-37EA-426C-A631-1B9518DDC50E}" id="{906FF491-1C35-4F8F-9223-926AFF8A665E}">
    <text>Весь Окей и Лента на Юге</text>
  </threadedComment>
  <threadedComment ref="T64" dT="2026-02-16T09:13:09.31" personId="{22DB85E7-37EA-426C-A631-1B9518DDC50E}" id="{77A3F69F-DBC1-4983-97BD-27A4AD1B5612}">
    <text>Доброцен, больше с ФТ не отгружается</text>
  </threadedComment>
  <threadedComment ref="AG64" dT="2026-02-16T09:12:53.30" personId="{22DB85E7-37EA-426C-A631-1B9518DDC50E}" id="{0494B490-016F-4806-9520-5564363FBCDA}">
    <text>Победа</text>
  </threadedComment>
  <threadedComment ref="T65" dT="2026-02-16T09:35:58.34" personId="{22DB85E7-37EA-426C-A631-1B9518DDC50E}" id="{FA08A940-0553-4FC8-A1B0-149041F37B39}">
    <text>Доброцен, больше с ФТ не отгружается</text>
  </threadedComment>
  <threadedComment ref="AG65" dT="2026-02-16T09:37:31.39" personId="{22DB85E7-37EA-426C-A631-1B9518DDC50E}" id="{60D4B7F7-1C72-4C20-B1BE-685FDE635453}">
    <text>Победа</text>
  </threadedComment>
  <threadedComment ref="T67" dT="2026-02-16T09:36:06.66" personId="{22DB85E7-37EA-426C-A631-1B9518DDC50E}" id="{6ED9AC52-7614-4B3A-AF21-A16232713F00}">
    <text>Доброцен, больше с ФТ не отгружается</text>
  </threadedComment>
  <threadedComment ref="AG67" dT="2026-02-16T09:37:35.60" personId="{22DB85E7-37EA-426C-A631-1B9518DDC50E}" id="{DC5B3F89-F6B4-47F0-B6C5-E978EEDB9BAA}">
    <text>Победа</text>
  </threadedComment>
  <threadedComment ref="T68" dT="2026-02-16T09:36:09.85" personId="{22DB85E7-37EA-426C-A631-1B9518DDC50E}" id="{1891CEE3-7F92-4931-B6DC-6EFF4BDC7927}">
    <text>Доброцен, больше с ФТ не отгружается</text>
  </threadedComment>
  <threadedComment ref="AG68" dT="2026-02-16T09:37:40.96" personId="{22DB85E7-37EA-426C-A631-1B9518DDC50E}" id="{AB5989B7-3043-4CDA-B7F7-466B3EED701C}">
    <text>Победа</text>
  </threadedComment>
  <threadedComment ref="AG71" dT="2026-02-16T09:37:43.55" personId="{22DB85E7-37EA-426C-A631-1B9518DDC50E}" id="{A82AF81C-496B-4E5A-94A5-D13A30DA8B95}">
    <text>Победа</text>
  </threadedComment>
  <threadedComment ref="AG72" dT="2026-02-16T09:37:46.32" personId="{22DB85E7-37EA-426C-A631-1B9518DDC50E}" id="{D0909C91-AB58-48BD-BE7A-AF3BE4EDCD8F}">
    <text>Победа</text>
  </threadedComment>
  <threadedComment ref="T74" dT="2026-02-16T09:36:13.66" personId="{22DB85E7-37EA-426C-A631-1B9518DDC50E}" id="{AF566169-C814-45F2-A9B7-923EC480B185}">
    <text>Доброцен, больше с ФТ не отгружается</text>
  </threadedComment>
  <threadedComment ref="AG74" dT="2026-02-16T09:37:48.64" personId="{22DB85E7-37EA-426C-A631-1B9518DDC50E}" id="{73EAEDA4-EF12-4183-ABBD-60156D200D2E}">
    <text>Победа</text>
  </threadedComment>
  <threadedComment ref="T75" dT="2026-02-16T09:36:20.47" personId="{22DB85E7-37EA-426C-A631-1B9518DDC50E}" id="{DB5B23D9-9FB0-4EE7-83C6-CD05D62BF185}">
    <text>Доброцен, больше с ФТ не отгружается</text>
  </threadedComment>
  <threadedComment ref="AG75" dT="2026-02-16T09:37:51.99" personId="{22DB85E7-37EA-426C-A631-1B9518DDC50E}" id="{8027281A-6053-47C7-85E1-9A926C3104D1}">
    <text>Победа</text>
  </threadedComment>
  <threadedComment ref="T76" dT="2026-02-16T09:36:28.35" personId="{22DB85E7-37EA-426C-A631-1B9518DDC50E}" id="{CF70B308-D87D-425E-9363-2223DD657D2C}">
    <text>Доброцен, больше с ФТ не отгружается</text>
  </threadedComment>
  <threadedComment ref="AG76" dT="2026-02-16T09:37:56.79" personId="{22DB85E7-37EA-426C-A631-1B9518DDC50E}" id="{FC01495B-A8AE-44C7-B58C-DC2FEB1AEE61}">
    <text>Победа</text>
  </threadedComment>
  <threadedComment ref="T77" dT="2026-02-16T09:36:31.84" personId="{22DB85E7-37EA-426C-A631-1B9518DDC50E}" id="{43CFDF0D-8D21-4444-959D-2990FE9D18C3}">
    <text>Доброцен, больше с ФТ не отгружается</text>
  </threadedComment>
  <threadedComment ref="AG77" dT="2026-02-16T09:38:00.74" personId="{22DB85E7-37EA-426C-A631-1B9518DDC50E}" id="{B87CDBBC-5B24-4074-83DC-4A27DAD66746}">
    <text>Победа</text>
  </threadedComment>
  <threadedComment ref="AG78" dT="2026-02-16T09:38:13.91" personId="{22DB85E7-37EA-426C-A631-1B9518DDC50E}" id="{1E51765E-4545-459C-B01A-7214B78511AC}">
    <text>Победа</text>
  </threadedComment>
  <threadedComment ref="AG79" dT="2026-02-16T09:38:16.32" personId="{22DB85E7-37EA-426C-A631-1B9518DDC50E}" id="{2ED27797-C33F-4A4C-8E70-893C312053F4}">
    <text>Победа</text>
  </threadedComment>
  <threadedComment ref="AG80" dT="2026-02-16T09:38:19.38" personId="{22DB85E7-37EA-426C-A631-1B9518DDC50E}" id="{D0EF1E3A-E3D2-4D1C-8F69-D7AFA8CA49A1}">
    <text>Победа</text>
  </threadedComment>
  <threadedComment ref="T82" dT="2026-02-16T09:36:34.70" personId="{22DB85E7-37EA-426C-A631-1B9518DDC50E}" id="{29B18984-A28F-42DC-B606-73AEFF0DD3E6}">
    <text>Доброцен, больше с ФТ не отгружается</text>
  </threadedComment>
  <threadedComment ref="AG82" dT="2026-02-16T09:38:22.10" personId="{22DB85E7-37EA-426C-A631-1B9518DDC50E}" id="{8D71D16A-C03C-47DE-AF68-655894670B09}">
    <text>Победа</text>
  </threadedComment>
  <threadedComment ref="AG85" dT="2026-02-16T09:38:24.30" personId="{22DB85E7-37EA-426C-A631-1B9518DDC50E}" id="{9665018B-35F1-4F55-BFC3-87FEE0034912}">
    <text>Победа</text>
  </threadedComment>
  <threadedComment ref="T86" dT="2026-02-16T09:36:39.18" personId="{22DB85E7-37EA-426C-A631-1B9518DDC50E}" id="{6260D6A2-0F1D-42C3-BD0E-64C128B8919D}">
    <text>Доброцен, больше с ФТ не отгружается</text>
  </threadedComment>
  <threadedComment ref="AG86" dT="2026-02-16T09:38:27.87" personId="{22DB85E7-37EA-426C-A631-1B9518DDC50E}" id="{24C8B822-3D64-4B58-B8C0-417FA2F89D00}">
    <text>Победа</text>
  </threadedComment>
  <threadedComment ref="AG88" dT="2026-02-16T09:38:33.76" personId="{22DB85E7-37EA-426C-A631-1B9518DDC50E}" id="{7D0BE1EA-E889-4795-AD88-AE66F68616F8}">
    <text>Победа</text>
  </threadedComment>
  <threadedComment ref="AG89" dT="2026-02-16T09:38:36.85" personId="{22DB85E7-37EA-426C-A631-1B9518DDC50E}" id="{314CD5F0-293F-4676-B3AE-3F8C12004CC4}">
    <text>Победа</text>
  </threadedComment>
  <threadedComment ref="AG90" dT="2026-02-16T09:38:39.24" personId="{22DB85E7-37EA-426C-A631-1B9518DDC50E}" id="{35EFDECF-A2FA-4EEE-8BFC-A450D32FA95E}">
    <text>Победа</text>
  </threadedComment>
  <threadedComment ref="AG91" dT="2026-02-16T09:38:42.01" personId="{22DB85E7-37EA-426C-A631-1B9518DDC50E}" id="{D45A2A03-A9F7-43A2-A93F-AAA9A1F073FE}">
    <text>Победа</text>
  </threadedComment>
  <threadedComment ref="AG92" dT="2026-02-16T09:38:45.80" personId="{22DB85E7-37EA-426C-A631-1B9518DDC50E}" id="{47E88F04-3E29-4CB5-B5D1-456549E8492B}">
    <text>Победа</text>
  </threadedComment>
  <threadedComment ref="T93" dT="2026-02-16T09:36:41.75" personId="{22DB85E7-37EA-426C-A631-1B9518DDC50E}" id="{57AE027A-4F54-4B7A-8541-C982CE43AB01}">
    <text>Доброцен, больше с ФТ не отгружается</text>
  </threadedComment>
  <threadedComment ref="AG93" dT="2026-02-16T09:38:48.17" personId="{22DB85E7-37EA-426C-A631-1B9518DDC50E}" id="{BC7A2796-7A65-48C6-97EE-3D332C8E3347}">
    <text>Победа</text>
  </threadedComment>
  <threadedComment ref="AG96" dT="2026-02-16T09:38:52.67" personId="{22DB85E7-37EA-426C-A631-1B9518DDC50E}" id="{20D67E70-A85A-4996-9B32-86E0FD418F94}">
    <text>Победа</text>
  </threadedComment>
  <threadedComment ref="T98" dT="2026-02-16T09:36:44.74" personId="{22DB85E7-37EA-426C-A631-1B9518DDC50E}" id="{C95EFF4C-2F69-4EEC-9C24-65AC1BF1ECAA}">
    <text>Доброцен, больше с ФТ не отгружается</text>
  </threadedComment>
  <threadedComment ref="AG98" dT="2026-02-16T09:38:55.35" personId="{22DB85E7-37EA-426C-A631-1B9518DDC50E}" id="{7EF33799-E2F2-46F6-AC18-4850A0403372}">
    <text>Победа</text>
  </threadedComment>
  <threadedComment ref="AG99" dT="2026-02-16T09:39:03.42" personId="{22DB85E7-37EA-426C-A631-1B9518DDC50E}" id="{C0326890-D75F-4639-85E4-786E29476A7D}">
    <text>Победа</text>
  </threadedComment>
  <threadedComment ref="T101" dT="2026-02-16T09:36:47.42" personId="{22DB85E7-37EA-426C-A631-1B9518DDC50E}" id="{FEAF0CFB-95EA-4D3C-B177-A31E71364DF9}">
    <text>Доброцен, больше с ФТ не отгружается</text>
  </threadedComment>
  <threadedComment ref="AG101" dT="2026-02-16T09:39:06.52" personId="{22DB85E7-37EA-426C-A631-1B9518DDC50E}" id="{65C0DEB5-7002-4D16-812C-913B6D64A90D}">
    <text>Победа</text>
  </threadedComment>
  <threadedComment ref="W102" dT="2026-02-16T09:42:49.38" personId="{22DB85E7-37EA-426C-A631-1B9518DDC50E}" id="{B2FCD538-A0EA-4793-BFA9-5F5AECF029D5}">
    <text>Караван Волга</text>
  </threadedComment>
  <threadedComment ref="W103" dT="2026-02-16T09:42:52.83" personId="{22DB85E7-37EA-426C-A631-1B9518DDC50E}" id="{6674D7AC-0EAD-4C33-BBB1-200C4969F01A}">
    <text>Караван Волга</text>
  </threadedComment>
  <threadedComment ref="W104" dT="2026-02-16T09:42:56.30" personId="{22DB85E7-37EA-426C-A631-1B9518DDC50E}" id="{29DB8106-F8D9-4C6F-8D38-4872C9E440B7}">
    <text>Караван Волга</text>
  </threadedComment>
  <threadedComment ref="AG107" dT="2026-02-16T09:39:09.87" personId="{22DB85E7-37EA-426C-A631-1B9518DDC50E}" id="{8AB82AA8-3F0B-4B01-9D7A-B582064224DC}">
    <text>Победа</text>
  </threadedComment>
  <threadedComment ref="T108" dT="2026-02-16T09:36:49.93" personId="{22DB85E7-37EA-426C-A631-1B9518DDC50E}" id="{8A2218B3-CDA9-45A7-B9EC-B069597BF10C}">
    <text>Доброцен, больше с ФТ не отгружается</text>
  </threadedComment>
  <threadedComment ref="AG108" dT="2026-02-16T09:39:16.45" personId="{22DB85E7-37EA-426C-A631-1B9518DDC50E}" id="{53442969-1C65-4AC9-A704-3C91085CF2F8}">
    <text>Победа</text>
  </threadedComment>
  <threadedComment ref="AG111" dT="2026-02-16T09:39:19.21" personId="{22DB85E7-37EA-426C-A631-1B9518DDC50E}" id="{0F12A806-8AFE-4F3E-B3B6-2EF47DBF1D62}">
    <text>Победа</text>
  </threadedComment>
  <threadedComment ref="T112" dT="2026-02-16T09:36:52.15" personId="{22DB85E7-37EA-426C-A631-1B9518DDC50E}" id="{C3B2257F-FD60-47A4-B24C-C0C3EF37752A}">
    <text>Доброцен, больше с ФТ не отгружается</text>
  </threadedComment>
  <threadedComment ref="AG112" dT="2026-02-16T09:39:25.69" personId="{22DB85E7-37EA-426C-A631-1B9518DDC50E}" id="{4C1C75F2-35C1-4C95-96E8-7A9D93064D63}">
    <text>Победа</text>
  </threadedComment>
  <threadedComment ref="T113" dT="2026-02-16T09:36:55.26" personId="{22DB85E7-37EA-426C-A631-1B9518DDC50E}" id="{A28F0378-44EE-4112-91A5-8DA405F7E63D}">
    <text>Доброцен, больше с ФТ не отгружается</text>
  </threadedComment>
  <threadedComment ref="AG113" dT="2026-02-16T09:39:29.07" personId="{22DB85E7-37EA-426C-A631-1B9518DDC50E}" id="{52B8D457-AFF2-420F-A553-7CBF6D81F835}">
    <text>Победа</text>
  </threadedComment>
  <threadedComment ref="AG114" dT="2026-02-16T09:39:32.43" personId="{22DB85E7-37EA-426C-A631-1B9518DDC50E}" id="{E56F9193-67F5-4580-B03D-88A5CBCD7B99}">
    <text>Победа</text>
  </threadedComment>
  <threadedComment ref="AG116" dT="2026-02-16T09:31:36.60" personId="{22DB85E7-37EA-426C-A631-1B9518DDC50E}" id="{E53F32E7-2991-4500-9FD3-0465720A64A6}">
    <text>Доброцен</text>
  </threadedComment>
  <threadedComment ref="AG117" dT="2026-02-16T09:31:42.51" personId="{22DB85E7-37EA-426C-A631-1B9518DDC50E}" id="{E5368664-45BA-44C4-872D-AABD6DE79649}">
    <text>Доброцен</text>
  </threadedComment>
  <threadedComment ref="AG118" dT="2026-02-16T09:33:47.33" personId="{22DB85E7-37EA-426C-A631-1B9518DDC50E}" id="{A0245BE8-3868-4B93-A45C-7BE0C41EE9BD}">
    <text>Доброцен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6-02-16T03:12:28.22" personId="{E1BFBCE7-BC33-454E-B661-34C9DDEE260E}" id="{C248DF6D-E1A7-4327-8781-FCCC0B982B60}">
    <text>Метрополис</text>
  </threadedComment>
  <threadedComment ref="T6" dT="2026-02-18T08:11:59.19" personId="{E1BFBCE7-BC33-454E-B661-34C9DDEE260E}" id="{484B4642-931F-40F6-87C7-D0675070DDA4}">
    <text>Табыш</text>
  </threadedComment>
  <threadedComment ref="F9" dT="2026-02-17T10:04:54.11" personId="{6210F70F-0D40-46C6-A1E4-86F57C39FF76}" id="{B8F358E9-A63A-421D-9A52-DE023FF8C1B0}">
    <text>Взаимодействие 4 филиала: Ульяновск,  Воронеж, Краснодар,Волгоград</text>
  </threadedComment>
  <threadedComment ref="AM11" dT="2026-02-16T05:16:58.96" personId="{E1BFBCE7-BC33-454E-B661-34C9DDEE260E}" id="{AC692992-E353-4984-BB83-5A412B30551D}">
    <text>Верный</text>
  </threadedComment>
  <threadedComment ref="AM12" dT="2026-02-16T05:12:45.16" personId="{E1BFBCE7-BC33-454E-B661-34C9DDEE260E}" id="{3792FD63-CAD2-4CDC-917E-A510F8FCD3EF}">
    <text>Лента</text>
  </threadedComment>
  <threadedComment ref="AM15" dT="2026-02-16T05:08:00.36" personId="{E1BFBCE7-BC33-454E-B661-34C9DDEE260E}" id="{DBB3B802-A00F-4F00-A838-36FD4AB68176}">
    <text>Перекресток</text>
  </threadedComment>
  <threadedComment ref="AM20" dT="2026-02-16T05:11:26.61" personId="{E1BFBCE7-BC33-454E-B661-34C9DDEE260E}" id="{CEBF160E-C819-4A33-AECD-12782A67F17F}">
    <text>Метро</text>
  </threadedComment>
  <threadedComment ref="U21" dT="2026-02-10T06:40:48.01" personId="{E1BFBCE7-BC33-454E-B661-34C9DDEE260E}" id="{FBBE4828-CA74-448E-AADC-64C65C4B7A75}">
    <text>Белый Кролик</text>
  </threadedComment>
  <threadedComment ref="S27" dT="2026-02-13T04:51:29.46" personId="{E1BFBCE7-BC33-454E-B661-34C9DDEE260E}" id="{3CB35B47-ACF8-41CE-AB1E-54DFD6CCE726}">
    <text>Кировский</text>
  </threadedComment>
  <threadedComment ref="AG27" dT="2026-02-16T06:34:12.78" personId="{E1BFBCE7-BC33-454E-B661-34C9DDEE260E}" id="{3B6D2FFF-E8EB-4846-A583-D6049BBAE7BA}">
    <text>Кировский</text>
  </threadedComment>
  <threadedComment ref="AH27" dT="2026-02-13T04:51:29.46" personId="{E1BFBCE7-BC33-454E-B661-34C9DDEE260E}" id="{E3D5585C-7686-48DD-9861-6E3E41873336}">
    <text>Кировский</text>
  </threadedComment>
  <threadedComment ref="W29" dT="2026-02-18T02:22:45.31" personId="{E1BFBCE7-BC33-454E-B661-34C9DDEE260E}" id="{BAED7A08-20B2-4DAE-9296-AF7D6361D86F}">
    <text>Лион</text>
  </threadedComment>
  <threadedComment ref="X31" dT="2026-02-13T05:07:13.45" personId="{E1BFBCE7-BC33-454E-B661-34C9DDEE260E}" id="{527870FD-2D8F-4BE6-8128-D7289065A0F5}">
    <text>Баско, Оптима</text>
  </threadedComment>
  <threadedComment ref="AA31" dT="2026-02-13T05:07:24.65" personId="{E1BFBCE7-BC33-454E-B661-34C9DDEE260E}" id="{73E16D06-8DDC-4F3B-B25C-3BE56CA0EC88}">
    <text>Баско</text>
  </threadedComment>
  <threadedComment ref="X32" dT="2026-02-13T05:07:13.45" personId="{E1BFBCE7-BC33-454E-B661-34C9DDEE260E}" id="{A3C3A5EB-98D8-4295-AAC0-BA7CED9628D7}">
    <text>Баско, Оптима</text>
  </threadedComment>
  <threadedComment ref="AA32" dT="2026-02-13T05:07:24.65" personId="{E1BFBCE7-BC33-454E-B661-34C9DDEE260E}" id="{1814C06E-3853-4C36-A924-D386C8B3D48E}">
    <text>Баско</text>
  </threadedComment>
  <threadedComment ref="W34" dT="2026-02-13T05:15:06.59" personId="{E1BFBCE7-BC33-454E-B661-34C9DDEE260E}" id="{B270F7B0-42F9-4059-AAA4-13C1BCCAB53E}">
    <text>маяк</text>
  </threadedComment>
  <threadedComment ref="T35" dT="2026-02-13T05:23:04.04" personId="{E1BFBCE7-BC33-454E-B661-34C9DDEE260E}" id="{25D6369E-AE59-4A33-9CBA-86A963323C5E}">
    <text>Метрополис</text>
  </threadedComment>
  <threadedComment ref="AM38" dT="2026-02-16T05:15:42.23" personId="{E1BFBCE7-BC33-454E-B661-34C9DDEE260E}" id="{CC73E22D-A5CB-4A56-8469-BEA3E4215567}">
    <text>Окей</text>
  </threadedComment>
  <threadedComment ref="W39" dT="2026-02-13T05:46:07.35" personId="{E1BFBCE7-BC33-454E-B661-34C9DDEE260E}" id="{09F2C565-787F-43A2-9C62-6BA3B85A8496}">
    <text>Сеть Молния продана в 2025г</text>
  </threadedComment>
  <threadedComment ref="T40" dT="2026-02-13T05:53:25.21" personId="{E1BFBCE7-BC33-454E-B661-34C9DDEE260E}" id="{B1E6351B-DC58-4F03-9737-C6D6A0CB74C7}">
    <text>Метрополис</text>
  </threadedComment>
  <threadedComment ref="U40" dT="2026-02-13T05:48:23.21" personId="{E1BFBCE7-BC33-454E-B661-34C9DDEE260E}" id="{CFA50407-C825-48E8-8580-8A48B487F7B2}">
    <text>Зоооптторг</text>
  </threadedComment>
  <threadedComment ref="W41" dT="2026-02-13T05:49:20.39" personId="{E1BFBCE7-BC33-454E-B661-34C9DDEE260E}" id="{EADB0B9E-14E5-42CF-B7F6-217130C1F220}">
    <text>Маяк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044A-FCF6-425C-B812-47073DC72B33}">
  <dimension ref="A1:W46"/>
  <sheetViews>
    <sheetView topLeftCell="A12" zoomScale="69" zoomScaleNormal="100" workbookViewId="0">
      <selection activeCell="M49" sqref="M49"/>
    </sheetView>
  </sheetViews>
  <sheetFormatPr defaultColWidth="8.85546875" defaultRowHeight="12.75" x14ac:dyDescent="0.2"/>
  <cols>
    <col min="1" max="1" width="19.42578125" style="63" bestFit="1" customWidth="1"/>
    <col min="2" max="2" width="19.5703125" style="63" bestFit="1" customWidth="1"/>
    <col min="3" max="3" width="36.140625" style="63" bestFit="1" customWidth="1"/>
    <col min="4" max="4" width="30.140625" style="63" bestFit="1" customWidth="1"/>
    <col min="5" max="5" width="9.42578125" style="63" customWidth="1"/>
    <col min="6" max="8" width="8.85546875" style="63"/>
    <col min="9" max="9" width="17.85546875" style="63" bestFit="1" customWidth="1"/>
    <col min="10" max="10" width="8.85546875" style="63"/>
    <col min="11" max="11" width="11" style="63" bestFit="1" customWidth="1"/>
    <col min="12" max="12" width="8.85546875" style="63"/>
    <col min="13" max="13" width="14.140625" style="63" bestFit="1" customWidth="1"/>
    <col min="14" max="15" width="14.42578125" style="63" bestFit="1" customWidth="1"/>
    <col min="16" max="18" width="14.140625" style="63" bestFit="1" customWidth="1"/>
    <col min="19" max="19" width="14.42578125" style="63" bestFit="1" customWidth="1"/>
    <col min="20" max="21" width="13.85546875" style="63" customWidth="1"/>
    <col min="22" max="23" width="13.140625" style="63" bestFit="1" customWidth="1"/>
    <col min="24" max="16384" width="8.85546875" style="63"/>
  </cols>
  <sheetData>
    <row r="1" spans="1:23" s="44" customFormat="1" ht="15" customHeight="1" thickBot="1" x14ac:dyDescent="0.25">
      <c r="A1" s="42" t="s">
        <v>182</v>
      </c>
      <c r="B1" s="43" t="s">
        <v>183</v>
      </c>
      <c r="F1" s="45"/>
      <c r="G1" s="45"/>
      <c r="I1" s="479" t="s">
        <v>184</v>
      </c>
      <c r="J1" s="480"/>
      <c r="K1" s="480"/>
      <c r="L1" s="480"/>
      <c r="M1" s="480"/>
      <c r="N1" s="480"/>
      <c r="O1" s="480"/>
      <c r="P1" s="480"/>
      <c r="Q1" s="480"/>
      <c r="R1" s="480"/>
      <c r="S1" s="481"/>
      <c r="T1" s="479" t="s">
        <v>185</v>
      </c>
      <c r="U1" s="480"/>
      <c r="V1" s="480"/>
      <c r="W1" s="481"/>
    </row>
    <row r="2" spans="1:23" s="46" customFormat="1" ht="59.45" customHeight="1" thickBot="1" x14ac:dyDescent="0.3">
      <c r="I2" s="47" t="s">
        <v>186</v>
      </c>
      <c r="J2" s="48" t="s">
        <v>187</v>
      </c>
      <c r="K2" s="46" t="s">
        <v>187</v>
      </c>
      <c r="L2" s="49" t="s">
        <v>187</v>
      </c>
      <c r="M2" s="46" t="s">
        <v>188</v>
      </c>
      <c r="N2" s="46" t="s">
        <v>188</v>
      </c>
      <c r="O2" s="46" t="s">
        <v>188</v>
      </c>
      <c r="P2" s="46" t="s">
        <v>188</v>
      </c>
      <c r="Q2" s="46" t="s">
        <v>188</v>
      </c>
      <c r="R2" s="46" t="s">
        <v>188</v>
      </c>
      <c r="S2" s="49" t="s">
        <v>188</v>
      </c>
      <c r="T2" s="482" t="s">
        <v>189</v>
      </c>
      <c r="U2" s="483"/>
      <c r="V2" s="483"/>
      <c r="W2" s="484"/>
    </row>
    <row r="3" spans="1:23" s="56" customFormat="1" ht="26.25" thickBot="1" x14ac:dyDescent="0.3">
      <c r="A3" s="50" t="s">
        <v>190</v>
      </c>
      <c r="B3" s="51" t="s">
        <v>191</v>
      </c>
      <c r="C3" s="51" t="s">
        <v>192</v>
      </c>
      <c r="D3" s="52" t="s">
        <v>193</v>
      </c>
      <c r="E3" s="50" t="s">
        <v>194</v>
      </c>
      <c r="F3" s="52" t="s">
        <v>195</v>
      </c>
      <c r="G3" s="53" t="s">
        <v>196</v>
      </c>
      <c r="H3" s="53" t="s">
        <v>197</v>
      </c>
      <c r="I3" s="50" t="s">
        <v>198</v>
      </c>
      <c r="J3" s="50" t="s">
        <v>199</v>
      </c>
      <c r="K3" s="51" t="s">
        <v>200</v>
      </c>
      <c r="L3" s="52" t="s">
        <v>201</v>
      </c>
      <c r="M3" s="51" t="s">
        <v>202</v>
      </c>
      <c r="N3" s="51" t="s">
        <v>203</v>
      </c>
      <c r="O3" s="51" t="s">
        <v>204</v>
      </c>
      <c r="P3" s="51" t="s">
        <v>205</v>
      </c>
      <c r="Q3" s="51" t="s">
        <v>206</v>
      </c>
      <c r="R3" s="51" t="s">
        <v>207</v>
      </c>
      <c r="S3" s="52" t="s">
        <v>208</v>
      </c>
      <c r="T3" s="50" t="s">
        <v>209</v>
      </c>
      <c r="U3" s="51" t="s">
        <v>210</v>
      </c>
      <c r="V3" s="54" t="s">
        <v>199</v>
      </c>
      <c r="W3" s="55" t="s">
        <v>200</v>
      </c>
    </row>
    <row r="4" spans="1:23" x14ac:dyDescent="0.2">
      <c r="A4" s="57" t="s">
        <v>211</v>
      </c>
      <c r="B4" s="58" t="s">
        <v>212</v>
      </c>
      <c r="C4" s="58" t="s">
        <v>213</v>
      </c>
      <c r="D4" s="59" t="s">
        <v>214</v>
      </c>
      <c r="E4" s="60"/>
      <c r="F4" s="60"/>
      <c r="G4" s="485">
        <v>2</v>
      </c>
      <c r="H4" s="485">
        <v>1</v>
      </c>
      <c r="I4" s="61">
        <v>12474375.440114986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2"/>
    </row>
    <row r="5" spans="1:23" x14ac:dyDescent="0.2">
      <c r="A5" s="64" t="s">
        <v>215</v>
      </c>
      <c r="B5" s="65" t="s">
        <v>212</v>
      </c>
      <c r="C5" s="65" t="s">
        <v>213</v>
      </c>
      <c r="D5" s="66" t="s">
        <v>214</v>
      </c>
      <c r="G5" s="486"/>
      <c r="H5" s="486"/>
      <c r="I5" s="67">
        <v>13101834.389945012</v>
      </c>
      <c r="W5" s="68"/>
    </row>
    <row r="6" spans="1:23" x14ac:dyDescent="0.2">
      <c r="A6" s="64" t="s">
        <v>216</v>
      </c>
      <c r="B6" s="65" t="s">
        <v>212</v>
      </c>
      <c r="C6" s="65" t="s">
        <v>213</v>
      </c>
      <c r="D6" s="66" t="s">
        <v>214</v>
      </c>
      <c r="G6" s="486"/>
      <c r="H6" s="486"/>
      <c r="I6" s="67">
        <v>12765397.916910024</v>
      </c>
      <c r="W6" s="68"/>
    </row>
    <row r="7" spans="1:23" x14ac:dyDescent="0.2">
      <c r="A7" s="64" t="s">
        <v>217</v>
      </c>
      <c r="B7" s="65" t="s">
        <v>212</v>
      </c>
      <c r="C7" s="65" t="s">
        <v>213</v>
      </c>
      <c r="D7" s="66" t="s">
        <v>214</v>
      </c>
      <c r="G7" s="486"/>
      <c r="H7" s="486"/>
      <c r="I7" s="67">
        <v>9760270.0104750115</v>
      </c>
      <c r="W7" s="68"/>
    </row>
    <row r="8" spans="1:23" x14ac:dyDescent="0.2">
      <c r="A8" s="64" t="s">
        <v>218</v>
      </c>
      <c r="B8" s="65" t="s">
        <v>212</v>
      </c>
      <c r="C8" s="65" t="s">
        <v>213</v>
      </c>
      <c r="D8" s="66" t="s">
        <v>214</v>
      </c>
      <c r="G8" s="486"/>
      <c r="H8" s="486"/>
      <c r="I8" s="67">
        <v>14278538.622679975</v>
      </c>
      <c r="W8" s="68"/>
    </row>
    <row r="9" spans="1:23" x14ac:dyDescent="0.2">
      <c r="A9" s="64" t="s">
        <v>219</v>
      </c>
      <c r="B9" s="65" t="s">
        <v>212</v>
      </c>
      <c r="C9" s="65" t="s">
        <v>213</v>
      </c>
      <c r="D9" s="66" t="s">
        <v>214</v>
      </c>
      <c r="G9" s="486"/>
      <c r="H9" s="486"/>
      <c r="I9" s="67">
        <v>18179410.183660042</v>
      </c>
      <c r="W9" s="68"/>
    </row>
    <row r="10" spans="1:23" ht="13.5" thickBot="1" x14ac:dyDescent="0.25">
      <c r="A10" s="69" t="s">
        <v>220</v>
      </c>
      <c r="B10" s="70" t="s">
        <v>212</v>
      </c>
      <c r="C10" s="70" t="s">
        <v>213</v>
      </c>
      <c r="D10" s="71" t="s">
        <v>214</v>
      </c>
      <c r="E10" s="72"/>
      <c r="F10" s="72"/>
      <c r="G10" s="487"/>
      <c r="H10" s="487"/>
      <c r="I10" s="73">
        <v>10226726.025295002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4"/>
    </row>
    <row r="11" spans="1:23" x14ac:dyDescent="0.2">
      <c r="A11" s="57" t="s">
        <v>211</v>
      </c>
      <c r="B11" s="58" t="s">
        <v>212</v>
      </c>
      <c r="C11" s="58" t="s">
        <v>213</v>
      </c>
      <c r="D11" s="58" t="s">
        <v>221</v>
      </c>
      <c r="E11" s="60"/>
      <c r="F11" s="60"/>
      <c r="G11" s="485">
        <v>1</v>
      </c>
      <c r="H11" s="60"/>
      <c r="I11" s="61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2"/>
    </row>
    <row r="12" spans="1:23" x14ac:dyDescent="0.2">
      <c r="A12" s="64" t="s">
        <v>215</v>
      </c>
      <c r="B12" s="65" t="s">
        <v>212</v>
      </c>
      <c r="C12" s="65" t="s">
        <v>213</v>
      </c>
      <c r="D12" s="65" t="s">
        <v>221</v>
      </c>
      <c r="G12" s="486"/>
      <c r="I12" s="67"/>
      <c r="W12" s="68"/>
    </row>
    <row r="13" spans="1:23" x14ac:dyDescent="0.2">
      <c r="A13" s="64" t="s">
        <v>216</v>
      </c>
      <c r="B13" s="65" t="s">
        <v>212</v>
      </c>
      <c r="C13" s="65" t="s">
        <v>213</v>
      </c>
      <c r="D13" s="65" t="s">
        <v>221</v>
      </c>
      <c r="G13" s="486"/>
      <c r="I13" s="67"/>
      <c r="W13" s="68"/>
    </row>
    <row r="14" spans="1:23" x14ac:dyDescent="0.2">
      <c r="A14" s="64" t="s">
        <v>222</v>
      </c>
      <c r="B14" s="65" t="s">
        <v>212</v>
      </c>
      <c r="C14" s="65" t="s">
        <v>213</v>
      </c>
      <c r="D14" s="65" t="s">
        <v>221</v>
      </c>
      <c r="G14" s="486"/>
      <c r="I14" s="67"/>
      <c r="W14" s="68"/>
    </row>
    <row r="15" spans="1:23" x14ac:dyDescent="0.2">
      <c r="A15" s="64" t="s">
        <v>218</v>
      </c>
      <c r="B15" s="65" t="s">
        <v>212</v>
      </c>
      <c r="C15" s="65" t="s">
        <v>213</v>
      </c>
      <c r="D15" s="65" t="s">
        <v>221</v>
      </c>
      <c r="G15" s="486"/>
      <c r="I15" s="67"/>
      <c r="T15" s="67">
        <v>3407072.5562050003</v>
      </c>
      <c r="U15" s="67"/>
      <c r="V15" s="67"/>
      <c r="W15" s="68"/>
    </row>
    <row r="16" spans="1:23" x14ac:dyDescent="0.2">
      <c r="A16" s="64" t="s">
        <v>219</v>
      </c>
      <c r="B16" s="65" t="s">
        <v>212</v>
      </c>
      <c r="C16" s="65" t="s">
        <v>213</v>
      </c>
      <c r="D16" s="65" t="s">
        <v>221</v>
      </c>
      <c r="G16" s="486"/>
      <c r="I16" s="67"/>
      <c r="T16" s="67"/>
      <c r="U16" s="67"/>
      <c r="V16" s="67"/>
      <c r="W16" s="68"/>
    </row>
    <row r="17" spans="1:23" ht="13.5" thickBot="1" x14ac:dyDescent="0.25">
      <c r="A17" s="69" t="s">
        <v>220</v>
      </c>
      <c r="B17" s="70" t="s">
        <v>212</v>
      </c>
      <c r="C17" s="70" t="s">
        <v>213</v>
      </c>
      <c r="D17" s="70" t="s">
        <v>221</v>
      </c>
      <c r="E17" s="72"/>
      <c r="F17" s="72"/>
      <c r="G17" s="487"/>
      <c r="H17" s="72"/>
      <c r="I17" s="73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3"/>
      <c r="U17" s="73"/>
      <c r="V17" s="73"/>
      <c r="W17" s="74"/>
    </row>
    <row r="18" spans="1:23" x14ac:dyDescent="0.2">
      <c r="A18" s="57" t="s">
        <v>211</v>
      </c>
      <c r="B18" s="58" t="s">
        <v>212</v>
      </c>
      <c r="C18" s="58" t="s">
        <v>213</v>
      </c>
      <c r="D18" s="58" t="s">
        <v>223</v>
      </c>
      <c r="E18" s="60"/>
      <c r="F18" s="60"/>
      <c r="G18" s="485">
        <v>1</v>
      </c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1"/>
      <c r="U18" s="61"/>
      <c r="V18" s="61"/>
      <c r="W18" s="62"/>
    </row>
    <row r="19" spans="1:23" x14ac:dyDescent="0.2">
      <c r="A19" s="64" t="s">
        <v>215</v>
      </c>
      <c r="B19" s="65" t="s">
        <v>212</v>
      </c>
      <c r="C19" s="65" t="s">
        <v>213</v>
      </c>
      <c r="D19" s="65" t="s">
        <v>223</v>
      </c>
      <c r="G19" s="486"/>
      <c r="T19" s="67"/>
      <c r="U19" s="67"/>
      <c r="V19" s="67"/>
      <c r="W19" s="68"/>
    </row>
    <row r="20" spans="1:23" x14ac:dyDescent="0.2">
      <c r="A20" s="64" t="s">
        <v>216</v>
      </c>
      <c r="B20" s="65" t="s">
        <v>212</v>
      </c>
      <c r="C20" s="65" t="s">
        <v>213</v>
      </c>
      <c r="D20" s="65" t="s">
        <v>223</v>
      </c>
      <c r="G20" s="486"/>
      <c r="T20" s="67"/>
      <c r="U20" s="67"/>
      <c r="V20" s="67"/>
      <c r="W20" s="68"/>
    </row>
    <row r="21" spans="1:23" x14ac:dyDescent="0.2">
      <c r="A21" s="64" t="s">
        <v>217</v>
      </c>
      <c r="B21" s="65" t="s">
        <v>212</v>
      </c>
      <c r="C21" s="65" t="s">
        <v>213</v>
      </c>
      <c r="D21" s="65" t="s">
        <v>223</v>
      </c>
      <c r="G21" s="486"/>
      <c r="T21" s="67"/>
      <c r="U21" s="67"/>
      <c r="V21" s="67"/>
      <c r="W21" s="68"/>
    </row>
    <row r="22" spans="1:23" x14ac:dyDescent="0.2">
      <c r="A22" s="64" t="s">
        <v>218</v>
      </c>
      <c r="B22" s="65" t="s">
        <v>212</v>
      </c>
      <c r="C22" s="65" t="s">
        <v>213</v>
      </c>
      <c r="D22" s="65" t="s">
        <v>223</v>
      </c>
      <c r="G22" s="486"/>
      <c r="T22" s="67">
        <v>10871466.066474997</v>
      </c>
      <c r="U22" s="67"/>
      <c r="V22" s="67"/>
      <c r="W22" s="68"/>
    </row>
    <row r="23" spans="1:23" x14ac:dyDescent="0.2">
      <c r="A23" s="64" t="s">
        <v>219</v>
      </c>
      <c r="B23" s="65" t="s">
        <v>212</v>
      </c>
      <c r="C23" s="65" t="s">
        <v>213</v>
      </c>
      <c r="D23" s="65" t="s">
        <v>223</v>
      </c>
      <c r="G23" s="486"/>
      <c r="W23" s="68"/>
    </row>
    <row r="24" spans="1:23" ht="13.5" thickBot="1" x14ac:dyDescent="0.25">
      <c r="A24" s="69" t="s">
        <v>220</v>
      </c>
      <c r="B24" s="70" t="s">
        <v>212</v>
      </c>
      <c r="C24" s="70" t="s">
        <v>213</v>
      </c>
      <c r="D24" s="70" t="s">
        <v>223</v>
      </c>
      <c r="E24" s="72"/>
      <c r="F24" s="72"/>
      <c r="G24" s="487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4"/>
    </row>
    <row r="25" spans="1:23" x14ac:dyDescent="0.2">
      <c r="A25" s="57" t="s">
        <v>211</v>
      </c>
      <c r="B25" s="58" t="s">
        <v>212</v>
      </c>
      <c r="C25" s="58" t="s">
        <v>224</v>
      </c>
      <c r="D25" s="58" t="s">
        <v>224</v>
      </c>
      <c r="E25" s="60"/>
      <c r="F25" s="60"/>
      <c r="G25" s="485">
        <v>2</v>
      </c>
      <c r="H25" s="60"/>
      <c r="I25" s="60"/>
      <c r="J25" s="60"/>
      <c r="K25" s="110" t="s">
        <v>225</v>
      </c>
      <c r="L25" s="60"/>
      <c r="M25" s="60"/>
      <c r="N25" s="79"/>
      <c r="O25" s="60"/>
      <c r="P25" s="60"/>
      <c r="Q25" s="60"/>
      <c r="R25" s="60"/>
      <c r="S25" s="60"/>
      <c r="T25" s="60"/>
      <c r="U25" s="60"/>
      <c r="V25" s="60"/>
      <c r="W25" s="62"/>
    </row>
    <row r="26" spans="1:23" x14ac:dyDescent="0.2">
      <c r="A26" s="64" t="s">
        <v>217</v>
      </c>
      <c r="B26" s="65" t="s">
        <v>212</v>
      </c>
      <c r="C26" s="65" t="s">
        <v>224</v>
      </c>
      <c r="D26" s="65" t="s">
        <v>224</v>
      </c>
      <c r="G26" s="486"/>
      <c r="K26" s="111" t="s">
        <v>226</v>
      </c>
      <c r="N26" s="80"/>
      <c r="W26" s="68"/>
    </row>
    <row r="27" spans="1:23" x14ac:dyDescent="0.2">
      <c r="A27" s="64" t="s">
        <v>215</v>
      </c>
      <c r="B27" s="65" t="s">
        <v>212</v>
      </c>
      <c r="C27" s="65" t="s">
        <v>224</v>
      </c>
      <c r="D27" s="65" t="s">
        <v>224</v>
      </c>
      <c r="G27" s="486"/>
      <c r="K27" s="111" t="s">
        <v>227</v>
      </c>
      <c r="N27" s="80"/>
      <c r="W27" s="68"/>
    </row>
    <row r="28" spans="1:23" x14ac:dyDescent="0.2">
      <c r="A28" s="64" t="s">
        <v>219</v>
      </c>
      <c r="B28" s="65" t="s">
        <v>212</v>
      </c>
      <c r="C28" s="65" t="s">
        <v>224</v>
      </c>
      <c r="D28" s="65" t="s">
        <v>224</v>
      </c>
      <c r="G28" s="486"/>
      <c r="K28" s="111" t="s">
        <v>228</v>
      </c>
      <c r="N28" s="80"/>
      <c r="W28" s="68"/>
    </row>
    <row r="29" spans="1:23" x14ac:dyDescent="0.2">
      <c r="A29" s="64" t="s">
        <v>218</v>
      </c>
      <c r="B29" s="65" t="s">
        <v>212</v>
      </c>
      <c r="C29" s="65" t="s">
        <v>224</v>
      </c>
      <c r="D29" s="65" t="s">
        <v>224</v>
      </c>
      <c r="G29" s="486"/>
      <c r="K29" s="111" t="s">
        <v>229</v>
      </c>
      <c r="N29" s="80"/>
      <c r="W29" s="68"/>
    </row>
    <row r="30" spans="1:23" x14ac:dyDescent="0.2">
      <c r="A30" s="64" t="s">
        <v>220</v>
      </c>
      <c r="B30" s="65" t="s">
        <v>212</v>
      </c>
      <c r="C30" s="65" t="s">
        <v>224</v>
      </c>
      <c r="D30" s="65" t="s">
        <v>224</v>
      </c>
      <c r="G30" s="486"/>
      <c r="K30" s="111" t="s">
        <v>230</v>
      </c>
      <c r="N30" s="80"/>
      <c r="W30" s="68"/>
    </row>
    <row r="31" spans="1:23" ht="13.5" thickBot="1" x14ac:dyDescent="0.25">
      <c r="A31" s="69" t="s">
        <v>216</v>
      </c>
      <c r="B31" s="70" t="s">
        <v>212</v>
      </c>
      <c r="C31" s="70" t="s">
        <v>224</v>
      </c>
      <c r="D31" s="70" t="s">
        <v>224</v>
      </c>
      <c r="G31" s="487"/>
      <c r="K31" s="111" t="s">
        <v>231</v>
      </c>
      <c r="N31" s="80"/>
      <c r="W31" s="68"/>
    </row>
    <row r="32" spans="1:23" x14ac:dyDescent="0.2">
      <c r="A32" s="57" t="s">
        <v>211</v>
      </c>
      <c r="B32" s="58" t="s">
        <v>212</v>
      </c>
      <c r="C32" s="58" t="s">
        <v>213</v>
      </c>
      <c r="D32" s="58" t="s">
        <v>232</v>
      </c>
      <c r="E32" s="60"/>
      <c r="F32" s="60"/>
      <c r="G32" s="485">
        <v>3</v>
      </c>
      <c r="H32" s="60"/>
      <c r="I32" s="60"/>
      <c r="J32" s="60" t="s">
        <v>233</v>
      </c>
      <c r="K32" s="61"/>
      <c r="L32" s="60"/>
      <c r="M32" s="60"/>
      <c r="N32" s="61"/>
      <c r="O32" s="60"/>
      <c r="P32" s="60"/>
      <c r="Q32" s="60"/>
      <c r="R32" s="60"/>
      <c r="S32" s="60"/>
      <c r="T32" s="60"/>
      <c r="U32" s="60"/>
      <c r="V32" s="60"/>
      <c r="W32" s="62"/>
    </row>
    <row r="33" spans="1:23" ht="14.45" customHeight="1" x14ac:dyDescent="0.2">
      <c r="A33" s="64" t="s">
        <v>217</v>
      </c>
      <c r="B33" s="65" t="s">
        <v>212</v>
      </c>
      <c r="C33" s="65" t="s">
        <v>213</v>
      </c>
      <c r="D33" s="65" t="s">
        <v>232</v>
      </c>
      <c r="G33" s="486"/>
      <c r="J33" s="63" t="s">
        <v>234</v>
      </c>
      <c r="K33" s="67"/>
      <c r="N33" s="67"/>
      <c r="W33" s="68"/>
    </row>
    <row r="34" spans="1:23" ht="14.45" customHeight="1" x14ac:dyDescent="0.2">
      <c r="A34" s="64" t="s">
        <v>215</v>
      </c>
      <c r="B34" s="65" t="s">
        <v>212</v>
      </c>
      <c r="C34" s="65" t="s">
        <v>213</v>
      </c>
      <c r="D34" s="65" t="s">
        <v>232</v>
      </c>
      <c r="G34" s="486"/>
      <c r="J34" s="63" t="s">
        <v>235</v>
      </c>
      <c r="K34" s="67"/>
      <c r="N34" s="67"/>
      <c r="W34" s="68"/>
    </row>
    <row r="35" spans="1:23" ht="14.45" customHeight="1" x14ac:dyDescent="0.2">
      <c r="A35" s="64" t="s">
        <v>219</v>
      </c>
      <c r="B35" s="65" t="s">
        <v>212</v>
      </c>
      <c r="C35" s="65" t="s">
        <v>213</v>
      </c>
      <c r="D35" s="65" t="s">
        <v>232</v>
      </c>
      <c r="G35" s="486"/>
      <c r="J35" s="63" t="s">
        <v>236</v>
      </c>
      <c r="K35" s="67"/>
      <c r="N35" s="67"/>
      <c r="W35" s="68"/>
    </row>
    <row r="36" spans="1:23" ht="14.45" customHeight="1" x14ac:dyDescent="0.2">
      <c r="A36" s="64" t="s">
        <v>218</v>
      </c>
      <c r="B36" s="65" t="s">
        <v>212</v>
      </c>
      <c r="C36" s="65" t="s">
        <v>213</v>
      </c>
      <c r="D36" s="65" t="s">
        <v>232</v>
      </c>
      <c r="G36" s="486"/>
      <c r="J36" s="63" t="s">
        <v>237</v>
      </c>
      <c r="K36" s="67"/>
      <c r="N36" s="67"/>
      <c r="W36" s="68"/>
    </row>
    <row r="37" spans="1:23" ht="14.45" customHeight="1" x14ac:dyDescent="0.2">
      <c r="A37" s="64" t="s">
        <v>220</v>
      </c>
      <c r="B37" s="65" t="s">
        <v>212</v>
      </c>
      <c r="C37" s="65" t="s">
        <v>213</v>
      </c>
      <c r="D37" s="65" t="s">
        <v>232</v>
      </c>
      <c r="G37" s="486"/>
      <c r="J37" s="63" t="s">
        <v>238</v>
      </c>
      <c r="K37" s="67"/>
      <c r="N37" s="67"/>
      <c r="W37" s="68"/>
    </row>
    <row r="38" spans="1:23" ht="15" customHeight="1" thickBot="1" x14ac:dyDescent="0.25">
      <c r="A38" s="69" t="s">
        <v>216</v>
      </c>
      <c r="B38" s="70" t="s">
        <v>212</v>
      </c>
      <c r="C38" s="70" t="s">
        <v>213</v>
      </c>
      <c r="D38" s="70" t="s">
        <v>232</v>
      </c>
      <c r="E38" s="72"/>
      <c r="F38" s="72"/>
      <c r="G38" s="487"/>
      <c r="H38" s="72"/>
      <c r="I38" s="72"/>
      <c r="J38" s="72" t="s">
        <v>239</v>
      </c>
      <c r="K38" s="73"/>
      <c r="L38" s="72"/>
      <c r="M38" s="72"/>
      <c r="N38" s="73"/>
      <c r="O38" s="72"/>
      <c r="P38" s="72"/>
      <c r="Q38" s="72"/>
      <c r="R38" s="72"/>
      <c r="S38" s="72"/>
      <c r="T38" s="72"/>
      <c r="U38" s="72"/>
      <c r="V38" s="72"/>
      <c r="W38" s="74"/>
    </row>
    <row r="39" spans="1:23" s="75" customFormat="1" ht="13.5" thickBot="1" x14ac:dyDescent="0.25"/>
    <row r="40" spans="1:23" ht="14.25" x14ac:dyDescent="0.25">
      <c r="A40" s="81" t="s">
        <v>211</v>
      </c>
      <c r="B40" s="82" t="s">
        <v>212</v>
      </c>
      <c r="C40" s="83" t="s">
        <v>240</v>
      </c>
      <c r="D40" s="84" t="s">
        <v>241</v>
      </c>
      <c r="E40" s="488">
        <v>1</v>
      </c>
      <c r="F40" s="489">
        <v>1</v>
      </c>
      <c r="G40" s="489">
        <f>3+6+5</f>
        <v>14</v>
      </c>
      <c r="H40" s="489">
        <v>1</v>
      </c>
      <c r="I40" s="60"/>
      <c r="J40" s="60"/>
      <c r="K40" s="60"/>
      <c r="L40" s="60"/>
      <c r="M40" s="85" t="s">
        <v>242</v>
      </c>
      <c r="N40" s="85" t="s">
        <v>243</v>
      </c>
      <c r="O40" s="85" t="s">
        <v>244</v>
      </c>
      <c r="P40" s="85" t="s">
        <v>245</v>
      </c>
      <c r="Q40" s="85" t="s">
        <v>246</v>
      </c>
      <c r="R40" s="85" t="s">
        <v>247</v>
      </c>
      <c r="S40" s="85" t="s">
        <v>248</v>
      </c>
      <c r="T40" s="86">
        <v>4949280.3224000009</v>
      </c>
      <c r="U40" s="87">
        <v>7525095.1177149983</v>
      </c>
      <c r="V40" s="88" t="s">
        <v>233</v>
      </c>
      <c r="W40" s="89" t="s">
        <v>225</v>
      </c>
    </row>
    <row r="41" spans="1:23" ht="14.25" x14ac:dyDescent="0.25">
      <c r="A41" s="90" t="s">
        <v>217</v>
      </c>
      <c r="B41" s="76" t="s">
        <v>212</v>
      </c>
      <c r="C41" s="77" t="s">
        <v>240</v>
      </c>
      <c r="D41" s="78" t="s">
        <v>241</v>
      </c>
      <c r="E41" s="475"/>
      <c r="F41" s="476"/>
      <c r="G41" s="476"/>
      <c r="H41" s="476"/>
      <c r="M41" s="92" t="s">
        <v>249</v>
      </c>
      <c r="N41" s="92" t="s">
        <v>250</v>
      </c>
      <c r="O41" s="92" t="s">
        <v>251</v>
      </c>
      <c r="P41" s="92" t="s">
        <v>252</v>
      </c>
      <c r="Q41" s="93"/>
      <c r="R41" s="92" t="s">
        <v>253</v>
      </c>
      <c r="S41" s="92" t="s">
        <v>254</v>
      </c>
      <c r="T41" s="94">
        <v>5107980.7902099984</v>
      </c>
      <c r="U41" s="95">
        <v>4652289.220265002</v>
      </c>
      <c r="V41" s="96" t="s">
        <v>234</v>
      </c>
      <c r="W41" s="97" t="s">
        <v>226</v>
      </c>
    </row>
    <row r="42" spans="1:23" ht="15" x14ac:dyDescent="0.25">
      <c r="A42" s="90" t="s">
        <v>215</v>
      </c>
      <c r="B42" s="76" t="s">
        <v>212</v>
      </c>
      <c r="C42" s="77" t="s">
        <v>240</v>
      </c>
      <c r="D42" s="78" t="s">
        <v>255</v>
      </c>
      <c r="E42" s="475">
        <v>1</v>
      </c>
      <c r="F42" s="476">
        <v>1</v>
      </c>
      <c r="G42" s="476">
        <f>3+7+5</f>
        <v>15</v>
      </c>
      <c r="H42" s="476">
        <v>1</v>
      </c>
      <c r="M42" s="98" t="s">
        <v>256</v>
      </c>
      <c r="N42" s="98" t="s">
        <v>257</v>
      </c>
      <c r="O42" s="98" t="s">
        <v>258</v>
      </c>
      <c r="P42" s="98" t="s">
        <v>259</v>
      </c>
      <c r="Q42" s="98" t="s">
        <v>260</v>
      </c>
      <c r="R42" s="98" t="s">
        <v>261</v>
      </c>
      <c r="S42" s="98" t="s">
        <v>262</v>
      </c>
      <c r="T42" s="94">
        <v>6873316.6727850009</v>
      </c>
      <c r="U42" s="94">
        <v>6228517.7171600079</v>
      </c>
      <c r="V42" s="99" t="s">
        <v>235</v>
      </c>
      <c r="W42" s="100" t="s">
        <v>227</v>
      </c>
    </row>
    <row r="43" spans="1:23" ht="15" x14ac:dyDescent="0.25">
      <c r="A43" s="90" t="s">
        <v>219</v>
      </c>
      <c r="B43" s="76" t="s">
        <v>212</v>
      </c>
      <c r="C43" s="77" t="s">
        <v>240</v>
      </c>
      <c r="D43" s="78" t="s">
        <v>255</v>
      </c>
      <c r="E43" s="475"/>
      <c r="F43" s="476"/>
      <c r="G43" s="476"/>
      <c r="H43" s="476"/>
      <c r="M43" s="98" t="s">
        <v>263</v>
      </c>
      <c r="N43" s="98" t="s">
        <v>264</v>
      </c>
      <c r="O43" s="98" t="s">
        <v>265</v>
      </c>
      <c r="P43" s="98" t="s">
        <v>266</v>
      </c>
      <c r="Q43" s="98" t="s">
        <v>267</v>
      </c>
      <c r="R43" s="98" t="s">
        <v>268</v>
      </c>
      <c r="S43" s="98" t="s">
        <v>269</v>
      </c>
      <c r="T43" s="94">
        <v>10034239.804695001</v>
      </c>
      <c r="U43" s="94">
        <v>8145170.3789650053</v>
      </c>
      <c r="V43" s="99" t="s">
        <v>236</v>
      </c>
      <c r="W43" s="100" t="s">
        <v>228</v>
      </c>
    </row>
    <row r="44" spans="1:23" ht="15" x14ac:dyDescent="0.25">
      <c r="A44" s="90" t="s">
        <v>218</v>
      </c>
      <c r="B44" s="76" t="s">
        <v>212</v>
      </c>
      <c r="C44" s="77" t="s">
        <v>240</v>
      </c>
      <c r="D44" s="78" t="s">
        <v>270</v>
      </c>
      <c r="E44" s="91">
        <v>1</v>
      </c>
      <c r="F44" s="91">
        <v>1</v>
      </c>
      <c r="G44" s="91">
        <f>8+5</f>
        <v>13</v>
      </c>
      <c r="H44" s="91"/>
      <c r="M44" s="92" t="s">
        <v>271</v>
      </c>
      <c r="N44" s="93"/>
      <c r="O44" s="92" t="s">
        <v>272</v>
      </c>
      <c r="P44" s="92" t="s">
        <v>273</v>
      </c>
      <c r="Q44" s="92" t="s">
        <v>274</v>
      </c>
      <c r="R44" s="92" t="s">
        <v>275</v>
      </c>
      <c r="S44" s="98" t="s">
        <v>276</v>
      </c>
      <c r="T44" s="94">
        <v>3407072.5562050003</v>
      </c>
      <c r="U44" s="94">
        <v>10871466.066474997</v>
      </c>
      <c r="V44" s="96" t="s">
        <v>237</v>
      </c>
      <c r="W44" s="97" t="s">
        <v>229</v>
      </c>
    </row>
    <row r="45" spans="1:23" ht="15" x14ac:dyDescent="0.25">
      <c r="A45" s="90" t="s">
        <v>220</v>
      </c>
      <c r="B45" s="76" t="s">
        <v>212</v>
      </c>
      <c r="C45" s="77" t="s">
        <v>240</v>
      </c>
      <c r="D45" s="78" t="s">
        <v>277</v>
      </c>
      <c r="E45" s="475">
        <v>1</v>
      </c>
      <c r="F45" s="476">
        <v>1</v>
      </c>
      <c r="G45" s="476">
        <f>6+7+5</f>
        <v>18</v>
      </c>
      <c r="H45" s="476">
        <v>1</v>
      </c>
      <c r="M45" s="98" t="s">
        <v>278</v>
      </c>
      <c r="N45" s="93"/>
      <c r="O45" s="98" t="s">
        <v>279</v>
      </c>
      <c r="P45" s="98" t="s">
        <v>280</v>
      </c>
      <c r="Q45" s="93"/>
      <c r="R45" s="98" t="s">
        <v>281</v>
      </c>
      <c r="S45" s="98" t="s">
        <v>282</v>
      </c>
      <c r="T45" s="94">
        <v>5311641.5904900022</v>
      </c>
      <c r="U45" s="94">
        <v>4915084.4348050067</v>
      </c>
      <c r="V45" s="99" t="s">
        <v>238</v>
      </c>
      <c r="W45" s="100" t="s">
        <v>230</v>
      </c>
    </row>
    <row r="46" spans="1:23" ht="15.75" thickBot="1" x14ac:dyDescent="0.3">
      <c r="A46" s="101" t="s">
        <v>216</v>
      </c>
      <c r="B46" s="102" t="s">
        <v>212</v>
      </c>
      <c r="C46" s="103" t="s">
        <v>240</v>
      </c>
      <c r="D46" s="104" t="s">
        <v>277</v>
      </c>
      <c r="E46" s="478"/>
      <c r="F46" s="477"/>
      <c r="G46" s="477"/>
      <c r="H46" s="477"/>
      <c r="I46" s="72"/>
      <c r="J46" s="72"/>
      <c r="K46" s="72"/>
      <c r="L46" s="72"/>
      <c r="M46" s="105" t="s">
        <v>283</v>
      </c>
      <c r="N46" s="105" t="s">
        <v>284</v>
      </c>
      <c r="O46" s="105" t="s">
        <v>285</v>
      </c>
      <c r="P46" s="105" t="s">
        <v>286</v>
      </c>
      <c r="Q46" s="106"/>
      <c r="R46" s="105" t="s">
        <v>287</v>
      </c>
      <c r="S46" s="105" t="s">
        <v>288</v>
      </c>
      <c r="T46" s="107">
        <v>4982754.1381299971</v>
      </c>
      <c r="U46" s="107">
        <v>7782643.7787800003</v>
      </c>
      <c r="V46" s="108" t="s">
        <v>239</v>
      </c>
      <c r="W46" s="109" t="s">
        <v>231</v>
      </c>
    </row>
  </sheetData>
  <mergeCells count="21">
    <mergeCell ref="T1:W1"/>
    <mergeCell ref="T2:W2"/>
    <mergeCell ref="G32:G38"/>
    <mergeCell ref="G25:G31"/>
    <mergeCell ref="E40:E41"/>
    <mergeCell ref="F40:F41"/>
    <mergeCell ref="G40:G41"/>
    <mergeCell ref="H40:H41"/>
    <mergeCell ref="G11:G17"/>
    <mergeCell ref="G18:G24"/>
    <mergeCell ref="G4:G10"/>
    <mergeCell ref="H4:H10"/>
    <mergeCell ref="I1:S1"/>
    <mergeCell ref="E42:E43"/>
    <mergeCell ref="F42:F43"/>
    <mergeCell ref="G42:G43"/>
    <mergeCell ref="H42:H43"/>
    <mergeCell ref="H45:H46"/>
    <mergeCell ref="G45:G46"/>
    <mergeCell ref="F45:F46"/>
    <mergeCell ref="E45:E46"/>
  </mergeCells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10FA-9AD6-4619-856C-AAD60922D00B}">
  <sheetPr filterMode="1"/>
  <dimension ref="A1:P282"/>
  <sheetViews>
    <sheetView tabSelected="1" zoomScale="88" zoomScaleNormal="85" workbookViewId="0">
      <selection activeCell="F119" sqref="F119"/>
    </sheetView>
  </sheetViews>
  <sheetFormatPr defaultRowHeight="15" x14ac:dyDescent="0.25"/>
  <cols>
    <col min="1" max="1" width="15" style="519" customWidth="1"/>
    <col min="2" max="2" width="35" style="519" customWidth="1"/>
    <col min="3" max="3" width="26.5703125" style="519" customWidth="1"/>
    <col min="4" max="4" width="61.28515625" style="519" customWidth="1"/>
    <col min="5" max="5" width="26.7109375" style="519" customWidth="1"/>
    <col min="6" max="6" width="51.28515625" style="519" customWidth="1"/>
    <col min="7" max="7" width="21.7109375" style="519" customWidth="1"/>
    <col min="8" max="8" width="18.28515625" style="519" customWidth="1"/>
    <col min="9" max="9" width="16.7109375" style="519" customWidth="1"/>
    <col min="10" max="10" width="15.85546875" style="519" customWidth="1"/>
    <col min="11" max="11" width="12.42578125" style="519" bestFit="1" customWidth="1"/>
    <col min="12" max="12" width="10.28515625" style="519" customWidth="1"/>
    <col min="13" max="13" width="17.7109375" style="519" customWidth="1"/>
    <col min="14" max="14" width="12.42578125" style="519" bestFit="1" customWidth="1"/>
    <col min="15" max="15" width="12.7109375" style="519" bestFit="1" customWidth="1"/>
    <col min="16" max="16384" width="9.140625" style="519"/>
  </cols>
  <sheetData>
    <row r="1" spans="1:15" ht="30" x14ac:dyDescent="0.25">
      <c r="A1" s="515" t="s">
        <v>0</v>
      </c>
      <c r="B1" s="515" t="s">
        <v>1</v>
      </c>
      <c r="C1" s="515" t="s">
        <v>2</v>
      </c>
      <c r="D1" s="515" t="s">
        <v>3</v>
      </c>
      <c r="E1" s="515" t="s">
        <v>4</v>
      </c>
      <c r="F1" s="515" t="s">
        <v>5</v>
      </c>
      <c r="G1" s="515" t="s">
        <v>6</v>
      </c>
      <c r="H1" s="515" t="s">
        <v>626</v>
      </c>
      <c r="I1" s="516" t="s">
        <v>290</v>
      </c>
      <c r="J1" s="516" t="s">
        <v>294</v>
      </c>
      <c r="K1" s="516" t="s">
        <v>295</v>
      </c>
      <c r="L1" s="516" t="s">
        <v>296</v>
      </c>
      <c r="M1" s="516" t="s">
        <v>299</v>
      </c>
      <c r="N1" s="517" t="s">
        <v>625</v>
      </c>
      <c r="O1" s="518" t="s">
        <v>628</v>
      </c>
    </row>
    <row r="2" spans="1:15" hidden="1" x14ac:dyDescent="0.25">
      <c r="A2" s="515" t="s">
        <v>7</v>
      </c>
      <c r="B2" s="515" t="s">
        <v>8</v>
      </c>
      <c r="C2" s="515" t="s">
        <v>9</v>
      </c>
      <c r="D2" s="520" t="s">
        <v>622</v>
      </c>
      <c r="E2" s="515" t="s">
        <v>10</v>
      </c>
      <c r="F2" s="515" t="s">
        <v>327</v>
      </c>
      <c r="G2" s="515" t="s">
        <v>11</v>
      </c>
      <c r="H2" s="515" t="s">
        <v>291</v>
      </c>
      <c r="I2" s="515">
        <v>0</v>
      </c>
      <c r="J2" s="521">
        <v>2268781.3500000006</v>
      </c>
      <c r="K2" s="521">
        <v>136413.45000000112</v>
      </c>
      <c r="L2" s="515">
        <v>127215934.90000001</v>
      </c>
      <c r="M2" s="515">
        <v>0</v>
      </c>
      <c r="N2" s="515">
        <f>SUM(K2,L2)</f>
        <v>127352348.35000001</v>
      </c>
      <c r="O2" s="519">
        <f>SUM(I2:L2)</f>
        <v>129621129.7</v>
      </c>
    </row>
    <row r="3" spans="1:15" hidden="1" x14ac:dyDescent="0.25">
      <c r="A3" s="515" t="s">
        <v>7</v>
      </c>
      <c r="B3" s="515" t="s">
        <v>8</v>
      </c>
      <c r="C3" s="515" t="s">
        <v>9</v>
      </c>
      <c r="D3" s="520" t="s">
        <v>622</v>
      </c>
      <c r="E3" s="515" t="s">
        <v>12</v>
      </c>
      <c r="F3" s="522" t="s">
        <v>331</v>
      </c>
      <c r="G3" s="515" t="s">
        <v>11</v>
      </c>
      <c r="H3" s="515" t="s">
        <v>291</v>
      </c>
      <c r="I3" s="515">
        <v>0</v>
      </c>
      <c r="J3" s="515">
        <v>0</v>
      </c>
      <c r="K3" s="515">
        <v>1744006.16</v>
      </c>
      <c r="L3" s="515">
        <v>157217318.80000001</v>
      </c>
      <c r="M3" s="515">
        <v>0</v>
      </c>
      <c r="N3" s="515">
        <f t="shared" ref="N3:N66" si="0">SUM(K3,L3)</f>
        <v>158961324.96000001</v>
      </c>
      <c r="O3" s="519">
        <f t="shared" ref="O3:O66" si="1">SUM(I3:L3)</f>
        <v>158961324.96000001</v>
      </c>
    </row>
    <row r="4" spans="1:15" hidden="1" x14ac:dyDescent="0.25">
      <c r="A4" s="515" t="s">
        <v>7</v>
      </c>
      <c r="B4" s="515" t="s">
        <v>8</v>
      </c>
      <c r="C4" s="515" t="s">
        <v>13</v>
      </c>
      <c r="D4" s="522" t="s">
        <v>323</v>
      </c>
      <c r="E4" s="515" t="s">
        <v>14</v>
      </c>
      <c r="F4" s="522" t="s">
        <v>324</v>
      </c>
      <c r="G4" s="515" t="s">
        <v>15</v>
      </c>
      <c r="H4" s="515" t="s">
        <v>291</v>
      </c>
      <c r="I4" s="521">
        <v>75907049.919999987</v>
      </c>
      <c r="J4" s="515">
        <v>63612259.850000001</v>
      </c>
      <c r="K4" s="515">
        <v>5012032.3600000003</v>
      </c>
      <c r="L4" s="515">
        <v>315093042.80000001</v>
      </c>
      <c r="M4" s="515">
        <v>0</v>
      </c>
      <c r="N4" s="515">
        <f t="shared" si="0"/>
        <v>320105075.16000003</v>
      </c>
      <c r="O4" s="519">
        <f t="shared" si="1"/>
        <v>459624384.93000001</v>
      </c>
    </row>
    <row r="5" spans="1:15" hidden="1" x14ac:dyDescent="0.25">
      <c r="A5" s="515" t="s">
        <v>7</v>
      </c>
      <c r="B5" s="515" t="s">
        <v>8</v>
      </c>
      <c r="C5" s="515" t="s">
        <v>13</v>
      </c>
      <c r="D5" s="522" t="s">
        <v>323</v>
      </c>
      <c r="E5" s="515" t="s">
        <v>16</v>
      </c>
      <c r="F5" s="520" t="s">
        <v>329</v>
      </c>
      <c r="G5" s="515" t="s">
        <v>15</v>
      </c>
      <c r="H5" s="515" t="s">
        <v>291</v>
      </c>
      <c r="I5" s="521">
        <v>0</v>
      </c>
      <c r="J5" s="515">
        <v>43720409.619999997</v>
      </c>
      <c r="K5" s="515">
        <v>117420382.90000001</v>
      </c>
      <c r="L5" s="515">
        <v>245004504.69999999</v>
      </c>
      <c r="M5" s="521">
        <v>3208724.3721000003</v>
      </c>
      <c r="N5" s="515">
        <f t="shared" si="0"/>
        <v>362424887.60000002</v>
      </c>
      <c r="O5" s="519">
        <f t="shared" si="1"/>
        <v>406145297.22000003</v>
      </c>
    </row>
    <row r="6" spans="1:15" hidden="1" x14ac:dyDescent="0.25">
      <c r="A6" s="515" t="s">
        <v>7</v>
      </c>
      <c r="B6" s="523" t="s">
        <v>17</v>
      </c>
      <c r="C6" s="515" t="s">
        <v>9</v>
      </c>
      <c r="D6" s="520" t="s">
        <v>622</v>
      </c>
      <c r="E6" s="515" t="s">
        <v>10</v>
      </c>
      <c r="F6" s="522" t="s">
        <v>327</v>
      </c>
      <c r="G6" s="515" t="s">
        <v>11</v>
      </c>
      <c r="H6" s="515" t="s">
        <v>291</v>
      </c>
      <c r="I6" s="521">
        <v>19446886.789999954</v>
      </c>
      <c r="J6" s="515">
        <v>0</v>
      </c>
      <c r="K6" s="515">
        <v>0</v>
      </c>
      <c r="L6" s="515">
        <v>30801929.390000001</v>
      </c>
      <c r="M6" s="515">
        <v>0</v>
      </c>
      <c r="N6" s="515">
        <f t="shared" si="0"/>
        <v>30801929.390000001</v>
      </c>
      <c r="O6" s="519">
        <f t="shared" si="1"/>
        <v>50248816.179999955</v>
      </c>
    </row>
    <row r="7" spans="1:15" hidden="1" x14ac:dyDescent="0.25">
      <c r="A7" s="534" t="s">
        <v>7</v>
      </c>
      <c r="B7" s="534" t="s">
        <v>18</v>
      </c>
      <c r="C7" s="534" t="s">
        <v>9</v>
      </c>
      <c r="D7" s="553" t="s">
        <v>622</v>
      </c>
      <c r="E7" s="534" t="s">
        <v>19</v>
      </c>
      <c r="F7" s="554" t="s">
        <v>596</v>
      </c>
      <c r="G7" s="534" t="s">
        <v>11</v>
      </c>
      <c r="H7" s="534"/>
      <c r="I7" s="534">
        <v>0</v>
      </c>
      <c r="J7" s="534">
        <v>0</v>
      </c>
      <c r="K7" s="534">
        <v>0</v>
      </c>
      <c r="L7" s="534">
        <v>0</v>
      </c>
      <c r="M7" s="534">
        <v>0</v>
      </c>
      <c r="N7" s="534">
        <f t="shared" si="0"/>
        <v>0</v>
      </c>
      <c r="O7" s="555">
        <f t="shared" si="1"/>
        <v>0</v>
      </c>
    </row>
    <row r="8" spans="1:15" hidden="1" x14ac:dyDescent="0.25">
      <c r="A8" s="515" t="s">
        <v>7</v>
      </c>
      <c r="B8" s="515" t="s">
        <v>20</v>
      </c>
      <c r="C8" s="515" t="s">
        <v>9</v>
      </c>
      <c r="D8" s="520" t="s">
        <v>622</v>
      </c>
      <c r="E8" s="515" t="s">
        <v>10</v>
      </c>
      <c r="F8" s="522" t="s">
        <v>327</v>
      </c>
      <c r="G8" s="515" t="s">
        <v>11</v>
      </c>
      <c r="H8" s="515" t="s">
        <v>291</v>
      </c>
      <c r="I8" s="515">
        <v>0</v>
      </c>
      <c r="J8" s="515">
        <v>0</v>
      </c>
      <c r="K8" s="521">
        <v>50540.084999999999</v>
      </c>
      <c r="L8" s="515">
        <v>61625116.969999999</v>
      </c>
      <c r="M8" s="515">
        <v>0</v>
      </c>
      <c r="N8" s="515">
        <f t="shared" si="0"/>
        <v>61675657.055</v>
      </c>
      <c r="O8" s="519">
        <f t="shared" si="1"/>
        <v>61675657.055</v>
      </c>
    </row>
    <row r="9" spans="1:15" hidden="1" x14ac:dyDescent="0.25">
      <c r="A9" s="515" t="s">
        <v>7</v>
      </c>
      <c r="B9" s="515" t="s">
        <v>21</v>
      </c>
      <c r="C9" s="515" t="s">
        <v>9</v>
      </c>
      <c r="D9" s="520" t="s">
        <v>622</v>
      </c>
      <c r="E9" s="515" t="s">
        <v>19</v>
      </c>
      <c r="F9" s="522" t="s">
        <v>319</v>
      </c>
      <c r="G9" s="515" t="s">
        <v>11</v>
      </c>
      <c r="H9" s="515" t="s">
        <v>291</v>
      </c>
      <c r="I9" s="521">
        <v>26291849.469999973</v>
      </c>
      <c r="J9" s="521">
        <v>63562247.979999989</v>
      </c>
      <c r="K9" s="515">
        <v>302517.58</v>
      </c>
      <c r="L9" s="515">
        <v>79663895.409999996</v>
      </c>
      <c r="M9" s="521">
        <v>0</v>
      </c>
      <c r="N9" s="515">
        <f t="shared" si="0"/>
        <v>79966412.989999995</v>
      </c>
      <c r="O9" s="519">
        <f t="shared" si="1"/>
        <v>169820510.43999994</v>
      </c>
    </row>
    <row r="10" spans="1:15" hidden="1" x14ac:dyDescent="0.25">
      <c r="A10" s="515" t="s">
        <v>7</v>
      </c>
      <c r="B10" s="523" t="s">
        <v>22</v>
      </c>
      <c r="C10" s="515" t="s">
        <v>9</v>
      </c>
      <c r="D10" s="520" t="s">
        <v>622</v>
      </c>
      <c r="E10" s="515" t="s">
        <v>19</v>
      </c>
      <c r="F10" s="522" t="s">
        <v>319</v>
      </c>
      <c r="G10" s="515" t="s">
        <v>11</v>
      </c>
      <c r="H10" s="515" t="s">
        <v>291</v>
      </c>
      <c r="I10" s="515">
        <v>5104759.79</v>
      </c>
      <c r="J10" s="515">
        <v>0</v>
      </c>
      <c r="K10" s="515">
        <v>0</v>
      </c>
      <c r="L10" s="515">
        <v>95272387.730000004</v>
      </c>
      <c r="M10" s="515">
        <v>0</v>
      </c>
      <c r="N10" s="515">
        <f t="shared" si="0"/>
        <v>95272387.730000004</v>
      </c>
      <c r="O10" s="519">
        <f t="shared" si="1"/>
        <v>100377147.52000001</v>
      </c>
    </row>
    <row r="11" spans="1:15" hidden="1" x14ac:dyDescent="0.25">
      <c r="A11" s="515" t="s">
        <v>7</v>
      </c>
      <c r="B11" s="523" t="s">
        <v>23</v>
      </c>
      <c r="C11" s="515" t="s">
        <v>9</v>
      </c>
      <c r="D11" s="520" t="s">
        <v>622</v>
      </c>
      <c r="E11" s="515" t="s">
        <v>24</v>
      </c>
      <c r="F11" s="522" t="s">
        <v>326</v>
      </c>
      <c r="G11" s="515" t="s">
        <v>11</v>
      </c>
      <c r="H11" s="515" t="s">
        <v>291</v>
      </c>
      <c r="I11" s="521">
        <v>11608457.909999993</v>
      </c>
      <c r="J11" s="515">
        <v>0</v>
      </c>
      <c r="K11" s="515">
        <v>0</v>
      </c>
      <c r="L11" s="515">
        <v>36962573.619999997</v>
      </c>
      <c r="M11" s="515">
        <v>0</v>
      </c>
      <c r="N11" s="515">
        <f t="shared" si="0"/>
        <v>36962573.619999997</v>
      </c>
      <c r="O11" s="519">
        <f t="shared" si="1"/>
        <v>48571031.529999986</v>
      </c>
    </row>
    <row r="12" spans="1:15" hidden="1" x14ac:dyDescent="0.25">
      <c r="A12" s="515" t="s">
        <v>7</v>
      </c>
      <c r="B12" s="523" t="s">
        <v>25</v>
      </c>
      <c r="C12" s="515" t="s">
        <v>9</v>
      </c>
      <c r="D12" s="520" t="s">
        <v>622</v>
      </c>
      <c r="E12" s="515" t="s">
        <v>24</v>
      </c>
      <c r="F12" s="522" t="s">
        <v>326</v>
      </c>
      <c r="G12" s="515" t="s">
        <v>11</v>
      </c>
      <c r="H12" s="515" t="s">
        <v>291</v>
      </c>
      <c r="I12" s="521">
        <v>25568610.759999935</v>
      </c>
      <c r="J12" s="515">
        <v>0</v>
      </c>
      <c r="K12" s="515">
        <v>67690512.140000001</v>
      </c>
      <c r="L12" s="515">
        <v>108627056.8</v>
      </c>
      <c r="M12" s="515">
        <v>0</v>
      </c>
      <c r="N12" s="515">
        <f t="shared" si="0"/>
        <v>176317568.94</v>
      </c>
      <c r="O12" s="519">
        <f t="shared" si="1"/>
        <v>201886179.69999993</v>
      </c>
    </row>
    <row r="13" spans="1:15" hidden="1" x14ac:dyDescent="0.25">
      <c r="A13" s="515" t="s">
        <v>7</v>
      </c>
      <c r="B13" s="523" t="s">
        <v>26</v>
      </c>
      <c r="C13" s="515" t="s">
        <v>9</v>
      </c>
      <c r="D13" s="520" t="s">
        <v>622</v>
      </c>
      <c r="E13" s="515" t="s">
        <v>24</v>
      </c>
      <c r="F13" s="522" t="s">
        <v>326</v>
      </c>
      <c r="G13" s="515" t="s">
        <v>11</v>
      </c>
      <c r="H13" s="515" t="s">
        <v>291</v>
      </c>
      <c r="I13" s="521">
        <v>11122562.409999976</v>
      </c>
      <c r="J13" s="521">
        <v>0</v>
      </c>
      <c r="K13" s="515">
        <v>0</v>
      </c>
      <c r="L13" s="521">
        <v>27831061.140000023</v>
      </c>
      <c r="M13" s="515">
        <v>0</v>
      </c>
      <c r="N13" s="515">
        <f t="shared" si="0"/>
        <v>27831061.140000023</v>
      </c>
      <c r="O13" s="519">
        <f t="shared" si="1"/>
        <v>38953623.549999997</v>
      </c>
    </row>
    <row r="14" spans="1:15" hidden="1" x14ac:dyDescent="0.25">
      <c r="A14" s="515" t="s">
        <v>7</v>
      </c>
      <c r="B14" s="515" t="s">
        <v>27</v>
      </c>
      <c r="C14" s="515" t="s">
        <v>9</v>
      </c>
      <c r="D14" s="520" t="s">
        <v>622</v>
      </c>
      <c r="E14" s="515" t="s">
        <v>24</v>
      </c>
      <c r="F14" s="522" t="s">
        <v>326</v>
      </c>
      <c r="G14" s="515" t="s">
        <v>11</v>
      </c>
      <c r="H14" s="515" t="s">
        <v>291</v>
      </c>
      <c r="I14" s="521">
        <v>5516975.6900000079</v>
      </c>
      <c r="J14" s="515">
        <v>0</v>
      </c>
      <c r="K14" s="515">
        <v>0</v>
      </c>
      <c r="L14" s="515">
        <v>18268200.890000001</v>
      </c>
      <c r="M14" s="515">
        <v>0</v>
      </c>
      <c r="N14" s="515">
        <f t="shared" si="0"/>
        <v>18268200.890000001</v>
      </c>
      <c r="O14" s="519">
        <f t="shared" si="1"/>
        <v>23785176.580000009</v>
      </c>
    </row>
    <row r="15" spans="1:15" hidden="1" x14ac:dyDescent="0.25">
      <c r="A15" s="515" t="s">
        <v>28</v>
      </c>
      <c r="B15" s="515" t="s">
        <v>29</v>
      </c>
      <c r="C15" s="515" t="s">
        <v>30</v>
      </c>
      <c r="D15" s="515" t="s">
        <v>529</v>
      </c>
      <c r="E15" s="515" t="s">
        <v>31</v>
      </c>
      <c r="F15" s="522" t="s">
        <v>544</v>
      </c>
      <c r="G15" s="515" t="s">
        <v>32</v>
      </c>
      <c r="H15" s="515" t="s">
        <v>291</v>
      </c>
      <c r="I15" s="521">
        <v>386058892.07000017</v>
      </c>
      <c r="J15" s="521">
        <v>20589477.049999982</v>
      </c>
      <c r="K15" s="521">
        <v>0</v>
      </c>
      <c r="L15" s="521">
        <v>0</v>
      </c>
      <c r="M15" s="521">
        <v>41486900</v>
      </c>
      <c r="N15" s="515">
        <f t="shared" si="0"/>
        <v>0</v>
      </c>
      <c r="O15" s="519">
        <f t="shared" si="1"/>
        <v>406648369.12000012</v>
      </c>
    </row>
    <row r="16" spans="1:15" hidden="1" x14ac:dyDescent="0.25">
      <c r="A16" s="515" t="s">
        <v>28</v>
      </c>
      <c r="B16" s="515" t="s">
        <v>29</v>
      </c>
      <c r="C16" s="515" t="s">
        <v>30</v>
      </c>
      <c r="D16" s="515" t="s">
        <v>529</v>
      </c>
      <c r="E16" s="515" t="s">
        <v>33</v>
      </c>
      <c r="F16" s="522" t="s">
        <v>598</v>
      </c>
      <c r="G16" s="515" t="s">
        <v>32</v>
      </c>
      <c r="H16" s="515" t="s">
        <v>291</v>
      </c>
      <c r="I16" s="521">
        <v>0</v>
      </c>
      <c r="J16" s="521">
        <v>296693840.26999998</v>
      </c>
      <c r="K16" s="521">
        <v>52911435.689999998</v>
      </c>
      <c r="L16" s="521">
        <v>58847600.110000007</v>
      </c>
      <c r="M16" s="521">
        <v>11475100</v>
      </c>
      <c r="N16" s="515">
        <f t="shared" si="0"/>
        <v>111759035.80000001</v>
      </c>
      <c r="O16" s="519">
        <f t="shared" si="1"/>
        <v>408452876.06999999</v>
      </c>
    </row>
    <row r="17" spans="1:15" hidden="1" x14ac:dyDescent="0.25">
      <c r="A17" s="515" t="s">
        <v>28</v>
      </c>
      <c r="B17" s="515" t="s">
        <v>29</v>
      </c>
      <c r="C17" s="515" t="s">
        <v>30</v>
      </c>
      <c r="D17" s="515" t="s">
        <v>529</v>
      </c>
      <c r="E17" s="515" t="s">
        <v>34</v>
      </c>
      <c r="F17" s="522" t="s">
        <v>599</v>
      </c>
      <c r="G17" s="515" t="s">
        <v>32</v>
      </c>
      <c r="H17" s="515" t="s">
        <v>291</v>
      </c>
      <c r="I17" s="521">
        <v>0</v>
      </c>
      <c r="J17" s="521">
        <v>32393444.969999995</v>
      </c>
      <c r="K17" s="521">
        <v>933137.57000000007</v>
      </c>
      <c r="L17" s="521">
        <v>38392610.00999999</v>
      </c>
      <c r="M17" s="521">
        <v>66047800</v>
      </c>
      <c r="N17" s="515">
        <f t="shared" si="0"/>
        <v>39325747.579999991</v>
      </c>
      <c r="O17" s="519">
        <f t="shared" si="1"/>
        <v>71719192.549999982</v>
      </c>
    </row>
    <row r="18" spans="1:15" hidden="1" x14ac:dyDescent="0.25">
      <c r="A18" s="515" t="s">
        <v>28</v>
      </c>
      <c r="B18" s="515" t="s">
        <v>35</v>
      </c>
      <c r="C18" s="515" t="s">
        <v>30</v>
      </c>
      <c r="D18" s="515" t="s">
        <v>529</v>
      </c>
      <c r="E18" s="515" t="s">
        <v>34</v>
      </c>
      <c r="F18" s="522" t="s">
        <v>599</v>
      </c>
      <c r="G18" s="515" t="s">
        <v>32</v>
      </c>
      <c r="H18" s="515" t="s">
        <v>291</v>
      </c>
      <c r="I18" s="521">
        <v>0</v>
      </c>
      <c r="J18" s="521">
        <v>2148542.7700000005</v>
      </c>
      <c r="K18" s="521">
        <v>0</v>
      </c>
      <c r="L18" s="521">
        <v>20448323.419999998</v>
      </c>
      <c r="M18" s="521">
        <v>1119300</v>
      </c>
      <c r="N18" s="515">
        <f t="shared" si="0"/>
        <v>20448323.419999998</v>
      </c>
      <c r="O18" s="519">
        <f t="shared" si="1"/>
        <v>22596866.189999998</v>
      </c>
    </row>
    <row r="19" spans="1:15" hidden="1" x14ac:dyDescent="0.25">
      <c r="A19" s="515" t="s">
        <v>28</v>
      </c>
      <c r="B19" s="523" t="s">
        <v>36</v>
      </c>
      <c r="C19" s="515" t="s">
        <v>30</v>
      </c>
      <c r="D19" s="515" t="s">
        <v>529</v>
      </c>
      <c r="E19" s="515" t="s">
        <v>34</v>
      </c>
      <c r="F19" s="522" t="s">
        <v>599</v>
      </c>
      <c r="G19" s="515" t="s">
        <v>32</v>
      </c>
      <c r="H19" s="515" t="s">
        <v>291</v>
      </c>
      <c r="I19" s="521">
        <v>0</v>
      </c>
      <c r="J19" s="521">
        <v>58695919.390000023</v>
      </c>
      <c r="K19" s="521">
        <v>3463342.0800000001</v>
      </c>
      <c r="L19" s="521">
        <v>50107053.129999988</v>
      </c>
      <c r="M19" s="521">
        <v>0</v>
      </c>
      <c r="N19" s="515">
        <f t="shared" si="0"/>
        <v>53570395.209999986</v>
      </c>
      <c r="O19" s="519">
        <f t="shared" si="1"/>
        <v>112266314.60000001</v>
      </c>
    </row>
    <row r="20" spans="1:15" hidden="1" x14ac:dyDescent="0.25">
      <c r="A20" s="515" t="s">
        <v>28</v>
      </c>
      <c r="B20" s="523" t="s">
        <v>37</v>
      </c>
      <c r="C20" s="515" t="s">
        <v>30</v>
      </c>
      <c r="D20" s="515" t="s">
        <v>529</v>
      </c>
      <c r="E20" s="515" t="s">
        <v>33</v>
      </c>
      <c r="F20" s="522" t="s">
        <v>598</v>
      </c>
      <c r="G20" s="515" t="s">
        <v>32</v>
      </c>
      <c r="H20" s="515" t="s">
        <v>291</v>
      </c>
      <c r="I20" s="521">
        <v>0</v>
      </c>
      <c r="J20" s="521">
        <v>3642683.0799999996</v>
      </c>
      <c r="K20" s="521">
        <v>33326363.230000008</v>
      </c>
      <c r="L20" s="521">
        <v>43984312.290000007</v>
      </c>
      <c r="M20" s="521">
        <v>0</v>
      </c>
      <c r="N20" s="515">
        <f t="shared" si="0"/>
        <v>77310675.520000011</v>
      </c>
      <c r="O20" s="519">
        <f t="shared" si="1"/>
        <v>80953358.600000024</v>
      </c>
    </row>
    <row r="21" spans="1:15" hidden="1" x14ac:dyDescent="0.25">
      <c r="A21" s="515" t="s">
        <v>28</v>
      </c>
      <c r="B21" s="523" t="s">
        <v>38</v>
      </c>
      <c r="C21" s="515" t="s">
        <v>30</v>
      </c>
      <c r="D21" s="515" t="s">
        <v>529</v>
      </c>
      <c r="E21" s="515" t="s">
        <v>31</v>
      </c>
      <c r="F21" s="522" t="s">
        <v>597</v>
      </c>
      <c r="G21" s="515" t="s">
        <v>32</v>
      </c>
      <c r="H21" s="515" t="s">
        <v>291</v>
      </c>
      <c r="I21" s="521">
        <v>0</v>
      </c>
      <c r="J21" s="521">
        <v>0</v>
      </c>
      <c r="K21" s="521">
        <v>5772236.169999999</v>
      </c>
      <c r="L21" s="521">
        <v>0</v>
      </c>
      <c r="M21" s="521">
        <v>0</v>
      </c>
      <c r="N21" s="515">
        <f t="shared" si="0"/>
        <v>5772236.169999999</v>
      </c>
      <c r="O21" s="519">
        <f t="shared" si="1"/>
        <v>5772236.169999999</v>
      </c>
    </row>
    <row r="22" spans="1:15" hidden="1" x14ac:dyDescent="0.25">
      <c r="A22" s="515" t="s">
        <v>28</v>
      </c>
      <c r="B22" s="523" t="s">
        <v>39</v>
      </c>
      <c r="C22" s="515" t="s">
        <v>30</v>
      </c>
      <c r="D22" s="515" t="s">
        <v>529</v>
      </c>
      <c r="E22" s="515" t="s">
        <v>40</v>
      </c>
      <c r="F22" s="522" t="s">
        <v>600</v>
      </c>
      <c r="G22" s="515" t="s">
        <v>41</v>
      </c>
      <c r="H22" s="515" t="s">
        <v>291</v>
      </c>
      <c r="I22" s="521">
        <v>455626091.64999998</v>
      </c>
      <c r="J22" s="521">
        <v>240569215.74000001</v>
      </c>
      <c r="K22" s="521">
        <v>130862903.00999998</v>
      </c>
      <c r="L22" s="521">
        <v>352208206.12</v>
      </c>
      <c r="M22" s="521"/>
      <c r="N22" s="515">
        <f t="shared" si="0"/>
        <v>483071109.13</v>
      </c>
      <c r="O22" s="519">
        <f t="shared" si="1"/>
        <v>1179266416.52</v>
      </c>
    </row>
    <row r="23" spans="1:15" hidden="1" x14ac:dyDescent="0.25">
      <c r="A23" s="515" t="s">
        <v>28</v>
      </c>
      <c r="B23" s="523" t="s">
        <v>42</v>
      </c>
      <c r="C23" s="515" t="s">
        <v>43</v>
      </c>
      <c r="D23" s="515" t="s">
        <v>44</v>
      </c>
      <c r="E23" s="515" t="s">
        <v>45</v>
      </c>
      <c r="F23" s="522" t="s">
        <v>528</v>
      </c>
      <c r="G23" s="515" t="s">
        <v>46</v>
      </c>
      <c r="H23" s="515" t="s">
        <v>291</v>
      </c>
      <c r="I23" s="521">
        <v>0</v>
      </c>
      <c r="J23" s="521">
        <v>497928.87999999995</v>
      </c>
      <c r="K23" s="521">
        <v>0</v>
      </c>
      <c r="L23" s="521">
        <v>56459824.24000001</v>
      </c>
      <c r="M23" s="521">
        <v>0</v>
      </c>
      <c r="N23" s="515">
        <f t="shared" si="0"/>
        <v>56459824.24000001</v>
      </c>
      <c r="O23" s="519">
        <f t="shared" si="1"/>
        <v>56957753.120000012</v>
      </c>
    </row>
    <row r="24" spans="1:15" hidden="1" x14ac:dyDescent="0.25">
      <c r="A24" s="515" t="s">
        <v>28</v>
      </c>
      <c r="B24" s="524" t="s">
        <v>47</v>
      </c>
      <c r="C24" s="515" t="s">
        <v>43</v>
      </c>
      <c r="D24" s="515" t="s">
        <v>44</v>
      </c>
      <c r="E24" s="515" t="s">
        <v>45</v>
      </c>
      <c r="F24" s="522" t="s">
        <v>528</v>
      </c>
      <c r="G24" s="515" t="s">
        <v>46</v>
      </c>
      <c r="H24" s="515" t="s">
        <v>291</v>
      </c>
      <c r="I24" s="515">
        <v>0</v>
      </c>
      <c r="J24" s="515">
        <v>0</v>
      </c>
      <c r="K24" s="521">
        <v>154394419.58000001</v>
      </c>
      <c r="L24" s="521">
        <v>11272.92</v>
      </c>
      <c r="M24" s="515">
        <v>0</v>
      </c>
      <c r="N24" s="515">
        <f t="shared" si="0"/>
        <v>154405692.5</v>
      </c>
      <c r="O24" s="519">
        <f t="shared" si="1"/>
        <v>154405692.5</v>
      </c>
    </row>
    <row r="25" spans="1:15" hidden="1" x14ac:dyDescent="0.25">
      <c r="A25" s="515" t="s">
        <v>28</v>
      </c>
      <c r="B25" s="523" t="s">
        <v>48</v>
      </c>
      <c r="C25" s="515" t="s">
        <v>43</v>
      </c>
      <c r="D25" s="515" t="s">
        <v>44</v>
      </c>
      <c r="E25" s="515" t="s">
        <v>45</v>
      </c>
      <c r="F25" s="522" t="s">
        <v>528</v>
      </c>
      <c r="G25" s="515" t="s">
        <v>49</v>
      </c>
      <c r="H25" s="515" t="s">
        <v>291</v>
      </c>
      <c r="I25" s="515">
        <v>265124740</v>
      </c>
      <c r="J25" s="521">
        <v>1833537.3800000001</v>
      </c>
      <c r="K25" s="521">
        <v>0</v>
      </c>
      <c r="L25" s="521">
        <v>270601609.64999998</v>
      </c>
      <c r="M25" s="515"/>
      <c r="N25" s="515">
        <f t="shared" si="0"/>
        <v>270601609.64999998</v>
      </c>
      <c r="O25" s="519">
        <f t="shared" si="1"/>
        <v>537559887.02999997</v>
      </c>
    </row>
    <row r="26" spans="1:15" hidden="1" x14ac:dyDescent="0.25">
      <c r="A26" s="515" t="s">
        <v>28</v>
      </c>
      <c r="B26" s="523" t="s">
        <v>50</v>
      </c>
      <c r="C26" s="515" t="s">
        <v>43</v>
      </c>
      <c r="D26" s="515" t="s">
        <v>44</v>
      </c>
      <c r="E26" s="515" t="s">
        <v>45</v>
      </c>
      <c r="F26" s="522" t="s">
        <v>528</v>
      </c>
      <c r="G26" s="515" t="s">
        <v>49</v>
      </c>
      <c r="H26" s="515" t="s">
        <v>291</v>
      </c>
      <c r="I26" s="521">
        <v>98053376.850000009</v>
      </c>
      <c r="J26" s="521">
        <v>6208890.4699999997</v>
      </c>
      <c r="K26" s="521">
        <v>0</v>
      </c>
      <c r="L26" s="521">
        <v>124811072.15000001</v>
      </c>
      <c r="M26" s="521">
        <v>1119300</v>
      </c>
      <c r="N26" s="515">
        <f t="shared" si="0"/>
        <v>124811072.15000001</v>
      </c>
      <c r="O26" s="519">
        <f t="shared" si="1"/>
        <v>229073339.47000003</v>
      </c>
    </row>
    <row r="27" spans="1:15" hidden="1" x14ac:dyDescent="0.25">
      <c r="A27" s="515" t="s">
        <v>28</v>
      </c>
      <c r="B27" s="523" t="s">
        <v>51</v>
      </c>
      <c r="C27" s="515" t="s">
        <v>43</v>
      </c>
      <c r="D27" s="515" t="s">
        <v>44</v>
      </c>
      <c r="E27" s="515" t="s">
        <v>52</v>
      </c>
      <c r="F27" s="522" t="s">
        <v>532</v>
      </c>
      <c r="G27" s="515" t="s">
        <v>53</v>
      </c>
      <c r="H27" s="515" t="s">
        <v>291</v>
      </c>
      <c r="I27" s="521">
        <v>0</v>
      </c>
      <c r="J27" s="521">
        <v>0</v>
      </c>
      <c r="K27" s="521">
        <v>2267890.4699999997</v>
      </c>
      <c r="L27" s="521">
        <v>0</v>
      </c>
      <c r="M27" s="521">
        <v>0</v>
      </c>
      <c r="N27" s="515">
        <f t="shared" si="0"/>
        <v>2267890.4699999997</v>
      </c>
      <c r="O27" s="519">
        <f t="shared" si="1"/>
        <v>2267890.4699999997</v>
      </c>
    </row>
    <row r="28" spans="1:15" hidden="1" x14ac:dyDescent="0.25">
      <c r="A28" s="515" t="s">
        <v>28</v>
      </c>
      <c r="B28" s="523" t="s">
        <v>54</v>
      </c>
      <c r="C28" s="515" t="s">
        <v>43</v>
      </c>
      <c r="D28" s="515" t="s">
        <v>44</v>
      </c>
      <c r="E28" s="515" t="s">
        <v>52</v>
      </c>
      <c r="F28" s="522" t="s">
        <v>532</v>
      </c>
      <c r="G28" s="515" t="s">
        <v>53</v>
      </c>
      <c r="H28" s="515" t="s">
        <v>291</v>
      </c>
      <c r="I28" s="521">
        <v>0</v>
      </c>
      <c r="J28" s="521">
        <v>0</v>
      </c>
      <c r="K28" s="521">
        <v>132750834.23999995</v>
      </c>
      <c r="L28" s="521">
        <v>0</v>
      </c>
      <c r="M28" s="521">
        <v>0</v>
      </c>
      <c r="N28" s="515">
        <f t="shared" si="0"/>
        <v>132750834.23999995</v>
      </c>
      <c r="O28" s="519">
        <f t="shared" si="1"/>
        <v>132750834.23999995</v>
      </c>
    </row>
    <row r="29" spans="1:15" hidden="1" x14ac:dyDescent="0.25">
      <c r="A29" s="515" t="s">
        <v>28</v>
      </c>
      <c r="B29" s="523" t="s">
        <v>55</v>
      </c>
      <c r="C29" s="515" t="s">
        <v>43</v>
      </c>
      <c r="D29" s="519" t="s">
        <v>527</v>
      </c>
      <c r="E29" s="515" t="s">
        <v>52</v>
      </c>
      <c r="F29" s="519" t="s">
        <v>535</v>
      </c>
      <c r="G29" s="519" t="s">
        <v>426</v>
      </c>
      <c r="H29" s="515" t="s">
        <v>291</v>
      </c>
      <c r="I29" s="515">
        <v>0</v>
      </c>
      <c r="J29" s="525">
        <v>372200.5</v>
      </c>
      <c r="K29" s="525">
        <v>57536.499999999993</v>
      </c>
      <c r="L29" s="526">
        <v>91160814.329999998</v>
      </c>
      <c r="M29" s="515">
        <v>0</v>
      </c>
      <c r="N29" s="515">
        <f t="shared" si="0"/>
        <v>91218350.829999998</v>
      </c>
      <c r="O29" s="519">
        <f t="shared" si="1"/>
        <v>91590551.329999998</v>
      </c>
    </row>
    <row r="30" spans="1:15" hidden="1" x14ac:dyDescent="0.25">
      <c r="A30" s="515" t="s">
        <v>28</v>
      </c>
      <c r="B30" s="523" t="s">
        <v>56</v>
      </c>
      <c r="C30" s="515" t="s">
        <v>43</v>
      </c>
      <c r="D30" s="515" t="s">
        <v>44</v>
      </c>
      <c r="E30" s="515" t="s">
        <v>57</v>
      </c>
      <c r="F30" s="522" t="s">
        <v>532</v>
      </c>
      <c r="G30" s="515" t="s">
        <v>53</v>
      </c>
      <c r="H30" s="515" t="s">
        <v>291</v>
      </c>
      <c r="I30" s="515">
        <v>0</v>
      </c>
      <c r="J30" s="515">
        <v>0</v>
      </c>
      <c r="K30" s="515">
        <v>0</v>
      </c>
      <c r="L30" s="521">
        <v>1899221.75</v>
      </c>
      <c r="M30" s="515">
        <v>0</v>
      </c>
      <c r="N30" s="515">
        <f t="shared" si="0"/>
        <v>1899221.75</v>
      </c>
      <c r="O30" s="519">
        <f t="shared" si="1"/>
        <v>1899221.75</v>
      </c>
    </row>
    <row r="31" spans="1:15" hidden="1" x14ac:dyDescent="0.25">
      <c r="A31" s="515" t="s">
        <v>28</v>
      </c>
      <c r="B31" s="523" t="s">
        <v>58</v>
      </c>
      <c r="C31" s="515" t="s">
        <v>43</v>
      </c>
      <c r="D31" s="515" t="s">
        <v>44</v>
      </c>
      <c r="E31" s="515" t="s">
        <v>57</v>
      </c>
      <c r="F31" s="522" t="s">
        <v>532</v>
      </c>
      <c r="G31" s="515" t="s">
        <v>53</v>
      </c>
      <c r="H31" s="515" t="s">
        <v>291</v>
      </c>
      <c r="I31" s="515">
        <v>0</v>
      </c>
      <c r="J31" s="515">
        <v>0</v>
      </c>
      <c r="K31" s="515">
        <v>291668161.5</v>
      </c>
      <c r="L31" s="515">
        <v>2982341.9</v>
      </c>
      <c r="M31" s="515">
        <v>0</v>
      </c>
      <c r="N31" s="515">
        <f t="shared" si="0"/>
        <v>294650503.39999998</v>
      </c>
      <c r="O31" s="519">
        <f t="shared" si="1"/>
        <v>294650503.39999998</v>
      </c>
    </row>
    <row r="32" spans="1:15" hidden="1" x14ac:dyDescent="0.25">
      <c r="A32" s="515" t="s">
        <v>59</v>
      </c>
      <c r="B32" s="524" t="s">
        <v>60</v>
      </c>
      <c r="C32" s="515" t="s">
        <v>61</v>
      </c>
      <c r="D32" s="515" t="s">
        <v>453</v>
      </c>
      <c r="E32" s="515" t="s">
        <v>62</v>
      </c>
      <c r="F32" s="515" t="s">
        <v>455</v>
      </c>
      <c r="G32" s="515" t="s">
        <v>63</v>
      </c>
      <c r="H32" s="515" t="s">
        <v>291</v>
      </c>
      <c r="I32" s="521">
        <v>0</v>
      </c>
      <c r="J32" s="521">
        <v>342333.52</v>
      </c>
      <c r="K32" s="521">
        <v>73470389.230000004</v>
      </c>
      <c r="L32" s="521">
        <v>129327350.88000001</v>
      </c>
      <c r="M32" s="521">
        <v>0</v>
      </c>
      <c r="N32" s="515">
        <f t="shared" si="0"/>
        <v>202797740.11000001</v>
      </c>
      <c r="O32" s="519">
        <f t="shared" si="1"/>
        <v>203140073.63</v>
      </c>
    </row>
    <row r="33" spans="1:15" hidden="1" x14ac:dyDescent="0.25">
      <c r="A33" s="515" t="s">
        <v>59</v>
      </c>
      <c r="B33" s="524" t="s">
        <v>64</v>
      </c>
      <c r="C33" s="515" t="s">
        <v>61</v>
      </c>
      <c r="D33" s="515" t="s">
        <v>453</v>
      </c>
      <c r="E33" s="515" t="s">
        <v>62</v>
      </c>
      <c r="F33" s="515" t="s">
        <v>440</v>
      </c>
      <c r="G33" s="515" t="s">
        <v>63</v>
      </c>
      <c r="H33" s="515" t="s">
        <v>291</v>
      </c>
      <c r="I33" s="515">
        <v>0</v>
      </c>
      <c r="J33" s="515">
        <v>0</v>
      </c>
      <c r="K33" s="515">
        <v>0</v>
      </c>
      <c r="L33" s="515">
        <v>2125027.31</v>
      </c>
      <c r="M33" s="515">
        <v>0</v>
      </c>
      <c r="N33" s="515">
        <f t="shared" si="0"/>
        <v>2125027.31</v>
      </c>
      <c r="O33" s="519">
        <f t="shared" si="1"/>
        <v>2125027.31</v>
      </c>
    </row>
    <row r="34" spans="1:15" hidden="1" x14ac:dyDescent="0.25">
      <c r="A34" s="515" t="s">
        <v>59</v>
      </c>
      <c r="B34" s="524" t="s">
        <v>65</v>
      </c>
      <c r="C34" s="515" t="s">
        <v>61</v>
      </c>
      <c r="D34" s="515" t="s">
        <v>453</v>
      </c>
      <c r="E34" s="515" t="s">
        <v>62</v>
      </c>
      <c r="F34" s="515" t="s">
        <v>455</v>
      </c>
      <c r="G34" s="515" t="s">
        <v>63</v>
      </c>
      <c r="H34" s="515" t="s">
        <v>291</v>
      </c>
      <c r="I34" s="515">
        <v>0</v>
      </c>
      <c r="J34" s="521">
        <v>87513734.649999991</v>
      </c>
      <c r="K34" s="515">
        <v>0</v>
      </c>
      <c r="L34" s="515">
        <v>324337810</v>
      </c>
      <c r="M34" s="515">
        <v>0</v>
      </c>
      <c r="N34" s="515">
        <f t="shared" si="0"/>
        <v>324337810</v>
      </c>
      <c r="O34" s="519">
        <f t="shared" si="1"/>
        <v>411851544.64999998</v>
      </c>
    </row>
    <row r="35" spans="1:15" hidden="1" x14ac:dyDescent="0.25">
      <c r="A35" s="515" t="s">
        <v>59</v>
      </c>
      <c r="B35" s="524" t="s">
        <v>66</v>
      </c>
      <c r="C35" s="515" t="s">
        <v>61</v>
      </c>
      <c r="D35" s="515" t="s">
        <v>453</v>
      </c>
      <c r="E35" s="515" t="s">
        <v>67</v>
      </c>
      <c r="F35" s="522" t="s">
        <v>601</v>
      </c>
      <c r="G35" s="515" t="s">
        <v>63</v>
      </c>
      <c r="H35" s="515" t="s">
        <v>291</v>
      </c>
      <c r="I35" s="515">
        <v>0</v>
      </c>
      <c r="J35" s="515">
        <v>0</v>
      </c>
      <c r="K35" s="515">
        <v>0</v>
      </c>
      <c r="L35" s="515">
        <v>86628189.969999999</v>
      </c>
      <c r="M35" s="515">
        <v>0</v>
      </c>
      <c r="N35" s="515">
        <f t="shared" si="0"/>
        <v>86628189.969999999</v>
      </c>
      <c r="O35" s="519">
        <f t="shared" si="1"/>
        <v>86628189.969999999</v>
      </c>
    </row>
    <row r="36" spans="1:15" hidden="1" x14ac:dyDescent="0.25">
      <c r="A36" s="515" t="s">
        <v>59</v>
      </c>
      <c r="B36" s="523" t="s">
        <v>68</v>
      </c>
      <c r="C36" s="515" t="s">
        <v>61</v>
      </c>
      <c r="D36" s="515" t="s">
        <v>453</v>
      </c>
      <c r="E36" s="515" t="s">
        <v>69</v>
      </c>
      <c r="F36" s="522" t="s">
        <v>601</v>
      </c>
      <c r="G36" s="515" t="s">
        <v>70</v>
      </c>
      <c r="H36" s="515" t="s">
        <v>291</v>
      </c>
      <c r="I36" s="515">
        <v>0</v>
      </c>
      <c r="J36" s="515">
        <v>268379737</v>
      </c>
      <c r="K36" s="521">
        <v>1186505.8400000001</v>
      </c>
      <c r="L36" s="515">
        <v>406062009.19999999</v>
      </c>
      <c r="M36" s="521">
        <v>44026513.027900003</v>
      </c>
      <c r="N36" s="515">
        <f t="shared" si="0"/>
        <v>407248515.03999996</v>
      </c>
      <c r="O36" s="519">
        <f t="shared" si="1"/>
        <v>675628252.03999996</v>
      </c>
    </row>
    <row r="37" spans="1:15" hidden="1" x14ac:dyDescent="0.25">
      <c r="A37" s="515" t="s">
        <v>59</v>
      </c>
      <c r="B37" s="515" t="s">
        <v>68</v>
      </c>
      <c r="C37" s="515" t="s">
        <v>61</v>
      </c>
      <c r="D37" s="515" t="s">
        <v>453</v>
      </c>
      <c r="E37" s="515" t="s">
        <v>71</v>
      </c>
      <c r="F37" s="515" t="s">
        <v>457</v>
      </c>
      <c r="G37" s="515" t="s">
        <v>63</v>
      </c>
      <c r="H37" s="515" t="s">
        <v>291</v>
      </c>
      <c r="I37" s="521">
        <v>0</v>
      </c>
      <c r="J37" s="521">
        <v>108176429.54000001</v>
      </c>
      <c r="K37" s="521">
        <v>965889.3600000001</v>
      </c>
      <c r="L37" s="521">
        <v>153317268.61999995</v>
      </c>
      <c r="M37" s="521">
        <v>0</v>
      </c>
      <c r="N37" s="515">
        <f t="shared" si="0"/>
        <v>154283157.97999996</v>
      </c>
      <c r="O37" s="519">
        <f t="shared" si="1"/>
        <v>262459587.51999995</v>
      </c>
    </row>
    <row r="38" spans="1:15" hidden="1" x14ac:dyDescent="0.25">
      <c r="A38" s="515" t="s">
        <v>59</v>
      </c>
      <c r="B38" s="515" t="s">
        <v>68</v>
      </c>
      <c r="C38" s="515" t="s">
        <v>61</v>
      </c>
      <c r="D38" s="515" t="s">
        <v>453</v>
      </c>
      <c r="E38" s="515" t="s">
        <v>71</v>
      </c>
      <c r="F38" s="515" t="s">
        <v>457</v>
      </c>
      <c r="G38" s="515" t="s">
        <v>70</v>
      </c>
      <c r="H38" s="515" t="s">
        <v>291</v>
      </c>
      <c r="I38" s="521">
        <v>0</v>
      </c>
      <c r="J38" s="521">
        <v>136311684.74000001</v>
      </c>
      <c r="K38" s="521">
        <v>0</v>
      </c>
      <c r="L38" s="521">
        <v>161329599.02000001</v>
      </c>
      <c r="M38" s="521">
        <v>52620015.693699993</v>
      </c>
      <c r="N38" s="515">
        <f t="shared" si="0"/>
        <v>161329599.02000001</v>
      </c>
      <c r="O38" s="519">
        <f t="shared" si="1"/>
        <v>297641283.75999999</v>
      </c>
    </row>
    <row r="39" spans="1:15" hidden="1" x14ac:dyDescent="0.25">
      <c r="A39" s="515" t="s">
        <v>59</v>
      </c>
      <c r="B39" s="515" t="s">
        <v>68</v>
      </c>
      <c r="C39" s="515" t="s">
        <v>72</v>
      </c>
      <c r="D39" s="522" t="s">
        <v>604</v>
      </c>
      <c r="E39" s="515" t="s">
        <v>73</v>
      </c>
      <c r="F39" s="522" t="s">
        <v>456</v>
      </c>
      <c r="G39" s="515" t="s">
        <v>63</v>
      </c>
      <c r="H39" s="515" t="s">
        <v>291</v>
      </c>
      <c r="I39" s="521">
        <v>0</v>
      </c>
      <c r="J39" s="521">
        <v>162288104.04000002</v>
      </c>
      <c r="K39" s="521">
        <v>2795778.5500000003</v>
      </c>
      <c r="L39" s="521">
        <v>253464764.50999996</v>
      </c>
      <c r="M39" s="521">
        <v>42057506.110000044</v>
      </c>
      <c r="N39" s="515">
        <f t="shared" si="0"/>
        <v>256260543.05999997</v>
      </c>
      <c r="O39" s="519">
        <f t="shared" si="1"/>
        <v>418548647.10000002</v>
      </c>
    </row>
    <row r="40" spans="1:15" hidden="1" x14ac:dyDescent="0.25">
      <c r="A40" s="515" t="s">
        <v>59</v>
      </c>
      <c r="B40" s="515" t="s">
        <v>68</v>
      </c>
      <c r="C40" s="515" t="s">
        <v>72</v>
      </c>
      <c r="D40" s="522" t="s">
        <v>604</v>
      </c>
      <c r="E40" s="515" t="s">
        <v>73</v>
      </c>
      <c r="F40" s="522" t="s">
        <v>456</v>
      </c>
      <c r="G40" s="515" t="s">
        <v>70</v>
      </c>
      <c r="H40" s="515" t="s">
        <v>291</v>
      </c>
      <c r="I40" s="521">
        <v>0</v>
      </c>
      <c r="J40" s="521">
        <v>72507901.849999994</v>
      </c>
      <c r="K40" s="521">
        <v>0</v>
      </c>
      <c r="L40" s="521">
        <v>11787053.539999999</v>
      </c>
      <c r="M40" s="521">
        <v>0</v>
      </c>
      <c r="N40" s="515">
        <f t="shared" si="0"/>
        <v>11787053.539999999</v>
      </c>
      <c r="O40" s="519">
        <f t="shared" si="1"/>
        <v>84294955.389999986</v>
      </c>
    </row>
    <row r="41" spans="1:15" hidden="1" x14ac:dyDescent="0.25">
      <c r="A41" s="515" t="s">
        <v>59</v>
      </c>
      <c r="B41" s="523" t="s">
        <v>74</v>
      </c>
      <c r="C41" s="515" t="s">
        <v>75</v>
      </c>
      <c r="D41" s="522" t="s">
        <v>439</v>
      </c>
      <c r="E41" s="515" t="s">
        <v>76</v>
      </c>
      <c r="F41" s="522" t="s">
        <v>440</v>
      </c>
      <c r="G41" s="515" t="s">
        <v>63</v>
      </c>
      <c r="H41" s="515" t="s">
        <v>291</v>
      </c>
      <c r="I41" s="521">
        <v>0</v>
      </c>
      <c r="J41" s="521">
        <v>272667604.43000001</v>
      </c>
      <c r="K41" s="521">
        <v>0</v>
      </c>
      <c r="L41" s="521">
        <v>71722248.539999992</v>
      </c>
      <c r="M41" s="521">
        <v>19381660.741299998</v>
      </c>
      <c r="N41" s="515">
        <f t="shared" si="0"/>
        <v>71722248.539999992</v>
      </c>
      <c r="O41" s="519">
        <f t="shared" si="1"/>
        <v>344389852.97000003</v>
      </c>
    </row>
    <row r="42" spans="1:15" hidden="1" x14ac:dyDescent="0.25">
      <c r="A42" s="515" t="s">
        <v>59</v>
      </c>
      <c r="B42" s="515" t="s">
        <v>74</v>
      </c>
      <c r="C42" s="515" t="s">
        <v>75</v>
      </c>
      <c r="D42" s="522" t="s">
        <v>439</v>
      </c>
      <c r="E42" s="515" t="s">
        <v>76</v>
      </c>
      <c r="F42" s="522" t="s">
        <v>440</v>
      </c>
      <c r="G42" s="515" t="s">
        <v>70</v>
      </c>
      <c r="H42" s="515" t="s">
        <v>291</v>
      </c>
      <c r="I42" s="521">
        <v>0</v>
      </c>
      <c r="J42" s="521">
        <v>0</v>
      </c>
      <c r="K42" s="521">
        <v>0</v>
      </c>
      <c r="L42" s="521">
        <v>25022.84</v>
      </c>
      <c r="M42" s="521">
        <v>0</v>
      </c>
      <c r="N42" s="515">
        <f t="shared" si="0"/>
        <v>25022.84</v>
      </c>
      <c r="O42" s="519">
        <f t="shared" si="1"/>
        <v>25022.84</v>
      </c>
    </row>
    <row r="43" spans="1:15" hidden="1" x14ac:dyDescent="0.25">
      <c r="A43" s="515" t="s">
        <v>59</v>
      </c>
      <c r="B43" s="515" t="s">
        <v>74</v>
      </c>
      <c r="C43" s="515" t="s">
        <v>75</v>
      </c>
      <c r="D43" s="522" t="s">
        <v>439</v>
      </c>
      <c r="E43" s="515" t="s">
        <v>77</v>
      </c>
      <c r="F43" s="522" t="s">
        <v>603</v>
      </c>
      <c r="G43" s="515" t="s">
        <v>63</v>
      </c>
      <c r="H43" s="515" t="s">
        <v>291</v>
      </c>
      <c r="I43" s="515">
        <v>0</v>
      </c>
      <c r="J43" s="521">
        <v>180123255.57999998</v>
      </c>
      <c r="K43" s="515"/>
      <c r="L43" s="515">
        <v>105190044.59999999</v>
      </c>
      <c r="M43" s="521">
        <v>107753024.60259996</v>
      </c>
      <c r="N43" s="515">
        <f t="shared" si="0"/>
        <v>105190044.59999999</v>
      </c>
      <c r="O43" s="519">
        <f t="shared" si="1"/>
        <v>285313300.17999995</v>
      </c>
    </row>
    <row r="44" spans="1:15" hidden="1" x14ac:dyDescent="0.25">
      <c r="A44" s="515" t="s">
        <v>59</v>
      </c>
      <c r="B44" s="523" t="s">
        <v>78</v>
      </c>
      <c r="C44" s="515" t="s">
        <v>75</v>
      </c>
      <c r="D44" s="522" t="s">
        <v>439</v>
      </c>
      <c r="E44" s="515" t="s">
        <v>76</v>
      </c>
      <c r="F44" s="522" t="s">
        <v>602</v>
      </c>
      <c r="G44" s="515" t="s">
        <v>63</v>
      </c>
      <c r="H44" s="515" t="s">
        <v>291</v>
      </c>
      <c r="I44" s="515">
        <v>0</v>
      </c>
      <c r="J44" s="521">
        <v>34691444.800000004</v>
      </c>
      <c r="K44" s="515">
        <v>0</v>
      </c>
      <c r="L44" s="521">
        <v>1185678.5599999998</v>
      </c>
      <c r="M44" s="521">
        <v>650000</v>
      </c>
      <c r="N44" s="515">
        <f t="shared" si="0"/>
        <v>1185678.5599999998</v>
      </c>
      <c r="O44" s="519">
        <f t="shared" si="1"/>
        <v>35877123.360000007</v>
      </c>
    </row>
    <row r="45" spans="1:15" hidden="1" x14ac:dyDescent="0.25">
      <c r="A45" s="515" t="s">
        <v>59</v>
      </c>
      <c r="B45" s="523" t="s">
        <v>79</v>
      </c>
      <c r="C45" s="515" t="s">
        <v>75</v>
      </c>
      <c r="D45" s="522" t="s">
        <v>439</v>
      </c>
      <c r="E45" s="515" t="s">
        <v>80</v>
      </c>
      <c r="F45" s="522" t="s">
        <v>459</v>
      </c>
      <c r="G45" s="515"/>
      <c r="H45" s="515" t="s">
        <v>291</v>
      </c>
      <c r="I45" s="515">
        <v>0</v>
      </c>
      <c r="J45" s="515">
        <v>0</v>
      </c>
      <c r="K45" s="521">
        <v>99588543.879999995</v>
      </c>
      <c r="L45" s="515">
        <v>308520415.30000001</v>
      </c>
      <c r="M45" s="521">
        <v>650000</v>
      </c>
      <c r="N45" s="515">
        <f t="shared" si="0"/>
        <v>408108959.18000001</v>
      </c>
      <c r="O45" s="519">
        <f t="shared" si="1"/>
        <v>408108959.18000001</v>
      </c>
    </row>
    <row r="46" spans="1:15" hidden="1" x14ac:dyDescent="0.25">
      <c r="A46" s="515" t="s">
        <v>59</v>
      </c>
      <c r="B46" s="523" t="s">
        <v>81</v>
      </c>
      <c r="C46" s="515" t="s">
        <v>75</v>
      </c>
      <c r="D46" s="522" t="s">
        <v>439</v>
      </c>
      <c r="E46" s="515" t="s">
        <v>82</v>
      </c>
      <c r="F46" s="515" t="s">
        <v>441</v>
      </c>
      <c r="G46" s="515" t="s">
        <v>63</v>
      </c>
      <c r="H46" s="515" t="s">
        <v>291</v>
      </c>
      <c r="I46" s="515">
        <v>0</v>
      </c>
      <c r="J46" s="521">
        <v>153019583.42999998</v>
      </c>
      <c r="K46" s="521">
        <v>134970165.77000001</v>
      </c>
      <c r="L46" s="515">
        <v>333905249.39999998</v>
      </c>
      <c r="M46" s="521">
        <v>1989224.5970999999</v>
      </c>
      <c r="N46" s="515">
        <f t="shared" si="0"/>
        <v>468875415.16999996</v>
      </c>
      <c r="O46" s="519">
        <f t="shared" si="1"/>
        <v>621894998.5999999</v>
      </c>
    </row>
    <row r="47" spans="1:15" hidden="1" x14ac:dyDescent="0.25">
      <c r="A47" s="515" t="s">
        <v>59</v>
      </c>
      <c r="B47" s="523" t="s">
        <v>83</v>
      </c>
      <c r="C47" s="515" t="s">
        <v>84</v>
      </c>
      <c r="D47" s="522" t="s">
        <v>443</v>
      </c>
      <c r="E47" s="515" t="s">
        <v>85</v>
      </c>
      <c r="F47" s="522" t="s">
        <v>605</v>
      </c>
      <c r="G47" s="515" t="s">
        <v>86</v>
      </c>
      <c r="H47" s="515" t="s">
        <v>291</v>
      </c>
      <c r="I47" s="521">
        <v>0</v>
      </c>
      <c r="J47" s="521">
        <v>121671430.49999997</v>
      </c>
      <c r="K47" s="521">
        <v>183658746.71000001</v>
      </c>
      <c r="L47" s="521">
        <v>227938901.79999974</v>
      </c>
      <c r="M47" s="521">
        <v>70488320.631299987</v>
      </c>
      <c r="N47" s="515">
        <f t="shared" si="0"/>
        <v>411597648.50999975</v>
      </c>
      <c r="O47" s="519">
        <f t="shared" si="1"/>
        <v>533269079.00999975</v>
      </c>
    </row>
    <row r="48" spans="1:15" hidden="1" x14ac:dyDescent="0.25">
      <c r="A48" s="515" t="s">
        <v>59</v>
      </c>
      <c r="B48" s="523" t="s">
        <v>87</v>
      </c>
      <c r="C48" s="515" t="s">
        <v>84</v>
      </c>
      <c r="D48" s="522" t="s">
        <v>443</v>
      </c>
      <c r="E48" s="515" t="s">
        <v>88</v>
      </c>
      <c r="F48" s="522" t="s">
        <v>606</v>
      </c>
      <c r="G48" s="515" t="s">
        <v>86</v>
      </c>
      <c r="H48" s="515" t="s">
        <v>291</v>
      </c>
      <c r="I48" s="521">
        <v>0</v>
      </c>
      <c r="J48" s="521">
        <v>23080630.669999998</v>
      </c>
      <c r="K48" s="521">
        <v>628783.19000000006</v>
      </c>
      <c r="L48" s="521">
        <v>141679553.97000003</v>
      </c>
      <c r="M48" s="521">
        <v>0</v>
      </c>
      <c r="N48" s="515">
        <f t="shared" si="0"/>
        <v>142308337.16000003</v>
      </c>
      <c r="O48" s="519">
        <f t="shared" si="1"/>
        <v>165388967.83000004</v>
      </c>
    </row>
    <row r="49" spans="1:15" hidden="1" x14ac:dyDescent="0.25">
      <c r="A49" s="515" t="s">
        <v>59</v>
      </c>
      <c r="B49" s="515" t="s">
        <v>87</v>
      </c>
      <c r="C49" s="515" t="s">
        <v>84</v>
      </c>
      <c r="D49" s="522" t="s">
        <v>443</v>
      </c>
      <c r="E49" s="515" t="s">
        <v>89</v>
      </c>
      <c r="F49" s="522" t="s">
        <v>607</v>
      </c>
      <c r="G49" s="515" t="s">
        <v>86</v>
      </c>
      <c r="H49" s="515" t="s">
        <v>291</v>
      </c>
      <c r="I49" s="521">
        <v>0</v>
      </c>
      <c r="J49" s="521">
        <v>6003235.9700000007</v>
      </c>
      <c r="K49" s="521">
        <v>221515033.27000004</v>
      </c>
      <c r="L49" s="521">
        <v>26051285.77999999</v>
      </c>
      <c r="M49" s="521">
        <v>43675974.810000084</v>
      </c>
      <c r="N49" s="515">
        <f t="shared" si="0"/>
        <v>247566319.05000004</v>
      </c>
      <c r="O49" s="519">
        <f t="shared" si="1"/>
        <v>253569555.02000004</v>
      </c>
    </row>
    <row r="50" spans="1:15" hidden="1" x14ac:dyDescent="0.25">
      <c r="A50" s="515" t="s">
        <v>59</v>
      </c>
      <c r="B50" s="523" t="s">
        <v>90</v>
      </c>
      <c r="C50" s="515" t="s">
        <v>84</v>
      </c>
      <c r="D50" s="522" t="s">
        <v>443</v>
      </c>
      <c r="E50" s="515" t="s">
        <v>88</v>
      </c>
      <c r="F50" s="522" t="s">
        <v>606</v>
      </c>
      <c r="G50" s="515" t="s">
        <v>86</v>
      </c>
      <c r="H50" s="515" t="s">
        <v>291</v>
      </c>
      <c r="I50" s="521">
        <v>0</v>
      </c>
      <c r="J50" s="521">
        <v>104860578.90999995</v>
      </c>
      <c r="K50" s="521">
        <v>1722313.4900000002</v>
      </c>
      <c r="L50" s="521">
        <v>162118278.36999997</v>
      </c>
      <c r="M50" s="521">
        <v>0</v>
      </c>
      <c r="N50" s="515">
        <f t="shared" si="0"/>
        <v>163840591.85999998</v>
      </c>
      <c r="O50" s="519">
        <f t="shared" si="1"/>
        <v>268701170.76999992</v>
      </c>
    </row>
    <row r="51" spans="1:15" hidden="1" x14ac:dyDescent="0.25">
      <c r="A51" s="515" t="s">
        <v>59</v>
      </c>
      <c r="B51" s="515" t="s">
        <v>90</v>
      </c>
      <c r="C51" s="515" t="s">
        <v>84</v>
      </c>
      <c r="D51" s="522" t="s">
        <v>443</v>
      </c>
      <c r="E51" s="515" t="s">
        <v>89</v>
      </c>
      <c r="F51" s="522" t="s">
        <v>607</v>
      </c>
      <c r="G51" s="515" t="s">
        <v>86</v>
      </c>
      <c r="H51" s="515" t="s">
        <v>291</v>
      </c>
      <c r="I51" s="521">
        <v>0</v>
      </c>
      <c r="J51" s="521">
        <v>201600905.64000005</v>
      </c>
      <c r="K51" s="521">
        <v>46083759.960000001</v>
      </c>
      <c r="L51" s="521">
        <v>38379886.579999991</v>
      </c>
      <c r="M51" s="521">
        <v>296054124.14759994</v>
      </c>
      <c r="N51" s="515">
        <f t="shared" si="0"/>
        <v>84463646.539999992</v>
      </c>
      <c r="O51" s="519">
        <f t="shared" si="1"/>
        <v>286064552.18000007</v>
      </c>
    </row>
    <row r="52" spans="1:15" hidden="1" x14ac:dyDescent="0.25">
      <c r="A52" s="515" t="s">
        <v>59</v>
      </c>
      <c r="B52" s="515" t="s">
        <v>90</v>
      </c>
      <c r="C52" s="515" t="s">
        <v>84</v>
      </c>
      <c r="D52" s="522" t="s">
        <v>443</v>
      </c>
      <c r="E52" s="515" t="s">
        <v>91</v>
      </c>
      <c r="F52" s="522" t="s">
        <v>446</v>
      </c>
      <c r="G52" s="515" t="s">
        <v>86</v>
      </c>
      <c r="H52" s="515" t="s">
        <v>291</v>
      </c>
      <c r="I52" s="521">
        <v>0</v>
      </c>
      <c r="J52" s="521">
        <v>441448884.41999984</v>
      </c>
      <c r="K52" s="521">
        <v>65985340.409999982</v>
      </c>
      <c r="L52" s="521">
        <v>262371949.57000005</v>
      </c>
      <c r="M52" s="521">
        <v>176294026.74129999</v>
      </c>
      <c r="N52" s="515">
        <f t="shared" si="0"/>
        <v>328357289.98000002</v>
      </c>
      <c r="O52" s="519">
        <f t="shared" si="1"/>
        <v>769806174.39999986</v>
      </c>
    </row>
    <row r="53" spans="1:15" hidden="1" x14ac:dyDescent="0.25">
      <c r="A53" s="515" t="s">
        <v>92</v>
      </c>
      <c r="B53" s="523" t="s">
        <v>93</v>
      </c>
      <c r="C53" s="515" t="s">
        <v>94</v>
      </c>
      <c r="D53" s="522" t="s">
        <v>390</v>
      </c>
      <c r="E53" s="515" t="s">
        <v>95</v>
      </c>
      <c r="F53" s="522" t="s">
        <v>608</v>
      </c>
      <c r="G53" s="515" t="s">
        <v>96</v>
      </c>
      <c r="H53" s="515" t="s">
        <v>291</v>
      </c>
      <c r="I53" s="521">
        <v>0</v>
      </c>
      <c r="J53" s="521">
        <v>37867925.61999999</v>
      </c>
      <c r="K53" s="521">
        <v>48991654.930000298</v>
      </c>
      <c r="L53" s="521">
        <v>83731236.620000064</v>
      </c>
      <c r="M53" s="521">
        <v>0</v>
      </c>
      <c r="N53" s="515">
        <f t="shared" si="0"/>
        <v>132722891.55000037</v>
      </c>
      <c r="O53" s="519">
        <f t="shared" si="1"/>
        <v>170590817.17000034</v>
      </c>
    </row>
    <row r="54" spans="1:15" hidden="1" x14ac:dyDescent="0.25">
      <c r="A54" s="515" t="s">
        <v>92</v>
      </c>
      <c r="B54" s="515" t="s">
        <v>97</v>
      </c>
      <c r="C54" s="515" t="s">
        <v>94</v>
      </c>
      <c r="D54" s="522" t="s">
        <v>390</v>
      </c>
      <c r="E54" s="515" t="s">
        <v>98</v>
      </c>
      <c r="F54" s="522" t="s">
        <v>609</v>
      </c>
      <c r="G54" s="515" t="s">
        <v>99</v>
      </c>
      <c r="H54" s="515" t="s">
        <v>291</v>
      </c>
      <c r="I54" s="521">
        <v>0</v>
      </c>
      <c r="J54" s="521">
        <v>6797469.4299999997</v>
      </c>
      <c r="K54" s="521">
        <v>68919637.749999896</v>
      </c>
      <c r="L54" s="521">
        <v>60424031.840000011</v>
      </c>
      <c r="M54" s="521">
        <v>119395924.48810005</v>
      </c>
      <c r="N54" s="515">
        <f t="shared" si="0"/>
        <v>129343669.58999991</v>
      </c>
      <c r="O54" s="519">
        <f t="shared" si="1"/>
        <v>136141139.01999989</v>
      </c>
    </row>
    <row r="55" spans="1:15" hidden="1" x14ac:dyDescent="0.25">
      <c r="A55" s="515" t="s">
        <v>92</v>
      </c>
      <c r="B55" s="515" t="s">
        <v>100</v>
      </c>
      <c r="C55" s="515" t="s">
        <v>94</v>
      </c>
      <c r="D55" s="522" t="s">
        <v>390</v>
      </c>
      <c r="E55" s="515" t="s">
        <v>101</v>
      </c>
      <c r="F55" s="522" t="s">
        <v>409</v>
      </c>
      <c r="G55" s="515" t="s">
        <v>96</v>
      </c>
      <c r="H55" s="515" t="s">
        <v>291</v>
      </c>
      <c r="I55" s="521">
        <v>0</v>
      </c>
      <c r="J55" s="521">
        <v>0</v>
      </c>
      <c r="K55" s="521">
        <v>3709919.7600000007</v>
      </c>
      <c r="L55" s="521">
        <v>61572551.459999993</v>
      </c>
      <c r="M55" s="521">
        <v>6893112.2441999996</v>
      </c>
      <c r="N55" s="515">
        <f t="shared" si="0"/>
        <v>65282471.219999991</v>
      </c>
      <c r="O55" s="519">
        <f t="shared" si="1"/>
        <v>65282471.219999991</v>
      </c>
    </row>
    <row r="56" spans="1:15" hidden="1" x14ac:dyDescent="0.25">
      <c r="A56" s="515" t="s">
        <v>92</v>
      </c>
      <c r="B56" s="515" t="s">
        <v>102</v>
      </c>
      <c r="C56" s="515" t="s">
        <v>94</v>
      </c>
      <c r="D56" s="522" t="s">
        <v>390</v>
      </c>
      <c r="E56" s="515" t="s">
        <v>101</v>
      </c>
      <c r="F56" s="522" t="s">
        <v>409</v>
      </c>
      <c r="G56" s="515" t="s">
        <v>96</v>
      </c>
      <c r="H56" s="515" t="s">
        <v>291</v>
      </c>
      <c r="I56" s="521">
        <v>0</v>
      </c>
      <c r="J56" s="521">
        <v>17566407.939999998</v>
      </c>
      <c r="K56" s="521">
        <v>38383692.549999997</v>
      </c>
      <c r="L56" s="521">
        <v>155048074.95999986</v>
      </c>
      <c r="M56" s="521">
        <v>129383535.6268</v>
      </c>
      <c r="N56" s="515">
        <f t="shared" si="0"/>
        <v>193431767.50999987</v>
      </c>
      <c r="O56" s="519">
        <f t="shared" si="1"/>
        <v>210998175.44999987</v>
      </c>
    </row>
    <row r="57" spans="1:15" hidden="1" x14ac:dyDescent="0.25">
      <c r="A57" s="515" t="s">
        <v>92</v>
      </c>
      <c r="B57" s="515" t="s">
        <v>103</v>
      </c>
      <c r="C57" s="515" t="s">
        <v>94</v>
      </c>
      <c r="D57" s="522" t="s">
        <v>390</v>
      </c>
      <c r="E57" s="515" t="s">
        <v>104</v>
      </c>
      <c r="F57" s="522" t="s">
        <v>610</v>
      </c>
      <c r="G57" s="515" t="s">
        <v>96</v>
      </c>
      <c r="H57" s="515" t="s">
        <v>291</v>
      </c>
      <c r="I57" s="521">
        <v>0</v>
      </c>
      <c r="J57" s="521">
        <v>5248127.7100000009</v>
      </c>
      <c r="K57" s="521">
        <v>2517076.71</v>
      </c>
      <c r="L57" s="521">
        <v>101239778.97</v>
      </c>
      <c r="M57" s="521">
        <v>92206844.813199982</v>
      </c>
      <c r="N57" s="515">
        <f t="shared" si="0"/>
        <v>103756855.67999999</v>
      </c>
      <c r="O57" s="519">
        <f t="shared" si="1"/>
        <v>109004983.39</v>
      </c>
    </row>
    <row r="58" spans="1:15" hidden="1" x14ac:dyDescent="0.25">
      <c r="A58" s="515" t="s">
        <v>92</v>
      </c>
      <c r="B58" s="515" t="s">
        <v>105</v>
      </c>
      <c r="C58" s="515" t="s">
        <v>94</v>
      </c>
      <c r="D58" s="522" t="s">
        <v>390</v>
      </c>
      <c r="E58" s="515" t="s">
        <v>106</v>
      </c>
      <c r="F58" s="522" t="s">
        <v>611</v>
      </c>
      <c r="G58" s="515" t="s">
        <v>96</v>
      </c>
      <c r="H58" s="515" t="s">
        <v>291</v>
      </c>
      <c r="I58" s="521">
        <v>0</v>
      </c>
      <c r="J58" s="521">
        <v>11012437.9</v>
      </c>
      <c r="K58" s="521">
        <v>218337576.42999807</v>
      </c>
      <c r="L58" s="521">
        <v>101476809.00999995</v>
      </c>
      <c r="M58" s="521">
        <v>0</v>
      </c>
      <c r="N58" s="515">
        <f t="shared" si="0"/>
        <v>319814385.43999803</v>
      </c>
      <c r="O58" s="519">
        <f t="shared" si="1"/>
        <v>330826823.33999801</v>
      </c>
    </row>
    <row r="59" spans="1:15" hidden="1" x14ac:dyDescent="0.25">
      <c r="A59" s="515"/>
      <c r="B59" s="523"/>
      <c r="C59" s="523"/>
      <c r="D59" s="527"/>
      <c r="E59" s="523"/>
      <c r="F59" s="527"/>
      <c r="G59" s="523"/>
      <c r="H59" s="523"/>
      <c r="I59" s="523"/>
      <c r="J59" s="523"/>
      <c r="K59" s="523"/>
      <c r="L59" s="523"/>
      <c r="M59" s="523"/>
      <c r="N59" s="523"/>
      <c r="O59" s="528"/>
    </row>
    <row r="60" spans="1:15" hidden="1" x14ac:dyDescent="0.25">
      <c r="A60" s="515" t="s">
        <v>92</v>
      </c>
      <c r="B60" s="515" t="s">
        <v>108</v>
      </c>
      <c r="C60" s="515" t="s">
        <v>109</v>
      </c>
      <c r="D60" s="522" t="s">
        <v>390</v>
      </c>
      <c r="E60" s="515" t="s">
        <v>110</v>
      </c>
      <c r="F60" s="522" t="s">
        <v>612</v>
      </c>
      <c r="G60" s="515" t="s">
        <v>96</v>
      </c>
      <c r="H60" s="515" t="s">
        <v>291</v>
      </c>
      <c r="I60" s="521">
        <v>0</v>
      </c>
      <c r="J60" s="521">
        <v>14118688.039999999</v>
      </c>
      <c r="K60" s="521">
        <v>47082491.349999994</v>
      </c>
      <c r="L60" s="521">
        <v>21770737.020000003</v>
      </c>
      <c r="M60" s="521">
        <v>0</v>
      </c>
      <c r="N60" s="515">
        <f t="shared" si="0"/>
        <v>68853228.370000005</v>
      </c>
      <c r="O60" s="519">
        <f t="shared" si="1"/>
        <v>82971916.409999996</v>
      </c>
    </row>
    <row r="61" spans="1:15" hidden="1" x14ac:dyDescent="0.25">
      <c r="A61" s="515" t="s">
        <v>92</v>
      </c>
      <c r="B61" s="515" t="s">
        <v>111</v>
      </c>
      <c r="C61" s="515" t="s">
        <v>112</v>
      </c>
      <c r="D61" s="522" t="s">
        <v>390</v>
      </c>
      <c r="E61" s="515" t="s">
        <v>113</v>
      </c>
      <c r="F61" s="522" t="s">
        <v>613</v>
      </c>
      <c r="G61" s="515" t="s">
        <v>96</v>
      </c>
      <c r="H61" s="515" t="s">
        <v>291</v>
      </c>
      <c r="I61" s="521">
        <v>0</v>
      </c>
      <c r="J61" s="521">
        <v>273375212.92999798</v>
      </c>
      <c r="K61" s="521">
        <v>1308584.48</v>
      </c>
      <c r="L61" s="521">
        <v>27757720.270000011</v>
      </c>
      <c r="M61" s="521">
        <v>0</v>
      </c>
      <c r="N61" s="515">
        <f t="shared" si="0"/>
        <v>29066304.750000011</v>
      </c>
      <c r="O61" s="519">
        <f t="shared" si="1"/>
        <v>302441517.67999804</v>
      </c>
    </row>
    <row r="62" spans="1:15" hidden="1" x14ac:dyDescent="0.25">
      <c r="A62" s="515" t="s">
        <v>92</v>
      </c>
      <c r="B62" s="515" t="s">
        <v>114</v>
      </c>
      <c r="C62" s="515" t="s">
        <v>115</v>
      </c>
      <c r="D62" s="522" t="s">
        <v>621</v>
      </c>
      <c r="E62" s="515" t="s">
        <v>116</v>
      </c>
      <c r="F62" s="522" t="s">
        <v>614</v>
      </c>
      <c r="G62" s="515" t="s">
        <v>117</v>
      </c>
      <c r="H62" s="515" t="s">
        <v>291</v>
      </c>
      <c r="I62" s="521">
        <v>0</v>
      </c>
      <c r="J62" s="521">
        <v>8722385.4600000009</v>
      </c>
      <c r="K62" s="521">
        <v>656791.19999999995</v>
      </c>
      <c r="L62" s="521">
        <v>58926900.209999993</v>
      </c>
      <c r="M62" s="521">
        <v>0</v>
      </c>
      <c r="N62" s="515">
        <f t="shared" si="0"/>
        <v>59583691.409999996</v>
      </c>
      <c r="O62" s="519">
        <f t="shared" si="1"/>
        <v>68306076.86999999</v>
      </c>
    </row>
    <row r="63" spans="1:15" hidden="1" x14ac:dyDescent="0.25">
      <c r="A63" s="515" t="s">
        <v>92</v>
      </c>
      <c r="B63" s="515" t="s">
        <v>118</v>
      </c>
      <c r="C63" s="515" t="s">
        <v>115</v>
      </c>
      <c r="D63" s="522" t="s">
        <v>621</v>
      </c>
      <c r="E63" s="515" t="s">
        <v>119</v>
      </c>
      <c r="F63" s="522" t="s">
        <v>410</v>
      </c>
      <c r="G63" s="515" t="s">
        <v>117</v>
      </c>
      <c r="H63" s="515" t="s">
        <v>291</v>
      </c>
      <c r="I63" s="521">
        <v>0</v>
      </c>
      <c r="J63" s="521">
        <v>512675533.57000101</v>
      </c>
      <c r="K63" s="521">
        <v>3863402.85</v>
      </c>
      <c r="L63" s="521">
        <v>312364324.05999964</v>
      </c>
      <c r="M63" s="521">
        <v>0</v>
      </c>
      <c r="N63" s="515">
        <f t="shared" si="0"/>
        <v>316227726.90999967</v>
      </c>
      <c r="O63" s="519">
        <f t="shared" si="1"/>
        <v>828903260.48000073</v>
      </c>
    </row>
    <row r="64" spans="1:15" hidden="1" x14ac:dyDescent="0.25">
      <c r="A64" s="515" t="s">
        <v>92</v>
      </c>
      <c r="B64" s="515" t="s">
        <v>120</v>
      </c>
      <c r="C64" s="515" t="s">
        <v>115</v>
      </c>
      <c r="D64" s="522" t="s">
        <v>621</v>
      </c>
      <c r="E64" s="515" t="s">
        <v>121</v>
      </c>
      <c r="F64" s="515" t="s">
        <v>396</v>
      </c>
      <c r="G64" s="515" t="s">
        <v>117</v>
      </c>
      <c r="H64" s="515" t="s">
        <v>291</v>
      </c>
      <c r="I64" s="521">
        <v>0</v>
      </c>
      <c r="J64" s="521">
        <v>11696539.060000004</v>
      </c>
      <c r="K64" s="521">
        <v>0</v>
      </c>
      <c r="L64" s="521">
        <v>55325264.270000003</v>
      </c>
      <c r="M64" s="521">
        <v>0</v>
      </c>
      <c r="N64" s="515">
        <f t="shared" si="0"/>
        <v>55325264.270000003</v>
      </c>
      <c r="O64" s="519">
        <f t="shared" si="1"/>
        <v>67021803.330000006</v>
      </c>
    </row>
    <row r="65" spans="1:15" hidden="1" x14ac:dyDescent="0.25">
      <c r="A65" s="515" t="s">
        <v>122</v>
      </c>
      <c r="B65" s="515" t="s">
        <v>123</v>
      </c>
      <c r="C65" s="515" t="s">
        <v>124</v>
      </c>
      <c r="D65" s="522" t="s">
        <v>481</v>
      </c>
      <c r="E65" s="515" t="s">
        <v>125</v>
      </c>
      <c r="F65" s="522" t="s">
        <v>486</v>
      </c>
      <c r="G65" s="515" t="s">
        <v>126</v>
      </c>
      <c r="H65" s="515" t="s">
        <v>291</v>
      </c>
      <c r="I65" s="521">
        <v>0</v>
      </c>
      <c r="J65" s="521">
        <v>14587671.609999998</v>
      </c>
      <c r="K65" s="521">
        <v>84991549.110000074</v>
      </c>
      <c r="L65" s="521">
        <v>61231694.460000016</v>
      </c>
      <c r="M65" s="521">
        <v>0</v>
      </c>
      <c r="N65" s="515">
        <f t="shared" si="0"/>
        <v>146223243.57000008</v>
      </c>
      <c r="O65" s="519">
        <f t="shared" si="1"/>
        <v>160810915.1800001</v>
      </c>
    </row>
    <row r="66" spans="1:15" hidden="1" x14ac:dyDescent="0.25">
      <c r="A66" s="515" t="s">
        <v>122</v>
      </c>
      <c r="B66" s="515" t="s">
        <v>127</v>
      </c>
      <c r="C66" s="515" t="s">
        <v>124</v>
      </c>
      <c r="D66" s="522" t="s">
        <v>481</v>
      </c>
      <c r="E66" s="515" t="s">
        <v>128</v>
      </c>
      <c r="F66" s="515" t="s">
        <v>483</v>
      </c>
      <c r="G66" s="515" t="s">
        <v>129</v>
      </c>
      <c r="H66" s="515" t="s">
        <v>291</v>
      </c>
      <c r="I66" s="521">
        <v>0</v>
      </c>
      <c r="J66" s="521">
        <v>0</v>
      </c>
      <c r="K66" s="521">
        <v>0</v>
      </c>
      <c r="L66" s="521">
        <v>10775322.740000002</v>
      </c>
      <c r="M66" s="521">
        <v>0</v>
      </c>
      <c r="N66" s="515">
        <f t="shared" si="0"/>
        <v>10775322.740000002</v>
      </c>
      <c r="O66" s="519">
        <f t="shared" si="1"/>
        <v>10775322.740000002</v>
      </c>
    </row>
    <row r="67" spans="1:15" hidden="1" x14ac:dyDescent="0.25">
      <c r="A67" s="515" t="s">
        <v>122</v>
      </c>
      <c r="B67" s="515" t="s">
        <v>130</v>
      </c>
      <c r="C67" s="515" t="s">
        <v>124</v>
      </c>
      <c r="D67" s="522" t="s">
        <v>481</v>
      </c>
      <c r="E67" s="515" t="s">
        <v>131</v>
      </c>
      <c r="F67" s="522" t="s">
        <v>615</v>
      </c>
      <c r="G67" s="515" t="s">
        <v>129</v>
      </c>
      <c r="H67" s="515" t="s">
        <v>291</v>
      </c>
      <c r="I67" s="521">
        <v>0</v>
      </c>
      <c r="J67" s="521">
        <v>86102087.389999986</v>
      </c>
      <c r="K67" s="521">
        <v>2997710.13</v>
      </c>
      <c r="L67" s="521">
        <v>111635936.67000006</v>
      </c>
      <c r="M67" s="521">
        <v>0</v>
      </c>
      <c r="N67" s="515">
        <f t="shared" ref="N67:N130" si="2">SUM(K67,L67)</f>
        <v>114633646.80000006</v>
      </c>
      <c r="O67" s="519">
        <f t="shared" ref="O67:O130" si="3">SUM(I67:L67)</f>
        <v>200735734.19000006</v>
      </c>
    </row>
    <row r="68" spans="1:15" hidden="1" x14ac:dyDescent="0.25">
      <c r="A68" s="515" t="s">
        <v>122</v>
      </c>
      <c r="B68" s="515" t="s">
        <v>132</v>
      </c>
      <c r="C68" s="515" t="s">
        <v>124</v>
      </c>
      <c r="D68" s="522" t="s">
        <v>481</v>
      </c>
      <c r="E68" s="515" t="s">
        <v>131</v>
      </c>
      <c r="F68" s="522" t="s">
        <v>615</v>
      </c>
      <c r="G68" s="515" t="s">
        <v>129</v>
      </c>
      <c r="H68" s="515" t="s">
        <v>291</v>
      </c>
      <c r="I68" s="521">
        <v>0</v>
      </c>
      <c r="J68" s="521">
        <v>7559280.2800000003</v>
      </c>
      <c r="K68" s="521">
        <v>293180.96000000002</v>
      </c>
      <c r="L68" s="521">
        <v>6270010.7999999998</v>
      </c>
      <c r="M68" s="521">
        <v>0</v>
      </c>
      <c r="N68" s="515">
        <f t="shared" si="2"/>
        <v>6563191.7599999998</v>
      </c>
      <c r="O68" s="519">
        <f t="shared" si="3"/>
        <v>14122472.039999999</v>
      </c>
    </row>
    <row r="69" spans="1:15" hidden="1" x14ac:dyDescent="0.25">
      <c r="A69" s="515" t="s">
        <v>122</v>
      </c>
      <c r="B69" s="515" t="s">
        <v>133</v>
      </c>
      <c r="C69" s="515" t="s">
        <v>124</v>
      </c>
      <c r="D69" s="522" t="s">
        <v>481</v>
      </c>
      <c r="E69" s="515" t="s">
        <v>125</v>
      </c>
      <c r="F69" s="522" t="s">
        <v>486</v>
      </c>
      <c r="G69" s="515" t="s">
        <v>126</v>
      </c>
      <c r="H69" s="515" t="s">
        <v>291</v>
      </c>
      <c r="I69" s="521">
        <v>0</v>
      </c>
      <c r="J69" s="521">
        <v>6077749.5899999999</v>
      </c>
      <c r="K69" s="521">
        <v>982012.08</v>
      </c>
      <c r="L69" s="521">
        <v>47188551.959999993</v>
      </c>
      <c r="M69" s="521">
        <v>0</v>
      </c>
      <c r="N69" s="515">
        <f t="shared" si="2"/>
        <v>48170564.039999992</v>
      </c>
      <c r="O69" s="519">
        <f t="shared" si="3"/>
        <v>54248313.629999995</v>
      </c>
    </row>
    <row r="70" spans="1:15" hidden="1" x14ac:dyDescent="0.25">
      <c r="A70" s="515" t="s">
        <v>122</v>
      </c>
      <c r="B70" s="515" t="s">
        <v>134</v>
      </c>
      <c r="C70" s="515" t="s">
        <v>124</v>
      </c>
      <c r="D70" s="522" t="s">
        <v>481</v>
      </c>
      <c r="E70" s="515" t="s">
        <v>125</v>
      </c>
      <c r="F70" s="522" t="s">
        <v>486</v>
      </c>
      <c r="G70" s="515" t="s">
        <v>126</v>
      </c>
      <c r="H70" s="515" t="s">
        <v>291</v>
      </c>
      <c r="I70" s="521">
        <v>0</v>
      </c>
      <c r="J70" s="521">
        <v>0</v>
      </c>
      <c r="K70" s="521">
        <v>0</v>
      </c>
      <c r="L70" s="521">
        <v>5225326.0500000007</v>
      </c>
      <c r="M70" s="521">
        <v>0</v>
      </c>
      <c r="N70" s="515">
        <f t="shared" si="2"/>
        <v>5225326.0500000007</v>
      </c>
      <c r="O70" s="519">
        <f t="shared" si="3"/>
        <v>5225326.0500000007</v>
      </c>
    </row>
    <row r="71" spans="1:15" hidden="1" x14ac:dyDescent="0.25">
      <c r="A71" s="515" t="s">
        <v>122</v>
      </c>
      <c r="B71" s="523"/>
      <c r="C71" s="523"/>
      <c r="D71" s="527"/>
      <c r="E71" s="523"/>
      <c r="F71" s="527"/>
      <c r="G71" s="523"/>
      <c r="H71" s="523"/>
      <c r="I71" s="523"/>
      <c r="J71" s="523"/>
      <c r="K71" s="523"/>
      <c r="L71" s="523"/>
      <c r="M71" s="523"/>
      <c r="N71" s="523"/>
      <c r="O71" s="528"/>
    </row>
    <row r="72" spans="1:15" hidden="1" x14ac:dyDescent="0.25">
      <c r="A72" s="515" t="s">
        <v>122</v>
      </c>
      <c r="B72" s="515" t="s">
        <v>135</v>
      </c>
      <c r="C72" s="515" t="s">
        <v>124</v>
      </c>
      <c r="D72" s="522" t="s">
        <v>481</v>
      </c>
      <c r="E72" s="515" t="s">
        <v>136</v>
      </c>
      <c r="F72" s="522" t="s">
        <v>482</v>
      </c>
      <c r="G72" s="515" t="s">
        <v>137</v>
      </c>
      <c r="H72" s="515" t="s">
        <v>291</v>
      </c>
      <c r="I72" s="521">
        <v>0</v>
      </c>
      <c r="J72" s="521">
        <v>283457019.83000004</v>
      </c>
      <c r="K72" s="521">
        <v>14201168.000000009</v>
      </c>
      <c r="L72" s="521">
        <v>196318626.89000005</v>
      </c>
      <c r="M72" s="521">
        <v>0</v>
      </c>
      <c r="N72" s="515">
        <f t="shared" si="2"/>
        <v>210519794.89000005</v>
      </c>
      <c r="O72" s="519">
        <f t="shared" si="3"/>
        <v>493976814.72000009</v>
      </c>
    </row>
    <row r="73" spans="1:15" hidden="1" x14ac:dyDescent="0.25">
      <c r="A73" s="515" t="s">
        <v>122</v>
      </c>
      <c r="B73" s="515" t="s">
        <v>138</v>
      </c>
      <c r="C73" s="515" t="s">
        <v>124</v>
      </c>
      <c r="D73" s="522" t="s">
        <v>481</v>
      </c>
      <c r="E73" s="515" t="s">
        <v>136</v>
      </c>
      <c r="F73" s="522" t="s">
        <v>482</v>
      </c>
      <c r="G73" s="515" t="s">
        <v>137</v>
      </c>
      <c r="H73" s="515" t="s">
        <v>291</v>
      </c>
      <c r="I73" s="521">
        <v>0</v>
      </c>
      <c r="J73" s="521">
        <v>31451267.149999999</v>
      </c>
      <c r="K73" s="521">
        <v>1880603.23</v>
      </c>
      <c r="L73" s="521">
        <v>94654020.920000017</v>
      </c>
      <c r="M73" s="521">
        <v>0</v>
      </c>
      <c r="N73" s="515">
        <f t="shared" si="2"/>
        <v>96534624.150000021</v>
      </c>
      <c r="O73" s="519">
        <f t="shared" si="3"/>
        <v>127985891.30000001</v>
      </c>
    </row>
    <row r="74" spans="1:15" hidden="1" x14ac:dyDescent="0.25">
      <c r="A74" s="515" t="s">
        <v>122</v>
      </c>
      <c r="B74" s="515" t="s">
        <v>139</v>
      </c>
      <c r="C74" s="515" t="s">
        <v>124</v>
      </c>
      <c r="D74" s="522" t="s">
        <v>481</v>
      </c>
      <c r="E74" s="515" t="s">
        <v>136</v>
      </c>
      <c r="F74" s="522" t="s">
        <v>482</v>
      </c>
      <c r="G74" s="515" t="s">
        <v>137</v>
      </c>
      <c r="H74" s="515" t="s">
        <v>291</v>
      </c>
      <c r="I74" s="521">
        <v>0</v>
      </c>
      <c r="J74" s="521">
        <v>7522983.4700000007</v>
      </c>
      <c r="K74" s="521">
        <v>98786.069999999992</v>
      </c>
      <c r="L74" s="521">
        <v>9930056.3099999987</v>
      </c>
      <c r="M74" s="521">
        <v>0</v>
      </c>
      <c r="N74" s="515">
        <f t="shared" si="2"/>
        <v>10028842.379999999</v>
      </c>
      <c r="O74" s="519">
        <f t="shared" si="3"/>
        <v>17551825.850000001</v>
      </c>
    </row>
    <row r="75" spans="1:15" hidden="1" x14ac:dyDescent="0.25">
      <c r="A75" s="515" t="s">
        <v>140</v>
      </c>
      <c r="B75" s="515" t="s">
        <v>141</v>
      </c>
      <c r="C75" s="515" t="s">
        <v>142</v>
      </c>
      <c r="D75" s="522" t="s">
        <v>495</v>
      </c>
      <c r="E75" s="515" t="s">
        <v>143</v>
      </c>
      <c r="F75" s="522" t="s">
        <v>498</v>
      </c>
      <c r="G75" s="515" t="s">
        <v>144</v>
      </c>
      <c r="H75" s="515" t="s">
        <v>291</v>
      </c>
      <c r="I75" s="521">
        <v>0</v>
      </c>
      <c r="J75" s="521">
        <v>0</v>
      </c>
      <c r="K75" s="521">
        <v>0</v>
      </c>
      <c r="L75" s="521">
        <v>58509460.75</v>
      </c>
      <c r="M75" s="521">
        <v>0</v>
      </c>
      <c r="N75" s="515">
        <f t="shared" si="2"/>
        <v>58509460.75</v>
      </c>
      <c r="O75" s="519">
        <f t="shared" si="3"/>
        <v>58509460.75</v>
      </c>
    </row>
    <row r="76" spans="1:15" hidden="1" x14ac:dyDescent="0.25">
      <c r="A76" s="515" t="s">
        <v>140</v>
      </c>
      <c r="B76" s="515" t="s">
        <v>145</v>
      </c>
      <c r="C76" s="515" t="s">
        <v>142</v>
      </c>
      <c r="D76" s="522" t="s">
        <v>495</v>
      </c>
      <c r="E76" s="515" t="s">
        <v>143</v>
      </c>
      <c r="F76" s="522" t="s">
        <v>498</v>
      </c>
      <c r="G76" s="515" t="s">
        <v>144</v>
      </c>
      <c r="H76" s="515" t="s">
        <v>291</v>
      </c>
      <c r="I76" s="521">
        <v>0</v>
      </c>
      <c r="J76" s="521">
        <v>0</v>
      </c>
      <c r="K76" s="521">
        <v>0</v>
      </c>
      <c r="L76" s="521">
        <v>965432.04999999993</v>
      </c>
      <c r="M76" s="521">
        <v>0</v>
      </c>
      <c r="N76" s="515">
        <f t="shared" si="2"/>
        <v>965432.04999999993</v>
      </c>
      <c r="O76" s="519">
        <f t="shared" si="3"/>
        <v>965432.04999999993</v>
      </c>
    </row>
    <row r="77" spans="1:15" hidden="1" x14ac:dyDescent="0.25">
      <c r="A77" s="515" t="s">
        <v>140</v>
      </c>
      <c r="B77" s="515" t="s">
        <v>146</v>
      </c>
      <c r="C77" s="515" t="s">
        <v>142</v>
      </c>
      <c r="D77" s="522" t="s">
        <v>495</v>
      </c>
      <c r="E77" s="515" t="s">
        <v>143</v>
      </c>
      <c r="F77" s="522" t="s">
        <v>498</v>
      </c>
      <c r="G77" s="515" t="s">
        <v>144</v>
      </c>
      <c r="H77" s="515" t="s">
        <v>291</v>
      </c>
      <c r="I77" s="521">
        <v>0</v>
      </c>
      <c r="J77" s="521">
        <v>0</v>
      </c>
      <c r="K77" s="521">
        <v>0</v>
      </c>
      <c r="L77" s="521">
        <v>21807.65</v>
      </c>
      <c r="M77" s="521">
        <v>0</v>
      </c>
      <c r="N77" s="515">
        <f t="shared" si="2"/>
        <v>21807.65</v>
      </c>
      <c r="O77" s="519">
        <f t="shared" si="3"/>
        <v>21807.65</v>
      </c>
    </row>
    <row r="78" spans="1:15" hidden="1" x14ac:dyDescent="0.25">
      <c r="A78" s="515" t="s">
        <v>140</v>
      </c>
      <c r="B78" s="515" t="s">
        <v>147</v>
      </c>
      <c r="C78" s="515" t="s">
        <v>142</v>
      </c>
      <c r="D78" s="522" t="s">
        <v>495</v>
      </c>
      <c r="E78" s="515" t="s">
        <v>143</v>
      </c>
      <c r="F78" s="522" t="s">
        <v>498</v>
      </c>
      <c r="G78" s="515" t="s">
        <v>144</v>
      </c>
      <c r="H78" s="515" t="s">
        <v>291</v>
      </c>
      <c r="I78" s="521">
        <v>0</v>
      </c>
      <c r="J78" s="521">
        <v>0</v>
      </c>
      <c r="K78" s="521">
        <v>0</v>
      </c>
      <c r="L78" s="521">
        <v>1361356.9399999995</v>
      </c>
      <c r="M78" s="521">
        <v>0</v>
      </c>
      <c r="N78" s="515">
        <f t="shared" si="2"/>
        <v>1361356.9399999995</v>
      </c>
      <c r="O78" s="519">
        <f t="shared" si="3"/>
        <v>1361356.9399999995</v>
      </c>
    </row>
    <row r="79" spans="1:15" hidden="1" x14ac:dyDescent="0.25">
      <c r="A79" s="515" t="s">
        <v>140</v>
      </c>
      <c r="B79" s="515" t="s">
        <v>148</v>
      </c>
      <c r="C79" s="515" t="s">
        <v>142</v>
      </c>
      <c r="D79" s="522" t="s">
        <v>495</v>
      </c>
      <c r="E79" s="515" t="s">
        <v>143</v>
      </c>
      <c r="F79" s="522" t="s">
        <v>498</v>
      </c>
      <c r="G79" s="515" t="s">
        <v>96</v>
      </c>
      <c r="H79" s="515" t="s">
        <v>291</v>
      </c>
      <c r="I79" s="521">
        <v>0</v>
      </c>
      <c r="J79" s="521">
        <v>8536955.5500000007</v>
      </c>
      <c r="K79" s="521">
        <v>5757796.0499999989</v>
      </c>
      <c r="L79" s="521">
        <v>78761623.449999958</v>
      </c>
      <c r="M79" s="521">
        <v>0</v>
      </c>
      <c r="N79" s="515">
        <f t="shared" si="2"/>
        <v>84519419.499999955</v>
      </c>
      <c r="O79" s="519">
        <f t="shared" si="3"/>
        <v>93056375.049999952</v>
      </c>
    </row>
    <row r="80" spans="1:15" hidden="1" x14ac:dyDescent="0.25">
      <c r="A80" s="515" t="s">
        <v>140</v>
      </c>
      <c r="B80" s="515" t="s">
        <v>148</v>
      </c>
      <c r="C80" s="515" t="s">
        <v>142</v>
      </c>
      <c r="D80" s="522" t="s">
        <v>495</v>
      </c>
      <c r="E80" s="515" t="s">
        <v>149</v>
      </c>
      <c r="F80" s="522" t="s">
        <v>496</v>
      </c>
      <c r="G80" s="515" t="s">
        <v>96</v>
      </c>
      <c r="H80" s="515" t="s">
        <v>291</v>
      </c>
      <c r="I80" s="521">
        <v>0</v>
      </c>
      <c r="J80" s="521">
        <v>526862.52</v>
      </c>
      <c r="K80" s="521">
        <v>0</v>
      </c>
      <c r="L80" s="521">
        <v>1241115.1800000004</v>
      </c>
      <c r="M80" s="521">
        <v>0</v>
      </c>
      <c r="N80" s="515">
        <f t="shared" si="2"/>
        <v>1241115.1800000004</v>
      </c>
      <c r="O80" s="519">
        <f t="shared" si="3"/>
        <v>1767977.7000000004</v>
      </c>
    </row>
    <row r="81" spans="1:15" hidden="1" x14ac:dyDescent="0.25">
      <c r="A81" s="515" t="s">
        <v>140</v>
      </c>
      <c r="B81" s="515" t="s">
        <v>150</v>
      </c>
      <c r="C81" s="515" t="s">
        <v>142</v>
      </c>
      <c r="D81" s="522" t="s">
        <v>495</v>
      </c>
      <c r="E81" s="515" t="s">
        <v>149</v>
      </c>
      <c r="F81" s="522" t="s">
        <v>496</v>
      </c>
      <c r="G81" s="515" t="s">
        <v>144</v>
      </c>
      <c r="H81" s="515" t="s">
        <v>291</v>
      </c>
      <c r="I81" s="521">
        <v>0</v>
      </c>
      <c r="J81" s="521">
        <v>5013011.4000000013</v>
      </c>
      <c r="K81" s="521">
        <v>8840937.0700000059</v>
      </c>
      <c r="L81" s="521">
        <v>51865.83</v>
      </c>
      <c r="M81" s="521">
        <v>0</v>
      </c>
      <c r="N81" s="515">
        <f t="shared" si="2"/>
        <v>8892802.900000006</v>
      </c>
      <c r="O81" s="519">
        <f t="shared" si="3"/>
        <v>13905814.300000006</v>
      </c>
    </row>
    <row r="82" spans="1:15" hidden="1" x14ac:dyDescent="0.25">
      <c r="A82" s="515" t="s">
        <v>140</v>
      </c>
      <c r="B82" s="515" t="s">
        <v>151</v>
      </c>
      <c r="C82" s="515" t="s">
        <v>142</v>
      </c>
      <c r="D82" s="522" t="s">
        <v>495</v>
      </c>
      <c r="E82" s="515" t="s">
        <v>149</v>
      </c>
      <c r="F82" s="522" t="s">
        <v>496</v>
      </c>
      <c r="G82" s="515" t="s">
        <v>144</v>
      </c>
      <c r="H82" s="515" t="s">
        <v>291</v>
      </c>
      <c r="I82" s="521">
        <v>0</v>
      </c>
      <c r="J82" s="521">
        <v>4475652.3499999996</v>
      </c>
      <c r="K82" s="521">
        <v>2618541.3100000019</v>
      </c>
      <c r="L82" s="521">
        <v>0</v>
      </c>
      <c r="M82" s="521">
        <v>0</v>
      </c>
      <c r="N82" s="515">
        <f t="shared" si="2"/>
        <v>2618541.3100000019</v>
      </c>
      <c r="O82" s="519">
        <f t="shared" si="3"/>
        <v>7094193.660000002</v>
      </c>
    </row>
    <row r="83" spans="1:15" hidden="1" x14ac:dyDescent="0.25">
      <c r="A83" s="515" t="s">
        <v>140</v>
      </c>
      <c r="B83" s="515" t="s">
        <v>152</v>
      </c>
      <c r="C83" s="515" t="s">
        <v>142</v>
      </c>
      <c r="D83" s="522" t="s">
        <v>495</v>
      </c>
      <c r="E83" s="515" t="s">
        <v>153</v>
      </c>
      <c r="F83" s="522" t="s">
        <v>519</v>
      </c>
      <c r="G83" s="515" t="s">
        <v>96</v>
      </c>
      <c r="H83" s="515" t="s">
        <v>291</v>
      </c>
      <c r="I83" s="521">
        <v>0</v>
      </c>
      <c r="J83" s="521">
        <v>1620898.13</v>
      </c>
      <c r="K83" s="521">
        <v>124765002.74000025</v>
      </c>
      <c r="L83" s="521">
        <v>230945526.10000005</v>
      </c>
      <c r="M83" s="521">
        <v>1117306.8829000001</v>
      </c>
      <c r="N83" s="515">
        <f t="shared" si="2"/>
        <v>355710528.84000027</v>
      </c>
      <c r="O83" s="519">
        <f t="shared" si="3"/>
        <v>357331426.97000027</v>
      </c>
    </row>
    <row r="84" spans="1:15" hidden="1" x14ac:dyDescent="0.25">
      <c r="A84" s="515" t="s">
        <v>140</v>
      </c>
      <c r="B84" s="515" t="s">
        <v>154</v>
      </c>
      <c r="C84" s="515" t="s">
        <v>142</v>
      </c>
      <c r="D84" s="522" t="s">
        <v>495</v>
      </c>
      <c r="E84" s="515" t="s">
        <v>153</v>
      </c>
      <c r="F84" s="522" t="s">
        <v>519</v>
      </c>
      <c r="G84" s="515" t="s">
        <v>96</v>
      </c>
      <c r="H84" s="515" t="s">
        <v>291</v>
      </c>
      <c r="I84" s="521">
        <v>0</v>
      </c>
      <c r="J84" s="521">
        <v>5206415.1100000003</v>
      </c>
      <c r="K84" s="521">
        <v>19855977.530000001</v>
      </c>
      <c r="L84" s="521">
        <v>55258671.310000002</v>
      </c>
      <c r="M84" s="521">
        <v>0</v>
      </c>
      <c r="N84" s="515">
        <f t="shared" si="2"/>
        <v>75114648.840000004</v>
      </c>
      <c r="O84" s="519">
        <f t="shared" si="3"/>
        <v>80321063.950000003</v>
      </c>
    </row>
    <row r="85" spans="1:15" hidden="1" x14ac:dyDescent="0.25">
      <c r="A85" s="515" t="s">
        <v>140</v>
      </c>
      <c r="B85" s="515" t="s">
        <v>155</v>
      </c>
      <c r="C85" s="515" t="s">
        <v>142</v>
      </c>
      <c r="D85" s="522" t="s">
        <v>495</v>
      </c>
      <c r="E85" s="515" t="s">
        <v>153</v>
      </c>
      <c r="F85" s="522" t="s">
        <v>519</v>
      </c>
      <c r="G85" s="515" t="s">
        <v>96</v>
      </c>
      <c r="H85" s="515" t="s">
        <v>291</v>
      </c>
      <c r="I85" s="521">
        <v>0</v>
      </c>
      <c r="J85" s="521">
        <v>3727231.7300000004</v>
      </c>
      <c r="K85" s="521">
        <v>10856478.960000003</v>
      </c>
      <c r="L85" s="521">
        <v>50522859.790000044</v>
      </c>
      <c r="M85" s="521">
        <v>0</v>
      </c>
      <c r="N85" s="515">
        <f t="shared" si="2"/>
        <v>61379338.750000045</v>
      </c>
      <c r="O85" s="519">
        <f t="shared" si="3"/>
        <v>65106570.480000049</v>
      </c>
    </row>
    <row r="86" spans="1:15" hidden="1" x14ac:dyDescent="0.25">
      <c r="A86" s="515" t="s">
        <v>140</v>
      </c>
      <c r="B86" s="515" t="s">
        <v>156</v>
      </c>
      <c r="C86" s="515" t="s">
        <v>157</v>
      </c>
      <c r="D86" s="522" t="s">
        <v>503</v>
      </c>
      <c r="E86" s="515" t="s">
        <v>158</v>
      </c>
      <c r="F86" s="522" t="s">
        <v>616</v>
      </c>
      <c r="G86" s="515" t="s">
        <v>159</v>
      </c>
      <c r="H86" s="515" t="s">
        <v>291</v>
      </c>
      <c r="I86" s="521">
        <v>0</v>
      </c>
      <c r="J86" s="521">
        <v>109650428.40999998</v>
      </c>
      <c r="K86" s="521">
        <v>178509407.2299999</v>
      </c>
      <c r="L86" s="521">
        <v>134460850.65000001</v>
      </c>
      <c r="M86" s="521">
        <v>0</v>
      </c>
      <c r="N86" s="515">
        <f t="shared" si="2"/>
        <v>312970257.87999988</v>
      </c>
      <c r="O86" s="519">
        <f t="shared" si="3"/>
        <v>422620686.28999984</v>
      </c>
    </row>
    <row r="87" spans="1:15" hidden="1" x14ac:dyDescent="0.25">
      <c r="A87" s="515" t="s">
        <v>140</v>
      </c>
      <c r="B87" s="515" t="s">
        <v>160</v>
      </c>
      <c r="C87" s="515" t="s">
        <v>157</v>
      </c>
      <c r="D87" s="522" t="s">
        <v>503</v>
      </c>
      <c r="E87" s="515" t="s">
        <v>161</v>
      </c>
      <c r="F87" s="515" t="s">
        <v>520</v>
      </c>
      <c r="G87" s="515" t="s">
        <v>96</v>
      </c>
      <c r="H87" s="515" t="s">
        <v>291</v>
      </c>
      <c r="I87" s="521">
        <v>0</v>
      </c>
      <c r="J87" s="521">
        <v>10314526.239999991</v>
      </c>
      <c r="K87" s="521">
        <v>24605835.830000002</v>
      </c>
      <c r="L87" s="521">
        <v>109960896.36000003</v>
      </c>
      <c r="M87" s="521">
        <v>0</v>
      </c>
      <c r="N87" s="515">
        <f t="shared" si="2"/>
        <v>134566732.19000003</v>
      </c>
      <c r="O87" s="519">
        <f t="shared" si="3"/>
        <v>144881258.43000001</v>
      </c>
    </row>
    <row r="88" spans="1:15" hidden="1" x14ac:dyDescent="0.25">
      <c r="A88" s="515" t="s">
        <v>140</v>
      </c>
      <c r="B88" s="515" t="s">
        <v>162</v>
      </c>
      <c r="C88" s="515" t="s">
        <v>157</v>
      </c>
      <c r="D88" s="522" t="s">
        <v>503</v>
      </c>
      <c r="E88" s="515" t="s">
        <v>161</v>
      </c>
      <c r="F88" s="515" t="s">
        <v>520</v>
      </c>
      <c r="G88" s="515" t="s">
        <v>96</v>
      </c>
      <c r="H88" s="515" t="s">
        <v>291</v>
      </c>
      <c r="I88" s="521">
        <v>0</v>
      </c>
      <c r="J88" s="521">
        <v>0</v>
      </c>
      <c r="K88" s="521">
        <v>0</v>
      </c>
      <c r="L88" s="521">
        <v>14702241.270000007</v>
      </c>
      <c r="M88" s="521">
        <v>0</v>
      </c>
      <c r="N88" s="515">
        <f t="shared" si="2"/>
        <v>14702241.270000007</v>
      </c>
      <c r="O88" s="519">
        <f t="shared" si="3"/>
        <v>14702241.270000007</v>
      </c>
    </row>
    <row r="89" spans="1:15" hidden="1" x14ac:dyDescent="0.25">
      <c r="A89" s="515" t="s">
        <v>140</v>
      </c>
      <c r="B89" s="515" t="s">
        <v>163</v>
      </c>
      <c r="C89" s="515" t="s">
        <v>157</v>
      </c>
      <c r="D89" s="522" t="s">
        <v>503</v>
      </c>
      <c r="E89" s="515" t="s">
        <v>161</v>
      </c>
      <c r="F89" s="515" t="s">
        <v>520</v>
      </c>
      <c r="G89" s="515" t="s">
        <v>96</v>
      </c>
      <c r="H89" s="515" t="s">
        <v>291</v>
      </c>
      <c r="I89" s="521">
        <v>0</v>
      </c>
      <c r="J89" s="521">
        <v>0</v>
      </c>
      <c r="K89" s="521">
        <v>0</v>
      </c>
      <c r="L89" s="521">
        <v>24907468.829999991</v>
      </c>
      <c r="M89" s="521">
        <v>0</v>
      </c>
      <c r="N89" s="515">
        <f t="shared" si="2"/>
        <v>24907468.829999991</v>
      </c>
      <c r="O89" s="519">
        <f t="shared" si="3"/>
        <v>24907468.829999991</v>
      </c>
    </row>
    <row r="90" spans="1:15" hidden="1" x14ac:dyDescent="0.25">
      <c r="A90" s="515" t="s">
        <v>140</v>
      </c>
      <c r="B90" s="515" t="s">
        <v>164</v>
      </c>
      <c r="C90" s="515" t="s">
        <v>157</v>
      </c>
      <c r="D90" s="522" t="s">
        <v>503</v>
      </c>
      <c r="E90" s="515" t="s">
        <v>161</v>
      </c>
      <c r="F90" s="515" t="s">
        <v>520</v>
      </c>
      <c r="G90" s="515" t="s">
        <v>96</v>
      </c>
      <c r="H90" s="515" t="s">
        <v>291</v>
      </c>
      <c r="I90" s="521">
        <v>0</v>
      </c>
      <c r="J90" s="521">
        <v>0</v>
      </c>
      <c r="K90" s="521">
        <v>0</v>
      </c>
      <c r="L90" s="521">
        <v>30155136.449999988</v>
      </c>
      <c r="M90" s="521">
        <v>0</v>
      </c>
      <c r="N90" s="515">
        <f t="shared" si="2"/>
        <v>30155136.449999988</v>
      </c>
      <c r="O90" s="519">
        <f t="shared" si="3"/>
        <v>30155136.449999988</v>
      </c>
    </row>
    <row r="91" spans="1:15" hidden="1" x14ac:dyDescent="0.25">
      <c r="A91" s="515" t="s">
        <v>140</v>
      </c>
      <c r="B91" s="515" t="s">
        <v>165</v>
      </c>
      <c r="C91" s="515" t="s">
        <v>157</v>
      </c>
      <c r="D91" s="522" t="s">
        <v>503</v>
      </c>
      <c r="E91" s="515" t="s">
        <v>161</v>
      </c>
      <c r="F91" s="515" t="s">
        <v>504</v>
      </c>
      <c r="G91" s="515" t="s">
        <v>96</v>
      </c>
      <c r="H91" s="515" t="s">
        <v>291</v>
      </c>
      <c r="I91" s="521">
        <v>0</v>
      </c>
      <c r="J91" s="521">
        <v>0</v>
      </c>
      <c r="K91" s="521">
        <v>0</v>
      </c>
      <c r="L91" s="521">
        <v>335637.49</v>
      </c>
      <c r="M91" s="521">
        <v>0</v>
      </c>
      <c r="N91" s="515">
        <f t="shared" si="2"/>
        <v>335637.49</v>
      </c>
      <c r="O91" s="519">
        <f t="shared" si="3"/>
        <v>335637.49</v>
      </c>
    </row>
    <row r="92" spans="1:15" hidden="1" x14ac:dyDescent="0.25">
      <c r="A92" s="523" t="s">
        <v>140</v>
      </c>
      <c r="B92" s="523" t="s">
        <v>166</v>
      </c>
      <c r="C92" s="523" t="s">
        <v>142</v>
      </c>
      <c r="D92" s="529" t="s">
        <v>495</v>
      </c>
      <c r="E92" s="523" t="s">
        <v>161</v>
      </c>
      <c r="F92" s="530" t="s">
        <v>519</v>
      </c>
      <c r="G92" s="523" t="s">
        <v>96</v>
      </c>
      <c r="H92" s="523" t="s">
        <v>291</v>
      </c>
      <c r="I92" s="523">
        <v>0</v>
      </c>
      <c r="J92" s="523">
        <v>1669261.73</v>
      </c>
      <c r="K92" s="531">
        <v>1934370.9699999997</v>
      </c>
      <c r="L92" s="523">
        <v>41914160.969999999</v>
      </c>
      <c r="M92" s="523">
        <v>0</v>
      </c>
      <c r="N92" s="523">
        <f t="shared" si="2"/>
        <v>43848531.939999998</v>
      </c>
      <c r="O92" s="528">
        <f t="shared" si="3"/>
        <v>45517793.670000002</v>
      </c>
    </row>
    <row r="93" spans="1:15" hidden="1" x14ac:dyDescent="0.25">
      <c r="A93" s="515" t="s">
        <v>140</v>
      </c>
      <c r="B93" s="524" t="s">
        <v>167</v>
      </c>
      <c r="C93" s="515" t="s">
        <v>168</v>
      </c>
      <c r="D93" s="522" t="s">
        <v>490</v>
      </c>
      <c r="E93" s="515" t="s">
        <v>169</v>
      </c>
      <c r="F93" s="522" t="s">
        <v>617</v>
      </c>
      <c r="G93" s="515" t="s">
        <v>170</v>
      </c>
      <c r="H93" s="515" t="s">
        <v>291</v>
      </c>
      <c r="I93" s="521">
        <v>0</v>
      </c>
      <c r="J93" s="521">
        <v>0</v>
      </c>
      <c r="K93" s="521">
        <v>0</v>
      </c>
      <c r="L93" s="521">
        <v>7100323.7600000007</v>
      </c>
      <c r="M93" s="521">
        <v>0</v>
      </c>
      <c r="N93" s="515">
        <f t="shared" si="2"/>
        <v>7100323.7600000007</v>
      </c>
      <c r="O93" s="519">
        <f t="shared" si="3"/>
        <v>7100323.7600000007</v>
      </c>
    </row>
    <row r="94" spans="1:15" hidden="1" x14ac:dyDescent="0.25">
      <c r="A94" s="515" t="s">
        <v>140</v>
      </c>
      <c r="B94" s="515" t="s">
        <v>171</v>
      </c>
      <c r="C94" s="515" t="s">
        <v>168</v>
      </c>
      <c r="D94" s="522" t="s">
        <v>490</v>
      </c>
      <c r="E94" s="515" t="s">
        <v>169</v>
      </c>
      <c r="F94" s="522" t="s">
        <v>617</v>
      </c>
      <c r="G94" s="515" t="s">
        <v>172</v>
      </c>
      <c r="H94" s="515" t="s">
        <v>291</v>
      </c>
      <c r="I94" s="521">
        <v>0</v>
      </c>
      <c r="J94" s="521">
        <v>0</v>
      </c>
      <c r="K94" s="521">
        <v>0</v>
      </c>
      <c r="L94" s="521">
        <v>169980065.36999968</v>
      </c>
      <c r="M94" s="521">
        <v>0</v>
      </c>
      <c r="N94" s="515">
        <f t="shared" si="2"/>
        <v>169980065.36999968</v>
      </c>
      <c r="O94" s="519">
        <f t="shared" si="3"/>
        <v>169980065.36999968</v>
      </c>
    </row>
    <row r="95" spans="1:15" hidden="1" x14ac:dyDescent="0.25">
      <c r="A95" s="515" t="s">
        <v>140</v>
      </c>
      <c r="B95" s="515" t="s">
        <v>173</v>
      </c>
      <c r="C95" s="515" t="s">
        <v>168</v>
      </c>
      <c r="D95" s="522" t="s">
        <v>490</v>
      </c>
      <c r="E95" s="515" t="s">
        <v>169</v>
      </c>
      <c r="F95" s="522" t="s">
        <v>617</v>
      </c>
      <c r="G95" s="515" t="s">
        <v>96</v>
      </c>
      <c r="H95" s="515" t="s">
        <v>291</v>
      </c>
      <c r="I95" s="521">
        <v>0</v>
      </c>
      <c r="J95" s="521">
        <v>16025621.889999999</v>
      </c>
      <c r="K95" s="521">
        <v>9900680.1600000001</v>
      </c>
      <c r="L95" s="521">
        <v>163356771.46999994</v>
      </c>
      <c r="M95" s="521">
        <v>663558106.29289997</v>
      </c>
      <c r="N95" s="515">
        <f t="shared" si="2"/>
        <v>173257451.62999994</v>
      </c>
      <c r="O95" s="519">
        <f t="shared" si="3"/>
        <v>189283073.51999992</v>
      </c>
    </row>
    <row r="96" spans="1:15" hidden="1" x14ac:dyDescent="0.25">
      <c r="A96" s="515" t="s">
        <v>140</v>
      </c>
      <c r="B96" s="515" t="s">
        <v>174</v>
      </c>
      <c r="C96" s="515" t="s">
        <v>168</v>
      </c>
      <c r="D96" s="522" t="s">
        <v>490</v>
      </c>
      <c r="E96" s="515" t="s">
        <v>169</v>
      </c>
      <c r="F96" s="522" t="s">
        <v>617</v>
      </c>
      <c r="G96" s="515" t="s">
        <v>96</v>
      </c>
      <c r="H96" s="515" t="s">
        <v>291</v>
      </c>
      <c r="I96" s="521">
        <v>0</v>
      </c>
      <c r="J96" s="521">
        <v>1673944.2999999998</v>
      </c>
      <c r="K96" s="521">
        <v>5644864.1600000011</v>
      </c>
      <c r="L96" s="521">
        <v>17962969.829999998</v>
      </c>
      <c r="M96" s="521">
        <v>147977785.23060003</v>
      </c>
      <c r="N96" s="515">
        <f t="shared" si="2"/>
        <v>23607833.989999998</v>
      </c>
      <c r="O96" s="519">
        <f t="shared" si="3"/>
        <v>25281778.289999999</v>
      </c>
    </row>
    <row r="97" spans="1:15" hidden="1" x14ac:dyDescent="0.25">
      <c r="A97" s="515" t="s">
        <v>140</v>
      </c>
      <c r="B97" s="515" t="s">
        <v>173</v>
      </c>
      <c r="C97" s="515" t="s">
        <v>168</v>
      </c>
      <c r="D97" s="522" t="s">
        <v>490</v>
      </c>
      <c r="E97" s="515" t="s">
        <v>175</v>
      </c>
      <c r="F97" s="522" t="s">
        <v>618</v>
      </c>
      <c r="G97" s="515" t="s">
        <v>96</v>
      </c>
      <c r="H97" s="515" t="s">
        <v>291</v>
      </c>
      <c r="I97" s="521">
        <v>0</v>
      </c>
      <c r="J97" s="521">
        <v>4270575.3600000003</v>
      </c>
      <c r="K97" s="521">
        <v>111221156.59</v>
      </c>
      <c r="L97" s="521">
        <v>637981612.9000001</v>
      </c>
      <c r="M97" s="521">
        <v>0</v>
      </c>
      <c r="N97" s="515">
        <f t="shared" si="2"/>
        <v>749202769.49000013</v>
      </c>
      <c r="O97" s="519">
        <f t="shared" si="3"/>
        <v>753473344.85000014</v>
      </c>
    </row>
    <row r="98" spans="1:15" hidden="1" x14ac:dyDescent="0.25">
      <c r="A98" s="515" t="s">
        <v>140</v>
      </c>
      <c r="B98" s="515" t="s">
        <v>176</v>
      </c>
      <c r="C98" s="515" t="s">
        <v>157</v>
      </c>
      <c r="D98" s="522" t="s">
        <v>503</v>
      </c>
      <c r="E98" s="515" t="s">
        <v>177</v>
      </c>
      <c r="F98" s="515" t="s">
        <v>505</v>
      </c>
      <c r="G98" s="515" t="s">
        <v>159</v>
      </c>
      <c r="H98" s="515" t="s">
        <v>291</v>
      </c>
      <c r="I98" s="521">
        <v>0</v>
      </c>
      <c r="J98" s="521">
        <v>0</v>
      </c>
      <c r="K98" s="521">
        <v>11059.08</v>
      </c>
      <c r="L98" s="521">
        <v>65360653.509999998</v>
      </c>
      <c r="M98" s="521">
        <v>577762884.74320006</v>
      </c>
      <c r="N98" s="515">
        <f t="shared" si="2"/>
        <v>65371712.589999996</v>
      </c>
      <c r="O98" s="519">
        <f t="shared" si="3"/>
        <v>65371712.589999996</v>
      </c>
    </row>
    <row r="99" spans="1:15" hidden="1" x14ac:dyDescent="0.25">
      <c r="A99" s="515" t="s">
        <v>140</v>
      </c>
      <c r="B99" s="515" t="s">
        <v>173</v>
      </c>
      <c r="C99" s="515" t="s">
        <v>168</v>
      </c>
      <c r="D99" s="522" t="s">
        <v>490</v>
      </c>
      <c r="E99" s="515" t="s">
        <v>178</v>
      </c>
      <c r="F99" s="522" t="s">
        <v>499</v>
      </c>
      <c r="G99" s="515" t="s">
        <v>179</v>
      </c>
      <c r="H99" s="515" t="s">
        <v>291</v>
      </c>
      <c r="I99" s="521">
        <v>0</v>
      </c>
      <c r="J99" s="521">
        <v>19610069.489999998</v>
      </c>
      <c r="K99" s="521">
        <v>0</v>
      </c>
      <c r="L99" s="521">
        <v>87453026.309999973</v>
      </c>
      <c r="M99" s="521">
        <v>0</v>
      </c>
      <c r="N99" s="515">
        <f t="shared" si="2"/>
        <v>87453026.309999973</v>
      </c>
      <c r="O99" s="519">
        <f t="shared" si="3"/>
        <v>107063095.79999997</v>
      </c>
    </row>
    <row r="100" spans="1:15" hidden="1" x14ac:dyDescent="0.25">
      <c r="A100" s="515" t="s">
        <v>140</v>
      </c>
      <c r="B100" s="515" t="s">
        <v>180</v>
      </c>
      <c r="C100" s="515" t="s">
        <v>168</v>
      </c>
      <c r="D100" s="522" t="s">
        <v>490</v>
      </c>
      <c r="E100" s="515" t="s">
        <v>178</v>
      </c>
      <c r="F100" s="522" t="s">
        <v>499</v>
      </c>
      <c r="G100" s="515" t="s">
        <v>179</v>
      </c>
      <c r="H100" s="515" t="s">
        <v>291</v>
      </c>
      <c r="I100" s="521">
        <v>0</v>
      </c>
      <c r="J100" s="521">
        <v>8664932.9100000001</v>
      </c>
      <c r="K100" s="521">
        <v>0</v>
      </c>
      <c r="L100" s="521">
        <v>176490389.13000005</v>
      </c>
      <c r="M100" s="521">
        <v>0</v>
      </c>
      <c r="N100" s="515">
        <f t="shared" si="2"/>
        <v>176490389.13000005</v>
      </c>
      <c r="O100" s="519">
        <f t="shared" si="3"/>
        <v>185155322.04000005</v>
      </c>
    </row>
    <row r="101" spans="1:15" hidden="1" x14ac:dyDescent="0.25">
      <c r="A101" s="515" t="s">
        <v>140</v>
      </c>
      <c r="B101" s="515" t="s">
        <v>180</v>
      </c>
      <c r="C101" s="515" t="s">
        <v>168</v>
      </c>
      <c r="D101" s="522" t="s">
        <v>490</v>
      </c>
      <c r="E101" s="515" t="s">
        <v>181</v>
      </c>
      <c r="F101" s="522" t="s">
        <v>619</v>
      </c>
      <c r="G101" s="515" t="s">
        <v>179</v>
      </c>
      <c r="H101" s="515" t="s">
        <v>291</v>
      </c>
      <c r="I101" s="521">
        <v>0</v>
      </c>
      <c r="J101" s="521">
        <v>140474182.20999998</v>
      </c>
      <c r="K101" s="521">
        <v>452439335.18000209</v>
      </c>
      <c r="L101" s="521">
        <v>0</v>
      </c>
      <c r="M101" s="521">
        <v>0</v>
      </c>
      <c r="N101" s="515">
        <f t="shared" si="2"/>
        <v>452439335.18000209</v>
      </c>
      <c r="O101" s="519">
        <f t="shared" si="3"/>
        <v>592913517.39000201</v>
      </c>
    </row>
    <row r="102" spans="1:15" hidden="1" x14ac:dyDescent="0.25">
      <c r="A102" s="523" t="s">
        <v>620</v>
      </c>
      <c r="B102" s="532" t="s">
        <v>211</v>
      </c>
      <c r="C102" s="532"/>
      <c r="D102" s="514" t="s">
        <v>624</v>
      </c>
      <c r="E102" s="533"/>
      <c r="F102" s="533" t="s">
        <v>241</v>
      </c>
      <c r="G102" s="534">
        <v>1</v>
      </c>
      <c r="H102" s="515" t="s">
        <v>291</v>
      </c>
      <c r="I102" s="515">
        <v>0</v>
      </c>
      <c r="J102" s="515">
        <v>0</v>
      </c>
      <c r="K102" s="535">
        <v>2172671.38</v>
      </c>
      <c r="L102" s="535">
        <v>960372.74</v>
      </c>
      <c r="M102" s="515">
        <v>0</v>
      </c>
      <c r="N102" s="536">
        <f>SUM(K102,L102)</f>
        <v>3133044.12</v>
      </c>
      <c r="O102" s="519">
        <f t="shared" si="3"/>
        <v>3133044.12</v>
      </c>
    </row>
    <row r="103" spans="1:15" hidden="1" x14ac:dyDescent="0.25">
      <c r="A103" s="515" t="s">
        <v>620</v>
      </c>
      <c r="B103" s="537" t="s">
        <v>217</v>
      </c>
      <c r="C103" s="537"/>
      <c r="D103" s="463" t="s">
        <v>624</v>
      </c>
      <c r="E103" s="538"/>
      <c r="F103" s="538" t="s">
        <v>241</v>
      </c>
      <c r="G103" s="534">
        <v>1</v>
      </c>
      <c r="H103" s="515" t="s">
        <v>291</v>
      </c>
      <c r="I103" s="515">
        <v>0</v>
      </c>
      <c r="J103" s="515">
        <v>0</v>
      </c>
      <c r="K103" s="535" t="s">
        <v>249</v>
      </c>
      <c r="L103" s="535">
        <v>1189328.21</v>
      </c>
      <c r="M103" s="515">
        <v>0</v>
      </c>
      <c r="N103" s="515">
        <f t="shared" si="2"/>
        <v>1189328.21</v>
      </c>
      <c r="O103" s="519">
        <f t="shared" si="3"/>
        <v>1189328.21</v>
      </c>
    </row>
    <row r="104" spans="1:15" hidden="1" x14ac:dyDescent="0.25">
      <c r="A104" s="515" t="s">
        <v>620</v>
      </c>
      <c r="B104" s="537" t="s">
        <v>215</v>
      </c>
      <c r="C104" s="537"/>
      <c r="D104" s="463" t="s">
        <v>624</v>
      </c>
      <c r="E104" s="538"/>
      <c r="F104" s="538" t="s">
        <v>255</v>
      </c>
      <c r="G104" s="534">
        <v>1</v>
      </c>
      <c r="H104" s="515" t="s">
        <v>291</v>
      </c>
      <c r="I104" s="515">
        <v>0</v>
      </c>
      <c r="J104" s="515">
        <v>0</v>
      </c>
      <c r="K104" s="539">
        <v>2035082.17</v>
      </c>
      <c r="L104" s="539">
        <v>774577.48</v>
      </c>
      <c r="M104" s="515">
        <v>0</v>
      </c>
      <c r="N104" s="515">
        <f t="shared" si="2"/>
        <v>2809659.65</v>
      </c>
      <c r="O104" s="519">
        <f t="shared" si="3"/>
        <v>2809659.65</v>
      </c>
    </row>
    <row r="105" spans="1:15" hidden="1" x14ac:dyDescent="0.25">
      <c r="A105" s="515" t="s">
        <v>620</v>
      </c>
      <c r="B105" s="537" t="s">
        <v>219</v>
      </c>
      <c r="C105" s="537"/>
      <c r="D105" s="463" t="s">
        <v>624</v>
      </c>
      <c r="E105" s="538"/>
      <c r="F105" s="538" t="s">
        <v>255</v>
      </c>
      <c r="G105" s="534">
        <v>1</v>
      </c>
      <c r="H105" s="515" t="s">
        <v>291</v>
      </c>
      <c r="I105" s="515">
        <v>0</v>
      </c>
      <c r="J105" s="515">
        <v>0</v>
      </c>
      <c r="K105" s="539">
        <v>4769337.6900000004</v>
      </c>
      <c r="L105" s="539">
        <v>773303.3</v>
      </c>
      <c r="M105" s="515">
        <v>0</v>
      </c>
      <c r="N105" s="515">
        <f t="shared" si="2"/>
        <v>5542640.9900000002</v>
      </c>
      <c r="O105" s="519">
        <f t="shared" si="3"/>
        <v>5542640.9900000002</v>
      </c>
    </row>
    <row r="106" spans="1:15" hidden="1" x14ac:dyDescent="0.25">
      <c r="A106" s="515" t="s">
        <v>620</v>
      </c>
      <c r="B106" s="537" t="s">
        <v>218</v>
      </c>
      <c r="C106" s="537"/>
      <c r="D106" s="463" t="s">
        <v>624</v>
      </c>
      <c r="E106" s="538"/>
      <c r="F106" s="538" t="s">
        <v>270</v>
      </c>
      <c r="G106" s="534">
        <v>1</v>
      </c>
      <c r="H106" s="515" t="s">
        <v>291</v>
      </c>
      <c r="I106" s="515">
        <v>0</v>
      </c>
      <c r="J106" s="515">
        <v>0</v>
      </c>
      <c r="K106" s="535">
        <v>3110571.02</v>
      </c>
      <c r="L106" s="535">
        <v>901550.38</v>
      </c>
      <c r="M106" s="515">
        <v>0</v>
      </c>
      <c r="N106" s="515">
        <f t="shared" si="2"/>
        <v>4012121.4</v>
      </c>
      <c r="O106" s="519">
        <f t="shared" si="3"/>
        <v>4012121.4</v>
      </c>
    </row>
    <row r="107" spans="1:15" hidden="1" x14ac:dyDescent="0.25">
      <c r="A107" s="515" t="s">
        <v>620</v>
      </c>
      <c r="B107" s="537" t="s">
        <v>220</v>
      </c>
      <c r="C107" s="537"/>
      <c r="D107" s="463" t="s">
        <v>624</v>
      </c>
      <c r="E107" s="538"/>
      <c r="F107" s="538" t="s">
        <v>277</v>
      </c>
      <c r="G107" s="534">
        <v>1</v>
      </c>
      <c r="H107" s="515" t="s">
        <v>291</v>
      </c>
      <c r="I107" s="515">
        <v>0</v>
      </c>
      <c r="J107" s="515">
        <v>0</v>
      </c>
      <c r="K107" s="539">
        <v>2707319.34</v>
      </c>
      <c r="L107" s="539">
        <v>1735992.47</v>
      </c>
      <c r="M107" s="515">
        <v>0</v>
      </c>
      <c r="N107" s="515">
        <f t="shared" si="2"/>
        <v>4443311.8099999996</v>
      </c>
      <c r="O107" s="519">
        <f t="shared" si="3"/>
        <v>4443311.8099999996</v>
      </c>
    </row>
    <row r="108" spans="1:15" hidden="1" x14ac:dyDescent="0.25">
      <c r="A108" s="515" t="s">
        <v>620</v>
      </c>
      <c r="B108" s="537" t="s">
        <v>216</v>
      </c>
      <c r="C108" s="537"/>
      <c r="D108" s="463" t="s">
        <v>624</v>
      </c>
      <c r="E108" s="538"/>
      <c r="F108" s="538" t="s">
        <v>277</v>
      </c>
      <c r="G108" s="534">
        <v>1</v>
      </c>
      <c r="H108" s="515" t="s">
        <v>291</v>
      </c>
      <c r="I108" s="515">
        <v>0</v>
      </c>
      <c r="J108" s="515">
        <v>0</v>
      </c>
      <c r="K108" s="539">
        <v>2082253.6</v>
      </c>
      <c r="L108" s="539">
        <v>1012585.14</v>
      </c>
      <c r="M108" s="515">
        <v>0</v>
      </c>
      <c r="N108" s="515">
        <f t="shared" si="2"/>
        <v>3094838.74</v>
      </c>
      <c r="O108" s="519">
        <f t="shared" si="3"/>
        <v>3094838.74</v>
      </c>
    </row>
    <row r="109" spans="1:15" hidden="1" x14ac:dyDescent="0.25">
      <c r="A109" s="515" t="s">
        <v>7</v>
      </c>
      <c r="B109" s="515" t="s">
        <v>8</v>
      </c>
      <c r="C109" s="521"/>
      <c r="D109" s="521" t="s">
        <v>362</v>
      </c>
      <c r="E109" s="521"/>
      <c r="F109" s="521" t="s">
        <v>369</v>
      </c>
      <c r="G109" s="515"/>
      <c r="H109" s="515" t="s">
        <v>292</v>
      </c>
      <c r="I109" s="521">
        <v>0</v>
      </c>
      <c r="J109" s="521">
        <v>0</v>
      </c>
      <c r="K109" s="521">
        <v>0</v>
      </c>
      <c r="L109" s="521">
        <v>0</v>
      </c>
      <c r="M109" s="521">
        <v>657929607.73280001</v>
      </c>
      <c r="N109" s="515">
        <f t="shared" si="2"/>
        <v>0</v>
      </c>
      <c r="O109" s="519">
        <f t="shared" si="3"/>
        <v>0</v>
      </c>
    </row>
    <row r="110" spans="1:15" hidden="1" x14ac:dyDescent="0.25">
      <c r="A110" s="515" t="s">
        <v>7</v>
      </c>
      <c r="B110" s="515" t="s">
        <v>8</v>
      </c>
      <c r="C110" s="521"/>
      <c r="D110" s="521" t="s">
        <v>362</v>
      </c>
      <c r="E110" s="521"/>
      <c r="F110" s="521" t="s">
        <v>370</v>
      </c>
      <c r="G110" s="515"/>
      <c r="H110" s="515" t="s">
        <v>292</v>
      </c>
      <c r="I110" s="521">
        <v>0</v>
      </c>
      <c r="J110" s="521">
        <v>0</v>
      </c>
      <c r="K110" s="521">
        <v>0</v>
      </c>
      <c r="L110" s="521">
        <v>0</v>
      </c>
      <c r="M110" s="521">
        <v>680999942.92850018</v>
      </c>
      <c r="N110" s="515">
        <f t="shared" si="2"/>
        <v>0</v>
      </c>
      <c r="O110" s="519">
        <f t="shared" si="3"/>
        <v>0</v>
      </c>
    </row>
    <row r="111" spans="1:15" hidden="1" x14ac:dyDescent="0.25">
      <c r="A111" s="515" t="s">
        <v>7</v>
      </c>
      <c r="B111" s="515" t="s">
        <v>8</v>
      </c>
      <c r="C111" s="521"/>
      <c r="D111" s="521" t="s">
        <v>362</v>
      </c>
      <c r="E111" s="521"/>
      <c r="F111" s="521" t="s">
        <v>371</v>
      </c>
      <c r="G111" s="515"/>
      <c r="H111" s="515" t="s">
        <v>292</v>
      </c>
      <c r="I111" s="521">
        <v>0</v>
      </c>
      <c r="J111" s="521">
        <v>0</v>
      </c>
      <c r="K111" s="521">
        <v>0</v>
      </c>
      <c r="L111" s="521">
        <v>0</v>
      </c>
      <c r="M111" s="521">
        <v>1000410897.2363987</v>
      </c>
      <c r="N111" s="515">
        <f t="shared" si="2"/>
        <v>0</v>
      </c>
      <c r="O111" s="519">
        <f t="shared" si="3"/>
        <v>0</v>
      </c>
    </row>
    <row r="112" spans="1:15" hidden="1" x14ac:dyDescent="0.25">
      <c r="A112" s="515" t="s">
        <v>7</v>
      </c>
      <c r="B112" s="515" t="s">
        <v>8</v>
      </c>
      <c r="C112" s="521"/>
      <c r="D112" s="521" t="s">
        <v>364</v>
      </c>
      <c r="E112" s="521"/>
      <c r="F112" s="521" t="s">
        <v>372</v>
      </c>
      <c r="G112" s="515"/>
      <c r="H112" s="515" t="s">
        <v>292</v>
      </c>
      <c r="I112" s="521">
        <v>0</v>
      </c>
      <c r="J112" s="521">
        <v>0</v>
      </c>
      <c r="K112" s="521">
        <v>0</v>
      </c>
      <c r="L112" s="521">
        <v>0</v>
      </c>
      <c r="M112" s="521">
        <v>647372110.11980021</v>
      </c>
      <c r="N112" s="515">
        <f t="shared" si="2"/>
        <v>0</v>
      </c>
      <c r="O112" s="519">
        <f t="shared" si="3"/>
        <v>0</v>
      </c>
    </row>
    <row r="113" spans="1:15" hidden="1" x14ac:dyDescent="0.25">
      <c r="A113" s="515" t="s">
        <v>7</v>
      </c>
      <c r="B113" s="515" t="s">
        <v>8</v>
      </c>
      <c r="C113" s="521"/>
      <c r="D113" s="521" t="s">
        <v>364</v>
      </c>
      <c r="E113" s="521"/>
      <c r="F113" s="521" t="s">
        <v>373</v>
      </c>
      <c r="G113" s="515"/>
      <c r="H113" s="515" t="s">
        <v>292</v>
      </c>
      <c r="I113" s="521">
        <v>0</v>
      </c>
      <c r="J113" s="521">
        <v>0</v>
      </c>
      <c r="K113" s="521">
        <v>0</v>
      </c>
      <c r="L113" s="521">
        <v>0</v>
      </c>
      <c r="M113" s="521">
        <v>1033839503.4343996</v>
      </c>
      <c r="N113" s="515">
        <f t="shared" si="2"/>
        <v>0</v>
      </c>
      <c r="O113" s="519">
        <f t="shared" si="3"/>
        <v>0</v>
      </c>
    </row>
    <row r="114" spans="1:15" hidden="1" x14ac:dyDescent="0.25">
      <c r="A114" s="515" t="s">
        <v>7</v>
      </c>
      <c r="B114" s="515" t="s">
        <v>8</v>
      </c>
      <c r="C114" s="521"/>
      <c r="D114" s="521" t="s">
        <v>362</v>
      </c>
      <c r="E114" s="521"/>
      <c r="F114" s="521" t="s">
        <v>369</v>
      </c>
      <c r="G114" s="515"/>
      <c r="H114" s="515" t="s">
        <v>292</v>
      </c>
      <c r="I114" s="521">
        <v>0</v>
      </c>
      <c r="J114" s="521">
        <v>0</v>
      </c>
      <c r="K114" s="521">
        <v>0</v>
      </c>
      <c r="L114" s="521">
        <v>0</v>
      </c>
      <c r="M114" s="521">
        <v>1183794628.9130003</v>
      </c>
      <c r="N114" s="515">
        <f t="shared" si="2"/>
        <v>0</v>
      </c>
      <c r="O114" s="519">
        <f t="shared" si="3"/>
        <v>0</v>
      </c>
    </row>
    <row r="115" spans="1:15" hidden="1" x14ac:dyDescent="0.25">
      <c r="A115" s="515" t="s">
        <v>7</v>
      </c>
      <c r="B115" s="515" t="s">
        <v>8</v>
      </c>
      <c r="C115" s="521"/>
      <c r="D115" s="521" t="s">
        <v>362</v>
      </c>
      <c r="E115" s="521"/>
      <c r="F115" s="521" t="s">
        <v>370</v>
      </c>
      <c r="G115" s="515"/>
      <c r="H115" s="515" t="s">
        <v>292</v>
      </c>
      <c r="I115" s="521">
        <v>0</v>
      </c>
      <c r="J115" s="521">
        <v>0</v>
      </c>
      <c r="K115" s="521">
        <v>0</v>
      </c>
      <c r="L115" s="521">
        <v>0</v>
      </c>
      <c r="M115" s="521">
        <v>679826351.63689983</v>
      </c>
      <c r="N115" s="515">
        <f t="shared" si="2"/>
        <v>0</v>
      </c>
      <c r="O115" s="519">
        <f t="shared" si="3"/>
        <v>0</v>
      </c>
    </row>
    <row r="116" spans="1:15" hidden="1" x14ac:dyDescent="0.25">
      <c r="A116" s="515" t="s">
        <v>7</v>
      </c>
      <c r="B116" s="515" t="s">
        <v>8</v>
      </c>
      <c r="C116" s="521"/>
      <c r="D116" s="521" t="s">
        <v>362</v>
      </c>
      <c r="E116" s="521"/>
      <c r="F116" s="521" t="s">
        <v>371</v>
      </c>
      <c r="G116" s="515"/>
      <c r="H116" s="515" t="s">
        <v>292</v>
      </c>
      <c r="I116" s="521">
        <v>0</v>
      </c>
      <c r="J116" s="521">
        <v>0</v>
      </c>
      <c r="K116" s="521">
        <v>0</v>
      </c>
      <c r="L116" s="521">
        <v>0</v>
      </c>
      <c r="M116" s="521">
        <v>815322183.05460024</v>
      </c>
      <c r="N116" s="515">
        <f t="shared" si="2"/>
        <v>0</v>
      </c>
      <c r="O116" s="519">
        <f t="shared" si="3"/>
        <v>0</v>
      </c>
    </row>
    <row r="117" spans="1:15" hidden="1" x14ac:dyDescent="0.25">
      <c r="A117" s="515" t="s">
        <v>7</v>
      </c>
      <c r="B117" s="515" t="s">
        <v>8</v>
      </c>
      <c r="C117" s="521"/>
      <c r="D117" s="521" t="s">
        <v>364</v>
      </c>
      <c r="E117" s="521"/>
      <c r="F117" s="521" t="s">
        <v>372</v>
      </c>
      <c r="G117" s="515"/>
      <c r="H117" s="515" t="s">
        <v>292</v>
      </c>
      <c r="I117" s="521">
        <v>0</v>
      </c>
      <c r="J117" s="521">
        <v>0</v>
      </c>
      <c r="K117" s="521">
        <v>0</v>
      </c>
      <c r="L117" s="521">
        <v>0</v>
      </c>
      <c r="M117" s="521">
        <v>1229216756.1869001</v>
      </c>
      <c r="N117" s="515">
        <f t="shared" si="2"/>
        <v>0</v>
      </c>
      <c r="O117" s="519">
        <f t="shared" si="3"/>
        <v>0</v>
      </c>
    </row>
    <row r="118" spans="1:15" hidden="1" x14ac:dyDescent="0.25">
      <c r="A118" s="515" t="s">
        <v>7</v>
      </c>
      <c r="B118" s="515" t="s">
        <v>8</v>
      </c>
      <c r="C118" s="521"/>
      <c r="D118" s="521" t="s">
        <v>364</v>
      </c>
      <c r="E118" s="521"/>
      <c r="F118" s="521" t="s">
        <v>373</v>
      </c>
      <c r="G118" s="515"/>
      <c r="H118" s="515" t="s">
        <v>292</v>
      </c>
      <c r="I118" s="521">
        <v>0</v>
      </c>
      <c r="J118" s="521">
        <v>0</v>
      </c>
      <c r="K118" s="521">
        <v>0</v>
      </c>
      <c r="L118" s="521">
        <v>0</v>
      </c>
      <c r="M118" s="521">
        <v>1516192695.7996001</v>
      </c>
      <c r="N118" s="515">
        <f t="shared" si="2"/>
        <v>0</v>
      </c>
      <c r="O118" s="519">
        <f t="shared" si="3"/>
        <v>0</v>
      </c>
    </row>
    <row r="119" spans="1:15" x14ac:dyDescent="0.25">
      <c r="A119" s="515" t="s">
        <v>7</v>
      </c>
      <c r="B119" s="515" t="s">
        <v>8</v>
      </c>
      <c r="C119" s="521"/>
      <c r="D119" s="521" t="s">
        <v>364</v>
      </c>
      <c r="E119" s="521"/>
      <c r="F119" s="521" t="s">
        <v>381</v>
      </c>
      <c r="G119" s="515"/>
      <c r="H119" s="515" t="s">
        <v>292</v>
      </c>
      <c r="I119" s="521">
        <v>0</v>
      </c>
      <c r="J119" s="521">
        <v>0</v>
      </c>
      <c r="K119" s="521">
        <v>0</v>
      </c>
      <c r="L119" s="521">
        <v>0</v>
      </c>
      <c r="M119" s="521">
        <v>0</v>
      </c>
      <c r="N119" s="515">
        <f t="shared" si="2"/>
        <v>0</v>
      </c>
      <c r="O119" s="519">
        <f t="shared" si="3"/>
        <v>0</v>
      </c>
    </row>
    <row r="120" spans="1:15" hidden="1" x14ac:dyDescent="0.25">
      <c r="A120" s="515" t="s">
        <v>28</v>
      </c>
      <c r="B120" s="521" t="s">
        <v>29</v>
      </c>
      <c r="C120" s="521"/>
      <c r="D120" s="521" t="s">
        <v>556</v>
      </c>
      <c r="E120" s="521"/>
      <c r="F120" s="521" t="s">
        <v>557</v>
      </c>
      <c r="G120" s="515"/>
      <c r="H120" s="515" t="s">
        <v>292</v>
      </c>
      <c r="I120" s="521">
        <v>0</v>
      </c>
      <c r="J120" s="521">
        <v>0</v>
      </c>
      <c r="K120" s="521">
        <v>0</v>
      </c>
      <c r="L120" s="521">
        <v>0</v>
      </c>
      <c r="M120" s="521">
        <f xml:space="preserve"> 543043386.0566 + 1256610687.3801</f>
        <v>1799654073.4366999</v>
      </c>
      <c r="N120" s="515">
        <f t="shared" si="2"/>
        <v>0</v>
      </c>
      <c r="O120" s="519">
        <f t="shared" si="3"/>
        <v>0</v>
      </c>
    </row>
    <row r="121" spans="1:15" hidden="1" x14ac:dyDescent="0.25">
      <c r="A121" s="515" t="s">
        <v>28</v>
      </c>
      <c r="B121" s="521" t="s">
        <v>29</v>
      </c>
      <c r="C121" s="521"/>
      <c r="D121" s="521" t="s">
        <v>556</v>
      </c>
      <c r="E121" s="521"/>
      <c r="F121" s="521" t="s">
        <v>558</v>
      </c>
      <c r="G121" s="515"/>
      <c r="H121" s="515" t="s">
        <v>292</v>
      </c>
      <c r="I121" s="521">
        <v>0</v>
      </c>
      <c r="J121" s="521">
        <v>0</v>
      </c>
      <c r="K121" s="521">
        <v>0</v>
      </c>
      <c r="L121" s="521">
        <v>0</v>
      </c>
      <c r="M121" s="521">
        <f>567872517.6579 + 886176641.0003</f>
        <v>1454049158.6582</v>
      </c>
      <c r="N121" s="515">
        <f t="shared" si="2"/>
        <v>0</v>
      </c>
      <c r="O121" s="519">
        <f t="shared" si="3"/>
        <v>0</v>
      </c>
    </row>
    <row r="122" spans="1:15" hidden="1" x14ac:dyDescent="0.25">
      <c r="A122" s="515" t="s">
        <v>28</v>
      </c>
      <c r="B122" s="521" t="s">
        <v>29</v>
      </c>
      <c r="C122" s="521"/>
      <c r="D122" s="521" t="s">
        <v>556</v>
      </c>
      <c r="E122" s="521"/>
      <c r="F122" s="521" t="s">
        <v>560</v>
      </c>
      <c r="G122" s="515"/>
      <c r="H122" s="515" t="s">
        <v>292</v>
      </c>
      <c r="I122" s="521">
        <v>0</v>
      </c>
      <c r="J122" s="521">
        <v>0</v>
      </c>
      <c r="K122" s="521">
        <v>0</v>
      </c>
      <c r="L122" s="521">
        <v>0</v>
      </c>
      <c r="M122" s="521">
        <f>561781057.3128 + 705518663.3352</f>
        <v>1267299720.648</v>
      </c>
      <c r="N122" s="515">
        <f t="shared" si="2"/>
        <v>0</v>
      </c>
      <c r="O122" s="519">
        <f t="shared" si="3"/>
        <v>0</v>
      </c>
    </row>
    <row r="123" spans="1:15" hidden="1" x14ac:dyDescent="0.25">
      <c r="A123" s="515" t="s">
        <v>28</v>
      </c>
      <c r="B123" s="521" t="s">
        <v>547</v>
      </c>
      <c r="C123" s="521"/>
      <c r="D123" s="521" t="s">
        <v>552</v>
      </c>
      <c r="E123" s="521"/>
      <c r="F123" s="521" t="s">
        <v>553</v>
      </c>
      <c r="G123" s="515"/>
      <c r="H123" s="515" t="s">
        <v>292</v>
      </c>
      <c r="I123" s="521">
        <v>0</v>
      </c>
      <c r="J123" s="521">
        <v>0</v>
      </c>
      <c r="K123" s="521">
        <v>0</v>
      </c>
      <c r="L123" s="521">
        <v>0</v>
      </c>
      <c r="M123" s="521">
        <v>534932683.48779994</v>
      </c>
      <c r="N123" s="515">
        <f t="shared" si="2"/>
        <v>0</v>
      </c>
      <c r="O123" s="519">
        <f t="shared" si="3"/>
        <v>0</v>
      </c>
    </row>
    <row r="124" spans="1:15" hidden="1" x14ac:dyDescent="0.25">
      <c r="A124" s="515" t="s">
        <v>28</v>
      </c>
      <c r="B124" s="521" t="s">
        <v>549</v>
      </c>
      <c r="C124" s="521"/>
      <c r="D124" s="521" t="s">
        <v>556</v>
      </c>
      <c r="E124" s="521"/>
      <c r="F124" s="521" t="s">
        <v>558</v>
      </c>
      <c r="G124" s="515"/>
      <c r="H124" s="515" t="s">
        <v>292</v>
      </c>
      <c r="I124" s="521">
        <v>0</v>
      </c>
      <c r="J124" s="521">
        <v>0</v>
      </c>
      <c r="K124" s="521">
        <v>0</v>
      </c>
      <c r="L124" s="521">
        <v>0</v>
      </c>
      <c r="M124" s="521">
        <v>607576306.9467001</v>
      </c>
      <c r="N124" s="515">
        <f t="shared" si="2"/>
        <v>0</v>
      </c>
      <c r="O124" s="519">
        <f t="shared" si="3"/>
        <v>0</v>
      </c>
    </row>
    <row r="125" spans="1:15" hidden="1" x14ac:dyDescent="0.25">
      <c r="A125" s="515" t="s">
        <v>28</v>
      </c>
      <c r="B125" s="521" t="s">
        <v>539</v>
      </c>
      <c r="C125" s="521"/>
      <c r="D125" s="521" t="s">
        <v>552</v>
      </c>
      <c r="E125" s="521"/>
      <c r="F125" s="521" t="s">
        <v>554</v>
      </c>
      <c r="G125" s="515"/>
      <c r="H125" s="515" t="s">
        <v>292</v>
      </c>
      <c r="I125" s="521">
        <v>0</v>
      </c>
      <c r="J125" s="521">
        <v>0</v>
      </c>
      <c r="K125" s="521">
        <v>0</v>
      </c>
      <c r="L125" s="521">
        <v>0</v>
      </c>
      <c r="M125" s="521">
        <v>371177128.75099981</v>
      </c>
      <c r="N125" s="515">
        <f t="shared" si="2"/>
        <v>0</v>
      </c>
      <c r="O125" s="519">
        <f t="shared" si="3"/>
        <v>0</v>
      </c>
    </row>
    <row r="126" spans="1:15" hidden="1" x14ac:dyDescent="0.25">
      <c r="A126" s="515" t="s">
        <v>28</v>
      </c>
      <c r="B126" s="521" t="s">
        <v>546</v>
      </c>
      <c r="C126" s="521"/>
      <c r="D126" s="521" t="s">
        <v>556</v>
      </c>
      <c r="E126" s="521"/>
      <c r="F126" s="521" t="s">
        <v>558</v>
      </c>
      <c r="G126" s="515"/>
      <c r="H126" s="515" t="s">
        <v>292</v>
      </c>
      <c r="I126" s="521">
        <v>0</v>
      </c>
      <c r="J126" s="521">
        <v>0</v>
      </c>
      <c r="K126" s="521">
        <v>0</v>
      </c>
      <c r="L126" s="521">
        <v>0</v>
      </c>
      <c r="M126" s="521">
        <v>489575548.97810006</v>
      </c>
      <c r="N126" s="515">
        <f t="shared" si="2"/>
        <v>0</v>
      </c>
      <c r="O126" s="519">
        <f t="shared" si="3"/>
        <v>0</v>
      </c>
    </row>
    <row r="127" spans="1:15" hidden="1" x14ac:dyDescent="0.25">
      <c r="A127" s="515" t="s">
        <v>28</v>
      </c>
      <c r="B127" s="521" t="s">
        <v>541</v>
      </c>
      <c r="C127" s="521"/>
      <c r="D127" s="521" t="s">
        <v>552</v>
      </c>
      <c r="E127" s="521"/>
      <c r="F127" s="521" t="s">
        <v>554</v>
      </c>
      <c r="G127" s="515"/>
      <c r="H127" s="515" t="s">
        <v>292</v>
      </c>
      <c r="I127" s="521">
        <v>0</v>
      </c>
      <c r="J127" s="521">
        <v>0</v>
      </c>
      <c r="K127" s="521">
        <v>0</v>
      </c>
      <c r="L127" s="521">
        <v>0</v>
      </c>
      <c r="M127" s="521">
        <v>340990386.10000014</v>
      </c>
      <c r="N127" s="515">
        <f t="shared" si="2"/>
        <v>0</v>
      </c>
      <c r="O127" s="519">
        <f t="shared" si="3"/>
        <v>0</v>
      </c>
    </row>
    <row r="128" spans="1:15" hidden="1" x14ac:dyDescent="0.25">
      <c r="A128" s="515" t="s">
        <v>28</v>
      </c>
      <c r="B128" s="521" t="s">
        <v>534</v>
      </c>
      <c r="C128" s="521"/>
      <c r="D128" s="521" t="s">
        <v>552</v>
      </c>
      <c r="E128" s="521"/>
      <c r="F128" s="521" t="s">
        <v>554</v>
      </c>
      <c r="G128" s="515"/>
      <c r="H128" s="515" t="s">
        <v>292</v>
      </c>
      <c r="I128" s="521">
        <v>0</v>
      </c>
      <c r="J128" s="521">
        <v>0</v>
      </c>
      <c r="K128" s="521">
        <v>0</v>
      </c>
      <c r="L128" s="521">
        <v>0</v>
      </c>
      <c r="M128" s="521">
        <v>464654798.07890016</v>
      </c>
      <c r="N128" s="515">
        <f t="shared" si="2"/>
        <v>0</v>
      </c>
      <c r="O128" s="519">
        <f t="shared" si="3"/>
        <v>0</v>
      </c>
    </row>
    <row r="129" spans="1:15" hidden="1" x14ac:dyDescent="0.25">
      <c r="A129" s="515" t="s">
        <v>28</v>
      </c>
      <c r="B129" s="521" t="s">
        <v>525</v>
      </c>
      <c r="C129" s="521"/>
      <c r="D129" s="521" t="s">
        <v>552</v>
      </c>
      <c r="E129" s="521"/>
      <c r="F129" s="521" t="s">
        <v>553</v>
      </c>
      <c r="G129" s="515"/>
      <c r="H129" s="515" t="s">
        <v>292</v>
      </c>
      <c r="I129" s="521">
        <v>0</v>
      </c>
      <c r="J129" s="521">
        <v>0</v>
      </c>
      <c r="K129" s="521">
        <v>0</v>
      </c>
      <c r="L129" s="521">
        <v>0</v>
      </c>
      <c r="M129" s="521">
        <v>473767979.99310005</v>
      </c>
      <c r="N129" s="515">
        <f t="shared" si="2"/>
        <v>0</v>
      </c>
      <c r="O129" s="519">
        <f t="shared" si="3"/>
        <v>0</v>
      </c>
    </row>
    <row r="130" spans="1:15" hidden="1" x14ac:dyDescent="0.25">
      <c r="A130" s="515" t="s">
        <v>28</v>
      </c>
      <c r="B130" s="521" t="s">
        <v>551</v>
      </c>
      <c r="C130" s="521"/>
      <c r="D130" s="521" t="s">
        <v>552</v>
      </c>
      <c r="E130" s="521"/>
      <c r="F130" s="521" t="s">
        <v>555</v>
      </c>
      <c r="G130" s="515"/>
      <c r="H130" s="515" t="s">
        <v>292</v>
      </c>
      <c r="I130" s="521">
        <v>0</v>
      </c>
      <c r="J130" s="521">
        <v>0</v>
      </c>
      <c r="K130" s="521">
        <v>0</v>
      </c>
      <c r="L130" s="521">
        <v>0</v>
      </c>
      <c r="M130" s="521">
        <v>1097746765.7857997</v>
      </c>
      <c r="N130" s="515">
        <f t="shared" si="2"/>
        <v>0</v>
      </c>
      <c r="O130" s="519">
        <f t="shared" si="3"/>
        <v>0</v>
      </c>
    </row>
    <row r="131" spans="1:15" hidden="1" x14ac:dyDescent="0.25">
      <c r="A131" s="515" t="s">
        <v>28</v>
      </c>
      <c r="B131" s="521" t="s">
        <v>542</v>
      </c>
      <c r="C131" s="521"/>
      <c r="D131" s="521" t="s">
        <v>552</v>
      </c>
      <c r="E131" s="521"/>
      <c r="F131" s="521" t="s">
        <v>555</v>
      </c>
      <c r="G131" s="515"/>
      <c r="H131" s="515" t="s">
        <v>292</v>
      </c>
      <c r="I131" s="521">
        <v>0</v>
      </c>
      <c r="J131" s="521">
        <v>0</v>
      </c>
      <c r="K131" s="521">
        <v>0</v>
      </c>
      <c r="L131" s="521">
        <v>0</v>
      </c>
      <c r="M131" s="521">
        <v>201456929.39970002</v>
      </c>
      <c r="N131" s="515">
        <f t="shared" ref="N131:N194" si="4">SUM(K131,L131)</f>
        <v>0</v>
      </c>
      <c r="O131" s="519">
        <f t="shared" ref="O131:O194" si="5">SUM(I131:L131)</f>
        <v>0</v>
      </c>
    </row>
    <row r="132" spans="1:15" hidden="1" x14ac:dyDescent="0.25">
      <c r="A132" s="515" t="s">
        <v>28</v>
      </c>
      <c r="B132" s="521" t="s">
        <v>545</v>
      </c>
      <c r="C132" s="521"/>
      <c r="D132" s="521" t="s">
        <v>552</v>
      </c>
      <c r="E132" s="521"/>
      <c r="F132" s="521" t="s">
        <v>559</v>
      </c>
      <c r="G132" s="515"/>
      <c r="H132" s="515" t="s">
        <v>292</v>
      </c>
      <c r="I132" s="521">
        <v>0</v>
      </c>
      <c r="J132" s="521">
        <v>0</v>
      </c>
      <c r="K132" s="521">
        <v>0</v>
      </c>
      <c r="L132" s="521">
        <v>0</v>
      </c>
      <c r="M132" s="521">
        <v>970857482.53520048</v>
      </c>
      <c r="N132" s="515">
        <f t="shared" si="4"/>
        <v>0</v>
      </c>
      <c r="O132" s="519">
        <f t="shared" si="5"/>
        <v>0</v>
      </c>
    </row>
    <row r="133" spans="1:15" hidden="1" x14ac:dyDescent="0.25">
      <c r="A133" s="540" t="s">
        <v>28</v>
      </c>
      <c r="B133" s="541" t="s">
        <v>545</v>
      </c>
      <c r="C133" s="541"/>
      <c r="D133" s="541" t="s">
        <v>552</v>
      </c>
      <c r="E133" s="541"/>
      <c r="F133" s="541" t="s">
        <v>555</v>
      </c>
      <c r="G133" s="540"/>
      <c r="H133" s="540"/>
      <c r="I133" s="541">
        <v>0</v>
      </c>
      <c r="J133" s="541">
        <v>0</v>
      </c>
      <c r="K133" s="541">
        <v>0</v>
      </c>
      <c r="L133" s="541">
        <v>0</v>
      </c>
      <c r="M133" s="541">
        <v>0</v>
      </c>
      <c r="N133" s="540">
        <f t="shared" si="4"/>
        <v>0</v>
      </c>
      <c r="O133" s="542">
        <f t="shared" si="5"/>
        <v>0</v>
      </c>
    </row>
    <row r="134" spans="1:15" x14ac:dyDescent="0.25">
      <c r="A134" s="515" t="s">
        <v>28</v>
      </c>
      <c r="B134" s="521" t="s">
        <v>533</v>
      </c>
      <c r="C134" s="521"/>
      <c r="D134" s="521" t="s">
        <v>552</v>
      </c>
      <c r="E134" s="521"/>
      <c r="F134" s="521" t="s">
        <v>553</v>
      </c>
      <c r="G134" s="515"/>
      <c r="H134" s="515" t="s">
        <v>292</v>
      </c>
      <c r="I134" s="521">
        <v>0</v>
      </c>
      <c r="J134" s="521">
        <v>0</v>
      </c>
      <c r="K134" s="521">
        <v>0</v>
      </c>
      <c r="L134" s="521">
        <v>0</v>
      </c>
      <c r="M134" s="521">
        <v>0</v>
      </c>
      <c r="N134" s="515">
        <f t="shared" si="4"/>
        <v>0</v>
      </c>
      <c r="O134" s="519">
        <f t="shared" si="5"/>
        <v>0</v>
      </c>
    </row>
    <row r="135" spans="1:15" x14ac:dyDescent="0.25">
      <c r="A135" s="515" t="s">
        <v>28</v>
      </c>
      <c r="B135" s="521" t="s">
        <v>533</v>
      </c>
      <c r="C135" s="521"/>
      <c r="D135" s="521" t="s">
        <v>552</v>
      </c>
      <c r="E135" s="521"/>
      <c r="F135" s="521" t="s">
        <v>559</v>
      </c>
      <c r="G135" s="515"/>
      <c r="H135" s="515" t="s">
        <v>292</v>
      </c>
      <c r="I135" s="521">
        <v>0</v>
      </c>
      <c r="J135" s="521">
        <v>0</v>
      </c>
      <c r="K135" s="521">
        <v>0</v>
      </c>
      <c r="L135" s="521">
        <v>0</v>
      </c>
      <c r="M135" s="521">
        <v>0</v>
      </c>
      <c r="N135" s="515">
        <f t="shared" si="4"/>
        <v>0</v>
      </c>
      <c r="O135" s="519">
        <f t="shared" si="5"/>
        <v>0</v>
      </c>
    </row>
    <row r="136" spans="1:15" hidden="1" x14ac:dyDescent="0.25">
      <c r="A136" s="515" t="s">
        <v>28</v>
      </c>
      <c r="B136" s="521" t="s">
        <v>533</v>
      </c>
      <c r="C136" s="521"/>
      <c r="D136" s="521" t="s">
        <v>552</v>
      </c>
      <c r="E136" s="521"/>
      <c r="F136" s="521" t="s">
        <v>555</v>
      </c>
      <c r="G136" s="515"/>
      <c r="H136" s="515" t="s">
        <v>292</v>
      </c>
      <c r="I136" s="521">
        <v>0</v>
      </c>
      <c r="J136" s="521">
        <v>0</v>
      </c>
      <c r="K136" s="521">
        <v>0</v>
      </c>
      <c r="L136" s="521">
        <v>0</v>
      </c>
      <c r="M136" s="521">
        <v>668377808.25270033</v>
      </c>
      <c r="N136" s="515">
        <f t="shared" si="4"/>
        <v>0</v>
      </c>
      <c r="O136" s="519">
        <f t="shared" si="5"/>
        <v>0</v>
      </c>
    </row>
    <row r="137" spans="1:15" hidden="1" x14ac:dyDescent="0.25">
      <c r="A137" s="515" t="s">
        <v>28</v>
      </c>
      <c r="B137" s="521" t="s">
        <v>531</v>
      </c>
      <c r="C137" s="521"/>
      <c r="D137" s="521" t="s">
        <v>552</v>
      </c>
      <c r="E137" s="521"/>
      <c r="F137" s="521" t="s">
        <v>559</v>
      </c>
      <c r="G137" s="515"/>
      <c r="H137" s="515" t="s">
        <v>292</v>
      </c>
      <c r="I137" s="521">
        <v>0</v>
      </c>
      <c r="J137" s="521">
        <v>0</v>
      </c>
      <c r="K137" s="521">
        <v>0</v>
      </c>
      <c r="L137" s="521">
        <v>0</v>
      </c>
      <c r="M137" s="521">
        <v>638591919.81389999</v>
      </c>
      <c r="N137" s="515">
        <f t="shared" si="4"/>
        <v>0</v>
      </c>
      <c r="O137" s="519">
        <f t="shared" si="5"/>
        <v>0</v>
      </c>
    </row>
    <row r="138" spans="1:15" x14ac:dyDescent="0.25">
      <c r="A138" s="515" t="s">
        <v>59</v>
      </c>
      <c r="B138" s="521" t="s">
        <v>431</v>
      </c>
      <c r="C138" s="521"/>
      <c r="D138" s="521" t="s">
        <v>453</v>
      </c>
      <c r="E138" s="521"/>
      <c r="F138" s="521" t="s">
        <v>461</v>
      </c>
      <c r="G138" s="515"/>
      <c r="H138" s="515" t="s">
        <v>292</v>
      </c>
      <c r="I138" s="521">
        <v>0</v>
      </c>
      <c r="J138" s="521">
        <v>0</v>
      </c>
      <c r="K138" s="521">
        <v>0</v>
      </c>
      <c r="L138" s="521">
        <v>0</v>
      </c>
      <c r="M138" s="521">
        <v>0</v>
      </c>
      <c r="N138" s="515">
        <f t="shared" si="4"/>
        <v>0</v>
      </c>
      <c r="O138" s="519">
        <f t="shared" si="5"/>
        <v>0</v>
      </c>
    </row>
    <row r="139" spans="1:15" x14ac:dyDescent="0.25">
      <c r="A139" s="515" t="s">
        <v>59</v>
      </c>
      <c r="B139" s="521" t="s">
        <v>74</v>
      </c>
      <c r="C139" s="521"/>
      <c r="D139" s="521" t="s">
        <v>453</v>
      </c>
      <c r="E139" s="521"/>
      <c r="F139" s="521" t="s">
        <v>461</v>
      </c>
      <c r="G139" s="515"/>
      <c r="H139" s="515" t="s">
        <v>292</v>
      </c>
      <c r="I139" s="521">
        <v>0</v>
      </c>
      <c r="J139" s="521">
        <v>0</v>
      </c>
      <c r="K139" s="521">
        <v>0</v>
      </c>
      <c r="L139" s="521">
        <v>0</v>
      </c>
      <c r="M139" s="521">
        <v>0</v>
      </c>
      <c r="N139" s="515">
        <f t="shared" si="4"/>
        <v>0</v>
      </c>
      <c r="O139" s="519">
        <f t="shared" si="5"/>
        <v>0</v>
      </c>
    </row>
    <row r="140" spans="1:15" x14ac:dyDescent="0.25">
      <c r="A140" s="515" t="s">
        <v>59</v>
      </c>
      <c r="B140" s="521" t="s">
        <v>78</v>
      </c>
      <c r="C140" s="521"/>
      <c r="D140" s="521" t="s">
        <v>453</v>
      </c>
      <c r="E140" s="521"/>
      <c r="F140" s="521" t="s">
        <v>461</v>
      </c>
      <c r="G140" s="515"/>
      <c r="H140" s="515" t="s">
        <v>292</v>
      </c>
      <c r="I140" s="521">
        <v>0</v>
      </c>
      <c r="J140" s="521">
        <v>0</v>
      </c>
      <c r="K140" s="521">
        <v>0</v>
      </c>
      <c r="L140" s="521">
        <v>0</v>
      </c>
      <c r="M140" s="521">
        <v>0</v>
      </c>
      <c r="N140" s="515">
        <f t="shared" si="4"/>
        <v>0</v>
      </c>
      <c r="O140" s="519">
        <f t="shared" si="5"/>
        <v>0</v>
      </c>
    </row>
    <row r="141" spans="1:15" x14ac:dyDescent="0.25">
      <c r="A141" s="515" t="s">
        <v>59</v>
      </c>
      <c r="B141" s="521" t="s">
        <v>458</v>
      </c>
      <c r="C141" s="521"/>
      <c r="D141" s="521" t="s">
        <v>453</v>
      </c>
      <c r="E141" s="521"/>
      <c r="F141" s="521" t="s">
        <v>461</v>
      </c>
      <c r="G141" s="521" t="s">
        <v>442</v>
      </c>
      <c r="H141" s="515" t="s">
        <v>292</v>
      </c>
      <c r="I141" s="521">
        <v>0</v>
      </c>
      <c r="J141" s="521">
        <v>0</v>
      </c>
      <c r="K141" s="521">
        <v>0</v>
      </c>
      <c r="L141" s="521">
        <v>0</v>
      </c>
      <c r="M141" s="521">
        <v>0</v>
      </c>
      <c r="N141" s="515">
        <f t="shared" si="4"/>
        <v>0</v>
      </c>
      <c r="O141" s="519">
        <f t="shared" si="5"/>
        <v>0</v>
      </c>
    </row>
    <row r="142" spans="1:15" x14ac:dyDescent="0.25">
      <c r="A142" s="515" t="s">
        <v>59</v>
      </c>
      <c r="B142" s="521" t="s">
        <v>81</v>
      </c>
      <c r="C142" s="521"/>
      <c r="D142" s="521" t="s">
        <v>453</v>
      </c>
      <c r="E142" s="521"/>
      <c r="F142" s="521" t="s">
        <v>461</v>
      </c>
      <c r="G142" s="515"/>
      <c r="H142" s="515" t="s">
        <v>292</v>
      </c>
      <c r="I142" s="521">
        <v>0</v>
      </c>
      <c r="J142" s="521">
        <v>0</v>
      </c>
      <c r="K142" s="521">
        <v>0</v>
      </c>
      <c r="L142" s="521">
        <v>0</v>
      </c>
      <c r="M142" s="521">
        <v>0</v>
      </c>
      <c r="N142" s="515">
        <f t="shared" si="4"/>
        <v>0</v>
      </c>
      <c r="O142" s="519">
        <f t="shared" si="5"/>
        <v>0</v>
      </c>
    </row>
    <row r="143" spans="1:15" x14ac:dyDescent="0.25">
      <c r="A143" s="515" t="s">
        <v>59</v>
      </c>
      <c r="B143" s="521" t="s">
        <v>425</v>
      </c>
      <c r="C143" s="521"/>
      <c r="D143" s="521" t="s">
        <v>453</v>
      </c>
      <c r="E143" s="521"/>
      <c r="F143" s="521" t="s">
        <v>461</v>
      </c>
      <c r="G143" s="515"/>
      <c r="H143" s="515" t="s">
        <v>292</v>
      </c>
      <c r="I143" s="521">
        <v>0</v>
      </c>
      <c r="J143" s="521">
        <v>0</v>
      </c>
      <c r="K143" s="521">
        <v>0</v>
      </c>
      <c r="L143" s="521">
        <v>0</v>
      </c>
      <c r="M143" s="521">
        <v>0</v>
      </c>
      <c r="N143" s="515">
        <f t="shared" si="4"/>
        <v>0</v>
      </c>
      <c r="O143" s="519">
        <f t="shared" si="5"/>
        <v>0</v>
      </c>
    </row>
    <row r="144" spans="1:15" x14ac:dyDescent="0.25">
      <c r="A144" s="515" t="s">
        <v>59</v>
      </c>
      <c r="B144" s="521" t="s">
        <v>87</v>
      </c>
      <c r="C144" s="521"/>
      <c r="D144" s="521" t="s">
        <v>453</v>
      </c>
      <c r="E144" s="521"/>
      <c r="F144" s="521" t="s">
        <v>461</v>
      </c>
      <c r="G144" s="515"/>
      <c r="H144" s="515" t="s">
        <v>292</v>
      </c>
      <c r="I144" s="521">
        <v>0</v>
      </c>
      <c r="J144" s="521">
        <v>0</v>
      </c>
      <c r="K144" s="521">
        <v>0</v>
      </c>
      <c r="L144" s="521">
        <v>0</v>
      </c>
      <c r="M144" s="521">
        <v>0</v>
      </c>
      <c r="N144" s="515">
        <f t="shared" si="4"/>
        <v>0</v>
      </c>
      <c r="O144" s="519">
        <f t="shared" si="5"/>
        <v>0</v>
      </c>
    </row>
    <row r="145" spans="1:15" x14ac:dyDescent="0.25">
      <c r="A145" s="515" t="s">
        <v>59</v>
      </c>
      <c r="B145" s="521" t="s">
        <v>90</v>
      </c>
      <c r="C145" s="521"/>
      <c r="D145" s="521" t="s">
        <v>453</v>
      </c>
      <c r="E145" s="521"/>
      <c r="F145" s="521" t="s">
        <v>461</v>
      </c>
      <c r="G145" s="515"/>
      <c r="H145" s="515" t="s">
        <v>292</v>
      </c>
      <c r="I145" s="521">
        <v>0</v>
      </c>
      <c r="J145" s="521">
        <v>0</v>
      </c>
      <c r="K145" s="521">
        <v>0</v>
      </c>
      <c r="L145" s="521">
        <v>0</v>
      </c>
      <c r="M145" s="521">
        <v>0</v>
      </c>
      <c r="N145" s="515">
        <f t="shared" si="4"/>
        <v>0</v>
      </c>
      <c r="O145" s="519">
        <f t="shared" si="5"/>
        <v>0</v>
      </c>
    </row>
    <row r="146" spans="1:15" hidden="1" x14ac:dyDescent="0.25">
      <c r="A146" s="515" t="s">
        <v>92</v>
      </c>
      <c r="B146" s="543" t="s">
        <v>93</v>
      </c>
      <c r="C146" s="521"/>
      <c r="D146" s="521" t="s">
        <v>399</v>
      </c>
      <c r="E146" s="521"/>
      <c r="F146" s="521" t="s">
        <v>400</v>
      </c>
      <c r="G146" s="515"/>
      <c r="H146" s="515" t="s">
        <v>292</v>
      </c>
      <c r="I146" s="521">
        <v>0</v>
      </c>
      <c r="J146" s="521">
        <v>0</v>
      </c>
      <c r="K146" s="521">
        <v>0</v>
      </c>
      <c r="L146" s="521">
        <v>0</v>
      </c>
      <c r="M146" s="521">
        <v>1259436385.0236988</v>
      </c>
      <c r="N146" s="515">
        <f t="shared" si="4"/>
        <v>0</v>
      </c>
      <c r="O146" s="519">
        <f t="shared" si="5"/>
        <v>0</v>
      </c>
    </row>
    <row r="147" spans="1:15" hidden="1" x14ac:dyDescent="0.25">
      <c r="A147" s="515" t="s">
        <v>92</v>
      </c>
      <c r="B147" s="521" t="s">
        <v>103</v>
      </c>
      <c r="C147" s="521"/>
      <c r="D147" s="521" t="s">
        <v>401</v>
      </c>
      <c r="E147" s="521"/>
      <c r="F147" s="521" t="s">
        <v>402</v>
      </c>
      <c r="G147" s="515"/>
      <c r="H147" s="515" t="s">
        <v>292</v>
      </c>
      <c r="I147" s="521">
        <v>0</v>
      </c>
      <c r="J147" s="521">
        <v>0</v>
      </c>
      <c r="K147" s="521">
        <v>0</v>
      </c>
      <c r="L147" s="521">
        <v>0</v>
      </c>
      <c r="M147" s="521">
        <v>1270221008.9855001</v>
      </c>
      <c r="N147" s="515">
        <f t="shared" si="4"/>
        <v>0</v>
      </c>
      <c r="O147" s="519">
        <f t="shared" si="5"/>
        <v>0</v>
      </c>
    </row>
    <row r="148" spans="1:15" hidden="1" x14ac:dyDescent="0.25">
      <c r="A148" s="515" t="s">
        <v>92</v>
      </c>
      <c r="B148" s="521" t="s">
        <v>118</v>
      </c>
      <c r="C148" s="521"/>
      <c r="D148" s="521" t="s">
        <v>401</v>
      </c>
      <c r="E148" s="521"/>
      <c r="F148" s="521" t="s">
        <v>403</v>
      </c>
      <c r="G148" s="515"/>
      <c r="H148" s="515" t="s">
        <v>292</v>
      </c>
      <c r="I148" s="521">
        <v>0</v>
      </c>
      <c r="J148" s="521">
        <v>0</v>
      </c>
      <c r="K148" s="521">
        <v>0</v>
      </c>
      <c r="L148" s="521">
        <v>0</v>
      </c>
      <c r="M148" s="521">
        <v>809693097.54320014</v>
      </c>
      <c r="N148" s="515">
        <f t="shared" si="4"/>
        <v>0</v>
      </c>
      <c r="O148" s="519">
        <f t="shared" si="5"/>
        <v>0</v>
      </c>
    </row>
    <row r="149" spans="1:15" hidden="1" x14ac:dyDescent="0.25">
      <c r="A149" s="515" t="s">
        <v>92</v>
      </c>
      <c r="B149" s="521" t="s">
        <v>118</v>
      </c>
      <c r="C149" s="521"/>
      <c r="D149" s="521" t="s">
        <v>401</v>
      </c>
      <c r="E149" s="521"/>
      <c r="F149" s="521" t="s">
        <v>404</v>
      </c>
      <c r="G149" s="515"/>
      <c r="H149" s="515" t="s">
        <v>292</v>
      </c>
      <c r="I149" s="521">
        <v>0</v>
      </c>
      <c r="J149" s="521">
        <v>0</v>
      </c>
      <c r="K149" s="521">
        <v>0</v>
      </c>
      <c r="L149" s="521">
        <v>0</v>
      </c>
      <c r="M149" s="521">
        <v>854540439.37340009</v>
      </c>
      <c r="N149" s="515">
        <f t="shared" si="4"/>
        <v>0</v>
      </c>
      <c r="O149" s="519">
        <f t="shared" si="5"/>
        <v>0</v>
      </c>
    </row>
    <row r="150" spans="1:15" hidden="1" x14ac:dyDescent="0.25">
      <c r="A150" s="515" t="s">
        <v>92</v>
      </c>
      <c r="B150" s="521" t="s">
        <v>102</v>
      </c>
      <c r="C150" s="521"/>
      <c r="D150" s="521" t="s">
        <v>401</v>
      </c>
      <c r="E150" s="521"/>
      <c r="F150" s="521" t="s">
        <v>405</v>
      </c>
      <c r="G150" s="515"/>
      <c r="H150" s="515" t="s">
        <v>292</v>
      </c>
      <c r="I150" s="521">
        <v>0</v>
      </c>
      <c r="J150" s="521">
        <v>0</v>
      </c>
      <c r="K150" s="521">
        <v>0</v>
      </c>
      <c r="L150" s="521">
        <v>0</v>
      </c>
      <c r="M150" s="521">
        <v>1106109946.8952</v>
      </c>
      <c r="N150" s="515">
        <f t="shared" si="4"/>
        <v>0</v>
      </c>
      <c r="O150" s="519">
        <f t="shared" si="5"/>
        <v>0</v>
      </c>
    </row>
    <row r="151" spans="1:15" hidden="1" x14ac:dyDescent="0.25">
      <c r="A151" s="515" t="s">
        <v>92</v>
      </c>
      <c r="B151" s="521" t="s">
        <v>385</v>
      </c>
      <c r="C151" s="521"/>
      <c r="D151" s="521" t="s">
        <v>401</v>
      </c>
      <c r="E151" s="521"/>
      <c r="F151" s="521" t="s">
        <v>405</v>
      </c>
      <c r="G151" s="515"/>
      <c r="H151" s="515" t="s">
        <v>292</v>
      </c>
      <c r="I151" s="521">
        <v>0</v>
      </c>
      <c r="J151" s="521">
        <v>0</v>
      </c>
      <c r="K151" s="521">
        <v>0</v>
      </c>
      <c r="L151" s="521">
        <v>0</v>
      </c>
      <c r="M151" s="521">
        <v>753558814.78799975</v>
      </c>
      <c r="N151" s="515">
        <f t="shared" si="4"/>
        <v>0</v>
      </c>
      <c r="O151" s="519">
        <f t="shared" si="5"/>
        <v>0</v>
      </c>
    </row>
    <row r="152" spans="1:15" hidden="1" x14ac:dyDescent="0.25">
      <c r="A152" s="515" t="s">
        <v>92</v>
      </c>
      <c r="B152" s="521" t="s">
        <v>105</v>
      </c>
      <c r="C152" s="521"/>
      <c r="D152" s="521" t="s">
        <v>399</v>
      </c>
      <c r="E152" s="521"/>
      <c r="F152" s="521" t="s">
        <v>406</v>
      </c>
      <c r="G152" s="515"/>
      <c r="H152" s="515" t="s">
        <v>292</v>
      </c>
      <c r="I152" s="521">
        <v>0</v>
      </c>
      <c r="J152" s="521">
        <v>0</v>
      </c>
      <c r="K152" s="521">
        <v>0</v>
      </c>
      <c r="L152" s="521">
        <v>0</v>
      </c>
      <c r="M152" s="521">
        <v>1635326902.4612002</v>
      </c>
      <c r="N152" s="515">
        <f t="shared" si="4"/>
        <v>0</v>
      </c>
      <c r="O152" s="519">
        <f t="shared" si="5"/>
        <v>0</v>
      </c>
    </row>
    <row r="153" spans="1:15" hidden="1" x14ac:dyDescent="0.25">
      <c r="A153" s="524" t="s">
        <v>92</v>
      </c>
      <c r="B153" s="544" t="s">
        <v>107</v>
      </c>
      <c r="C153" s="524" t="s">
        <v>94</v>
      </c>
      <c r="D153" s="544" t="s">
        <v>399</v>
      </c>
      <c r="E153" s="524" t="s">
        <v>106</v>
      </c>
      <c r="F153" s="544" t="s">
        <v>406</v>
      </c>
      <c r="G153" s="524" t="s">
        <v>96</v>
      </c>
      <c r="H153" s="524" t="s">
        <v>292</v>
      </c>
      <c r="I153" s="544">
        <v>0</v>
      </c>
      <c r="J153" s="544">
        <v>0</v>
      </c>
      <c r="K153" s="544">
        <v>0</v>
      </c>
      <c r="L153" s="544">
        <v>0</v>
      </c>
      <c r="M153" s="544">
        <v>473242568.68590033</v>
      </c>
      <c r="N153" s="524">
        <f t="shared" si="4"/>
        <v>0</v>
      </c>
      <c r="O153" s="545">
        <f t="shared" si="5"/>
        <v>0</v>
      </c>
    </row>
    <row r="154" spans="1:15" hidden="1" x14ac:dyDescent="0.25">
      <c r="A154" s="515" t="s">
        <v>92</v>
      </c>
      <c r="B154" s="521" t="s">
        <v>353</v>
      </c>
      <c r="C154" s="521"/>
      <c r="D154" s="521" t="s">
        <v>399</v>
      </c>
      <c r="E154" s="521"/>
      <c r="F154" s="521" t="s">
        <v>407</v>
      </c>
      <c r="G154" s="515"/>
      <c r="H154" s="515" t="s">
        <v>292</v>
      </c>
      <c r="I154" s="521">
        <v>0</v>
      </c>
      <c r="J154" s="521">
        <v>0</v>
      </c>
      <c r="K154" s="521">
        <v>0</v>
      </c>
      <c r="L154" s="521">
        <v>0</v>
      </c>
      <c r="M154" s="521">
        <v>911492076.11280048</v>
      </c>
      <c r="N154" s="515">
        <f t="shared" si="4"/>
        <v>0</v>
      </c>
      <c r="O154" s="519">
        <f t="shared" si="5"/>
        <v>0</v>
      </c>
    </row>
    <row r="155" spans="1:15" hidden="1" x14ac:dyDescent="0.25">
      <c r="A155" s="515" t="s">
        <v>122</v>
      </c>
      <c r="B155" s="543" t="s">
        <v>420</v>
      </c>
      <c r="C155" s="521"/>
      <c r="D155" s="521" t="s">
        <v>465</v>
      </c>
      <c r="E155" s="521"/>
      <c r="F155" s="521" t="s">
        <v>466</v>
      </c>
      <c r="G155" s="515"/>
      <c r="H155" s="515" t="s">
        <v>292</v>
      </c>
      <c r="I155" s="521">
        <v>0</v>
      </c>
      <c r="J155" s="521">
        <v>0</v>
      </c>
      <c r="K155" s="521">
        <v>0</v>
      </c>
      <c r="L155" s="521">
        <v>0</v>
      </c>
      <c r="M155" s="521">
        <v>16195212.219508626</v>
      </c>
      <c r="N155" s="515">
        <f t="shared" si="4"/>
        <v>0</v>
      </c>
      <c r="O155" s="519">
        <f t="shared" si="5"/>
        <v>0</v>
      </c>
    </row>
    <row r="156" spans="1:15" hidden="1" x14ac:dyDescent="0.25">
      <c r="A156" s="515" t="s">
        <v>122</v>
      </c>
      <c r="B156" s="543" t="s">
        <v>420</v>
      </c>
      <c r="C156" s="521"/>
      <c r="D156" s="521" t="s">
        <v>465</v>
      </c>
      <c r="E156" s="521"/>
      <c r="F156" s="521" t="s">
        <v>467</v>
      </c>
      <c r="G156" s="515"/>
      <c r="H156" s="515" t="s">
        <v>292</v>
      </c>
      <c r="I156" s="521">
        <v>0</v>
      </c>
      <c r="J156" s="521">
        <v>0</v>
      </c>
      <c r="K156" s="521">
        <v>0</v>
      </c>
      <c r="L156" s="521">
        <v>0</v>
      </c>
      <c r="M156" s="521">
        <v>13664666.418945458</v>
      </c>
      <c r="N156" s="515">
        <f t="shared" si="4"/>
        <v>0</v>
      </c>
      <c r="O156" s="519">
        <f t="shared" si="5"/>
        <v>0</v>
      </c>
    </row>
    <row r="157" spans="1:15" hidden="1" x14ac:dyDescent="0.25">
      <c r="A157" s="515" t="s">
        <v>122</v>
      </c>
      <c r="B157" s="543" t="s">
        <v>383</v>
      </c>
      <c r="C157" s="521"/>
      <c r="D157" s="521" t="s">
        <v>465</v>
      </c>
      <c r="E157" s="521"/>
      <c r="F157" s="521" t="s">
        <v>468</v>
      </c>
      <c r="G157" s="515"/>
      <c r="H157" s="515" t="s">
        <v>292</v>
      </c>
      <c r="I157" s="521">
        <v>0</v>
      </c>
      <c r="J157" s="521">
        <v>0</v>
      </c>
      <c r="K157" s="521">
        <v>0</v>
      </c>
      <c r="L157" s="521">
        <v>0</v>
      </c>
      <c r="M157" s="521">
        <v>174616680.01398039</v>
      </c>
      <c r="N157" s="515">
        <f t="shared" si="4"/>
        <v>0</v>
      </c>
      <c r="O157" s="519">
        <f t="shared" si="5"/>
        <v>0</v>
      </c>
    </row>
    <row r="158" spans="1:15" hidden="1" x14ac:dyDescent="0.25">
      <c r="A158" s="515" t="s">
        <v>122</v>
      </c>
      <c r="B158" s="543" t="s">
        <v>383</v>
      </c>
      <c r="C158" s="521"/>
      <c r="D158" s="521" t="s">
        <v>465</v>
      </c>
      <c r="E158" s="521"/>
      <c r="F158" s="521" t="s">
        <v>466</v>
      </c>
      <c r="G158" s="515"/>
      <c r="H158" s="515" t="s">
        <v>292</v>
      </c>
      <c r="I158" s="521">
        <v>0</v>
      </c>
      <c r="J158" s="521">
        <v>0</v>
      </c>
      <c r="K158" s="521">
        <v>0</v>
      </c>
      <c r="L158" s="521">
        <v>0</v>
      </c>
      <c r="M158" s="521">
        <v>144155161.36722988</v>
      </c>
      <c r="N158" s="515">
        <f t="shared" si="4"/>
        <v>0</v>
      </c>
      <c r="O158" s="519">
        <f t="shared" si="5"/>
        <v>0</v>
      </c>
    </row>
    <row r="159" spans="1:15" hidden="1" x14ac:dyDescent="0.25">
      <c r="A159" s="515" t="s">
        <v>122</v>
      </c>
      <c r="B159" s="543" t="s">
        <v>383</v>
      </c>
      <c r="C159" s="521"/>
      <c r="D159" s="521" t="s">
        <v>465</v>
      </c>
      <c r="E159" s="521"/>
      <c r="F159" s="521" t="s">
        <v>467</v>
      </c>
      <c r="G159" s="515"/>
      <c r="H159" s="515" t="s">
        <v>292</v>
      </c>
      <c r="I159" s="521">
        <v>0</v>
      </c>
      <c r="J159" s="521">
        <v>0</v>
      </c>
      <c r="K159" s="521">
        <v>0</v>
      </c>
      <c r="L159" s="521">
        <v>0</v>
      </c>
      <c r="M159" s="521">
        <v>214707919.45257866</v>
      </c>
      <c r="N159" s="515">
        <f t="shared" si="4"/>
        <v>0</v>
      </c>
      <c r="O159" s="519">
        <f t="shared" si="5"/>
        <v>0</v>
      </c>
    </row>
    <row r="160" spans="1:15" ht="30" hidden="1" x14ac:dyDescent="0.25">
      <c r="A160" s="515" t="s">
        <v>122</v>
      </c>
      <c r="B160" s="543" t="s">
        <v>344</v>
      </c>
      <c r="C160" s="521"/>
      <c r="D160" s="521" t="s">
        <v>465</v>
      </c>
      <c r="E160" s="521"/>
      <c r="F160" s="521" t="s">
        <v>468</v>
      </c>
      <c r="G160" s="515"/>
      <c r="H160" s="515" t="s">
        <v>292</v>
      </c>
      <c r="I160" s="521">
        <v>0</v>
      </c>
      <c r="J160" s="521">
        <v>0</v>
      </c>
      <c r="K160" s="521">
        <v>0</v>
      </c>
      <c r="L160" s="521">
        <v>0</v>
      </c>
      <c r="M160" s="521">
        <v>256886599.36924022</v>
      </c>
      <c r="N160" s="515">
        <f t="shared" si="4"/>
        <v>0</v>
      </c>
      <c r="O160" s="519">
        <f t="shared" si="5"/>
        <v>0</v>
      </c>
    </row>
    <row r="161" spans="1:15" ht="30" hidden="1" x14ac:dyDescent="0.25">
      <c r="A161" s="515" t="s">
        <v>122</v>
      </c>
      <c r="B161" s="543" t="s">
        <v>344</v>
      </c>
      <c r="C161" s="521"/>
      <c r="D161" s="521" t="s">
        <v>465</v>
      </c>
      <c r="E161" s="521"/>
      <c r="F161" s="521" t="s">
        <v>466</v>
      </c>
      <c r="G161" s="515"/>
      <c r="H161" s="515" t="s">
        <v>292</v>
      </c>
      <c r="I161" s="521">
        <v>0</v>
      </c>
      <c r="J161" s="521">
        <v>0</v>
      </c>
      <c r="K161" s="521">
        <v>0</v>
      </c>
      <c r="L161" s="521">
        <v>0</v>
      </c>
      <c r="M161" s="521">
        <v>364637232.31962079</v>
      </c>
      <c r="N161" s="515">
        <f t="shared" si="4"/>
        <v>0</v>
      </c>
      <c r="O161" s="519">
        <f t="shared" si="5"/>
        <v>0</v>
      </c>
    </row>
    <row r="162" spans="1:15" ht="30" hidden="1" x14ac:dyDescent="0.25">
      <c r="A162" s="515" t="s">
        <v>122</v>
      </c>
      <c r="B162" s="543" t="s">
        <v>344</v>
      </c>
      <c r="C162" s="521"/>
      <c r="D162" s="521" t="s">
        <v>465</v>
      </c>
      <c r="E162" s="521"/>
      <c r="F162" s="521" t="s">
        <v>467</v>
      </c>
      <c r="G162" s="515"/>
      <c r="H162" s="515" t="s">
        <v>292</v>
      </c>
      <c r="I162" s="521">
        <v>0</v>
      </c>
      <c r="J162" s="521">
        <v>0</v>
      </c>
      <c r="K162" s="521">
        <v>0</v>
      </c>
      <c r="L162" s="521">
        <v>0</v>
      </c>
      <c r="M162" s="521">
        <v>439291285.33328962</v>
      </c>
      <c r="N162" s="515">
        <f t="shared" si="4"/>
        <v>0</v>
      </c>
      <c r="O162" s="519">
        <f t="shared" si="5"/>
        <v>0</v>
      </c>
    </row>
    <row r="163" spans="1:15" hidden="1" x14ac:dyDescent="0.25">
      <c r="A163" s="515" t="s">
        <v>122</v>
      </c>
      <c r="B163" s="543" t="s">
        <v>135</v>
      </c>
      <c r="C163" s="521"/>
      <c r="D163" s="521" t="s">
        <v>465</v>
      </c>
      <c r="E163" s="521"/>
      <c r="F163" s="521" t="s">
        <v>468</v>
      </c>
      <c r="G163" s="515"/>
      <c r="H163" s="515" t="s">
        <v>292</v>
      </c>
      <c r="I163" s="521">
        <v>0</v>
      </c>
      <c r="J163" s="521">
        <v>0</v>
      </c>
      <c r="K163" s="521">
        <v>0</v>
      </c>
      <c r="L163" s="521">
        <v>0</v>
      </c>
      <c r="M163" s="521">
        <v>376762477.31162196</v>
      </c>
      <c r="N163" s="515">
        <f t="shared" si="4"/>
        <v>0</v>
      </c>
      <c r="O163" s="519">
        <f t="shared" si="5"/>
        <v>0</v>
      </c>
    </row>
    <row r="164" spans="1:15" hidden="1" x14ac:dyDescent="0.25">
      <c r="A164" s="515" t="s">
        <v>122</v>
      </c>
      <c r="B164" s="543" t="s">
        <v>135</v>
      </c>
      <c r="C164" s="521"/>
      <c r="D164" s="521" t="s">
        <v>465</v>
      </c>
      <c r="E164" s="521"/>
      <c r="F164" s="521" t="s">
        <v>466</v>
      </c>
      <c r="G164" s="515"/>
      <c r="H164" s="515" t="s">
        <v>292</v>
      </c>
      <c r="I164" s="521">
        <v>0</v>
      </c>
      <c r="J164" s="521">
        <v>0</v>
      </c>
      <c r="K164" s="521">
        <v>0</v>
      </c>
      <c r="L164" s="521">
        <v>0</v>
      </c>
      <c r="M164" s="521">
        <v>162136070.93284538</v>
      </c>
      <c r="N164" s="515">
        <f t="shared" si="4"/>
        <v>0</v>
      </c>
      <c r="O164" s="519">
        <f t="shared" si="5"/>
        <v>0</v>
      </c>
    </row>
    <row r="165" spans="1:15" hidden="1" x14ac:dyDescent="0.25">
      <c r="A165" s="515" t="s">
        <v>122</v>
      </c>
      <c r="B165" s="543" t="s">
        <v>135</v>
      </c>
      <c r="C165" s="521"/>
      <c r="D165" s="521" t="s">
        <v>465</v>
      </c>
      <c r="E165" s="521"/>
      <c r="F165" s="521" t="s">
        <v>467</v>
      </c>
      <c r="G165" s="515"/>
      <c r="H165" s="515" t="s">
        <v>292</v>
      </c>
      <c r="I165" s="521">
        <v>0</v>
      </c>
      <c r="J165" s="521">
        <v>0</v>
      </c>
      <c r="K165" s="521">
        <v>0</v>
      </c>
      <c r="L165" s="521">
        <v>0</v>
      </c>
      <c r="M165" s="521">
        <v>109997293.42112722</v>
      </c>
      <c r="N165" s="515">
        <f t="shared" si="4"/>
        <v>0</v>
      </c>
      <c r="O165" s="519">
        <f t="shared" si="5"/>
        <v>0</v>
      </c>
    </row>
    <row r="166" spans="1:15" hidden="1" x14ac:dyDescent="0.25">
      <c r="A166" s="515" t="s">
        <v>122</v>
      </c>
      <c r="B166" s="543" t="s">
        <v>127</v>
      </c>
      <c r="C166" s="521"/>
      <c r="D166" s="521" t="s">
        <v>465</v>
      </c>
      <c r="E166" s="521"/>
      <c r="F166" s="521" t="s">
        <v>468</v>
      </c>
      <c r="G166" s="515"/>
      <c r="H166" s="515" t="s">
        <v>292</v>
      </c>
      <c r="I166" s="521">
        <v>0</v>
      </c>
      <c r="J166" s="521">
        <v>0</v>
      </c>
      <c r="K166" s="521">
        <v>0</v>
      </c>
      <c r="L166" s="521">
        <v>0</v>
      </c>
      <c r="M166" s="521">
        <v>399355093.71045363</v>
      </c>
      <c r="N166" s="515">
        <f t="shared" si="4"/>
        <v>0</v>
      </c>
      <c r="O166" s="519">
        <f t="shared" si="5"/>
        <v>0</v>
      </c>
    </row>
    <row r="167" spans="1:15" hidden="1" x14ac:dyDescent="0.25">
      <c r="A167" s="515" t="s">
        <v>122</v>
      </c>
      <c r="B167" s="543" t="s">
        <v>127</v>
      </c>
      <c r="C167" s="521"/>
      <c r="D167" s="521" t="s">
        <v>465</v>
      </c>
      <c r="E167" s="521"/>
      <c r="F167" s="521" t="s">
        <v>466</v>
      </c>
      <c r="G167" s="515"/>
      <c r="H167" s="515" t="s">
        <v>292</v>
      </c>
      <c r="I167" s="521">
        <v>0</v>
      </c>
      <c r="J167" s="521">
        <v>0</v>
      </c>
      <c r="K167" s="521">
        <v>0</v>
      </c>
      <c r="L167" s="521">
        <v>0</v>
      </c>
      <c r="M167" s="521">
        <v>457684038.42423284</v>
      </c>
      <c r="N167" s="515">
        <f t="shared" si="4"/>
        <v>0</v>
      </c>
      <c r="O167" s="519">
        <f t="shared" si="5"/>
        <v>0</v>
      </c>
    </row>
    <row r="168" spans="1:15" hidden="1" x14ac:dyDescent="0.25">
      <c r="A168" s="515" t="s">
        <v>122</v>
      </c>
      <c r="B168" s="543" t="s">
        <v>127</v>
      </c>
      <c r="C168" s="521"/>
      <c r="D168" s="521" t="s">
        <v>465</v>
      </c>
      <c r="E168" s="521"/>
      <c r="F168" s="521" t="s">
        <v>467</v>
      </c>
      <c r="G168" s="515"/>
      <c r="H168" s="515" t="s">
        <v>292</v>
      </c>
      <c r="I168" s="521">
        <v>0</v>
      </c>
      <c r="J168" s="521">
        <v>0</v>
      </c>
      <c r="K168" s="521">
        <v>0</v>
      </c>
      <c r="L168" s="521">
        <v>0</v>
      </c>
      <c r="M168" s="521">
        <v>317998083.97826719</v>
      </c>
      <c r="N168" s="515">
        <f t="shared" si="4"/>
        <v>0</v>
      </c>
      <c r="O168" s="519">
        <f t="shared" si="5"/>
        <v>0</v>
      </c>
    </row>
    <row r="169" spans="1:15" hidden="1" x14ac:dyDescent="0.25">
      <c r="A169" s="515" t="s">
        <v>122</v>
      </c>
      <c r="B169" s="543" t="s">
        <v>123</v>
      </c>
      <c r="C169" s="521"/>
      <c r="D169" s="521" t="s">
        <v>465</v>
      </c>
      <c r="E169" s="521"/>
      <c r="F169" s="521" t="s">
        <v>468</v>
      </c>
      <c r="G169" s="515"/>
      <c r="H169" s="515" t="s">
        <v>292</v>
      </c>
      <c r="I169" s="521">
        <v>0</v>
      </c>
      <c r="J169" s="521">
        <v>0</v>
      </c>
      <c r="K169" s="521">
        <v>0</v>
      </c>
      <c r="L169" s="521">
        <v>0</v>
      </c>
      <c r="M169" s="521">
        <v>270622904.49078172</v>
      </c>
      <c r="N169" s="515">
        <f t="shared" si="4"/>
        <v>0</v>
      </c>
      <c r="O169" s="519">
        <f t="shared" si="5"/>
        <v>0</v>
      </c>
    </row>
    <row r="170" spans="1:15" hidden="1" x14ac:dyDescent="0.25">
      <c r="A170" s="515" t="s">
        <v>122</v>
      </c>
      <c r="B170" s="543" t="s">
        <v>123</v>
      </c>
      <c r="C170" s="521"/>
      <c r="D170" s="521" t="s">
        <v>465</v>
      </c>
      <c r="E170" s="521"/>
      <c r="F170" s="521" t="s">
        <v>466</v>
      </c>
      <c r="G170" s="515"/>
      <c r="H170" s="515" t="s">
        <v>292</v>
      </c>
      <c r="I170" s="521">
        <v>0</v>
      </c>
      <c r="J170" s="521">
        <v>0</v>
      </c>
      <c r="K170" s="521">
        <v>0</v>
      </c>
      <c r="L170" s="521">
        <v>0</v>
      </c>
      <c r="M170" s="521">
        <v>239646523.62898597</v>
      </c>
      <c r="N170" s="515">
        <f t="shared" si="4"/>
        <v>0</v>
      </c>
      <c r="O170" s="519">
        <f t="shared" si="5"/>
        <v>0</v>
      </c>
    </row>
    <row r="171" spans="1:15" hidden="1" x14ac:dyDescent="0.25">
      <c r="A171" s="515" t="s">
        <v>122</v>
      </c>
      <c r="B171" s="543" t="s">
        <v>123</v>
      </c>
      <c r="C171" s="521"/>
      <c r="D171" s="521" t="s">
        <v>465</v>
      </c>
      <c r="E171" s="521"/>
      <c r="F171" s="521" t="s">
        <v>467</v>
      </c>
      <c r="G171" s="515"/>
      <c r="H171" s="515" t="s">
        <v>292</v>
      </c>
      <c r="I171" s="521">
        <v>0</v>
      </c>
      <c r="J171" s="521">
        <v>0</v>
      </c>
      <c r="K171" s="521">
        <v>0</v>
      </c>
      <c r="L171" s="521">
        <v>0</v>
      </c>
      <c r="M171" s="521">
        <v>372755289.98508257</v>
      </c>
      <c r="N171" s="515">
        <f t="shared" si="4"/>
        <v>0</v>
      </c>
      <c r="O171" s="519">
        <f t="shared" si="5"/>
        <v>0</v>
      </c>
    </row>
    <row r="172" spans="1:15" hidden="1" x14ac:dyDescent="0.25">
      <c r="A172" s="515" t="s">
        <v>122</v>
      </c>
      <c r="B172" s="543" t="s">
        <v>133</v>
      </c>
      <c r="C172" s="521"/>
      <c r="D172" s="521" t="s">
        <v>465</v>
      </c>
      <c r="E172" s="521"/>
      <c r="F172" s="521" t="s">
        <v>468</v>
      </c>
      <c r="G172" s="515"/>
      <c r="H172" s="515" t="s">
        <v>292</v>
      </c>
      <c r="I172" s="521">
        <v>0</v>
      </c>
      <c r="J172" s="521">
        <v>0</v>
      </c>
      <c r="K172" s="521">
        <v>0</v>
      </c>
      <c r="L172" s="521">
        <v>0</v>
      </c>
      <c r="M172" s="521">
        <v>92070658.783025026</v>
      </c>
      <c r="N172" s="515">
        <f t="shared" si="4"/>
        <v>0</v>
      </c>
      <c r="O172" s="519">
        <f t="shared" si="5"/>
        <v>0</v>
      </c>
    </row>
    <row r="173" spans="1:15" hidden="1" x14ac:dyDescent="0.25">
      <c r="A173" s="515" t="s">
        <v>122</v>
      </c>
      <c r="B173" s="543" t="s">
        <v>133</v>
      </c>
      <c r="C173" s="521"/>
      <c r="D173" s="521" t="s">
        <v>465</v>
      </c>
      <c r="E173" s="521"/>
      <c r="F173" s="521" t="s">
        <v>466</v>
      </c>
      <c r="G173" s="515"/>
      <c r="H173" s="515" t="s">
        <v>292</v>
      </c>
      <c r="I173" s="521">
        <v>0</v>
      </c>
      <c r="J173" s="521">
        <v>0</v>
      </c>
      <c r="K173" s="521">
        <v>0</v>
      </c>
      <c r="L173" s="521">
        <v>0</v>
      </c>
      <c r="M173" s="521">
        <v>79420634.167939931</v>
      </c>
      <c r="N173" s="515">
        <f t="shared" si="4"/>
        <v>0</v>
      </c>
      <c r="O173" s="519">
        <f t="shared" si="5"/>
        <v>0</v>
      </c>
    </row>
    <row r="174" spans="1:15" hidden="1" x14ac:dyDescent="0.25">
      <c r="A174" s="515" t="s">
        <v>122</v>
      </c>
      <c r="B174" s="543" t="s">
        <v>133</v>
      </c>
      <c r="C174" s="521"/>
      <c r="D174" s="521" t="s">
        <v>465</v>
      </c>
      <c r="E174" s="521"/>
      <c r="F174" s="521" t="s">
        <v>467</v>
      </c>
      <c r="G174" s="515"/>
      <c r="H174" s="515" t="s">
        <v>292</v>
      </c>
      <c r="I174" s="521">
        <v>0</v>
      </c>
      <c r="J174" s="521">
        <v>0</v>
      </c>
      <c r="K174" s="521">
        <v>0</v>
      </c>
      <c r="L174" s="521">
        <v>0</v>
      </c>
      <c r="M174" s="521">
        <v>75843903.12156269</v>
      </c>
      <c r="N174" s="515">
        <f t="shared" si="4"/>
        <v>0</v>
      </c>
      <c r="O174" s="519">
        <f t="shared" si="5"/>
        <v>0</v>
      </c>
    </row>
    <row r="175" spans="1:15" hidden="1" x14ac:dyDescent="0.25">
      <c r="A175" s="515" t="s">
        <v>122</v>
      </c>
      <c r="B175" s="543" t="s">
        <v>139</v>
      </c>
      <c r="C175" s="521"/>
      <c r="D175" s="521" t="s">
        <v>465</v>
      </c>
      <c r="E175" s="521"/>
      <c r="F175" s="521" t="s">
        <v>466</v>
      </c>
      <c r="G175" s="515"/>
      <c r="H175" s="515" t="s">
        <v>292</v>
      </c>
      <c r="I175" s="521">
        <v>0</v>
      </c>
      <c r="J175" s="521">
        <v>0</v>
      </c>
      <c r="K175" s="521">
        <v>0</v>
      </c>
      <c r="L175" s="521">
        <v>0</v>
      </c>
      <c r="M175" s="521">
        <v>1647175.0264981817</v>
      </c>
      <c r="N175" s="515">
        <f t="shared" si="4"/>
        <v>0</v>
      </c>
      <c r="O175" s="519">
        <f t="shared" si="5"/>
        <v>0</v>
      </c>
    </row>
    <row r="176" spans="1:15" hidden="1" x14ac:dyDescent="0.25">
      <c r="A176" s="515" t="s">
        <v>122</v>
      </c>
      <c r="B176" s="543" t="s">
        <v>138</v>
      </c>
      <c r="C176" s="521"/>
      <c r="D176" s="521" t="s">
        <v>465</v>
      </c>
      <c r="E176" s="521"/>
      <c r="F176" s="521" t="s">
        <v>466</v>
      </c>
      <c r="G176" s="515"/>
      <c r="H176" s="515" t="s">
        <v>292</v>
      </c>
      <c r="I176" s="521">
        <v>0</v>
      </c>
      <c r="J176" s="521">
        <v>0</v>
      </c>
      <c r="K176" s="521">
        <v>0</v>
      </c>
      <c r="L176" s="521">
        <v>0</v>
      </c>
      <c r="M176" s="521">
        <v>58048939.991533652</v>
      </c>
      <c r="N176" s="515">
        <f t="shared" si="4"/>
        <v>0</v>
      </c>
      <c r="O176" s="519">
        <f t="shared" si="5"/>
        <v>0</v>
      </c>
    </row>
    <row r="177" spans="1:15" hidden="1" x14ac:dyDescent="0.25">
      <c r="A177" s="515" t="s">
        <v>122</v>
      </c>
      <c r="B177" s="543" t="s">
        <v>138</v>
      </c>
      <c r="C177" s="521"/>
      <c r="D177" s="521" t="s">
        <v>465</v>
      </c>
      <c r="E177" s="521"/>
      <c r="F177" s="521" t="s">
        <v>467</v>
      </c>
      <c r="G177" s="515"/>
      <c r="H177" s="515" t="s">
        <v>292</v>
      </c>
      <c r="I177" s="521">
        <v>0</v>
      </c>
      <c r="J177" s="521">
        <v>0</v>
      </c>
      <c r="K177" s="521">
        <v>0</v>
      </c>
      <c r="L177" s="521">
        <v>0</v>
      </c>
      <c r="M177" s="521">
        <v>20859020.983254999</v>
      </c>
      <c r="N177" s="515">
        <f t="shared" si="4"/>
        <v>0</v>
      </c>
      <c r="O177" s="519">
        <f t="shared" si="5"/>
        <v>0</v>
      </c>
    </row>
    <row r="178" spans="1:15" hidden="1" x14ac:dyDescent="0.25">
      <c r="A178" s="515" t="s">
        <v>122</v>
      </c>
      <c r="B178" s="543" t="s">
        <v>383</v>
      </c>
      <c r="C178" s="521"/>
      <c r="D178" s="521" t="s">
        <v>465</v>
      </c>
      <c r="E178" s="521"/>
      <c r="F178" s="521" t="s">
        <v>473</v>
      </c>
      <c r="G178" s="515"/>
      <c r="H178" s="515" t="s">
        <v>292</v>
      </c>
      <c r="I178" s="521">
        <v>0</v>
      </c>
      <c r="J178" s="521">
        <v>0</v>
      </c>
      <c r="K178" s="521">
        <v>0</v>
      </c>
      <c r="L178" s="521">
        <v>0</v>
      </c>
      <c r="M178" s="521">
        <v>116547393.0289679</v>
      </c>
      <c r="N178" s="515">
        <f t="shared" si="4"/>
        <v>0</v>
      </c>
      <c r="O178" s="519">
        <f t="shared" si="5"/>
        <v>0</v>
      </c>
    </row>
    <row r="179" spans="1:15" ht="30" hidden="1" x14ac:dyDescent="0.25">
      <c r="A179" s="515" t="s">
        <v>122</v>
      </c>
      <c r="B179" s="543" t="s">
        <v>344</v>
      </c>
      <c r="C179" s="521"/>
      <c r="D179" s="521" t="s">
        <v>465</v>
      </c>
      <c r="E179" s="521"/>
      <c r="F179" s="521" t="s">
        <v>473</v>
      </c>
      <c r="G179" s="515"/>
      <c r="H179" s="515" t="s">
        <v>292</v>
      </c>
      <c r="I179" s="521">
        <v>0</v>
      </c>
      <c r="J179" s="521">
        <v>0</v>
      </c>
      <c r="K179" s="521">
        <v>0</v>
      </c>
      <c r="L179" s="521">
        <v>0</v>
      </c>
      <c r="M179" s="521">
        <v>231806702.65685073</v>
      </c>
      <c r="N179" s="515">
        <f t="shared" si="4"/>
        <v>0</v>
      </c>
      <c r="O179" s="519">
        <f t="shared" si="5"/>
        <v>0</v>
      </c>
    </row>
    <row r="180" spans="1:15" hidden="1" x14ac:dyDescent="0.25">
      <c r="A180" s="515" t="s">
        <v>122</v>
      </c>
      <c r="B180" s="543" t="s">
        <v>135</v>
      </c>
      <c r="C180" s="521"/>
      <c r="D180" s="521" t="s">
        <v>465</v>
      </c>
      <c r="E180" s="521"/>
      <c r="F180" s="521" t="s">
        <v>473</v>
      </c>
      <c r="G180" s="515"/>
      <c r="H180" s="515" t="s">
        <v>292</v>
      </c>
      <c r="I180" s="521">
        <v>0</v>
      </c>
      <c r="J180" s="521">
        <v>0</v>
      </c>
      <c r="K180" s="521">
        <v>0</v>
      </c>
      <c r="L180" s="521">
        <v>0</v>
      </c>
      <c r="M180" s="521">
        <v>13861067.77554908</v>
      </c>
      <c r="N180" s="515">
        <f t="shared" si="4"/>
        <v>0</v>
      </c>
      <c r="O180" s="519">
        <f t="shared" si="5"/>
        <v>0</v>
      </c>
    </row>
    <row r="181" spans="1:15" hidden="1" x14ac:dyDescent="0.25">
      <c r="A181" s="515" t="s">
        <v>122</v>
      </c>
      <c r="B181" s="543" t="s">
        <v>127</v>
      </c>
      <c r="C181" s="521"/>
      <c r="D181" s="521" t="s">
        <v>465</v>
      </c>
      <c r="E181" s="521"/>
      <c r="F181" s="521" t="s">
        <v>473</v>
      </c>
      <c r="G181" s="515"/>
      <c r="H181" s="515" t="s">
        <v>292</v>
      </c>
      <c r="I181" s="521">
        <v>0</v>
      </c>
      <c r="J181" s="521">
        <v>0</v>
      </c>
      <c r="K181" s="521">
        <v>0</v>
      </c>
      <c r="L181" s="521">
        <v>0</v>
      </c>
      <c r="M181" s="521">
        <v>217785764.00050426</v>
      </c>
      <c r="N181" s="515">
        <f t="shared" si="4"/>
        <v>0</v>
      </c>
      <c r="O181" s="519">
        <f t="shared" si="5"/>
        <v>0</v>
      </c>
    </row>
    <row r="182" spans="1:15" hidden="1" x14ac:dyDescent="0.25">
      <c r="A182" s="515" t="s">
        <v>122</v>
      </c>
      <c r="B182" s="543" t="s">
        <v>123</v>
      </c>
      <c r="C182" s="521"/>
      <c r="D182" s="521" t="s">
        <v>465</v>
      </c>
      <c r="E182" s="521"/>
      <c r="F182" s="521" t="s">
        <v>473</v>
      </c>
      <c r="G182" s="515"/>
      <c r="H182" s="515" t="s">
        <v>292</v>
      </c>
      <c r="I182" s="521">
        <v>0</v>
      </c>
      <c r="J182" s="521">
        <v>0</v>
      </c>
      <c r="K182" s="521">
        <v>0</v>
      </c>
      <c r="L182" s="521">
        <v>0</v>
      </c>
      <c r="M182" s="521">
        <v>76132782.152658641</v>
      </c>
      <c r="N182" s="515">
        <f t="shared" si="4"/>
        <v>0</v>
      </c>
      <c r="O182" s="519">
        <f t="shared" si="5"/>
        <v>0</v>
      </c>
    </row>
    <row r="183" spans="1:15" hidden="1" x14ac:dyDescent="0.25">
      <c r="A183" s="515" t="s">
        <v>122</v>
      </c>
      <c r="B183" s="543" t="s">
        <v>133</v>
      </c>
      <c r="C183" s="521"/>
      <c r="D183" s="521" t="s">
        <v>465</v>
      </c>
      <c r="E183" s="521"/>
      <c r="F183" s="521" t="s">
        <v>473</v>
      </c>
      <c r="G183" s="515"/>
      <c r="H183" s="515" t="s">
        <v>292</v>
      </c>
      <c r="I183" s="521">
        <v>0</v>
      </c>
      <c r="J183" s="521">
        <v>0</v>
      </c>
      <c r="K183" s="521">
        <v>0</v>
      </c>
      <c r="L183" s="521">
        <v>0</v>
      </c>
      <c r="M183" s="521">
        <v>132744789.49687061</v>
      </c>
      <c r="N183" s="515">
        <f t="shared" si="4"/>
        <v>0</v>
      </c>
      <c r="O183" s="519">
        <f t="shared" si="5"/>
        <v>0</v>
      </c>
    </row>
    <row r="184" spans="1:15" hidden="1" x14ac:dyDescent="0.25">
      <c r="A184" s="515" t="s">
        <v>122</v>
      </c>
      <c r="B184" s="543" t="s">
        <v>383</v>
      </c>
      <c r="C184" s="521"/>
      <c r="D184" s="521" t="s">
        <v>465</v>
      </c>
      <c r="E184" s="521"/>
      <c r="F184" s="521" t="s">
        <v>473</v>
      </c>
      <c r="G184" s="515"/>
      <c r="H184" s="515" t="s">
        <v>292</v>
      </c>
      <c r="I184" s="521">
        <v>0</v>
      </c>
      <c r="J184" s="521">
        <v>0</v>
      </c>
      <c r="K184" s="521">
        <v>0</v>
      </c>
      <c r="L184" s="521">
        <v>0</v>
      </c>
      <c r="M184" s="521">
        <v>461572470.0557043</v>
      </c>
      <c r="N184" s="515">
        <f t="shared" si="4"/>
        <v>0</v>
      </c>
      <c r="O184" s="519">
        <f t="shared" si="5"/>
        <v>0</v>
      </c>
    </row>
    <row r="185" spans="1:15" ht="30" hidden="1" x14ac:dyDescent="0.25">
      <c r="A185" s="515" t="s">
        <v>122</v>
      </c>
      <c r="B185" s="543" t="s">
        <v>344</v>
      </c>
      <c r="C185" s="521"/>
      <c r="D185" s="521" t="s">
        <v>465</v>
      </c>
      <c r="E185" s="521"/>
      <c r="F185" s="521" t="s">
        <v>473</v>
      </c>
      <c r="G185" s="515"/>
      <c r="H185" s="515" t="s">
        <v>292</v>
      </c>
      <c r="I185" s="521">
        <v>0</v>
      </c>
      <c r="J185" s="521">
        <v>0</v>
      </c>
      <c r="K185" s="521">
        <v>0</v>
      </c>
      <c r="L185" s="521">
        <v>0</v>
      </c>
      <c r="M185" s="521">
        <v>368676205.98230016</v>
      </c>
      <c r="N185" s="515">
        <f t="shared" si="4"/>
        <v>0</v>
      </c>
      <c r="O185" s="519">
        <f t="shared" si="5"/>
        <v>0</v>
      </c>
    </row>
    <row r="186" spans="1:15" hidden="1" x14ac:dyDescent="0.25">
      <c r="A186" s="515" t="s">
        <v>122</v>
      </c>
      <c r="B186" s="543" t="s">
        <v>127</v>
      </c>
      <c r="C186" s="521"/>
      <c r="D186" s="521" t="s">
        <v>465</v>
      </c>
      <c r="E186" s="521"/>
      <c r="F186" s="521" t="s">
        <v>473</v>
      </c>
      <c r="G186" s="515"/>
      <c r="H186" s="515" t="s">
        <v>292</v>
      </c>
      <c r="I186" s="521">
        <v>0</v>
      </c>
      <c r="J186" s="521">
        <v>0</v>
      </c>
      <c r="K186" s="521">
        <v>0</v>
      </c>
      <c r="L186" s="521">
        <v>0</v>
      </c>
      <c r="M186" s="521">
        <v>256180909.35876647</v>
      </c>
      <c r="N186" s="515">
        <f t="shared" si="4"/>
        <v>0</v>
      </c>
      <c r="O186" s="519">
        <f t="shared" si="5"/>
        <v>0</v>
      </c>
    </row>
    <row r="187" spans="1:15" hidden="1" x14ac:dyDescent="0.25">
      <c r="A187" s="515" t="s">
        <v>122</v>
      </c>
      <c r="B187" s="543" t="s">
        <v>133</v>
      </c>
      <c r="C187" s="521"/>
      <c r="D187" s="521" t="s">
        <v>465</v>
      </c>
      <c r="E187" s="521"/>
      <c r="F187" s="521" t="s">
        <v>473</v>
      </c>
      <c r="G187" s="515"/>
      <c r="H187" s="515" t="s">
        <v>292</v>
      </c>
      <c r="I187" s="521">
        <v>0</v>
      </c>
      <c r="J187" s="521">
        <v>0</v>
      </c>
      <c r="K187" s="521">
        <v>0</v>
      </c>
      <c r="L187" s="521">
        <v>0</v>
      </c>
      <c r="M187" s="521">
        <v>68437168.244202793</v>
      </c>
      <c r="N187" s="515">
        <f t="shared" si="4"/>
        <v>0</v>
      </c>
      <c r="O187" s="519">
        <f t="shared" si="5"/>
        <v>0</v>
      </c>
    </row>
    <row r="188" spans="1:15" x14ac:dyDescent="0.25">
      <c r="A188" s="515" t="s">
        <v>122</v>
      </c>
      <c r="B188" s="543" t="s">
        <v>420</v>
      </c>
      <c r="C188" s="521"/>
      <c r="D188" s="521" t="s">
        <v>465</v>
      </c>
      <c r="E188" s="521"/>
      <c r="F188" s="521" t="s">
        <v>473</v>
      </c>
      <c r="G188" s="515"/>
      <c r="H188" s="515" t="s">
        <v>292</v>
      </c>
      <c r="I188" s="521">
        <v>0</v>
      </c>
      <c r="J188" s="521">
        <v>0</v>
      </c>
      <c r="K188" s="521">
        <v>0</v>
      </c>
      <c r="L188" s="521">
        <v>0</v>
      </c>
      <c r="M188" s="521">
        <v>0</v>
      </c>
      <c r="N188" s="515">
        <f t="shared" si="4"/>
        <v>0</v>
      </c>
      <c r="O188" s="519">
        <f t="shared" si="5"/>
        <v>0</v>
      </c>
    </row>
    <row r="189" spans="1:15" hidden="1" x14ac:dyDescent="0.25">
      <c r="A189" s="515" t="s">
        <v>122</v>
      </c>
      <c r="B189" s="543" t="s">
        <v>420</v>
      </c>
      <c r="C189" s="521"/>
      <c r="D189" s="521" t="s">
        <v>465</v>
      </c>
      <c r="E189" s="521"/>
      <c r="F189" s="521" t="s">
        <v>473</v>
      </c>
      <c r="G189" s="515"/>
      <c r="H189" s="515" t="s">
        <v>292</v>
      </c>
      <c r="I189" s="521">
        <v>0</v>
      </c>
      <c r="J189" s="521">
        <v>0</v>
      </c>
      <c r="K189" s="521">
        <v>0</v>
      </c>
      <c r="L189" s="521">
        <v>0</v>
      </c>
      <c r="M189" s="521">
        <v>13861067.775549101</v>
      </c>
      <c r="N189" s="515">
        <f t="shared" si="4"/>
        <v>0</v>
      </c>
      <c r="O189" s="519">
        <f t="shared" si="5"/>
        <v>0</v>
      </c>
    </row>
    <row r="190" spans="1:15" hidden="1" x14ac:dyDescent="0.25">
      <c r="A190" s="515" t="s">
        <v>122</v>
      </c>
      <c r="B190" s="543" t="s">
        <v>383</v>
      </c>
      <c r="C190" s="521"/>
      <c r="D190" s="521" t="s">
        <v>465</v>
      </c>
      <c r="E190" s="521"/>
      <c r="F190" s="521" t="s">
        <v>473</v>
      </c>
      <c r="G190" s="515"/>
      <c r="H190" s="515" t="s">
        <v>292</v>
      </c>
      <c r="I190" s="521">
        <v>0</v>
      </c>
      <c r="J190" s="521">
        <v>0</v>
      </c>
      <c r="K190" s="521">
        <v>0</v>
      </c>
      <c r="L190" s="521">
        <v>0</v>
      </c>
      <c r="M190" s="521">
        <v>27587077.313190907</v>
      </c>
      <c r="N190" s="515">
        <f t="shared" si="4"/>
        <v>0</v>
      </c>
      <c r="O190" s="519">
        <f t="shared" si="5"/>
        <v>0</v>
      </c>
    </row>
    <row r="191" spans="1:15" ht="30" hidden="1" x14ac:dyDescent="0.25">
      <c r="A191" s="515" t="s">
        <v>122</v>
      </c>
      <c r="B191" s="543" t="s">
        <v>344</v>
      </c>
      <c r="C191" s="521"/>
      <c r="D191" s="521" t="s">
        <v>465</v>
      </c>
      <c r="E191" s="521"/>
      <c r="F191" s="521" t="s">
        <v>473</v>
      </c>
      <c r="G191" s="515"/>
      <c r="H191" s="515" t="s">
        <v>292</v>
      </c>
      <c r="I191" s="521">
        <v>0</v>
      </c>
      <c r="J191" s="521">
        <v>0</v>
      </c>
      <c r="K191" s="521">
        <v>0</v>
      </c>
      <c r="L191" s="521">
        <v>0</v>
      </c>
      <c r="M191" s="521">
        <v>160342343.65884095</v>
      </c>
      <c r="N191" s="515">
        <f t="shared" si="4"/>
        <v>0</v>
      </c>
      <c r="O191" s="519">
        <f t="shared" si="5"/>
        <v>0</v>
      </c>
    </row>
    <row r="192" spans="1:15" hidden="1" x14ac:dyDescent="0.25">
      <c r="A192" s="515" t="s">
        <v>122</v>
      </c>
      <c r="B192" s="543" t="s">
        <v>135</v>
      </c>
      <c r="C192" s="521"/>
      <c r="D192" s="521" t="s">
        <v>465</v>
      </c>
      <c r="E192" s="521"/>
      <c r="F192" s="521" t="s">
        <v>473</v>
      </c>
      <c r="G192" s="515"/>
      <c r="H192" s="515" t="s">
        <v>292</v>
      </c>
      <c r="I192" s="521">
        <v>0</v>
      </c>
      <c r="J192" s="521">
        <v>0</v>
      </c>
      <c r="K192" s="521">
        <v>0</v>
      </c>
      <c r="L192" s="521">
        <v>0</v>
      </c>
      <c r="M192" s="521">
        <v>13861067.775549101</v>
      </c>
      <c r="N192" s="515">
        <f t="shared" si="4"/>
        <v>0</v>
      </c>
      <c r="O192" s="519">
        <f t="shared" si="5"/>
        <v>0</v>
      </c>
    </row>
    <row r="193" spans="1:15" hidden="1" x14ac:dyDescent="0.25">
      <c r="A193" s="515" t="s">
        <v>122</v>
      </c>
      <c r="B193" s="543" t="s">
        <v>127</v>
      </c>
      <c r="C193" s="521"/>
      <c r="D193" s="521" t="s">
        <v>465</v>
      </c>
      <c r="E193" s="521"/>
      <c r="F193" s="521" t="s">
        <v>473</v>
      </c>
      <c r="G193" s="515"/>
      <c r="H193" s="515" t="s">
        <v>292</v>
      </c>
      <c r="I193" s="521">
        <v>0</v>
      </c>
      <c r="J193" s="521">
        <v>0</v>
      </c>
      <c r="K193" s="521">
        <v>0</v>
      </c>
      <c r="L193" s="521">
        <v>0</v>
      </c>
      <c r="M193" s="521">
        <v>77923810.478209168</v>
      </c>
      <c r="N193" s="515">
        <f t="shared" si="4"/>
        <v>0</v>
      </c>
      <c r="O193" s="519">
        <f t="shared" si="5"/>
        <v>0</v>
      </c>
    </row>
    <row r="194" spans="1:15" hidden="1" x14ac:dyDescent="0.25">
      <c r="A194" s="515" t="s">
        <v>122</v>
      </c>
      <c r="B194" s="543" t="s">
        <v>123</v>
      </c>
      <c r="C194" s="521"/>
      <c r="D194" s="521" t="s">
        <v>465</v>
      </c>
      <c r="E194" s="521"/>
      <c r="F194" s="521" t="s">
        <v>473</v>
      </c>
      <c r="G194" s="515"/>
      <c r="H194" s="515" t="s">
        <v>292</v>
      </c>
      <c r="I194" s="521">
        <v>0</v>
      </c>
      <c r="J194" s="521">
        <v>0</v>
      </c>
      <c r="K194" s="521">
        <v>0</v>
      </c>
      <c r="L194" s="521">
        <v>0</v>
      </c>
      <c r="M194" s="521">
        <v>76132782.152658641</v>
      </c>
      <c r="N194" s="515">
        <f t="shared" si="4"/>
        <v>0</v>
      </c>
      <c r="O194" s="519">
        <f t="shared" si="5"/>
        <v>0</v>
      </c>
    </row>
    <row r="195" spans="1:15" hidden="1" x14ac:dyDescent="0.25">
      <c r="A195" s="515" t="s">
        <v>122</v>
      </c>
      <c r="B195" s="543" t="s">
        <v>133</v>
      </c>
      <c r="C195" s="521"/>
      <c r="D195" s="521" t="s">
        <v>465</v>
      </c>
      <c r="E195" s="521"/>
      <c r="F195" s="521" t="s">
        <v>473</v>
      </c>
      <c r="G195" s="515"/>
      <c r="H195" s="515" t="s">
        <v>292</v>
      </c>
      <c r="I195" s="521">
        <v>0</v>
      </c>
      <c r="J195" s="521">
        <v>0</v>
      </c>
      <c r="K195" s="521">
        <v>0</v>
      </c>
      <c r="L195" s="521">
        <v>0</v>
      </c>
      <c r="M195" s="521">
        <v>201181957.69999999</v>
      </c>
      <c r="N195" s="515">
        <f t="shared" ref="N195:N243" si="6">SUM(K195,L195)</f>
        <v>0</v>
      </c>
      <c r="O195" s="519">
        <f t="shared" ref="O195:O243" si="7">SUM(I195:L195)</f>
        <v>0</v>
      </c>
    </row>
    <row r="196" spans="1:15" hidden="1" x14ac:dyDescent="0.25">
      <c r="A196" s="515" t="s">
        <v>122</v>
      </c>
      <c r="B196" s="543" t="s">
        <v>135</v>
      </c>
      <c r="C196" s="521"/>
      <c r="D196" s="521" t="s">
        <v>465</v>
      </c>
      <c r="E196" s="521"/>
      <c r="F196" s="521" t="s">
        <v>473</v>
      </c>
      <c r="G196" s="515"/>
      <c r="H196" s="515" t="s">
        <v>292</v>
      </c>
      <c r="I196" s="521">
        <v>0</v>
      </c>
      <c r="J196" s="521">
        <v>0</v>
      </c>
      <c r="K196" s="521">
        <v>0</v>
      </c>
      <c r="L196" s="521">
        <v>0</v>
      </c>
      <c r="M196" s="521">
        <v>13861067.775549101</v>
      </c>
      <c r="N196" s="515">
        <f t="shared" si="6"/>
        <v>0</v>
      </c>
      <c r="O196" s="519">
        <f t="shared" si="7"/>
        <v>0</v>
      </c>
    </row>
    <row r="197" spans="1:15" x14ac:dyDescent="0.25">
      <c r="A197" s="515" t="s">
        <v>122</v>
      </c>
      <c r="B197" s="543" t="s">
        <v>138</v>
      </c>
      <c r="C197" s="521"/>
      <c r="D197" s="521" t="s">
        <v>465</v>
      </c>
      <c r="E197" s="521"/>
      <c r="F197" s="521" t="s">
        <v>473</v>
      </c>
      <c r="G197" s="515"/>
      <c r="H197" s="515" t="s">
        <v>292</v>
      </c>
      <c r="I197" s="521">
        <v>0</v>
      </c>
      <c r="J197" s="521">
        <v>0</v>
      </c>
      <c r="K197" s="521">
        <v>0</v>
      </c>
      <c r="L197" s="521">
        <v>0</v>
      </c>
      <c r="M197" s="521">
        <v>0</v>
      </c>
      <c r="N197" s="515">
        <f t="shared" si="6"/>
        <v>0</v>
      </c>
      <c r="O197" s="519">
        <f t="shared" si="7"/>
        <v>0</v>
      </c>
    </row>
    <row r="198" spans="1:15" hidden="1" x14ac:dyDescent="0.25">
      <c r="A198" s="515" t="s">
        <v>122</v>
      </c>
      <c r="B198" s="543" t="s">
        <v>135</v>
      </c>
      <c r="C198" s="521"/>
      <c r="D198" s="521" t="s">
        <v>465</v>
      </c>
      <c r="E198" s="521"/>
      <c r="F198" s="521" t="s">
        <v>473</v>
      </c>
      <c r="G198" s="515"/>
      <c r="H198" s="515" t="s">
        <v>292</v>
      </c>
      <c r="I198" s="521">
        <v>0</v>
      </c>
      <c r="J198" s="521">
        <v>0</v>
      </c>
      <c r="K198" s="521">
        <v>0</v>
      </c>
      <c r="L198" s="521">
        <v>0</v>
      </c>
      <c r="M198" s="521">
        <v>13861067.775549101</v>
      </c>
      <c r="N198" s="515">
        <f t="shared" si="6"/>
        <v>0</v>
      </c>
      <c r="O198" s="519">
        <f t="shared" si="7"/>
        <v>0</v>
      </c>
    </row>
    <row r="199" spans="1:15" hidden="1" x14ac:dyDescent="0.25">
      <c r="A199" s="515" t="s">
        <v>140</v>
      </c>
      <c r="B199" s="521" t="s">
        <v>174</v>
      </c>
      <c r="C199" s="521"/>
      <c r="D199" s="521" t="s">
        <v>507</v>
      </c>
      <c r="E199" s="521"/>
      <c r="F199" s="521" t="s">
        <v>508</v>
      </c>
      <c r="G199" s="515"/>
      <c r="H199" s="515" t="s">
        <v>292</v>
      </c>
      <c r="I199" s="521">
        <v>0</v>
      </c>
      <c r="J199" s="521">
        <v>0</v>
      </c>
      <c r="K199" s="521">
        <v>0</v>
      </c>
      <c r="L199" s="521">
        <v>0</v>
      </c>
      <c r="M199" s="521">
        <v>23887809.095800001</v>
      </c>
      <c r="N199" s="515">
        <f t="shared" si="6"/>
        <v>0</v>
      </c>
      <c r="O199" s="519">
        <f t="shared" si="7"/>
        <v>0</v>
      </c>
    </row>
    <row r="200" spans="1:15" hidden="1" x14ac:dyDescent="0.25">
      <c r="A200" s="515" t="s">
        <v>140</v>
      </c>
      <c r="B200" s="521" t="s">
        <v>166</v>
      </c>
      <c r="C200" s="521"/>
      <c r="D200" s="521" t="s">
        <v>509</v>
      </c>
      <c r="E200" s="521"/>
      <c r="F200" s="521" t="s">
        <v>510</v>
      </c>
      <c r="G200" s="515"/>
      <c r="H200" s="515" t="s">
        <v>292</v>
      </c>
      <c r="I200" s="521">
        <v>0</v>
      </c>
      <c r="J200" s="521">
        <v>0</v>
      </c>
      <c r="K200" s="521">
        <v>0</v>
      </c>
      <c r="L200" s="521">
        <v>0</v>
      </c>
      <c r="M200" s="521">
        <v>544184205.98619974</v>
      </c>
      <c r="N200" s="515">
        <f t="shared" si="6"/>
        <v>0</v>
      </c>
      <c r="O200" s="519">
        <f t="shared" si="7"/>
        <v>0</v>
      </c>
    </row>
    <row r="201" spans="1:15" hidden="1" x14ac:dyDescent="0.25">
      <c r="A201" s="515" t="s">
        <v>140</v>
      </c>
      <c r="B201" s="521" t="s">
        <v>341</v>
      </c>
      <c r="C201" s="521"/>
      <c r="D201" s="521" t="s">
        <v>509</v>
      </c>
      <c r="E201" s="521"/>
      <c r="F201" s="521" t="s">
        <v>511</v>
      </c>
      <c r="G201" s="515"/>
      <c r="H201" s="515" t="s">
        <v>292</v>
      </c>
      <c r="I201" s="521">
        <v>0</v>
      </c>
      <c r="J201" s="521">
        <v>0</v>
      </c>
      <c r="K201" s="521">
        <v>0</v>
      </c>
      <c r="L201" s="521">
        <v>0</v>
      </c>
      <c r="M201" s="521">
        <v>280737179.26800001</v>
      </c>
      <c r="N201" s="515">
        <f t="shared" si="6"/>
        <v>0</v>
      </c>
      <c r="O201" s="519">
        <f t="shared" si="7"/>
        <v>0</v>
      </c>
    </row>
    <row r="202" spans="1:15" hidden="1" x14ac:dyDescent="0.25">
      <c r="A202" s="515" t="s">
        <v>140</v>
      </c>
      <c r="B202" s="521" t="s">
        <v>141</v>
      </c>
      <c r="C202" s="521"/>
      <c r="D202" s="521" t="s">
        <v>509</v>
      </c>
      <c r="E202" s="521"/>
      <c r="F202" s="521" t="s">
        <v>511</v>
      </c>
      <c r="G202" s="515"/>
      <c r="H202" s="515" t="s">
        <v>292</v>
      </c>
      <c r="I202" s="521">
        <v>0</v>
      </c>
      <c r="J202" s="521">
        <v>0</v>
      </c>
      <c r="K202" s="521">
        <v>0</v>
      </c>
      <c r="L202" s="521">
        <v>0</v>
      </c>
      <c r="M202" s="521">
        <v>221090062.43870005</v>
      </c>
      <c r="N202" s="515">
        <f t="shared" si="6"/>
        <v>0</v>
      </c>
      <c r="O202" s="519">
        <f t="shared" si="7"/>
        <v>0</v>
      </c>
    </row>
    <row r="203" spans="1:15" hidden="1" x14ac:dyDescent="0.25">
      <c r="A203" s="515" t="s">
        <v>140</v>
      </c>
      <c r="B203" s="521" t="s">
        <v>155</v>
      </c>
      <c r="C203" s="521"/>
      <c r="D203" s="521" t="s">
        <v>509</v>
      </c>
      <c r="E203" s="521"/>
      <c r="F203" s="521" t="s">
        <v>510</v>
      </c>
      <c r="G203" s="515"/>
      <c r="H203" s="515" t="s">
        <v>292</v>
      </c>
      <c r="I203" s="521">
        <v>0</v>
      </c>
      <c r="J203" s="521">
        <v>0</v>
      </c>
      <c r="K203" s="521">
        <v>0</v>
      </c>
      <c r="L203" s="521">
        <v>0</v>
      </c>
      <c r="M203" s="521">
        <v>1131603727.040801</v>
      </c>
      <c r="N203" s="515">
        <f t="shared" si="6"/>
        <v>0</v>
      </c>
      <c r="O203" s="519">
        <f t="shared" si="7"/>
        <v>0</v>
      </c>
    </row>
    <row r="204" spans="1:15" hidden="1" x14ac:dyDescent="0.25">
      <c r="A204" s="515" t="s">
        <v>140</v>
      </c>
      <c r="B204" s="521" t="s">
        <v>148</v>
      </c>
      <c r="C204" s="521"/>
      <c r="D204" s="521" t="s">
        <v>509</v>
      </c>
      <c r="E204" s="521"/>
      <c r="F204" s="521" t="s">
        <v>511</v>
      </c>
      <c r="G204" s="515"/>
      <c r="H204" s="515" t="s">
        <v>292</v>
      </c>
      <c r="I204" s="521">
        <v>0</v>
      </c>
      <c r="J204" s="521">
        <v>0</v>
      </c>
      <c r="K204" s="521">
        <v>0</v>
      </c>
      <c r="L204" s="521">
        <v>0</v>
      </c>
      <c r="M204" s="521">
        <v>573647981.04380012</v>
      </c>
      <c r="N204" s="515">
        <f t="shared" si="6"/>
        <v>0</v>
      </c>
      <c r="O204" s="519">
        <f t="shared" si="7"/>
        <v>0</v>
      </c>
    </row>
    <row r="205" spans="1:15" hidden="1" x14ac:dyDescent="0.25">
      <c r="A205" s="515" t="s">
        <v>140</v>
      </c>
      <c r="B205" s="521" t="s">
        <v>512</v>
      </c>
      <c r="C205" s="521"/>
      <c r="D205" s="521" t="s">
        <v>507</v>
      </c>
      <c r="E205" s="521"/>
      <c r="F205" s="521" t="s">
        <v>513</v>
      </c>
      <c r="G205" s="515"/>
      <c r="H205" s="515" t="s">
        <v>292</v>
      </c>
      <c r="I205" s="521">
        <v>0</v>
      </c>
      <c r="J205" s="521">
        <v>0</v>
      </c>
      <c r="K205" s="521">
        <v>0</v>
      </c>
      <c r="L205" s="521">
        <v>0</v>
      </c>
      <c r="M205" s="521">
        <v>136655603.58450004</v>
      </c>
      <c r="N205" s="515">
        <f t="shared" si="6"/>
        <v>0</v>
      </c>
      <c r="O205" s="519">
        <f t="shared" si="7"/>
        <v>0</v>
      </c>
    </row>
    <row r="206" spans="1:15" hidden="1" x14ac:dyDescent="0.25">
      <c r="A206" s="515" t="s">
        <v>140</v>
      </c>
      <c r="B206" s="521" t="s">
        <v>165</v>
      </c>
      <c r="C206" s="521"/>
      <c r="D206" s="521" t="s">
        <v>509</v>
      </c>
      <c r="E206" s="521"/>
      <c r="F206" s="521" t="s">
        <v>510</v>
      </c>
      <c r="G206" s="515"/>
      <c r="H206" s="515" t="s">
        <v>292</v>
      </c>
      <c r="I206" s="521">
        <v>0</v>
      </c>
      <c r="J206" s="521">
        <v>0</v>
      </c>
      <c r="K206" s="521">
        <v>0</v>
      </c>
      <c r="L206" s="521">
        <v>0</v>
      </c>
      <c r="M206" s="521">
        <v>51890148.134499997</v>
      </c>
      <c r="N206" s="515">
        <f t="shared" si="6"/>
        <v>0</v>
      </c>
      <c r="O206" s="519">
        <f t="shared" si="7"/>
        <v>0</v>
      </c>
    </row>
    <row r="207" spans="1:15" hidden="1" x14ac:dyDescent="0.25">
      <c r="A207" s="515" t="s">
        <v>140</v>
      </c>
      <c r="B207" s="515" t="s">
        <v>162</v>
      </c>
      <c r="C207" s="521"/>
      <c r="D207" s="521" t="s">
        <v>507</v>
      </c>
      <c r="E207" s="521"/>
      <c r="F207" s="521" t="s">
        <v>513</v>
      </c>
      <c r="G207" s="515"/>
      <c r="H207" s="515" t="s">
        <v>292</v>
      </c>
      <c r="I207" s="521">
        <v>0</v>
      </c>
      <c r="J207" s="521">
        <v>0</v>
      </c>
      <c r="K207" s="521">
        <v>0</v>
      </c>
      <c r="L207" s="521">
        <v>0</v>
      </c>
      <c r="M207" s="521">
        <v>85552599.98739998</v>
      </c>
      <c r="N207" s="515">
        <f t="shared" si="6"/>
        <v>0</v>
      </c>
      <c r="O207" s="519">
        <f t="shared" si="7"/>
        <v>0</v>
      </c>
    </row>
    <row r="208" spans="1:15" hidden="1" x14ac:dyDescent="0.25">
      <c r="A208" s="515" t="s">
        <v>140</v>
      </c>
      <c r="B208" s="521" t="s">
        <v>173</v>
      </c>
      <c r="C208" s="521"/>
      <c r="D208" s="521" t="s">
        <v>507</v>
      </c>
      <c r="E208" s="521"/>
      <c r="F208" s="521" t="s">
        <v>508</v>
      </c>
      <c r="G208" s="515"/>
      <c r="H208" s="515" t="s">
        <v>292</v>
      </c>
      <c r="I208" s="521">
        <v>0</v>
      </c>
      <c r="J208" s="521">
        <v>0</v>
      </c>
      <c r="K208" s="521">
        <v>0</v>
      </c>
      <c r="L208" s="521">
        <v>0</v>
      </c>
      <c r="M208" s="521">
        <v>1938906834.9962986</v>
      </c>
      <c r="N208" s="515">
        <f t="shared" si="6"/>
        <v>0</v>
      </c>
      <c r="O208" s="519">
        <f t="shared" si="7"/>
        <v>0</v>
      </c>
    </row>
    <row r="209" spans="1:15" hidden="1" x14ac:dyDescent="0.25">
      <c r="A209" s="515" t="s">
        <v>140</v>
      </c>
      <c r="B209" s="521" t="s">
        <v>173</v>
      </c>
      <c r="C209" s="521"/>
      <c r="D209" s="521" t="s">
        <v>507</v>
      </c>
      <c r="E209" s="521"/>
      <c r="F209" s="521" t="s">
        <v>515</v>
      </c>
      <c r="G209" s="515"/>
      <c r="H209" s="515" t="s">
        <v>292</v>
      </c>
      <c r="I209" s="521">
        <v>0</v>
      </c>
      <c r="J209" s="521">
        <v>0</v>
      </c>
      <c r="K209" s="521">
        <v>0</v>
      </c>
      <c r="L209" s="521">
        <v>0</v>
      </c>
      <c r="M209" s="521">
        <v>105970379.57999998</v>
      </c>
      <c r="N209" s="515">
        <f t="shared" si="6"/>
        <v>0</v>
      </c>
      <c r="O209" s="519">
        <f t="shared" si="7"/>
        <v>0</v>
      </c>
    </row>
    <row r="210" spans="1:15" hidden="1" x14ac:dyDescent="0.25">
      <c r="A210" s="515" t="s">
        <v>140</v>
      </c>
      <c r="B210" s="521" t="s">
        <v>146</v>
      </c>
      <c r="C210" s="521"/>
      <c r="D210" s="521" t="s">
        <v>509</v>
      </c>
      <c r="E210" s="521"/>
      <c r="F210" s="521" t="s">
        <v>511</v>
      </c>
      <c r="G210" s="515"/>
      <c r="H210" s="515" t="s">
        <v>292</v>
      </c>
      <c r="I210" s="521">
        <v>0</v>
      </c>
      <c r="J210" s="521">
        <v>0</v>
      </c>
      <c r="K210" s="521">
        <v>0</v>
      </c>
      <c r="L210" s="521">
        <v>0</v>
      </c>
      <c r="M210" s="521">
        <v>242263446.25079992</v>
      </c>
      <c r="N210" s="515">
        <f t="shared" si="6"/>
        <v>0</v>
      </c>
      <c r="O210" s="519">
        <f t="shared" si="7"/>
        <v>0</v>
      </c>
    </row>
    <row r="211" spans="1:15" hidden="1" x14ac:dyDescent="0.25">
      <c r="A211" s="515" t="s">
        <v>140</v>
      </c>
      <c r="B211" s="521" t="s">
        <v>150</v>
      </c>
      <c r="C211" s="521"/>
      <c r="D211" s="521" t="s">
        <v>509</v>
      </c>
      <c r="E211" s="521"/>
      <c r="F211" s="521" t="s">
        <v>511</v>
      </c>
      <c r="G211" s="515"/>
      <c r="H211" s="515" t="s">
        <v>292</v>
      </c>
      <c r="I211" s="521">
        <v>0</v>
      </c>
      <c r="J211" s="521">
        <v>0</v>
      </c>
      <c r="K211" s="521">
        <v>0</v>
      </c>
      <c r="L211" s="521">
        <v>0</v>
      </c>
      <c r="M211" s="521">
        <v>362534982.53960001</v>
      </c>
      <c r="N211" s="515">
        <f t="shared" si="6"/>
        <v>0</v>
      </c>
      <c r="O211" s="519">
        <f t="shared" si="7"/>
        <v>0</v>
      </c>
    </row>
    <row r="212" spans="1:15" hidden="1" x14ac:dyDescent="0.25">
      <c r="A212" s="515" t="s">
        <v>140</v>
      </c>
      <c r="B212" s="521" t="s">
        <v>145</v>
      </c>
      <c r="C212" s="521"/>
      <c r="D212" s="521" t="s">
        <v>509</v>
      </c>
      <c r="E212" s="521"/>
      <c r="F212" s="521" t="s">
        <v>511</v>
      </c>
      <c r="G212" s="515"/>
      <c r="H212" s="515" t="s">
        <v>292</v>
      </c>
      <c r="I212" s="521">
        <v>0</v>
      </c>
      <c r="J212" s="521">
        <v>0</v>
      </c>
      <c r="K212" s="521">
        <v>0</v>
      </c>
      <c r="L212" s="521">
        <v>0</v>
      </c>
      <c r="M212" s="521">
        <v>181023400.17449993</v>
      </c>
      <c r="N212" s="515">
        <f t="shared" si="6"/>
        <v>0</v>
      </c>
      <c r="O212" s="519">
        <f t="shared" si="7"/>
        <v>0</v>
      </c>
    </row>
    <row r="213" spans="1:15" hidden="1" x14ac:dyDescent="0.25">
      <c r="A213" s="515" t="s">
        <v>140</v>
      </c>
      <c r="B213" s="521" t="s">
        <v>152</v>
      </c>
      <c r="C213" s="521"/>
      <c r="D213" s="521" t="s">
        <v>509</v>
      </c>
      <c r="E213" s="521"/>
      <c r="F213" s="521" t="s">
        <v>516</v>
      </c>
      <c r="G213" s="515"/>
      <c r="H213" s="515" t="s">
        <v>292</v>
      </c>
      <c r="I213" s="521">
        <v>0</v>
      </c>
      <c r="J213" s="521">
        <v>0</v>
      </c>
      <c r="K213" s="521">
        <v>0</v>
      </c>
      <c r="L213" s="521">
        <v>0</v>
      </c>
      <c r="M213" s="521">
        <v>381960960.90099984</v>
      </c>
      <c r="N213" s="515">
        <f t="shared" si="6"/>
        <v>0</v>
      </c>
      <c r="O213" s="519">
        <f t="shared" si="7"/>
        <v>0</v>
      </c>
    </row>
    <row r="214" spans="1:15" hidden="1" x14ac:dyDescent="0.25">
      <c r="A214" s="515" t="s">
        <v>140</v>
      </c>
      <c r="B214" s="521" t="s">
        <v>156</v>
      </c>
      <c r="C214" s="521"/>
      <c r="D214" s="521" t="s">
        <v>507</v>
      </c>
      <c r="E214" s="521"/>
      <c r="F214" s="521" t="s">
        <v>515</v>
      </c>
      <c r="G214" s="515"/>
      <c r="H214" s="515" t="s">
        <v>292</v>
      </c>
      <c r="I214" s="521">
        <v>0</v>
      </c>
      <c r="J214" s="521">
        <v>0</v>
      </c>
      <c r="K214" s="521">
        <v>0</v>
      </c>
      <c r="L214" s="521">
        <v>0</v>
      </c>
      <c r="M214" s="521">
        <v>2969791621.8204007</v>
      </c>
      <c r="N214" s="515">
        <f t="shared" si="6"/>
        <v>0</v>
      </c>
      <c r="O214" s="519">
        <f t="shared" si="7"/>
        <v>0</v>
      </c>
    </row>
    <row r="215" spans="1:15" hidden="1" x14ac:dyDescent="0.25">
      <c r="A215" s="515" t="s">
        <v>140</v>
      </c>
      <c r="B215" s="521" t="s">
        <v>154</v>
      </c>
      <c r="C215" s="521"/>
      <c r="D215" s="521" t="s">
        <v>509</v>
      </c>
      <c r="E215" s="521"/>
      <c r="F215" s="521" t="s">
        <v>516</v>
      </c>
      <c r="G215" s="515"/>
      <c r="H215" s="515" t="s">
        <v>292</v>
      </c>
      <c r="I215" s="521">
        <v>0</v>
      </c>
      <c r="J215" s="521">
        <v>0</v>
      </c>
      <c r="K215" s="521">
        <v>0</v>
      </c>
      <c r="L215" s="521">
        <v>0</v>
      </c>
      <c r="M215" s="521">
        <v>1050024310.0880005</v>
      </c>
      <c r="N215" s="515">
        <f t="shared" si="6"/>
        <v>0</v>
      </c>
      <c r="O215" s="519">
        <f t="shared" si="7"/>
        <v>0</v>
      </c>
    </row>
    <row r="216" spans="1:15" hidden="1" x14ac:dyDescent="0.25">
      <c r="A216" s="515"/>
      <c r="B216" s="521"/>
      <c r="C216" s="521"/>
      <c r="D216" s="521"/>
      <c r="E216" s="521"/>
      <c r="F216" s="521"/>
      <c r="G216" s="515"/>
      <c r="H216" s="515"/>
      <c r="I216" s="521"/>
      <c r="J216" s="521"/>
      <c r="K216" s="521"/>
      <c r="L216" s="521"/>
      <c r="M216" s="521"/>
      <c r="N216" s="515"/>
    </row>
    <row r="217" spans="1:15" hidden="1" x14ac:dyDescent="0.25">
      <c r="A217" s="515" t="s">
        <v>140</v>
      </c>
      <c r="B217" s="521" t="s">
        <v>160</v>
      </c>
      <c r="C217" s="521"/>
      <c r="D217" s="521" t="s">
        <v>507</v>
      </c>
      <c r="E217" s="521"/>
      <c r="F217" s="521" t="s">
        <v>513</v>
      </c>
      <c r="G217" s="515"/>
      <c r="H217" s="515" t="s">
        <v>292</v>
      </c>
      <c r="I217" s="521">
        <v>0</v>
      </c>
      <c r="J217" s="521">
        <v>0</v>
      </c>
      <c r="K217" s="521">
        <v>0</v>
      </c>
      <c r="L217" s="521">
        <v>0</v>
      </c>
      <c r="M217" s="521">
        <v>1113203080.3724992</v>
      </c>
      <c r="N217" s="515">
        <f t="shared" si="6"/>
        <v>0</v>
      </c>
      <c r="O217" s="519">
        <f t="shared" si="7"/>
        <v>0</v>
      </c>
    </row>
    <row r="218" spans="1:15" hidden="1" x14ac:dyDescent="0.25">
      <c r="A218" s="515" t="s">
        <v>140</v>
      </c>
      <c r="B218" s="521" t="s">
        <v>151</v>
      </c>
      <c r="C218" s="521"/>
      <c r="D218" s="521" t="s">
        <v>509</v>
      </c>
      <c r="E218" s="521"/>
      <c r="F218" s="521" t="s">
        <v>511</v>
      </c>
      <c r="G218" s="515"/>
      <c r="H218" s="515" t="s">
        <v>292</v>
      </c>
      <c r="I218" s="521">
        <v>0</v>
      </c>
      <c r="J218" s="521">
        <v>0</v>
      </c>
      <c r="K218" s="521">
        <v>0</v>
      </c>
      <c r="L218" s="521">
        <v>0</v>
      </c>
      <c r="M218" s="521">
        <v>193982358.73899996</v>
      </c>
      <c r="N218" s="515">
        <f t="shared" si="6"/>
        <v>0</v>
      </c>
      <c r="O218" s="519">
        <f t="shared" si="7"/>
        <v>0</v>
      </c>
    </row>
    <row r="219" spans="1:15" hidden="1" x14ac:dyDescent="0.25">
      <c r="A219" s="515" t="s">
        <v>140</v>
      </c>
      <c r="B219" s="521" t="s">
        <v>341</v>
      </c>
      <c r="C219" s="521"/>
      <c r="D219" s="521" t="s">
        <v>509</v>
      </c>
      <c r="E219" s="521"/>
      <c r="F219" s="521" t="s">
        <v>518</v>
      </c>
      <c r="G219" s="515"/>
      <c r="H219" s="515" t="s">
        <v>292</v>
      </c>
      <c r="I219" s="521">
        <v>0</v>
      </c>
      <c r="J219" s="521">
        <v>0</v>
      </c>
      <c r="K219" s="521">
        <v>0</v>
      </c>
      <c r="L219" s="521">
        <v>0</v>
      </c>
      <c r="M219" s="521">
        <v>383589624.24380004</v>
      </c>
      <c r="N219" s="515">
        <f t="shared" si="6"/>
        <v>0</v>
      </c>
      <c r="O219" s="519">
        <f t="shared" si="7"/>
        <v>0</v>
      </c>
    </row>
    <row r="220" spans="1:15" hidden="1" x14ac:dyDescent="0.25">
      <c r="A220" s="515" t="s">
        <v>140</v>
      </c>
      <c r="B220" s="521" t="s">
        <v>141</v>
      </c>
      <c r="C220" s="521"/>
      <c r="D220" s="521" t="s">
        <v>509</v>
      </c>
      <c r="E220" s="521"/>
      <c r="F220" s="521" t="s">
        <v>518</v>
      </c>
      <c r="G220" s="515"/>
      <c r="H220" s="515" t="s">
        <v>292</v>
      </c>
      <c r="I220" s="521">
        <v>0</v>
      </c>
      <c r="J220" s="521">
        <v>0</v>
      </c>
      <c r="K220" s="521">
        <v>0</v>
      </c>
      <c r="L220" s="521">
        <v>0</v>
      </c>
      <c r="M220" s="521">
        <v>319467848.86250019</v>
      </c>
      <c r="N220" s="515">
        <f t="shared" si="6"/>
        <v>0</v>
      </c>
      <c r="O220" s="519">
        <f t="shared" si="7"/>
        <v>0</v>
      </c>
    </row>
    <row r="221" spans="1:15" hidden="1" x14ac:dyDescent="0.25">
      <c r="A221" s="515" t="s">
        <v>140</v>
      </c>
      <c r="B221" s="521" t="s">
        <v>148</v>
      </c>
      <c r="C221" s="521"/>
      <c r="D221" s="521" t="s">
        <v>509</v>
      </c>
      <c r="E221" s="521"/>
      <c r="F221" s="521" t="s">
        <v>518</v>
      </c>
      <c r="G221" s="515"/>
      <c r="H221" s="515" t="s">
        <v>292</v>
      </c>
      <c r="I221" s="521">
        <v>0</v>
      </c>
      <c r="J221" s="521">
        <v>0</v>
      </c>
      <c r="K221" s="521">
        <v>0</v>
      </c>
      <c r="L221" s="521">
        <v>0</v>
      </c>
      <c r="M221" s="521">
        <v>577722381.09299958</v>
      </c>
      <c r="N221" s="515">
        <f t="shared" si="6"/>
        <v>0</v>
      </c>
      <c r="O221" s="519">
        <f t="shared" si="7"/>
        <v>0</v>
      </c>
    </row>
    <row r="222" spans="1:15" x14ac:dyDescent="0.25">
      <c r="A222" s="515" t="s">
        <v>140</v>
      </c>
      <c r="B222" s="521" t="s">
        <v>173</v>
      </c>
      <c r="C222" s="521"/>
      <c r="D222" s="521" t="s">
        <v>509</v>
      </c>
      <c r="E222" s="521"/>
      <c r="F222" s="521" t="s">
        <v>510</v>
      </c>
      <c r="G222" s="515"/>
      <c r="H222" s="515" t="s">
        <v>292</v>
      </c>
      <c r="I222" s="521">
        <v>0</v>
      </c>
      <c r="J222" s="521">
        <v>0</v>
      </c>
      <c r="K222" s="521">
        <v>0</v>
      </c>
      <c r="L222" s="521">
        <v>0</v>
      </c>
      <c r="M222" s="521">
        <v>0</v>
      </c>
      <c r="N222" s="515">
        <f t="shared" si="6"/>
        <v>0</v>
      </c>
      <c r="O222" s="519">
        <f t="shared" si="7"/>
        <v>0</v>
      </c>
    </row>
    <row r="223" spans="1:15" hidden="1" x14ac:dyDescent="0.25">
      <c r="A223" s="515" t="s">
        <v>140</v>
      </c>
      <c r="B223" s="521" t="s">
        <v>146</v>
      </c>
      <c r="C223" s="521"/>
      <c r="D223" s="521" t="s">
        <v>509</v>
      </c>
      <c r="E223" s="521"/>
      <c r="F223" s="521" t="s">
        <v>518</v>
      </c>
      <c r="G223" s="515"/>
      <c r="H223" s="515" t="s">
        <v>292</v>
      </c>
      <c r="I223" s="521">
        <v>0</v>
      </c>
      <c r="J223" s="521">
        <v>0</v>
      </c>
      <c r="K223" s="521">
        <v>0</v>
      </c>
      <c r="L223" s="521">
        <v>0</v>
      </c>
      <c r="M223" s="521">
        <v>244595402.85570005</v>
      </c>
      <c r="N223" s="515">
        <f t="shared" si="6"/>
        <v>0</v>
      </c>
      <c r="O223" s="519">
        <f t="shared" si="7"/>
        <v>0</v>
      </c>
    </row>
    <row r="224" spans="1:15" hidden="1" x14ac:dyDescent="0.25">
      <c r="A224" s="515" t="s">
        <v>140</v>
      </c>
      <c r="B224" s="521" t="s">
        <v>150</v>
      </c>
      <c r="C224" s="521"/>
      <c r="D224" s="521" t="s">
        <v>509</v>
      </c>
      <c r="E224" s="521"/>
      <c r="F224" s="521" t="s">
        <v>518</v>
      </c>
      <c r="G224" s="515"/>
      <c r="H224" s="515" t="s">
        <v>292</v>
      </c>
      <c r="I224" s="521">
        <v>0</v>
      </c>
      <c r="J224" s="521">
        <v>0</v>
      </c>
      <c r="K224" s="521">
        <v>0</v>
      </c>
      <c r="L224" s="521">
        <v>0</v>
      </c>
      <c r="M224" s="521">
        <v>238600337.93050003</v>
      </c>
      <c r="N224" s="515">
        <f t="shared" si="6"/>
        <v>0</v>
      </c>
      <c r="O224" s="519">
        <f t="shared" si="7"/>
        <v>0</v>
      </c>
    </row>
    <row r="225" spans="1:15" hidden="1" x14ac:dyDescent="0.25">
      <c r="A225" s="515" t="s">
        <v>140</v>
      </c>
      <c r="B225" s="521" t="s">
        <v>145</v>
      </c>
      <c r="C225" s="521"/>
      <c r="D225" s="521" t="s">
        <v>509</v>
      </c>
      <c r="E225" s="521"/>
      <c r="F225" s="521" t="s">
        <v>518</v>
      </c>
      <c r="G225" s="515"/>
      <c r="H225" s="515" t="s">
        <v>292</v>
      </c>
      <c r="I225" s="521">
        <v>0</v>
      </c>
      <c r="J225" s="521">
        <v>0</v>
      </c>
      <c r="K225" s="521">
        <v>0</v>
      </c>
      <c r="L225" s="521">
        <v>0</v>
      </c>
      <c r="M225" s="521">
        <v>175410934.04640001</v>
      </c>
      <c r="N225" s="515">
        <f t="shared" si="6"/>
        <v>0</v>
      </c>
      <c r="O225" s="519">
        <f t="shared" si="7"/>
        <v>0</v>
      </c>
    </row>
    <row r="226" spans="1:15" hidden="1" x14ac:dyDescent="0.25">
      <c r="A226" s="515" t="s">
        <v>140</v>
      </c>
      <c r="B226" s="521" t="s">
        <v>154</v>
      </c>
      <c r="C226" s="521"/>
      <c r="D226" s="521" t="s">
        <v>509</v>
      </c>
      <c r="E226" s="521"/>
      <c r="F226" s="521" t="s">
        <v>510</v>
      </c>
      <c r="G226" s="515"/>
      <c r="H226" s="515" t="s">
        <v>292</v>
      </c>
      <c r="I226" s="521">
        <v>0</v>
      </c>
      <c r="J226" s="521">
        <v>0</v>
      </c>
      <c r="K226" s="521">
        <v>0</v>
      </c>
      <c r="L226" s="521">
        <v>0</v>
      </c>
      <c r="M226" s="521">
        <v>3357900</v>
      </c>
      <c r="N226" s="515">
        <f t="shared" si="6"/>
        <v>0</v>
      </c>
      <c r="O226" s="519">
        <f t="shared" si="7"/>
        <v>0</v>
      </c>
    </row>
    <row r="227" spans="1:15" hidden="1" x14ac:dyDescent="0.25">
      <c r="A227" s="515" t="s">
        <v>140</v>
      </c>
      <c r="B227" s="521" t="s">
        <v>151</v>
      </c>
      <c r="C227" s="521"/>
      <c r="D227" s="521" t="s">
        <v>509</v>
      </c>
      <c r="E227" s="521"/>
      <c r="F227" s="521" t="s">
        <v>516</v>
      </c>
      <c r="G227" s="515"/>
      <c r="H227" s="515" t="s">
        <v>292</v>
      </c>
      <c r="I227" s="521">
        <v>0</v>
      </c>
      <c r="J227" s="521">
        <v>0</v>
      </c>
      <c r="K227" s="521">
        <v>0</v>
      </c>
      <c r="L227" s="521">
        <v>0</v>
      </c>
      <c r="M227" s="521">
        <v>191982465.48129994</v>
      </c>
      <c r="N227" s="515">
        <f t="shared" si="6"/>
        <v>0</v>
      </c>
      <c r="O227" s="519">
        <f t="shared" si="7"/>
        <v>0</v>
      </c>
    </row>
    <row r="228" spans="1:15" hidden="1" x14ac:dyDescent="0.25">
      <c r="A228" s="524" t="s">
        <v>620</v>
      </c>
      <c r="B228" s="546" t="s">
        <v>211</v>
      </c>
      <c r="C228" s="546"/>
      <c r="D228" s="546" t="s">
        <v>623</v>
      </c>
      <c r="E228" s="546"/>
      <c r="F228" s="546" t="s">
        <v>221</v>
      </c>
      <c r="G228" s="524"/>
      <c r="H228" s="524"/>
      <c r="I228" s="544">
        <v>0</v>
      </c>
      <c r="J228" s="544">
        <v>0</v>
      </c>
      <c r="K228" s="544">
        <v>0</v>
      </c>
      <c r="L228" s="544">
        <v>0</v>
      </c>
      <c r="M228" s="544">
        <v>0</v>
      </c>
      <c r="N228" s="524">
        <f t="shared" si="6"/>
        <v>0</v>
      </c>
      <c r="O228" s="545">
        <f t="shared" si="7"/>
        <v>0</v>
      </c>
    </row>
    <row r="229" spans="1:15" hidden="1" x14ac:dyDescent="0.25">
      <c r="A229" s="524" t="s">
        <v>620</v>
      </c>
      <c r="B229" s="546" t="s">
        <v>215</v>
      </c>
      <c r="C229" s="546"/>
      <c r="D229" s="546" t="s">
        <v>623</v>
      </c>
      <c r="E229" s="546"/>
      <c r="F229" s="546" t="s">
        <v>221</v>
      </c>
      <c r="G229" s="524"/>
      <c r="H229" s="524"/>
      <c r="I229" s="544">
        <v>0</v>
      </c>
      <c r="J229" s="544">
        <v>0</v>
      </c>
      <c r="K229" s="544">
        <v>0</v>
      </c>
      <c r="L229" s="544">
        <v>0</v>
      </c>
      <c r="M229" s="544">
        <v>0</v>
      </c>
      <c r="N229" s="524">
        <f t="shared" si="6"/>
        <v>0</v>
      </c>
      <c r="O229" s="545">
        <f t="shared" si="7"/>
        <v>0</v>
      </c>
    </row>
    <row r="230" spans="1:15" hidden="1" x14ac:dyDescent="0.25">
      <c r="A230" s="524" t="s">
        <v>620</v>
      </c>
      <c r="B230" s="546" t="s">
        <v>216</v>
      </c>
      <c r="C230" s="546"/>
      <c r="D230" s="546" t="s">
        <v>623</v>
      </c>
      <c r="E230" s="546"/>
      <c r="F230" s="546" t="s">
        <v>221</v>
      </c>
      <c r="G230" s="524"/>
      <c r="H230" s="524"/>
      <c r="I230" s="544">
        <v>0</v>
      </c>
      <c r="J230" s="544">
        <v>0</v>
      </c>
      <c r="K230" s="544">
        <v>0</v>
      </c>
      <c r="L230" s="544">
        <v>0</v>
      </c>
      <c r="M230" s="544">
        <v>0</v>
      </c>
      <c r="N230" s="524">
        <f t="shared" si="6"/>
        <v>0</v>
      </c>
      <c r="O230" s="545">
        <f t="shared" si="7"/>
        <v>0</v>
      </c>
    </row>
    <row r="231" spans="1:15" hidden="1" x14ac:dyDescent="0.25">
      <c r="A231" s="524" t="s">
        <v>620</v>
      </c>
      <c r="B231" s="546" t="s">
        <v>222</v>
      </c>
      <c r="C231" s="546"/>
      <c r="D231" s="546" t="s">
        <v>623</v>
      </c>
      <c r="E231" s="546"/>
      <c r="F231" s="546" t="s">
        <v>221</v>
      </c>
      <c r="G231" s="524"/>
      <c r="H231" s="524"/>
      <c r="I231" s="544">
        <v>0</v>
      </c>
      <c r="J231" s="544">
        <v>0</v>
      </c>
      <c r="K231" s="544">
        <v>0</v>
      </c>
      <c r="L231" s="544">
        <v>0</v>
      </c>
      <c r="M231" s="544">
        <v>0</v>
      </c>
      <c r="N231" s="524">
        <f t="shared" si="6"/>
        <v>0</v>
      </c>
      <c r="O231" s="545">
        <f t="shared" si="7"/>
        <v>0</v>
      </c>
    </row>
    <row r="232" spans="1:15" hidden="1" x14ac:dyDescent="0.25">
      <c r="A232" s="524" t="s">
        <v>620</v>
      </c>
      <c r="B232" s="546" t="s">
        <v>218</v>
      </c>
      <c r="C232" s="546"/>
      <c r="D232" s="546" t="s">
        <v>623</v>
      </c>
      <c r="E232" s="546"/>
      <c r="F232" s="546" t="s">
        <v>221</v>
      </c>
      <c r="G232" s="524"/>
      <c r="H232" s="524"/>
      <c r="I232" s="544">
        <v>0</v>
      </c>
      <c r="J232" s="544">
        <v>0</v>
      </c>
      <c r="K232" s="544">
        <v>0</v>
      </c>
      <c r="L232" s="544">
        <v>0</v>
      </c>
      <c r="M232" s="544">
        <v>0</v>
      </c>
      <c r="N232" s="524">
        <f t="shared" si="6"/>
        <v>0</v>
      </c>
      <c r="O232" s="545">
        <f t="shared" si="7"/>
        <v>0</v>
      </c>
    </row>
    <row r="233" spans="1:15" hidden="1" x14ac:dyDescent="0.25">
      <c r="A233" s="524" t="s">
        <v>620</v>
      </c>
      <c r="B233" s="546" t="s">
        <v>219</v>
      </c>
      <c r="C233" s="546"/>
      <c r="D233" s="546" t="s">
        <v>623</v>
      </c>
      <c r="E233" s="546"/>
      <c r="F233" s="546" t="s">
        <v>221</v>
      </c>
      <c r="G233" s="524"/>
      <c r="H233" s="524"/>
      <c r="I233" s="544">
        <v>0</v>
      </c>
      <c r="J233" s="544">
        <v>0</v>
      </c>
      <c r="K233" s="544">
        <v>0</v>
      </c>
      <c r="L233" s="544">
        <v>0</v>
      </c>
      <c r="M233" s="544">
        <v>0</v>
      </c>
      <c r="N233" s="524">
        <f t="shared" si="6"/>
        <v>0</v>
      </c>
      <c r="O233" s="545">
        <f t="shared" si="7"/>
        <v>0</v>
      </c>
    </row>
    <row r="234" spans="1:15" hidden="1" x14ac:dyDescent="0.25">
      <c r="A234" s="524" t="s">
        <v>620</v>
      </c>
      <c r="B234" s="546" t="s">
        <v>220</v>
      </c>
      <c r="C234" s="546"/>
      <c r="D234" s="546" t="s">
        <v>623</v>
      </c>
      <c r="E234" s="546"/>
      <c r="F234" s="546" t="s">
        <v>221</v>
      </c>
      <c r="G234" s="524"/>
      <c r="H234" s="524"/>
      <c r="I234" s="544">
        <v>0</v>
      </c>
      <c r="J234" s="544">
        <v>0</v>
      </c>
      <c r="K234" s="544">
        <v>0</v>
      </c>
      <c r="L234" s="544">
        <v>0</v>
      </c>
      <c r="M234" s="544">
        <v>0</v>
      </c>
      <c r="N234" s="524">
        <f t="shared" si="6"/>
        <v>0</v>
      </c>
      <c r="O234" s="545">
        <f t="shared" si="7"/>
        <v>0</v>
      </c>
    </row>
    <row r="235" spans="1:15" hidden="1" x14ac:dyDescent="0.25">
      <c r="A235" s="524" t="s">
        <v>620</v>
      </c>
      <c r="B235" s="546" t="s">
        <v>211</v>
      </c>
      <c r="C235" s="546"/>
      <c r="D235" s="546" t="s">
        <v>623</v>
      </c>
      <c r="E235" s="546"/>
      <c r="F235" s="546" t="s">
        <v>223</v>
      </c>
      <c r="G235" s="524"/>
      <c r="H235" s="524"/>
      <c r="I235" s="544">
        <v>0</v>
      </c>
      <c r="J235" s="544">
        <v>0</v>
      </c>
      <c r="K235" s="544">
        <v>0</v>
      </c>
      <c r="L235" s="544">
        <v>0</v>
      </c>
      <c r="M235" s="544">
        <v>0</v>
      </c>
      <c r="N235" s="524">
        <f t="shared" si="6"/>
        <v>0</v>
      </c>
      <c r="O235" s="545">
        <f t="shared" si="7"/>
        <v>0</v>
      </c>
    </row>
    <row r="236" spans="1:15" hidden="1" x14ac:dyDescent="0.25">
      <c r="A236" s="524" t="s">
        <v>620</v>
      </c>
      <c r="B236" s="546" t="s">
        <v>215</v>
      </c>
      <c r="C236" s="546"/>
      <c r="D236" s="546" t="s">
        <v>623</v>
      </c>
      <c r="E236" s="546"/>
      <c r="F236" s="546" t="s">
        <v>223</v>
      </c>
      <c r="G236" s="524"/>
      <c r="H236" s="524"/>
      <c r="I236" s="544">
        <v>0</v>
      </c>
      <c r="J236" s="544">
        <v>0</v>
      </c>
      <c r="K236" s="544">
        <v>0</v>
      </c>
      <c r="L236" s="544">
        <v>0</v>
      </c>
      <c r="M236" s="544">
        <v>0</v>
      </c>
      <c r="N236" s="524">
        <f t="shared" si="6"/>
        <v>0</v>
      </c>
      <c r="O236" s="545">
        <f t="shared" si="7"/>
        <v>0</v>
      </c>
    </row>
    <row r="237" spans="1:15" hidden="1" x14ac:dyDescent="0.25">
      <c r="A237" s="524" t="s">
        <v>620</v>
      </c>
      <c r="B237" s="546" t="s">
        <v>216</v>
      </c>
      <c r="C237" s="546"/>
      <c r="D237" s="546" t="s">
        <v>623</v>
      </c>
      <c r="E237" s="546"/>
      <c r="F237" s="546" t="s">
        <v>223</v>
      </c>
      <c r="G237" s="524"/>
      <c r="H237" s="524"/>
      <c r="I237" s="544">
        <v>0</v>
      </c>
      <c r="J237" s="544">
        <v>0</v>
      </c>
      <c r="K237" s="544">
        <v>0</v>
      </c>
      <c r="L237" s="544">
        <v>0</v>
      </c>
      <c r="M237" s="544">
        <v>0</v>
      </c>
      <c r="N237" s="524">
        <f t="shared" si="6"/>
        <v>0</v>
      </c>
      <c r="O237" s="545">
        <f t="shared" si="7"/>
        <v>0</v>
      </c>
    </row>
    <row r="238" spans="1:15" hidden="1" x14ac:dyDescent="0.25">
      <c r="A238" s="524" t="s">
        <v>620</v>
      </c>
      <c r="B238" s="546" t="s">
        <v>217</v>
      </c>
      <c r="C238" s="546"/>
      <c r="D238" s="546" t="s">
        <v>623</v>
      </c>
      <c r="E238" s="546"/>
      <c r="F238" s="546" t="s">
        <v>223</v>
      </c>
      <c r="G238" s="524"/>
      <c r="H238" s="524"/>
      <c r="I238" s="544">
        <v>0</v>
      </c>
      <c r="J238" s="544">
        <v>0</v>
      </c>
      <c r="K238" s="544">
        <v>0</v>
      </c>
      <c r="L238" s="544">
        <v>0</v>
      </c>
      <c r="M238" s="544">
        <v>0</v>
      </c>
      <c r="N238" s="524">
        <f t="shared" si="6"/>
        <v>0</v>
      </c>
      <c r="O238" s="545">
        <f t="shared" si="7"/>
        <v>0</v>
      </c>
    </row>
    <row r="239" spans="1:15" hidden="1" x14ac:dyDescent="0.25">
      <c r="A239" s="524" t="s">
        <v>620</v>
      </c>
      <c r="B239" s="546" t="s">
        <v>218</v>
      </c>
      <c r="C239" s="546"/>
      <c r="D239" s="546" t="s">
        <v>623</v>
      </c>
      <c r="E239" s="546"/>
      <c r="F239" s="546" t="s">
        <v>223</v>
      </c>
      <c r="G239" s="524"/>
      <c r="H239" s="524"/>
      <c r="I239" s="544">
        <v>0</v>
      </c>
      <c r="J239" s="544">
        <v>0</v>
      </c>
      <c r="K239" s="544">
        <v>0</v>
      </c>
      <c r="L239" s="544">
        <v>0</v>
      </c>
      <c r="M239" s="544">
        <v>0</v>
      </c>
      <c r="N239" s="524">
        <f t="shared" si="6"/>
        <v>0</v>
      </c>
      <c r="O239" s="545">
        <f t="shared" si="7"/>
        <v>0</v>
      </c>
    </row>
    <row r="240" spans="1:15" hidden="1" x14ac:dyDescent="0.25">
      <c r="A240" s="524" t="s">
        <v>620</v>
      </c>
      <c r="B240" s="546" t="s">
        <v>219</v>
      </c>
      <c r="C240" s="546"/>
      <c r="D240" s="546" t="s">
        <v>623</v>
      </c>
      <c r="E240" s="546"/>
      <c r="F240" s="546" t="s">
        <v>223</v>
      </c>
      <c r="G240" s="524"/>
      <c r="H240" s="524"/>
      <c r="I240" s="544">
        <v>0</v>
      </c>
      <c r="J240" s="544">
        <v>0</v>
      </c>
      <c r="K240" s="544">
        <v>0</v>
      </c>
      <c r="L240" s="544">
        <v>0</v>
      </c>
      <c r="M240" s="544">
        <v>0</v>
      </c>
      <c r="N240" s="524">
        <f t="shared" si="6"/>
        <v>0</v>
      </c>
      <c r="O240" s="545">
        <f t="shared" si="7"/>
        <v>0</v>
      </c>
    </row>
    <row r="241" spans="1:15" hidden="1" x14ac:dyDescent="0.25">
      <c r="A241" s="524" t="s">
        <v>620</v>
      </c>
      <c r="B241" s="546" t="s">
        <v>220</v>
      </c>
      <c r="C241" s="546"/>
      <c r="D241" s="546" t="s">
        <v>623</v>
      </c>
      <c r="E241" s="546"/>
      <c r="F241" s="546" t="s">
        <v>223</v>
      </c>
      <c r="G241" s="524"/>
      <c r="H241" s="524"/>
      <c r="I241" s="544">
        <v>0</v>
      </c>
      <c r="J241" s="544">
        <v>0</v>
      </c>
      <c r="K241" s="544">
        <v>0</v>
      </c>
      <c r="L241" s="544">
        <v>0</v>
      </c>
      <c r="M241" s="544">
        <v>0</v>
      </c>
      <c r="N241" s="524">
        <f t="shared" si="6"/>
        <v>0</v>
      </c>
      <c r="O241" s="545">
        <f t="shared" si="7"/>
        <v>0</v>
      </c>
    </row>
    <row r="242" spans="1:15" hidden="1" x14ac:dyDescent="0.25">
      <c r="A242" s="515" t="s">
        <v>28</v>
      </c>
      <c r="B242" s="523" t="s">
        <v>39</v>
      </c>
      <c r="C242" s="515" t="s">
        <v>30</v>
      </c>
      <c r="D242" s="515" t="s">
        <v>529</v>
      </c>
      <c r="E242" s="515" t="s">
        <v>40</v>
      </c>
      <c r="F242" s="522" t="s">
        <v>600</v>
      </c>
      <c r="G242" s="515" t="s">
        <v>41</v>
      </c>
      <c r="H242" s="515" t="s">
        <v>292</v>
      </c>
      <c r="I242" s="521"/>
      <c r="J242" s="521"/>
      <c r="K242" s="521"/>
      <c r="L242" s="521"/>
      <c r="M242" s="521">
        <v>398605680.44700003</v>
      </c>
      <c r="N242" s="515">
        <f t="shared" si="6"/>
        <v>0</v>
      </c>
      <c r="O242" s="519">
        <f t="shared" si="7"/>
        <v>0</v>
      </c>
    </row>
    <row r="243" spans="1:15" hidden="1" x14ac:dyDescent="0.25">
      <c r="A243" s="515" t="s">
        <v>59</v>
      </c>
      <c r="B243" s="521" t="s">
        <v>458</v>
      </c>
      <c r="C243" s="521"/>
      <c r="D243" s="521" t="s">
        <v>453</v>
      </c>
      <c r="E243" s="521"/>
      <c r="F243" s="521" t="s">
        <v>459</v>
      </c>
      <c r="G243" s="521" t="s">
        <v>442</v>
      </c>
      <c r="H243" s="515" t="s">
        <v>291</v>
      </c>
      <c r="I243" s="521">
        <v>0</v>
      </c>
      <c r="J243" s="521">
        <v>0</v>
      </c>
      <c r="K243" s="521">
        <v>99588543.879999995</v>
      </c>
      <c r="L243" s="521">
        <v>304359569.74999988</v>
      </c>
      <c r="M243" s="521">
        <v>0</v>
      </c>
      <c r="N243" s="515">
        <f t="shared" si="6"/>
        <v>403948113.62999988</v>
      </c>
      <c r="O243" s="519">
        <f t="shared" si="7"/>
        <v>403948113.62999988</v>
      </c>
    </row>
    <row r="244" spans="1:15" hidden="1" x14ac:dyDescent="0.25">
      <c r="A244" s="515" t="s">
        <v>59</v>
      </c>
      <c r="B244" s="521" t="s">
        <v>458</v>
      </c>
      <c r="C244" s="521"/>
      <c r="D244" s="521" t="s">
        <v>453</v>
      </c>
      <c r="E244" s="521"/>
      <c r="F244" s="521" t="s">
        <v>459</v>
      </c>
      <c r="G244" s="521" t="s">
        <v>442</v>
      </c>
      <c r="H244" s="515" t="s">
        <v>292</v>
      </c>
      <c r="I244" s="521"/>
      <c r="J244" s="521"/>
      <c r="K244" s="521"/>
      <c r="L244" s="521"/>
      <c r="M244" s="521">
        <v>650000</v>
      </c>
      <c r="N244" s="515">
        <f t="shared" ref="N244" si="8">SUM(K244,L244)</f>
        <v>0</v>
      </c>
      <c r="O244" s="519">
        <f t="shared" ref="O244" si="9">SUM(I244:L244)</f>
        <v>0</v>
      </c>
    </row>
    <row r="245" spans="1:15" hidden="1" x14ac:dyDescent="0.25">
      <c r="A245" s="523" t="s">
        <v>59</v>
      </c>
      <c r="B245" s="543" t="s">
        <v>458</v>
      </c>
      <c r="C245" s="543"/>
      <c r="D245" s="556" t="s">
        <v>439</v>
      </c>
      <c r="E245" s="543"/>
      <c r="F245" s="556" t="s">
        <v>459</v>
      </c>
      <c r="G245" s="543" t="s">
        <v>450</v>
      </c>
      <c r="H245" s="523" t="s">
        <v>291</v>
      </c>
      <c r="I245" s="543">
        <v>0</v>
      </c>
      <c r="J245" s="543">
        <v>0</v>
      </c>
      <c r="K245" s="543">
        <v>0</v>
      </c>
      <c r="L245" s="557">
        <v>4068172.7399999998</v>
      </c>
      <c r="M245" s="543">
        <v>0</v>
      </c>
      <c r="N245" s="523">
        <f t="shared" ref="N245:N252" si="10">SUM(K245,L245)</f>
        <v>4068172.7399999998</v>
      </c>
      <c r="O245" s="528">
        <f t="shared" ref="O245:O252" si="11">SUM(I245:L245)</f>
        <v>4068172.7399999998</v>
      </c>
    </row>
    <row r="246" spans="1:15" hidden="1" x14ac:dyDescent="0.25">
      <c r="A246" s="515" t="s">
        <v>92</v>
      </c>
      <c r="B246" s="515" t="s">
        <v>114</v>
      </c>
      <c r="C246" s="515" t="s">
        <v>115</v>
      </c>
      <c r="D246" s="522" t="s">
        <v>621</v>
      </c>
      <c r="E246" s="515" t="s">
        <v>116</v>
      </c>
      <c r="F246" s="522" t="s">
        <v>614</v>
      </c>
      <c r="G246" s="515" t="s">
        <v>117</v>
      </c>
      <c r="H246" s="515" t="s">
        <v>292</v>
      </c>
      <c r="I246" s="521">
        <v>0</v>
      </c>
      <c r="J246" s="521">
        <v>0</v>
      </c>
      <c r="K246" s="521">
        <v>0</v>
      </c>
      <c r="L246" s="521">
        <v>0</v>
      </c>
      <c r="M246" s="521">
        <v>601796653.87660027</v>
      </c>
      <c r="N246" s="515">
        <f t="shared" si="10"/>
        <v>0</v>
      </c>
      <c r="O246" s="519">
        <f t="shared" si="11"/>
        <v>0</v>
      </c>
    </row>
    <row r="247" spans="1:15" hidden="1" x14ac:dyDescent="0.25">
      <c r="A247" s="515" t="s">
        <v>92</v>
      </c>
      <c r="B247" s="515" t="s">
        <v>120</v>
      </c>
      <c r="C247" s="515" t="s">
        <v>115</v>
      </c>
      <c r="D247" s="522" t="s">
        <v>621</v>
      </c>
      <c r="E247" s="515" t="s">
        <v>121</v>
      </c>
      <c r="F247" s="515" t="s">
        <v>396</v>
      </c>
      <c r="G247" s="515" t="s">
        <v>117</v>
      </c>
      <c r="H247" s="515" t="s">
        <v>292</v>
      </c>
      <c r="I247" s="521">
        <v>0</v>
      </c>
      <c r="J247" s="521">
        <v>0</v>
      </c>
      <c r="K247" s="521">
        <v>0</v>
      </c>
      <c r="L247" s="521">
        <v>0</v>
      </c>
      <c r="M247" s="521">
        <v>748324785.27690029</v>
      </c>
      <c r="N247" s="515">
        <f t="shared" si="10"/>
        <v>0</v>
      </c>
      <c r="O247" s="519">
        <f t="shared" si="11"/>
        <v>0</v>
      </c>
    </row>
    <row r="248" spans="1:15" hidden="1" x14ac:dyDescent="0.25">
      <c r="A248" s="515" t="s">
        <v>92</v>
      </c>
      <c r="B248" s="515" t="s">
        <v>111</v>
      </c>
      <c r="C248" s="515" t="s">
        <v>112</v>
      </c>
      <c r="D248" s="522" t="s">
        <v>390</v>
      </c>
      <c r="E248" s="515" t="s">
        <v>113</v>
      </c>
      <c r="F248" s="522" t="s">
        <v>613</v>
      </c>
      <c r="G248" s="515" t="s">
        <v>96</v>
      </c>
      <c r="H248" s="515" t="s">
        <v>292</v>
      </c>
      <c r="I248" s="521">
        <v>0</v>
      </c>
      <c r="J248" s="521">
        <v>0</v>
      </c>
      <c r="K248" s="521">
        <v>0</v>
      </c>
      <c r="L248" s="521">
        <v>0</v>
      </c>
      <c r="M248" s="521">
        <v>136896493.58840001</v>
      </c>
      <c r="N248" s="515">
        <f t="shared" si="10"/>
        <v>0</v>
      </c>
      <c r="O248" s="519">
        <f t="shared" si="11"/>
        <v>0</v>
      </c>
    </row>
    <row r="249" spans="1:15" hidden="1" x14ac:dyDescent="0.25">
      <c r="A249" s="515" t="s">
        <v>92</v>
      </c>
      <c r="B249" s="515" t="s">
        <v>108</v>
      </c>
      <c r="C249" s="515" t="s">
        <v>109</v>
      </c>
      <c r="D249" s="522" t="s">
        <v>390</v>
      </c>
      <c r="E249" s="515" t="s">
        <v>110</v>
      </c>
      <c r="F249" s="522" t="s">
        <v>612</v>
      </c>
      <c r="G249" s="515" t="s">
        <v>96</v>
      </c>
      <c r="H249" s="515" t="s">
        <v>292</v>
      </c>
      <c r="I249" s="521">
        <v>0</v>
      </c>
      <c r="J249" s="521">
        <v>0</v>
      </c>
      <c r="K249" s="521">
        <v>0</v>
      </c>
      <c r="L249" s="521">
        <v>0</v>
      </c>
      <c r="M249" s="521">
        <v>627491536.84229958</v>
      </c>
      <c r="N249" s="515">
        <f t="shared" si="10"/>
        <v>0</v>
      </c>
      <c r="O249" s="519">
        <f t="shared" si="11"/>
        <v>0</v>
      </c>
    </row>
    <row r="250" spans="1:15" hidden="1" x14ac:dyDescent="0.25">
      <c r="A250" s="515" t="s">
        <v>7</v>
      </c>
      <c r="B250" s="515" t="s">
        <v>21</v>
      </c>
      <c r="C250" s="515" t="s">
        <v>9</v>
      </c>
      <c r="D250" s="520" t="s">
        <v>622</v>
      </c>
      <c r="E250" s="515" t="s">
        <v>19</v>
      </c>
      <c r="F250" s="522" t="s">
        <v>319</v>
      </c>
      <c r="G250" s="515" t="s">
        <v>11</v>
      </c>
      <c r="H250" s="515" t="s">
        <v>292</v>
      </c>
      <c r="I250" s="521">
        <v>0</v>
      </c>
      <c r="J250" s="521">
        <v>0</v>
      </c>
      <c r="K250" s="515">
        <v>0</v>
      </c>
      <c r="L250" s="515">
        <v>0</v>
      </c>
      <c r="M250" s="521">
        <v>650000</v>
      </c>
      <c r="N250" s="515">
        <f t="shared" si="10"/>
        <v>0</v>
      </c>
      <c r="O250" s="519">
        <f t="shared" si="11"/>
        <v>0</v>
      </c>
    </row>
    <row r="251" spans="1:15" hidden="1" x14ac:dyDescent="0.25">
      <c r="A251" s="523" t="s">
        <v>140</v>
      </c>
      <c r="B251" s="523" t="s">
        <v>166</v>
      </c>
      <c r="C251" s="523" t="s">
        <v>142</v>
      </c>
      <c r="D251" s="529" t="s">
        <v>495</v>
      </c>
      <c r="E251" s="523" t="s">
        <v>161</v>
      </c>
      <c r="F251" s="530" t="s">
        <v>519</v>
      </c>
      <c r="G251" s="523" t="s">
        <v>96</v>
      </c>
      <c r="H251" s="523" t="s">
        <v>292</v>
      </c>
      <c r="I251" s="523">
        <v>0</v>
      </c>
      <c r="J251" s="523">
        <v>0</v>
      </c>
      <c r="K251" s="531">
        <v>0</v>
      </c>
      <c r="L251" s="523">
        <v>0</v>
      </c>
      <c r="M251" s="523">
        <v>2678030.1171000004</v>
      </c>
      <c r="N251" s="523">
        <f t="shared" si="10"/>
        <v>0</v>
      </c>
      <c r="O251" s="528">
        <f t="shared" si="11"/>
        <v>0</v>
      </c>
    </row>
    <row r="252" spans="1:15" hidden="1" x14ac:dyDescent="0.25">
      <c r="A252" s="515" t="s">
        <v>140</v>
      </c>
      <c r="B252" s="515" t="s">
        <v>171</v>
      </c>
      <c r="C252" s="515" t="s">
        <v>168</v>
      </c>
      <c r="D252" s="522" t="s">
        <v>490</v>
      </c>
      <c r="E252" s="515" t="s">
        <v>169</v>
      </c>
      <c r="F252" s="522" t="s">
        <v>617</v>
      </c>
      <c r="G252" s="547" t="s">
        <v>96</v>
      </c>
      <c r="H252" s="515" t="s">
        <v>291</v>
      </c>
      <c r="I252" s="521">
        <v>0</v>
      </c>
      <c r="J252" s="521">
        <v>0</v>
      </c>
      <c r="K252" s="521">
        <v>0</v>
      </c>
      <c r="L252" s="521">
        <v>492352.85000000003</v>
      </c>
      <c r="M252" s="521">
        <v>0</v>
      </c>
      <c r="N252" s="515">
        <f t="shared" si="10"/>
        <v>492352.85000000003</v>
      </c>
      <c r="O252" s="519">
        <f t="shared" si="11"/>
        <v>492352.85000000003</v>
      </c>
    </row>
    <row r="253" spans="1:15" hidden="1" x14ac:dyDescent="0.25">
      <c r="A253" s="515" t="s">
        <v>140</v>
      </c>
      <c r="B253" s="515" t="s">
        <v>171</v>
      </c>
      <c r="C253" s="515" t="s">
        <v>168</v>
      </c>
      <c r="D253" s="522" t="s">
        <v>490</v>
      </c>
      <c r="E253" s="515" t="s">
        <v>169</v>
      </c>
      <c r="F253" s="522" t="s">
        <v>617</v>
      </c>
      <c r="G253" s="547" t="s">
        <v>96</v>
      </c>
      <c r="H253" s="515" t="s">
        <v>292</v>
      </c>
      <c r="I253" s="521">
        <v>0</v>
      </c>
      <c r="J253" s="521">
        <v>0</v>
      </c>
      <c r="K253" s="521">
        <v>0</v>
      </c>
      <c r="L253" s="521">
        <v>0</v>
      </c>
      <c r="M253" s="521">
        <v>104971901.41360001</v>
      </c>
      <c r="N253" s="515">
        <f t="shared" ref="N253:N254" si="12">SUM(K253,L253)</f>
        <v>0</v>
      </c>
      <c r="O253" s="519">
        <f t="shared" ref="O253:O254" si="13">SUM(I253:L253)</f>
        <v>0</v>
      </c>
    </row>
    <row r="254" spans="1:15" hidden="1" x14ac:dyDescent="0.25">
      <c r="A254" s="515" t="s">
        <v>140</v>
      </c>
      <c r="B254" s="524" t="s">
        <v>167</v>
      </c>
      <c r="C254" s="515" t="s">
        <v>168</v>
      </c>
      <c r="D254" s="522" t="s">
        <v>490</v>
      </c>
      <c r="E254" s="515" t="s">
        <v>169</v>
      </c>
      <c r="F254" s="522" t="s">
        <v>617</v>
      </c>
      <c r="G254" s="547" t="s">
        <v>96</v>
      </c>
      <c r="H254" s="515" t="s">
        <v>291</v>
      </c>
      <c r="I254" s="521">
        <v>0</v>
      </c>
      <c r="J254" s="521">
        <v>0</v>
      </c>
      <c r="K254" s="521">
        <v>0</v>
      </c>
      <c r="L254" s="526">
        <v>7100323.7600000007</v>
      </c>
      <c r="M254" s="521">
        <v>0</v>
      </c>
      <c r="N254" s="515">
        <f t="shared" si="12"/>
        <v>7100323.7600000007</v>
      </c>
      <c r="O254" s="519">
        <f t="shared" si="13"/>
        <v>7100323.7600000007</v>
      </c>
    </row>
    <row r="255" spans="1:15" hidden="1" x14ac:dyDescent="0.25">
      <c r="A255" s="515" t="s">
        <v>140</v>
      </c>
      <c r="B255" s="524" t="s">
        <v>493</v>
      </c>
      <c r="C255" s="515" t="s">
        <v>168</v>
      </c>
      <c r="D255" s="522" t="s">
        <v>490</v>
      </c>
      <c r="E255" s="515" t="s">
        <v>169</v>
      </c>
      <c r="F255" s="522" t="s">
        <v>617</v>
      </c>
      <c r="G255" s="547" t="s">
        <v>170</v>
      </c>
      <c r="H255" s="515" t="s">
        <v>291</v>
      </c>
      <c r="I255" s="521">
        <v>0</v>
      </c>
      <c r="J255" s="521">
        <v>0</v>
      </c>
      <c r="K255" s="521">
        <v>0</v>
      </c>
      <c r="L255" s="526">
        <v>16462739.199999999</v>
      </c>
      <c r="M255" s="521">
        <v>0</v>
      </c>
      <c r="N255" s="515">
        <f t="shared" ref="N255:N265" si="14">SUM(K255,L255)</f>
        <v>16462739.199999999</v>
      </c>
      <c r="O255" s="519">
        <f t="shared" ref="O255:O265" si="15">SUM(I255:L255)</f>
        <v>16462739.199999999</v>
      </c>
    </row>
    <row r="256" spans="1:15" hidden="1" x14ac:dyDescent="0.25">
      <c r="A256" s="515" t="s">
        <v>140</v>
      </c>
      <c r="B256" s="521" t="s">
        <v>517</v>
      </c>
      <c r="C256" s="521"/>
      <c r="D256" s="548" t="s">
        <v>503</v>
      </c>
      <c r="E256" s="521"/>
      <c r="F256" s="549" t="s">
        <v>520</v>
      </c>
      <c r="G256" s="547" t="s">
        <v>96</v>
      </c>
      <c r="H256" s="515" t="s">
        <v>291</v>
      </c>
      <c r="I256" s="521">
        <v>0</v>
      </c>
      <c r="J256" s="521">
        <v>0</v>
      </c>
      <c r="K256" s="521">
        <v>0</v>
      </c>
      <c r="L256" s="526">
        <v>30155136.449999988</v>
      </c>
      <c r="M256" s="521">
        <v>0</v>
      </c>
      <c r="N256" s="515">
        <f t="shared" si="14"/>
        <v>30155136.449999988</v>
      </c>
      <c r="O256" s="519">
        <f t="shared" si="15"/>
        <v>30155136.449999988</v>
      </c>
    </row>
    <row r="257" spans="1:16" hidden="1" x14ac:dyDescent="0.25">
      <c r="A257" s="515" t="s">
        <v>140</v>
      </c>
      <c r="B257" s="521" t="s">
        <v>517</v>
      </c>
      <c r="C257" s="521"/>
      <c r="D257" s="521" t="s">
        <v>507</v>
      </c>
      <c r="E257" s="521"/>
      <c r="F257" s="521" t="s">
        <v>513</v>
      </c>
      <c r="G257" s="515"/>
      <c r="H257" s="515" t="s">
        <v>292</v>
      </c>
      <c r="I257" s="521">
        <v>0</v>
      </c>
      <c r="J257" s="521">
        <v>0</v>
      </c>
      <c r="K257" s="521">
        <v>0</v>
      </c>
      <c r="L257" s="521">
        <v>0</v>
      </c>
      <c r="M257" s="521">
        <v>195799301.25860009</v>
      </c>
      <c r="N257" s="515">
        <f t="shared" si="14"/>
        <v>0</v>
      </c>
      <c r="O257" s="519">
        <f t="shared" si="15"/>
        <v>0</v>
      </c>
    </row>
    <row r="258" spans="1:16" hidden="1" x14ac:dyDescent="0.25">
      <c r="A258" s="515" t="s">
        <v>7</v>
      </c>
      <c r="B258" s="523" t="s">
        <v>17</v>
      </c>
      <c r="C258" s="515"/>
      <c r="D258" s="520" t="s">
        <v>365</v>
      </c>
      <c r="E258" s="515"/>
      <c r="F258" s="522" t="s">
        <v>365</v>
      </c>
      <c r="G258" s="515" t="s">
        <v>11</v>
      </c>
      <c r="H258" s="515" t="s">
        <v>292</v>
      </c>
      <c r="I258" s="521">
        <v>0</v>
      </c>
      <c r="J258" s="515">
        <v>0</v>
      </c>
      <c r="K258" s="515">
        <v>0</v>
      </c>
      <c r="L258" s="515">
        <v>0</v>
      </c>
      <c r="M258" s="515">
        <v>741268860.08500016</v>
      </c>
      <c r="N258" s="515">
        <f t="shared" si="14"/>
        <v>0</v>
      </c>
      <c r="O258" s="519">
        <f t="shared" si="15"/>
        <v>0</v>
      </c>
    </row>
    <row r="259" spans="1:16" hidden="1" x14ac:dyDescent="0.25">
      <c r="A259" s="515" t="s">
        <v>7</v>
      </c>
      <c r="B259" s="523" t="s">
        <v>23</v>
      </c>
      <c r="C259" s="515"/>
      <c r="D259" s="550" t="s">
        <v>362</v>
      </c>
      <c r="E259" s="515"/>
      <c r="F259" s="550" t="s">
        <v>366</v>
      </c>
      <c r="G259" s="515"/>
      <c r="H259" s="515" t="s">
        <v>292</v>
      </c>
      <c r="I259" s="521">
        <v>0</v>
      </c>
      <c r="J259" s="515">
        <v>0</v>
      </c>
      <c r="K259" s="515">
        <v>0</v>
      </c>
      <c r="L259" s="515"/>
      <c r="M259" s="515">
        <v>409132633.48490024</v>
      </c>
      <c r="N259" s="515">
        <f t="shared" si="14"/>
        <v>0</v>
      </c>
      <c r="O259" s="519">
        <f t="shared" si="15"/>
        <v>0</v>
      </c>
    </row>
    <row r="260" spans="1:16" hidden="1" x14ac:dyDescent="0.25">
      <c r="A260" s="515" t="s">
        <v>7</v>
      </c>
      <c r="B260" s="523" t="s">
        <v>25</v>
      </c>
      <c r="C260" s="515" t="s">
        <v>9</v>
      </c>
      <c r="D260" s="550" t="s">
        <v>362</v>
      </c>
      <c r="E260" s="515" t="s">
        <v>24</v>
      </c>
      <c r="F260" s="550" t="s">
        <v>363</v>
      </c>
      <c r="G260" s="515"/>
      <c r="H260" s="515" t="s">
        <v>292</v>
      </c>
      <c r="I260" s="521">
        <v>0</v>
      </c>
      <c r="J260" s="515">
        <v>0</v>
      </c>
      <c r="K260" s="515">
        <v>0</v>
      </c>
      <c r="L260" s="515">
        <v>0</v>
      </c>
      <c r="M260" s="525">
        <v>600256169.04110003</v>
      </c>
      <c r="N260" s="515">
        <f t="shared" si="14"/>
        <v>0</v>
      </c>
      <c r="O260" s="519">
        <f t="shared" si="15"/>
        <v>0</v>
      </c>
    </row>
    <row r="261" spans="1:16" hidden="1" x14ac:dyDescent="0.25">
      <c r="A261" s="515" t="s">
        <v>7</v>
      </c>
      <c r="B261" s="523" t="s">
        <v>26</v>
      </c>
      <c r="C261" s="515"/>
      <c r="D261" s="550" t="s">
        <v>362</v>
      </c>
      <c r="E261" s="550" t="s">
        <v>366</v>
      </c>
      <c r="F261" s="522"/>
      <c r="G261" s="515"/>
      <c r="H261" s="515" t="s">
        <v>292</v>
      </c>
      <c r="I261" s="521">
        <v>0</v>
      </c>
      <c r="J261" s="521">
        <v>0</v>
      </c>
      <c r="K261" s="515">
        <v>0</v>
      </c>
      <c r="L261" s="521">
        <v>0</v>
      </c>
      <c r="M261" s="525">
        <v>241381462.22059995</v>
      </c>
      <c r="N261" s="515">
        <f t="shared" si="14"/>
        <v>0</v>
      </c>
      <c r="O261" s="519">
        <f t="shared" si="15"/>
        <v>0</v>
      </c>
    </row>
    <row r="262" spans="1:16" hidden="1" x14ac:dyDescent="0.25">
      <c r="A262" s="515" t="s">
        <v>7</v>
      </c>
      <c r="B262" s="523" t="s">
        <v>22</v>
      </c>
      <c r="C262" s="515"/>
      <c r="D262" s="550" t="s">
        <v>362</v>
      </c>
      <c r="E262" s="515"/>
      <c r="F262" s="550" t="s">
        <v>363</v>
      </c>
      <c r="G262" s="515"/>
      <c r="H262" s="515" t="s">
        <v>292</v>
      </c>
      <c r="I262" s="515">
        <v>0</v>
      </c>
      <c r="J262" s="515">
        <v>0</v>
      </c>
      <c r="K262" s="515">
        <v>0</v>
      </c>
      <c r="L262" s="515">
        <v>0</v>
      </c>
      <c r="M262" s="525">
        <v>850113432.71010005</v>
      </c>
      <c r="N262" s="515">
        <f t="shared" si="14"/>
        <v>0</v>
      </c>
      <c r="O262" s="519">
        <f t="shared" si="15"/>
        <v>0</v>
      </c>
    </row>
    <row r="263" spans="1:16" hidden="1" x14ac:dyDescent="0.25">
      <c r="A263" s="515" t="s">
        <v>7</v>
      </c>
      <c r="B263" s="515" t="s">
        <v>18</v>
      </c>
      <c r="C263" s="515"/>
      <c r="D263" s="284" t="s">
        <v>364</v>
      </c>
      <c r="E263" s="515"/>
      <c r="F263" s="272" t="s">
        <v>365</v>
      </c>
      <c r="G263" s="515"/>
      <c r="H263" s="515" t="s">
        <v>292</v>
      </c>
      <c r="I263" s="515">
        <v>0</v>
      </c>
      <c r="J263" s="515">
        <v>0</v>
      </c>
      <c r="K263" s="515">
        <v>0</v>
      </c>
      <c r="L263" s="515">
        <v>0</v>
      </c>
      <c r="M263" s="219">
        <v>480428274.77450013</v>
      </c>
      <c r="N263" s="515">
        <f t="shared" si="14"/>
        <v>0</v>
      </c>
      <c r="O263" s="519">
        <f t="shared" si="15"/>
        <v>0</v>
      </c>
    </row>
    <row r="264" spans="1:16" hidden="1" x14ac:dyDescent="0.25">
      <c r="A264" s="515" t="s">
        <v>7</v>
      </c>
      <c r="B264" s="515" t="s">
        <v>27</v>
      </c>
      <c r="C264" s="515"/>
      <c r="D264" s="284" t="s">
        <v>362</v>
      </c>
      <c r="E264" s="515"/>
      <c r="F264" s="272" t="s">
        <v>363</v>
      </c>
      <c r="G264" s="515"/>
      <c r="H264" s="515" t="s">
        <v>292</v>
      </c>
      <c r="I264" s="521">
        <v>0</v>
      </c>
      <c r="J264" s="515">
        <v>0</v>
      </c>
      <c r="K264" s="515">
        <v>0</v>
      </c>
      <c r="L264" s="515">
        <v>0</v>
      </c>
      <c r="M264" s="219">
        <v>118931747.26550004</v>
      </c>
      <c r="N264" s="515">
        <f t="shared" si="14"/>
        <v>0</v>
      </c>
      <c r="O264" s="519">
        <f t="shared" si="15"/>
        <v>0</v>
      </c>
    </row>
    <row r="265" spans="1:16" hidden="1" x14ac:dyDescent="0.25">
      <c r="A265" s="515" t="s">
        <v>7</v>
      </c>
      <c r="B265" s="515" t="s">
        <v>20</v>
      </c>
      <c r="C265" s="515"/>
      <c r="D265" s="284" t="s">
        <v>364</v>
      </c>
      <c r="E265" s="515"/>
      <c r="F265" s="272" t="s">
        <v>365</v>
      </c>
      <c r="G265" s="515"/>
      <c r="H265" s="515" t="s">
        <v>292</v>
      </c>
      <c r="I265" s="515">
        <v>0</v>
      </c>
      <c r="J265" s="515">
        <v>0</v>
      </c>
      <c r="K265" s="521">
        <v>0</v>
      </c>
      <c r="L265" s="515">
        <v>0</v>
      </c>
      <c r="M265" s="515">
        <v>662172794.79000032</v>
      </c>
      <c r="N265" s="515">
        <f t="shared" si="14"/>
        <v>0</v>
      </c>
      <c r="O265" s="519">
        <f t="shared" si="15"/>
        <v>0</v>
      </c>
    </row>
    <row r="266" spans="1:16" x14ac:dyDescent="0.25">
      <c r="I266" s="521"/>
      <c r="J266" s="521"/>
      <c r="K266" s="521"/>
      <c r="L266" s="521"/>
    </row>
    <row r="267" spans="1:16" x14ac:dyDescent="0.25">
      <c r="I267" s="521"/>
      <c r="J267" s="521"/>
      <c r="K267" s="521"/>
      <c r="L267" s="521"/>
    </row>
    <row r="268" spans="1:16" x14ac:dyDescent="0.25">
      <c r="I268" s="521"/>
      <c r="J268" s="521"/>
      <c r="K268" s="521"/>
      <c r="L268" s="521"/>
    </row>
    <row r="269" spans="1:16" x14ac:dyDescent="0.25">
      <c r="B269" s="551"/>
      <c r="C269" s="552"/>
      <c r="D269" s="550"/>
      <c r="E269" s="550"/>
      <c r="F269" s="550"/>
      <c r="G269" s="550"/>
      <c r="H269" s="550"/>
      <c r="I269" s="550"/>
      <c r="J269" s="525"/>
      <c r="K269" s="525"/>
      <c r="L269" s="525"/>
      <c r="M269" s="526"/>
      <c r="N269" s="525"/>
      <c r="O269" s="525"/>
      <c r="P269" s="525"/>
    </row>
    <row r="270" spans="1:16" x14ac:dyDescent="0.25">
      <c r="I270" s="521"/>
      <c r="J270" s="521"/>
      <c r="K270" s="521"/>
      <c r="L270" s="521"/>
    </row>
    <row r="271" spans="1:16" x14ac:dyDescent="0.25">
      <c r="I271" s="521"/>
      <c r="J271" s="521"/>
      <c r="K271" s="521"/>
      <c r="L271" s="521"/>
    </row>
    <row r="272" spans="1:16" x14ac:dyDescent="0.25">
      <c r="I272" s="521"/>
      <c r="J272" s="521"/>
      <c r="K272" s="521"/>
      <c r="L272" s="521"/>
    </row>
    <row r="273" spans="9:12" x14ac:dyDescent="0.25">
      <c r="I273" s="521"/>
      <c r="J273" s="521"/>
      <c r="K273" s="521"/>
      <c r="L273" s="521"/>
    </row>
    <row r="274" spans="9:12" x14ac:dyDescent="0.25">
      <c r="I274" s="521"/>
      <c r="J274" s="521"/>
      <c r="K274" s="521"/>
      <c r="L274" s="521"/>
    </row>
    <row r="275" spans="9:12" x14ac:dyDescent="0.25">
      <c r="I275" s="521"/>
      <c r="J275" s="521"/>
      <c r="K275" s="521"/>
      <c r="L275" s="521"/>
    </row>
    <row r="276" spans="9:12" x14ac:dyDescent="0.25">
      <c r="I276" s="521"/>
      <c r="J276" s="521"/>
      <c r="K276" s="521"/>
      <c r="L276" s="521"/>
    </row>
    <row r="277" spans="9:12" x14ac:dyDescent="0.25">
      <c r="I277" s="521"/>
      <c r="J277" s="521"/>
      <c r="K277" s="521"/>
      <c r="L277" s="521"/>
    </row>
    <row r="278" spans="9:12" x14ac:dyDescent="0.25">
      <c r="I278" s="521"/>
      <c r="J278" s="521"/>
      <c r="K278" s="521"/>
      <c r="L278" s="521"/>
    </row>
    <row r="279" spans="9:12" x14ac:dyDescent="0.25">
      <c r="I279" s="521"/>
      <c r="J279" s="521"/>
      <c r="K279" s="521"/>
      <c r="L279" s="521"/>
    </row>
    <row r="280" spans="9:12" x14ac:dyDescent="0.25">
      <c r="I280" s="521"/>
      <c r="J280" s="521"/>
      <c r="K280" s="521"/>
      <c r="L280" s="521"/>
    </row>
    <row r="281" spans="9:12" x14ac:dyDescent="0.25">
      <c r="I281" s="521"/>
      <c r="J281" s="521"/>
      <c r="K281" s="521"/>
      <c r="L281" s="521"/>
    </row>
    <row r="282" spans="9:12" x14ac:dyDescent="0.25">
      <c r="I282" s="521"/>
      <c r="J282" s="521"/>
      <c r="K282" s="521"/>
      <c r="L282" s="521"/>
    </row>
  </sheetData>
  <autoFilter ref="A1:O265" xr:uid="{A4DB10FA-9AD6-4619-856C-AAD60922D00B}">
    <filterColumn colId="7">
      <filters>
        <filter val="Execution"/>
      </filters>
    </filterColumn>
    <filterColumn colId="12">
      <filters>
        <filter val="0"/>
      </filters>
    </filterColumn>
  </autoFilter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CA52-91BE-4803-BD9C-37EB40B95324}">
  <sheetPr filterMode="1">
    <tabColor rgb="FF92D050"/>
  </sheetPr>
  <dimension ref="A1:AQ268"/>
  <sheetViews>
    <sheetView zoomScale="85" zoomScaleNormal="85" workbookViewId="0">
      <selection activeCell="P199" sqref="P199"/>
    </sheetView>
  </sheetViews>
  <sheetFormatPr defaultColWidth="8.7109375" defaultRowHeight="15" x14ac:dyDescent="0.25"/>
  <cols>
    <col min="1" max="1" width="8.7109375" style="272"/>
    <col min="2" max="2" width="23.28515625" style="272" customWidth="1"/>
    <col min="3" max="3" width="12.7109375" style="272" customWidth="1"/>
    <col min="4" max="4" width="35.5703125" style="272" bestFit="1" customWidth="1"/>
    <col min="5" max="5" width="43.28515625" style="272" bestFit="1" customWidth="1"/>
    <col min="6" max="6" width="31.7109375" style="272" bestFit="1" customWidth="1"/>
    <col min="7" max="8" width="11.28515625" style="272" customWidth="1"/>
    <col min="9" max="9" width="19.28515625" style="272" bestFit="1" customWidth="1"/>
    <col min="10" max="18" width="22.140625" customWidth="1"/>
    <col min="19" max="19" width="32.5703125" style="274" customWidth="1"/>
    <col min="20" max="20" width="14" style="180" customWidth="1"/>
    <col min="21" max="21" width="16.28515625" style="180" customWidth="1"/>
    <col min="22" max="23" width="11.28515625" style="180" customWidth="1"/>
    <col min="24" max="24" width="18.5703125" style="180" customWidth="1"/>
    <col min="25" max="25" width="11.28515625" style="180" customWidth="1"/>
    <col min="26" max="26" width="15.42578125" style="180" customWidth="1"/>
    <col min="27" max="29" width="11.28515625" style="180" customWidth="1"/>
    <col min="30" max="30" width="15.7109375" style="273" customWidth="1"/>
    <col min="31" max="31" width="14.28515625" style="273" customWidth="1"/>
    <col min="32" max="32" width="14.7109375" style="273" customWidth="1"/>
    <col min="33" max="33" width="13.5703125" style="273" customWidth="1"/>
    <col min="34" max="34" width="16.7109375" style="180" customWidth="1"/>
    <col min="35" max="35" width="14.42578125" style="273" customWidth="1"/>
    <col min="36" max="36" width="15.5703125" style="273" customWidth="1"/>
    <col min="37" max="37" width="16.7109375" style="273" customWidth="1"/>
    <col min="38" max="38" width="18.28515625" style="272" bestFit="1" customWidth="1"/>
    <col min="39" max="39" width="14.28515625" style="272" customWidth="1"/>
    <col min="40" max="42" width="8.7109375" style="272"/>
    <col min="43" max="43" width="10.5703125" style="272" bestFit="1" customWidth="1"/>
    <col min="44" max="16384" width="8.7109375" style="272"/>
  </cols>
  <sheetData>
    <row r="1" spans="1:43" ht="15.75" thickBot="1" x14ac:dyDescent="0.3">
      <c r="B1" s="233"/>
      <c r="C1" s="234"/>
      <c r="D1"/>
      <c r="E1" s="234"/>
      <c r="F1" s="234"/>
      <c r="G1" s="235"/>
      <c r="H1" s="235"/>
      <c r="I1" s="236"/>
      <c r="J1" s="1"/>
      <c r="K1" s="1"/>
      <c r="L1" s="1"/>
      <c r="M1" s="1"/>
      <c r="N1" s="1"/>
      <c r="O1" s="1"/>
      <c r="P1" s="1"/>
      <c r="Q1" s="1"/>
      <c r="R1" s="1"/>
      <c r="S1" s="492" t="s">
        <v>184</v>
      </c>
      <c r="T1" s="493"/>
      <c r="U1" s="493"/>
      <c r="V1" s="493"/>
      <c r="W1" s="493"/>
      <c r="X1" s="493"/>
      <c r="Y1" s="493"/>
      <c r="Z1" s="493"/>
      <c r="AA1" s="493"/>
      <c r="AB1" s="493"/>
      <c r="AC1" s="494"/>
      <c r="AD1" s="492" t="s">
        <v>185</v>
      </c>
      <c r="AE1" s="493"/>
      <c r="AF1" s="493"/>
      <c r="AG1" s="493"/>
      <c r="AH1" s="493"/>
      <c r="AI1" s="493"/>
      <c r="AJ1" s="493"/>
      <c r="AK1" s="493"/>
      <c r="AL1" s="495"/>
      <c r="AM1" s="495"/>
      <c r="AN1" s="496"/>
      <c r="AQ1" s="288" t="s">
        <v>289</v>
      </c>
    </row>
    <row r="2" spans="1:43" ht="54.6" customHeight="1" thickBot="1" x14ac:dyDescent="0.3">
      <c r="B2" s="237"/>
      <c r="C2" s="237"/>
      <c r="D2" s="237"/>
      <c r="E2" s="237"/>
      <c r="F2" s="237"/>
      <c r="G2" s="238"/>
      <c r="H2" s="238"/>
      <c r="I2" s="238"/>
      <c r="J2" s="13" t="s">
        <v>290</v>
      </c>
      <c r="K2" s="490" t="s">
        <v>291</v>
      </c>
      <c r="L2" s="490"/>
      <c r="M2" s="490"/>
      <c r="N2" s="490" t="s">
        <v>292</v>
      </c>
      <c r="O2" s="490"/>
      <c r="P2" s="490"/>
      <c r="Q2" s="490"/>
      <c r="R2" s="491"/>
      <c r="S2" s="497" t="s">
        <v>186</v>
      </c>
      <c r="T2" s="498"/>
      <c r="U2" s="309" t="s">
        <v>187</v>
      </c>
      <c r="V2" s="308" t="s">
        <v>187</v>
      </c>
      <c r="W2" s="307" t="s">
        <v>187</v>
      </c>
      <c r="X2" s="308" t="s">
        <v>188</v>
      </c>
      <c r="Y2" s="308" t="s">
        <v>188</v>
      </c>
      <c r="Z2" s="308" t="s">
        <v>188</v>
      </c>
      <c r="AA2" s="308" t="s">
        <v>188</v>
      </c>
      <c r="AB2" s="308" t="s">
        <v>188</v>
      </c>
      <c r="AC2" s="307" t="s">
        <v>188</v>
      </c>
      <c r="AD2" s="497" t="s">
        <v>189</v>
      </c>
      <c r="AE2" s="499"/>
      <c r="AF2" s="499"/>
      <c r="AG2" s="499"/>
      <c r="AH2" s="499"/>
      <c r="AI2" s="499"/>
      <c r="AJ2" s="499"/>
      <c r="AK2" s="500"/>
      <c r="AL2" s="501" t="s">
        <v>293</v>
      </c>
      <c r="AM2" s="502"/>
      <c r="AN2" s="503"/>
    </row>
    <row r="3" spans="1:43" ht="60.75" thickBot="1" x14ac:dyDescent="0.3">
      <c r="B3" s="239" t="s">
        <v>190</v>
      </c>
      <c r="C3" s="240" t="s">
        <v>191</v>
      </c>
      <c r="D3" s="240" t="s">
        <v>192</v>
      </c>
      <c r="E3" s="241" t="s">
        <v>193</v>
      </c>
      <c r="F3" s="239" t="s">
        <v>194</v>
      </c>
      <c r="G3" s="242" t="s">
        <v>195</v>
      </c>
      <c r="H3" s="243" t="s">
        <v>196</v>
      </c>
      <c r="I3" s="243" t="s">
        <v>197</v>
      </c>
      <c r="J3" s="231" t="s">
        <v>290</v>
      </c>
      <c r="K3" s="231" t="s">
        <v>294</v>
      </c>
      <c r="L3" s="231" t="s">
        <v>295</v>
      </c>
      <c r="M3" s="231" t="s">
        <v>296</v>
      </c>
      <c r="N3" s="231" t="s">
        <v>297</v>
      </c>
      <c r="O3" s="231" t="s">
        <v>298</v>
      </c>
      <c r="P3" s="231" t="s">
        <v>299</v>
      </c>
      <c r="Q3" s="231" t="s">
        <v>300</v>
      </c>
      <c r="R3" s="231" t="s">
        <v>301</v>
      </c>
      <c r="S3" s="306" t="s">
        <v>302</v>
      </c>
      <c r="T3" s="305" t="s">
        <v>303</v>
      </c>
      <c r="U3" s="302" t="s">
        <v>304</v>
      </c>
      <c r="V3" s="303" t="s">
        <v>305</v>
      </c>
      <c r="W3" s="304" t="s">
        <v>201</v>
      </c>
      <c r="X3" s="303" t="s">
        <v>202</v>
      </c>
      <c r="Y3" s="303" t="s">
        <v>204</v>
      </c>
      <c r="Z3" s="303" t="s">
        <v>205</v>
      </c>
      <c r="AA3" s="303" t="s">
        <v>206</v>
      </c>
      <c r="AB3" s="303" t="s">
        <v>207</v>
      </c>
      <c r="AC3" s="304" t="s">
        <v>208</v>
      </c>
      <c r="AD3" s="302" t="s">
        <v>306</v>
      </c>
      <c r="AE3" s="303" t="s">
        <v>307</v>
      </c>
      <c r="AF3" s="303" t="s">
        <v>308</v>
      </c>
      <c r="AG3" s="303" t="s">
        <v>309</v>
      </c>
      <c r="AH3" s="303" t="s">
        <v>310</v>
      </c>
      <c r="AI3" s="302" t="s">
        <v>311</v>
      </c>
      <c r="AJ3" s="301" t="s">
        <v>312</v>
      </c>
      <c r="AK3" s="300" t="s">
        <v>313</v>
      </c>
      <c r="AL3" s="244" t="s">
        <v>306</v>
      </c>
      <c r="AM3" s="246" t="s">
        <v>307</v>
      </c>
      <c r="AN3" s="245" t="s">
        <v>314</v>
      </c>
      <c r="AO3" s="247" t="s">
        <v>315</v>
      </c>
      <c r="AQ3" s="272" t="s">
        <v>316</v>
      </c>
    </row>
    <row r="4" spans="1:43" ht="14.65" hidden="1" customHeight="1" x14ac:dyDescent="0.25">
      <c r="A4" s="272" t="str">
        <f t="shared" ref="A4:A67" si="0">B4&amp;D4&amp;E4</f>
        <v>ВладимирскаяDDM MOS Sladkaay ZhiznTSL MOS N.Novgorod</v>
      </c>
      <c r="B4" s="248" t="s">
        <v>22</v>
      </c>
      <c r="C4" s="249" t="s">
        <v>317</v>
      </c>
      <c r="D4" s="249" t="s">
        <v>318</v>
      </c>
      <c r="E4" s="250" t="s">
        <v>319</v>
      </c>
      <c r="F4" s="251" t="s">
        <v>320</v>
      </c>
      <c r="G4" s="292">
        <v>1</v>
      </c>
      <c r="H4" s="292"/>
      <c r="I4" s="292"/>
      <c r="J4" s="219">
        <f>SUM(S4:T4)</f>
        <v>0</v>
      </c>
      <c r="K4" s="219">
        <f>SUM(U4:W4)</f>
        <v>0</v>
      </c>
      <c r="L4" s="219">
        <f>X4</f>
        <v>0</v>
      </c>
      <c r="M4" s="232">
        <f>SUM(Y4:AC4)</f>
        <v>95205964.680000037</v>
      </c>
      <c r="N4" s="219">
        <f>SUM(AD4:AF4)</f>
        <v>0</v>
      </c>
      <c r="O4" s="219">
        <f>AH4</f>
        <v>21794935.420000013</v>
      </c>
      <c r="P4" s="219">
        <f>AI4</f>
        <v>0</v>
      </c>
      <c r="Q4" s="219">
        <f>SUM(AL4:AN4)</f>
        <v>0</v>
      </c>
      <c r="R4" s="131"/>
      <c r="S4" s="294"/>
      <c r="T4" s="449"/>
      <c r="U4" s="449">
        <v>0</v>
      </c>
      <c r="V4" s="449">
        <v>0</v>
      </c>
      <c r="W4" s="449">
        <v>0</v>
      </c>
      <c r="Y4" s="449">
        <v>10571962.099999998</v>
      </c>
      <c r="Z4" s="449">
        <v>48724054.519999996</v>
      </c>
      <c r="AA4" s="449">
        <v>0</v>
      </c>
      <c r="AB4" s="449">
        <v>22322163.200000044</v>
      </c>
      <c r="AC4" s="449">
        <v>13587784.859999998</v>
      </c>
      <c r="AD4" s="272"/>
      <c r="AE4" s="272"/>
      <c r="AF4" s="272"/>
      <c r="AG4" s="272"/>
      <c r="AH4" s="449">
        <v>21794935.420000013</v>
      </c>
      <c r="AI4" s="272"/>
      <c r="AJ4" s="272"/>
      <c r="AK4" s="272"/>
      <c r="AO4" s="275" t="s">
        <v>321</v>
      </c>
    </row>
    <row r="5" spans="1:43" ht="14.65" hidden="1" customHeight="1" x14ac:dyDescent="0.25">
      <c r="A5" s="272" t="str">
        <f t="shared" si="0"/>
        <v>ВладимирскаяDDM MOS Sladkaay ZhiznTSL MOS N.Novgorod</v>
      </c>
      <c r="B5" s="248" t="s">
        <v>22</v>
      </c>
      <c r="C5" s="249" t="s">
        <v>317</v>
      </c>
      <c r="D5" s="249" t="s">
        <v>318</v>
      </c>
      <c r="E5" s="250" t="s">
        <v>319</v>
      </c>
      <c r="F5" s="251" t="s">
        <v>322</v>
      </c>
      <c r="G5" s="292"/>
      <c r="H5" s="292"/>
      <c r="I5" s="292"/>
      <c r="J5" s="219">
        <f t="shared" ref="J5:J68" si="1">SUM(S5:T5)</f>
        <v>0</v>
      </c>
      <c r="K5" s="219">
        <f t="shared" ref="K5:K68" si="2">SUM(U5:W5)</f>
        <v>0</v>
      </c>
      <c r="L5" s="219">
        <f t="shared" ref="L5:L68" si="3">X5</f>
        <v>0</v>
      </c>
      <c r="M5" s="232">
        <f t="shared" ref="M5:M68" si="4">SUM(Y5:AC5)</f>
        <v>50034.48</v>
      </c>
      <c r="N5" s="219">
        <f t="shared" ref="N5:N68" si="5">SUM(AD5:AF5)</f>
        <v>0</v>
      </c>
      <c r="O5" s="219">
        <f t="shared" ref="O5:O68" si="6">AH5</f>
        <v>34922534.530000046</v>
      </c>
      <c r="P5" s="219">
        <f t="shared" ref="P5:P68" si="7">AI5</f>
        <v>0</v>
      </c>
      <c r="Q5" s="219">
        <f t="shared" ref="Q5:Q68" si="8">SUM(AL5:AN5)</f>
        <v>0</v>
      </c>
      <c r="R5" s="131"/>
      <c r="S5" s="294"/>
      <c r="T5" s="449"/>
      <c r="U5" s="449">
        <v>0</v>
      </c>
      <c r="V5" s="449">
        <v>0</v>
      </c>
      <c r="W5" s="449">
        <v>0</v>
      </c>
      <c r="X5" s="449">
        <v>0</v>
      </c>
      <c r="Y5" s="449">
        <v>0</v>
      </c>
      <c r="Z5" s="449">
        <v>48837.25</v>
      </c>
      <c r="AA5" s="449">
        <v>0</v>
      </c>
      <c r="AB5" s="449">
        <v>1197.23</v>
      </c>
      <c r="AC5" s="449">
        <v>0</v>
      </c>
      <c r="AD5" s="272"/>
      <c r="AE5" s="272"/>
      <c r="AF5" s="272"/>
      <c r="AG5" s="272"/>
      <c r="AH5" s="285">
        <v>34922534.530000046</v>
      </c>
      <c r="AI5" s="272"/>
      <c r="AJ5" s="272"/>
      <c r="AK5" s="272"/>
      <c r="AO5" s="275" t="s">
        <v>321</v>
      </c>
    </row>
    <row r="6" spans="1:43" ht="14.65" hidden="1" customHeight="1" x14ac:dyDescent="0.25">
      <c r="A6" s="272" t="str">
        <f t="shared" si="0"/>
        <v>ВладимирскаяASM MOS Food Trade+SorsoTSL MOS SPT Moscow Play Sorso</v>
      </c>
      <c r="B6" s="248" t="s">
        <v>22</v>
      </c>
      <c r="C6" s="249" t="s">
        <v>317</v>
      </c>
      <c r="D6" s="249" t="s">
        <v>323</v>
      </c>
      <c r="E6" s="272" t="s">
        <v>324</v>
      </c>
      <c r="F6" s="251" t="s">
        <v>325</v>
      </c>
      <c r="G6" s="292"/>
      <c r="H6" s="292"/>
      <c r="I6" s="292"/>
      <c r="J6" s="219">
        <f t="shared" si="1"/>
        <v>0</v>
      </c>
      <c r="K6" s="219">
        <f t="shared" si="2"/>
        <v>0</v>
      </c>
      <c r="L6" s="219">
        <f t="shared" si="3"/>
        <v>0</v>
      </c>
      <c r="M6" s="232">
        <f t="shared" si="4"/>
        <v>1201332.8999999999</v>
      </c>
      <c r="N6" s="219">
        <f t="shared" si="5"/>
        <v>0</v>
      </c>
      <c r="O6" s="219">
        <f t="shared" si="6"/>
        <v>0</v>
      </c>
      <c r="P6" s="219">
        <f t="shared" si="7"/>
        <v>0</v>
      </c>
      <c r="Q6" s="219">
        <f t="shared" si="8"/>
        <v>0</v>
      </c>
      <c r="R6" s="131"/>
      <c r="S6" s="293"/>
      <c r="T6" s="292"/>
      <c r="U6" s="293">
        <v>0</v>
      </c>
      <c r="V6" s="293">
        <v>0</v>
      </c>
      <c r="W6" s="293">
        <v>0</v>
      </c>
      <c r="X6" s="293">
        <v>0</v>
      </c>
      <c r="Y6" s="293">
        <v>0</v>
      </c>
      <c r="Z6" s="293">
        <v>1201332.8999999999</v>
      </c>
      <c r="AA6" s="293">
        <v>0</v>
      </c>
      <c r="AB6" s="293">
        <v>0</v>
      </c>
      <c r="AC6" s="293">
        <v>0</v>
      </c>
      <c r="AD6" s="272"/>
      <c r="AE6" s="272"/>
      <c r="AF6" s="272"/>
      <c r="AG6" s="272"/>
      <c r="AH6" s="274"/>
      <c r="AI6" s="272"/>
      <c r="AJ6" s="272"/>
      <c r="AK6" s="272"/>
    </row>
    <row r="7" spans="1:43" ht="14.65" hidden="1" customHeight="1" x14ac:dyDescent="0.25">
      <c r="A7" s="272" t="str">
        <f t="shared" si="0"/>
        <v>ВладимирскаяDDM MOS Sladkaay ZhiznTSL MOS N.Novgorod</v>
      </c>
      <c r="B7" s="248" t="s">
        <v>22</v>
      </c>
      <c r="C7" s="249" t="s">
        <v>317</v>
      </c>
      <c r="D7" s="249" t="s">
        <v>318</v>
      </c>
      <c r="E7" s="250" t="s">
        <v>319</v>
      </c>
      <c r="F7" s="251" t="s">
        <v>320</v>
      </c>
      <c r="G7" s="292"/>
      <c r="H7" s="292"/>
      <c r="I7" s="292"/>
      <c r="J7" s="219">
        <f t="shared" si="1"/>
        <v>0</v>
      </c>
      <c r="K7" s="219">
        <f t="shared" si="2"/>
        <v>0</v>
      </c>
      <c r="L7" s="219">
        <f t="shared" si="3"/>
        <v>0</v>
      </c>
      <c r="M7" s="232">
        <f t="shared" si="4"/>
        <v>16388.569999999996</v>
      </c>
      <c r="N7" s="219">
        <f t="shared" si="5"/>
        <v>0</v>
      </c>
      <c r="O7" s="219">
        <f t="shared" si="6"/>
        <v>0</v>
      </c>
      <c r="P7" s="219">
        <f t="shared" si="7"/>
        <v>0</v>
      </c>
      <c r="Q7" s="219">
        <f t="shared" si="8"/>
        <v>0</v>
      </c>
      <c r="R7" s="131"/>
      <c r="S7" s="294"/>
      <c r="T7" s="449"/>
      <c r="U7" s="449">
        <v>0</v>
      </c>
      <c r="V7" s="449">
        <v>0</v>
      </c>
      <c r="W7" s="449">
        <v>0</v>
      </c>
      <c r="X7" s="449">
        <v>0</v>
      </c>
      <c r="Y7" s="449">
        <v>0</v>
      </c>
      <c r="Z7" s="449">
        <v>0</v>
      </c>
      <c r="AA7" s="449">
        <v>0</v>
      </c>
      <c r="AB7" s="449">
        <v>16388.569999999996</v>
      </c>
      <c r="AC7" s="449">
        <v>0</v>
      </c>
      <c r="AD7" s="272"/>
      <c r="AE7" s="272"/>
      <c r="AF7" s="272"/>
      <c r="AG7" s="272"/>
      <c r="AH7" s="274"/>
      <c r="AI7" s="272"/>
      <c r="AJ7" s="272"/>
      <c r="AK7" s="272"/>
    </row>
    <row r="8" spans="1:43" ht="14.65" hidden="1" customHeight="1" x14ac:dyDescent="0.25">
      <c r="A8" s="272" t="str">
        <f t="shared" si="0"/>
        <v>ВладимирскаяDDM MOS Sladkaay ZhiznTSL MOS Cheboksary</v>
      </c>
      <c r="B8" s="248" t="s">
        <v>22</v>
      </c>
      <c r="C8" s="249" t="s">
        <v>317</v>
      </c>
      <c r="D8" s="249" t="s">
        <v>318</v>
      </c>
      <c r="E8" s="250" t="s">
        <v>326</v>
      </c>
      <c r="F8" s="251" t="s">
        <v>320</v>
      </c>
      <c r="G8" s="292"/>
      <c r="H8" s="292"/>
      <c r="I8" s="292"/>
      <c r="J8" s="219">
        <f t="shared" si="1"/>
        <v>0</v>
      </c>
      <c r="K8" s="219">
        <f t="shared" si="2"/>
        <v>0</v>
      </c>
      <c r="L8" s="219">
        <f t="shared" si="3"/>
        <v>0</v>
      </c>
      <c r="M8" s="232">
        <f t="shared" si="4"/>
        <v>16388.569999999996</v>
      </c>
      <c r="N8" s="219">
        <f t="shared" si="5"/>
        <v>0</v>
      </c>
      <c r="O8" s="219">
        <f t="shared" si="6"/>
        <v>0</v>
      </c>
      <c r="P8" s="219">
        <f t="shared" si="7"/>
        <v>0</v>
      </c>
      <c r="Q8" s="219">
        <f t="shared" si="8"/>
        <v>0</v>
      </c>
      <c r="R8" s="131"/>
      <c r="S8" s="293"/>
      <c r="T8" s="292"/>
      <c r="U8" s="449">
        <v>0</v>
      </c>
      <c r="V8" s="449">
        <v>0</v>
      </c>
      <c r="W8" s="449">
        <v>0</v>
      </c>
      <c r="X8" s="449">
        <v>0</v>
      </c>
      <c r="Y8" s="449">
        <v>0</v>
      </c>
      <c r="Z8" s="449">
        <v>0</v>
      </c>
      <c r="AA8" s="449">
        <v>0</v>
      </c>
      <c r="AB8" s="449">
        <v>16388.569999999996</v>
      </c>
      <c r="AC8" s="449">
        <v>0</v>
      </c>
      <c r="AD8" s="272"/>
      <c r="AE8" s="272"/>
      <c r="AF8" s="272"/>
      <c r="AG8" s="272"/>
      <c r="AH8" s="274"/>
      <c r="AI8" s="272"/>
      <c r="AJ8" s="272"/>
      <c r="AK8" s="272"/>
    </row>
    <row r="9" spans="1:43" ht="14.65" hidden="1" customHeight="1" x14ac:dyDescent="0.25">
      <c r="A9" s="272" t="str">
        <f t="shared" si="0"/>
        <v>КалужскаяASM MOS Food Trade+SorsoTSL MOS SPT Moscow Play Sorso</v>
      </c>
      <c r="B9" s="248" t="s">
        <v>20</v>
      </c>
      <c r="C9" s="249" t="s">
        <v>317</v>
      </c>
      <c r="D9" s="249" t="s">
        <v>323</v>
      </c>
      <c r="E9" s="272" t="s">
        <v>324</v>
      </c>
      <c r="F9" s="251" t="s">
        <v>325</v>
      </c>
      <c r="G9" s="292"/>
      <c r="H9" s="292"/>
      <c r="I9" s="292"/>
      <c r="J9" s="219">
        <f t="shared" si="1"/>
        <v>0</v>
      </c>
      <c r="K9" s="219">
        <f t="shared" si="2"/>
        <v>0</v>
      </c>
      <c r="L9" s="219">
        <f t="shared" si="3"/>
        <v>0</v>
      </c>
      <c r="M9" s="232">
        <f t="shared" si="4"/>
        <v>167213.97</v>
      </c>
      <c r="N9" s="219">
        <f t="shared" si="5"/>
        <v>0</v>
      </c>
      <c r="O9" s="219">
        <f t="shared" si="6"/>
        <v>0</v>
      </c>
      <c r="P9" s="219">
        <f t="shared" si="7"/>
        <v>0</v>
      </c>
      <c r="Q9" s="219">
        <f t="shared" si="8"/>
        <v>0</v>
      </c>
      <c r="R9" s="131"/>
      <c r="S9" s="293"/>
      <c r="T9" s="292"/>
      <c r="U9" s="293">
        <v>0</v>
      </c>
      <c r="V9" s="293">
        <v>0</v>
      </c>
      <c r="W9" s="293">
        <v>0</v>
      </c>
      <c r="X9" s="293">
        <v>0</v>
      </c>
      <c r="Y9" s="293">
        <v>0</v>
      </c>
      <c r="Z9" s="293">
        <v>167213.97</v>
      </c>
      <c r="AA9" s="293">
        <v>0</v>
      </c>
      <c r="AB9" s="293">
        <v>0</v>
      </c>
      <c r="AC9" s="293">
        <v>0</v>
      </c>
      <c r="AD9" s="272"/>
      <c r="AE9" s="272"/>
      <c r="AF9" s="272"/>
      <c r="AG9" s="272"/>
      <c r="AH9" s="274"/>
      <c r="AI9" s="272"/>
      <c r="AJ9" s="272"/>
      <c r="AK9" s="272"/>
    </row>
    <row r="10" spans="1:43" ht="14.65" hidden="1" customHeight="1" x14ac:dyDescent="0.25">
      <c r="A10" s="272" t="str">
        <f t="shared" si="0"/>
        <v>КалужскаяASM MOS Food Trade+SorsoTSL MOS SPT Moscow Play Sorso</v>
      </c>
      <c r="B10" s="248" t="s">
        <v>20</v>
      </c>
      <c r="C10" s="249" t="s">
        <v>317</v>
      </c>
      <c r="D10" s="249" t="s">
        <v>323</v>
      </c>
      <c r="E10" s="272" t="s">
        <v>324</v>
      </c>
      <c r="F10" s="251" t="s">
        <v>325</v>
      </c>
      <c r="G10" s="292"/>
      <c r="H10" s="292"/>
      <c r="I10" s="292"/>
      <c r="J10" s="219">
        <f t="shared" si="1"/>
        <v>0</v>
      </c>
      <c r="K10" s="219">
        <f t="shared" si="2"/>
        <v>0</v>
      </c>
      <c r="L10" s="219">
        <f t="shared" si="3"/>
        <v>0</v>
      </c>
      <c r="M10" s="232">
        <f t="shared" si="4"/>
        <v>4921.2</v>
      </c>
      <c r="N10" s="219">
        <f t="shared" si="5"/>
        <v>0</v>
      </c>
      <c r="O10" s="219">
        <f t="shared" si="6"/>
        <v>0</v>
      </c>
      <c r="P10" s="219">
        <f t="shared" si="7"/>
        <v>0</v>
      </c>
      <c r="Q10" s="219">
        <f t="shared" si="8"/>
        <v>0</v>
      </c>
      <c r="R10" s="131"/>
      <c r="S10" s="293"/>
      <c r="T10" s="292"/>
      <c r="U10" s="293">
        <v>0</v>
      </c>
      <c r="V10" s="293">
        <v>0</v>
      </c>
      <c r="W10" s="293">
        <v>0</v>
      </c>
      <c r="X10" s="293">
        <v>0</v>
      </c>
      <c r="Y10" s="293">
        <v>0</v>
      </c>
      <c r="Z10" s="293">
        <v>4921.2</v>
      </c>
      <c r="AA10" s="293">
        <v>0</v>
      </c>
      <c r="AB10" s="293">
        <v>0</v>
      </c>
      <c r="AC10" s="293">
        <v>0</v>
      </c>
      <c r="AD10" s="272"/>
      <c r="AE10" s="272"/>
      <c r="AF10" s="272"/>
      <c r="AG10" s="272"/>
      <c r="AH10" s="274"/>
      <c r="AI10" s="272"/>
      <c r="AJ10" s="272"/>
      <c r="AK10" s="272"/>
    </row>
    <row r="11" spans="1:43" ht="14.65" hidden="1" customHeight="1" x14ac:dyDescent="0.25">
      <c r="A11" s="272" t="str">
        <f t="shared" si="0"/>
        <v>КалужскаяDDM MOS Sladkaay ZhiznTSL MOS  Moscow 2 Sladkaya Zhizn</v>
      </c>
      <c r="B11" s="248" t="s">
        <v>20</v>
      </c>
      <c r="C11" s="249" t="s">
        <v>317</v>
      </c>
      <c r="D11" s="249" t="s">
        <v>318</v>
      </c>
      <c r="E11" s="250" t="s">
        <v>327</v>
      </c>
      <c r="F11" s="251" t="s">
        <v>320</v>
      </c>
      <c r="G11" s="292"/>
      <c r="H11" s="292"/>
      <c r="I11" s="292"/>
      <c r="J11" s="219">
        <f t="shared" si="1"/>
        <v>0</v>
      </c>
      <c r="K11" s="219">
        <f t="shared" si="2"/>
        <v>0</v>
      </c>
      <c r="L11" s="219">
        <f t="shared" si="3"/>
        <v>0</v>
      </c>
      <c r="M11" s="232">
        <f t="shared" si="4"/>
        <v>74443.789999999994</v>
      </c>
      <c r="N11" s="219">
        <f t="shared" si="5"/>
        <v>0</v>
      </c>
      <c r="O11" s="219">
        <f t="shared" si="6"/>
        <v>0</v>
      </c>
      <c r="P11" s="219">
        <f t="shared" si="7"/>
        <v>0</v>
      </c>
      <c r="Q11" s="219">
        <f t="shared" si="8"/>
        <v>0</v>
      </c>
      <c r="R11" s="131"/>
      <c r="S11" s="293"/>
      <c r="T11" s="292"/>
      <c r="U11" s="292">
        <v>0</v>
      </c>
      <c r="V11" s="292">
        <v>0</v>
      </c>
      <c r="W11" s="292">
        <v>0</v>
      </c>
      <c r="X11" s="449">
        <v>0</v>
      </c>
      <c r="Y11" s="292">
        <v>0</v>
      </c>
      <c r="Z11" s="292">
        <v>0</v>
      </c>
      <c r="AA11" s="292">
        <v>0</v>
      </c>
      <c r="AB11" s="292">
        <v>74443.789999999994</v>
      </c>
      <c r="AC11" s="292">
        <v>0</v>
      </c>
      <c r="AD11" s="272"/>
      <c r="AE11" s="272"/>
      <c r="AF11" s="272"/>
      <c r="AG11" s="272"/>
      <c r="AH11" s="299"/>
      <c r="AI11" s="272"/>
      <c r="AJ11" s="272"/>
      <c r="AK11" s="272"/>
      <c r="AO11" s="275" t="s">
        <v>328</v>
      </c>
    </row>
    <row r="12" spans="1:43" ht="14.65" hidden="1" customHeight="1" x14ac:dyDescent="0.25">
      <c r="A12" s="272" t="str">
        <f t="shared" si="0"/>
        <v>КалужскаяDDM MOS Sladkaay ZhiznTSL MOS  Moscow 2 Sladkaya Zhizn</v>
      </c>
      <c r="B12" s="248" t="s">
        <v>20</v>
      </c>
      <c r="C12" s="249" t="s">
        <v>317</v>
      </c>
      <c r="D12" s="249" t="s">
        <v>318</v>
      </c>
      <c r="E12" s="250" t="s">
        <v>327</v>
      </c>
      <c r="F12" s="251" t="s">
        <v>322</v>
      </c>
      <c r="G12" s="292"/>
      <c r="H12" s="292"/>
      <c r="I12" s="292"/>
      <c r="J12" s="219">
        <f t="shared" si="1"/>
        <v>0</v>
      </c>
      <c r="K12" s="219">
        <f t="shared" si="2"/>
        <v>0</v>
      </c>
      <c r="L12" s="219">
        <f t="shared" si="3"/>
        <v>0</v>
      </c>
      <c r="M12" s="232">
        <f t="shared" si="4"/>
        <v>61550673.18</v>
      </c>
      <c r="N12" s="219">
        <f t="shared" si="5"/>
        <v>0</v>
      </c>
      <c r="O12" s="219">
        <f t="shared" si="6"/>
        <v>0</v>
      </c>
      <c r="P12" s="219">
        <f t="shared" si="7"/>
        <v>0</v>
      </c>
      <c r="Q12" s="219">
        <f t="shared" si="8"/>
        <v>0</v>
      </c>
      <c r="R12" s="131"/>
      <c r="S12" s="293"/>
      <c r="T12" s="292"/>
      <c r="U12" s="292">
        <v>0</v>
      </c>
      <c r="V12" s="292">
        <v>0</v>
      </c>
      <c r="W12" s="292">
        <v>0</v>
      </c>
      <c r="X12" s="449">
        <v>0</v>
      </c>
      <c r="Y12" s="292">
        <v>4441060.0200000014</v>
      </c>
      <c r="Z12" s="292">
        <v>37076803.579999991</v>
      </c>
      <c r="AA12" s="292">
        <v>0</v>
      </c>
      <c r="AB12" s="292">
        <v>7022776.2000000011</v>
      </c>
      <c r="AC12" s="292">
        <v>13010033.380000003</v>
      </c>
      <c r="AD12" s="272"/>
      <c r="AE12" s="272"/>
      <c r="AF12" s="272"/>
      <c r="AG12" s="272"/>
      <c r="AH12" s="274"/>
      <c r="AI12" s="272"/>
      <c r="AJ12" s="272"/>
      <c r="AK12" s="272"/>
    </row>
    <row r="13" spans="1:43" ht="14.65" hidden="1" customHeight="1" x14ac:dyDescent="0.25">
      <c r="A13" s="272" t="str">
        <f t="shared" si="0"/>
        <v>КалужскаяASM MOS Food Trade+SorsoTSL MOS SPT Moscow Play Sorso</v>
      </c>
      <c r="B13" s="248" t="s">
        <v>20</v>
      </c>
      <c r="C13" s="249" t="s">
        <v>317</v>
      </c>
      <c r="D13" s="249" t="s">
        <v>323</v>
      </c>
      <c r="E13" s="272" t="s">
        <v>324</v>
      </c>
      <c r="F13" s="251" t="s">
        <v>325</v>
      </c>
      <c r="G13" s="292"/>
      <c r="H13" s="292"/>
      <c r="I13" s="292"/>
      <c r="J13" s="219">
        <f t="shared" si="1"/>
        <v>0</v>
      </c>
      <c r="K13" s="219">
        <f t="shared" si="2"/>
        <v>0</v>
      </c>
      <c r="L13" s="219">
        <f t="shared" si="3"/>
        <v>0</v>
      </c>
      <c r="M13" s="232">
        <f t="shared" si="4"/>
        <v>793480.71000000031</v>
      </c>
      <c r="N13" s="219">
        <f t="shared" si="5"/>
        <v>0</v>
      </c>
      <c r="O13" s="219">
        <f t="shared" si="6"/>
        <v>0</v>
      </c>
      <c r="P13" s="219">
        <f t="shared" si="7"/>
        <v>0</v>
      </c>
      <c r="Q13" s="219">
        <f t="shared" si="8"/>
        <v>0</v>
      </c>
      <c r="R13" s="131"/>
      <c r="S13" s="293"/>
      <c r="T13" s="292"/>
      <c r="U13" s="293">
        <v>0</v>
      </c>
      <c r="V13" s="293">
        <v>0</v>
      </c>
      <c r="W13" s="293">
        <v>0</v>
      </c>
      <c r="X13" s="293">
        <v>0</v>
      </c>
      <c r="Y13" s="293">
        <v>0</v>
      </c>
      <c r="Z13" s="293">
        <v>793480.71000000031</v>
      </c>
      <c r="AA13" s="293">
        <v>0</v>
      </c>
      <c r="AB13" s="293">
        <v>0</v>
      </c>
      <c r="AC13" s="293">
        <v>0</v>
      </c>
      <c r="AD13" s="272"/>
      <c r="AE13" s="272"/>
      <c r="AF13" s="272"/>
      <c r="AG13" s="272"/>
      <c r="AH13" s="274"/>
      <c r="AI13" s="272"/>
      <c r="AJ13" s="272"/>
      <c r="AK13" s="272"/>
    </row>
    <row r="14" spans="1:43" ht="14.65" hidden="1" customHeight="1" x14ac:dyDescent="0.25">
      <c r="A14" s="272" t="str">
        <f t="shared" si="0"/>
        <v>КалужскаяASM MOS Food Trade+SorsoTSL MOS Grocery Mos Obl AS-Market</v>
      </c>
      <c r="B14" s="248" t="s">
        <v>20</v>
      </c>
      <c r="C14" s="249" t="s">
        <v>317</v>
      </c>
      <c r="D14" s="249" t="s">
        <v>323</v>
      </c>
      <c r="E14" s="250" t="s">
        <v>329</v>
      </c>
      <c r="F14" s="251" t="s">
        <v>330</v>
      </c>
      <c r="G14" s="292"/>
      <c r="H14" s="292"/>
      <c r="I14" s="292"/>
      <c r="J14" s="219">
        <f t="shared" si="1"/>
        <v>0</v>
      </c>
      <c r="K14" s="219">
        <f t="shared" si="2"/>
        <v>0</v>
      </c>
      <c r="L14" s="219">
        <f t="shared" si="3"/>
        <v>0</v>
      </c>
      <c r="M14" s="232">
        <f t="shared" si="4"/>
        <v>1728.22</v>
      </c>
      <c r="N14" s="219">
        <f t="shared" si="5"/>
        <v>0</v>
      </c>
      <c r="O14" s="219">
        <f t="shared" si="6"/>
        <v>0</v>
      </c>
      <c r="P14" s="219">
        <f t="shared" si="7"/>
        <v>0</v>
      </c>
      <c r="Q14" s="219">
        <f t="shared" si="8"/>
        <v>0</v>
      </c>
      <c r="R14" s="131"/>
      <c r="S14" s="293"/>
      <c r="T14" s="449"/>
      <c r="U14" s="449">
        <v>0</v>
      </c>
      <c r="V14" s="449">
        <v>0</v>
      </c>
      <c r="W14" s="449">
        <v>0</v>
      </c>
      <c r="X14" s="449">
        <v>0</v>
      </c>
      <c r="Y14" s="449">
        <v>1086.7</v>
      </c>
      <c r="Z14" s="449">
        <v>0</v>
      </c>
      <c r="AA14" s="449">
        <v>0</v>
      </c>
      <c r="AB14" s="449">
        <v>641.52</v>
      </c>
      <c r="AC14" s="449">
        <v>0</v>
      </c>
      <c r="AD14" s="450"/>
      <c r="AE14" s="450"/>
      <c r="AF14" s="450"/>
      <c r="AG14" s="450"/>
      <c r="AI14" s="450"/>
      <c r="AJ14" s="450"/>
      <c r="AK14" s="450"/>
    </row>
    <row r="15" spans="1:43" ht="14.65" hidden="1" customHeight="1" x14ac:dyDescent="0.25">
      <c r="A15" s="272" t="str">
        <f t="shared" si="0"/>
        <v>КалужскаяDDM MOS Sladkaay ZhiznTSL MOS  Moscow 1 Sladkaya Zhizn</v>
      </c>
      <c r="B15" s="248" t="s">
        <v>20</v>
      </c>
      <c r="C15" s="249" t="s">
        <v>317</v>
      </c>
      <c r="D15" s="249" t="s">
        <v>318</v>
      </c>
      <c r="E15" s="250" t="s">
        <v>331</v>
      </c>
      <c r="F15" s="251" t="s">
        <v>320</v>
      </c>
      <c r="G15" s="292"/>
      <c r="H15" s="292"/>
      <c r="I15" s="292"/>
      <c r="J15" s="219">
        <f t="shared" si="1"/>
        <v>0</v>
      </c>
      <c r="K15" s="219">
        <f t="shared" si="2"/>
        <v>0</v>
      </c>
      <c r="L15" s="219">
        <f t="shared" si="3"/>
        <v>0</v>
      </c>
      <c r="M15" s="232">
        <f t="shared" si="4"/>
        <v>0</v>
      </c>
      <c r="N15" s="219">
        <f t="shared" si="5"/>
        <v>0</v>
      </c>
      <c r="O15" s="219">
        <f t="shared" si="6"/>
        <v>152696.56</v>
      </c>
      <c r="P15" s="219">
        <f t="shared" si="7"/>
        <v>0</v>
      </c>
      <c r="Q15" s="219">
        <f t="shared" si="8"/>
        <v>0</v>
      </c>
      <c r="R15" s="131"/>
      <c r="S15" s="293"/>
      <c r="T15" s="292"/>
      <c r="U15" s="292">
        <v>0</v>
      </c>
      <c r="V15" s="292">
        <v>0</v>
      </c>
      <c r="W15" s="292">
        <v>0</v>
      </c>
      <c r="Y15" s="292">
        <v>0</v>
      </c>
      <c r="Z15" s="292">
        <v>0</v>
      </c>
      <c r="AA15" s="292">
        <v>0</v>
      </c>
      <c r="AB15" s="292">
        <v>0</v>
      </c>
      <c r="AC15" s="292">
        <v>0</v>
      </c>
      <c r="AD15" s="272"/>
      <c r="AE15" s="272"/>
      <c r="AF15" s="272"/>
      <c r="AG15" s="272"/>
      <c r="AH15" s="449">
        <v>152696.56</v>
      </c>
      <c r="AI15" s="272"/>
      <c r="AJ15" s="272"/>
      <c r="AK15" s="272"/>
      <c r="AO15" s="275" t="s">
        <v>321</v>
      </c>
    </row>
    <row r="16" spans="1:43" ht="14.65" hidden="1" customHeight="1" x14ac:dyDescent="0.25">
      <c r="A16" s="272" t="str">
        <f t="shared" si="0"/>
        <v>КалужскаяDDM MOS Sladkaay ZhiznTSL MOS  Moscow 1 Sladkaya Zhizn</v>
      </c>
      <c r="B16" s="248" t="s">
        <v>20</v>
      </c>
      <c r="C16" s="249" t="s">
        <v>317</v>
      </c>
      <c r="D16" s="249" t="s">
        <v>318</v>
      </c>
      <c r="E16" s="250" t="s">
        <v>331</v>
      </c>
      <c r="F16" s="251" t="s">
        <v>322</v>
      </c>
      <c r="G16" s="292"/>
      <c r="H16" s="292"/>
      <c r="I16" s="292"/>
      <c r="J16" s="219">
        <f t="shared" si="1"/>
        <v>0</v>
      </c>
      <c r="K16" s="219">
        <f t="shared" si="2"/>
        <v>0</v>
      </c>
      <c r="L16" s="219">
        <f t="shared" si="3"/>
        <v>0</v>
      </c>
      <c r="M16" s="232">
        <f t="shared" si="4"/>
        <v>62066.210000000006</v>
      </c>
      <c r="N16" s="219">
        <f t="shared" si="5"/>
        <v>0</v>
      </c>
      <c r="O16" s="219">
        <f t="shared" si="6"/>
        <v>12675102.270000005</v>
      </c>
      <c r="P16" s="219">
        <f t="shared" si="7"/>
        <v>0</v>
      </c>
      <c r="Q16" s="219">
        <f t="shared" si="8"/>
        <v>0</v>
      </c>
      <c r="R16" s="131"/>
      <c r="S16" s="293"/>
      <c r="T16" s="292"/>
      <c r="U16" s="292">
        <v>0</v>
      </c>
      <c r="V16" s="292">
        <v>0</v>
      </c>
      <c r="W16" s="292">
        <v>0</v>
      </c>
      <c r="Y16" s="292">
        <v>0</v>
      </c>
      <c r="Z16" s="292">
        <v>50519.01</v>
      </c>
      <c r="AA16" s="292">
        <v>0</v>
      </c>
      <c r="AB16" s="292">
        <v>11547.2</v>
      </c>
      <c r="AC16" s="292">
        <v>0</v>
      </c>
      <c r="AD16" s="272"/>
      <c r="AE16" s="272"/>
      <c r="AF16" s="272"/>
      <c r="AG16" s="272"/>
      <c r="AH16" s="449">
        <v>12675102.270000005</v>
      </c>
      <c r="AI16" s="272"/>
      <c r="AJ16" s="272"/>
      <c r="AK16" s="272"/>
      <c r="AO16" s="275" t="s">
        <v>321</v>
      </c>
    </row>
    <row r="17" spans="1:41" ht="14.65" hidden="1" customHeight="1" x14ac:dyDescent="0.25">
      <c r="A17" s="272" t="str">
        <f t="shared" si="0"/>
        <v>КалужскаяDDM MOS Sladkaay ZhiznTSL MOS  Moscow 2 Sladkaya Zhizn</v>
      </c>
      <c r="B17" s="248" t="s">
        <v>20</v>
      </c>
      <c r="C17" s="249" t="s">
        <v>317</v>
      </c>
      <c r="D17" s="249" t="s">
        <v>318</v>
      </c>
      <c r="E17" s="250" t="s">
        <v>327</v>
      </c>
      <c r="F17" s="251" t="s">
        <v>322</v>
      </c>
      <c r="G17" s="292"/>
      <c r="H17" s="292"/>
      <c r="I17" s="292"/>
      <c r="J17" s="219">
        <f t="shared" si="1"/>
        <v>0</v>
      </c>
      <c r="K17" s="219">
        <f t="shared" si="2"/>
        <v>0</v>
      </c>
      <c r="L17" s="219">
        <f t="shared" si="3"/>
        <v>50540.084999999999</v>
      </c>
      <c r="M17" s="232">
        <f t="shared" si="4"/>
        <v>0</v>
      </c>
      <c r="N17" s="219">
        <f t="shared" si="5"/>
        <v>0</v>
      </c>
      <c r="O17" s="219">
        <f t="shared" si="6"/>
        <v>0</v>
      </c>
      <c r="P17" s="219">
        <f t="shared" si="7"/>
        <v>0</v>
      </c>
      <c r="Q17" s="219">
        <f t="shared" si="8"/>
        <v>0</v>
      </c>
      <c r="R17" s="131"/>
      <c r="S17" s="293"/>
      <c r="T17" s="292"/>
      <c r="U17" s="292">
        <v>0</v>
      </c>
      <c r="V17" s="292">
        <v>0</v>
      </c>
      <c r="W17" s="292">
        <v>0</v>
      </c>
      <c r="X17" s="449">
        <v>50540.084999999999</v>
      </c>
      <c r="Y17" s="292">
        <v>0</v>
      </c>
      <c r="Z17" s="292">
        <v>0</v>
      </c>
      <c r="AA17" s="292">
        <v>0</v>
      </c>
      <c r="AB17" s="292">
        <v>0</v>
      </c>
      <c r="AC17" s="292">
        <v>0</v>
      </c>
      <c r="AD17" s="272"/>
      <c r="AE17" s="272"/>
      <c r="AF17" s="272"/>
      <c r="AG17" s="272"/>
      <c r="AI17" s="272"/>
      <c r="AJ17" s="272"/>
      <c r="AK17" s="272"/>
    </row>
    <row r="18" spans="1:41" ht="14.65" hidden="1" customHeight="1" x14ac:dyDescent="0.25">
      <c r="A18" s="272" t="str">
        <f t="shared" si="0"/>
        <v>КалужскаяDDM MOS Sladkaay ZhiznTSL MOS  Moscow 1 Sladkaya Zhizn</v>
      </c>
      <c r="B18" s="248" t="s">
        <v>20</v>
      </c>
      <c r="C18" s="249" t="s">
        <v>317</v>
      </c>
      <c r="D18" s="249" t="s">
        <v>318</v>
      </c>
      <c r="E18" s="250" t="s">
        <v>331</v>
      </c>
      <c r="F18" s="251" t="s">
        <v>322</v>
      </c>
      <c r="G18" s="292"/>
      <c r="H18" s="292"/>
      <c r="I18" s="292"/>
      <c r="J18" s="219">
        <f t="shared" si="1"/>
        <v>0</v>
      </c>
      <c r="K18" s="219">
        <f t="shared" si="2"/>
        <v>0</v>
      </c>
      <c r="L18" s="219">
        <f t="shared" si="3"/>
        <v>50540.084999999999</v>
      </c>
      <c r="M18" s="232">
        <f t="shared" si="4"/>
        <v>0</v>
      </c>
      <c r="N18" s="219">
        <f t="shared" si="5"/>
        <v>0</v>
      </c>
      <c r="O18" s="219">
        <f t="shared" si="6"/>
        <v>31855181.779999994</v>
      </c>
      <c r="P18" s="219">
        <f t="shared" si="7"/>
        <v>0</v>
      </c>
      <c r="Q18" s="219">
        <f t="shared" si="8"/>
        <v>0</v>
      </c>
      <c r="R18" s="131"/>
      <c r="S18" s="293"/>
      <c r="T18" s="292"/>
      <c r="U18" s="292">
        <v>0</v>
      </c>
      <c r="V18" s="292">
        <v>0</v>
      </c>
      <c r="W18" s="292">
        <v>0</v>
      </c>
      <c r="X18" s="449">
        <v>50540.084999999999</v>
      </c>
      <c r="Y18" s="292">
        <v>0</v>
      </c>
      <c r="Z18" s="292">
        <v>0</v>
      </c>
      <c r="AA18" s="292">
        <v>0</v>
      </c>
      <c r="AB18" s="292">
        <v>0</v>
      </c>
      <c r="AC18" s="292">
        <v>0</v>
      </c>
      <c r="AD18" s="272"/>
      <c r="AE18" s="272"/>
      <c r="AF18" s="272"/>
      <c r="AG18" s="272"/>
      <c r="AH18" s="274">
        <v>31855181.779999994</v>
      </c>
      <c r="AI18" s="272"/>
      <c r="AJ18" s="272"/>
      <c r="AK18" s="272"/>
      <c r="AO18" s="275" t="s">
        <v>321</v>
      </c>
    </row>
    <row r="19" spans="1:41" ht="14.65" hidden="1" customHeight="1" x14ac:dyDescent="0.25">
      <c r="A19" s="272" t="str">
        <f t="shared" si="0"/>
        <v>КировскаяDDM MOS Sladkaay ZhiznTSL MOS Cheboksary</v>
      </c>
      <c r="B19" s="248" t="s">
        <v>25</v>
      </c>
      <c r="C19" s="249" t="s">
        <v>317</v>
      </c>
      <c r="D19" s="249" t="s">
        <v>318</v>
      </c>
      <c r="E19" s="250" t="s">
        <v>326</v>
      </c>
      <c r="F19" s="251" t="s">
        <v>320</v>
      </c>
      <c r="G19" s="292"/>
      <c r="H19" s="292"/>
      <c r="I19" s="292"/>
      <c r="J19" s="219">
        <f t="shared" si="1"/>
        <v>0</v>
      </c>
      <c r="K19" s="219">
        <f t="shared" si="2"/>
        <v>0</v>
      </c>
      <c r="L19" s="219">
        <f t="shared" si="3"/>
        <v>67690161.789999992</v>
      </c>
      <c r="M19" s="232">
        <f t="shared" si="4"/>
        <v>108624731.87000002</v>
      </c>
      <c r="N19" s="219">
        <f t="shared" si="5"/>
        <v>0</v>
      </c>
      <c r="O19" s="219">
        <f t="shared" si="6"/>
        <v>0</v>
      </c>
      <c r="P19" s="219">
        <f t="shared" si="7"/>
        <v>0</v>
      </c>
      <c r="Q19" s="219">
        <f t="shared" si="8"/>
        <v>0</v>
      </c>
      <c r="R19" s="131"/>
      <c r="S19" s="293"/>
      <c r="T19" s="292"/>
      <c r="U19" s="292">
        <v>0</v>
      </c>
      <c r="V19" s="292">
        <v>0</v>
      </c>
      <c r="W19" s="292">
        <v>0</v>
      </c>
      <c r="X19" s="298">
        <v>67690161.789999992</v>
      </c>
      <c r="Y19" s="292">
        <v>62790437.999999993</v>
      </c>
      <c r="Z19" s="292">
        <v>5248566.2799999975</v>
      </c>
      <c r="AA19" s="292">
        <v>0</v>
      </c>
      <c r="AB19" s="292">
        <v>18235026.890000034</v>
      </c>
      <c r="AC19" s="292">
        <v>22350700.699999999</v>
      </c>
      <c r="AD19" s="272"/>
      <c r="AE19" s="272"/>
      <c r="AF19" s="272"/>
      <c r="AG19" s="272"/>
      <c r="AH19" s="295"/>
      <c r="AI19" s="272"/>
      <c r="AJ19" s="272"/>
      <c r="AK19" s="272"/>
      <c r="AO19" s="275" t="s">
        <v>328</v>
      </c>
    </row>
    <row r="20" spans="1:41" ht="14.65" hidden="1" customHeight="1" x14ac:dyDescent="0.25">
      <c r="A20" s="272" t="str">
        <f t="shared" si="0"/>
        <v>КировскаяDDM MOS Sladkaay ZhiznTSL MOS N.Novgorod</v>
      </c>
      <c r="B20" s="248" t="s">
        <v>25</v>
      </c>
      <c r="C20" s="249" t="s">
        <v>317</v>
      </c>
      <c r="D20" s="249" t="s">
        <v>318</v>
      </c>
      <c r="E20" s="250" t="s">
        <v>319</v>
      </c>
      <c r="F20" s="251" t="s">
        <v>320</v>
      </c>
      <c r="G20" s="292"/>
      <c r="H20" s="292"/>
      <c r="I20" s="292"/>
      <c r="J20" s="219">
        <f t="shared" si="1"/>
        <v>0</v>
      </c>
      <c r="K20" s="219">
        <f t="shared" si="2"/>
        <v>0</v>
      </c>
      <c r="L20" s="219">
        <f t="shared" si="3"/>
        <v>350.35</v>
      </c>
      <c r="M20" s="232">
        <f t="shared" si="4"/>
        <v>2324.8900000000003</v>
      </c>
      <c r="N20" s="219">
        <f t="shared" si="5"/>
        <v>0</v>
      </c>
      <c r="O20" s="219">
        <f t="shared" si="6"/>
        <v>0</v>
      </c>
      <c r="P20" s="219">
        <f t="shared" si="7"/>
        <v>0</v>
      </c>
      <c r="Q20" s="219">
        <f t="shared" si="8"/>
        <v>0</v>
      </c>
      <c r="R20" s="131"/>
      <c r="S20" s="294"/>
      <c r="T20" s="449"/>
      <c r="U20" s="449">
        <v>0</v>
      </c>
      <c r="V20" s="449">
        <v>0</v>
      </c>
      <c r="W20" s="449">
        <v>0</v>
      </c>
      <c r="X20" s="449">
        <v>350.35</v>
      </c>
      <c r="Y20" s="449">
        <v>0</v>
      </c>
      <c r="Z20" s="449">
        <v>53.06</v>
      </c>
      <c r="AA20" s="449">
        <v>0</v>
      </c>
      <c r="AB20" s="449">
        <v>2271.8300000000004</v>
      </c>
      <c r="AC20" s="449">
        <v>0</v>
      </c>
      <c r="AD20" s="272"/>
      <c r="AE20" s="272"/>
      <c r="AF20" s="272"/>
      <c r="AG20" s="272"/>
      <c r="AH20" s="274"/>
      <c r="AI20" s="272"/>
      <c r="AJ20" s="272"/>
      <c r="AK20" s="272"/>
    </row>
    <row r="21" spans="1:41" ht="14.65" hidden="1" customHeight="1" x14ac:dyDescent="0.25">
      <c r="A21" s="272" t="str">
        <f t="shared" si="0"/>
        <v>КировскаяDDM MOS Sladkaay ZhiznTSL MOS Cheboksary</v>
      </c>
      <c r="B21" s="248" t="s">
        <v>25</v>
      </c>
      <c r="C21" s="249" t="s">
        <v>317</v>
      </c>
      <c r="D21" s="249" t="s">
        <v>318</v>
      </c>
      <c r="E21" s="250" t="s">
        <v>326</v>
      </c>
      <c r="F21" s="251" t="s">
        <v>320</v>
      </c>
      <c r="G21" s="292"/>
      <c r="H21" s="292"/>
      <c r="I21" s="292"/>
      <c r="J21" s="219">
        <f t="shared" si="1"/>
        <v>0</v>
      </c>
      <c r="K21" s="219">
        <f t="shared" si="2"/>
        <v>0</v>
      </c>
      <c r="L21" s="219">
        <f t="shared" si="3"/>
        <v>350.35</v>
      </c>
      <c r="M21" s="232">
        <f t="shared" si="4"/>
        <v>2324.8900000000003</v>
      </c>
      <c r="N21" s="219">
        <f t="shared" si="5"/>
        <v>0</v>
      </c>
      <c r="O21" s="219">
        <f t="shared" si="6"/>
        <v>33734181.700000025</v>
      </c>
      <c r="P21" s="219">
        <f t="shared" si="7"/>
        <v>0</v>
      </c>
      <c r="Q21" s="219">
        <f t="shared" si="8"/>
        <v>0</v>
      </c>
      <c r="R21" s="131"/>
      <c r="S21" s="293"/>
      <c r="T21" s="292"/>
      <c r="U21" s="292">
        <v>0</v>
      </c>
      <c r="V21" s="292">
        <v>0</v>
      </c>
      <c r="W21" s="292">
        <v>0</v>
      </c>
      <c r="X21" s="449">
        <v>350.35</v>
      </c>
      <c r="Y21" s="292">
        <v>0</v>
      </c>
      <c r="Z21" s="292">
        <v>53.06</v>
      </c>
      <c r="AA21" s="292">
        <v>0</v>
      </c>
      <c r="AB21" s="292">
        <v>2271.8300000000004</v>
      </c>
      <c r="AC21" s="292">
        <v>0</v>
      </c>
      <c r="AD21" s="272"/>
      <c r="AE21" s="272"/>
      <c r="AF21" s="272"/>
      <c r="AG21" s="272"/>
      <c r="AH21" s="285">
        <v>33734181.700000025</v>
      </c>
      <c r="AI21" s="272"/>
      <c r="AJ21" s="272"/>
      <c r="AK21" s="272"/>
      <c r="AO21" s="275" t="s">
        <v>321</v>
      </c>
    </row>
    <row r="22" spans="1:41" ht="14.65" hidden="1" customHeight="1" x14ac:dyDescent="0.25">
      <c r="A22" s="272" t="str">
        <f t="shared" si="0"/>
        <v>МордовияASM MOS Food Trade+SorsoTSL MOS SPT Moscow Play Sorso</v>
      </c>
      <c r="B22" s="248" t="s">
        <v>27</v>
      </c>
      <c r="C22" s="249" t="s">
        <v>317</v>
      </c>
      <c r="D22" s="249" t="s">
        <v>323</v>
      </c>
      <c r="E22" s="272" t="s">
        <v>324</v>
      </c>
      <c r="F22" s="251" t="s">
        <v>325</v>
      </c>
      <c r="G22" s="292"/>
      <c r="H22" s="292"/>
      <c r="I22" s="292"/>
      <c r="J22" s="219">
        <f t="shared" si="1"/>
        <v>0</v>
      </c>
      <c r="K22" s="219">
        <f t="shared" si="2"/>
        <v>0</v>
      </c>
      <c r="L22" s="219">
        <f t="shared" si="3"/>
        <v>0</v>
      </c>
      <c r="M22" s="232">
        <f t="shared" si="4"/>
        <v>1230.3</v>
      </c>
      <c r="N22" s="219">
        <f t="shared" si="5"/>
        <v>0</v>
      </c>
      <c r="O22" s="219">
        <f t="shared" si="6"/>
        <v>0</v>
      </c>
      <c r="P22" s="219">
        <f t="shared" si="7"/>
        <v>0</v>
      </c>
      <c r="Q22" s="219">
        <f t="shared" si="8"/>
        <v>0</v>
      </c>
      <c r="R22" s="131"/>
      <c r="S22" s="293"/>
      <c r="T22" s="292"/>
      <c r="U22" s="293">
        <v>0</v>
      </c>
      <c r="V22" s="293">
        <v>0</v>
      </c>
      <c r="W22" s="293">
        <v>0</v>
      </c>
      <c r="X22" s="293">
        <v>0</v>
      </c>
      <c r="Y22" s="293">
        <v>0</v>
      </c>
      <c r="Z22" s="293">
        <v>1230.3</v>
      </c>
      <c r="AA22" s="293">
        <v>0</v>
      </c>
      <c r="AB22" s="293">
        <v>0</v>
      </c>
      <c r="AC22" s="293">
        <v>0</v>
      </c>
      <c r="AD22" s="272"/>
      <c r="AE22" s="272"/>
      <c r="AF22" s="272"/>
      <c r="AG22" s="272"/>
      <c r="AH22" s="274"/>
      <c r="AI22" s="272"/>
      <c r="AJ22" s="272"/>
      <c r="AK22" s="272"/>
    </row>
    <row r="23" spans="1:41" ht="14.65" hidden="1" customHeight="1" x14ac:dyDescent="0.25">
      <c r="A23" s="272" t="str">
        <f t="shared" si="0"/>
        <v>МордовияDDM MOS Sladkaay ZhiznTSL MOS Cheboksary</v>
      </c>
      <c r="B23" s="248" t="s">
        <v>27</v>
      </c>
      <c r="C23" s="249" t="s">
        <v>317</v>
      </c>
      <c r="D23" s="249" t="s">
        <v>318</v>
      </c>
      <c r="E23" s="250" t="s">
        <v>326</v>
      </c>
      <c r="F23" s="251" t="s">
        <v>320</v>
      </c>
      <c r="G23" s="292"/>
      <c r="H23" s="292"/>
      <c r="I23" s="292"/>
      <c r="J23" s="219">
        <f t="shared" si="1"/>
        <v>0</v>
      </c>
      <c r="K23" s="219">
        <f t="shared" si="2"/>
        <v>0</v>
      </c>
      <c r="L23" s="219">
        <f t="shared" si="3"/>
        <v>0</v>
      </c>
      <c r="M23" s="232">
        <f t="shared" si="4"/>
        <v>18267262.890000012</v>
      </c>
      <c r="N23" s="219">
        <f t="shared" si="5"/>
        <v>0</v>
      </c>
      <c r="O23" s="219">
        <f t="shared" si="6"/>
        <v>82315096.500000089</v>
      </c>
      <c r="P23" s="219">
        <f t="shared" si="7"/>
        <v>0</v>
      </c>
      <c r="Q23" s="219">
        <f t="shared" si="8"/>
        <v>0</v>
      </c>
      <c r="R23" s="131"/>
      <c r="S23" s="293"/>
      <c r="T23" s="292"/>
      <c r="U23" s="292">
        <v>0</v>
      </c>
      <c r="V23" s="292">
        <v>0</v>
      </c>
      <c r="W23" s="292">
        <v>0</v>
      </c>
      <c r="X23" s="449"/>
      <c r="Y23" s="292">
        <v>3050445.8800000004</v>
      </c>
      <c r="Z23" s="292">
        <v>5837148.3499999987</v>
      </c>
      <c r="AA23" s="292">
        <v>0</v>
      </c>
      <c r="AB23" s="292">
        <v>8805611.6800000109</v>
      </c>
      <c r="AC23" s="292">
        <v>574056.98</v>
      </c>
      <c r="AD23" s="272"/>
      <c r="AE23" s="272"/>
      <c r="AF23" s="272"/>
      <c r="AG23" s="272"/>
      <c r="AH23" s="285">
        <v>82315096.500000089</v>
      </c>
      <c r="AI23" s="272"/>
      <c r="AJ23" s="272"/>
      <c r="AK23" s="272"/>
      <c r="AO23" s="275" t="s">
        <v>321</v>
      </c>
    </row>
    <row r="24" spans="1:41" ht="14.65" hidden="1" customHeight="1" x14ac:dyDescent="0.25">
      <c r="A24" s="272" t="str">
        <f t="shared" si="0"/>
        <v>МордовияASM MOS Food Trade+SorsoTSL MOS SPT Moscow Play Sorso</v>
      </c>
      <c r="B24" s="248" t="s">
        <v>27</v>
      </c>
      <c r="C24" s="249" t="s">
        <v>317</v>
      </c>
      <c r="D24" s="249" t="s">
        <v>323</v>
      </c>
      <c r="E24" s="272" t="s">
        <v>324</v>
      </c>
      <c r="F24" s="251" t="s">
        <v>325</v>
      </c>
      <c r="G24" s="292"/>
      <c r="H24" s="292"/>
      <c r="I24" s="292"/>
      <c r="J24" s="219">
        <f t="shared" si="1"/>
        <v>0</v>
      </c>
      <c r="K24" s="219">
        <f t="shared" si="2"/>
        <v>0</v>
      </c>
      <c r="L24" s="219">
        <f t="shared" si="3"/>
        <v>0</v>
      </c>
      <c r="M24" s="232">
        <f t="shared" si="4"/>
        <v>8612.1</v>
      </c>
      <c r="N24" s="219">
        <f t="shared" si="5"/>
        <v>0</v>
      </c>
      <c r="O24" s="219">
        <f t="shared" si="6"/>
        <v>0</v>
      </c>
      <c r="P24" s="219">
        <f t="shared" si="7"/>
        <v>0</v>
      </c>
      <c r="Q24" s="219">
        <f t="shared" si="8"/>
        <v>0</v>
      </c>
      <c r="R24" s="131"/>
      <c r="S24" s="293"/>
      <c r="T24" s="292"/>
      <c r="U24" s="293">
        <v>0</v>
      </c>
      <c r="V24" s="293">
        <v>0</v>
      </c>
      <c r="W24" s="293">
        <v>0</v>
      </c>
      <c r="X24" s="293">
        <v>0</v>
      </c>
      <c r="Y24" s="293">
        <v>0</v>
      </c>
      <c r="Z24" s="293">
        <v>8612.1</v>
      </c>
      <c r="AA24" s="293">
        <v>0</v>
      </c>
      <c r="AB24" s="293">
        <v>0</v>
      </c>
      <c r="AC24" s="293">
        <v>0</v>
      </c>
      <c r="AD24" s="272"/>
      <c r="AE24" s="272"/>
      <c r="AF24" s="272"/>
      <c r="AG24" s="272"/>
      <c r="AH24" s="274"/>
      <c r="AI24" s="272"/>
      <c r="AJ24" s="272"/>
      <c r="AK24" s="272"/>
    </row>
    <row r="25" spans="1:41" ht="14.65" hidden="1" customHeight="1" x14ac:dyDescent="0.25">
      <c r="A25" s="272" t="str">
        <f t="shared" si="0"/>
        <v>МордовияDDM MOS Sladkaay ZhiznTSL MOS N.Novgorod</v>
      </c>
      <c r="B25" s="248" t="s">
        <v>27</v>
      </c>
      <c r="C25" s="249" t="s">
        <v>317</v>
      </c>
      <c r="D25" s="249" t="s">
        <v>318</v>
      </c>
      <c r="E25" s="250" t="s">
        <v>319</v>
      </c>
      <c r="F25" s="251" t="s">
        <v>320</v>
      </c>
      <c r="G25" s="292"/>
      <c r="H25" s="292"/>
      <c r="I25" s="292"/>
      <c r="J25" s="219">
        <f t="shared" si="1"/>
        <v>0</v>
      </c>
      <c r="K25" s="219">
        <f t="shared" si="2"/>
        <v>0</v>
      </c>
      <c r="L25" s="219">
        <f t="shared" si="3"/>
        <v>0</v>
      </c>
      <c r="M25" s="232">
        <f t="shared" si="4"/>
        <v>938</v>
      </c>
      <c r="N25" s="219">
        <f t="shared" si="5"/>
        <v>0</v>
      </c>
      <c r="O25" s="219">
        <f t="shared" si="6"/>
        <v>0</v>
      </c>
      <c r="P25" s="219">
        <f t="shared" si="7"/>
        <v>0</v>
      </c>
      <c r="Q25" s="219">
        <f t="shared" si="8"/>
        <v>0</v>
      </c>
      <c r="R25" s="131"/>
      <c r="S25" s="294"/>
      <c r="T25" s="449"/>
      <c r="U25" s="449">
        <v>0</v>
      </c>
      <c r="V25" s="449">
        <v>0</v>
      </c>
      <c r="W25" s="449">
        <v>0</v>
      </c>
      <c r="X25" s="449">
        <v>0</v>
      </c>
      <c r="Y25" s="449">
        <v>0</v>
      </c>
      <c r="Z25" s="449">
        <v>0</v>
      </c>
      <c r="AA25" s="449">
        <v>0</v>
      </c>
      <c r="AB25" s="449">
        <v>938</v>
      </c>
      <c r="AC25" s="449">
        <v>0</v>
      </c>
      <c r="AD25" s="272"/>
      <c r="AE25" s="272"/>
      <c r="AF25" s="272"/>
      <c r="AG25" s="272"/>
      <c r="AH25" s="274"/>
      <c r="AI25" s="272"/>
      <c r="AJ25" s="272"/>
      <c r="AK25" s="272"/>
    </row>
    <row r="26" spans="1:41" ht="14.65" hidden="1" customHeight="1" x14ac:dyDescent="0.25">
      <c r="A26" s="272" t="str">
        <f t="shared" si="0"/>
        <v>МордовияDDM MOS Sladkaay ZhiznTSL MOS Cheboksary</v>
      </c>
      <c r="B26" s="248" t="s">
        <v>27</v>
      </c>
      <c r="C26" s="249" t="s">
        <v>317</v>
      </c>
      <c r="D26" s="249" t="s">
        <v>318</v>
      </c>
      <c r="E26" s="250" t="s">
        <v>326</v>
      </c>
      <c r="F26" s="251" t="s">
        <v>320</v>
      </c>
      <c r="G26" s="292"/>
      <c r="H26" s="292"/>
      <c r="I26" s="292"/>
      <c r="J26" s="219">
        <f t="shared" si="1"/>
        <v>0</v>
      </c>
      <c r="K26" s="219">
        <f t="shared" si="2"/>
        <v>0</v>
      </c>
      <c r="L26" s="219">
        <f t="shared" si="3"/>
        <v>0</v>
      </c>
      <c r="M26" s="232">
        <f t="shared" si="4"/>
        <v>938</v>
      </c>
      <c r="N26" s="219">
        <f t="shared" si="5"/>
        <v>0</v>
      </c>
      <c r="O26" s="219">
        <f t="shared" si="6"/>
        <v>0</v>
      </c>
      <c r="P26" s="219">
        <f t="shared" si="7"/>
        <v>0</v>
      </c>
      <c r="Q26" s="219">
        <f t="shared" si="8"/>
        <v>0</v>
      </c>
      <c r="R26" s="131"/>
      <c r="S26" s="293"/>
      <c r="T26" s="292"/>
      <c r="U26" s="292">
        <v>0</v>
      </c>
      <c r="V26" s="292">
        <v>0</v>
      </c>
      <c r="W26" s="292">
        <v>0</v>
      </c>
      <c r="X26" s="449">
        <v>0</v>
      </c>
      <c r="Y26" s="292">
        <v>0</v>
      </c>
      <c r="Z26" s="292">
        <v>0</v>
      </c>
      <c r="AA26" s="292">
        <v>0</v>
      </c>
      <c r="AB26" s="292">
        <v>938</v>
      </c>
      <c r="AC26" s="292">
        <v>0</v>
      </c>
      <c r="AD26" s="272"/>
      <c r="AE26" s="272"/>
      <c r="AF26" s="272"/>
      <c r="AG26" s="272"/>
      <c r="AH26" s="274"/>
      <c r="AI26" s="272"/>
      <c r="AJ26" s="272"/>
      <c r="AK26" s="272"/>
    </row>
    <row r="27" spans="1:41" ht="14.65" hidden="1" customHeight="1" x14ac:dyDescent="0.25">
      <c r="A27" s="272" t="str">
        <f t="shared" si="0"/>
        <v>МоскваASM MOS Food Trade+SorsoTSL MOS SPT Moscow Play Sorso</v>
      </c>
      <c r="B27" s="248" t="s">
        <v>7</v>
      </c>
      <c r="C27" s="249" t="s">
        <v>317</v>
      </c>
      <c r="D27" s="249" t="s">
        <v>323</v>
      </c>
      <c r="E27" s="272" t="s">
        <v>324</v>
      </c>
      <c r="F27" s="251" t="s">
        <v>325</v>
      </c>
      <c r="G27" s="292">
        <v>1</v>
      </c>
      <c r="H27" s="292"/>
      <c r="I27" s="292"/>
      <c r="J27" s="219">
        <f t="shared" si="1"/>
        <v>0</v>
      </c>
      <c r="K27" s="219">
        <f t="shared" si="2"/>
        <v>0</v>
      </c>
      <c r="L27" s="219">
        <f t="shared" si="3"/>
        <v>0</v>
      </c>
      <c r="M27" s="232">
        <f t="shared" si="4"/>
        <v>3934548.4099999992</v>
      </c>
      <c r="N27" s="219">
        <f t="shared" si="5"/>
        <v>0</v>
      </c>
      <c r="O27" s="219">
        <f t="shared" si="6"/>
        <v>51488847.459999874</v>
      </c>
      <c r="P27" s="219">
        <f t="shared" si="7"/>
        <v>0</v>
      </c>
      <c r="Q27" s="219">
        <f t="shared" si="8"/>
        <v>0</v>
      </c>
      <c r="R27" s="131"/>
      <c r="S27" s="293"/>
      <c r="T27" s="292"/>
      <c r="U27" s="293">
        <v>0</v>
      </c>
      <c r="V27" s="293">
        <v>0</v>
      </c>
      <c r="W27" s="293">
        <v>0</v>
      </c>
      <c r="X27" s="293">
        <v>0</v>
      </c>
      <c r="Y27" s="293">
        <v>0</v>
      </c>
      <c r="Z27" s="293">
        <v>3934548.4099999992</v>
      </c>
      <c r="AA27" s="293">
        <v>0</v>
      </c>
      <c r="AB27" s="293">
        <v>0</v>
      </c>
      <c r="AC27" s="293">
        <v>0</v>
      </c>
      <c r="AD27" s="272"/>
      <c r="AE27" s="272"/>
      <c r="AF27" s="272"/>
      <c r="AG27" s="272"/>
      <c r="AH27" s="295">
        <v>51488847.459999874</v>
      </c>
      <c r="AI27" s="272"/>
      <c r="AJ27" s="272"/>
      <c r="AK27" s="272"/>
      <c r="AO27" s="275" t="s">
        <v>332</v>
      </c>
    </row>
    <row r="28" spans="1:41" ht="14.65" hidden="1" customHeight="1" x14ac:dyDescent="0.25">
      <c r="A28" s="272" t="str">
        <f t="shared" si="0"/>
        <v>МоскваASM MOS Food Trade+SorsoTSL MOS SPT Moscow Play Sorso</v>
      </c>
      <c r="B28" s="248" t="s">
        <v>7</v>
      </c>
      <c r="C28" s="249" t="s">
        <v>317</v>
      </c>
      <c r="D28" s="249" t="s">
        <v>323</v>
      </c>
      <c r="E28" s="272" t="s">
        <v>324</v>
      </c>
      <c r="F28" s="251" t="s">
        <v>325</v>
      </c>
      <c r="G28" s="292">
        <v>1</v>
      </c>
      <c r="H28" s="292"/>
      <c r="I28" s="292"/>
      <c r="J28" s="219">
        <f t="shared" si="1"/>
        <v>0</v>
      </c>
      <c r="K28" s="219">
        <f t="shared" si="2"/>
        <v>0</v>
      </c>
      <c r="L28" s="219">
        <f t="shared" si="3"/>
        <v>0</v>
      </c>
      <c r="M28" s="232">
        <f t="shared" si="4"/>
        <v>26241041.290000029</v>
      </c>
      <c r="N28" s="219">
        <f t="shared" si="5"/>
        <v>0</v>
      </c>
      <c r="O28" s="219">
        <f t="shared" si="6"/>
        <v>0</v>
      </c>
      <c r="P28" s="219">
        <f t="shared" si="7"/>
        <v>0</v>
      </c>
      <c r="Q28" s="219">
        <f t="shared" si="8"/>
        <v>0</v>
      </c>
      <c r="R28" s="131"/>
      <c r="S28" s="293"/>
      <c r="T28" s="292"/>
      <c r="U28" s="293">
        <v>0</v>
      </c>
      <c r="V28" s="293">
        <v>0</v>
      </c>
      <c r="W28" s="293">
        <v>0</v>
      </c>
      <c r="X28" s="293">
        <v>0</v>
      </c>
      <c r="Y28" s="293">
        <v>8744.36</v>
      </c>
      <c r="Z28" s="293">
        <v>22026506.790000029</v>
      </c>
      <c r="AA28" s="293">
        <v>4165317.63</v>
      </c>
      <c r="AB28" s="293">
        <v>40472.51</v>
      </c>
      <c r="AC28" s="293">
        <v>0</v>
      </c>
      <c r="AD28" s="272"/>
      <c r="AE28" s="272"/>
      <c r="AF28" s="272"/>
      <c r="AG28" s="272"/>
      <c r="AH28" s="274"/>
      <c r="AI28" s="272"/>
      <c r="AJ28" s="272"/>
      <c r="AK28" s="272"/>
    </row>
    <row r="29" spans="1:41" ht="14.65" hidden="1" customHeight="1" x14ac:dyDescent="0.25">
      <c r="A29" s="272" t="str">
        <f t="shared" si="0"/>
        <v>МоскваASM MOS Food Trade+SorsoTSL MOS Grocery Mos Obl AS-Market</v>
      </c>
      <c r="B29" s="248" t="s">
        <v>7</v>
      </c>
      <c r="C29" s="249" t="s">
        <v>317</v>
      </c>
      <c r="D29" s="249" t="s">
        <v>323</v>
      </c>
      <c r="E29" s="250" t="s">
        <v>329</v>
      </c>
      <c r="F29" s="251" t="s">
        <v>330</v>
      </c>
      <c r="G29" s="292"/>
      <c r="H29" s="292"/>
      <c r="I29" s="292"/>
      <c r="J29" s="219">
        <f t="shared" si="1"/>
        <v>0</v>
      </c>
      <c r="K29" s="219">
        <f t="shared" si="2"/>
        <v>0</v>
      </c>
      <c r="L29" s="219">
        <f t="shared" si="3"/>
        <v>26286175.709999982</v>
      </c>
      <c r="M29" s="232">
        <f t="shared" si="4"/>
        <v>11021748.269999998</v>
      </c>
      <c r="N29" s="219">
        <f t="shared" si="5"/>
        <v>0</v>
      </c>
      <c r="O29" s="219">
        <f t="shared" si="6"/>
        <v>0</v>
      </c>
      <c r="P29" s="219">
        <f t="shared" si="7"/>
        <v>0</v>
      </c>
      <c r="Q29" s="219">
        <f t="shared" si="8"/>
        <v>0</v>
      </c>
      <c r="R29" s="131"/>
      <c r="S29" s="293"/>
      <c r="T29" s="449"/>
      <c r="U29" s="449">
        <v>0</v>
      </c>
      <c r="V29" s="449">
        <v>0</v>
      </c>
      <c r="W29" s="449">
        <v>0</v>
      </c>
      <c r="X29" s="449">
        <v>26286175.709999982</v>
      </c>
      <c r="Y29" s="449">
        <v>5754256.379999999</v>
      </c>
      <c r="Z29" s="449">
        <v>5267491.8899999987</v>
      </c>
      <c r="AA29" s="449">
        <v>0</v>
      </c>
      <c r="AB29" s="449">
        <v>0</v>
      </c>
      <c r="AC29" s="449">
        <v>0</v>
      </c>
      <c r="AD29" s="450"/>
      <c r="AE29" s="450"/>
      <c r="AF29" s="450"/>
      <c r="AG29" s="450"/>
      <c r="AI29" s="450"/>
      <c r="AJ29" s="450"/>
      <c r="AK29" s="450"/>
    </row>
    <row r="30" spans="1:41" ht="14.65" hidden="1" customHeight="1" x14ac:dyDescent="0.25">
      <c r="A30" s="272" t="str">
        <f t="shared" si="0"/>
        <v>МоскваASM MOS Food Trade+SorsoTSL MOS SPT Moscow Play Sorso</v>
      </c>
      <c r="B30" s="248" t="s">
        <v>7</v>
      </c>
      <c r="C30" s="249" t="s">
        <v>317</v>
      </c>
      <c r="D30" s="249" t="s">
        <v>323</v>
      </c>
      <c r="E30" s="272" t="s">
        <v>324</v>
      </c>
      <c r="F30" s="251" t="s">
        <v>325</v>
      </c>
      <c r="G30" s="292"/>
      <c r="H30" s="292"/>
      <c r="I30" s="292"/>
      <c r="J30" s="219">
        <f t="shared" si="1"/>
        <v>0</v>
      </c>
      <c r="K30" s="219">
        <f t="shared" si="2"/>
        <v>0</v>
      </c>
      <c r="L30" s="219">
        <f t="shared" si="3"/>
        <v>0</v>
      </c>
      <c r="M30" s="232">
        <f t="shared" si="4"/>
        <v>371171.09</v>
      </c>
      <c r="N30" s="219">
        <f t="shared" si="5"/>
        <v>0</v>
      </c>
      <c r="O30" s="219">
        <f t="shared" si="6"/>
        <v>0</v>
      </c>
      <c r="P30" s="219">
        <f t="shared" si="7"/>
        <v>0</v>
      </c>
      <c r="Q30" s="219">
        <f t="shared" si="8"/>
        <v>0</v>
      </c>
      <c r="R30" s="131"/>
      <c r="S30" s="293"/>
      <c r="T30" s="292"/>
      <c r="U30" s="293">
        <v>0</v>
      </c>
      <c r="V30" s="293">
        <v>0</v>
      </c>
      <c r="W30" s="293">
        <v>0</v>
      </c>
      <c r="X30" s="293">
        <v>0</v>
      </c>
      <c r="Y30" s="293">
        <v>109458.56000000001</v>
      </c>
      <c r="Z30" s="293">
        <v>261712.53</v>
      </c>
      <c r="AA30" s="293">
        <v>0</v>
      </c>
      <c r="AB30" s="293">
        <v>0</v>
      </c>
      <c r="AC30" s="293">
        <v>0</v>
      </c>
      <c r="AD30" s="272"/>
      <c r="AE30" s="272"/>
      <c r="AF30" s="272"/>
      <c r="AG30" s="272"/>
      <c r="AH30" s="274"/>
      <c r="AI30" s="272"/>
      <c r="AJ30" s="272"/>
      <c r="AK30" s="272"/>
    </row>
    <row r="31" spans="1:41" ht="14.65" hidden="1" customHeight="1" x14ac:dyDescent="0.25">
      <c r="A31" s="272" t="str">
        <f t="shared" si="0"/>
        <v>МоскваASM MOS Food Trade+SorsoTSL MOS SPT Moscow Play Sorso</v>
      </c>
      <c r="B31" s="248" t="s">
        <v>7</v>
      </c>
      <c r="C31" s="249" t="s">
        <v>317</v>
      </c>
      <c r="D31" s="249" t="s">
        <v>323</v>
      </c>
      <c r="E31" s="272" t="s">
        <v>324</v>
      </c>
      <c r="F31" s="251" t="s">
        <v>325</v>
      </c>
      <c r="G31" s="292"/>
      <c r="H31" s="292"/>
      <c r="I31" s="292"/>
      <c r="J31" s="219">
        <f t="shared" si="1"/>
        <v>0</v>
      </c>
      <c r="K31" s="219">
        <f t="shared" si="2"/>
        <v>0</v>
      </c>
      <c r="L31" s="219">
        <f t="shared" si="3"/>
        <v>0</v>
      </c>
      <c r="M31" s="232">
        <f t="shared" si="4"/>
        <v>47580.24</v>
      </c>
      <c r="N31" s="219">
        <f t="shared" si="5"/>
        <v>0</v>
      </c>
      <c r="O31" s="219">
        <f t="shared" si="6"/>
        <v>0</v>
      </c>
      <c r="P31" s="219">
        <f t="shared" si="7"/>
        <v>0</v>
      </c>
      <c r="Q31" s="219">
        <f t="shared" si="8"/>
        <v>0</v>
      </c>
      <c r="R31" s="131"/>
      <c r="S31" s="293"/>
      <c r="T31" s="292"/>
      <c r="U31" s="293">
        <v>0</v>
      </c>
      <c r="V31" s="293">
        <v>0</v>
      </c>
      <c r="W31" s="293">
        <v>0</v>
      </c>
      <c r="X31" s="293">
        <v>0</v>
      </c>
      <c r="Y31" s="293">
        <v>0</v>
      </c>
      <c r="Z31" s="293">
        <v>47580.24</v>
      </c>
      <c r="AA31" s="293">
        <v>0</v>
      </c>
      <c r="AB31" s="293">
        <v>0</v>
      </c>
      <c r="AC31" s="293">
        <v>0</v>
      </c>
      <c r="AD31" s="272"/>
      <c r="AE31" s="272"/>
      <c r="AF31" s="272"/>
      <c r="AG31" s="272"/>
      <c r="AH31" s="274"/>
      <c r="AI31" s="272"/>
      <c r="AJ31" s="272"/>
      <c r="AK31" s="272"/>
    </row>
    <row r="32" spans="1:41" ht="14.65" hidden="1" customHeight="1" x14ac:dyDescent="0.25">
      <c r="A32" s="272" t="str">
        <f t="shared" si="0"/>
        <v>МоскваASM MOS Food Trade+SorsoTSL MOS SPT Moscow Play Sorso</v>
      </c>
      <c r="B32" s="248" t="s">
        <v>7</v>
      </c>
      <c r="C32" s="249" t="s">
        <v>317</v>
      </c>
      <c r="D32" s="249" t="s">
        <v>323</v>
      </c>
      <c r="E32" s="250" t="s">
        <v>324</v>
      </c>
      <c r="F32" s="251" t="s">
        <v>322</v>
      </c>
      <c r="G32" s="292">
        <v>1</v>
      </c>
      <c r="H32" s="292"/>
      <c r="I32" s="292"/>
      <c r="J32" s="219">
        <f t="shared" si="1"/>
        <v>0</v>
      </c>
      <c r="K32" s="219">
        <f t="shared" si="2"/>
        <v>0</v>
      </c>
      <c r="L32" s="219">
        <f t="shared" si="3"/>
        <v>87719.900000000009</v>
      </c>
      <c r="M32" s="232">
        <f t="shared" si="4"/>
        <v>68426.539999999994</v>
      </c>
      <c r="N32" s="219">
        <f t="shared" si="5"/>
        <v>0</v>
      </c>
      <c r="O32" s="219">
        <f t="shared" si="6"/>
        <v>0</v>
      </c>
      <c r="P32" s="219">
        <f t="shared" si="7"/>
        <v>0</v>
      </c>
      <c r="Q32" s="219">
        <f t="shared" si="8"/>
        <v>0</v>
      </c>
      <c r="R32" s="131"/>
      <c r="S32" s="293"/>
      <c r="T32" s="292"/>
      <c r="U32" s="292">
        <v>0</v>
      </c>
      <c r="V32" s="292">
        <v>0</v>
      </c>
      <c r="W32" s="292">
        <v>0</v>
      </c>
      <c r="X32" s="292">
        <v>87719.900000000009</v>
      </c>
      <c r="Y32" s="292">
        <v>13654.369999999999</v>
      </c>
      <c r="Z32" s="292">
        <v>49983.75</v>
      </c>
      <c r="AA32" s="292">
        <v>0</v>
      </c>
      <c r="AB32" s="292">
        <v>4788.42</v>
      </c>
      <c r="AC32" s="292">
        <v>0</v>
      </c>
      <c r="AD32" s="272"/>
      <c r="AE32" s="272"/>
      <c r="AF32" s="272"/>
      <c r="AG32" s="272"/>
      <c r="AH32" s="274"/>
      <c r="AI32" s="272"/>
      <c r="AJ32" s="272"/>
      <c r="AK32" s="272"/>
    </row>
    <row r="33" spans="1:41" ht="14.65" hidden="1" customHeight="1" x14ac:dyDescent="0.25">
      <c r="A33" s="272" t="str">
        <f t="shared" si="0"/>
        <v>МоскваASM MOS Food Trade+SorsoTSL MOS SPT Moscow Play Sorso</v>
      </c>
      <c r="B33" s="248" t="s">
        <v>7</v>
      </c>
      <c r="C33" s="249" t="s">
        <v>317</v>
      </c>
      <c r="D33" s="249" t="s">
        <v>323</v>
      </c>
      <c r="E33" s="272" t="s">
        <v>324</v>
      </c>
      <c r="F33" s="251" t="s">
        <v>325</v>
      </c>
      <c r="G33" s="292"/>
      <c r="H33" s="292"/>
      <c r="I33" s="292"/>
      <c r="J33" s="219">
        <f t="shared" si="1"/>
        <v>0</v>
      </c>
      <c r="K33" s="219">
        <f t="shared" si="2"/>
        <v>0</v>
      </c>
      <c r="L33" s="219">
        <f t="shared" si="3"/>
        <v>0</v>
      </c>
      <c r="M33" s="232">
        <f t="shared" si="4"/>
        <v>54846.799999999996</v>
      </c>
      <c r="N33" s="219">
        <f t="shared" si="5"/>
        <v>0</v>
      </c>
      <c r="O33" s="219">
        <f t="shared" si="6"/>
        <v>0</v>
      </c>
      <c r="P33" s="219">
        <f t="shared" si="7"/>
        <v>0</v>
      </c>
      <c r="Q33" s="219">
        <f t="shared" si="8"/>
        <v>0</v>
      </c>
      <c r="R33" s="131"/>
      <c r="S33" s="293"/>
      <c r="T33" s="292"/>
      <c r="U33" s="293">
        <v>0</v>
      </c>
      <c r="V33" s="293">
        <v>0</v>
      </c>
      <c r="W33" s="293">
        <v>0</v>
      </c>
      <c r="X33" s="293">
        <v>0</v>
      </c>
      <c r="Y33" s="293">
        <v>0</v>
      </c>
      <c r="Z33" s="293">
        <v>54846.799999999996</v>
      </c>
      <c r="AA33" s="293">
        <v>0</v>
      </c>
      <c r="AB33" s="293">
        <v>0</v>
      </c>
      <c r="AC33" s="293">
        <v>0</v>
      </c>
      <c r="AD33" s="272"/>
      <c r="AE33" s="272"/>
      <c r="AF33" s="272"/>
      <c r="AG33" s="272"/>
      <c r="AH33" s="274"/>
      <c r="AI33" s="272"/>
      <c r="AJ33" s="272"/>
      <c r="AK33" s="272"/>
    </row>
    <row r="34" spans="1:41" ht="14.65" hidden="1" customHeight="1" x14ac:dyDescent="0.25">
      <c r="A34" s="272" t="str">
        <f t="shared" si="0"/>
        <v>МоскваASM MOS Food Trade+SorsoTSL MOS Grocery Mos Obl AS-Market</v>
      </c>
      <c r="B34" s="248" t="s">
        <v>7</v>
      </c>
      <c r="C34" s="249" t="s">
        <v>317</v>
      </c>
      <c r="D34" s="249" t="s">
        <v>323</v>
      </c>
      <c r="E34" s="250" t="s">
        <v>329</v>
      </c>
      <c r="F34" s="251" t="s">
        <v>330</v>
      </c>
      <c r="G34" s="292"/>
      <c r="H34" s="292"/>
      <c r="I34" s="292"/>
      <c r="J34" s="219">
        <f t="shared" si="1"/>
        <v>0</v>
      </c>
      <c r="K34" s="219">
        <f t="shared" si="2"/>
        <v>0</v>
      </c>
      <c r="L34" s="219">
        <f t="shared" si="3"/>
        <v>705614.96000000008</v>
      </c>
      <c r="M34" s="232">
        <f t="shared" si="4"/>
        <v>18449570.049999993</v>
      </c>
      <c r="N34" s="219">
        <f t="shared" si="5"/>
        <v>0</v>
      </c>
      <c r="O34" s="219">
        <f t="shared" si="6"/>
        <v>0</v>
      </c>
      <c r="P34" s="219">
        <f t="shared" si="7"/>
        <v>0</v>
      </c>
      <c r="Q34" s="219">
        <f t="shared" si="8"/>
        <v>0</v>
      </c>
      <c r="R34" s="131"/>
      <c r="S34" s="293"/>
      <c r="T34" s="449"/>
      <c r="U34" s="449">
        <v>0</v>
      </c>
      <c r="V34" s="449">
        <v>0</v>
      </c>
      <c r="W34" s="449">
        <v>0</v>
      </c>
      <c r="X34" s="449">
        <v>705614.96000000008</v>
      </c>
      <c r="Y34" s="449">
        <v>11128858.729999993</v>
      </c>
      <c r="Z34" s="449">
        <v>5446135.0799999991</v>
      </c>
      <c r="AA34" s="449">
        <v>0</v>
      </c>
      <c r="AB34" s="449">
        <v>1874576.2400000005</v>
      </c>
      <c r="AC34" s="449">
        <v>0</v>
      </c>
      <c r="AD34" s="450"/>
      <c r="AE34" s="450"/>
      <c r="AF34" s="450"/>
      <c r="AG34" s="450"/>
      <c r="AI34" s="450"/>
      <c r="AJ34" s="450"/>
      <c r="AK34" s="450"/>
    </row>
    <row r="35" spans="1:41" ht="14.65" hidden="1" customHeight="1" x14ac:dyDescent="0.25">
      <c r="A35" s="272" t="str">
        <f t="shared" si="0"/>
        <v>МоскваASM MOS Food Trade+SorsoTSL MOS Grocery Mos Obl AS-Market</v>
      </c>
      <c r="B35" s="248" t="s">
        <v>7</v>
      </c>
      <c r="C35" s="249" t="s">
        <v>317</v>
      </c>
      <c r="D35" s="249" t="s">
        <v>323</v>
      </c>
      <c r="E35" s="250" t="s">
        <v>329</v>
      </c>
      <c r="F35" s="251" t="s">
        <v>330</v>
      </c>
      <c r="G35" s="292"/>
      <c r="H35" s="292"/>
      <c r="I35" s="292"/>
      <c r="J35" s="219">
        <f t="shared" si="1"/>
        <v>0</v>
      </c>
      <c r="K35" s="219">
        <f t="shared" si="2"/>
        <v>0</v>
      </c>
      <c r="L35" s="219">
        <f t="shared" si="3"/>
        <v>304618.33</v>
      </c>
      <c r="M35" s="232">
        <f t="shared" si="4"/>
        <v>70699872.200000003</v>
      </c>
      <c r="N35" s="219">
        <f t="shared" si="5"/>
        <v>0</v>
      </c>
      <c r="O35" s="219">
        <f t="shared" si="6"/>
        <v>0</v>
      </c>
      <c r="P35" s="219">
        <f t="shared" si="7"/>
        <v>0</v>
      </c>
      <c r="Q35" s="219">
        <f t="shared" si="8"/>
        <v>0</v>
      </c>
      <c r="R35" s="131"/>
      <c r="S35" s="293"/>
      <c r="T35" s="449"/>
      <c r="U35" s="449">
        <v>0</v>
      </c>
      <c r="V35" s="449">
        <v>0</v>
      </c>
      <c r="W35" s="449">
        <v>0</v>
      </c>
      <c r="X35" s="449">
        <v>304618.33</v>
      </c>
      <c r="Y35" s="449">
        <v>342266.64999999997</v>
      </c>
      <c r="Z35" s="449">
        <v>4906200.0500000007</v>
      </c>
      <c r="AA35" s="449">
        <v>1611618.38</v>
      </c>
      <c r="AB35" s="449">
        <v>380185.84000000008</v>
      </c>
      <c r="AC35" s="449">
        <v>63459601.280000009</v>
      </c>
      <c r="AD35" s="450"/>
      <c r="AE35" s="450"/>
      <c r="AF35" s="450"/>
      <c r="AG35" s="450"/>
      <c r="AI35" s="450"/>
      <c r="AJ35" s="450"/>
      <c r="AK35" s="450"/>
    </row>
    <row r="36" spans="1:41" ht="14.65" hidden="1" customHeight="1" x14ac:dyDescent="0.25">
      <c r="A36" s="272" t="str">
        <f t="shared" si="0"/>
        <v>МоскваASM MOS Food Trade+SorsoTSL MOS SPT Moscow Play Sorso</v>
      </c>
      <c r="B36" s="248" t="s">
        <v>7</v>
      </c>
      <c r="C36" s="249" t="s">
        <v>317</v>
      </c>
      <c r="D36" s="249" t="s">
        <v>323</v>
      </c>
      <c r="E36" s="272" t="s">
        <v>324</v>
      </c>
      <c r="F36" s="251" t="s">
        <v>325</v>
      </c>
      <c r="G36" s="292"/>
      <c r="H36" s="292"/>
      <c r="I36" s="292"/>
      <c r="J36" s="219">
        <f t="shared" si="1"/>
        <v>0</v>
      </c>
      <c r="K36" s="219">
        <f t="shared" si="2"/>
        <v>0</v>
      </c>
      <c r="L36" s="219">
        <f t="shared" si="3"/>
        <v>0</v>
      </c>
      <c r="M36" s="232">
        <f t="shared" si="4"/>
        <v>1520239.6600000001</v>
      </c>
      <c r="N36" s="219">
        <f t="shared" si="5"/>
        <v>0</v>
      </c>
      <c r="O36" s="219">
        <f t="shared" si="6"/>
        <v>0</v>
      </c>
      <c r="P36" s="219">
        <f t="shared" si="7"/>
        <v>0</v>
      </c>
      <c r="Q36" s="219">
        <f t="shared" si="8"/>
        <v>0</v>
      </c>
      <c r="R36" s="131"/>
      <c r="S36" s="293"/>
      <c r="T36" s="292"/>
      <c r="U36" s="293">
        <v>0</v>
      </c>
      <c r="V36" s="293">
        <v>0</v>
      </c>
      <c r="W36" s="293">
        <v>0</v>
      </c>
      <c r="X36" s="293">
        <v>0</v>
      </c>
      <c r="Y36" s="293">
        <v>449616.58000000019</v>
      </c>
      <c r="Z36" s="293">
        <v>844392.20000000019</v>
      </c>
      <c r="AA36" s="293">
        <v>221309.68</v>
      </c>
      <c r="AB36" s="293">
        <v>4921.2</v>
      </c>
      <c r="AC36" s="293">
        <v>0</v>
      </c>
      <c r="AD36" s="272"/>
      <c r="AE36" s="272"/>
      <c r="AF36" s="272"/>
      <c r="AG36" s="272"/>
      <c r="AH36" s="274"/>
      <c r="AI36" s="272"/>
      <c r="AJ36" s="272"/>
      <c r="AK36" s="272"/>
    </row>
    <row r="37" spans="1:41" ht="14.65" hidden="1" customHeight="1" x14ac:dyDescent="0.25">
      <c r="A37" s="272" t="str">
        <f t="shared" si="0"/>
        <v>МоскваASM MOS Food Trade+SorsoTSL MOS SPT Moscow Play Sorso</v>
      </c>
      <c r="B37" s="248" t="s">
        <v>7</v>
      </c>
      <c r="C37" s="249" t="s">
        <v>317</v>
      </c>
      <c r="D37" s="249" t="s">
        <v>323</v>
      </c>
      <c r="E37" s="272" t="s">
        <v>324</v>
      </c>
      <c r="F37" s="251" t="s">
        <v>325</v>
      </c>
      <c r="G37" s="292"/>
      <c r="H37" s="292"/>
      <c r="I37" s="292"/>
      <c r="J37" s="219">
        <f t="shared" si="1"/>
        <v>0</v>
      </c>
      <c r="K37" s="219">
        <f t="shared" si="2"/>
        <v>0</v>
      </c>
      <c r="L37" s="219">
        <f t="shared" si="3"/>
        <v>0</v>
      </c>
      <c r="M37" s="232">
        <f t="shared" si="4"/>
        <v>8470784.9499999974</v>
      </c>
      <c r="N37" s="219">
        <f t="shared" si="5"/>
        <v>0</v>
      </c>
      <c r="O37" s="219">
        <f t="shared" si="6"/>
        <v>0</v>
      </c>
      <c r="P37" s="219">
        <f t="shared" si="7"/>
        <v>0</v>
      </c>
      <c r="Q37" s="219">
        <f t="shared" si="8"/>
        <v>0</v>
      </c>
      <c r="R37" s="131"/>
      <c r="S37" s="293"/>
      <c r="T37" s="292"/>
      <c r="U37" s="293">
        <v>0</v>
      </c>
      <c r="V37" s="293">
        <v>0</v>
      </c>
      <c r="W37" s="293">
        <v>0</v>
      </c>
      <c r="X37" s="293">
        <v>0</v>
      </c>
      <c r="Y37" s="293">
        <v>120182.07000000002</v>
      </c>
      <c r="Z37" s="293">
        <v>1560963.9799999993</v>
      </c>
      <c r="AA37" s="293">
        <v>6789638.8999999985</v>
      </c>
      <c r="AB37" s="293">
        <v>0</v>
      </c>
      <c r="AC37" s="293">
        <v>0</v>
      </c>
      <c r="AD37" s="272"/>
      <c r="AE37" s="272"/>
      <c r="AF37" s="272"/>
      <c r="AG37" s="272"/>
      <c r="AH37" s="274"/>
      <c r="AI37" s="272"/>
      <c r="AJ37" s="272"/>
      <c r="AK37" s="272"/>
    </row>
    <row r="38" spans="1:41" ht="14.65" hidden="1" customHeight="1" x14ac:dyDescent="0.25">
      <c r="A38" s="272" t="str">
        <f t="shared" si="0"/>
        <v>МоскваASM MOS Food Trade+SorsoTSL MOS SPT Moscow Play Sorso</v>
      </c>
      <c r="B38" s="248" t="s">
        <v>7</v>
      </c>
      <c r="C38" s="249" t="s">
        <v>317</v>
      </c>
      <c r="D38" s="249" t="s">
        <v>323</v>
      </c>
      <c r="E38" s="272" t="s">
        <v>324</v>
      </c>
      <c r="F38" s="251" t="s">
        <v>325</v>
      </c>
      <c r="G38" s="292"/>
      <c r="H38" s="292"/>
      <c r="I38" s="292"/>
      <c r="J38" s="219">
        <f t="shared" si="1"/>
        <v>0</v>
      </c>
      <c r="K38" s="219">
        <f t="shared" si="2"/>
        <v>0</v>
      </c>
      <c r="L38" s="219">
        <f t="shared" si="3"/>
        <v>0</v>
      </c>
      <c r="M38" s="232">
        <f t="shared" si="4"/>
        <v>74381.34</v>
      </c>
      <c r="N38" s="219">
        <f t="shared" si="5"/>
        <v>0</v>
      </c>
      <c r="O38" s="219">
        <f t="shared" si="6"/>
        <v>0</v>
      </c>
      <c r="P38" s="219">
        <f t="shared" si="7"/>
        <v>0</v>
      </c>
      <c r="Q38" s="219">
        <f t="shared" si="8"/>
        <v>0</v>
      </c>
      <c r="R38" s="131"/>
      <c r="S38" s="293"/>
      <c r="T38" s="292"/>
      <c r="U38" s="293">
        <v>0</v>
      </c>
      <c r="V38" s="293">
        <v>0</v>
      </c>
      <c r="W38" s="293">
        <v>0</v>
      </c>
      <c r="X38" s="293">
        <v>0</v>
      </c>
      <c r="Y38" s="293">
        <v>0</v>
      </c>
      <c r="Z38" s="293">
        <v>74381.34</v>
      </c>
      <c r="AA38" s="293">
        <v>0</v>
      </c>
      <c r="AB38" s="293">
        <v>0</v>
      </c>
      <c r="AC38" s="293">
        <v>0</v>
      </c>
      <c r="AD38" s="272"/>
      <c r="AE38" s="272"/>
      <c r="AF38" s="272"/>
      <c r="AG38" s="272"/>
      <c r="AH38" s="274"/>
      <c r="AI38" s="272"/>
      <c r="AJ38" s="272"/>
      <c r="AK38" s="272"/>
    </row>
    <row r="39" spans="1:41" ht="14.65" hidden="1" customHeight="1" x14ac:dyDescent="0.25">
      <c r="A39" s="272" t="str">
        <f t="shared" si="0"/>
        <v>МоскваDDM MOS Sladkaay ZhiznTSL MOS  Moscow 2 Sladkaya Zhizn</v>
      </c>
      <c r="B39" s="248" t="s">
        <v>7</v>
      </c>
      <c r="C39" s="249" t="s">
        <v>317</v>
      </c>
      <c r="D39" s="249" t="s">
        <v>318</v>
      </c>
      <c r="E39" s="250" t="s">
        <v>327</v>
      </c>
      <c r="F39" s="251" t="s">
        <v>322</v>
      </c>
      <c r="G39" s="292"/>
      <c r="H39" s="292"/>
      <c r="I39" s="292"/>
      <c r="J39" s="219">
        <f t="shared" si="1"/>
        <v>0</v>
      </c>
      <c r="K39" s="219">
        <f t="shared" si="2"/>
        <v>2268781.3500000006</v>
      </c>
      <c r="L39" s="219">
        <f t="shared" si="3"/>
        <v>0</v>
      </c>
      <c r="M39" s="232">
        <f t="shared" si="4"/>
        <v>41559387.57</v>
      </c>
      <c r="N39" s="219">
        <f t="shared" si="5"/>
        <v>0</v>
      </c>
      <c r="O39" s="219">
        <f t="shared" si="6"/>
        <v>109321797.52999994</v>
      </c>
      <c r="P39" s="219">
        <f t="shared" si="7"/>
        <v>0</v>
      </c>
      <c r="Q39" s="219">
        <f t="shared" si="8"/>
        <v>0</v>
      </c>
      <c r="R39" s="131"/>
      <c r="S39" s="293"/>
      <c r="T39" s="292"/>
      <c r="U39" s="292">
        <v>0</v>
      </c>
      <c r="V39" s="292">
        <v>2268781.3500000006</v>
      </c>
      <c r="W39" s="292">
        <v>0</v>
      </c>
      <c r="X39" s="449"/>
      <c r="Y39" s="292">
        <v>8588247.9499999974</v>
      </c>
      <c r="Z39" s="292">
        <v>20423780.23</v>
      </c>
      <c r="AA39" s="292">
        <v>7231411.2700000023</v>
      </c>
      <c r="AB39" s="292">
        <v>4680397.2199999988</v>
      </c>
      <c r="AC39" s="292">
        <v>635550.9</v>
      </c>
      <c r="AD39" s="272"/>
      <c r="AE39" s="272"/>
      <c r="AF39" s="272"/>
      <c r="AG39" s="272"/>
      <c r="AH39" s="449">
        <v>109321797.52999994</v>
      </c>
      <c r="AI39" s="272"/>
      <c r="AJ39" s="272"/>
      <c r="AK39" s="272"/>
      <c r="AO39" s="275" t="s">
        <v>321</v>
      </c>
    </row>
    <row r="40" spans="1:41" ht="14.65" hidden="1" customHeight="1" x14ac:dyDescent="0.25">
      <c r="A40" s="272" t="str">
        <f t="shared" si="0"/>
        <v>МоскваASM MOS Food Trade+SorsoTSL MOS SPT Moscow Play Sorso</v>
      </c>
      <c r="B40" s="248" t="s">
        <v>7</v>
      </c>
      <c r="C40" s="249" t="s">
        <v>317</v>
      </c>
      <c r="D40" s="249" t="s">
        <v>323</v>
      </c>
      <c r="E40" s="272" t="s">
        <v>324</v>
      </c>
      <c r="F40" s="251" t="s">
        <v>325</v>
      </c>
      <c r="G40" s="292"/>
      <c r="H40" s="292"/>
      <c r="I40" s="292"/>
      <c r="J40" s="219">
        <f t="shared" si="1"/>
        <v>0</v>
      </c>
      <c r="K40" s="219">
        <f t="shared" si="2"/>
        <v>0</v>
      </c>
      <c r="L40" s="219">
        <f t="shared" si="3"/>
        <v>0</v>
      </c>
      <c r="M40" s="232">
        <f t="shared" si="4"/>
        <v>7381.7999999999993</v>
      </c>
      <c r="N40" s="219">
        <f t="shared" si="5"/>
        <v>0</v>
      </c>
      <c r="O40" s="219">
        <f t="shared" si="6"/>
        <v>0</v>
      </c>
      <c r="P40" s="219">
        <f t="shared" si="7"/>
        <v>0</v>
      </c>
      <c r="Q40" s="219">
        <f t="shared" si="8"/>
        <v>0</v>
      </c>
      <c r="R40" s="131"/>
      <c r="S40" s="293"/>
      <c r="T40" s="292"/>
      <c r="U40" s="293">
        <v>0</v>
      </c>
      <c r="V40" s="293">
        <v>0</v>
      </c>
      <c r="W40" s="293">
        <v>0</v>
      </c>
      <c r="X40" s="293">
        <v>0</v>
      </c>
      <c r="Y40" s="293">
        <v>0</v>
      </c>
      <c r="Z40" s="293">
        <v>7381.7999999999993</v>
      </c>
      <c r="AA40" s="293">
        <v>0</v>
      </c>
      <c r="AB40" s="293">
        <v>0</v>
      </c>
      <c r="AC40" s="293">
        <v>0</v>
      </c>
      <c r="AD40" s="272"/>
      <c r="AE40" s="272"/>
      <c r="AF40" s="272"/>
      <c r="AG40" s="272"/>
      <c r="AH40" s="274"/>
      <c r="AI40" s="272"/>
      <c r="AJ40" s="272"/>
      <c r="AK40" s="272"/>
    </row>
    <row r="41" spans="1:41" ht="14.65" hidden="1" customHeight="1" x14ac:dyDescent="0.25">
      <c r="A41" s="272" t="str">
        <f t="shared" si="0"/>
        <v>МоскваASM MOS Food Trade+SorsoTSL MOS Grocery Mos Obl AS-Market</v>
      </c>
      <c r="B41" s="248" t="s">
        <v>7</v>
      </c>
      <c r="C41" s="249" t="s">
        <v>317</v>
      </c>
      <c r="D41" s="249" t="s">
        <v>323</v>
      </c>
      <c r="E41" s="250" t="s">
        <v>329</v>
      </c>
      <c r="F41" s="251" t="s">
        <v>330</v>
      </c>
      <c r="G41" s="292"/>
      <c r="H41" s="292"/>
      <c r="I41" s="292"/>
      <c r="J41" s="219">
        <f t="shared" si="1"/>
        <v>0</v>
      </c>
      <c r="K41" s="219">
        <f t="shared" si="2"/>
        <v>16865038.440000001</v>
      </c>
      <c r="L41" s="219">
        <f t="shared" si="3"/>
        <v>886166.9800000001</v>
      </c>
      <c r="M41" s="232">
        <f t="shared" si="4"/>
        <v>125038.38</v>
      </c>
      <c r="N41" s="219">
        <f t="shared" si="5"/>
        <v>0</v>
      </c>
      <c r="O41" s="219">
        <f t="shared" si="6"/>
        <v>0</v>
      </c>
      <c r="P41" s="219">
        <f t="shared" si="7"/>
        <v>0</v>
      </c>
      <c r="Q41" s="219">
        <f t="shared" si="8"/>
        <v>0</v>
      </c>
      <c r="R41" s="131"/>
      <c r="S41" s="293"/>
      <c r="T41" s="449"/>
      <c r="U41" s="451">
        <v>16865038.440000001</v>
      </c>
      <c r="V41" s="449">
        <v>0</v>
      </c>
      <c r="W41" s="449">
        <v>0</v>
      </c>
      <c r="X41" s="449">
        <v>886166.9800000001</v>
      </c>
      <c r="Y41" s="449">
        <v>121304.76000000001</v>
      </c>
      <c r="Z41" s="449">
        <v>0</v>
      </c>
      <c r="AA41" s="449">
        <v>0</v>
      </c>
      <c r="AB41" s="449">
        <v>3733.62</v>
      </c>
      <c r="AC41" s="449">
        <v>0</v>
      </c>
      <c r="AD41" s="450"/>
      <c r="AE41" s="450"/>
      <c r="AF41" s="450"/>
      <c r="AG41" s="450"/>
      <c r="AI41" s="450"/>
      <c r="AJ41" s="450"/>
      <c r="AK41" s="450"/>
    </row>
    <row r="42" spans="1:41" ht="14.65" hidden="1" customHeight="1" x14ac:dyDescent="0.25">
      <c r="A42" s="272" t="str">
        <f t="shared" si="0"/>
        <v>МоскваDDM MOS Sladkaay ZhiznTSL MOS  Moscow 2 Sladkaya Zhizn</v>
      </c>
      <c r="B42" s="248" t="s">
        <v>7</v>
      </c>
      <c r="C42" s="249" t="s">
        <v>317</v>
      </c>
      <c r="D42" s="249" t="s">
        <v>318</v>
      </c>
      <c r="E42" s="250" t="s">
        <v>327</v>
      </c>
      <c r="F42" s="251" t="s">
        <v>322</v>
      </c>
      <c r="G42" s="292"/>
      <c r="H42" s="292"/>
      <c r="I42" s="292"/>
      <c r="J42" s="219">
        <f t="shared" si="1"/>
        <v>0</v>
      </c>
      <c r="K42" s="219">
        <f t="shared" si="2"/>
        <v>0</v>
      </c>
      <c r="L42" s="219">
        <f t="shared" si="3"/>
        <v>0</v>
      </c>
      <c r="M42" s="232">
        <f t="shared" si="4"/>
        <v>2572223.2800000003</v>
      </c>
      <c r="N42" s="219">
        <f t="shared" si="5"/>
        <v>0</v>
      </c>
      <c r="O42" s="219">
        <f t="shared" si="6"/>
        <v>85074102.199999973</v>
      </c>
      <c r="P42" s="219">
        <f t="shared" si="7"/>
        <v>0</v>
      </c>
      <c r="Q42" s="219">
        <f t="shared" si="8"/>
        <v>0</v>
      </c>
      <c r="R42" s="131"/>
      <c r="S42" s="293"/>
      <c r="T42" s="292"/>
      <c r="U42" s="292">
        <v>0</v>
      </c>
      <c r="V42" s="292">
        <v>0</v>
      </c>
      <c r="W42" s="292">
        <v>0</v>
      </c>
      <c r="Y42" s="292">
        <v>0</v>
      </c>
      <c r="Z42" s="292">
        <v>7915.5</v>
      </c>
      <c r="AA42" s="292">
        <v>0</v>
      </c>
      <c r="AB42" s="292">
        <v>31262.159999999993</v>
      </c>
      <c r="AC42" s="292">
        <v>2533045.62</v>
      </c>
      <c r="AD42" s="272"/>
      <c r="AE42" s="272"/>
      <c r="AF42" s="272"/>
      <c r="AG42" s="272"/>
      <c r="AH42" s="180">
        <v>85074102.199999973</v>
      </c>
      <c r="AI42" s="272"/>
      <c r="AJ42" s="272"/>
      <c r="AK42" s="272"/>
      <c r="AO42" s="275" t="s">
        <v>321</v>
      </c>
    </row>
    <row r="43" spans="1:41" ht="14.65" hidden="1" customHeight="1" x14ac:dyDescent="0.25">
      <c r="A43" s="272" t="str">
        <f t="shared" si="0"/>
        <v>МоскваDDM MOS Sladkaay ZhiznTSL MOS  Moscow 1 Sladkaya Zhizn</v>
      </c>
      <c r="B43" s="248" t="s">
        <v>7</v>
      </c>
      <c r="C43" s="249" t="s">
        <v>317</v>
      </c>
      <c r="D43" s="249" t="s">
        <v>318</v>
      </c>
      <c r="E43" s="250" t="s">
        <v>331</v>
      </c>
      <c r="F43" s="251" t="s">
        <v>322</v>
      </c>
      <c r="G43" s="292"/>
      <c r="H43" s="292"/>
      <c r="I43" s="292"/>
      <c r="J43" s="219">
        <f t="shared" si="1"/>
        <v>0</v>
      </c>
      <c r="K43" s="219">
        <f t="shared" si="2"/>
        <v>0</v>
      </c>
      <c r="L43" s="219">
        <f t="shared" si="3"/>
        <v>0</v>
      </c>
      <c r="M43" s="232">
        <f t="shared" si="4"/>
        <v>2572223.2800000003</v>
      </c>
      <c r="N43" s="219">
        <f t="shared" si="5"/>
        <v>0</v>
      </c>
      <c r="O43" s="219">
        <f t="shared" si="6"/>
        <v>67792885.019999981</v>
      </c>
      <c r="P43" s="219">
        <f t="shared" si="7"/>
        <v>0</v>
      </c>
      <c r="Q43" s="219">
        <f t="shared" si="8"/>
        <v>0</v>
      </c>
      <c r="R43" s="131"/>
      <c r="S43" s="293"/>
      <c r="T43" s="292"/>
      <c r="U43" s="292">
        <v>0</v>
      </c>
      <c r="V43" s="292">
        <v>0</v>
      </c>
      <c r="W43" s="292">
        <v>0</v>
      </c>
      <c r="X43" s="449"/>
      <c r="Y43" s="292">
        <v>0</v>
      </c>
      <c r="Z43" s="292">
        <v>7915.5</v>
      </c>
      <c r="AA43" s="292">
        <v>0</v>
      </c>
      <c r="AB43" s="292">
        <v>31262.159999999993</v>
      </c>
      <c r="AC43" s="292">
        <v>2533045.62</v>
      </c>
      <c r="AD43" s="272"/>
      <c r="AE43" s="272"/>
      <c r="AF43" s="272"/>
      <c r="AG43" s="272"/>
      <c r="AH43" s="449">
        <v>67792885.019999981</v>
      </c>
      <c r="AI43" s="272"/>
      <c r="AJ43" s="272"/>
      <c r="AK43" s="272"/>
      <c r="AO43" s="275" t="s">
        <v>321</v>
      </c>
    </row>
    <row r="44" spans="1:41" ht="14.65" hidden="1" customHeight="1" x14ac:dyDescent="0.25">
      <c r="A44" s="272" t="str">
        <f t="shared" si="0"/>
        <v>МоскваASM MOS Food Trade+SorsoTSL MOS SPT Moscow Play Sorso</v>
      </c>
      <c r="B44" s="248" t="s">
        <v>7</v>
      </c>
      <c r="C44" s="249" t="s">
        <v>317</v>
      </c>
      <c r="D44" s="249" t="s">
        <v>323</v>
      </c>
      <c r="E44" s="272" t="s">
        <v>324</v>
      </c>
      <c r="F44" s="251" t="s">
        <v>325</v>
      </c>
      <c r="G44" s="292"/>
      <c r="H44" s="292"/>
      <c r="I44" s="292"/>
      <c r="J44" s="219">
        <f t="shared" si="1"/>
        <v>0</v>
      </c>
      <c r="K44" s="219">
        <f t="shared" si="2"/>
        <v>0</v>
      </c>
      <c r="L44" s="219">
        <f t="shared" si="3"/>
        <v>0</v>
      </c>
      <c r="M44" s="232">
        <f t="shared" si="4"/>
        <v>113749.7</v>
      </c>
      <c r="N44" s="219">
        <f t="shared" si="5"/>
        <v>0</v>
      </c>
      <c r="O44" s="219">
        <f t="shared" si="6"/>
        <v>0</v>
      </c>
      <c r="P44" s="219">
        <f t="shared" si="7"/>
        <v>0</v>
      </c>
      <c r="Q44" s="219">
        <f t="shared" si="8"/>
        <v>0</v>
      </c>
      <c r="R44" s="131"/>
      <c r="S44" s="293"/>
      <c r="T44" s="292"/>
      <c r="U44" s="293">
        <v>0</v>
      </c>
      <c r="V44" s="293">
        <v>0</v>
      </c>
      <c r="W44" s="293">
        <v>0</v>
      </c>
      <c r="X44" s="293">
        <v>0</v>
      </c>
      <c r="Y44" s="293">
        <v>0</v>
      </c>
      <c r="Z44" s="293">
        <v>113749.7</v>
      </c>
      <c r="AA44" s="293">
        <v>0</v>
      </c>
      <c r="AB44" s="293">
        <v>0</v>
      </c>
      <c r="AC44" s="293">
        <v>0</v>
      </c>
      <c r="AD44" s="272"/>
      <c r="AE44" s="272"/>
      <c r="AF44" s="272"/>
      <c r="AG44" s="272"/>
      <c r="AH44" s="274"/>
      <c r="AI44" s="272"/>
      <c r="AJ44" s="272"/>
      <c r="AK44" s="272"/>
    </row>
    <row r="45" spans="1:41" ht="14.65" hidden="1" customHeight="1" x14ac:dyDescent="0.25">
      <c r="A45" s="272" t="str">
        <f t="shared" si="0"/>
        <v>МоскваASM MOS Food Trade+SorsoTSL MOS SPT Moscow Play Sorso</v>
      </c>
      <c r="B45" s="248" t="s">
        <v>7</v>
      </c>
      <c r="C45" s="249" t="s">
        <v>317</v>
      </c>
      <c r="D45" s="249" t="s">
        <v>323</v>
      </c>
      <c r="E45" s="272" t="s">
        <v>324</v>
      </c>
      <c r="F45" s="251" t="s">
        <v>325</v>
      </c>
      <c r="G45" s="292"/>
      <c r="H45" s="292"/>
      <c r="I45" s="292"/>
      <c r="J45" s="219">
        <f t="shared" si="1"/>
        <v>0</v>
      </c>
      <c r="K45" s="219">
        <f t="shared" si="2"/>
        <v>0</v>
      </c>
      <c r="L45" s="219">
        <f t="shared" si="3"/>
        <v>0</v>
      </c>
      <c r="M45" s="232">
        <f t="shared" si="4"/>
        <v>2460.6</v>
      </c>
      <c r="N45" s="219">
        <f t="shared" si="5"/>
        <v>0</v>
      </c>
      <c r="O45" s="219">
        <f t="shared" si="6"/>
        <v>0</v>
      </c>
      <c r="P45" s="219">
        <f t="shared" si="7"/>
        <v>0</v>
      </c>
      <c r="Q45" s="219">
        <f t="shared" si="8"/>
        <v>0</v>
      </c>
      <c r="R45" s="131"/>
      <c r="S45" s="293"/>
      <c r="T45" s="292"/>
      <c r="U45" s="293">
        <v>0</v>
      </c>
      <c r="V45" s="293">
        <v>0</v>
      </c>
      <c r="W45" s="293">
        <v>0</v>
      </c>
      <c r="X45" s="293">
        <v>0</v>
      </c>
      <c r="Y45" s="293">
        <v>0</v>
      </c>
      <c r="Z45" s="293">
        <v>2460.6</v>
      </c>
      <c r="AA45" s="293">
        <v>0</v>
      </c>
      <c r="AB45" s="293">
        <v>0</v>
      </c>
      <c r="AC45" s="293">
        <v>0</v>
      </c>
      <c r="AD45" s="272"/>
      <c r="AE45" s="272"/>
      <c r="AF45" s="272"/>
      <c r="AG45" s="272"/>
      <c r="AH45" s="274"/>
      <c r="AI45" s="272"/>
      <c r="AJ45" s="272"/>
      <c r="AK45" s="272"/>
    </row>
    <row r="46" spans="1:41" ht="14.65" hidden="1" customHeight="1" x14ac:dyDescent="0.25">
      <c r="A46" s="272" t="str">
        <f t="shared" si="0"/>
        <v>МоскваASM MOS Food Trade+SorsoTSL MOS Grocery Mos Obl AS-Market</v>
      </c>
      <c r="B46" s="248" t="s">
        <v>7</v>
      </c>
      <c r="C46" s="249" t="s">
        <v>317</v>
      </c>
      <c r="D46" s="249" t="s">
        <v>323</v>
      </c>
      <c r="E46" s="250" t="s">
        <v>329</v>
      </c>
      <c r="F46" s="251" t="s">
        <v>330</v>
      </c>
      <c r="G46" s="292">
        <v>1</v>
      </c>
      <c r="H46" s="292"/>
      <c r="I46" s="292"/>
      <c r="J46" s="219">
        <f t="shared" si="1"/>
        <v>0</v>
      </c>
      <c r="K46" s="219">
        <f t="shared" si="2"/>
        <v>0</v>
      </c>
      <c r="L46" s="219">
        <f t="shared" si="3"/>
        <v>0</v>
      </c>
      <c r="M46" s="232">
        <f t="shared" si="4"/>
        <v>1531398.9</v>
      </c>
      <c r="N46" s="219">
        <f t="shared" si="5"/>
        <v>0</v>
      </c>
      <c r="O46" s="219">
        <f t="shared" si="6"/>
        <v>0</v>
      </c>
      <c r="P46" s="219">
        <f t="shared" si="7"/>
        <v>3208724.3721000003</v>
      </c>
      <c r="Q46" s="219">
        <f t="shared" si="8"/>
        <v>0</v>
      </c>
      <c r="R46" s="131"/>
      <c r="S46" s="293"/>
      <c r="T46" s="449"/>
      <c r="U46" s="449">
        <v>0</v>
      </c>
      <c r="V46" s="449">
        <v>0</v>
      </c>
      <c r="W46" s="449">
        <v>0</v>
      </c>
      <c r="X46" s="449">
        <v>0</v>
      </c>
      <c r="Y46" s="449">
        <v>0</v>
      </c>
      <c r="Z46" s="449">
        <v>1531398.9</v>
      </c>
      <c r="AA46" s="449">
        <v>0</v>
      </c>
      <c r="AB46" s="449">
        <v>0</v>
      </c>
      <c r="AC46" s="449">
        <v>0</v>
      </c>
      <c r="AD46" s="450"/>
      <c r="AE46" s="450"/>
      <c r="AF46" s="450"/>
      <c r="AG46" s="450"/>
      <c r="AI46" s="450">
        <f>246824.9517*13</f>
        <v>3208724.3721000003</v>
      </c>
      <c r="AJ46" s="450"/>
      <c r="AK46" s="450"/>
    </row>
    <row r="47" spans="1:41" ht="14.65" hidden="1" customHeight="1" x14ac:dyDescent="0.25">
      <c r="A47" s="272" t="str">
        <f t="shared" si="0"/>
        <v>МоскваASM MOS Food Trade+SorsoTSL MOS SPT Moscow Play Sorso</v>
      </c>
      <c r="B47" s="248" t="s">
        <v>7</v>
      </c>
      <c r="C47" s="249" t="s">
        <v>317</v>
      </c>
      <c r="D47" s="249" t="s">
        <v>323</v>
      </c>
      <c r="E47" s="272" t="s">
        <v>324</v>
      </c>
      <c r="F47" s="251" t="s">
        <v>325</v>
      </c>
      <c r="G47" s="292"/>
      <c r="H47" s="292"/>
      <c r="I47" s="292"/>
      <c r="J47" s="219">
        <f t="shared" si="1"/>
        <v>0</v>
      </c>
      <c r="K47" s="219">
        <f t="shared" si="2"/>
        <v>35998.819999999992</v>
      </c>
      <c r="L47" s="219">
        <f t="shared" si="3"/>
        <v>0</v>
      </c>
      <c r="M47" s="232">
        <f t="shared" si="4"/>
        <v>9500000</v>
      </c>
      <c r="N47" s="219">
        <f t="shared" si="5"/>
        <v>0</v>
      </c>
      <c r="O47" s="219">
        <f t="shared" si="6"/>
        <v>0</v>
      </c>
      <c r="P47" s="219">
        <f t="shared" si="7"/>
        <v>0</v>
      </c>
      <c r="Q47" s="219">
        <f t="shared" si="8"/>
        <v>0</v>
      </c>
      <c r="R47" s="131"/>
      <c r="S47" s="293"/>
      <c r="T47" s="292"/>
      <c r="U47" s="293">
        <v>35998.819999999992</v>
      </c>
      <c r="V47" s="293">
        <v>0</v>
      </c>
      <c r="W47" s="293">
        <v>0</v>
      </c>
      <c r="X47" s="293">
        <v>0</v>
      </c>
      <c r="Y47" s="293">
        <v>0</v>
      </c>
      <c r="Z47" s="293">
        <v>9500000</v>
      </c>
      <c r="AA47" s="293">
        <v>0</v>
      </c>
      <c r="AB47" s="293">
        <v>0</v>
      </c>
      <c r="AC47" s="293">
        <v>0</v>
      </c>
      <c r="AD47" s="272"/>
      <c r="AE47" s="272"/>
      <c r="AF47" s="272"/>
      <c r="AG47" s="272"/>
      <c r="AH47" s="274"/>
      <c r="AI47" s="272"/>
      <c r="AJ47" s="272"/>
      <c r="AK47" s="272"/>
    </row>
    <row r="48" spans="1:41" ht="14.65" hidden="1" customHeight="1" x14ac:dyDescent="0.25">
      <c r="A48" s="272" t="str">
        <f t="shared" si="0"/>
        <v>МосковскаяASM MOS Food Trade+SorsoTSL MOS SPT Moscow Play Sorso</v>
      </c>
      <c r="B48" s="248" t="s">
        <v>333</v>
      </c>
      <c r="C48" s="249" t="s">
        <v>317</v>
      </c>
      <c r="D48" s="249" t="s">
        <v>323</v>
      </c>
      <c r="E48" s="272" t="s">
        <v>324</v>
      </c>
      <c r="F48" s="251" t="s">
        <v>325</v>
      </c>
      <c r="G48" s="292"/>
      <c r="H48" s="292"/>
      <c r="I48" s="292"/>
      <c r="J48" s="219">
        <f t="shared" si="1"/>
        <v>0</v>
      </c>
      <c r="K48" s="219">
        <f t="shared" si="2"/>
        <v>566466.16</v>
      </c>
      <c r="L48" s="219">
        <f t="shared" si="3"/>
        <v>0</v>
      </c>
      <c r="M48" s="232">
        <f t="shared" si="4"/>
        <v>101427.09999999998</v>
      </c>
      <c r="N48" s="219">
        <f t="shared" si="5"/>
        <v>0</v>
      </c>
      <c r="O48" s="219">
        <f t="shared" si="6"/>
        <v>4983223.1399999978</v>
      </c>
      <c r="P48" s="219">
        <f t="shared" si="7"/>
        <v>0</v>
      </c>
      <c r="Q48" s="219">
        <f t="shared" si="8"/>
        <v>0</v>
      </c>
      <c r="R48" s="131"/>
      <c r="S48" s="293"/>
      <c r="T48" s="292"/>
      <c r="U48" s="293">
        <v>0</v>
      </c>
      <c r="V48" s="293">
        <v>566466.16</v>
      </c>
      <c r="W48" s="293">
        <v>0</v>
      </c>
      <c r="X48" s="293">
        <v>0</v>
      </c>
      <c r="Y48" s="293">
        <v>0</v>
      </c>
      <c r="Z48" s="293">
        <v>101427.09999999998</v>
      </c>
      <c r="AA48" s="293">
        <v>0</v>
      </c>
      <c r="AB48" s="293">
        <v>0</v>
      </c>
      <c r="AC48" s="293">
        <v>0</v>
      </c>
      <c r="AD48" s="272"/>
      <c r="AE48" s="272"/>
      <c r="AF48" s="272"/>
      <c r="AG48" s="272"/>
      <c r="AH48" s="297">
        <v>4983223.1399999978</v>
      </c>
      <c r="AI48" s="272"/>
      <c r="AJ48" s="272"/>
      <c r="AK48" s="272"/>
      <c r="AO48" s="275" t="s">
        <v>332</v>
      </c>
    </row>
    <row r="49" spans="1:42" ht="14.65" hidden="1" customHeight="1" x14ac:dyDescent="0.25">
      <c r="A49" s="272" t="str">
        <f t="shared" si="0"/>
        <v>МосковскаяASM MOS Food Trade+SorsoTSL MOS Grocery Mos Obl AS-Market</v>
      </c>
      <c r="B49" s="248" t="s">
        <v>333</v>
      </c>
      <c r="C49" s="249" t="s">
        <v>317</v>
      </c>
      <c r="D49" s="249" t="s">
        <v>323</v>
      </c>
      <c r="E49" s="250" t="s">
        <v>329</v>
      </c>
      <c r="F49" s="251" t="s">
        <v>322</v>
      </c>
      <c r="G49" s="292"/>
      <c r="H49" s="292"/>
      <c r="I49" s="292"/>
      <c r="J49" s="219">
        <f t="shared" si="1"/>
        <v>0</v>
      </c>
      <c r="K49" s="219">
        <f t="shared" si="2"/>
        <v>0</v>
      </c>
      <c r="L49" s="219">
        <f t="shared" si="3"/>
        <v>120703.57999999999</v>
      </c>
      <c r="M49" s="232">
        <f t="shared" si="4"/>
        <v>397389.71999999991</v>
      </c>
      <c r="N49" s="219">
        <f t="shared" si="5"/>
        <v>0</v>
      </c>
      <c r="O49" s="219">
        <f t="shared" si="6"/>
        <v>0</v>
      </c>
      <c r="P49" s="219">
        <f t="shared" si="7"/>
        <v>0</v>
      </c>
      <c r="Q49" s="219">
        <f t="shared" si="8"/>
        <v>0</v>
      </c>
      <c r="R49" s="131"/>
      <c r="S49" s="293"/>
      <c r="T49" s="449"/>
      <c r="U49" s="449">
        <v>0</v>
      </c>
      <c r="V49" s="449">
        <v>0</v>
      </c>
      <c r="W49" s="449">
        <v>0</v>
      </c>
      <c r="X49" s="449">
        <v>120703.57999999999</v>
      </c>
      <c r="Y49" s="449">
        <v>0</v>
      </c>
      <c r="Z49" s="449">
        <v>371869.96999999991</v>
      </c>
      <c r="AA49" s="449">
        <v>0</v>
      </c>
      <c r="AB49" s="449">
        <v>25519.75</v>
      </c>
      <c r="AC49" s="449">
        <v>0</v>
      </c>
      <c r="AD49" s="450"/>
      <c r="AE49" s="450"/>
      <c r="AF49" s="450"/>
      <c r="AG49" s="450"/>
      <c r="AI49" s="450"/>
      <c r="AJ49" s="450"/>
      <c r="AK49" s="450"/>
    </row>
    <row r="50" spans="1:42" ht="14.65" hidden="1" customHeight="1" x14ac:dyDescent="0.25">
      <c r="A50" s="272" t="str">
        <f t="shared" si="0"/>
        <v>МосковскаяASM MOS Food Trade+SorsoTSL MOS SPT Moscow Play Sorso</v>
      </c>
      <c r="B50" s="248" t="s">
        <v>333</v>
      </c>
      <c r="C50" s="249" t="s">
        <v>317</v>
      </c>
      <c r="D50" s="249" t="s">
        <v>323</v>
      </c>
      <c r="E50" s="272" t="s">
        <v>324</v>
      </c>
      <c r="F50" s="251" t="s">
        <v>325</v>
      </c>
      <c r="G50" s="292"/>
      <c r="H50" s="292"/>
      <c r="I50" s="292"/>
      <c r="J50" s="219">
        <f t="shared" si="1"/>
        <v>0</v>
      </c>
      <c r="K50" s="219">
        <f t="shared" si="2"/>
        <v>16695851.649999999</v>
      </c>
      <c r="L50" s="219">
        <f t="shared" si="3"/>
        <v>71189.710000000021</v>
      </c>
      <c r="M50" s="232">
        <f t="shared" si="4"/>
        <v>85800621.210000008</v>
      </c>
      <c r="N50" s="219">
        <f t="shared" si="5"/>
        <v>0</v>
      </c>
      <c r="O50" s="219">
        <f t="shared" si="6"/>
        <v>0</v>
      </c>
      <c r="P50" s="219">
        <f t="shared" si="7"/>
        <v>0</v>
      </c>
      <c r="Q50" s="219">
        <f t="shared" si="8"/>
        <v>0</v>
      </c>
      <c r="R50" s="131"/>
      <c r="S50" s="293"/>
      <c r="T50" s="292"/>
      <c r="U50" s="293">
        <v>0</v>
      </c>
      <c r="V50" s="293">
        <v>16695851.649999999</v>
      </c>
      <c r="W50" s="293">
        <v>0</v>
      </c>
      <c r="X50" s="293">
        <v>71189.710000000021</v>
      </c>
      <c r="Y50" s="293">
        <v>460812.42999999993</v>
      </c>
      <c r="Z50" s="293">
        <v>23495219.850000001</v>
      </c>
      <c r="AA50" s="293">
        <v>203392.41999999998</v>
      </c>
      <c r="AB50" s="293">
        <v>1253900.6299999952</v>
      </c>
      <c r="AC50" s="293">
        <v>60387295.880000003</v>
      </c>
      <c r="AD50" s="272"/>
      <c r="AE50" s="272"/>
      <c r="AF50" s="272"/>
      <c r="AG50" s="272"/>
      <c r="AH50" s="274"/>
      <c r="AI50" s="272"/>
      <c r="AJ50" s="272"/>
      <c r="AK50" s="272"/>
    </row>
    <row r="51" spans="1:42" ht="14.65" hidden="1" customHeight="1" x14ac:dyDescent="0.25">
      <c r="A51" s="272" t="str">
        <f t="shared" si="0"/>
        <v>МосковскаяASM MOS Food Trade+SorsoTSL MOS Grocery Mos Obl AS-Market</v>
      </c>
      <c r="B51" s="248" t="s">
        <v>333</v>
      </c>
      <c r="C51" s="249" t="s">
        <v>317</v>
      </c>
      <c r="D51" s="249" t="s">
        <v>323</v>
      </c>
      <c r="E51" s="250" t="s">
        <v>329</v>
      </c>
      <c r="F51" s="251" t="s">
        <v>330</v>
      </c>
      <c r="G51" s="292"/>
      <c r="H51" s="292"/>
      <c r="I51" s="292"/>
      <c r="J51" s="219">
        <f t="shared" si="1"/>
        <v>0</v>
      </c>
      <c r="K51" s="219">
        <f t="shared" si="2"/>
        <v>0</v>
      </c>
      <c r="L51" s="219">
        <f t="shared" si="3"/>
        <v>85685187.23999998</v>
      </c>
      <c r="M51" s="232">
        <f t="shared" si="4"/>
        <v>5272787.08</v>
      </c>
      <c r="N51" s="219">
        <f t="shared" si="5"/>
        <v>0</v>
      </c>
      <c r="O51" s="219">
        <f t="shared" si="6"/>
        <v>0</v>
      </c>
      <c r="P51" s="219">
        <f t="shared" si="7"/>
        <v>0</v>
      </c>
      <c r="Q51" s="219">
        <f t="shared" si="8"/>
        <v>0</v>
      </c>
      <c r="R51" s="131"/>
      <c r="S51" s="293"/>
      <c r="T51" s="449"/>
      <c r="U51" s="449">
        <v>0</v>
      </c>
      <c r="V51" s="449">
        <v>0</v>
      </c>
      <c r="W51" s="449">
        <v>0</v>
      </c>
      <c r="X51" s="449">
        <v>85685187.23999998</v>
      </c>
      <c r="Y51" s="449">
        <v>5175767.47</v>
      </c>
      <c r="Z51" s="449">
        <v>97019.61</v>
      </c>
      <c r="AA51" s="449">
        <v>0</v>
      </c>
      <c r="AB51" s="449">
        <v>0</v>
      </c>
      <c r="AC51" s="449">
        <v>0</v>
      </c>
      <c r="AD51" s="450"/>
      <c r="AE51" s="450"/>
      <c r="AF51" s="450"/>
      <c r="AG51" s="450"/>
      <c r="AI51" s="450"/>
      <c r="AJ51" s="450"/>
      <c r="AK51" s="450"/>
      <c r="AO51" s="275" t="s">
        <v>334</v>
      </c>
      <c r="AP51" s="272" t="s">
        <v>335</v>
      </c>
    </row>
    <row r="52" spans="1:42" ht="14.65" hidden="1" customHeight="1" x14ac:dyDescent="0.25">
      <c r="A52" s="272" t="str">
        <f t="shared" si="0"/>
        <v>МосковскаяASM MOS Food Trade+SorsoTSL MOS SPT Moscow Play Sorso</v>
      </c>
      <c r="B52" s="248" t="s">
        <v>333</v>
      </c>
      <c r="C52" s="249" t="s">
        <v>317</v>
      </c>
      <c r="D52" s="249" t="s">
        <v>323</v>
      </c>
      <c r="E52" s="272" t="s">
        <v>324</v>
      </c>
      <c r="F52" s="251" t="s">
        <v>325</v>
      </c>
      <c r="G52" s="292"/>
      <c r="H52" s="292"/>
      <c r="I52" s="292"/>
      <c r="J52" s="219">
        <f t="shared" si="1"/>
        <v>0</v>
      </c>
      <c r="K52" s="219">
        <f t="shared" si="2"/>
        <v>0</v>
      </c>
      <c r="L52" s="219">
        <f t="shared" si="3"/>
        <v>0</v>
      </c>
      <c r="M52" s="232">
        <f t="shared" si="4"/>
        <v>165427.24999999997</v>
      </c>
      <c r="N52" s="219">
        <f t="shared" si="5"/>
        <v>0</v>
      </c>
      <c r="O52" s="219">
        <f t="shared" si="6"/>
        <v>0</v>
      </c>
      <c r="P52" s="219">
        <f t="shared" si="7"/>
        <v>0</v>
      </c>
      <c r="Q52" s="219">
        <f t="shared" si="8"/>
        <v>0</v>
      </c>
      <c r="R52" s="131"/>
      <c r="S52" s="293"/>
      <c r="T52" s="292"/>
      <c r="U52" s="293">
        <v>0</v>
      </c>
      <c r="V52" s="293">
        <v>0</v>
      </c>
      <c r="W52" s="293">
        <v>0</v>
      </c>
      <c r="X52" s="293">
        <v>0</v>
      </c>
      <c r="Y52" s="293">
        <v>6151.5</v>
      </c>
      <c r="Z52" s="293">
        <v>159275.74999999997</v>
      </c>
      <c r="AA52" s="293">
        <v>0</v>
      </c>
      <c r="AB52" s="293">
        <v>0</v>
      </c>
      <c r="AC52" s="293">
        <v>0</v>
      </c>
      <c r="AD52" s="272"/>
      <c r="AE52" s="272"/>
      <c r="AF52" s="272"/>
      <c r="AG52" s="272"/>
      <c r="AH52" s="274"/>
      <c r="AI52" s="272"/>
      <c r="AJ52" s="272"/>
      <c r="AK52" s="272"/>
    </row>
    <row r="53" spans="1:42" ht="14.65" hidden="1" customHeight="1" x14ac:dyDescent="0.25">
      <c r="A53" s="272" t="str">
        <f t="shared" si="0"/>
        <v>МосковскаяDDM MOS Sladkaay ZhiznTSL MOS  Moscow 1 Sladkaya Zhizn</v>
      </c>
      <c r="B53" s="248" t="s">
        <v>333</v>
      </c>
      <c r="C53" s="249" t="s">
        <v>317</v>
      </c>
      <c r="D53" s="284" t="s">
        <v>318</v>
      </c>
      <c r="E53" s="250" t="s">
        <v>331</v>
      </c>
      <c r="F53" s="251" t="s">
        <v>322</v>
      </c>
      <c r="G53" s="292"/>
      <c r="H53" s="292"/>
      <c r="I53" s="292"/>
      <c r="J53" s="219">
        <f t="shared" si="1"/>
        <v>0</v>
      </c>
      <c r="K53" s="219">
        <f t="shared" si="2"/>
        <v>0</v>
      </c>
      <c r="L53" s="219">
        <f t="shared" si="3"/>
        <v>999864.46999999986</v>
      </c>
      <c r="M53" s="232">
        <f t="shared" si="4"/>
        <v>155721.815</v>
      </c>
      <c r="N53" s="219">
        <f t="shared" si="5"/>
        <v>0</v>
      </c>
      <c r="O53" s="219">
        <f t="shared" si="6"/>
        <v>7046878.6800000081</v>
      </c>
      <c r="P53" s="219">
        <f t="shared" si="7"/>
        <v>0</v>
      </c>
      <c r="Q53" s="219">
        <f t="shared" si="8"/>
        <v>0</v>
      </c>
      <c r="R53" s="131"/>
      <c r="S53" s="293"/>
      <c r="T53" s="292"/>
      <c r="U53" s="292">
        <v>0</v>
      </c>
      <c r="V53" s="292">
        <v>0</v>
      </c>
      <c r="W53" s="292">
        <v>0</v>
      </c>
      <c r="X53" s="294">
        <v>999864.46999999986</v>
      </c>
      <c r="Y53" s="293">
        <v>63825.824999999997</v>
      </c>
      <c r="Z53" s="293">
        <v>84829.294999999998</v>
      </c>
      <c r="AA53" s="293">
        <v>0</v>
      </c>
      <c r="AB53" s="293">
        <v>7066.6949999999997</v>
      </c>
      <c r="AC53" s="293">
        <v>0</v>
      </c>
      <c r="AD53" s="272"/>
      <c r="AE53" s="272"/>
      <c r="AF53" s="272"/>
      <c r="AG53" s="272"/>
      <c r="AH53" s="274">
        <v>7046878.6800000081</v>
      </c>
      <c r="AI53" s="272"/>
      <c r="AJ53" s="272"/>
      <c r="AK53" s="272"/>
      <c r="AO53" s="275" t="s">
        <v>321</v>
      </c>
    </row>
    <row r="54" spans="1:42" ht="14.65" hidden="1" customHeight="1" x14ac:dyDescent="0.25">
      <c r="A54" s="272" t="str">
        <f t="shared" si="0"/>
        <v>МосковскаяASM MOS Food Trade+SorsoTSL MOS SPT Moscow Play Sorso</v>
      </c>
      <c r="B54" s="248" t="s">
        <v>333</v>
      </c>
      <c r="C54" s="249" t="s">
        <v>317</v>
      </c>
      <c r="D54" s="249" t="s">
        <v>323</v>
      </c>
      <c r="E54" s="272" t="s">
        <v>324</v>
      </c>
      <c r="F54" s="251" t="s">
        <v>325</v>
      </c>
      <c r="G54" s="292"/>
      <c r="H54" s="292"/>
      <c r="I54" s="292"/>
      <c r="J54" s="219">
        <f t="shared" si="1"/>
        <v>0</v>
      </c>
      <c r="K54" s="219">
        <f t="shared" si="2"/>
        <v>0</v>
      </c>
      <c r="L54" s="219">
        <f t="shared" si="3"/>
        <v>6943.3199999999988</v>
      </c>
      <c r="M54" s="232">
        <f t="shared" si="4"/>
        <v>10388589.640000002</v>
      </c>
      <c r="N54" s="219">
        <f t="shared" si="5"/>
        <v>0</v>
      </c>
      <c r="O54" s="219">
        <f t="shared" si="6"/>
        <v>0</v>
      </c>
      <c r="P54" s="219">
        <f t="shared" si="7"/>
        <v>0</v>
      </c>
      <c r="Q54" s="219">
        <f t="shared" si="8"/>
        <v>0</v>
      </c>
      <c r="R54" s="131"/>
      <c r="S54" s="293"/>
      <c r="T54" s="292"/>
      <c r="U54" s="293">
        <v>0</v>
      </c>
      <c r="V54" s="293">
        <v>0</v>
      </c>
      <c r="W54" s="293">
        <v>0</v>
      </c>
      <c r="X54" s="293">
        <v>6943.3199999999988</v>
      </c>
      <c r="Y54" s="293">
        <v>1855061.3900000018</v>
      </c>
      <c r="Z54" s="293">
        <v>8517989.4000000004</v>
      </c>
      <c r="AA54" s="293">
        <v>0</v>
      </c>
      <c r="AB54" s="293">
        <v>15538.850000000002</v>
      </c>
      <c r="AC54" s="293">
        <v>0</v>
      </c>
      <c r="AD54" s="272"/>
      <c r="AE54" s="272"/>
      <c r="AF54" s="272"/>
      <c r="AG54" s="272"/>
      <c r="AH54" s="274"/>
      <c r="AI54" s="272"/>
      <c r="AJ54" s="272"/>
      <c r="AK54" s="272"/>
    </row>
    <row r="55" spans="1:42" ht="14.65" hidden="1" customHeight="1" x14ac:dyDescent="0.25">
      <c r="A55" s="272" t="str">
        <f t="shared" si="0"/>
        <v>МосковскаяASM MOS Food Trade+SorsoTSL MOS SPT Moscow Play Sorso</v>
      </c>
      <c r="B55" s="248" t="s">
        <v>333</v>
      </c>
      <c r="C55" s="249" t="s">
        <v>317</v>
      </c>
      <c r="D55" s="249" t="s">
        <v>323</v>
      </c>
      <c r="E55" s="272" t="s">
        <v>324</v>
      </c>
      <c r="F55" s="251" t="s">
        <v>325</v>
      </c>
      <c r="G55" s="292"/>
      <c r="H55" s="292"/>
      <c r="I55" s="292"/>
      <c r="J55" s="219">
        <f t="shared" si="1"/>
        <v>0</v>
      </c>
      <c r="K55" s="219">
        <f t="shared" si="2"/>
        <v>0</v>
      </c>
      <c r="L55" s="219">
        <f t="shared" si="3"/>
        <v>0</v>
      </c>
      <c r="M55" s="232">
        <f t="shared" si="4"/>
        <v>311135.37</v>
      </c>
      <c r="N55" s="219">
        <f t="shared" si="5"/>
        <v>0</v>
      </c>
      <c r="O55" s="219">
        <f t="shared" si="6"/>
        <v>0</v>
      </c>
      <c r="P55" s="219">
        <f t="shared" si="7"/>
        <v>0</v>
      </c>
      <c r="Q55" s="219">
        <f t="shared" si="8"/>
        <v>0</v>
      </c>
      <c r="R55" s="131"/>
      <c r="S55" s="293"/>
      <c r="T55" s="292"/>
      <c r="U55" s="293">
        <v>0</v>
      </c>
      <c r="V55" s="293">
        <v>0</v>
      </c>
      <c r="W55" s="293">
        <v>0</v>
      </c>
      <c r="X55" s="293">
        <v>0</v>
      </c>
      <c r="Y55" s="293">
        <v>0</v>
      </c>
      <c r="Z55" s="293">
        <v>311135.37</v>
      </c>
      <c r="AA55" s="293">
        <v>0</v>
      </c>
      <c r="AB55" s="293">
        <v>0</v>
      </c>
      <c r="AC55" s="293">
        <v>0</v>
      </c>
      <c r="AD55" s="272"/>
      <c r="AE55" s="272"/>
      <c r="AF55" s="272"/>
      <c r="AG55" s="272"/>
      <c r="AH55" s="274"/>
      <c r="AI55" s="272"/>
      <c r="AJ55" s="272"/>
      <c r="AK55" s="272"/>
    </row>
    <row r="56" spans="1:42" ht="14.65" hidden="1" customHeight="1" x14ac:dyDescent="0.25">
      <c r="A56" s="272" t="str">
        <f t="shared" si="0"/>
        <v>МосковскаяASM MOS Food Trade+SorsoTSL MOS SPT Moscow Play Sorso</v>
      </c>
      <c r="B56" s="248" t="s">
        <v>333</v>
      </c>
      <c r="C56" s="249" t="s">
        <v>317</v>
      </c>
      <c r="D56" s="249" t="s">
        <v>323</v>
      </c>
      <c r="E56" s="250" t="s">
        <v>324</v>
      </c>
      <c r="F56" s="251" t="s">
        <v>322</v>
      </c>
      <c r="G56" s="292"/>
      <c r="H56" s="292"/>
      <c r="I56" s="292"/>
      <c r="J56" s="219">
        <f t="shared" si="1"/>
        <v>0</v>
      </c>
      <c r="K56" s="219">
        <f t="shared" si="2"/>
        <v>0</v>
      </c>
      <c r="L56" s="219">
        <f t="shared" si="3"/>
        <v>4845344.1499999985</v>
      </c>
      <c r="M56" s="232">
        <f t="shared" si="4"/>
        <v>137176.10999999999</v>
      </c>
      <c r="N56" s="219">
        <f t="shared" si="5"/>
        <v>0</v>
      </c>
      <c r="O56" s="219">
        <f t="shared" si="6"/>
        <v>0</v>
      </c>
      <c r="P56" s="219">
        <f t="shared" si="7"/>
        <v>0</v>
      </c>
      <c r="Q56" s="219">
        <f t="shared" si="8"/>
        <v>0</v>
      </c>
      <c r="R56" s="131"/>
      <c r="S56" s="293"/>
      <c r="T56" s="292"/>
      <c r="U56" s="292">
        <v>0</v>
      </c>
      <c r="V56" s="292">
        <v>0</v>
      </c>
      <c r="W56" s="292">
        <v>0</v>
      </c>
      <c r="X56" s="292">
        <v>4845344.1499999985</v>
      </c>
      <c r="Y56" s="292">
        <v>33984.340000000004</v>
      </c>
      <c r="Z56" s="292">
        <v>0</v>
      </c>
      <c r="AA56" s="292">
        <v>0</v>
      </c>
      <c r="AB56" s="292">
        <v>103191.76999999997</v>
      </c>
      <c r="AC56" s="292">
        <v>0</v>
      </c>
      <c r="AD56" s="272"/>
      <c r="AE56" s="272"/>
      <c r="AF56" s="272"/>
      <c r="AG56" s="272"/>
      <c r="AH56" s="274"/>
      <c r="AI56" s="272"/>
      <c r="AJ56" s="272"/>
      <c r="AK56" s="272"/>
    </row>
    <row r="57" spans="1:42" ht="14.65" hidden="1" customHeight="1" x14ac:dyDescent="0.25">
      <c r="A57" s="272" t="str">
        <f t="shared" si="0"/>
        <v>МосковскаяASM MOS Food Trade+SorsoTSL MOS SPT Moscow Play Sorso</v>
      </c>
      <c r="B57" s="248" t="s">
        <v>333</v>
      </c>
      <c r="C57" s="249" t="s">
        <v>317</v>
      </c>
      <c r="D57" s="249" t="s">
        <v>323</v>
      </c>
      <c r="E57" s="272" t="s">
        <v>324</v>
      </c>
      <c r="F57" s="251" t="s">
        <v>325</v>
      </c>
      <c r="G57" s="292"/>
      <c r="H57" s="292"/>
      <c r="I57" s="292"/>
      <c r="J57" s="219">
        <f t="shared" si="1"/>
        <v>0</v>
      </c>
      <c r="K57" s="219">
        <f t="shared" si="2"/>
        <v>0</v>
      </c>
      <c r="L57" s="219">
        <f t="shared" si="3"/>
        <v>0</v>
      </c>
      <c r="M57" s="232">
        <f t="shared" si="4"/>
        <v>408997.65000000014</v>
      </c>
      <c r="N57" s="219">
        <f t="shared" si="5"/>
        <v>0</v>
      </c>
      <c r="O57" s="219">
        <f t="shared" si="6"/>
        <v>0</v>
      </c>
      <c r="P57" s="219">
        <f t="shared" si="7"/>
        <v>0</v>
      </c>
      <c r="Q57" s="219">
        <f t="shared" si="8"/>
        <v>0</v>
      </c>
      <c r="R57" s="131"/>
      <c r="S57" s="293"/>
      <c r="T57" s="292"/>
      <c r="U57" s="293">
        <v>0</v>
      </c>
      <c r="V57" s="293">
        <v>0</v>
      </c>
      <c r="W57" s="293">
        <v>0</v>
      </c>
      <c r="X57" s="293">
        <v>0</v>
      </c>
      <c r="Y57" s="293">
        <v>6093.4299999999994</v>
      </c>
      <c r="Z57" s="293">
        <v>401168.70000000013</v>
      </c>
      <c r="AA57" s="293">
        <v>0</v>
      </c>
      <c r="AB57" s="293">
        <v>1735.52</v>
      </c>
      <c r="AC57" s="293">
        <v>0</v>
      </c>
      <c r="AD57" s="272"/>
      <c r="AE57" s="272"/>
      <c r="AF57" s="272"/>
      <c r="AG57" s="272"/>
      <c r="AH57" s="274"/>
      <c r="AI57" s="272"/>
      <c r="AJ57" s="272"/>
      <c r="AK57" s="272"/>
    </row>
    <row r="58" spans="1:42" ht="14.65" hidden="1" customHeight="1" x14ac:dyDescent="0.25">
      <c r="A58" s="272" t="str">
        <f t="shared" si="0"/>
        <v>МосковскаяASM MOS Food Trade+SorsoTSL MOS Grocery Mos Obl AS-Market</v>
      </c>
      <c r="B58" s="248" t="s">
        <v>333</v>
      </c>
      <c r="C58" s="249" t="s">
        <v>317</v>
      </c>
      <c r="D58" s="249" t="s">
        <v>323</v>
      </c>
      <c r="E58" s="250" t="s">
        <v>329</v>
      </c>
      <c r="F58" s="251" t="s">
        <v>330</v>
      </c>
      <c r="G58" s="292"/>
      <c r="H58" s="292"/>
      <c r="I58" s="292"/>
      <c r="J58" s="219">
        <f t="shared" si="1"/>
        <v>0</v>
      </c>
      <c r="K58" s="219">
        <f t="shared" si="2"/>
        <v>0</v>
      </c>
      <c r="L58" s="219">
        <f t="shared" si="3"/>
        <v>3081161.5200000005</v>
      </c>
      <c r="M58" s="232">
        <f t="shared" si="4"/>
        <v>74616016.360000014</v>
      </c>
      <c r="N58" s="219">
        <f t="shared" si="5"/>
        <v>0</v>
      </c>
      <c r="O58" s="219">
        <f t="shared" si="6"/>
        <v>0</v>
      </c>
      <c r="P58" s="219">
        <f t="shared" si="7"/>
        <v>0</v>
      </c>
      <c r="Q58" s="219">
        <f t="shared" si="8"/>
        <v>0</v>
      </c>
      <c r="R58" s="131"/>
      <c r="S58" s="293"/>
      <c r="T58" s="449"/>
      <c r="U58" s="449">
        <v>0</v>
      </c>
      <c r="V58" s="449">
        <v>0</v>
      </c>
      <c r="W58" s="449">
        <v>0</v>
      </c>
      <c r="X58" s="449">
        <v>3081161.5200000005</v>
      </c>
      <c r="Y58" s="449">
        <v>28044631.830000002</v>
      </c>
      <c r="Z58" s="449">
        <v>33796351.219999991</v>
      </c>
      <c r="AA58" s="449">
        <v>69634.62999999999</v>
      </c>
      <c r="AB58" s="449">
        <v>7595386.3100000042</v>
      </c>
      <c r="AC58" s="449">
        <v>5110012.370000001</v>
      </c>
      <c r="AD58" s="450"/>
      <c r="AE58" s="450"/>
      <c r="AF58" s="450"/>
      <c r="AG58" s="450"/>
      <c r="AI58" s="450"/>
      <c r="AJ58" s="450"/>
      <c r="AK58" s="450"/>
    </row>
    <row r="59" spans="1:42" ht="14.65" hidden="1" customHeight="1" x14ac:dyDescent="0.25">
      <c r="A59" s="272" t="str">
        <f t="shared" si="0"/>
        <v>МосковскаяASM MOS Food Trade+SorsoTSL MOS Grocery Mos Obl AS-Market</v>
      </c>
      <c r="B59" s="248" t="s">
        <v>333</v>
      </c>
      <c r="C59" s="249" t="s">
        <v>317</v>
      </c>
      <c r="D59" s="249" t="s">
        <v>323</v>
      </c>
      <c r="E59" s="250" t="s">
        <v>329</v>
      </c>
      <c r="F59" s="251" t="s">
        <v>330</v>
      </c>
      <c r="G59" s="292"/>
      <c r="H59" s="292"/>
      <c r="I59" s="292"/>
      <c r="J59" s="219">
        <f t="shared" si="1"/>
        <v>0</v>
      </c>
      <c r="K59" s="219">
        <f t="shared" si="2"/>
        <v>26855371.18</v>
      </c>
      <c r="L59" s="219">
        <f t="shared" si="3"/>
        <v>350754.54</v>
      </c>
      <c r="M59" s="232">
        <f t="shared" si="4"/>
        <v>57941924.849999994</v>
      </c>
      <c r="N59" s="219">
        <f t="shared" si="5"/>
        <v>0</v>
      </c>
      <c r="O59" s="219">
        <f t="shared" si="6"/>
        <v>0</v>
      </c>
      <c r="P59" s="219">
        <f t="shared" si="7"/>
        <v>0</v>
      </c>
      <c r="Q59" s="219">
        <f t="shared" si="8"/>
        <v>0</v>
      </c>
      <c r="R59" s="131"/>
      <c r="S59" s="293"/>
      <c r="T59" s="449"/>
      <c r="U59" s="449">
        <v>0</v>
      </c>
      <c r="V59" s="449">
        <v>25414888.32</v>
      </c>
      <c r="W59" s="449">
        <v>1440482.8600000003</v>
      </c>
      <c r="X59" s="449">
        <v>350754.54</v>
      </c>
      <c r="Y59" s="449">
        <v>3676415.3499999996</v>
      </c>
      <c r="Z59" s="449"/>
      <c r="AA59" s="449">
        <v>0</v>
      </c>
      <c r="AB59" s="449">
        <v>2525054.6600000015</v>
      </c>
      <c r="AC59" s="449">
        <v>51740454.839999996</v>
      </c>
      <c r="AD59" s="450"/>
      <c r="AE59" s="450"/>
      <c r="AF59" s="450"/>
      <c r="AG59" s="450"/>
      <c r="AI59" s="450"/>
      <c r="AJ59" s="450"/>
      <c r="AK59" s="450"/>
    </row>
    <row r="60" spans="1:42" ht="14.65" hidden="1" customHeight="1" x14ac:dyDescent="0.25">
      <c r="A60" s="272" t="str">
        <f t="shared" si="0"/>
        <v>МосковскаяASM MOS Food Trade+SorsoTSL MOS SPT Moscow Play Sorso</v>
      </c>
      <c r="B60" s="248" t="s">
        <v>333</v>
      </c>
      <c r="C60" s="249" t="s">
        <v>317</v>
      </c>
      <c r="D60" s="249" t="s">
        <v>323</v>
      </c>
      <c r="E60" s="272" t="s">
        <v>324</v>
      </c>
      <c r="F60" s="251" t="s">
        <v>325</v>
      </c>
      <c r="G60" s="292"/>
      <c r="H60" s="292"/>
      <c r="I60" s="292"/>
      <c r="J60" s="219">
        <f t="shared" si="1"/>
        <v>0</v>
      </c>
      <c r="K60" s="219">
        <f t="shared" si="2"/>
        <v>5204556.9600000037</v>
      </c>
      <c r="L60" s="219">
        <f t="shared" si="3"/>
        <v>0</v>
      </c>
      <c r="M60" s="232">
        <f t="shared" si="4"/>
        <v>14969645.509999998</v>
      </c>
      <c r="N60" s="219">
        <f t="shared" si="5"/>
        <v>0</v>
      </c>
      <c r="O60" s="219">
        <f t="shared" si="6"/>
        <v>0</v>
      </c>
      <c r="P60" s="219">
        <f t="shared" si="7"/>
        <v>0</v>
      </c>
      <c r="Q60" s="219">
        <f t="shared" si="8"/>
        <v>0</v>
      </c>
      <c r="R60" s="131"/>
      <c r="S60" s="293"/>
      <c r="T60" s="292"/>
      <c r="U60" s="293">
        <v>0</v>
      </c>
      <c r="V60" s="293">
        <v>0</v>
      </c>
      <c r="W60" s="293">
        <v>5204556.9600000037</v>
      </c>
      <c r="X60" s="293">
        <v>0</v>
      </c>
      <c r="Y60" s="293">
        <v>274655.31999999995</v>
      </c>
      <c r="Z60" s="293">
        <v>10367943.239999996</v>
      </c>
      <c r="AA60" s="293">
        <v>4327046.95</v>
      </c>
      <c r="AB60" s="293">
        <v>0</v>
      </c>
      <c r="AC60" s="293">
        <v>0</v>
      </c>
      <c r="AD60" s="272"/>
      <c r="AE60" s="272"/>
      <c r="AF60" s="272"/>
      <c r="AG60" s="272"/>
      <c r="AH60" s="274"/>
      <c r="AI60" s="272"/>
      <c r="AJ60" s="272"/>
      <c r="AK60" s="272"/>
    </row>
    <row r="61" spans="1:42" ht="14.65" hidden="1" customHeight="1" x14ac:dyDescent="0.25">
      <c r="A61" s="272" t="str">
        <f t="shared" si="0"/>
        <v>МосковскаяASM MOS Food Trade+SorsoTSL MOS SPT Moscow Play Sorso</v>
      </c>
      <c r="B61" s="248" t="s">
        <v>333</v>
      </c>
      <c r="C61" s="249" t="s">
        <v>317</v>
      </c>
      <c r="D61" s="249" t="s">
        <v>323</v>
      </c>
      <c r="E61" s="272" t="s">
        <v>324</v>
      </c>
      <c r="F61" s="251" t="s">
        <v>325</v>
      </c>
      <c r="G61" s="292"/>
      <c r="H61" s="292"/>
      <c r="I61" s="292"/>
      <c r="J61" s="219">
        <f t="shared" si="1"/>
        <v>0</v>
      </c>
      <c r="K61" s="219">
        <f t="shared" si="2"/>
        <v>0</v>
      </c>
      <c r="L61" s="219">
        <f t="shared" si="3"/>
        <v>0</v>
      </c>
      <c r="M61" s="232">
        <f t="shared" si="4"/>
        <v>149566469.50999999</v>
      </c>
      <c r="N61" s="219">
        <f t="shared" si="5"/>
        <v>0</v>
      </c>
      <c r="O61" s="219">
        <f t="shared" si="6"/>
        <v>0</v>
      </c>
      <c r="P61" s="219">
        <f t="shared" si="7"/>
        <v>0</v>
      </c>
      <c r="Q61" s="219">
        <f t="shared" si="8"/>
        <v>0</v>
      </c>
      <c r="R61" s="131"/>
      <c r="S61" s="293"/>
      <c r="T61" s="292"/>
      <c r="U61" s="293">
        <v>0</v>
      </c>
      <c r="V61" s="293">
        <v>0</v>
      </c>
      <c r="W61" s="293">
        <v>0</v>
      </c>
      <c r="X61" s="293">
        <v>0</v>
      </c>
      <c r="Y61" s="293">
        <v>718479.35000000009</v>
      </c>
      <c r="Z61" s="293">
        <v>10322470.740000006</v>
      </c>
      <c r="AA61" s="293">
        <v>2298842.4200000009</v>
      </c>
      <c r="AB61" s="293">
        <v>320162.79999999987</v>
      </c>
      <c r="AC61" s="293">
        <v>135906514.19999999</v>
      </c>
      <c r="AD61" s="272"/>
      <c r="AE61" s="272"/>
      <c r="AF61" s="272"/>
      <c r="AG61" s="272"/>
      <c r="AH61" s="274"/>
      <c r="AI61" s="272"/>
      <c r="AJ61" s="272"/>
      <c r="AK61" s="272"/>
    </row>
    <row r="62" spans="1:42" ht="14.65" hidden="1" customHeight="1" x14ac:dyDescent="0.25">
      <c r="A62" s="272" t="str">
        <f t="shared" si="0"/>
        <v>МосковскаяASM MOS Food Trade+SorsoTSL MOS SPT Moscow Play Sorso</v>
      </c>
      <c r="B62" s="248" t="s">
        <v>333</v>
      </c>
      <c r="C62" s="249" t="s">
        <v>317</v>
      </c>
      <c r="D62" s="249" t="s">
        <v>323</v>
      </c>
      <c r="E62" s="272" t="s">
        <v>324</v>
      </c>
      <c r="F62" s="251" t="s">
        <v>325</v>
      </c>
      <c r="G62" s="292"/>
      <c r="H62" s="292"/>
      <c r="I62" s="292"/>
      <c r="J62" s="219">
        <f t="shared" si="1"/>
        <v>0</v>
      </c>
      <c r="K62" s="219">
        <f t="shared" si="2"/>
        <v>0</v>
      </c>
      <c r="L62" s="219">
        <f t="shared" si="3"/>
        <v>0</v>
      </c>
      <c r="M62" s="232">
        <f t="shared" si="4"/>
        <v>76737.759999999995</v>
      </c>
      <c r="N62" s="219">
        <f t="shared" si="5"/>
        <v>0</v>
      </c>
      <c r="O62" s="219">
        <f t="shared" si="6"/>
        <v>0</v>
      </c>
      <c r="P62" s="219">
        <f t="shared" si="7"/>
        <v>0</v>
      </c>
      <c r="Q62" s="219">
        <f t="shared" si="8"/>
        <v>0</v>
      </c>
      <c r="R62" s="131"/>
      <c r="S62" s="293"/>
      <c r="T62" s="292"/>
      <c r="U62" s="293">
        <v>0</v>
      </c>
      <c r="V62" s="293">
        <v>0</v>
      </c>
      <c r="W62" s="293">
        <v>0</v>
      </c>
      <c r="X62" s="293">
        <v>0</v>
      </c>
      <c r="Y62" s="293">
        <v>0</v>
      </c>
      <c r="Z62" s="293">
        <v>76737.759999999995</v>
      </c>
      <c r="AA62" s="293">
        <v>0</v>
      </c>
      <c r="AB62" s="293">
        <v>0</v>
      </c>
      <c r="AC62" s="293">
        <v>0</v>
      </c>
      <c r="AD62" s="272"/>
      <c r="AE62" s="272"/>
      <c r="AF62" s="272"/>
      <c r="AG62" s="272"/>
      <c r="AH62" s="274"/>
      <c r="AI62" s="272"/>
      <c r="AJ62" s="272"/>
      <c r="AK62" s="272"/>
    </row>
    <row r="63" spans="1:42" ht="14.65" hidden="1" customHeight="1" x14ac:dyDescent="0.25">
      <c r="A63" s="272" t="str">
        <f t="shared" si="0"/>
        <v>МосковскаяDDM MOS Sladkaay ZhiznTSL MOS  Moscow 1 Sladkaya Zhizn</v>
      </c>
      <c r="B63" s="248" t="s">
        <v>333</v>
      </c>
      <c r="C63" s="249" t="s">
        <v>317</v>
      </c>
      <c r="D63" s="249" t="s">
        <v>318</v>
      </c>
      <c r="E63" s="250" t="s">
        <v>331</v>
      </c>
      <c r="F63" s="251" t="s">
        <v>322</v>
      </c>
      <c r="G63" s="292"/>
      <c r="H63" s="292"/>
      <c r="I63" s="292"/>
      <c r="J63" s="219">
        <f t="shared" si="1"/>
        <v>0</v>
      </c>
      <c r="K63" s="219">
        <f t="shared" si="2"/>
        <v>0</v>
      </c>
      <c r="L63" s="219">
        <f t="shared" si="3"/>
        <v>744141.68999998644</v>
      </c>
      <c r="M63" s="232">
        <f t="shared" si="4"/>
        <v>138685329.41000003</v>
      </c>
      <c r="N63" s="219">
        <f t="shared" si="5"/>
        <v>0</v>
      </c>
      <c r="O63" s="219">
        <f t="shared" si="6"/>
        <v>696849.14</v>
      </c>
      <c r="P63" s="219">
        <f t="shared" si="7"/>
        <v>0</v>
      </c>
      <c r="Q63" s="219">
        <f t="shared" si="8"/>
        <v>0</v>
      </c>
      <c r="R63" s="131"/>
      <c r="S63" s="293"/>
      <c r="T63" s="292"/>
      <c r="U63" s="292">
        <v>0</v>
      </c>
      <c r="V63" s="292">
        <v>0</v>
      </c>
      <c r="W63" s="292">
        <v>0</v>
      </c>
      <c r="X63" s="449">
        <v>744141.68999998644</v>
      </c>
      <c r="Y63" s="292">
        <v>8968750.9700000044</v>
      </c>
      <c r="Z63" s="292">
        <v>38342714.520000026</v>
      </c>
      <c r="AA63" s="292">
        <v>0</v>
      </c>
      <c r="AB63" s="292">
        <v>21459629.389999997</v>
      </c>
      <c r="AC63" s="292">
        <v>69914234.530000001</v>
      </c>
      <c r="AD63" s="272"/>
      <c r="AE63" s="272"/>
      <c r="AF63" s="272"/>
      <c r="AG63" s="272"/>
      <c r="AH63" s="295">
        <v>696849.14</v>
      </c>
      <c r="AI63" s="272"/>
      <c r="AJ63" s="272"/>
      <c r="AK63" s="272"/>
      <c r="AO63" s="275" t="s">
        <v>321</v>
      </c>
    </row>
    <row r="64" spans="1:42" ht="14.65" hidden="1" customHeight="1" x14ac:dyDescent="0.25">
      <c r="A64" s="272" t="str">
        <f t="shared" si="0"/>
        <v>МосковскаяASM MOS Food Trade+SorsoTSL MOS SPT Moscow Play Sorso</v>
      </c>
      <c r="B64" s="248" t="s">
        <v>333</v>
      </c>
      <c r="C64" s="249" t="s">
        <v>317</v>
      </c>
      <c r="D64" s="249" t="s">
        <v>323</v>
      </c>
      <c r="E64" s="272" t="s">
        <v>324</v>
      </c>
      <c r="F64" s="251" t="s">
        <v>325</v>
      </c>
      <c r="G64" s="292"/>
      <c r="H64" s="292"/>
      <c r="I64" s="292"/>
      <c r="J64" s="219">
        <f t="shared" si="1"/>
        <v>0</v>
      </c>
      <c r="K64" s="219">
        <f t="shared" si="2"/>
        <v>0</v>
      </c>
      <c r="L64" s="219">
        <f t="shared" si="3"/>
        <v>0</v>
      </c>
      <c r="M64" s="232">
        <f t="shared" si="4"/>
        <v>420271.38</v>
      </c>
      <c r="N64" s="219">
        <f t="shared" si="5"/>
        <v>0</v>
      </c>
      <c r="O64" s="219">
        <f t="shared" si="6"/>
        <v>0</v>
      </c>
      <c r="P64" s="219">
        <f t="shared" si="7"/>
        <v>0</v>
      </c>
      <c r="Q64" s="219">
        <f t="shared" si="8"/>
        <v>0</v>
      </c>
      <c r="R64" s="131"/>
      <c r="S64" s="293"/>
      <c r="T64" s="292"/>
      <c r="U64" s="293">
        <v>0</v>
      </c>
      <c r="V64" s="293">
        <v>0</v>
      </c>
      <c r="W64" s="293">
        <v>0</v>
      </c>
      <c r="X64" s="293">
        <v>0</v>
      </c>
      <c r="Y64" s="293">
        <v>0</v>
      </c>
      <c r="Z64" s="293">
        <v>420271.38</v>
      </c>
      <c r="AA64" s="293">
        <v>0</v>
      </c>
      <c r="AB64" s="293">
        <v>0</v>
      </c>
      <c r="AC64" s="293">
        <v>0</v>
      </c>
      <c r="AD64" s="272"/>
      <c r="AE64" s="272"/>
      <c r="AF64" s="272"/>
      <c r="AG64" s="272"/>
      <c r="AH64" s="274"/>
      <c r="AI64" s="272"/>
      <c r="AJ64" s="272"/>
      <c r="AK64" s="272"/>
    </row>
    <row r="65" spans="1:41" ht="14.65" hidden="1" customHeight="1" x14ac:dyDescent="0.25">
      <c r="A65" s="272" t="str">
        <f t="shared" si="0"/>
        <v>МосковскаяASM MOS Food Trade+SorsoTSL MOS Grocery Mos Obl AS-Market</v>
      </c>
      <c r="B65" s="248" t="s">
        <v>333</v>
      </c>
      <c r="C65" s="249" t="s">
        <v>317</v>
      </c>
      <c r="D65" s="249" t="s">
        <v>323</v>
      </c>
      <c r="E65" s="250" t="s">
        <v>329</v>
      </c>
      <c r="F65" s="251" t="s">
        <v>330</v>
      </c>
      <c r="G65" s="292"/>
      <c r="H65" s="292"/>
      <c r="I65" s="292"/>
      <c r="J65" s="219">
        <f t="shared" si="1"/>
        <v>0</v>
      </c>
      <c r="K65" s="219">
        <f t="shared" si="2"/>
        <v>0</v>
      </c>
      <c r="L65" s="219">
        <f t="shared" si="3"/>
        <v>0</v>
      </c>
      <c r="M65" s="232">
        <f t="shared" si="4"/>
        <v>30561.46</v>
      </c>
      <c r="N65" s="219">
        <f t="shared" si="5"/>
        <v>0</v>
      </c>
      <c r="O65" s="219">
        <f t="shared" si="6"/>
        <v>0</v>
      </c>
      <c r="P65" s="219">
        <f t="shared" si="7"/>
        <v>0</v>
      </c>
      <c r="Q65" s="219">
        <f t="shared" si="8"/>
        <v>0</v>
      </c>
      <c r="R65" s="131"/>
      <c r="S65" s="293"/>
      <c r="T65" s="449"/>
      <c r="U65" s="449">
        <v>0</v>
      </c>
      <c r="V65" s="449">
        <v>0</v>
      </c>
      <c r="W65" s="449">
        <v>0</v>
      </c>
      <c r="X65" s="449">
        <v>0</v>
      </c>
      <c r="Y65" s="449">
        <v>15442.78</v>
      </c>
      <c r="Z65" s="449">
        <v>0</v>
      </c>
      <c r="AA65" s="449">
        <v>0</v>
      </c>
      <c r="AB65" s="449">
        <v>15118.679999999998</v>
      </c>
      <c r="AC65" s="449">
        <v>0</v>
      </c>
      <c r="AD65" s="450"/>
      <c r="AE65" s="450"/>
      <c r="AF65" s="450"/>
      <c r="AG65" s="450"/>
      <c r="AI65" s="450"/>
      <c r="AJ65" s="450"/>
      <c r="AK65" s="450"/>
    </row>
    <row r="66" spans="1:41" ht="14.65" hidden="1" customHeight="1" x14ac:dyDescent="0.25">
      <c r="A66" s="272" t="str">
        <f t="shared" si="0"/>
        <v>МосковскаяASM MOS Food Trade+SorsoTSL MOS SPT Moscow Play Sorso</v>
      </c>
      <c r="B66" s="248" t="s">
        <v>333</v>
      </c>
      <c r="C66" s="249" t="s">
        <v>317</v>
      </c>
      <c r="D66" s="249" t="s">
        <v>323</v>
      </c>
      <c r="E66" s="272" t="s">
        <v>324</v>
      </c>
      <c r="F66" s="251" t="s">
        <v>325</v>
      </c>
      <c r="G66" s="292"/>
      <c r="H66" s="292"/>
      <c r="I66" s="292"/>
      <c r="J66" s="219">
        <f t="shared" si="1"/>
        <v>0</v>
      </c>
      <c r="K66" s="219">
        <f t="shared" si="2"/>
        <v>0</v>
      </c>
      <c r="L66" s="219">
        <f t="shared" si="3"/>
        <v>0</v>
      </c>
      <c r="M66" s="232">
        <f t="shared" si="4"/>
        <v>163640.16999999998</v>
      </c>
      <c r="N66" s="219">
        <f t="shared" si="5"/>
        <v>0</v>
      </c>
      <c r="O66" s="219">
        <f t="shared" si="6"/>
        <v>0</v>
      </c>
      <c r="P66" s="219">
        <f t="shared" si="7"/>
        <v>0</v>
      </c>
      <c r="Q66" s="219">
        <f t="shared" si="8"/>
        <v>0</v>
      </c>
      <c r="R66" s="131"/>
      <c r="S66" s="293"/>
      <c r="T66" s="292"/>
      <c r="U66" s="293">
        <v>0</v>
      </c>
      <c r="V66" s="293">
        <v>0</v>
      </c>
      <c r="W66" s="293">
        <v>0</v>
      </c>
      <c r="X66" s="293">
        <v>0</v>
      </c>
      <c r="Y66" s="293">
        <v>2366.4</v>
      </c>
      <c r="Z66" s="293">
        <v>161273.76999999999</v>
      </c>
      <c r="AA66" s="293">
        <v>0</v>
      </c>
      <c r="AB66" s="293">
        <v>0</v>
      </c>
      <c r="AC66" s="293">
        <v>0</v>
      </c>
      <c r="AD66" s="272"/>
      <c r="AE66" s="272"/>
      <c r="AF66" s="272"/>
      <c r="AG66" s="272"/>
      <c r="AH66" s="274"/>
      <c r="AI66" s="272"/>
      <c r="AJ66" s="272"/>
      <c r="AK66" s="272"/>
    </row>
    <row r="67" spans="1:41" ht="14.65" hidden="1" customHeight="1" x14ac:dyDescent="0.25">
      <c r="A67" s="272" t="str">
        <f t="shared" si="0"/>
        <v>МосковскаяDDM MOS Sladkaay ZhiznTSL MOS  Moscow 2 Sladkaya Zhizn</v>
      </c>
      <c r="B67" s="248" t="s">
        <v>333</v>
      </c>
      <c r="C67" s="249" t="s">
        <v>317</v>
      </c>
      <c r="D67" s="249" t="s">
        <v>318</v>
      </c>
      <c r="E67" s="250" t="s">
        <v>327</v>
      </c>
      <c r="F67" s="251" t="s">
        <v>322</v>
      </c>
      <c r="G67" s="292"/>
      <c r="H67" s="292"/>
      <c r="I67" s="292"/>
      <c r="J67" s="219">
        <f t="shared" si="1"/>
        <v>0</v>
      </c>
      <c r="K67" s="219">
        <f t="shared" si="2"/>
        <v>0</v>
      </c>
      <c r="L67" s="219">
        <f t="shared" si="3"/>
        <v>136413.45000000112</v>
      </c>
      <c r="M67" s="232">
        <f t="shared" si="4"/>
        <v>67124558.00999999</v>
      </c>
      <c r="N67" s="219">
        <f t="shared" si="5"/>
        <v>0</v>
      </c>
      <c r="O67" s="219">
        <f t="shared" si="6"/>
        <v>4154461.5100000035</v>
      </c>
      <c r="P67" s="219">
        <f t="shared" si="7"/>
        <v>0</v>
      </c>
      <c r="Q67" s="219">
        <f t="shared" si="8"/>
        <v>0</v>
      </c>
      <c r="R67" s="131"/>
      <c r="S67" s="293"/>
      <c r="T67" s="292"/>
      <c r="U67" s="292">
        <v>0</v>
      </c>
      <c r="V67" s="292">
        <v>0</v>
      </c>
      <c r="W67" s="292">
        <v>0</v>
      </c>
      <c r="X67" s="449">
        <v>136413.45000000112</v>
      </c>
      <c r="Y67" s="292">
        <v>9445533.8999999966</v>
      </c>
      <c r="Z67" s="292">
        <v>36959042.389999986</v>
      </c>
      <c r="AA67" s="292">
        <v>0</v>
      </c>
      <c r="AB67" s="292">
        <v>11641789.260000009</v>
      </c>
      <c r="AC67" s="292">
        <v>9078192.4600000009</v>
      </c>
      <c r="AD67" s="272"/>
      <c r="AE67" s="272"/>
      <c r="AF67" s="272"/>
      <c r="AG67" s="272"/>
      <c r="AH67" s="295">
        <v>4154461.5100000035</v>
      </c>
      <c r="AI67" s="272"/>
      <c r="AJ67" s="272"/>
      <c r="AK67" s="272"/>
      <c r="AO67" s="275" t="s">
        <v>321</v>
      </c>
    </row>
    <row r="68" spans="1:41" ht="14.65" hidden="1" customHeight="1" x14ac:dyDescent="0.25">
      <c r="A68" s="272" t="str">
        <f t="shared" ref="A68:A131" si="9">B68&amp;D68&amp;E68</f>
        <v>МосковскаяASM MOS Food Trade+SorsoTSL MOS SPT Moscow Play Sorso</v>
      </c>
      <c r="B68" s="248" t="s">
        <v>333</v>
      </c>
      <c r="C68" s="249" t="s">
        <v>317</v>
      </c>
      <c r="D68" s="249" t="s">
        <v>323</v>
      </c>
      <c r="E68" s="272" t="s">
        <v>324</v>
      </c>
      <c r="F68" s="251" t="s">
        <v>325</v>
      </c>
      <c r="G68" s="292"/>
      <c r="H68" s="292"/>
      <c r="I68" s="292"/>
      <c r="J68" s="219">
        <f t="shared" si="1"/>
        <v>0</v>
      </c>
      <c r="K68" s="219">
        <f t="shared" si="2"/>
        <v>0</v>
      </c>
      <c r="L68" s="219">
        <f t="shared" si="3"/>
        <v>835.28</v>
      </c>
      <c r="M68" s="232">
        <f t="shared" si="4"/>
        <v>78450.569999999992</v>
      </c>
      <c r="N68" s="219">
        <f t="shared" si="5"/>
        <v>0</v>
      </c>
      <c r="O68" s="219">
        <f t="shared" si="6"/>
        <v>0</v>
      </c>
      <c r="P68" s="219">
        <f t="shared" si="7"/>
        <v>0</v>
      </c>
      <c r="Q68" s="219">
        <f t="shared" si="8"/>
        <v>0</v>
      </c>
      <c r="R68" s="131"/>
      <c r="S68" s="293"/>
      <c r="T68" s="292"/>
      <c r="U68" s="293">
        <v>0</v>
      </c>
      <c r="V68" s="293">
        <v>0</v>
      </c>
      <c r="W68" s="293">
        <v>0</v>
      </c>
      <c r="X68" s="293">
        <v>835.28</v>
      </c>
      <c r="Y68" s="293">
        <v>17141.679999999997</v>
      </c>
      <c r="Z68" s="293">
        <v>2460.6</v>
      </c>
      <c r="AA68" s="293">
        <v>0</v>
      </c>
      <c r="AB68" s="293">
        <v>58848.289999999994</v>
      </c>
      <c r="AC68" s="293">
        <v>0</v>
      </c>
      <c r="AD68" s="272"/>
      <c r="AE68" s="272"/>
      <c r="AF68" s="272"/>
      <c r="AG68" s="272"/>
      <c r="AH68" s="274"/>
      <c r="AI68" s="272"/>
      <c r="AJ68" s="272"/>
      <c r="AK68" s="272"/>
    </row>
    <row r="69" spans="1:41" ht="14.65" hidden="1" customHeight="1" x14ac:dyDescent="0.25">
      <c r="A69" s="272" t="str">
        <f t="shared" si="9"/>
        <v>МосковскаяASM MOS Food Trade+SorsoTSL MOS Grocery Mos Obl AS-Market</v>
      </c>
      <c r="B69" s="248" t="s">
        <v>333</v>
      </c>
      <c r="C69" s="249" t="s">
        <v>317</v>
      </c>
      <c r="D69" s="249" t="s">
        <v>323</v>
      </c>
      <c r="E69" s="250" t="s">
        <v>329</v>
      </c>
      <c r="F69" s="251" t="s">
        <v>330</v>
      </c>
      <c r="G69" s="292"/>
      <c r="H69" s="292"/>
      <c r="I69" s="292"/>
      <c r="J69" s="219">
        <f t="shared" ref="J69:J132" si="10">SUM(S69:T69)</f>
        <v>0</v>
      </c>
      <c r="K69" s="219">
        <f t="shared" ref="K69:K132" si="11">SUM(U69:W69)</f>
        <v>0</v>
      </c>
      <c r="L69" s="219">
        <f t="shared" ref="L69:L132" si="12">X69</f>
        <v>0</v>
      </c>
      <c r="M69" s="232">
        <f t="shared" ref="M69:M132" si="13">SUM(Y69:AC69)</f>
        <v>4902766.1800000006</v>
      </c>
      <c r="N69" s="219">
        <f t="shared" ref="N69:N132" si="14">SUM(AD69:AF69)</f>
        <v>0</v>
      </c>
      <c r="O69" s="219">
        <f t="shared" ref="O69:O132" si="15">AH69</f>
        <v>0</v>
      </c>
      <c r="P69" s="219">
        <f t="shared" ref="P69:P132" si="16">AI69</f>
        <v>0</v>
      </c>
      <c r="Q69" s="219">
        <f t="shared" ref="Q69:Q132" si="17">SUM(AL69:AN69)</f>
        <v>0</v>
      </c>
      <c r="R69" s="131"/>
      <c r="S69" s="293"/>
      <c r="T69" s="449"/>
      <c r="U69" s="449">
        <v>0</v>
      </c>
      <c r="V69" s="449">
        <v>0</v>
      </c>
      <c r="W69" s="449">
        <v>0</v>
      </c>
      <c r="X69" s="449">
        <v>0</v>
      </c>
      <c r="Y69" s="449">
        <v>4901756.2</v>
      </c>
      <c r="Z69" s="449">
        <v>0</v>
      </c>
      <c r="AA69" s="449">
        <v>0</v>
      </c>
      <c r="AB69" s="449">
        <v>1009.98</v>
      </c>
      <c r="AC69" s="449">
        <v>0</v>
      </c>
      <c r="AD69" s="450"/>
      <c r="AE69" s="450"/>
      <c r="AF69" s="450"/>
      <c r="AG69" s="450"/>
      <c r="AI69" s="450"/>
      <c r="AJ69" s="450"/>
      <c r="AK69" s="450"/>
    </row>
    <row r="70" spans="1:41" ht="14.65" hidden="1" customHeight="1" x14ac:dyDescent="0.25">
      <c r="A70" s="272" t="str">
        <f t="shared" si="9"/>
        <v>МосковскаяDDM MOS Sladkaay ZhiznTSL MOS Cheboksary</v>
      </c>
      <c r="B70" s="248" t="s">
        <v>333</v>
      </c>
      <c r="C70" s="249" t="s">
        <v>317</v>
      </c>
      <c r="D70" s="249" t="s">
        <v>318</v>
      </c>
      <c r="E70" s="250" t="s">
        <v>326</v>
      </c>
      <c r="F70" s="251" t="s">
        <v>320</v>
      </c>
      <c r="G70" s="292"/>
      <c r="H70" s="292"/>
      <c r="I70" s="292"/>
      <c r="J70" s="219">
        <f t="shared" si="10"/>
        <v>0</v>
      </c>
      <c r="K70" s="219">
        <f t="shared" si="11"/>
        <v>0</v>
      </c>
      <c r="L70" s="219">
        <f t="shared" si="12"/>
        <v>9777794.9499999974</v>
      </c>
      <c r="M70" s="232">
        <f t="shared" si="13"/>
        <v>27367959.500000022</v>
      </c>
      <c r="N70" s="219">
        <f t="shared" si="14"/>
        <v>0</v>
      </c>
      <c r="O70" s="219">
        <f t="shared" si="15"/>
        <v>0</v>
      </c>
      <c r="P70" s="219">
        <f t="shared" si="16"/>
        <v>0</v>
      </c>
      <c r="Q70" s="219">
        <f t="shared" si="17"/>
        <v>0</v>
      </c>
      <c r="R70" s="131"/>
      <c r="S70" s="293"/>
      <c r="T70" s="292"/>
      <c r="U70" s="292">
        <v>0</v>
      </c>
      <c r="V70" s="292">
        <v>0</v>
      </c>
      <c r="W70" s="292">
        <v>0</v>
      </c>
      <c r="X70" s="449">
        <v>9777794.9499999974</v>
      </c>
      <c r="Y70" s="292">
        <v>3077540.45</v>
      </c>
      <c r="Z70" s="292">
        <v>5828592.4799999986</v>
      </c>
      <c r="AA70" s="292">
        <v>0</v>
      </c>
      <c r="AB70" s="292">
        <v>9358207.4400000237</v>
      </c>
      <c r="AC70" s="292">
        <v>9103619.129999999</v>
      </c>
      <c r="AD70" s="272"/>
      <c r="AE70" s="272"/>
      <c r="AF70" s="272"/>
      <c r="AG70" s="272"/>
      <c r="AH70" s="274"/>
      <c r="AI70" s="272"/>
      <c r="AJ70" s="272"/>
      <c r="AK70" s="272"/>
    </row>
    <row r="71" spans="1:41" ht="14.65" hidden="1" customHeight="1" x14ac:dyDescent="0.25">
      <c r="A71" s="272" t="str">
        <f t="shared" si="9"/>
        <v>МосковскаяASM MOS Food Trade+SorsoTSL MOS SPT Moscow Play Sorso</v>
      </c>
      <c r="B71" s="248" t="s">
        <v>333</v>
      </c>
      <c r="C71" s="249" t="s">
        <v>317</v>
      </c>
      <c r="D71" s="249" t="s">
        <v>323</v>
      </c>
      <c r="E71" s="272" t="s">
        <v>324</v>
      </c>
      <c r="F71" s="251" t="s">
        <v>325</v>
      </c>
      <c r="G71" s="292"/>
      <c r="H71" s="292"/>
      <c r="I71" s="292"/>
      <c r="J71" s="219">
        <f t="shared" si="10"/>
        <v>0</v>
      </c>
      <c r="K71" s="219">
        <f t="shared" si="11"/>
        <v>0</v>
      </c>
      <c r="L71" s="219">
        <f t="shared" si="12"/>
        <v>0</v>
      </c>
      <c r="M71" s="232">
        <f t="shared" si="13"/>
        <v>161081.58000000002</v>
      </c>
      <c r="N71" s="219">
        <f t="shared" si="14"/>
        <v>0</v>
      </c>
      <c r="O71" s="219">
        <f t="shared" si="15"/>
        <v>0</v>
      </c>
      <c r="P71" s="219">
        <f t="shared" si="16"/>
        <v>0</v>
      </c>
      <c r="Q71" s="219">
        <f t="shared" si="17"/>
        <v>0</v>
      </c>
      <c r="R71" s="131"/>
      <c r="S71" s="293"/>
      <c r="T71" s="292"/>
      <c r="U71" s="293">
        <v>0</v>
      </c>
      <c r="V71" s="293">
        <v>0</v>
      </c>
      <c r="W71" s="293">
        <v>0</v>
      </c>
      <c r="X71" s="293">
        <v>0</v>
      </c>
      <c r="Y71" s="293">
        <v>0</v>
      </c>
      <c r="Z71" s="293">
        <v>161081.58000000002</v>
      </c>
      <c r="AA71" s="293">
        <v>0</v>
      </c>
      <c r="AB71" s="293">
        <v>0</v>
      </c>
      <c r="AC71" s="293">
        <v>0</v>
      </c>
      <c r="AD71" s="272"/>
      <c r="AE71" s="272"/>
      <c r="AF71" s="272"/>
      <c r="AG71" s="272"/>
      <c r="AH71" s="274"/>
      <c r="AI71" s="272"/>
      <c r="AJ71" s="272"/>
      <c r="AK71" s="272"/>
    </row>
    <row r="72" spans="1:41" ht="14.65" hidden="1" customHeight="1" x14ac:dyDescent="0.25">
      <c r="A72" s="272" t="str">
        <f t="shared" si="9"/>
        <v>МосковскаяDDM MOS Sladkaay ZhiznTSL MOS N.Novgorod</v>
      </c>
      <c r="B72" s="248" t="s">
        <v>333</v>
      </c>
      <c r="C72" s="249" t="s">
        <v>317</v>
      </c>
      <c r="D72" s="249" t="s">
        <v>318</v>
      </c>
      <c r="E72" s="250" t="s">
        <v>319</v>
      </c>
      <c r="F72" s="251" t="s">
        <v>320</v>
      </c>
      <c r="G72" s="292"/>
      <c r="H72" s="292"/>
      <c r="I72" s="292"/>
      <c r="J72" s="219">
        <f t="shared" si="10"/>
        <v>0</v>
      </c>
      <c r="K72" s="219">
        <f t="shared" si="11"/>
        <v>0</v>
      </c>
      <c r="L72" s="219">
        <f t="shared" si="12"/>
        <v>11308710.9</v>
      </c>
      <c r="M72" s="232">
        <f t="shared" si="13"/>
        <v>33925558.109999999</v>
      </c>
      <c r="N72" s="219">
        <f t="shared" si="14"/>
        <v>0</v>
      </c>
      <c r="O72" s="219">
        <f t="shared" si="15"/>
        <v>0</v>
      </c>
      <c r="P72" s="219">
        <f t="shared" si="16"/>
        <v>0</v>
      </c>
      <c r="Q72" s="219">
        <f t="shared" si="17"/>
        <v>0</v>
      </c>
      <c r="R72" s="131"/>
      <c r="S72" s="294"/>
      <c r="T72" s="449"/>
      <c r="U72" s="449">
        <v>0</v>
      </c>
      <c r="V72" s="449">
        <v>0</v>
      </c>
      <c r="W72" s="449">
        <v>0</v>
      </c>
      <c r="X72" s="449">
        <v>11308710.9</v>
      </c>
      <c r="Y72" s="449">
        <v>4783262.4399999985</v>
      </c>
      <c r="Z72" s="449">
        <v>17099442.07</v>
      </c>
      <c r="AA72" s="449">
        <v>0</v>
      </c>
      <c r="AB72" s="449">
        <v>5899611.2899999982</v>
      </c>
      <c r="AC72" s="449">
        <v>6143242.3099999996</v>
      </c>
      <c r="AD72" s="272"/>
      <c r="AE72" s="272"/>
      <c r="AF72" s="272"/>
      <c r="AG72" s="272"/>
      <c r="AH72" s="274"/>
      <c r="AI72" s="272"/>
      <c r="AJ72" s="272"/>
      <c r="AK72" s="272"/>
    </row>
    <row r="73" spans="1:41" ht="14.65" hidden="1" customHeight="1" x14ac:dyDescent="0.25">
      <c r="A73" s="272" t="str">
        <f t="shared" si="9"/>
        <v>МосковскаяASM MOS Food Trade+SorsoTSL MOS SPT Moscow Play Sorso</v>
      </c>
      <c r="B73" s="248" t="s">
        <v>333</v>
      </c>
      <c r="C73" s="249" t="s">
        <v>317</v>
      </c>
      <c r="D73" s="249" t="s">
        <v>323</v>
      </c>
      <c r="E73" s="272" t="s">
        <v>324</v>
      </c>
      <c r="F73" s="251" t="s">
        <v>325</v>
      </c>
      <c r="G73" s="292"/>
      <c r="H73" s="292"/>
      <c r="I73" s="292"/>
      <c r="J73" s="219">
        <f t="shared" si="10"/>
        <v>0</v>
      </c>
      <c r="K73" s="219">
        <f t="shared" si="11"/>
        <v>0</v>
      </c>
      <c r="L73" s="219">
        <f t="shared" si="12"/>
        <v>0</v>
      </c>
      <c r="M73" s="232">
        <f t="shared" si="13"/>
        <v>1131619.42</v>
      </c>
      <c r="N73" s="219">
        <f t="shared" si="14"/>
        <v>0</v>
      </c>
      <c r="O73" s="219">
        <f t="shared" si="15"/>
        <v>0</v>
      </c>
      <c r="P73" s="219">
        <f t="shared" si="16"/>
        <v>0</v>
      </c>
      <c r="Q73" s="219">
        <f t="shared" si="17"/>
        <v>0</v>
      </c>
      <c r="R73" s="131"/>
      <c r="S73" s="293"/>
      <c r="T73" s="292"/>
      <c r="U73" s="293">
        <v>0</v>
      </c>
      <c r="V73" s="293">
        <v>0</v>
      </c>
      <c r="W73" s="293">
        <v>0</v>
      </c>
      <c r="X73" s="293">
        <v>0</v>
      </c>
      <c r="Y73" s="293">
        <v>0</v>
      </c>
      <c r="Z73" s="293">
        <v>357933.36</v>
      </c>
      <c r="AA73" s="293">
        <v>0</v>
      </c>
      <c r="AB73" s="293">
        <v>0</v>
      </c>
      <c r="AC73" s="293">
        <v>773686.06</v>
      </c>
      <c r="AD73" s="272"/>
      <c r="AE73" s="272"/>
      <c r="AF73" s="272"/>
      <c r="AG73" s="272"/>
      <c r="AH73" s="274"/>
      <c r="AI73" s="272"/>
      <c r="AJ73" s="272"/>
      <c r="AK73" s="272"/>
    </row>
    <row r="74" spans="1:41" ht="14.65" hidden="1" customHeight="1" x14ac:dyDescent="0.25">
      <c r="A74" s="272" t="str">
        <f t="shared" si="9"/>
        <v>МосковскаяASM MOS Food Trade+SorsoTSL MOS Grocery Mos Obl AS-Market</v>
      </c>
      <c r="B74" s="248" t="s">
        <v>333</v>
      </c>
      <c r="C74" s="249" t="s">
        <v>317</v>
      </c>
      <c r="D74" s="249" t="s">
        <v>323</v>
      </c>
      <c r="E74" s="250" t="s">
        <v>329</v>
      </c>
      <c r="F74" s="251" t="s">
        <v>330</v>
      </c>
      <c r="G74" s="292"/>
      <c r="H74" s="292"/>
      <c r="I74" s="292"/>
      <c r="J74" s="219">
        <f t="shared" si="10"/>
        <v>0</v>
      </c>
      <c r="K74" s="219">
        <f t="shared" si="11"/>
        <v>0</v>
      </c>
      <c r="L74" s="219">
        <f t="shared" si="12"/>
        <v>0</v>
      </c>
      <c r="M74" s="232">
        <f t="shared" si="13"/>
        <v>15431.249999999998</v>
      </c>
      <c r="N74" s="219">
        <f t="shared" si="14"/>
        <v>0</v>
      </c>
      <c r="O74" s="219">
        <f t="shared" si="15"/>
        <v>0</v>
      </c>
      <c r="P74" s="219">
        <f t="shared" si="16"/>
        <v>0</v>
      </c>
      <c r="Q74" s="219">
        <f t="shared" si="17"/>
        <v>0</v>
      </c>
      <c r="R74" s="131"/>
      <c r="S74" s="293"/>
      <c r="T74" s="449"/>
      <c r="U74" s="449">
        <v>0</v>
      </c>
      <c r="V74" s="449">
        <v>0</v>
      </c>
      <c r="W74" s="449">
        <v>0</v>
      </c>
      <c r="X74" s="449">
        <v>0</v>
      </c>
      <c r="Y74" s="449">
        <v>0</v>
      </c>
      <c r="Z74" s="449">
        <v>15431.249999999998</v>
      </c>
      <c r="AA74" s="449">
        <v>0</v>
      </c>
      <c r="AB74" s="449">
        <v>0</v>
      </c>
      <c r="AC74" s="449">
        <v>0</v>
      </c>
      <c r="AD74" s="450"/>
      <c r="AE74" s="450"/>
      <c r="AF74" s="450"/>
      <c r="AG74" s="450"/>
      <c r="AI74" s="450"/>
      <c r="AJ74" s="450"/>
      <c r="AK74" s="450"/>
    </row>
    <row r="75" spans="1:41" ht="14.65" hidden="1" customHeight="1" x14ac:dyDescent="0.25">
      <c r="A75" s="272" t="str">
        <f t="shared" si="9"/>
        <v>МосковскаяDDM MOS Sladkaay ZhiznTSL MOS  Moscow 2 Sladkaya Zhizn</v>
      </c>
      <c r="B75" s="248" t="s">
        <v>333</v>
      </c>
      <c r="C75" s="249" t="s">
        <v>317</v>
      </c>
      <c r="D75" s="249" t="s">
        <v>318</v>
      </c>
      <c r="E75" s="250" t="s">
        <v>327</v>
      </c>
      <c r="F75" s="251" t="s">
        <v>322</v>
      </c>
      <c r="G75" s="292"/>
      <c r="H75" s="292"/>
      <c r="I75" s="292"/>
      <c r="J75" s="219">
        <f t="shared" si="10"/>
        <v>0</v>
      </c>
      <c r="K75" s="219">
        <f t="shared" si="11"/>
        <v>0</v>
      </c>
      <c r="L75" s="219">
        <f t="shared" si="12"/>
        <v>0</v>
      </c>
      <c r="M75" s="232">
        <f t="shared" si="13"/>
        <v>15804044.249999998</v>
      </c>
      <c r="N75" s="219">
        <f t="shared" si="14"/>
        <v>0</v>
      </c>
      <c r="O75" s="219">
        <f t="shared" si="15"/>
        <v>17640633.704999998</v>
      </c>
      <c r="P75" s="219">
        <f t="shared" si="16"/>
        <v>0</v>
      </c>
      <c r="Q75" s="219">
        <f t="shared" si="17"/>
        <v>0</v>
      </c>
      <c r="R75" s="131"/>
      <c r="S75" s="293"/>
      <c r="T75" s="292"/>
      <c r="U75" s="292">
        <v>0</v>
      </c>
      <c r="V75" s="292">
        <v>0</v>
      </c>
      <c r="W75" s="292">
        <v>0</v>
      </c>
      <c r="Y75" s="292">
        <v>18055.189999999999</v>
      </c>
      <c r="Z75" s="292">
        <v>15345871.254999999</v>
      </c>
      <c r="AA75" s="292">
        <v>0</v>
      </c>
      <c r="AB75" s="292">
        <v>381023.80500000017</v>
      </c>
      <c r="AC75" s="292">
        <v>59094</v>
      </c>
      <c r="AD75" s="272"/>
      <c r="AE75" s="272"/>
      <c r="AF75" s="272"/>
      <c r="AG75" s="272"/>
      <c r="AH75" s="449">
        <v>17640633.704999998</v>
      </c>
      <c r="AI75" s="272"/>
      <c r="AJ75" s="272"/>
      <c r="AK75" s="272"/>
      <c r="AO75" s="275" t="s">
        <v>321</v>
      </c>
    </row>
    <row r="76" spans="1:41" ht="14.65" hidden="1" customHeight="1" x14ac:dyDescent="0.25">
      <c r="A76" s="272" t="str">
        <f t="shared" si="9"/>
        <v>МосковскаяDDM MOS Sladkaay ZhiznTSL MOS  Moscow 1 Sladkaya Zhizn</v>
      </c>
      <c r="B76" s="248" t="s">
        <v>333</v>
      </c>
      <c r="C76" s="249" t="s">
        <v>317</v>
      </c>
      <c r="D76" s="249" t="s">
        <v>318</v>
      </c>
      <c r="E76" s="250" t="s">
        <v>331</v>
      </c>
      <c r="F76" s="251" t="s">
        <v>322</v>
      </c>
      <c r="G76" s="292"/>
      <c r="H76" s="292"/>
      <c r="I76" s="292"/>
      <c r="J76" s="219">
        <f t="shared" si="10"/>
        <v>0</v>
      </c>
      <c r="K76" s="219">
        <f t="shared" si="11"/>
        <v>0</v>
      </c>
      <c r="L76" s="219">
        <f t="shared" si="12"/>
        <v>0</v>
      </c>
      <c r="M76" s="232">
        <f t="shared" si="13"/>
        <v>15804044.249999998</v>
      </c>
      <c r="N76" s="219">
        <f t="shared" si="14"/>
        <v>0</v>
      </c>
      <c r="O76" s="219">
        <f t="shared" si="15"/>
        <v>21115469.165000014</v>
      </c>
      <c r="P76" s="219">
        <f t="shared" si="16"/>
        <v>0</v>
      </c>
      <c r="Q76" s="219">
        <f t="shared" si="17"/>
        <v>0</v>
      </c>
      <c r="R76" s="131"/>
      <c r="S76" s="293"/>
      <c r="T76" s="292"/>
      <c r="U76" s="292">
        <v>0</v>
      </c>
      <c r="V76" s="292">
        <v>0</v>
      </c>
      <c r="W76" s="292">
        <v>0</v>
      </c>
      <c r="Y76" s="292">
        <v>18055.189999999999</v>
      </c>
      <c r="Z76" s="292">
        <v>15345871.254999999</v>
      </c>
      <c r="AA76" s="292">
        <v>0</v>
      </c>
      <c r="AB76" s="292">
        <v>381023.80500000017</v>
      </c>
      <c r="AC76" s="292">
        <v>59094</v>
      </c>
      <c r="AD76" s="272"/>
      <c r="AE76" s="272"/>
      <c r="AF76" s="272"/>
      <c r="AG76" s="272"/>
      <c r="AH76" s="449">
        <v>21115469.165000014</v>
      </c>
      <c r="AI76" s="272"/>
      <c r="AJ76" s="272"/>
      <c r="AK76" s="272"/>
      <c r="AO76" s="275" t="s">
        <v>321</v>
      </c>
    </row>
    <row r="77" spans="1:41" ht="14.65" hidden="1" customHeight="1" x14ac:dyDescent="0.25">
      <c r="A77" s="272" t="str">
        <f t="shared" si="9"/>
        <v>МосковскаяDDM MOS Sladkaay ZhiznTSL MOS N.Novgorod</v>
      </c>
      <c r="B77" s="248" t="s">
        <v>333</v>
      </c>
      <c r="C77" s="249" t="s">
        <v>317</v>
      </c>
      <c r="D77" s="249" t="s">
        <v>318</v>
      </c>
      <c r="E77" s="250" t="s">
        <v>319</v>
      </c>
      <c r="F77" s="251" t="s">
        <v>320</v>
      </c>
      <c r="G77" s="292"/>
      <c r="H77" s="292"/>
      <c r="I77" s="292"/>
      <c r="J77" s="219">
        <f t="shared" si="10"/>
        <v>0</v>
      </c>
      <c r="K77" s="219">
        <f t="shared" si="11"/>
        <v>0</v>
      </c>
      <c r="L77" s="219">
        <f t="shared" si="12"/>
        <v>0</v>
      </c>
      <c r="M77" s="232">
        <f t="shared" si="13"/>
        <v>19333835.870000001</v>
      </c>
      <c r="N77" s="219">
        <f t="shared" si="14"/>
        <v>0</v>
      </c>
      <c r="O77" s="219">
        <f t="shared" si="15"/>
        <v>0</v>
      </c>
      <c r="P77" s="219">
        <f t="shared" si="16"/>
        <v>0</v>
      </c>
      <c r="Q77" s="219">
        <f t="shared" si="17"/>
        <v>0</v>
      </c>
      <c r="R77" s="131"/>
      <c r="S77" s="294"/>
      <c r="T77" s="449"/>
      <c r="U77" s="449">
        <v>0</v>
      </c>
      <c r="V77" s="449">
        <v>0</v>
      </c>
      <c r="W77" s="449">
        <v>0</v>
      </c>
      <c r="Y77" s="449">
        <v>64053.525000000009</v>
      </c>
      <c r="Z77" s="449">
        <v>4049944.4199999995</v>
      </c>
      <c r="AA77" s="449">
        <v>0</v>
      </c>
      <c r="AB77" s="449">
        <v>1340485.9099999999</v>
      </c>
      <c r="AC77" s="449">
        <v>13879352.015000001</v>
      </c>
      <c r="AD77" s="272"/>
      <c r="AE77" s="272"/>
      <c r="AF77" s="272"/>
      <c r="AG77" s="272"/>
      <c r="AH77" s="449"/>
      <c r="AI77" s="272"/>
      <c r="AJ77" s="272"/>
      <c r="AK77" s="272"/>
    </row>
    <row r="78" spans="1:41" ht="14.65" hidden="1" customHeight="1" x14ac:dyDescent="0.25">
      <c r="A78" s="272" t="str">
        <f t="shared" si="9"/>
        <v>МосковскаяDDM MOS Sladkaay ZhiznTSL MOS Cheboksary</v>
      </c>
      <c r="B78" s="248" t="s">
        <v>333</v>
      </c>
      <c r="C78" s="249" t="s">
        <v>317</v>
      </c>
      <c r="D78" s="249" t="s">
        <v>318</v>
      </c>
      <c r="E78" s="250" t="s">
        <v>326</v>
      </c>
      <c r="F78" s="251" t="s">
        <v>320</v>
      </c>
      <c r="G78" s="292"/>
      <c r="H78" s="292"/>
      <c r="I78" s="292"/>
      <c r="J78" s="219">
        <f t="shared" si="10"/>
        <v>0</v>
      </c>
      <c r="K78" s="219">
        <f t="shared" si="11"/>
        <v>0</v>
      </c>
      <c r="L78" s="219">
        <f t="shared" si="12"/>
        <v>0</v>
      </c>
      <c r="M78" s="232">
        <f t="shared" si="13"/>
        <v>19333835.870000001</v>
      </c>
      <c r="N78" s="219">
        <f t="shared" si="14"/>
        <v>0</v>
      </c>
      <c r="O78" s="219">
        <f t="shared" si="15"/>
        <v>0</v>
      </c>
      <c r="P78" s="219">
        <f t="shared" si="16"/>
        <v>0</v>
      </c>
      <c r="Q78" s="219">
        <f t="shared" si="17"/>
        <v>0</v>
      </c>
      <c r="R78" s="131"/>
      <c r="S78" s="293"/>
      <c r="T78" s="292"/>
      <c r="U78" s="292">
        <v>0</v>
      </c>
      <c r="V78" s="292">
        <v>0</v>
      </c>
      <c r="W78" s="292">
        <v>0</v>
      </c>
      <c r="X78" s="449"/>
      <c r="Y78" s="292">
        <v>64053.525000000009</v>
      </c>
      <c r="Z78" s="292">
        <v>4049944.4199999995</v>
      </c>
      <c r="AA78" s="292">
        <v>0</v>
      </c>
      <c r="AB78" s="292">
        <v>1340485.9099999999</v>
      </c>
      <c r="AC78" s="292">
        <v>13879352.015000001</v>
      </c>
      <c r="AD78" s="272"/>
      <c r="AE78" s="272"/>
      <c r="AF78" s="272"/>
      <c r="AG78" s="272"/>
      <c r="AH78" s="274"/>
      <c r="AI78" s="272"/>
      <c r="AJ78" s="272"/>
      <c r="AK78" s="272"/>
    </row>
    <row r="79" spans="1:41" ht="14.65" hidden="1" customHeight="1" x14ac:dyDescent="0.25">
      <c r="A79" s="272" t="str">
        <f t="shared" si="9"/>
        <v>МосковскаяASM MOS Food Trade+SorsoTSL MOS SPT Moscow Play Sorso</v>
      </c>
      <c r="B79" s="248" t="s">
        <v>333</v>
      </c>
      <c r="C79" s="249" t="s">
        <v>317</v>
      </c>
      <c r="D79" s="249" t="s">
        <v>323</v>
      </c>
      <c r="E79" s="272" t="s">
        <v>324</v>
      </c>
      <c r="F79" s="251" t="s">
        <v>325</v>
      </c>
      <c r="G79" s="292"/>
      <c r="H79" s="292"/>
      <c r="I79" s="292"/>
      <c r="J79" s="219">
        <f t="shared" si="10"/>
        <v>0</v>
      </c>
      <c r="K79" s="219">
        <f t="shared" si="11"/>
        <v>41072051.439999998</v>
      </c>
      <c r="L79" s="219">
        <f t="shared" si="12"/>
        <v>0</v>
      </c>
      <c r="M79" s="232">
        <f t="shared" si="13"/>
        <v>0</v>
      </c>
      <c r="N79" s="219">
        <f t="shared" si="14"/>
        <v>0</v>
      </c>
      <c r="O79" s="219">
        <f t="shared" si="15"/>
        <v>0</v>
      </c>
      <c r="P79" s="219">
        <f t="shared" si="16"/>
        <v>0</v>
      </c>
      <c r="Q79" s="219">
        <f t="shared" si="17"/>
        <v>0</v>
      </c>
      <c r="R79" s="131"/>
      <c r="S79" s="293"/>
      <c r="T79" s="292"/>
      <c r="U79" s="293">
        <v>0</v>
      </c>
      <c r="V79" s="293">
        <v>41072051.439999998</v>
      </c>
      <c r="W79" s="293">
        <v>0</v>
      </c>
      <c r="X79" s="293">
        <v>0</v>
      </c>
      <c r="Y79" s="293">
        <v>0</v>
      </c>
      <c r="Z79" s="293">
        <v>0</v>
      </c>
      <c r="AA79" s="293">
        <v>0</v>
      </c>
      <c r="AB79" s="293">
        <v>0</v>
      </c>
      <c r="AC79" s="293">
        <v>0</v>
      </c>
      <c r="AD79" s="272"/>
      <c r="AE79" s="272"/>
      <c r="AF79" s="272"/>
      <c r="AG79" s="272"/>
      <c r="AH79" s="274"/>
      <c r="AI79" s="272"/>
      <c r="AJ79" s="272"/>
      <c r="AK79" s="272"/>
    </row>
    <row r="80" spans="1:41" ht="14.65" hidden="1" customHeight="1" x14ac:dyDescent="0.25">
      <c r="A80" s="272" t="str">
        <f t="shared" si="9"/>
        <v>МосковскаяASM MOS Food Trade+SorsoTSL MOS SPT Moscow Play Sorso</v>
      </c>
      <c r="B80" s="248" t="s">
        <v>333</v>
      </c>
      <c r="C80" s="249" t="s">
        <v>317</v>
      </c>
      <c r="D80" s="249" t="s">
        <v>323</v>
      </c>
      <c r="E80" s="272" t="s">
        <v>324</v>
      </c>
      <c r="F80" s="251" t="s">
        <v>325</v>
      </c>
      <c r="G80" s="292"/>
      <c r="H80" s="292"/>
      <c r="I80" s="292"/>
      <c r="J80" s="219">
        <f t="shared" si="10"/>
        <v>0</v>
      </c>
      <c r="K80" s="219">
        <f t="shared" si="11"/>
        <v>0</v>
      </c>
      <c r="L80" s="219">
        <f t="shared" si="12"/>
        <v>0</v>
      </c>
      <c r="M80" s="232">
        <f t="shared" si="13"/>
        <v>763225.07</v>
      </c>
      <c r="N80" s="219">
        <f t="shared" si="14"/>
        <v>0</v>
      </c>
      <c r="O80" s="219">
        <f t="shared" si="15"/>
        <v>0</v>
      </c>
      <c r="P80" s="219">
        <f t="shared" si="16"/>
        <v>0</v>
      </c>
      <c r="Q80" s="219">
        <f t="shared" si="17"/>
        <v>0</v>
      </c>
      <c r="R80" s="131"/>
      <c r="S80" s="293"/>
      <c r="T80" s="292"/>
      <c r="U80" s="293">
        <v>0</v>
      </c>
      <c r="V80" s="293">
        <v>0</v>
      </c>
      <c r="W80" s="293">
        <v>0</v>
      </c>
      <c r="X80" s="293">
        <v>0</v>
      </c>
      <c r="Y80" s="293">
        <v>0</v>
      </c>
      <c r="Z80" s="293">
        <v>630832.56999999995</v>
      </c>
      <c r="AA80" s="293">
        <v>132392.5</v>
      </c>
      <c r="AB80" s="293">
        <v>0</v>
      </c>
      <c r="AC80" s="293">
        <v>0</v>
      </c>
      <c r="AD80" s="272"/>
      <c r="AE80" s="272"/>
      <c r="AF80" s="272"/>
      <c r="AG80" s="272"/>
      <c r="AH80" s="274"/>
      <c r="AI80" s="272"/>
      <c r="AJ80" s="272"/>
      <c r="AK80" s="272"/>
    </row>
    <row r="81" spans="1:41" ht="14.65" hidden="1" customHeight="1" x14ac:dyDescent="0.25">
      <c r="A81" s="272" t="str">
        <f t="shared" si="9"/>
        <v>МосковскаяDDM MOS Sladkaay ZhiznTSL MOS  Moscow 2 Sladkaya Zhizn</v>
      </c>
      <c r="B81" s="248" t="s">
        <v>333</v>
      </c>
      <c r="C81" s="249" t="s">
        <v>317</v>
      </c>
      <c r="D81" s="284" t="s">
        <v>318</v>
      </c>
      <c r="E81" s="250" t="s">
        <v>327</v>
      </c>
      <c r="F81" s="251" t="s">
        <v>322</v>
      </c>
      <c r="G81" s="292"/>
      <c r="H81" s="292"/>
      <c r="I81" s="292"/>
      <c r="J81" s="219">
        <f t="shared" si="10"/>
        <v>0</v>
      </c>
      <c r="K81" s="219">
        <f t="shared" si="11"/>
        <v>0</v>
      </c>
      <c r="L81" s="219">
        <f t="shared" si="12"/>
        <v>0</v>
      </c>
      <c r="M81" s="232">
        <f t="shared" si="13"/>
        <v>155721.815</v>
      </c>
      <c r="N81" s="219">
        <f t="shared" si="14"/>
        <v>0</v>
      </c>
      <c r="O81" s="219">
        <f t="shared" si="15"/>
        <v>3126523.5300000012</v>
      </c>
      <c r="P81" s="219">
        <f t="shared" si="16"/>
        <v>0</v>
      </c>
      <c r="Q81" s="219">
        <f t="shared" si="17"/>
        <v>0</v>
      </c>
      <c r="R81" s="131"/>
      <c r="S81" s="293"/>
      <c r="T81" s="292"/>
      <c r="U81" s="292">
        <v>0</v>
      </c>
      <c r="V81" s="292">
        <v>0</v>
      </c>
      <c r="W81" s="292">
        <v>0</v>
      </c>
      <c r="Y81" s="296">
        <v>63825.824999999997</v>
      </c>
      <c r="Z81" s="296">
        <v>84829.294999999998</v>
      </c>
      <c r="AA81" s="296">
        <v>0</v>
      </c>
      <c r="AB81" s="296">
        <v>7066.6949999999997</v>
      </c>
      <c r="AC81" s="296">
        <v>0</v>
      </c>
      <c r="AD81" s="272"/>
      <c r="AE81" s="272"/>
      <c r="AF81" s="272"/>
      <c r="AG81" s="272"/>
      <c r="AH81" s="294">
        <v>3126523.5300000012</v>
      </c>
      <c r="AI81" s="272"/>
      <c r="AJ81" s="272"/>
      <c r="AK81" s="272"/>
      <c r="AO81" s="275" t="s">
        <v>321</v>
      </c>
    </row>
    <row r="82" spans="1:41" ht="14.65" hidden="1" customHeight="1" x14ac:dyDescent="0.25">
      <c r="A82" s="272" t="str">
        <f t="shared" si="9"/>
        <v>МосковскаяASM MOS Food Trade+SorsoTSL MOS SPT Moscow Play Sorso</v>
      </c>
      <c r="B82" s="248" t="s">
        <v>333</v>
      </c>
      <c r="C82" s="249" t="s">
        <v>317</v>
      </c>
      <c r="D82" s="249" t="s">
        <v>323</v>
      </c>
      <c r="E82" s="272" t="s">
        <v>324</v>
      </c>
      <c r="F82" s="251" t="s">
        <v>325</v>
      </c>
      <c r="G82" s="292"/>
      <c r="H82" s="292"/>
      <c r="I82" s="292"/>
      <c r="J82" s="219">
        <f t="shared" si="10"/>
        <v>0</v>
      </c>
      <c r="K82" s="219">
        <f t="shared" si="11"/>
        <v>0</v>
      </c>
      <c r="L82" s="219">
        <f t="shared" si="12"/>
        <v>0</v>
      </c>
      <c r="M82" s="232">
        <f t="shared" si="13"/>
        <v>41915.080000000009</v>
      </c>
      <c r="N82" s="219">
        <f t="shared" si="14"/>
        <v>0</v>
      </c>
      <c r="O82" s="219">
        <f t="shared" si="15"/>
        <v>0</v>
      </c>
      <c r="P82" s="219">
        <f t="shared" si="16"/>
        <v>0</v>
      </c>
      <c r="Q82" s="219">
        <f t="shared" si="17"/>
        <v>0</v>
      </c>
      <c r="R82" s="131"/>
      <c r="S82" s="293"/>
      <c r="T82" s="292"/>
      <c r="U82" s="293">
        <v>0</v>
      </c>
      <c r="V82" s="293">
        <v>0</v>
      </c>
      <c r="W82" s="293">
        <v>0</v>
      </c>
      <c r="X82" s="293">
        <v>0</v>
      </c>
      <c r="Y82" s="293">
        <v>0</v>
      </c>
      <c r="Z82" s="293">
        <v>41915.080000000009</v>
      </c>
      <c r="AA82" s="293">
        <v>0</v>
      </c>
      <c r="AB82" s="293">
        <v>0</v>
      </c>
      <c r="AC82" s="293">
        <v>0</v>
      </c>
      <c r="AD82" s="272"/>
      <c r="AE82" s="272"/>
      <c r="AF82" s="272"/>
      <c r="AG82" s="272"/>
      <c r="AH82" s="274"/>
      <c r="AI82" s="272"/>
      <c r="AJ82" s="272"/>
      <c r="AK82" s="272"/>
    </row>
    <row r="83" spans="1:41" ht="14.65" hidden="1" customHeight="1" x14ac:dyDescent="0.25">
      <c r="A83" s="272" t="str">
        <f t="shared" si="9"/>
        <v>МосковскаяASM MOS Food Trade+SorsoTSL MOS SPT Moscow Play Sorso</v>
      </c>
      <c r="B83" s="248" t="s">
        <v>333</v>
      </c>
      <c r="C83" s="249" t="s">
        <v>317</v>
      </c>
      <c r="D83" s="249" t="s">
        <v>323</v>
      </c>
      <c r="E83" s="272" t="s">
        <v>324</v>
      </c>
      <c r="F83" s="251" t="s">
        <v>325</v>
      </c>
      <c r="G83" s="292"/>
      <c r="H83" s="292"/>
      <c r="I83" s="292"/>
      <c r="J83" s="219">
        <f t="shared" si="10"/>
        <v>0</v>
      </c>
      <c r="K83" s="219">
        <f t="shared" si="11"/>
        <v>14477.22</v>
      </c>
      <c r="L83" s="219">
        <f t="shared" si="12"/>
        <v>0</v>
      </c>
      <c r="M83" s="232">
        <f t="shared" si="13"/>
        <v>0</v>
      </c>
      <c r="N83" s="219">
        <f t="shared" si="14"/>
        <v>0</v>
      </c>
      <c r="O83" s="219">
        <f t="shared" si="15"/>
        <v>0</v>
      </c>
      <c r="P83" s="219">
        <f t="shared" si="16"/>
        <v>0</v>
      </c>
      <c r="Q83" s="219">
        <f t="shared" si="17"/>
        <v>0</v>
      </c>
      <c r="R83" s="131"/>
      <c r="S83" s="293"/>
      <c r="T83" s="292"/>
      <c r="U83" s="293">
        <v>14477.22</v>
      </c>
      <c r="V83" s="293">
        <v>0</v>
      </c>
      <c r="W83" s="293">
        <v>0</v>
      </c>
      <c r="X83" s="293">
        <v>0</v>
      </c>
      <c r="Y83" s="293">
        <v>0</v>
      </c>
      <c r="Z83" s="293">
        <v>0</v>
      </c>
      <c r="AA83" s="293">
        <v>0</v>
      </c>
      <c r="AB83" s="293">
        <v>0</v>
      </c>
      <c r="AC83" s="293">
        <v>0</v>
      </c>
      <c r="AD83" s="272"/>
      <c r="AE83" s="272"/>
      <c r="AF83" s="272"/>
      <c r="AG83" s="272"/>
      <c r="AH83" s="274"/>
      <c r="AI83" s="272"/>
      <c r="AJ83" s="272"/>
      <c r="AK83" s="272"/>
    </row>
    <row r="84" spans="1:41" ht="14.65" hidden="1" customHeight="1" x14ac:dyDescent="0.25">
      <c r="A84" s="272" t="str">
        <f t="shared" si="9"/>
        <v>МосковскаяASM MOS Food Trade+SorsoTSL MOS SPT Moscow Play Sorso</v>
      </c>
      <c r="B84" s="248" t="s">
        <v>333</v>
      </c>
      <c r="C84" s="249" t="s">
        <v>317</v>
      </c>
      <c r="D84" s="249" t="s">
        <v>323</v>
      </c>
      <c r="E84" s="272" t="s">
        <v>324</v>
      </c>
      <c r="F84" s="251" t="s">
        <v>325</v>
      </c>
      <c r="G84" s="292"/>
      <c r="H84" s="292"/>
      <c r="I84" s="292"/>
      <c r="J84" s="219">
        <f t="shared" si="10"/>
        <v>0</v>
      </c>
      <c r="K84" s="219">
        <f t="shared" si="11"/>
        <v>3549.6000000000004</v>
      </c>
      <c r="L84" s="219">
        <f t="shared" si="12"/>
        <v>0</v>
      </c>
      <c r="M84" s="232">
        <f t="shared" si="13"/>
        <v>0</v>
      </c>
      <c r="N84" s="219">
        <f t="shared" si="14"/>
        <v>0</v>
      </c>
      <c r="O84" s="219">
        <f t="shared" si="15"/>
        <v>0</v>
      </c>
      <c r="P84" s="219">
        <f t="shared" si="16"/>
        <v>0</v>
      </c>
      <c r="Q84" s="219">
        <f t="shared" si="17"/>
        <v>0</v>
      </c>
      <c r="R84" s="131"/>
      <c r="S84" s="293"/>
      <c r="T84" s="292"/>
      <c r="U84" s="293">
        <v>3549.6000000000004</v>
      </c>
      <c r="V84" s="293">
        <v>0</v>
      </c>
      <c r="W84" s="293">
        <v>0</v>
      </c>
      <c r="X84" s="293">
        <v>0</v>
      </c>
      <c r="Y84" s="293">
        <v>0</v>
      </c>
      <c r="Z84" s="293">
        <v>0</v>
      </c>
      <c r="AA84" s="293">
        <v>0</v>
      </c>
      <c r="AB84" s="293">
        <v>0</v>
      </c>
      <c r="AC84" s="293">
        <v>0</v>
      </c>
      <c r="AD84" s="272"/>
      <c r="AE84" s="272"/>
      <c r="AF84" s="272"/>
      <c r="AG84" s="272"/>
      <c r="AH84" s="274"/>
      <c r="AI84" s="272"/>
      <c r="AJ84" s="272"/>
      <c r="AK84" s="272"/>
    </row>
    <row r="85" spans="1:41" ht="14.65" hidden="1" customHeight="1" x14ac:dyDescent="0.25">
      <c r="A85" s="272" t="str">
        <f t="shared" si="9"/>
        <v>МосковскаяASM MOS Food Trade+SorsoTSL MOS SPT Moscow Play Sorso</v>
      </c>
      <c r="B85" s="248" t="s">
        <v>333</v>
      </c>
      <c r="C85" s="249" t="s">
        <v>317</v>
      </c>
      <c r="D85" s="249" t="s">
        <v>323</v>
      </c>
      <c r="E85" s="272" t="s">
        <v>324</v>
      </c>
      <c r="F85" s="251" t="s">
        <v>325</v>
      </c>
      <c r="G85" s="292"/>
      <c r="H85" s="292"/>
      <c r="I85" s="292"/>
      <c r="J85" s="219">
        <f t="shared" si="10"/>
        <v>0</v>
      </c>
      <c r="K85" s="219">
        <f t="shared" si="11"/>
        <v>19308</v>
      </c>
      <c r="L85" s="219">
        <f t="shared" si="12"/>
        <v>0</v>
      </c>
      <c r="M85" s="232">
        <f t="shared" si="13"/>
        <v>0</v>
      </c>
      <c r="N85" s="219">
        <f t="shared" si="14"/>
        <v>0</v>
      </c>
      <c r="O85" s="219">
        <f t="shared" si="15"/>
        <v>0</v>
      </c>
      <c r="P85" s="219">
        <f t="shared" si="16"/>
        <v>0</v>
      </c>
      <c r="Q85" s="219">
        <f t="shared" si="17"/>
        <v>0</v>
      </c>
      <c r="R85" s="131"/>
      <c r="S85" s="293"/>
      <c r="T85" s="292"/>
      <c r="U85" s="293">
        <v>19308</v>
      </c>
      <c r="V85" s="293">
        <v>0</v>
      </c>
      <c r="W85" s="293">
        <v>0</v>
      </c>
      <c r="X85" s="293">
        <v>0</v>
      </c>
      <c r="Y85" s="293">
        <v>0</v>
      </c>
      <c r="Z85" s="293">
        <v>0</v>
      </c>
      <c r="AA85" s="293">
        <v>0</v>
      </c>
      <c r="AB85" s="293">
        <v>0</v>
      </c>
      <c r="AC85" s="293">
        <v>0</v>
      </c>
      <c r="AD85" s="272"/>
      <c r="AE85" s="272"/>
      <c r="AF85" s="272"/>
      <c r="AG85" s="272"/>
      <c r="AH85" s="274"/>
      <c r="AI85" s="272"/>
      <c r="AJ85" s="272"/>
      <c r="AK85" s="272"/>
    </row>
    <row r="86" spans="1:41" ht="14.65" hidden="1" customHeight="1" x14ac:dyDescent="0.25">
      <c r="A86" s="272" t="str">
        <f t="shared" si="9"/>
        <v>НижегородскаяASM MOS Food Trade+SorsoTSL MOS SPT Moscow Play Sorso</v>
      </c>
      <c r="B86" s="248" t="s">
        <v>21</v>
      </c>
      <c r="C86" s="249" t="s">
        <v>317</v>
      </c>
      <c r="D86" s="249" t="s">
        <v>323</v>
      </c>
      <c r="E86" s="272" t="s">
        <v>324</v>
      </c>
      <c r="F86" s="251" t="s">
        <v>325</v>
      </c>
      <c r="G86" s="292"/>
      <c r="H86" s="292"/>
      <c r="I86" s="292"/>
      <c r="J86" s="219">
        <f t="shared" si="10"/>
        <v>0</v>
      </c>
      <c r="K86" s="219">
        <f t="shared" si="11"/>
        <v>0</v>
      </c>
      <c r="L86" s="219">
        <f t="shared" si="12"/>
        <v>0</v>
      </c>
      <c r="M86" s="232">
        <f t="shared" si="13"/>
        <v>129955.4</v>
      </c>
      <c r="N86" s="219">
        <f t="shared" si="14"/>
        <v>0</v>
      </c>
      <c r="O86" s="219">
        <f t="shared" si="15"/>
        <v>0</v>
      </c>
      <c r="P86" s="219">
        <f t="shared" si="16"/>
        <v>0</v>
      </c>
      <c r="Q86" s="219">
        <f t="shared" si="17"/>
        <v>0</v>
      </c>
      <c r="R86" s="131"/>
      <c r="S86" s="293"/>
      <c r="T86" s="292"/>
      <c r="U86" s="293">
        <v>0</v>
      </c>
      <c r="V86" s="293">
        <v>0</v>
      </c>
      <c r="W86" s="293">
        <v>0</v>
      </c>
      <c r="X86" s="293">
        <v>0</v>
      </c>
      <c r="Y86" s="293">
        <v>129955.4</v>
      </c>
      <c r="Z86" s="293">
        <v>0</v>
      </c>
      <c r="AA86" s="293">
        <v>0</v>
      </c>
      <c r="AB86" s="293">
        <v>0</v>
      </c>
      <c r="AC86" s="293">
        <v>0</v>
      </c>
      <c r="AD86" s="272"/>
      <c r="AE86" s="272"/>
      <c r="AF86" s="272"/>
      <c r="AG86" s="272"/>
      <c r="AH86" s="274"/>
      <c r="AI86" s="272"/>
      <c r="AJ86" s="272"/>
      <c r="AK86" s="272"/>
    </row>
    <row r="87" spans="1:41" ht="14.65" hidden="1" customHeight="1" x14ac:dyDescent="0.25">
      <c r="A87" s="272" t="str">
        <f t="shared" si="9"/>
        <v>НижегородскаяDDM MOS Sladkaay ZhiznTSL MOS N.Novgorod</v>
      </c>
      <c r="B87" s="248" t="s">
        <v>21</v>
      </c>
      <c r="C87" s="249" t="s">
        <v>317</v>
      </c>
      <c r="D87" s="249" t="s">
        <v>318</v>
      </c>
      <c r="E87" s="250" t="s">
        <v>319</v>
      </c>
      <c r="F87" s="251" t="s">
        <v>320</v>
      </c>
      <c r="G87" s="292">
        <v>1</v>
      </c>
      <c r="H87" s="292"/>
      <c r="I87" s="292"/>
      <c r="J87" s="219">
        <f t="shared" si="10"/>
        <v>0</v>
      </c>
      <c r="K87" s="219">
        <f t="shared" si="11"/>
        <v>63562247.979999989</v>
      </c>
      <c r="L87" s="219">
        <f t="shared" si="12"/>
        <v>0</v>
      </c>
      <c r="M87" s="232">
        <f t="shared" si="13"/>
        <v>77453434.560000166</v>
      </c>
      <c r="N87" s="219">
        <f t="shared" si="14"/>
        <v>0</v>
      </c>
      <c r="O87" s="219">
        <f t="shared" si="15"/>
        <v>66363320.945000082</v>
      </c>
      <c r="P87" s="219">
        <f t="shared" si="16"/>
        <v>650000</v>
      </c>
      <c r="Q87" s="219">
        <f t="shared" si="17"/>
        <v>0</v>
      </c>
      <c r="R87" s="131"/>
      <c r="S87" s="294"/>
      <c r="T87" s="449"/>
      <c r="U87" s="449">
        <v>0</v>
      </c>
      <c r="V87" s="449">
        <v>63562247.979999989</v>
      </c>
      <c r="W87" s="449">
        <v>0</v>
      </c>
      <c r="Y87" s="449">
        <v>21238325.20000001</v>
      </c>
      <c r="Z87" s="449">
        <v>22033536.260000009</v>
      </c>
      <c r="AA87" s="449">
        <v>0</v>
      </c>
      <c r="AB87" s="449">
        <v>19668123.950000141</v>
      </c>
      <c r="AC87" s="449">
        <v>14513449.15</v>
      </c>
      <c r="AD87" s="272"/>
      <c r="AE87" s="272"/>
      <c r="AF87" s="272"/>
      <c r="AG87" s="272"/>
      <c r="AH87" s="449">
        <v>66363320.945000082</v>
      </c>
      <c r="AI87" s="286">
        <f>50000*13</f>
        <v>650000</v>
      </c>
      <c r="AJ87" s="272"/>
      <c r="AK87" s="272"/>
      <c r="AO87" s="275" t="s">
        <v>321</v>
      </c>
    </row>
    <row r="88" spans="1:41" ht="14.65" hidden="1" customHeight="1" x14ac:dyDescent="0.25">
      <c r="A88" s="272" t="str">
        <f t="shared" si="9"/>
        <v>НижегородскаяASM MOS Food Trade+SorsoTSL MOS SPT Moscow Play Sorso</v>
      </c>
      <c r="B88" s="248" t="s">
        <v>21</v>
      </c>
      <c r="C88" s="249" t="s">
        <v>317</v>
      </c>
      <c r="D88" s="249" t="s">
        <v>323</v>
      </c>
      <c r="E88" s="272" t="s">
        <v>324</v>
      </c>
      <c r="F88" s="251" t="s">
        <v>325</v>
      </c>
      <c r="G88" s="292"/>
      <c r="H88" s="292"/>
      <c r="I88" s="292"/>
      <c r="J88" s="219">
        <f t="shared" si="10"/>
        <v>0</v>
      </c>
      <c r="K88" s="219">
        <f t="shared" si="11"/>
        <v>0</v>
      </c>
      <c r="L88" s="219">
        <f t="shared" si="12"/>
        <v>0</v>
      </c>
      <c r="M88" s="232">
        <f t="shared" si="13"/>
        <v>15797.939999999999</v>
      </c>
      <c r="N88" s="219">
        <f t="shared" si="14"/>
        <v>0</v>
      </c>
      <c r="O88" s="219">
        <f t="shared" si="15"/>
        <v>0</v>
      </c>
      <c r="P88" s="219">
        <f t="shared" si="16"/>
        <v>0</v>
      </c>
      <c r="Q88" s="219">
        <f t="shared" si="17"/>
        <v>0</v>
      </c>
      <c r="R88" s="131"/>
      <c r="S88" s="293"/>
      <c r="T88" s="292"/>
      <c r="U88" s="293">
        <v>0</v>
      </c>
      <c r="V88" s="293">
        <v>0</v>
      </c>
      <c r="W88" s="293">
        <v>0</v>
      </c>
      <c r="X88" s="293">
        <v>0</v>
      </c>
      <c r="Y88" s="293">
        <v>15797.939999999999</v>
      </c>
      <c r="Z88" s="293">
        <v>0</v>
      </c>
      <c r="AA88" s="293">
        <v>0</v>
      </c>
      <c r="AB88" s="293">
        <v>0</v>
      </c>
      <c r="AC88" s="293">
        <v>0</v>
      </c>
      <c r="AD88" s="272"/>
      <c r="AE88" s="272"/>
      <c r="AF88" s="272"/>
      <c r="AG88" s="272"/>
      <c r="AH88" s="274"/>
      <c r="AI88" s="272"/>
      <c r="AJ88" s="272"/>
      <c r="AK88" s="272"/>
    </row>
    <row r="89" spans="1:41" ht="14.65" hidden="1" customHeight="1" x14ac:dyDescent="0.25">
      <c r="A89" s="272" t="str">
        <f t="shared" si="9"/>
        <v>НижегородскаяDDM MOS Sladkaay ZhiznTSL MOS N.Novgorod</v>
      </c>
      <c r="B89" s="248" t="s">
        <v>21</v>
      </c>
      <c r="C89" s="249" t="s">
        <v>317</v>
      </c>
      <c r="D89" s="249" t="s">
        <v>318</v>
      </c>
      <c r="E89" s="250" t="s">
        <v>319</v>
      </c>
      <c r="F89" s="251" t="s">
        <v>320</v>
      </c>
      <c r="G89" s="292"/>
      <c r="H89" s="292"/>
      <c r="I89" s="292"/>
      <c r="J89" s="219">
        <f t="shared" si="10"/>
        <v>0</v>
      </c>
      <c r="K89" s="219">
        <f t="shared" si="11"/>
        <v>0</v>
      </c>
      <c r="L89" s="219">
        <f t="shared" si="12"/>
        <v>36039.75</v>
      </c>
      <c r="M89" s="232">
        <f t="shared" si="13"/>
        <v>2646.7699999999995</v>
      </c>
      <c r="N89" s="219">
        <f t="shared" si="14"/>
        <v>0</v>
      </c>
      <c r="O89" s="219">
        <f t="shared" si="15"/>
        <v>296596293.75999993</v>
      </c>
      <c r="P89" s="219">
        <f t="shared" si="16"/>
        <v>0</v>
      </c>
      <c r="Q89" s="219">
        <f t="shared" si="17"/>
        <v>0</v>
      </c>
      <c r="R89" s="131"/>
      <c r="S89" s="294"/>
      <c r="T89" s="449"/>
      <c r="U89" s="449">
        <v>0</v>
      </c>
      <c r="V89" s="449">
        <v>0</v>
      </c>
      <c r="W89" s="449">
        <v>0</v>
      </c>
      <c r="X89" s="449">
        <v>36039.75</v>
      </c>
      <c r="Y89" s="449">
        <v>0</v>
      </c>
      <c r="Z89" s="449">
        <v>0</v>
      </c>
      <c r="AA89" s="449">
        <v>0</v>
      </c>
      <c r="AB89" s="449">
        <v>2646.7699999999995</v>
      </c>
      <c r="AC89" s="449">
        <v>0</v>
      </c>
      <c r="AD89" s="272"/>
      <c r="AE89" s="272"/>
      <c r="AF89" s="272"/>
      <c r="AG89" s="272"/>
      <c r="AH89" s="274">
        <v>296596293.75999993</v>
      </c>
      <c r="AI89" s="272"/>
      <c r="AJ89" s="272"/>
      <c r="AK89" s="272"/>
      <c r="AO89" s="275" t="s">
        <v>321</v>
      </c>
    </row>
    <row r="90" spans="1:41" ht="14.65" hidden="1" customHeight="1" x14ac:dyDescent="0.25">
      <c r="A90" s="272" t="str">
        <f t="shared" si="9"/>
        <v>НижегородскаяDDM MOS Sladkaay ZhiznTSL MOS Cheboksary</v>
      </c>
      <c r="B90" s="248" t="s">
        <v>21</v>
      </c>
      <c r="C90" s="249" t="s">
        <v>317</v>
      </c>
      <c r="D90" s="249" t="s">
        <v>318</v>
      </c>
      <c r="E90" s="250" t="s">
        <v>326</v>
      </c>
      <c r="F90" s="251" t="s">
        <v>320</v>
      </c>
      <c r="G90" s="292"/>
      <c r="H90" s="292"/>
      <c r="I90" s="292"/>
      <c r="J90" s="219">
        <f t="shared" si="10"/>
        <v>0</v>
      </c>
      <c r="K90" s="219">
        <f t="shared" si="11"/>
        <v>0</v>
      </c>
      <c r="L90" s="219">
        <f t="shared" si="12"/>
        <v>19547.75</v>
      </c>
      <c r="M90" s="232">
        <f t="shared" si="13"/>
        <v>2646.7699999999995</v>
      </c>
      <c r="N90" s="219">
        <f t="shared" si="14"/>
        <v>0</v>
      </c>
      <c r="O90" s="219">
        <f t="shared" si="15"/>
        <v>0</v>
      </c>
      <c r="P90" s="219">
        <f t="shared" si="16"/>
        <v>0</v>
      </c>
      <c r="Q90" s="219">
        <f t="shared" si="17"/>
        <v>0</v>
      </c>
      <c r="R90" s="131"/>
      <c r="S90" s="293"/>
      <c r="T90" s="292"/>
      <c r="U90" s="292">
        <v>0</v>
      </c>
      <c r="V90" s="292">
        <v>0</v>
      </c>
      <c r="W90" s="292">
        <v>0</v>
      </c>
      <c r="X90" s="449">
        <v>19547.75</v>
      </c>
      <c r="Y90" s="292">
        <v>0</v>
      </c>
      <c r="Z90" s="292">
        <v>0</v>
      </c>
      <c r="AA90" s="292">
        <v>0</v>
      </c>
      <c r="AB90" s="292">
        <v>2646.7699999999995</v>
      </c>
      <c r="AC90" s="292">
        <v>0</v>
      </c>
      <c r="AD90" s="272"/>
      <c r="AE90" s="272"/>
      <c r="AF90" s="272"/>
      <c r="AG90" s="272"/>
      <c r="AH90" s="274"/>
      <c r="AI90" s="272"/>
      <c r="AJ90" s="272"/>
      <c r="AK90" s="272"/>
    </row>
    <row r="91" spans="1:41" ht="14.65" hidden="1" customHeight="1" x14ac:dyDescent="0.25">
      <c r="A91" s="272" t="str">
        <f t="shared" si="9"/>
        <v>НижегородскаяDDM MOS Sladkaay ZhiznTSL MOS N.Novgorod</v>
      </c>
      <c r="B91" s="248" t="s">
        <v>21</v>
      </c>
      <c r="C91" s="249" t="s">
        <v>317</v>
      </c>
      <c r="D91" s="249" t="s">
        <v>318</v>
      </c>
      <c r="E91" s="250" t="s">
        <v>319</v>
      </c>
      <c r="F91" s="251" t="s">
        <v>320</v>
      </c>
      <c r="G91" s="292"/>
      <c r="H91" s="292"/>
      <c r="I91" s="292"/>
      <c r="J91" s="219">
        <f t="shared" si="10"/>
        <v>0</v>
      </c>
      <c r="K91" s="219">
        <f t="shared" si="11"/>
        <v>0</v>
      </c>
      <c r="L91" s="219">
        <f t="shared" si="12"/>
        <v>266477.83</v>
      </c>
      <c r="M91" s="232">
        <f t="shared" si="13"/>
        <v>2207814.08</v>
      </c>
      <c r="N91" s="219">
        <f t="shared" si="14"/>
        <v>0</v>
      </c>
      <c r="O91" s="219">
        <f t="shared" si="15"/>
        <v>0</v>
      </c>
      <c r="P91" s="219">
        <f t="shared" si="16"/>
        <v>0</v>
      </c>
      <c r="Q91" s="219">
        <f t="shared" si="17"/>
        <v>0</v>
      </c>
      <c r="R91" s="131"/>
      <c r="S91" s="294"/>
      <c r="T91" s="449"/>
      <c r="U91" s="449">
        <v>0</v>
      </c>
      <c r="V91" s="449">
        <v>0</v>
      </c>
      <c r="W91" s="449">
        <v>0</v>
      </c>
      <c r="X91" s="449">
        <v>266477.83</v>
      </c>
      <c r="Y91" s="449">
        <v>184004.25</v>
      </c>
      <c r="Z91" s="449">
        <v>1705076.2200000002</v>
      </c>
      <c r="AA91" s="449">
        <v>3525.48</v>
      </c>
      <c r="AB91" s="449">
        <v>315208.13000000012</v>
      </c>
      <c r="AC91" s="449">
        <v>0</v>
      </c>
      <c r="AD91" s="272"/>
      <c r="AE91" s="272"/>
      <c r="AF91" s="272"/>
      <c r="AG91" s="272"/>
      <c r="AH91" s="274"/>
      <c r="AI91" s="272"/>
      <c r="AJ91" s="272"/>
      <c r="AK91" s="272"/>
    </row>
    <row r="92" spans="1:41" ht="14.65" hidden="1" customHeight="1" x14ac:dyDescent="0.25">
      <c r="A92" s="272" t="str">
        <f t="shared" si="9"/>
        <v>НижегородскаяASM MOS Food Trade+SorsoTSL MOS SPT Moscow Play Sorso</v>
      </c>
      <c r="B92" s="248" t="s">
        <v>21</v>
      </c>
      <c r="C92" s="249" t="s">
        <v>317</v>
      </c>
      <c r="D92" s="249" t="s">
        <v>323</v>
      </c>
      <c r="E92" s="272" t="s">
        <v>324</v>
      </c>
      <c r="F92" s="251" t="s">
        <v>325</v>
      </c>
      <c r="G92" s="292"/>
      <c r="H92" s="292"/>
      <c r="I92" s="292"/>
      <c r="J92" s="219">
        <f t="shared" si="10"/>
        <v>0</v>
      </c>
      <c r="K92" s="219">
        <f t="shared" si="11"/>
        <v>0</v>
      </c>
      <c r="L92" s="219">
        <f t="shared" si="12"/>
        <v>0</v>
      </c>
      <c r="M92" s="232">
        <f t="shared" si="13"/>
        <v>21101.88</v>
      </c>
      <c r="N92" s="219">
        <f t="shared" si="14"/>
        <v>0</v>
      </c>
      <c r="O92" s="219">
        <f t="shared" si="15"/>
        <v>0</v>
      </c>
      <c r="P92" s="219">
        <f t="shared" si="16"/>
        <v>0</v>
      </c>
      <c r="Q92" s="219">
        <f t="shared" si="17"/>
        <v>0</v>
      </c>
      <c r="R92" s="131"/>
      <c r="S92" s="293"/>
      <c r="T92" s="292"/>
      <c r="U92" s="293">
        <v>0</v>
      </c>
      <c r="V92" s="293">
        <v>0</v>
      </c>
      <c r="W92" s="293">
        <v>0</v>
      </c>
      <c r="X92" s="293">
        <v>0</v>
      </c>
      <c r="Y92" s="293">
        <v>0</v>
      </c>
      <c r="Z92" s="293">
        <v>21101.88</v>
      </c>
      <c r="AA92" s="293">
        <v>0</v>
      </c>
      <c r="AB92" s="293">
        <v>0</v>
      </c>
      <c r="AC92" s="293">
        <v>0</v>
      </c>
      <c r="AD92" s="272"/>
      <c r="AE92" s="272"/>
      <c r="AF92" s="272"/>
      <c r="AG92" s="272"/>
      <c r="AH92" s="274"/>
      <c r="AI92" s="272"/>
      <c r="AJ92" s="272"/>
      <c r="AK92" s="272"/>
    </row>
    <row r="93" spans="1:41" ht="14.65" hidden="1" customHeight="1" x14ac:dyDescent="0.25">
      <c r="A93" s="272" t="str">
        <f t="shared" si="9"/>
        <v>ТульскаяASM MOS Food Trade+SorsoTSL MOS SPT Moscow Play Sorso</v>
      </c>
      <c r="B93" s="248" t="s">
        <v>17</v>
      </c>
      <c r="C93" s="249" t="s">
        <v>317</v>
      </c>
      <c r="D93" s="249" t="s">
        <v>323</v>
      </c>
      <c r="E93" s="272" t="s">
        <v>324</v>
      </c>
      <c r="F93" s="251" t="s">
        <v>325</v>
      </c>
      <c r="G93" s="292"/>
      <c r="H93" s="292"/>
      <c r="I93" s="292"/>
      <c r="J93" s="219">
        <f t="shared" si="10"/>
        <v>0</v>
      </c>
      <c r="K93" s="219">
        <f t="shared" si="11"/>
        <v>0</v>
      </c>
      <c r="L93" s="219">
        <f t="shared" si="12"/>
        <v>0</v>
      </c>
      <c r="M93" s="232">
        <f t="shared" si="13"/>
        <v>88016.4</v>
      </c>
      <c r="N93" s="219">
        <f t="shared" si="14"/>
        <v>0</v>
      </c>
      <c r="O93" s="219">
        <f t="shared" si="15"/>
        <v>0</v>
      </c>
      <c r="P93" s="219">
        <f t="shared" si="16"/>
        <v>0</v>
      </c>
      <c r="Q93" s="219">
        <f t="shared" si="17"/>
        <v>0</v>
      </c>
      <c r="R93" s="131"/>
      <c r="S93" s="293"/>
      <c r="T93" s="292"/>
      <c r="U93" s="293">
        <v>0</v>
      </c>
      <c r="V93" s="293">
        <v>0</v>
      </c>
      <c r="W93" s="293">
        <v>0</v>
      </c>
      <c r="X93" s="293">
        <v>0</v>
      </c>
      <c r="Y93" s="293">
        <v>0</v>
      </c>
      <c r="Z93" s="293">
        <v>88016.4</v>
      </c>
      <c r="AA93" s="293">
        <v>0</v>
      </c>
      <c r="AB93" s="293">
        <v>0</v>
      </c>
      <c r="AC93" s="293">
        <v>0</v>
      </c>
      <c r="AD93" s="272"/>
      <c r="AE93" s="272"/>
      <c r="AF93" s="272"/>
      <c r="AG93" s="272"/>
      <c r="AH93" s="274"/>
      <c r="AI93" s="272"/>
      <c r="AJ93" s="272"/>
      <c r="AK93" s="272"/>
    </row>
    <row r="94" spans="1:41" ht="14.65" hidden="1" customHeight="1" x14ac:dyDescent="0.25">
      <c r="A94" s="272" t="str">
        <f t="shared" si="9"/>
        <v>ТульскаяDDM MOS Sladkaay ZhiznTSL MOS  Moscow 1 Sladkaya Zhizn</v>
      </c>
      <c r="B94" s="248" t="s">
        <v>17</v>
      </c>
      <c r="C94" s="249" t="s">
        <v>317</v>
      </c>
      <c r="D94" s="249" t="s">
        <v>318</v>
      </c>
      <c r="E94" s="250" t="s">
        <v>331</v>
      </c>
      <c r="F94" s="251" t="s">
        <v>322</v>
      </c>
      <c r="G94" s="292"/>
      <c r="H94" s="292"/>
      <c r="I94" s="292"/>
      <c r="J94" s="219">
        <f t="shared" si="10"/>
        <v>0</v>
      </c>
      <c r="K94" s="219">
        <f t="shared" si="11"/>
        <v>0</v>
      </c>
      <c r="L94" s="219">
        <f t="shared" si="12"/>
        <v>0</v>
      </c>
      <c r="M94" s="232">
        <f t="shared" si="13"/>
        <v>30797380.840000004</v>
      </c>
      <c r="N94" s="219">
        <f t="shared" si="14"/>
        <v>0</v>
      </c>
      <c r="O94" s="219">
        <f t="shared" si="15"/>
        <v>19446886.790000033</v>
      </c>
      <c r="P94" s="219">
        <f t="shared" si="16"/>
        <v>0</v>
      </c>
      <c r="Q94" s="219">
        <f t="shared" si="17"/>
        <v>0</v>
      </c>
      <c r="R94" s="131"/>
      <c r="S94" s="293"/>
      <c r="T94" s="292"/>
      <c r="U94" s="292">
        <v>0</v>
      </c>
      <c r="V94" s="292">
        <v>0</v>
      </c>
      <c r="W94" s="292">
        <v>0</v>
      </c>
      <c r="Y94" s="292">
        <v>5410571.5099999998</v>
      </c>
      <c r="Z94" s="292">
        <v>13670418.780000003</v>
      </c>
      <c r="AA94" s="292">
        <v>1784688.7999999998</v>
      </c>
      <c r="AB94" s="292">
        <v>9804231.8200000003</v>
      </c>
      <c r="AC94" s="292">
        <v>127469.93000000002</v>
      </c>
      <c r="AD94" s="272"/>
      <c r="AE94" s="272"/>
      <c r="AF94" s="272"/>
      <c r="AG94" s="272"/>
      <c r="AH94" s="272">
        <v>19446886.790000033</v>
      </c>
      <c r="AI94" s="450"/>
      <c r="AJ94" s="272"/>
      <c r="AK94" s="272"/>
      <c r="AO94" s="275" t="s">
        <v>321</v>
      </c>
    </row>
    <row r="95" spans="1:41" ht="14.65" hidden="1" customHeight="1" x14ac:dyDescent="0.25">
      <c r="A95" s="272" t="str">
        <f t="shared" si="9"/>
        <v>ТульскаяASM MOS Food Trade+SorsoTSL MOS SPT Moscow Play Sorso</v>
      </c>
      <c r="B95" s="248" t="s">
        <v>17</v>
      </c>
      <c r="C95" s="249" t="s">
        <v>317</v>
      </c>
      <c r="D95" s="249" t="s">
        <v>323</v>
      </c>
      <c r="E95" s="272" t="s">
        <v>324</v>
      </c>
      <c r="F95" s="251" t="s">
        <v>325</v>
      </c>
      <c r="G95" s="292"/>
      <c r="H95" s="292"/>
      <c r="I95" s="292"/>
      <c r="J95" s="219">
        <f t="shared" si="10"/>
        <v>0</v>
      </c>
      <c r="K95" s="219">
        <f t="shared" si="11"/>
        <v>0</v>
      </c>
      <c r="L95" s="219">
        <f t="shared" si="12"/>
        <v>0</v>
      </c>
      <c r="M95" s="232">
        <f t="shared" si="13"/>
        <v>1850878.62</v>
      </c>
      <c r="N95" s="219">
        <f t="shared" si="14"/>
        <v>0</v>
      </c>
      <c r="O95" s="219">
        <f t="shared" si="15"/>
        <v>0</v>
      </c>
      <c r="P95" s="219">
        <f t="shared" si="16"/>
        <v>0</v>
      </c>
      <c r="Q95" s="219">
        <f t="shared" si="17"/>
        <v>0</v>
      </c>
      <c r="R95" s="131"/>
      <c r="S95" s="293"/>
      <c r="T95" s="292"/>
      <c r="U95" s="293">
        <v>0</v>
      </c>
      <c r="V95" s="293">
        <v>0</v>
      </c>
      <c r="W95" s="293">
        <v>0</v>
      </c>
      <c r="X95" s="293">
        <v>0</v>
      </c>
      <c r="Y95" s="293">
        <v>0</v>
      </c>
      <c r="Z95" s="293">
        <v>1850878.62</v>
      </c>
      <c r="AA95" s="293">
        <v>0</v>
      </c>
      <c r="AB95" s="293">
        <v>0</v>
      </c>
      <c r="AC95" s="293">
        <v>0</v>
      </c>
      <c r="AD95" s="272"/>
      <c r="AE95" s="272"/>
      <c r="AF95" s="272"/>
      <c r="AG95" s="272"/>
      <c r="AH95" s="274"/>
      <c r="AI95" s="272"/>
      <c r="AJ95" s="272"/>
      <c r="AK95" s="272"/>
    </row>
    <row r="96" spans="1:41" ht="14.65" hidden="1" customHeight="1" x14ac:dyDescent="0.25">
      <c r="A96" s="272" t="str">
        <f t="shared" si="9"/>
        <v>ТульскаяASM MOS Food Trade+SorsoTSL MOS Grocery Mos Obl AS-Market</v>
      </c>
      <c r="B96" s="248" t="s">
        <v>17</v>
      </c>
      <c r="C96" s="249" t="s">
        <v>317</v>
      </c>
      <c r="D96" s="249" t="s">
        <v>323</v>
      </c>
      <c r="E96" s="250" t="s">
        <v>329</v>
      </c>
      <c r="F96" s="251" t="s">
        <v>330</v>
      </c>
      <c r="G96" s="292"/>
      <c r="H96" s="292"/>
      <c r="I96" s="292"/>
      <c r="J96" s="219">
        <f t="shared" si="10"/>
        <v>0</v>
      </c>
      <c r="K96" s="219">
        <f t="shared" si="11"/>
        <v>0</v>
      </c>
      <c r="L96" s="219">
        <f t="shared" si="12"/>
        <v>0</v>
      </c>
      <c r="M96" s="232">
        <f t="shared" si="13"/>
        <v>31905.269999999997</v>
      </c>
      <c r="N96" s="219">
        <f t="shared" si="14"/>
        <v>0</v>
      </c>
      <c r="O96" s="219">
        <f t="shared" si="15"/>
        <v>0</v>
      </c>
      <c r="P96" s="219">
        <f t="shared" si="16"/>
        <v>0</v>
      </c>
      <c r="Q96" s="219">
        <f t="shared" si="17"/>
        <v>0</v>
      </c>
      <c r="R96" s="131"/>
      <c r="S96" s="293"/>
      <c r="T96" s="449"/>
      <c r="U96" s="449">
        <v>0</v>
      </c>
      <c r="V96" s="449">
        <v>0</v>
      </c>
      <c r="W96" s="449">
        <v>0</v>
      </c>
      <c r="X96" s="449">
        <v>0</v>
      </c>
      <c r="Y96" s="449">
        <v>0</v>
      </c>
      <c r="Z96" s="449">
        <v>0</v>
      </c>
      <c r="AA96" s="449">
        <v>0</v>
      </c>
      <c r="AB96" s="449">
        <v>31905.269999999997</v>
      </c>
      <c r="AC96" s="449">
        <v>0</v>
      </c>
      <c r="AD96" s="450"/>
      <c r="AE96" s="450"/>
      <c r="AF96" s="450"/>
      <c r="AG96" s="450"/>
      <c r="AI96" s="450"/>
      <c r="AJ96" s="450"/>
      <c r="AK96" s="450"/>
    </row>
    <row r="97" spans="1:43" ht="14.65" hidden="1" customHeight="1" x14ac:dyDescent="0.25">
      <c r="A97" s="272" t="str">
        <f t="shared" si="9"/>
        <v>ТульскаяDDM MOS Sladkaay ZhiznTSL MOS  Moscow 2 Sladkaya Zhizn</v>
      </c>
      <c r="B97" s="248" t="s">
        <v>17</v>
      </c>
      <c r="C97" s="249" t="s">
        <v>317</v>
      </c>
      <c r="D97" s="249" t="s">
        <v>318</v>
      </c>
      <c r="E97" s="250" t="s">
        <v>327</v>
      </c>
      <c r="F97" s="251" t="s">
        <v>322</v>
      </c>
      <c r="G97" s="292"/>
      <c r="H97" s="292"/>
      <c r="I97" s="292"/>
      <c r="J97" s="219">
        <f t="shared" si="10"/>
        <v>0</v>
      </c>
      <c r="K97" s="219">
        <f t="shared" si="11"/>
        <v>0</v>
      </c>
      <c r="L97" s="219">
        <f t="shared" si="12"/>
        <v>0</v>
      </c>
      <c r="M97" s="232">
        <f t="shared" si="13"/>
        <v>2274.2749999999996</v>
      </c>
      <c r="N97" s="219">
        <f t="shared" si="14"/>
        <v>0</v>
      </c>
      <c r="O97" s="219">
        <f t="shared" si="15"/>
        <v>0</v>
      </c>
      <c r="P97" s="219">
        <f t="shared" si="16"/>
        <v>0</v>
      </c>
      <c r="Q97" s="219">
        <f t="shared" si="17"/>
        <v>0</v>
      </c>
      <c r="R97" s="131"/>
      <c r="S97" s="293"/>
      <c r="T97" s="292"/>
      <c r="U97" s="292">
        <v>0</v>
      </c>
      <c r="V97" s="292">
        <v>0</v>
      </c>
      <c r="W97" s="292">
        <v>0</v>
      </c>
      <c r="Y97" s="292">
        <v>0</v>
      </c>
      <c r="Z97" s="292">
        <v>0</v>
      </c>
      <c r="AA97" s="292">
        <v>0</v>
      </c>
      <c r="AB97" s="292">
        <v>2274.2749999999996</v>
      </c>
      <c r="AC97" s="292">
        <v>0</v>
      </c>
      <c r="AD97" s="272"/>
      <c r="AE97" s="272"/>
      <c r="AF97" s="272"/>
      <c r="AG97" s="272"/>
      <c r="AH97" s="449"/>
      <c r="AI97" s="272"/>
      <c r="AJ97" s="272"/>
      <c r="AK97" s="272"/>
    </row>
    <row r="98" spans="1:43" ht="14.65" hidden="1" customHeight="1" x14ac:dyDescent="0.25">
      <c r="A98" s="272" t="str">
        <f t="shared" si="9"/>
        <v>ТульскаяDDM MOS Sladkaay ZhiznTSL MOS  Moscow 1 Sladkaya Zhizn</v>
      </c>
      <c r="B98" s="248" t="s">
        <v>17</v>
      </c>
      <c r="C98" s="249" t="s">
        <v>317</v>
      </c>
      <c r="D98" s="249" t="s">
        <v>318</v>
      </c>
      <c r="E98" s="250" t="s">
        <v>331</v>
      </c>
      <c r="F98" s="251" t="s">
        <v>322</v>
      </c>
      <c r="G98" s="292"/>
      <c r="H98" s="292"/>
      <c r="I98" s="292"/>
      <c r="J98" s="219">
        <f t="shared" si="10"/>
        <v>0</v>
      </c>
      <c r="K98" s="219">
        <f t="shared" si="11"/>
        <v>0</v>
      </c>
      <c r="L98" s="219">
        <f t="shared" si="12"/>
        <v>0</v>
      </c>
      <c r="M98" s="232">
        <f t="shared" si="13"/>
        <v>2274.2749999999996</v>
      </c>
      <c r="N98" s="219">
        <f t="shared" si="14"/>
        <v>0</v>
      </c>
      <c r="O98" s="219">
        <f t="shared" si="15"/>
        <v>0</v>
      </c>
      <c r="P98" s="219">
        <f t="shared" si="16"/>
        <v>0</v>
      </c>
      <c r="Q98" s="219">
        <f t="shared" si="17"/>
        <v>0</v>
      </c>
      <c r="R98" s="131"/>
      <c r="S98" s="293"/>
      <c r="T98" s="292"/>
      <c r="U98" s="292">
        <v>0</v>
      </c>
      <c r="V98" s="292">
        <v>0</v>
      </c>
      <c r="W98" s="292">
        <v>0</v>
      </c>
      <c r="Y98" s="292">
        <v>0</v>
      </c>
      <c r="Z98" s="292">
        <v>0</v>
      </c>
      <c r="AA98" s="292">
        <v>0</v>
      </c>
      <c r="AB98" s="292">
        <v>2274.2749999999996</v>
      </c>
      <c r="AC98" s="292">
        <v>0</v>
      </c>
      <c r="AD98" s="272"/>
      <c r="AE98" s="272"/>
      <c r="AF98" s="272"/>
      <c r="AG98" s="272"/>
      <c r="AH98" s="449"/>
      <c r="AI98" s="272"/>
      <c r="AJ98" s="272"/>
      <c r="AK98" s="272"/>
    </row>
    <row r="99" spans="1:43" ht="14.65" hidden="1" customHeight="1" x14ac:dyDescent="0.25">
      <c r="A99" s="272" t="str">
        <f t="shared" si="9"/>
        <v>Чувашская Республика -DDM MOS Sladkaay ZhiznTSL MOS Cheboksary</v>
      </c>
      <c r="B99" s="248" t="s">
        <v>336</v>
      </c>
      <c r="C99" s="249" t="s">
        <v>317</v>
      </c>
      <c r="D99" s="249" t="s">
        <v>318</v>
      </c>
      <c r="E99" s="250" t="s">
        <v>326</v>
      </c>
      <c r="F99" s="251" t="s">
        <v>320</v>
      </c>
      <c r="G99" s="292"/>
      <c r="H99" s="292"/>
      <c r="I99" s="292"/>
      <c r="J99" s="219">
        <f t="shared" si="10"/>
        <v>0</v>
      </c>
      <c r="K99" s="219">
        <f t="shared" si="11"/>
        <v>0</v>
      </c>
      <c r="L99" s="219">
        <f t="shared" si="12"/>
        <v>0</v>
      </c>
      <c r="M99" s="232">
        <f t="shared" si="13"/>
        <v>36896244.130000025</v>
      </c>
      <c r="N99" s="219">
        <f t="shared" si="14"/>
        <v>0</v>
      </c>
      <c r="O99" s="219">
        <f t="shared" si="15"/>
        <v>44164732.540000081</v>
      </c>
      <c r="P99" s="219">
        <f t="shared" si="16"/>
        <v>0</v>
      </c>
      <c r="Q99" s="219">
        <f t="shared" si="17"/>
        <v>0</v>
      </c>
      <c r="R99" s="131"/>
      <c r="S99" s="293"/>
      <c r="T99" s="292"/>
      <c r="U99" s="292">
        <v>0</v>
      </c>
      <c r="V99" s="292">
        <v>0</v>
      </c>
      <c r="W99" s="292">
        <v>0</v>
      </c>
      <c r="X99" s="449"/>
      <c r="Y99" s="292">
        <v>6979947.7100000028</v>
      </c>
      <c r="Z99" s="292">
        <v>10872222.310000001</v>
      </c>
      <c r="AA99" s="292">
        <v>0</v>
      </c>
      <c r="AB99" s="292">
        <v>9587848.3500000257</v>
      </c>
      <c r="AC99" s="292">
        <v>9456225.7599999998</v>
      </c>
      <c r="AD99" s="272"/>
      <c r="AE99" s="272"/>
      <c r="AF99" s="272"/>
      <c r="AG99" s="272"/>
      <c r="AH99" s="295">
        <v>44164732.540000081</v>
      </c>
      <c r="AI99" s="272"/>
      <c r="AJ99" s="272"/>
      <c r="AK99" s="272"/>
      <c r="AO99" s="275" t="s">
        <v>321</v>
      </c>
    </row>
    <row r="100" spans="1:43" ht="14.65" hidden="1" customHeight="1" x14ac:dyDescent="0.25">
      <c r="A100" s="272" t="str">
        <f t="shared" si="9"/>
        <v>Чувашская Республика -DDM MOS Sladkaay ZhiznTSL MOS N.Novgorod</v>
      </c>
      <c r="B100" s="248" t="s">
        <v>336</v>
      </c>
      <c r="C100" s="249" t="s">
        <v>317</v>
      </c>
      <c r="D100" s="249" t="s">
        <v>318</v>
      </c>
      <c r="E100" s="250" t="s">
        <v>319</v>
      </c>
      <c r="F100" s="251" t="s">
        <v>320</v>
      </c>
      <c r="G100" s="292"/>
      <c r="H100" s="292"/>
      <c r="I100" s="292"/>
      <c r="J100" s="219">
        <f t="shared" si="10"/>
        <v>0</v>
      </c>
      <c r="K100" s="219">
        <f t="shared" si="11"/>
        <v>0</v>
      </c>
      <c r="L100" s="219">
        <f t="shared" si="12"/>
        <v>0</v>
      </c>
      <c r="M100" s="232">
        <f t="shared" si="13"/>
        <v>66329.489999999991</v>
      </c>
      <c r="N100" s="219">
        <f t="shared" si="14"/>
        <v>0</v>
      </c>
      <c r="O100" s="219">
        <f t="shared" si="15"/>
        <v>0</v>
      </c>
      <c r="P100" s="219">
        <f t="shared" si="16"/>
        <v>0</v>
      </c>
      <c r="Q100" s="219">
        <f t="shared" si="17"/>
        <v>0</v>
      </c>
      <c r="R100" s="131"/>
      <c r="S100" s="294"/>
      <c r="T100" s="449"/>
      <c r="U100" s="449">
        <v>0</v>
      </c>
      <c r="V100" s="449">
        <v>0</v>
      </c>
      <c r="W100" s="449">
        <v>0</v>
      </c>
      <c r="X100" s="449">
        <v>0</v>
      </c>
      <c r="Y100" s="449">
        <v>0</v>
      </c>
      <c r="Z100" s="449">
        <v>0</v>
      </c>
      <c r="AA100" s="449">
        <v>0</v>
      </c>
      <c r="AB100" s="449">
        <v>14279.89</v>
      </c>
      <c r="AC100" s="449">
        <v>52049.599999999999</v>
      </c>
      <c r="AD100" s="272"/>
      <c r="AE100" s="272"/>
      <c r="AF100" s="272"/>
      <c r="AG100" s="272"/>
      <c r="AH100" s="274"/>
      <c r="AI100" s="272"/>
      <c r="AJ100" s="272"/>
      <c r="AK100" s="272"/>
    </row>
    <row r="101" spans="1:43" ht="14.65" hidden="1" customHeight="1" x14ac:dyDescent="0.25">
      <c r="A101" s="272" t="str">
        <f t="shared" si="9"/>
        <v>Чувашская Республика -DDM MOS Sladkaay ZhiznTSL MOS Cheboksary</v>
      </c>
      <c r="B101" s="248" t="s">
        <v>336</v>
      </c>
      <c r="C101" s="249" t="s">
        <v>317</v>
      </c>
      <c r="D101" s="249" t="s">
        <v>318</v>
      </c>
      <c r="E101" s="250" t="s">
        <v>326</v>
      </c>
      <c r="F101" s="251" t="s">
        <v>320</v>
      </c>
      <c r="G101" s="292"/>
      <c r="H101" s="292"/>
      <c r="I101" s="292"/>
      <c r="J101" s="219">
        <f t="shared" si="10"/>
        <v>0</v>
      </c>
      <c r="K101" s="219">
        <f t="shared" si="11"/>
        <v>0</v>
      </c>
      <c r="L101" s="219">
        <f t="shared" si="12"/>
        <v>0</v>
      </c>
      <c r="M101" s="232">
        <f t="shared" si="13"/>
        <v>66329.489999999991</v>
      </c>
      <c r="N101" s="219">
        <f t="shared" si="14"/>
        <v>0</v>
      </c>
      <c r="O101" s="219">
        <f t="shared" si="15"/>
        <v>0</v>
      </c>
      <c r="P101" s="219">
        <f t="shared" si="16"/>
        <v>0</v>
      </c>
      <c r="Q101" s="219">
        <f t="shared" si="17"/>
        <v>0</v>
      </c>
      <c r="R101" s="131"/>
      <c r="S101" s="293"/>
      <c r="T101" s="292"/>
      <c r="U101" s="292">
        <v>0</v>
      </c>
      <c r="V101" s="292">
        <v>0</v>
      </c>
      <c r="W101" s="292">
        <v>0</v>
      </c>
      <c r="X101" s="449">
        <v>0</v>
      </c>
      <c r="Y101" s="292">
        <v>0</v>
      </c>
      <c r="Z101" s="292">
        <v>0</v>
      </c>
      <c r="AA101" s="292">
        <v>0</v>
      </c>
      <c r="AB101" s="292">
        <v>14279.89</v>
      </c>
      <c r="AC101" s="292">
        <v>52049.599999999999</v>
      </c>
      <c r="AD101" s="272"/>
      <c r="AE101" s="272"/>
      <c r="AF101" s="272"/>
      <c r="AG101" s="272"/>
      <c r="AH101" s="274"/>
      <c r="AI101" s="272"/>
      <c r="AJ101" s="272"/>
      <c r="AK101" s="272"/>
    </row>
    <row r="102" spans="1:43" hidden="1" x14ac:dyDescent="0.25">
      <c r="A102" s="272" t="str">
        <f t="shared" si="9"/>
        <v>АдыгеяRADM MoscowRAL MOS SPT RKA</v>
      </c>
      <c r="B102" s="272" t="s">
        <v>174</v>
      </c>
      <c r="C102" s="249" t="s">
        <v>317</v>
      </c>
      <c r="D102" s="249" t="s">
        <v>337</v>
      </c>
      <c r="E102" s="272" t="s">
        <v>338</v>
      </c>
      <c r="F102" s="252" t="s">
        <v>339</v>
      </c>
      <c r="J102" s="219">
        <f t="shared" si="10"/>
        <v>740866.42488330521</v>
      </c>
      <c r="K102" s="219">
        <f t="shared" si="11"/>
        <v>0</v>
      </c>
      <c r="L102" s="219">
        <f t="shared" si="12"/>
        <v>0</v>
      </c>
      <c r="M102" s="232">
        <f t="shared" si="13"/>
        <v>0</v>
      </c>
      <c r="N102" s="219">
        <f t="shared" si="14"/>
        <v>0</v>
      </c>
      <c r="O102" s="219">
        <f t="shared" si="15"/>
        <v>0</v>
      </c>
      <c r="P102" s="219">
        <f t="shared" si="16"/>
        <v>0</v>
      </c>
      <c r="Q102" s="219">
        <f t="shared" si="17"/>
        <v>0</v>
      </c>
      <c r="R102" s="131"/>
      <c r="T102" s="272">
        <v>740866.42488330521</v>
      </c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2"/>
      <c r="AG102" s="272"/>
      <c r="AH102" s="274"/>
      <c r="AI102" s="450"/>
      <c r="AJ102" s="272"/>
      <c r="AK102" s="272"/>
      <c r="AO102" s="272" t="s">
        <v>340</v>
      </c>
    </row>
    <row r="103" spans="1:43" hidden="1" x14ac:dyDescent="0.25">
      <c r="A103" s="272" t="str">
        <f t="shared" si="9"/>
        <v>АрхангельскаяRADM MoscowRAL MOS SPT RKA</v>
      </c>
      <c r="B103" s="272" t="s">
        <v>50</v>
      </c>
      <c r="C103" s="249" t="s">
        <v>317</v>
      </c>
      <c r="D103" s="249" t="s">
        <v>337</v>
      </c>
      <c r="E103" s="272" t="s">
        <v>338</v>
      </c>
      <c r="F103" s="252" t="s">
        <v>339</v>
      </c>
      <c r="J103" s="219">
        <f t="shared" si="10"/>
        <v>2222599.2746499158</v>
      </c>
      <c r="K103" s="219">
        <f t="shared" si="11"/>
        <v>0</v>
      </c>
      <c r="L103" s="219">
        <f t="shared" si="12"/>
        <v>0</v>
      </c>
      <c r="M103" s="232">
        <f t="shared" si="13"/>
        <v>0</v>
      </c>
      <c r="N103" s="219">
        <f t="shared" si="14"/>
        <v>0</v>
      </c>
      <c r="O103" s="219">
        <f t="shared" si="15"/>
        <v>0</v>
      </c>
      <c r="P103" s="219">
        <f t="shared" si="16"/>
        <v>0</v>
      </c>
      <c r="Q103" s="219">
        <f t="shared" si="17"/>
        <v>0</v>
      </c>
      <c r="R103" s="131"/>
      <c r="T103" s="272">
        <v>2222599.2746499158</v>
      </c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4"/>
      <c r="AI103" s="450"/>
      <c r="AJ103" s="272"/>
      <c r="AK103" s="272"/>
      <c r="AO103" s="272" t="s">
        <v>340</v>
      </c>
    </row>
    <row r="104" spans="1:43" hidden="1" x14ac:dyDescent="0.25">
      <c r="A104" s="272" t="str">
        <f t="shared" si="9"/>
        <v>АстраханскаяRADM MoscowRAL MOS SPT RKA</v>
      </c>
      <c r="B104" s="272" t="s">
        <v>166</v>
      </c>
      <c r="C104" s="249" t="s">
        <v>317</v>
      </c>
      <c r="D104" s="249" t="s">
        <v>337</v>
      </c>
      <c r="E104" s="272" t="s">
        <v>338</v>
      </c>
      <c r="F104" s="252" t="s">
        <v>339</v>
      </c>
      <c r="J104" s="219">
        <f t="shared" si="10"/>
        <v>1481732.8497666104</v>
      </c>
      <c r="K104" s="219">
        <f t="shared" si="11"/>
        <v>0</v>
      </c>
      <c r="L104" s="219">
        <f t="shared" si="12"/>
        <v>0</v>
      </c>
      <c r="M104" s="232">
        <f t="shared" si="13"/>
        <v>0</v>
      </c>
      <c r="N104" s="219">
        <f t="shared" si="14"/>
        <v>0</v>
      </c>
      <c r="O104" s="219">
        <f t="shared" si="15"/>
        <v>0</v>
      </c>
      <c r="P104" s="219">
        <f t="shared" si="16"/>
        <v>0</v>
      </c>
      <c r="Q104" s="219">
        <f t="shared" si="17"/>
        <v>0</v>
      </c>
      <c r="R104" s="131"/>
      <c r="T104" s="272">
        <v>1481732.8497666104</v>
      </c>
      <c r="U104" s="272"/>
      <c r="V104" s="272"/>
      <c r="W104" s="272"/>
      <c r="X104" s="272"/>
      <c r="Y104" s="272"/>
      <c r="Z104" s="272"/>
      <c r="AA104" s="272"/>
      <c r="AB104" s="272"/>
      <c r="AC104" s="272"/>
      <c r="AD104" s="272"/>
      <c r="AE104" s="272"/>
      <c r="AF104" s="272"/>
      <c r="AG104" s="272"/>
      <c r="AH104" s="274"/>
      <c r="AI104" s="450"/>
      <c r="AJ104" s="272"/>
      <c r="AK104" s="272"/>
      <c r="AO104" s="272" t="s">
        <v>340</v>
      </c>
    </row>
    <row r="105" spans="1:43" hidden="1" x14ac:dyDescent="0.25">
      <c r="A105" s="272" t="str">
        <f t="shared" si="9"/>
        <v>БелгородскаяRADM MoscowRAL MOS SPT RKA</v>
      </c>
      <c r="B105" s="272" t="s">
        <v>341</v>
      </c>
      <c r="C105" s="249" t="s">
        <v>317</v>
      </c>
      <c r="D105" s="249" t="s">
        <v>337</v>
      </c>
      <c r="E105" s="272" t="s">
        <v>338</v>
      </c>
      <c r="F105" s="252" t="s">
        <v>339</v>
      </c>
      <c r="J105" s="219">
        <f t="shared" si="10"/>
        <v>1481732.8497666104</v>
      </c>
      <c r="K105" s="219">
        <f t="shared" si="11"/>
        <v>0</v>
      </c>
      <c r="L105" s="219">
        <f t="shared" si="12"/>
        <v>0</v>
      </c>
      <c r="M105" s="232">
        <f t="shared" si="13"/>
        <v>0</v>
      </c>
      <c r="N105" s="219">
        <f t="shared" si="14"/>
        <v>0</v>
      </c>
      <c r="O105" s="219">
        <f t="shared" si="15"/>
        <v>0</v>
      </c>
      <c r="P105" s="219">
        <f t="shared" si="16"/>
        <v>0</v>
      </c>
      <c r="Q105" s="219">
        <f t="shared" si="17"/>
        <v>0</v>
      </c>
      <c r="R105" s="131"/>
      <c r="T105" s="272">
        <v>1481732.8497666104</v>
      </c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4"/>
      <c r="AI105" s="450"/>
      <c r="AJ105" s="272"/>
      <c r="AK105" s="272"/>
      <c r="AO105" s="272" t="s">
        <v>340</v>
      </c>
    </row>
    <row r="106" spans="1:43" hidden="1" x14ac:dyDescent="0.25">
      <c r="A106" s="272" t="str">
        <f t="shared" si="9"/>
        <v>ВладимирскаяRADM MoscowRAL MOS SPT RKA</v>
      </c>
      <c r="B106" s="272" t="s">
        <v>22</v>
      </c>
      <c r="C106" s="249" t="s">
        <v>317</v>
      </c>
      <c r="D106" s="249" t="s">
        <v>337</v>
      </c>
      <c r="E106" s="272" t="s">
        <v>338</v>
      </c>
      <c r="F106" s="252" t="s">
        <v>339</v>
      </c>
      <c r="I106" s="272" t="s">
        <v>342</v>
      </c>
      <c r="J106" s="219">
        <f t="shared" si="10"/>
        <v>4445198.5492998315</v>
      </c>
      <c r="K106" s="219">
        <f t="shared" si="11"/>
        <v>0</v>
      </c>
      <c r="L106" s="219">
        <f t="shared" si="12"/>
        <v>0</v>
      </c>
      <c r="M106" s="232">
        <f t="shared" si="13"/>
        <v>0</v>
      </c>
      <c r="N106" s="219">
        <f t="shared" si="14"/>
        <v>0</v>
      </c>
      <c r="O106" s="219">
        <f t="shared" si="15"/>
        <v>0</v>
      </c>
      <c r="P106" s="219">
        <f t="shared" si="16"/>
        <v>0</v>
      </c>
      <c r="Q106" s="219">
        <f t="shared" si="17"/>
        <v>0</v>
      </c>
      <c r="R106" s="131"/>
      <c r="T106" s="272">
        <v>4445198.5492998315</v>
      </c>
      <c r="U106" s="272"/>
      <c r="V106" s="272"/>
      <c r="W106" s="272"/>
      <c r="X106" s="272"/>
      <c r="Y106" s="272"/>
      <c r="Z106" s="272"/>
      <c r="AA106" s="272"/>
      <c r="AB106" s="272"/>
      <c r="AC106" s="272"/>
      <c r="AD106" s="272"/>
      <c r="AE106" s="272"/>
      <c r="AF106" s="272"/>
      <c r="AG106" s="272"/>
      <c r="AH106" s="274"/>
      <c r="AI106" s="450"/>
      <c r="AJ106" s="272"/>
      <c r="AK106" s="272"/>
      <c r="AO106" s="272" t="s">
        <v>340</v>
      </c>
      <c r="AQ106" s="286">
        <v>3640000</v>
      </c>
    </row>
    <row r="107" spans="1:43" hidden="1" x14ac:dyDescent="0.25">
      <c r="A107" s="272" t="str">
        <f t="shared" si="9"/>
        <v>ВолгоградскаяRADM MoscowRAL MOS SPT RKA</v>
      </c>
      <c r="B107" s="272" t="s">
        <v>155</v>
      </c>
      <c r="C107" s="249" t="s">
        <v>317</v>
      </c>
      <c r="D107" s="249" t="s">
        <v>337</v>
      </c>
      <c r="E107" s="272" t="s">
        <v>338</v>
      </c>
      <c r="F107" s="252" t="s">
        <v>339</v>
      </c>
      <c r="I107" s="272" t="s">
        <v>342</v>
      </c>
      <c r="J107" s="219">
        <f t="shared" si="10"/>
        <v>5926931.3990664417</v>
      </c>
      <c r="K107" s="219">
        <f t="shared" si="11"/>
        <v>0</v>
      </c>
      <c r="L107" s="219">
        <f t="shared" si="12"/>
        <v>0</v>
      </c>
      <c r="M107" s="232">
        <f t="shared" si="13"/>
        <v>0</v>
      </c>
      <c r="N107" s="219">
        <f t="shared" si="14"/>
        <v>0</v>
      </c>
      <c r="O107" s="219">
        <f t="shared" si="15"/>
        <v>0</v>
      </c>
      <c r="P107" s="219">
        <f t="shared" si="16"/>
        <v>0</v>
      </c>
      <c r="Q107" s="219">
        <f t="shared" si="17"/>
        <v>0</v>
      </c>
      <c r="R107" s="131"/>
      <c r="T107" s="272">
        <v>5926931.3990664417</v>
      </c>
      <c r="U107" s="272"/>
      <c r="V107" s="272"/>
      <c r="W107" s="272"/>
      <c r="X107" s="272"/>
      <c r="Y107" s="272"/>
      <c r="Z107" s="272"/>
      <c r="AA107" s="272"/>
      <c r="AB107" s="272"/>
      <c r="AC107" s="272"/>
      <c r="AD107" s="272"/>
      <c r="AE107" s="272"/>
      <c r="AF107" s="272"/>
      <c r="AG107" s="272"/>
      <c r="AH107" s="274"/>
      <c r="AI107" s="450"/>
      <c r="AJ107" s="272"/>
      <c r="AK107" s="272"/>
      <c r="AO107" s="272" t="s">
        <v>340</v>
      </c>
    </row>
    <row r="108" spans="1:43" hidden="1" x14ac:dyDescent="0.25">
      <c r="A108" s="272" t="str">
        <f t="shared" si="9"/>
        <v>ВологодскаяRADM MoscowRAL MOS SPT RKA</v>
      </c>
      <c r="B108" s="272" t="s">
        <v>48</v>
      </c>
      <c r="C108" s="249" t="s">
        <v>317</v>
      </c>
      <c r="D108" s="249" t="s">
        <v>337</v>
      </c>
      <c r="E108" s="272" t="s">
        <v>338</v>
      </c>
      <c r="F108" s="252" t="s">
        <v>339</v>
      </c>
      <c r="J108" s="219">
        <f t="shared" si="10"/>
        <v>740866.42488330521</v>
      </c>
      <c r="K108" s="219">
        <f t="shared" si="11"/>
        <v>0</v>
      </c>
      <c r="L108" s="219">
        <f t="shared" si="12"/>
        <v>0</v>
      </c>
      <c r="M108" s="232">
        <f t="shared" si="13"/>
        <v>0</v>
      </c>
      <c r="N108" s="219">
        <f t="shared" si="14"/>
        <v>0</v>
      </c>
      <c r="O108" s="219">
        <f t="shared" si="15"/>
        <v>0</v>
      </c>
      <c r="P108" s="219">
        <f t="shared" si="16"/>
        <v>0</v>
      </c>
      <c r="Q108" s="219">
        <f t="shared" si="17"/>
        <v>0</v>
      </c>
      <c r="R108" s="131"/>
      <c r="T108" s="272">
        <v>740866.42488330521</v>
      </c>
      <c r="U108" s="272"/>
      <c r="V108" s="272"/>
      <c r="W108" s="272"/>
      <c r="X108" s="272"/>
      <c r="Y108" s="272"/>
      <c r="Z108" s="272"/>
      <c r="AA108" s="272"/>
      <c r="AB108" s="272"/>
      <c r="AC108" s="272"/>
      <c r="AD108" s="272"/>
      <c r="AE108" s="272"/>
      <c r="AF108" s="272"/>
      <c r="AG108" s="272"/>
      <c r="AH108" s="274"/>
      <c r="AI108" s="450"/>
      <c r="AJ108" s="272"/>
      <c r="AK108" s="272"/>
      <c r="AO108" s="272" t="s">
        <v>340</v>
      </c>
    </row>
    <row r="109" spans="1:43" hidden="1" x14ac:dyDescent="0.25">
      <c r="A109" s="272" t="str">
        <f t="shared" si="9"/>
        <v>ВоронежскаяRADM MoscowRAL MOS SPT RKA</v>
      </c>
      <c r="B109" s="272" t="s">
        <v>148</v>
      </c>
      <c r="C109" s="249" t="s">
        <v>317</v>
      </c>
      <c r="D109" s="249" t="s">
        <v>337</v>
      </c>
      <c r="E109" s="272" t="s">
        <v>338</v>
      </c>
      <c r="F109" s="252" t="s">
        <v>339</v>
      </c>
      <c r="I109" s="272" t="s">
        <v>342</v>
      </c>
      <c r="J109" s="219">
        <f t="shared" si="10"/>
        <v>8890397.098599663</v>
      </c>
      <c r="K109" s="219">
        <f t="shared" si="11"/>
        <v>0</v>
      </c>
      <c r="L109" s="219">
        <f t="shared" si="12"/>
        <v>0</v>
      </c>
      <c r="M109" s="232">
        <f t="shared" si="13"/>
        <v>0</v>
      </c>
      <c r="N109" s="219">
        <f t="shared" si="14"/>
        <v>0</v>
      </c>
      <c r="O109" s="219">
        <f t="shared" si="15"/>
        <v>0</v>
      </c>
      <c r="P109" s="219">
        <f t="shared" si="16"/>
        <v>0</v>
      </c>
      <c r="Q109" s="219">
        <f t="shared" si="17"/>
        <v>0</v>
      </c>
      <c r="R109" s="131"/>
      <c r="T109" s="272">
        <v>8890397.098599663</v>
      </c>
      <c r="U109" s="272"/>
      <c r="V109" s="272"/>
      <c r="W109" s="272"/>
      <c r="X109" s="272"/>
      <c r="Y109" s="272"/>
      <c r="Z109" s="272"/>
      <c r="AA109" s="272"/>
      <c r="AB109" s="272"/>
      <c r="AC109" s="272"/>
      <c r="AD109" s="272"/>
      <c r="AE109" s="272"/>
      <c r="AF109" s="272"/>
      <c r="AG109" s="272"/>
      <c r="AH109" s="274"/>
      <c r="AI109" s="450"/>
      <c r="AJ109" s="272"/>
      <c r="AK109" s="272"/>
      <c r="AO109" s="272" t="s">
        <v>340</v>
      </c>
    </row>
    <row r="110" spans="1:43" hidden="1" x14ac:dyDescent="0.25">
      <c r="A110" s="272" t="str">
        <f t="shared" si="9"/>
        <v>ИвановскаяRADM MoscowRAL MOS SPT RKA</v>
      </c>
      <c r="B110" s="272" t="s">
        <v>56</v>
      </c>
      <c r="C110" s="249" t="s">
        <v>317</v>
      </c>
      <c r="D110" s="249" t="s">
        <v>337</v>
      </c>
      <c r="E110" s="272" t="s">
        <v>338</v>
      </c>
      <c r="F110" s="252" t="s">
        <v>339</v>
      </c>
      <c r="I110" s="272" t="s">
        <v>342</v>
      </c>
      <c r="J110" s="219">
        <f t="shared" si="10"/>
        <v>2963465.6995332208</v>
      </c>
      <c r="K110" s="219">
        <f t="shared" si="11"/>
        <v>0</v>
      </c>
      <c r="L110" s="219">
        <f t="shared" si="12"/>
        <v>0</v>
      </c>
      <c r="M110" s="232">
        <f t="shared" si="13"/>
        <v>0</v>
      </c>
      <c r="N110" s="219">
        <f t="shared" si="14"/>
        <v>0</v>
      </c>
      <c r="O110" s="219">
        <f t="shared" si="15"/>
        <v>0</v>
      </c>
      <c r="P110" s="219">
        <f t="shared" si="16"/>
        <v>0</v>
      </c>
      <c r="Q110" s="219">
        <f t="shared" si="17"/>
        <v>0</v>
      </c>
      <c r="R110" s="131"/>
      <c r="T110" s="272">
        <v>2963465.6995332208</v>
      </c>
      <c r="U110" s="272"/>
      <c r="V110" s="272"/>
      <c r="W110" s="272"/>
      <c r="X110" s="272"/>
      <c r="Y110" s="272"/>
      <c r="Z110" s="272"/>
      <c r="AA110" s="272"/>
      <c r="AB110" s="272"/>
      <c r="AC110" s="272"/>
      <c r="AD110" s="272"/>
      <c r="AE110" s="272"/>
      <c r="AF110" s="272"/>
      <c r="AG110" s="272"/>
      <c r="AH110" s="274"/>
      <c r="AI110" s="450"/>
      <c r="AJ110" s="272"/>
      <c r="AK110" s="272"/>
      <c r="AO110" s="272" t="s">
        <v>340</v>
      </c>
    </row>
    <row r="111" spans="1:43" hidden="1" x14ac:dyDescent="0.25">
      <c r="A111" s="272" t="str">
        <f t="shared" si="9"/>
        <v>КалужскаяRADM MoscowRAL MOS SPT RKA</v>
      </c>
      <c r="B111" s="272" t="s">
        <v>20</v>
      </c>
      <c r="C111" s="249" t="s">
        <v>317</v>
      </c>
      <c r="D111" s="249" t="s">
        <v>337</v>
      </c>
      <c r="E111" s="272" t="s">
        <v>338</v>
      </c>
      <c r="F111" s="252" t="s">
        <v>339</v>
      </c>
      <c r="I111" s="272" t="s">
        <v>343</v>
      </c>
      <c r="J111" s="219">
        <f t="shared" si="10"/>
        <v>5186064.9741831366</v>
      </c>
      <c r="K111" s="219">
        <f t="shared" si="11"/>
        <v>0</v>
      </c>
      <c r="L111" s="219">
        <f t="shared" si="12"/>
        <v>0</v>
      </c>
      <c r="M111" s="232">
        <f t="shared" si="13"/>
        <v>0</v>
      </c>
      <c r="N111" s="219">
        <f t="shared" si="14"/>
        <v>0</v>
      </c>
      <c r="O111" s="219">
        <f t="shared" si="15"/>
        <v>0</v>
      </c>
      <c r="P111" s="219">
        <f t="shared" si="16"/>
        <v>0</v>
      </c>
      <c r="Q111" s="219">
        <f t="shared" si="17"/>
        <v>0</v>
      </c>
      <c r="R111" s="131"/>
      <c r="T111" s="272">
        <v>5186064.9741831366</v>
      </c>
      <c r="U111" s="272"/>
      <c r="V111" s="272"/>
      <c r="W111" s="272"/>
      <c r="X111" s="272"/>
      <c r="Y111" s="272"/>
      <c r="Z111" s="272"/>
      <c r="AA111" s="272"/>
      <c r="AB111" s="272"/>
      <c r="AC111" s="272"/>
      <c r="AD111" s="272"/>
      <c r="AE111" s="272"/>
      <c r="AF111" s="272"/>
      <c r="AG111" s="272"/>
      <c r="AH111" s="274"/>
      <c r="AI111" s="450"/>
      <c r="AJ111" s="272"/>
      <c r="AK111" s="272"/>
      <c r="AO111" s="272" t="s">
        <v>340</v>
      </c>
      <c r="AQ111" s="286">
        <v>5460000</v>
      </c>
    </row>
    <row r="112" spans="1:43" hidden="1" x14ac:dyDescent="0.25">
      <c r="A112" s="272" t="str">
        <f t="shared" si="9"/>
        <v>Кемеровская область - КузбассRADM MoscowRAL MOS SPT RKA</v>
      </c>
      <c r="B112" s="272" t="s">
        <v>344</v>
      </c>
      <c r="C112" s="249" t="s">
        <v>317</v>
      </c>
      <c r="D112" s="249" t="s">
        <v>337</v>
      </c>
      <c r="E112" s="272" t="s">
        <v>338</v>
      </c>
      <c r="F112" s="252" t="s">
        <v>339</v>
      </c>
      <c r="J112" s="219">
        <f t="shared" si="10"/>
        <v>1481732.8497666104</v>
      </c>
      <c r="K112" s="219">
        <f t="shared" si="11"/>
        <v>0</v>
      </c>
      <c r="L112" s="219">
        <f t="shared" si="12"/>
        <v>0</v>
      </c>
      <c r="M112" s="232">
        <f t="shared" si="13"/>
        <v>0</v>
      </c>
      <c r="N112" s="219">
        <f t="shared" si="14"/>
        <v>0</v>
      </c>
      <c r="O112" s="219">
        <f t="shared" si="15"/>
        <v>0</v>
      </c>
      <c r="P112" s="219">
        <f t="shared" si="16"/>
        <v>0</v>
      </c>
      <c r="Q112" s="219">
        <f t="shared" si="17"/>
        <v>0</v>
      </c>
      <c r="R112" s="131"/>
      <c r="T112" s="272">
        <v>1481732.8497666104</v>
      </c>
      <c r="U112" s="272"/>
      <c r="V112" s="272"/>
      <c r="W112" s="272"/>
      <c r="X112" s="272"/>
      <c r="Y112" s="272"/>
      <c r="Z112" s="272"/>
      <c r="AA112" s="272"/>
      <c r="AB112" s="272"/>
      <c r="AC112" s="272"/>
      <c r="AD112" s="272"/>
      <c r="AE112" s="272"/>
      <c r="AF112" s="272"/>
      <c r="AG112" s="272"/>
      <c r="AH112" s="274"/>
      <c r="AI112" s="450"/>
      <c r="AJ112" s="272"/>
      <c r="AK112" s="272"/>
      <c r="AO112" s="272" t="s">
        <v>340</v>
      </c>
    </row>
    <row r="113" spans="1:43" hidden="1" x14ac:dyDescent="0.25">
      <c r="A113" s="272" t="str">
        <f t="shared" si="9"/>
        <v>КостромскаяRADM MoscowRAL MOS SPT RKA</v>
      </c>
      <c r="B113" s="272" t="s">
        <v>54</v>
      </c>
      <c r="C113" s="249" t="s">
        <v>317</v>
      </c>
      <c r="D113" s="249" t="s">
        <v>337</v>
      </c>
      <c r="E113" s="272" t="s">
        <v>338</v>
      </c>
      <c r="F113" s="252" t="s">
        <v>339</v>
      </c>
      <c r="I113" s="272" t="s">
        <v>342</v>
      </c>
      <c r="J113" s="219">
        <f t="shared" si="10"/>
        <v>2222599.2746499158</v>
      </c>
      <c r="K113" s="219">
        <f t="shared" si="11"/>
        <v>0</v>
      </c>
      <c r="L113" s="219">
        <f t="shared" si="12"/>
        <v>0</v>
      </c>
      <c r="M113" s="232">
        <f t="shared" si="13"/>
        <v>0</v>
      </c>
      <c r="N113" s="219">
        <f t="shared" si="14"/>
        <v>0</v>
      </c>
      <c r="O113" s="219">
        <f t="shared" si="15"/>
        <v>0</v>
      </c>
      <c r="P113" s="219">
        <f t="shared" si="16"/>
        <v>0</v>
      </c>
      <c r="Q113" s="219">
        <f t="shared" si="17"/>
        <v>0</v>
      </c>
      <c r="R113" s="131"/>
      <c r="T113" s="272">
        <v>2222599.2746499158</v>
      </c>
      <c r="U113" s="272"/>
      <c r="V113" s="272"/>
      <c r="W113" s="272"/>
      <c r="X113" s="272"/>
      <c r="Y113" s="272"/>
      <c r="Z113" s="272"/>
      <c r="AA113" s="272"/>
      <c r="AB113" s="272"/>
      <c r="AC113" s="272"/>
      <c r="AD113" s="272"/>
      <c r="AE113" s="272"/>
      <c r="AF113" s="272"/>
      <c r="AG113" s="272"/>
      <c r="AH113" s="274"/>
      <c r="AI113" s="450"/>
      <c r="AJ113" s="272"/>
      <c r="AK113" s="272"/>
      <c r="AO113" s="272" t="s">
        <v>340</v>
      </c>
    </row>
    <row r="114" spans="1:43" hidden="1" x14ac:dyDescent="0.25">
      <c r="A114" s="272" t="str">
        <f t="shared" si="9"/>
        <v>КраснодарскийRADM MoscowRAL MOS SPT RKA</v>
      </c>
      <c r="B114" s="272" t="s">
        <v>173</v>
      </c>
      <c r="C114" s="249" t="s">
        <v>317</v>
      </c>
      <c r="D114" s="249" t="s">
        <v>337</v>
      </c>
      <c r="E114" s="272" t="s">
        <v>338</v>
      </c>
      <c r="F114" s="252" t="s">
        <v>339</v>
      </c>
      <c r="J114" s="219">
        <f t="shared" si="10"/>
        <v>6667797.8239497459</v>
      </c>
      <c r="K114" s="219">
        <f t="shared" si="11"/>
        <v>0</v>
      </c>
      <c r="L114" s="219">
        <f t="shared" si="12"/>
        <v>0</v>
      </c>
      <c r="M114" s="232">
        <f t="shared" si="13"/>
        <v>0</v>
      </c>
      <c r="N114" s="219">
        <f t="shared" si="14"/>
        <v>0</v>
      </c>
      <c r="O114" s="219">
        <f t="shared" si="15"/>
        <v>0</v>
      </c>
      <c r="P114" s="219">
        <f t="shared" si="16"/>
        <v>0</v>
      </c>
      <c r="Q114" s="219">
        <f t="shared" si="17"/>
        <v>0</v>
      </c>
      <c r="R114" s="131"/>
      <c r="T114" s="272">
        <v>6667797.8239497459</v>
      </c>
      <c r="U114" s="272"/>
      <c r="V114" s="272"/>
      <c r="W114" s="272"/>
      <c r="X114" s="272"/>
      <c r="Y114" s="272"/>
      <c r="Z114" s="272"/>
      <c r="AA114" s="272"/>
      <c r="AB114" s="272"/>
      <c r="AC114" s="272"/>
      <c r="AD114" s="272"/>
      <c r="AE114" s="272"/>
      <c r="AF114" s="272"/>
      <c r="AG114" s="272"/>
      <c r="AH114" s="274"/>
      <c r="AI114" s="450"/>
      <c r="AJ114" s="272"/>
      <c r="AK114" s="272"/>
      <c r="AO114" s="272" t="s">
        <v>340</v>
      </c>
    </row>
    <row r="115" spans="1:43" hidden="1" x14ac:dyDescent="0.25">
      <c r="A115" s="272" t="str">
        <f t="shared" si="9"/>
        <v>КурскаяRADM MoscowRAL MOS SPT RKA</v>
      </c>
      <c r="B115" s="272" t="s">
        <v>146</v>
      </c>
      <c r="C115" s="249" t="s">
        <v>317</v>
      </c>
      <c r="D115" s="249" t="s">
        <v>337</v>
      </c>
      <c r="E115" s="272" t="s">
        <v>338</v>
      </c>
      <c r="F115" s="252" t="s">
        <v>339</v>
      </c>
      <c r="I115" s="272" t="s">
        <v>342</v>
      </c>
      <c r="J115" s="219">
        <f t="shared" si="10"/>
        <v>2222599.2746499158</v>
      </c>
      <c r="K115" s="219">
        <f t="shared" si="11"/>
        <v>0</v>
      </c>
      <c r="L115" s="219">
        <f t="shared" si="12"/>
        <v>0</v>
      </c>
      <c r="M115" s="232">
        <f t="shared" si="13"/>
        <v>0</v>
      </c>
      <c r="N115" s="219">
        <f t="shared" si="14"/>
        <v>0</v>
      </c>
      <c r="O115" s="219">
        <f t="shared" si="15"/>
        <v>0</v>
      </c>
      <c r="P115" s="219">
        <f t="shared" si="16"/>
        <v>0</v>
      </c>
      <c r="Q115" s="219">
        <f t="shared" si="17"/>
        <v>0</v>
      </c>
      <c r="R115" s="131"/>
      <c r="T115" s="272">
        <v>2222599.2746499158</v>
      </c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2"/>
      <c r="AG115" s="272"/>
      <c r="AH115" s="274"/>
      <c r="AI115" s="450"/>
      <c r="AJ115" s="272"/>
      <c r="AK115" s="272"/>
      <c r="AO115" s="272" t="s">
        <v>340</v>
      </c>
    </row>
    <row r="116" spans="1:43" hidden="1" x14ac:dyDescent="0.25">
      <c r="A116" s="272" t="str">
        <f t="shared" si="9"/>
        <v>ЛенинградскаяRADM MoscowRAL MOS SPT RKA</v>
      </c>
      <c r="B116" s="272" t="s">
        <v>345</v>
      </c>
      <c r="C116" s="249" t="s">
        <v>317</v>
      </c>
      <c r="D116" s="249" t="s">
        <v>337</v>
      </c>
      <c r="E116" s="272" t="s">
        <v>338</v>
      </c>
      <c r="F116" s="252" t="s">
        <v>339</v>
      </c>
      <c r="J116" s="219">
        <f t="shared" si="10"/>
        <v>2963465.6995332208</v>
      </c>
      <c r="K116" s="219">
        <f t="shared" si="11"/>
        <v>0</v>
      </c>
      <c r="L116" s="219">
        <f t="shared" si="12"/>
        <v>0</v>
      </c>
      <c r="M116" s="232">
        <f t="shared" si="13"/>
        <v>0</v>
      </c>
      <c r="N116" s="219">
        <f t="shared" si="14"/>
        <v>0</v>
      </c>
      <c r="O116" s="219">
        <f t="shared" si="15"/>
        <v>0</v>
      </c>
      <c r="P116" s="219">
        <f t="shared" si="16"/>
        <v>0</v>
      </c>
      <c r="Q116" s="219">
        <f t="shared" si="17"/>
        <v>0</v>
      </c>
      <c r="R116" s="131"/>
      <c r="T116" s="272">
        <v>2963465.6995332208</v>
      </c>
      <c r="U116" s="272"/>
      <c r="V116" s="272"/>
      <c r="W116" s="272"/>
      <c r="X116" s="272"/>
      <c r="Y116" s="272"/>
      <c r="Z116" s="272"/>
      <c r="AA116" s="272"/>
      <c r="AB116" s="272"/>
      <c r="AC116" s="272"/>
      <c r="AD116" s="272"/>
      <c r="AE116" s="272"/>
      <c r="AF116" s="272"/>
      <c r="AG116" s="272"/>
      <c r="AH116" s="274"/>
      <c r="AI116" s="450"/>
      <c r="AJ116" s="272"/>
      <c r="AK116" s="272"/>
      <c r="AO116" s="272" t="s">
        <v>340</v>
      </c>
    </row>
    <row r="117" spans="1:43" hidden="1" x14ac:dyDescent="0.25">
      <c r="A117" s="272" t="str">
        <f t="shared" si="9"/>
        <v>ЛипецкаяRADM MoscowRAL MOS SPT RKA</v>
      </c>
      <c r="B117" s="272" t="s">
        <v>150</v>
      </c>
      <c r="C117" s="249" t="s">
        <v>317</v>
      </c>
      <c r="D117" s="249" t="s">
        <v>337</v>
      </c>
      <c r="E117" s="272" t="s">
        <v>338</v>
      </c>
      <c r="F117" s="252" t="s">
        <v>339</v>
      </c>
      <c r="I117" s="272" t="s">
        <v>342</v>
      </c>
      <c r="J117" s="219">
        <f t="shared" si="10"/>
        <v>4445198.5492998315</v>
      </c>
      <c r="K117" s="219">
        <f t="shared" si="11"/>
        <v>0</v>
      </c>
      <c r="L117" s="219">
        <f t="shared" si="12"/>
        <v>0</v>
      </c>
      <c r="M117" s="232">
        <f t="shared" si="13"/>
        <v>0</v>
      </c>
      <c r="N117" s="219">
        <f t="shared" si="14"/>
        <v>0</v>
      </c>
      <c r="O117" s="219">
        <f t="shared" si="15"/>
        <v>0</v>
      </c>
      <c r="P117" s="219">
        <f t="shared" si="16"/>
        <v>0</v>
      </c>
      <c r="Q117" s="219">
        <f t="shared" si="17"/>
        <v>0</v>
      </c>
      <c r="R117" s="131"/>
      <c r="T117" s="272">
        <v>4445198.5492998315</v>
      </c>
      <c r="U117" s="272"/>
      <c r="V117" s="272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4"/>
      <c r="AI117" s="450"/>
      <c r="AJ117" s="272"/>
      <c r="AK117" s="272"/>
      <c r="AO117" s="272" t="s">
        <v>340</v>
      </c>
    </row>
    <row r="118" spans="1:43" hidden="1" x14ac:dyDescent="0.25">
      <c r="A118" s="272" t="str">
        <f t="shared" si="9"/>
        <v>МоскваRADM MoscowRAL MOS SPT RKA</v>
      </c>
      <c r="B118" s="272" t="s">
        <v>7</v>
      </c>
      <c r="C118" s="249" t="s">
        <v>317</v>
      </c>
      <c r="D118" s="249" t="s">
        <v>337</v>
      </c>
      <c r="E118" s="272" t="s">
        <v>338</v>
      </c>
      <c r="F118" s="252" t="s">
        <v>339</v>
      </c>
      <c r="H118" s="272">
        <v>1</v>
      </c>
      <c r="I118" s="272" t="s">
        <v>343</v>
      </c>
      <c r="J118" s="219">
        <f t="shared" si="10"/>
        <v>160027147.77479389</v>
      </c>
      <c r="K118" s="219">
        <f t="shared" si="11"/>
        <v>0</v>
      </c>
      <c r="L118" s="219">
        <f t="shared" si="12"/>
        <v>0</v>
      </c>
      <c r="M118" s="232">
        <f t="shared" si="13"/>
        <v>0</v>
      </c>
      <c r="N118" s="219">
        <f t="shared" si="14"/>
        <v>0</v>
      </c>
      <c r="O118" s="219">
        <f t="shared" si="15"/>
        <v>0</v>
      </c>
      <c r="P118" s="219">
        <f t="shared" si="16"/>
        <v>202930000</v>
      </c>
      <c r="Q118" s="219">
        <f t="shared" si="17"/>
        <v>0</v>
      </c>
      <c r="R118" s="131"/>
      <c r="T118" s="272">
        <v>160027147.77479389</v>
      </c>
      <c r="U118" s="272"/>
      <c r="V118" s="272"/>
      <c r="W118" s="272"/>
      <c r="X118" s="272"/>
      <c r="Y118" s="272"/>
      <c r="Z118" s="272"/>
      <c r="AA118" s="272"/>
      <c r="AB118" s="272"/>
      <c r="AC118" s="272"/>
      <c r="AD118" s="272"/>
      <c r="AE118" s="272"/>
      <c r="AF118" s="272"/>
      <c r="AG118" s="272"/>
      <c r="AH118" s="274"/>
      <c r="AI118" s="450">
        <v>202930000</v>
      </c>
      <c r="AJ118" s="272"/>
      <c r="AK118" s="272"/>
      <c r="AO118" s="272" t="s">
        <v>340</v>
      </c>
    </row>
    <row r="119" spans="1:43" hidden="1" x14ac:dyDescent="0.25">
      <c r="A119" s="272" t="str">
        <f t="shared" si="9"/>
        <v>МосковскаяRADM MoscowRAL MOS SPT RKA</v>
      </c>
      <c r="B119" s="272" t="s">
        <v>333</v>
      </c>
      <c r="C119" s="249" t="s">
        <v>317</v>
      </c>
      <c r="D119" s="249" t="s">
        <v>337</v>
      </c>
      <c r="E119" s="272" t="s">
        <v>338</v>
      </c>
      <c r="F119" s="252" t="s">
        <v>339</v>
      </c>
      <c r="I119" s="272" t="s">
        <v>343</v>
      </c>
      <c r="J119" s="219">
        <f t="shared" si="10"/>
        <v>98535234.509479582</v>
      </c>
      <c r="K119" s="219">
        <f t="shared" si="11"/>
        <v>0</v>
      </c>
      <c r="L119" s="219">
        <f t="shared" si="12"/>
        <v>0</v>
      </c>
      <c r="M119" s="232">
        <f t="shared" si="13"/>
        <v>0</v>
      </c>
      <c r="N119" s="219">
        <f t="shared" si="14"/>
        <v>0</v>
      </c>
      <c r="O119" s="219">
        <f t="shared" si="15"/>
        <v>0</v>
      </c>
      <c r="P119" s="219">
        <f t="shared" si="16"/>
        <v>158080000</v>
      </c>
      <c r="Q119" s="219">
        <f t="shared" si="17"/>
        <v>0</v>
      </c>
      <c r="R119" s="131"/>
      <c r="T119" s="272">
        <v>98535234.509479582</v>
      </c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4"/>
      <c r="AI119" s="450">
        <v>158080000</v>
      </c>
      <c r="AJ119" s="272"/>
      <c r="AK119" s="272"/>
      <c r="AO119" s="272" t="s">
        <v>340</v>
      </c>
    </row>
    <row r="120" spans="1:43" hidden="1" x14ac:dyDescent="0.25">
      <c r="A120" s="272" t="str">
        <f t="shared" si="9"/>
        <v>МурманскаяRADM MoscowRAL MOS SPT RKA</v>
      </c>
      <c r="B120" s="272" t="s">
        <v>35</v>
      </c>
      <c r="C120" s="249" t="s">
        <v>317</v>
      </c>
      <c r="D120" s="249" t="s">
        <v>337</v>
      </c>
      <c r="E120" s="272" t="s">
        <v>338</v>
      </c>
      <c r="F120" s="252" t="s">
        <v>339</v>
      </c>
      <c r="J120" s="219">
        <f t="shared" si="10"/>
        <v>1481732.8497666104</v>
      </c>
      <c r="K120" s="219">
        <f t="shared" si="11"/>
        <v>0</v>
      </c>
      <c r="L120" s="219">
        <f t="shared" si="12"/>
        <v>0</v>
      </c>
      <c r="M120" s="232">
        <f t="shared" si="13"/>
        <v>0</v>
      </c>
      <c r="N120" s="219">
        <f t="shared" si="14"/>
        <v>0</v>
      </c>
      <c r="O120" s="219">
        <f t="shared" si="15"/>
        <v>0</v>
      </c>
      <c r="P120" s="219">
        <f t="shared" si="16"/>
        <v>0</v>
      </c>
      <c r="Q120" s="219">
        <f t="shared" si="17"/>
        <v>0</v>
      </c>
      <c r="R120" s="131"/>
      <c r="T120" s="272">
        <v>1481732.8497666104</v>
      </c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4"/>
      <c r="AI120" s="450"/>
      <c r="AJ120" s="272"/>
      <c r="AK120" s="272"/>
      <c r="AO120" s="272" t="s">
        <v>340</v>
      </c>
    </row>
    <row r="121" spans="1:43" hidden="1" x14ac:dyDescent="0.25">
      <c r="A121" s="272" t="str">
        <f t="shared" si="9"/>
        <v>НижегородскаяRADM MoscowRAL MOS SPT RKA</v>
      </c>
      <c r="B121" s="272" t="s">
        <v>21</v>
      </c>
      <c r="C121" s="249" t="s">
        <v>317</v>
      </c>
      <c r="D121" s="249" t="s">
        <v>337</v>
      </c>
      <c r="E121" s="272" t="s">
        <v>338</v>
      </c>
      <c r="F121" s="252" t="s">
        <v>339</v>
      </c>
      <c r="I121" s="272" t="s">
        <v>342</v>
      </c>
      <c r="J121" s="219">
        <f t="shared" si="10"/>
        <v>7408664.2488330519</v>
      </c>
      <c r="K121" s="219">
        <f t="shared" si="11"/>
        <v>0</v>
      </c>
      <c r="L121" s="219">
        <f t="shared" si="12"/>
        <v>0</v>
      </c>
      <c r="M121" s="232">
        <f t="shared" si="13"/>
        <v>0</v>
      </c>
      <c r="N121" s="219">
        <f t="shared" si="14"/>
        <v>0</v>
      </c>
      <c r="O121" s="219">
        <f t="shared" si="15"/>
        <v>0</v>
      </c>
      <c r="P121" s="219">
        <f t="shared" si="16"/>
        <v>0</v>
      </c>
      <c r="Q121" s="219">
        <f t="shared" si="17"/>
        <v>0</v>
      </c>
      <c r="R121" s="131"/>
      <c r="T121" s="272">
        <v>7408664.2488330519</v>
      </c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4"/>
      <c r="AI121" s="450"/>
      <c r="AJ121" s="272"/>
      <c r="AK121" s="272"/>
      <c r="AO121" s="272" t="s">
        <v>340</v>
      </c>
      <c r="AQ121" s="286">
        <v>6370000</v>
      </c>
    </row>
    <row r="122" spans="1:43" hidden="1" x14ac:dyDescent="0.25">
      <c r="A122" s="272" t="str">
        <f t="shared" si="9"/>
        <v>ОмскаяRADM MoscowRAL MOS SPT RKA</v>
      </c>
      <c r="B122" s="272" t="s">
        <v>123</v>
      </c>
      <c r="C122" s="249" t="s">
        <v>317</v>
      </c>
      <c r="D122" s="249" t="s">
        <v>337</v>
      </c>
      <c r="E122" s="272" t="s">
        <v>338</v>
      </c>
      <c r="F122" s="252" t="s">
        <v>339</v>
      </c>
      <c r="J122" s="219">
        <f t="shared" si="10"/>
        <v>2222599.2746499158</v>
      </c>
      <c r="K122" s="219">
        <f t="shared" si="11"/>
        <v>0</v>
      </c>
      <c r="L122" s="219">
        <f t="shared" si="12"/>
        <v>0</v>
      </c>
      <c r="M122" s="232">
        <f t="shared" si="13"/>
        <v>0</v>
      </c>
      <c r="N122" s="219">
        <f t="shared" si="14"/>
        <v>0</v>
      </c>
      <c r="O122" s="219">
        <f t="shared" si="15"/>
        <v>0</v>
      </c>
      <c r="P122" s="219">
        <f t="shared" si="16"/>
        <v>0</v>
      </c>
      <c r="Q122" s="219">
        <f t="shared" si="17"/>
        <v>0</v>
      </c>
      <c r="R122" s="131"/>
      <c r="T122" s="272">
        <v>2222599.2746499158</v>
      </c>
      <c r="U122" s="272"/>
      <c r="V122" s="272"/>
      <c r="W122" s="272"/>
      <c r="X122" s="272"/>
      <c r="Y122" s="272"/>
      <c r="Z122" s="272"/>
      <c r="AA122" s="272"/>
      <c r="AB122" s="272"/>
      <c r="AC122" s="272"/>
      <c r="AD122" s="272"/>
      <c r="AE122" s="272"/>
      <c r="AF122" s="272"/>
      <c r="AG122" s="272"/>
      <c r="AH122" s="274"/>
      <c r="AI122" s="450"/>
      <c r="AJ122" s="272"/>
      <c r="AK122" s="272"/>
      <c r="AO122" s="272" t="s">
        <v>340</v>
      </c>
    </row>
    <row r="123" spans="1:43" hidden="1" x14ac:dyDescent="0.25">
      <c r="A123" s="272" t="str">
        <f t="shared" si="9"/>
        <v>ОрловскаяRADM MoscowRAL MOS SPT RKA</v>
      </c>
      <c r="B123" s="272" t="s">
        <v>145</v>
      </c>
      <c r="C123" s="249" t="s">
        <v>317</v>
      </c>
      <c r="D123" s="249" t="s">
        <v>337</v>
      </c>
      <c r="E123" s="272" t="s">
        <v>338</v>
      </c>
      <c r="F123" s="252" t="s">
        <v>339</v>
      </c>
      <c r="I123" s="272" t="s">
        <v>342</v>
      </c>
      <c r="J123" s="219">
        <f t="shared" si="10"/>
        <v>740866.42488330521</v>
      </c>
      <c r="K123" s="219">
        <f t="shared" si="11"/>
        <v>0</v>
      </c>
      <c r="L123" s="219">
        <f t="shared" si="12"/>
        <v>0</v>
      </c>
      <c r="M123" s="232">
        <f t="shared" si="13"/>
        <v>0</v>
      </c>
      <c r="N123" s="219">
        <f t="shared" si="14"/>
        <v>0</v>
      </c>
      <c r="O123" s="219">
        <f t="shared" si="15"/>
        <v>0</v>
      </c>
      <c r="P123" s="219">
        <f t="shared" si="16"/>
        <v>0</v>
      </c>
      <c r="Q123" s="219">
        <f t="shared" si="17"/>
        <v>0</v>
      </c>
      <c r="R123" s="131"/>
      <c r="T123" s="272">
        <v>740866.42488330521</v>
      </c>
      <c r="U123" s="272"/>
      <c r="V123" s="272"/>
      <c r="W123" s="272"/>
      <c r="X123" s="272"/>
      <c r="Y123" s="272"/>
      <c r="Z123" s="272"/>
      <c r="AA123" s="272"/>
      <c r="AB123" s="272"/>
      <c r="AC123" s="272"/>
      <c r="AD123" s="272"/>
      <c r="AE123" s="272"/>
      <c r="AF123" s="272"/>
      <c r="AG123" s="272"/>
      <c r="AH123" s="274"/>
      <c r="AI123" s="450"/>
      <c r="AJ123" s="272"/>
      <c r="AK123" s="272"/>
      <c r="AO123" s="272" t="s">
        <v>340</v>
      </c>
    </row>
    <row r="124" spans="1:43" hidden="1" x14ac:dyDescent="0.25">
      <c r="A124" s="272" t="str">
        <f t="shared" si="9"/>
        <v>ПермскийRADM MoscowRAL MOS SPT RKA</v>
      </c>
      <c r="B124" s="272" t="s">
        <v>102</v>
      </c>
      <c r="C124" s="249" t="s">
        <v>317</v>
      </c>
      <c r="D124" s="249" t="s">
        <v>337</v>
      </c>
      <c r="E124" s="272" t="s">
        <v>338</v>
      </c>
      <c r="F124" s="252" t="s">
        <v>339</v>
      </c>
      <c r="J124" s="219">
        <f t="shared" si="10"/>
        <v>1481732.8497666104</v>
      </c>
      <c r="K124" s="219">
        <f t="shared" si="11"/>
        <v>0</v>
      </c>
      <c r="L124" s="219">
        <f t="shared" si="12"/>
        <v>0</v>
      </c>
      <c r="M124" s="232">
        <f t="shared" si="13"/>
        <v>0</v>
      </c>
      <c r="N124" s="219">
        <f t="shared" si="14"/>
        <v>0</v>
      </c>
      <c r="O124" s="219">
        <f t="shared" si="15"/>
        <v>0</v>
      </c>
      <c r="P124" s="219">
        <f t="shared" si="16"/>
        <v>0</v>
      </c>
      <c r="Q124" s="219">
        <f t="shared" si="17"/>
        <v>0</v>
      </c>
      <c r="R124" s="131"/>
      <c r="T124" s="272">
        <v>1481732.8497666104</v>
      </c>
      <c r="U124" s="272"/>
      <c r="V124" s="272"/>
      <c r="W124" s="272"/>
      <c r="X124" s="272"/>
      <c r="Y124" s="272"/>
      <c r="Z124" s="272"/>
      <c r="AA124" s="272"/>
      <c r="AB124" s="272"/>
      <c r="AC124" s="272"/>
      <c r="AD124" s="272"/>
      <c r="AE124" s="272"/>
      <c r="AF124" s="272"/>
      <c r="AG124" s="272"/>
      <c r="AH124" s="274"/>
      <c r="AI124" s="450"/>
      <c r="AJ124" s="272"/>
      <c r="AK124" s="272"/>
      <c r="AO124" s="272" t="s">
        <v>340</v>
      </c>
    </row>
    <row r="125" spans="1:43" hidden="1" x14ac:dyDescent="0.25">
      <c r="A125" s="272" t="str">
        <f t="shared" si="9"/>
        <v>ПсковскаяRADM MoscowRAL MOS SPT RKA</v>
      </c>
      <c r="B125" s="272" t="s">
        <v>38</v>
      </c>
      <c r="C125" s="249" t="s">
        <v>317</v>
      </c>
      <c r="D125" s="249" t="s">
        <v>337</v>
      </c>
      <c r="E125" s="272" t="s">
        <v>338</v>
      </c>
      <c r="F125" s="252" t="s">
        <v>339</v>
      </c>
      <c r="J125" s="219">
        <f t="shared" si="10"/>
        <v>740866.42488330521</v>
      </c>
      <c r="K125" s="219">
        <f t="shared" si="11"/>
        <v>0</v>
      </c>
      <c r="L125" s="219">
        <f t="shared" si="12"/>
        <v>0</v>
      </c>
      <c r="M125" s="232">
        <f t="shared" si="13"/>
        <v>0</v>
      </c>
      <c r="N125" s="219">
        <f t="shared" si="14"/>
        <v>0</v>
      </c>
      <c r="O125" s="219">
        <f t="shared" si="15"/>
        <v>0</v>
      </c>
      <c r="P125" s="219">
        <f t="shared" si="16"/>
        <v>0</v>
      </c>
      <c r="Q125" s="219">
        <f t="shared" si="17"/>
        <v>0</v>
      </c>
      <c r="R125" s="131"/>
      <c r="T125" s="272">
        <v>740866.42488330521</v>
      </c>
      <c r="U125" s="272"/>
      <c r="V125" s="272"/>
      <c r="W125" s="272"/>
      <c r="X125" s="272"/>
      <c r="Y125" s="272"/>
      <c r="Z125" s="272"/>
      <c r="AA125" s="272"/>
      <c r="AB125" s="272"/>
      <c r="AC125" s="272"/>
      <c r="AD125" s="272"/>
      <c r="AE125" s="272"/>
      <c r="AF125" s="272"/>
      <c r="AG125" s="272"/>
      <c r="AH125" s="274"/>
      <c r="AI125" s="450"/>
      <c r="AJ125" s="272"/>
      <c r="AK125" s="272"/>
      <c r="AO125" s="272" t="s">
        <v>340</v>
      </c>
    </row>
    <row r="126" spans="1:43" hidden="1" x14ac:dyDescent="0.25">
      <c r="A126" s="272" t="str">
        <f t="shared" si="9"/>
        <v>РостовскаяRADM MoscowRAL MOS SPT RKA</v>
      </c>
      <c r="B126" s="272" t="s">
        <v>156</v>
      </c>
      <c r="C126" s="249" t="s">
        <v>317</v>
      </c>
      <c r="D126" s="249" t="s">
        <v>337</v>
      </c>
      <c r="E126" s="272" t="s">
        <v>338</v>
      </c>
      <c r="F126" s="252" t="s">
        <v>339</v>
      </c>
      <c r="J126" s="219">
        <f t="shared" si="10"/>
        <v>2963465.6995332208</v>
      </c>
      <c r="K126" s="219">
        <f t="shared" si="11"/>
        <v>0</v>
      </c>
      <c r="L126" s="219">
        <f t="shared" si="12"/>
        <v>0</v>
      </c>
      <c r="M126" s="232">
        <f t="shared" si="13"/>
        <v>0</v>
      </c>
      <c r="N126" s="219">
        <f t="shared" si="14"/>
        <v>0</v>
      </c>
      <c r="O126" s="219">
        <f t="shared" si="15"/>
        <v>0</v>
      </c>
      <c r="P126" s="219">
        <f t="shared" si="16"/>
        <v>0</v>
      </c>
      <c r="Q126" s="219">
        <f t="shared" si="17"/>
        <v>0</v>
      </c>
      <c r="R126" s="131"/>
      <c r="T126" s="272">
        <v>2963465.6995332208</v>
      </c>
      <c r="U126" s="272"/>
      <c r="V126" s="272"/>
      <c r="W126" s="272"/>
      <c r="X126" s="272"/>
      <c r="Y126" s="272"/>
      <c r="Z126" s="272"/>
      <c r="AA126" s="272"/>
      <c r="AB126" s="272"/>
      <c r="AC126" s="272"/>
      <c r="AD126" s="272"/>
      <c r="AE126" s="272"/>
      <c r="AF126" s="272"/>
      <c r="AG126" s="272"/>
      <c r="AH126" s="274"/>
      <c r="AI126" s="450"/>
      <c r="AJ126" s="272"/>
      <c r="AK126" s="272"/>
      <c r="AO126" s="272" t="s">
        <v>340</v>
      </c>
    </row>
    <row r="127" spans="1:43" hidden="1" x14ac:dyDescent="0.25">
      <c r="A127" s="272" t="str">
        <f t="shared" si="9"/>
        <v>РязанскаяRADM MoscowRAL MOS SPT RKA</v>
      </c>
      <c r="B127" s="272" t="s">
        <v>18</v>
      </c>
      <c r="C127" s="249" t="s">
        <v>317</v>
      </c>
      <c r="D127" s="249" t="s">
        <v>337</v>
      </c>
      <c r="E127" s="272" t="s">
        <v>338</v>
      </c>
      <c r="F127" s="252" t="s">
        <v>339</v>
      </c>
      <c r="I127" s="272" t="s">
        <v>343</v>
      </c>
      <c r="J127" s="219">
        <f t="shared" si="10"/>
        <v>2963465.6995332208</v>
      </c>
      <c r="K127" s="219">
        <f t="shared" si="11"/>
        <v>0</v>
      </c>
      <c r="L127" s="219">
        <f t="shared" si="12"/>
        <v>0</v>
      </c>
      <c r="M127" s="232">
        <f t="shared" si="13"/>
        <v>0</v>
      </c>
      <c r="N127" s="219">
        <f t="shared" si="14"/>
        <v>0</v>
      </c>
      <c r="O127" s="219">
        <f t="shared" si="15"/>
        <v>0</v>
      </c>
      <c r="P127" s="219">
        <f t="shared" si="16"/>
        <v>0</v>
      </c>
      <c r="Q127" s="219">
        <f t="shared" si="17"/>
        <v>0</v>
      </c>
      <c r="R127" s="131"/>
      <c r="T127" s="272">
        <v>2963465.6995332208</v>
      </c>
      <c r="U127" s="272"/>
      <c r="V127" s="272"/>
      <c r="W127" s="272"/>
      <c r="X127" s="272"/>
      <c r="Y127" s="272"/>
      <c r="Z127" s="272"/>
      <c r="AA127" s="272"/>
      <c r="AB127" s="272"/>
      <c r="AC127" s="272"/>
      <c r="AD127" s="272"/>
      <c r="AE127" s="272"/>
      <c r="AF127" s="272"/>
      <c r="AG127" s="272"/>
      <c r="AH127" s="274"/>
      <c r="AI127" s="450"/>
      <c r="AJ127" s="272"/>
      <c r="AK127" s="272"/>
      <c r="AO127" s="272" t="s">
        <v>340</v>
      </c>
      <c r="AQ127" s="286">
        <v>2730000</v>
      </c>
    </row>
    <row r="128" spans="1:43" hidden="1" x14ac:dyDescent="0.25">
      <c r="A128" s="272" t="str">
        <f t="shared" si="9"/>
        <v>СамарскаяRADM MoscowRAL MOS SPT RKA</v>
      </c>
      <c r="B128" s="272" t="s">
        <v>105</v>
      </c>
      <c r="C128" s="249" t="s">
        <v>317</v>
      </c>
      <c r="D128" s="249" t="s">
        <v>337</v>
      </c>
      <c r="E128" s="272" t="s">
        <v>338</v>
      </c>
      <c r="F128" s="252" t="s">
        <v>339</v>
      </c>
      <c r="J128" s="219">
        <f t="shared" si="10"/>
        <v>3704332.1244165259</v>
      </c>
      <c r="K128" s="219">
        <f t="shared" si="11"/>
        <v>0</v>
      </c>
      <c r="L128" s="219">
        <f t="shared" si="12"/>
        <v>0</v>
      </c>
      <c r="M128" s="232">
        <f t="shared" si="13"/>
        <v>0</v>
      </c>
      <c r="N128" s="219">
        <f t="shared" si="14"/>
        <v>0</v>
      </c>
      <c r="O128" s="219">
        <f t="shared" si="15"/>
        <v>0</v>
      </c>
      <c r="P128" s="219">
        <f t="shared" si="16"/>
        <v>0</v>
      </c>
      <c r="Q128" s="219">
        <f t="shared" si="17"/>
        <v>0</v>
      </c>
      <c r="R128" s="131"/>
      <c r="T128" s="272">
        <v>3704332.1244165259</v>
      </c>
      <c r="U128" s="272"/>
      <c r="V128" s="272"/>
      <c r="W128" s="272"/>
      <c r="X128" s="272"/>
      <c r="Y128" s="272"/>
      <c r="Z128" s="272"/>
      <c r="AA128" s="272"/>
      <c r="AB128" s="272"/>
      <c r="AC128" s="272"/>
      <c r="AD128" s="272"/>
      <c r="AE128" s="272"/>
      <c r="AF128" s="272"/>
      <c r="AG128" s="272"/>
      <c r="AH128" s="274"/>
      <c r="AI128" s="450"/>
      <c r="AJ128" s="272"/>
      <c r="AK128" s="272"/>
      <c r="AO128" s="272" t="s">
        <v>340</v>
      </c>
    </row>
    <row r="129" spans="1:43" hidden="1" x14ac:dyDescent="0.25">
      <c r="A129" s="272" t="str">
        <f t="shared" si="9"/>
        <v>Санкт-ПетербургRADM MoscowRAL MOS SPT RKA</v>
      </c>
      <c r="B129" s="272" t="s">
        <v>346</v>
      </c>
      <c r="C129" s="249" t="s">
        <v>317</v>
      </c>
      <c r="D129" s="249" t="s">
        <v>337</v>
      </c>
      <c r="E129" s="272" t="s">
        <v>338</v>
      </c>
      <c r="F129" s="252" t="s">
        <v>339</v>
      </c>
      <c r="I129" s="272" t="s">
        <v>342</v>
      </c>
      <c r="J129" s="219">
        <f t="shared" si="10"/>
        <v>34820721.969515346</v>
      </c>
      <c r="K129" s="219">
        <f t="shared" si="11"/>
        <v>0</v>
      </c>
      <c r="L129" s="219">
        <f t="shared" si="12"/>
        <v>0</v>
      </c>
      <c r="M129" s="232">
        <f t="shared" si="13"/>
        <v>0</v>
      </c>
      <c r="N129" s="219">
        <f t="shared" si="14"/>
        <v>0</v>
      </c>
      <c r="O129" s="219">
        <f t="shared" si="15"/>
        <v>0</v>
      </c>
      <c r="P129" s="219">
        <f t="shared" si="16"/>
        <v>0</v>
      </c>
      <c r="Q129" s="219">
        <f t="shared" si="17"/>
        <v>0</v>
      </c>
      <c r="R129" s="131"/>
      <c r="T129" s="272">
        <v>34820721.969515346</v>
      </c>
      <c r="U129" s="272"/>
      <c r="V129" s="272"/>
      <c r="W129" s="272"/>
      <c r="X129" s="272"/>
      <c r="Y129" s="272"/>
      <c r="Z129" s="272"/>
      <c r="AA129" s="272"/>
      <c r="AB129" s="272"/>
      <c r="AC129" s="272"/>
      <c r="AD129" s="272"/>
      <c r="AE129" s="272"/>
      <c r="AF129" s="272"/>
      <c r="AG129" s="272"/>
      <c r="AH129" s="274"/>
      <c r="AI129" s="450"/>
      <c r="AJ129" s="272"/>
      <c r="AK129" s="272"/>
      <c r="AO129" s="272" t="s">
        <v>340</v>
      </c>
    </row>
    <row r="130" spans="1:43" hidden="1" x14ac:dyDescent="0.25">
      <c r="A130" s="272" t="str">
        <f t="shared" si="9"/>
        <v>СаратовскаяRADM MoscowRAL MOS SPT RKA</v>
      </c>
      <c r="B130" s="272" t="s">
        <v>154</v>
      </c>
      <c r="C130" s="249" t="s">
        <v>317</v>
      </c>
      <c r="D130" s="249" t="s">
        <v>337</v>
      </c>
      <c r="E130" s="272" t="s">
        <v>338</v>
      </c>
      <c r="F130" s="252" t="s">
        <v>339</v>
      </c>
      <c r="J130" s="219">
        <f t="shared" si="10"/>
        <v>2222599.2746499158</v>
      </c>
      <c r="K130" s="219">
        <f t="shared" si="11"/>
        <v>0</v>
      </c>
      <c r="L130" s="219">
        <f t="shared" si="12"/>
        <v>0</v>
      </c>
      <c r="M130" s="232">
        <f t="shared" si="13"/>
        <v>0</v>
      </c>
      <c r="N130" s="219">
        <f t="shared" si="14"/>
        <v>0</v>
      </c>
      <c r="O130" s="219">
        <f t="shared" si="15"/>
        <v>0</v>
      </c>
      <c r="P130" s="219">
        <f t="shared" si="16"/>
        <v>0</v>
      </c>
      <c r="Q130" s="219">
        <f t="shared" si="17"/>
        <v>0</v>
      </c>
      <c r="R130" s="131"/>
      <c r="T130" s="272">
        <v>2222599.2746499158</v>
      </c>
      <c r="U130" s="272"/>
      <c r="V130" s="272"/>
      <c r="W130" s="272"/>
      <c r="X130" s="272"/>
      <c r="Y130" s="272"/>
      <c r="Z130" s="272"/>
      <c r="AA130" s="272"/>
      <c r="AB130" s="272"/>
      <c r="AC130" s="272"/>
      <c r="AD130" s="272"/>
      <c r="AE130" s="272"/>
      <c r="AF130" s="272"/>
      <c r="AG130" s="272"/>
      <c r="AH130" s="274"/>
      <c r="AI130" s="450"/>
      <c r="AJ130" s="272"/>
      <c r="AK130" s="272"/>
      <c r="AO130" s="272" t="s">
        <v>340</v>
      </c>
    </row>
    <row r="131" spans="1:43" hidden="1" x14ac:dyDescent="0.25">
      <c r="A131" s="272" t="str">
        <f t="shared" si="9"/>
        <v>СвердловскаяRADM MoscowRAL MOS SPT RKA</v>
      </c>
      <c r="B131" s="272" t="s">
        <v>118</v>
      </c>
      <c r="C131" s="249" t="s">
        <v>317</v>
      </c>
      <c r="D131" s="249" t="s">
        <v>337</v>
      </c>
      <c r="E131" s="272" t="s">
        <v>338</v>
      </c>
      <c r="F131" s="252" t="s">
        <v>339</v>
      </c>
      <c r="I131" s="272" t="s">
        <v>343</v>
      </c>
      <c r="J131" s="219">
        <f t="shared" si="10"/>
        <v>6667797.8239497459</v>
      </c>
      <c r="K131" s="219">
        <f t="shared" si="11"/>
        <v>0</v>
      </c>
      <c r="L131" s="219">
        <f t="shared" si="12"/>
        <v>0</v>
      </c>
      <c r="M131" s="232">
        <f t="shared" si="13"/>
        <v>0</v>
      </c>
      <c r="N131" s="219">
        <f t="shared" si="14"/>
        <v>0</v>
      </c>
      <c r="O131" s="219">
        <f t="shared" si="15"/>
        <v>0</v>
      </c>
      <c r="P131" s="219">
        <f t="shared" si="16"/>
        <v>0</v>
      </c>
      <c r="Q131" s="219">
        <f t="shared" si="17"/>
        <v>0</v>
      </c>
      <c r="R131" s="131"/>
      <c r="T131" s="272">
        <v>6667797.8239497459</v>
      </c>
      <c r="U131" s="272"/>
      <c r="V131" s="272"/>
      <c r="W131" s="272"/>
      <c r="X131" s="272"/>
      <c r="Y131" s="272"/>
      <c r="Z131" s="272"/>
      <c r="AA131" s="272"/>
      <c r="AB131" s="272"/>
      <c r="AC131" s="272"/>
      <c r="AD131" s="272"/>
      <c r="AE131" s="272"/>
      <c r="AF131" s="272"/>
      <c r="AG131" s="272"/>
      <c r="AH131" s="274"/>
      <c r="AI131" s="450"/>
      <c r="AJ131" s="272"/>
      <c r="AK131" s="272"/>
      <c r="AO131" s="272" t="s">
        <v>340</v>
      </c>
    </row>
    <row r="132" spans="1:43" hidden="1" x14ac:dyDescent="0.25">
      <c r="A132" s="272" t="str">
        <f t="shared" ref="A132:A195" si="18">B132&amp;D132&amp;E132</f>
        <v>ТамбовскаяRADM MoscowRAL MOS SPT RKA</v>
      </c>
      <c r="B132" s="272" t="s">
        <v>151</v>
      </c>
      <c r="C132" s="249" t="s">
        <v>317</v>
      </c>
      <c r="D132" s="249" t="s">
        <v>337</v>
      </c>
      <c r="E132" s="272" t="s">
        <v>338</v>
      </c>
      <c r="F132" s="252" t="s">
        <v>339</v>
      </c>
      <c r="J132" s="219">
        <f t="shared" si="10"/>
        <v>740866.42488330521</v>
      </c>
      <c r="K132" s="219">
        <f t="shared" si="11"/>
        <v>0</v>
      </c>
      <c r="L132" s="219">
        <f t="shared" si="12"/>
        <v>0</v>
      </c>
      <c r="M132" s="232">
        <f t="shared" si="13"/>
        <v>0</v>
      </c>
      <c r="N132" s="219">
        <f t="shared" si="14"/>
        <v>0</v>
      </c>
      <c r="O132" s="219">
        <f t="shared" si="15"/>
        <v>0</v>
      </c>
      <c r="P132" s="219">
        <f t="shared" si="16"/>
        <v>0</v>
      </c>
      <c r="Q132" s="219">
        <f t="shared" si="17"/>
        <v>0</v>
      </c>
      <c r="R132" s="131"/>
      <c r="T132" s="272">
        <v>740866.42488330521</v>
      </c>
      <c r="U132" s="272"/>
      <c r="V132" s="272"/>
      <c r="W132" s="272"/>
      <c r="X132" s="272"/>
      <c r="Y132" s="272"/>
      <c r="Z132" s="272"/>
      <c r="AA132" s="272"/>
      <c r="AB132" s="272"/>
      <c r="AC132" s="272"/>
      <c r="AD132" s="272"/>
      <c r="AE132" s="272"/>
      <c r="AF132" s="272"/>
      <c r="AG132" s="272"/>
      <c r="AH132" s="274"/>
      <c r="AI132" s="450"/>
      <c r="AJ132" s="272"/>
      <c r="AK132" s="272"/>
      <c r="AO132" s="272" t="s">
        <v>340</v>
      </c>
    </row>
    <row r="133" spans="1:43" hidden="1" x14ac:dyDescent="0.25">
      <c r="A133" s="272" t="str">
        <f t="shared" si="18"/>
        <v>ТатарстанRADM MoscowRAL MOS SPT RKA</v>
      </c>
      <c r="B133" s="272" t="s">
        <v>93</v>
      </c>
      <c r="C133" s="249" t="s">
        <v>317</v>
      </c>
      <c r="D133" s="249" t="s">
        <v>337</v>
      </c>
      <c r="E133" s="272" t="s">
        <v>338</v>
      </c>
      <c r="F133" s="252" t="s">
        <v>339</v>
      </c>
      <c r="I133" t="s">
        <v>343</v>
      </c>
      <c r="J133" s="219">
        <f t="shared" ref="J133:J196" si="19">SUM(S133:T133)</f>
        <v>5186064.9741831366</v>
      </c>
      <c r="K133" s="219">
        <f t="shared" ref="K133:K196" si="20">SUM(U133:W133)</f>
        <v>0</v>
      </c>
      <c r="L133" s="219">
        <f t="shared" ref="L133:L196" si="21">X133</f>
        <v>0</v>
      </c>
      <c r="M133" s="232">
        <f t="shared" ref="M133:M196" si="22">SUM(Y133:AC133)</f>
        <v>0</v>
      </c>
      <c r="N133" s="219">
        <f t="shared" ref="N133:N196" si="23">SUM(AD133:AF133)</f>
        <v>0</v>
      </c>
      <c r="O133" s="219">
        <f t="shared" ref="O133:O196" si="24">AH133</f>
        <v>0</v>
      </c>
      <c r="P133" s="219">
        <f t="shared" ref="P133:P196" si="25">AI133</f>
        <v>0</v>
      </c>
      <c r="Q133" s="219">
        <f t="shared" ref="Q133:Q196" si="26">SUM(AL133:AN133)</f>
        <v>0</v>
      </c>
      <c r="R133" s="131"/>
      <c r="T133" s="272">
        <v>5186064.9741831366</v>
      </c>
      <c r="U133" s="272"/>
      <c r="V133" s="272"/>
      <c r="W133" s="272"/>
      <c r="X133" s="272"/>
      <c r="Y133" s="272"/>
      <c r="Z133" s="272"/>
      <c r="AA133" s="272"/>
      <c r="AB133" s="272"/>
      <c r="AC133" s="272"/>
      <c r="AD133" s="272"/>
      <c r="AE133" s="272"/>
      <c r="AF133" s="272"/>
      <c r="AG133" s="272"/>
      <c r="AH133" s="274"/>
      <c r="AI133" s="450"/>
      <c r="AJ133" s="272"/>
      <c r="AK133" s="272"/>
      <c r="AO133" s="272" t="s">
        <v>340</v>
      </c>
    </row>
    <row r="134" spans="1:43" hidden="1" x14ac:dyDescent="0.25">
      <c r="A134" s="272" t="str">
        <f t="shared" si="18"/>
        <v>ТверскаяRADM MoscowRAL MOS SPT RKA</v>
      </c>
      <c r="B134" s="272" t="s">
        <v>55</v>
      </c>
      <c r="C134" s="249" t="s">
        <v>317</v>
      </c>
      <c r="D134" s="249" t="s">
        <v>337</v>
      </c>
      <c r="E134" s="272" t="s">
        <v>338</v>
      </c>
      <c r="F134" s="252" t="s">
        <v>339</v>
      </c>
      <c r="I134" s="272" t="s">
        <v>342</v>
      </c>
      <c r="J134" s="219">
        <f t="shared" si="19"/>
        <v>2222599.2746499158</v>
      </c>
      <c r="K134" s="219">
        <f t="shared" si="20"/>
        <v>0</v>
      </c>
      <c r="L134" s="219">
        <f t="shared" si="21"/>
        <v>0</v>
      </c>
      <c r="M134" s="232">
        <f t="shared" si="22"/>
        <v>0</v>
      </c>
      <c r="N134" s="219">
        <f t="shared" si="23"/>
        <v>0</v>
      </c>
      <c r="O134" s="219">
        <f t="shared" si="24"/>
        <v>0</v>
      </c>
      <c r="P134" s="219">
        <f t="shared" si="25"/>
        <v>0</v>
      </c>
      <c r="Q134" s="219">
        <f t="shared" si="26"/>
        <v>0</v>
      </c>
      <c r="R134" s="131"/>
      <c r="T134" s="272">
        <v>2222599.2746499158</v>
      </c>
      <c r="U134" s="272"/>
      <c r="V134" s="272"/>
      <c r="W134" s="272"/>
      <c r="X134" s="272"/>
      <c r="Y134" s="272"/>
      <c r="Z134" s="272"/>
      <c r="AA134" s="272"/>
      <c r="AB134" s="272"/>
      <c r="AC134" s="272"/>
      <c r="AD134" s="272"/>
      <c r="AE134" s="272"/>
      <c r="AF134" s="272"/>
      <c r="AG134" s="272"/>
      <c r="AH134" s="274"/>
      <c r="AI134" s="450"/>
      <c r="AJ134" s="272"/>
      <c r="AK134" s="272"/>
      <c r="AO134" s="272" t="s">
        <v>340</v>
      </c>
    </row>
    <row r="135" spans="1:43" hidden="1" x14ac:dyDescent="0.25">
      <c r="A135" s="272" t="str">
        <f t="shared" si="18"/>
        <v>ТульскаяRADM MoscowRAL MOS SPT RKA</v>
      </c>
      <c r="B135" s="272" t="s">
        <v>17</v>
      </c>
      <c r="C135" s="249" t="s">
        <v>317</v>
      </c>
      <c r="D135" s="249" t="s">
        <v>337</v>
      </c>
      <c r="E135" s="272" t="s">
        <v>338</v>
      </c>
      <c r="F135" s="252" t="s">
        <v>339</v>
      </c>
      <c r="I135" s="272" t="s">
        <v>343</v>
      </c>
      <c r="J135" s="219">
        <f t="shared" si="19"/>
        <v>8149530.673716356</v>
      </c>
      <c r="K135" s="219">
        <f t="shared" si="20"/>
        <v>0</v>
      </c>
      <c r="L135" s="219">
        <f t="shared" si="21"/>
        <v>0</v>
      </c>
      <c r="M135" s="232">
        <f t="shared" si="22"/>
        <v>0</v>
      </c>
      <c r="N135" s="219">
        <f t="shared" si="23"/>
        <v>0</v>
      </c>
      <c r="O135" s="219">
        <f t="shared" si="24"/>
        <v>0</v>
      </c>
      <c r="P135" s="219">
        <f t="shared" si="25"/>
        <v>0</v>
      </c>
      <c r="Q135" s="219">
        <f t="shared" si="26"/>
        <v>0</v>
      </c>
      <c r="R135" s="131"/>
      <c r="T135" s="272">
        <v>8149530.673716356</v>
      </c>
      <c r="U135" s="272"/>
      <c r="V135" s="272"/>
      <c r="W135" s="272"/>
      <c r="X135" s="272"/>
      <c r="Y135" s="272"/>
      <c r="Z135" s="272"/>
      <c r="AA135" s="272"/>
      <c r="AB135" s="272"/>
      <c r="AC135" s="272"/>
      <c r="AD135" s="272"/>
      <c r="AE135" s="272"/>
      <c r="AF135" s="272"/>
      <c r="AG135" s="272"/>
      <c r="AH135" s="274"/>
      <c r="AI135" s="450"/>
      <c r="AJ135" s="272"/>
      <c r="AK135" s="272"/>
      <c r="AO135" s="272" t="s">
        <v>340</v>
      </c>
      <c r="AQ135" s="286">
        <v>6370000</v>
      </c>
    </row>
    <row r="136" spans="1:43" hidden="1" x14ac:dyDescent="0.25">
      <c r="A136" s="272" t="str">
        <f t="shared" si="18"/>
        <v>ТюменскаяRADM MoscowRAL MOS SPT RKA</v>
      </c>
      <c r="B136" s="272" t="s">
        <v>120</v>
      </c>
      <c r="C136" s="249" t="s">
        <v>317</v>
      </c>
      <c r="D136" s="249" t="s">
        <v>337</v>
      </c>
      <c r="E136" s="272" t="s">
        <v>338</v>
      </c>
      <c r="F136" s="252" t="s">
        <v>339</v>
      </c>
      <c r="I136" s="272" t="s">
        <v>343</v>
      </c>
      <c r="J136" s="219">
        <f t="shared" si="19"/>
        <v>3704332.1244165259</v>
      </c>
      <c r="K136" s="219">
        <f t="shared" si="20"/>
        <v>0</v>
      </c>
      <c r="L136" s="219">
        <f t="shared" si="21"/>
        <v>0</v>
      </c>
      <c r="M136" s="232">
        <f t="shared" si="22"/>
        <v>0</v>
      </c>
      <c r="N136" s="219">
        <f t="shared" si="23"/>
        <v>0</v>
      </c>
      <c r="O136" s="219">
        <f t="shared" si="24"/>
        <v>0</v>
      </c>
      <c r="P136" s="219">
        <f t="shared" si="25"/>
        <v>0</v>
      </c>
      <c r="Q136" s="219">
        <f t="shared" si="26"/>
        <v>0</v>
      </c>
      <c r="R136" s="131"/>
      <c r="T136" s="272">
        <v>3704332.1244165259</v>
      </c>
      <c r="U136" s="272"/>
      <c r="V136" s="272"/>
      <c r="W136" s="272"/>
      <c r="X136" s="272"/>
      <c r="Y136" s="272"/>
      <c r="Z136" s="272"/>
      <c r="AA136" s="272"/>
      <c r="AB136" s="272"/>
      <c r="AC136" s="272"/>
      <c r="AD136" s="272"/>
      <c r="AE136" s="272"/>
      <c r="AF136" s="272"/>
      <c r="AG136" s="272"/>
      <c r="AH136" s="274"/>
      <c r="AI136" s="450"/>
      <c r="AJ136" s="272"/>
      <c r="AK136" s="272"/>
      <c r="AO136" s="272" t="s">
        <v>340</v>
      </c>
    </row>
    <row r="137" spans="1:43" hidden="1" x14ac:dyDescent="0.25">
      <c r="A137" s="272" t="str">
        <f t="shared" si="18"/>
        <v>УльяновскаяRADM MoscowRAL MOS SPT RKA</v>
      </c>
      <c r="B137" s="272" t="s">
        <v>107</v>
      </c>
      <c r="C137" s="249" t="s">
        <v>317</v>
      </c>
      <c r="D137" s="249" t="s">
        <v>337</v>
      </c>
      <c r="E137" s="272" t="s">
        <v>338</v>
      </c>
      <c r="F137" s="252" t="s">
        <v>339</v>
      </c>
      <c r="J137" s="219">
        <f t="shared" si="19"/>
        <v>740866.42488330521</v>
      </c>
      <c r="K137" s="219">
        <f t="shared" si="20"/>
        <v>0</v>
      </c>
      <c r="L137" s="219">
        <f t="shared" si="21"/>
        <v>0</v>
      </c>
      <c r="M137" s="232">
        <f t="shared" si="22"/>
        <v>0</v>
      </c>
      <c r="N137" s="219">
        <f t="shared" si="23"/>
        <v>0</v>
      </c>
      <c r="O137" s="219">
        <f t="shared" si="24"/>
        <v>0</v>
      </c>
      <c r="P137" s="219">
        <f t="shared" si="25"/>
        <v>0</v>
      </c>
      <c r="Q137" s="219">
        <f t="shared" si="26"/>
        <v>0</v>
      </c>
      <c r="R137" s="131"/>
      <c r="T137" s="272">
        <v>740866.42488330521</v>
      </c>
      <c r="U137" s="272"/>
      <c r="V137" s="272"/>
      <c r="W137" s="272"/>
      <c r="X137" s="272"/>
      <c r="Y137" s="272"/>
      <c r="Z137" s="272"/>
      <c r="AA137" s="272"/>
      <c r="AB137" s="272"/>
      <c r="AC137" s="272"/>
      <c r="AD137" s="272"/>
      <c r="AE137" s="272"/>
      <c r="AF137" s="272"/>
      <c r="AG137" s="272"/>
      <c r="AH137" s="274"/>
      <c r="AI137" s="450"/>
      <c r="AJ137" s="272"/>
      <c r="AK137" s="272"/>
      <c r="AO137" s="272" t="s">
        <v>340</v>
      </c>
    </row>
    <row r="138" spans="1:43" hidden="1" x14ac:dyDescent="0.25">
      <c r="A138" s="272" t="str">
        <f t="shared" si="18"/>
        <v>Ханты-Мансийский Автономный округ - ЮграRADM MoscowRAL MOS SPT RKA</v>
      </c>
      <c r="B138" s="272" t="s">
        <v>347</v>
      </c>
      <c r="C138" s="249" t="s">
        <v>317</v>
      </c>
      <c r="D138" s="249" t="s">
        <v>337</v>
      </c>
      <c r="E138" s="272" t="s">
        <v>338</v>
      </c>
      <c r="F138" s="252" t="s">
        <v>339</v>
      </c>
      <c r="J138" s="219">
        <f t="shared" si="19"/>
        <v>3704332.1244165259</v>
      </c>
      <c r="K138" s="219">
        <f t="shared" si="20"/>
        <v>0</v>
      </c>
      <c r="L138" s="219">
        <f t="shared" si="21"/>
        <v>0</v>
      </c>
      <c r="M138" s="232">
        <f t="shared" si="22"/>
        <v>0</v>
      </c>
      <c r="N138" s="219">
        <f t="shared" si="23"/>
        <v>0</v>
      </c>
      <c r="O138" s="219">
        <f t="shared" si="24"/>
        <v>0</v>
      </c>
      <c r="P138" s="219">
        <f t="shared" si="25"/>
        <v>0</v>
      </c>
      <c r="Q138" s="219">
        <f t="shared" si="26"/>
        <v>0</v>
      </c>
      <c r="R138" s="131"/>
      <c r="T138" s="272">
        <v>3704332.1244165259</v>
      </c>
      <c r="U138" s="272"/>
      <c r="V138" s="272"/>
      <c r="W138" s="272"/>
      <c r="X138" s="272"/>
      <c r="Y138" s="272"/>
      <c r="Z138" s="272"/>
      <c r="AA138" s="272"/>
      <c r="AB138" s="272"/>
      <c r="AC138" s="272"/>
      <c r="AD138" s="272"/>
      <c r="AE138" s="272"/>
      <c r="AF138" s="272"/>
      <c r="AG138" s="272"/>
      <c r="AH138" s="274"/>
      <c r="AI138" s="450"/>
      <c r="AJ138" s="272"/>
      <c r="AK138" s="272"/>
      <c r="AO138" s="272" t="s">
        <v>340</v>
      </c>
    </row>
    <row r="139" spans="1:43" hidden="1" x14ac:dyDescent="0.25">
      <c r="A139" s="272" t="str">
        <f t="shared" si="18"/>
        <v>ЧелябинскаяRADM MoscowRAL MOS SPT RKA</v>
      </c>
      <c r="B139" s="272" t="s">
        <v>103</v>
      </c>
      <c r="C139" s="249" t="s">
        <v>317</v>
      </c>
      <c r="D139" s="249" t="s">
        <v>337</v>
      </c>
      <c r="E139" s="272" t="s">
        <v>338</v>
      </c>
      <c r="F139" s="252" t="s">
        <v>339</v>
      </c>
      <c r="J139" s="219">
        <f t="shared" si="19"/>
        <v>2963465.6995332208</v>
      </c>
      <c r="K139" s="219">
        <f t="shared" si="20"/>
        <v>0</v>
      </c>
      <c r="L139" s="219">
        <f t="shared" si="21"/>
        <v>0</v>
      </c>
      <c r="M139" s="232">
        <f t="shared" si="22"/>
        <v>0</v>
      </c>
      <c r="N139" s="219">
        <f t="shared" si="23"/>
        <v>0</v>
      </c>
      <c r="O139" s="219">
        <f t="shared" si="24"/>
        <v>0</v>
      </c>
      <c r="P139" s="219">
        <f t="shared" si="25"/>
        <v>0</v>
      </c>
      <c r="Q139" s="219">
        <f t="shared" si="26"/>
        <v>0</v>
      </c>
      <c r="R139" s="131"/>
      <c r="T139" s="272">
        <v>2963465.6995332208</v>
      </c>
      <c r="U139" s="272"/>
      <c r="V139" s="272"/>
      <c r="W139" s="272"/>
      <c r="X139" s="272"/>
      <c r="Y139" s="272"/>
      <c r="Z139" s="272"/>
      <c r="AA139" s="272"/>
      <c r="AB139" s="272"/>
      <c r="AC139" s="272"/>
      <c r="AD139" s="272"/>
      <c r="AE139" s="272"/>
      <c r="AF139" s="272"/>
      <c r="AG139" s="272"/>
      <c r="AH139" s="274"/>
      <c r="AI139" s="450"/>
      <c r="AJ139" s="272"/>
      <c r="AK139" s="272"/>
      <c r="AO139" s="272" t="s">
        <v>340</v>
      </c>
    </row>
    <row r="140" spans="1:43" hidden="1" x14ac:dyDescent="0.25">
      <c r="A140" s="272" t="str">
        <f t="shared" si="18"/>
        <v>ЯрославскаяRADM MoscowRAL MOS SPT RKA</v>
      </c>
      <c r="B140" s="272" t="s">
        <v>51</v>
      </c>
      <c r="C140" s="249" t="s">
        <v>317</v>
      </c>
      <c r="D140" s="249" t="s">
        <v>337</v>
      </c>
      <c r="E140" s="272" t="s">
        <v>338</v>
      </c>
      <c r="F140" s="252" t="s">
        <v>339</v>
      </c>
      <c r="I140" s="272" t="s">
        <v>342</v>
      </c>
      <c r="J140" s="219">
        <f t="shared" si="19"/>
        <v>5186064.9741831366</v>
      </c>
      <c r="K140" s="219">
        <f t="shared" si="20"/>
        <v>0</v>
      </c>
      <c r="L140" s="219">
        <f t="shared" si="21"/>
        <v>0</v>
      </c>
      <c r="M140" s="232">
        <f t="shared" si="22"/>
        <v>0</v>
      </c>
      <c r="N140" s="219">
        <f t="shared" si="23"/>
        <v>0</v>
      </c>
      <c r="O140" s="219">
        <f t="shared" si="24"/>
        <v>0</v>
      </c>
      <c r="P140" s="219">
        <f t="shared" si="25"/>
        <v>0</v>
      </c>
      <c r="Q140" s="219">
        <f t="shared" si="26"/>
        <v>0</v>
      </c>
      <c r="R140" s="131"/>
      <c r="T140" s="272">
        <v>5186064.9741831366</v>
      </c>
      <c r="U140" s="272"/>
      <c r="V140" s="272"/>
      <c r="W140" s="272"/>
      <c r="X140" s="272"/>
      <c r="Y140" s="272"/>
      <c r="Z140" s="272"/>
      <c r="AA140" s="272"/>
      <c r="AB140" s="272"/>
      <c r="AC140" s="272"/>
      <c r="AD140" s="272"/>
      <c r="AE140" s="272"/>
      <c r="AF140" s="272"/>
      <c r="AG140" s="272"/>
      <c r="AH140" s="274"/>
      <c r="AI140" s="450"/>
      <c r="AJ140" s="272"/>
      <c r="AK140" s="272"/>
      <c r="AO140" s="272" t="s">
        <v>340</v>
      </c>
    </row>
    <row r="141" spans="1:43" hidden="1" x14ac:dyDescent="0.25">
      <c r="A141" s="272" t="str">
        <f t="shared" si="18"/>
        <v>НижегородскаяRADM MoscowRAL MOS N.Novgorod</v>
      </c>
      <c r="B141" s="284" t="s">
        <v>21</v>
      </c>
      <c r="C141" s="249" t="s">
        <v>317</v>
      </c>
      <c r="D141" s="249" t="s">
        <v>337</v>
      </c>
      <c r="E141" s="272" t="s">
        <v>348</v>
      </c>
      <c r="F141" s="284" t="s">
        <v>320</v>
      </c>
      <c r="H141" s="272">
        <v>2</v>
      </c>
      <c r="J141" s="219">
        <f t="shared" si="19"/>
        <v>4133704.7500000019</v>
      </c>
      <c r="K141" s="219">
        <f t="shared" si="20"/>
        <v>0</v>
      </c>
      <c r="L141" s="219">
        <f t="shared" si="21"/>
        <v>0</v>
      </c>
      <c r="M141" s="232">
        <f t="shared" si="22"/>
        <v>0</v>
      </c>
      <c r="N141" s="219">
        <f t="shared" si="23"/>
        <v>0</v>
      </c>
      <c r="O141" s="219">
        <f t="shared" si="24"/>
        <v>0</v>
      </c>
      <c r="P141" s="219">
        <f t="shared" si="25"/>
        <v>0</v>
      </c>
      <c r="Q141" s="219">
        <f t="shared" si="26"/>
        <v>0</v>
      </c>
      <c r="R141" s="131"/>
      <c r="S141" s="274">
        <v>4133704.7500000019</v>
      </c>
      <c r="T141" s="272"/>
      <c r="U141" s="272"/>
      <c r="V141" s="272"/>
      <c r="W141" s="272"/>
      <c r="X141" s="272"/>
      <c r="Y141" s="272"/>
      <c r="Z141" s="272"/>
      <c r="AA141" s="272"/>
      <c r="AB141" s="272"/>
      <c r="AC141" s="272"/>
      <c r="AD141" s="272"/>
      <c r="AE141" s="272"/>
      <c r="AF141" s="272"/>
      <c r="AG141" s="272"/>
      <c r="AH141" s="274"/>
      <c r="AI141" s="272"/>
      <c r="AJ141" s="272"/>
      <c r="AK141" s="272"/>
      <c r="AO141" s="286" t="s">
        <v>349</v>
      </c>
    </row>
    <row r="142" spans="1:43" hidden="1" x14ac:dyDescent="0.25">
      <c r="A142" s="272" t="str">
        <f t="shared" si="18"/>
        <v>ВладимирскаяRADM MoscowRAL MOS N.Novgorod</v>
      </c>
      <c r="B142" s="284" t="s">
        <v>22</v>
      </c>
      <c r="C142" s="249" t="s">
        <v>317</v>
      </c>
      <c r="D142" s="249" t="s">
        <v>337</v>
      </c>
      <c r="E142" s="272" t="s">
        <v>348</v>
      </c>
      <c r="F142" s="284" t="s">
        <v>320</v>
      </c>
      <c r="J142" s="219">
        <f t="shared" si="19"/>
        <v>106329968.9599999</v>
      </c>
      <c r="K142" s="219">
        <f t="shared" si="20"/>
        <v>0</v>
      </c>
      <c r="L142" s="219">
        <f t="shared" si="21"/>
        <v>0</v>
      </c>
      <c r="M142" s="232">
        <f t="shared" si="22"/>
        <v>0</v>
      </c>
      <c r="N142" s="219">
        <f t="shared" si="23"/>
        <v>0</v>
      </c>
      <c r="O142" s="219">
        <f t="shared" si="24"/>
        <v>0</v>
      </c>
      <c r="P142" s="219">
        <f t="shared" si="25"/>
        <v>0</v>
      </c>
      <c r="Q142" s="219">
        <f t="shared" si="26"/>
        <v>0</v>
      </c>
      <c r="R142" s="131"/>
      <c r="S142" s="274">
        <v>106329968.9599999</v>
      </c>
      <c r="T142" s="272"/>
      <c r="U142" s="272"/>
      <c r="V142" s="272"/>
      <c r="W142" s="272"/>
      <c r="X142" s="272"/>
      <c r="Y142" s="272"/>
      <c r="Z142" s="272"/>
      <c r="AA142" s="272"/>
      <c r="AB142" s="272"/>
      <c r="AC142" s="272"/>
      <c r="AD142" s="272"/>
      <c r="AE142" s="272"/>
      <c r="AF142" s="272"/>
      <c r="AG142" s="272"/>
      <c r="AH142" s="274"/>
      <c r="AI142" s="272"/>
      <c r="AJ142" s="272"/>
      <c r="AK142" s="272"/>
      <c r="AO142" s="286" t="s">
        <v>349</v>
      </c>
    </row>
    <row r="143" spans="1:43" hidden="1" x14ac:dyDescent="0.25">
      <c r="A143" s="272" t="str">
        <f t="shared" si="18"/>
        <v>ИвановскаяRADM MoscowRAL MOS N.Novgorod</v>
      </c>
      <c r="B143" s="284" t="s">
        <v>56</v>
      </c>
      <c r="C143" s="249" t="s">
        <v>317</v>
      </c>
      <c r="D143" s="249" t="s">
        <v>337</v>
      </c>
      <c r="E143" s="272" t="s">
        <v>348</v>
      </c>
      <c r="F143" s="284" t="s">
        <v>320</v>
      </c>
      <c r="J143" s="219">
        <f t="shared" si="19"/>
        <v>33638771.900000058</v>
      </c>
      <c r="K143" s="219">
        <f t="shared" si="20"/>
        <v>0</v>
      </c>
      <c r="L143" s="219">
        <f t="shared" si="21"/>
        <v>0</v>
      </c>
      <c r="M143" s="232">
        <f t="shared" si="22"/>
        <v>0</v>
      </c>
      <c r="N143" s="219">
        <f t="shared" si="23"/>
        <v>0</v>
      </c>
      <c r="O143" s="219">
        <f t="shared" si="24"/>
        <v>0</v>
      </c>
      <c r="P143" s="219">
        <f t="shared" si="25"/>
        <v>0</v>
      </c>
      <c r="Q143" s="219">
        <f t="shared" si="26"/>
        <v>0</v>
      </c>
      <c r="R143" s="131"/>
      <c r="S143" s="274">
        <v>33638771.900000058</v>
      </c>
      <c r="T143" s="272"/>
      <c r="U143" s="272"/>
      <c r="V143" s="272"/>
      <c r="W143" s="272"/>
      <c r="X143" s="272"/>
      <c r="Y143" s="272"/>
      <c r="Z143" s="272"/>
      <c r="AA143" s="272"/>
      <c r="AB143" s="272"/>
      <c r="AC143" s="272"/>
      <c r="AD143" s="272"/>
      <c r="AE143" s="272"/>
      <c r="AF143" s="272"/>
      <c r="AG143" s="272"/>
      <c r="AH143" s="274"/>
      <c r="AI143" s="272"/>
      <c r="AJ143" s="272"/>
      <c r="AK143" s="272"/>
      <c r="AO143" s="286" t="s">
        <v>349</v>
      </c>
    </row>
    <row r="144" spans="1:43" hidden="1" x14ac:dyDescent="0.25">
      <c r="A144" s="272" t="str">
        <f t="shared" si="18"/>
        <v>КировскаяRADM MoscowRAL MOS N.Novgorod</v>
      </c>
      <c r="B144" s="284" t="s">
        <v>25</v>
      </c>
      <c r="C144" s="249" t="s">
        <v>317</v>
      </c>
      <c r="D144" s="249" t="s">
        <v>337</v>
      </c>
      <c r="E144" s="272" t="s">
        <v>348</v>
      </c>
      <c r="F144" s="284" t="s">
        <v>320</v>
      </c>
      <c r="J144" s="219">
        <f t="shared" si="19"/>
        <v>17735235.059999984</v>
      </c>
      <c r="K144" s="219">
        <f t="shared" si="20"/>
        <v>0</v>
      </c>
      <c r="L144" s="219">
        <f t="shared" si="21"/>
        <v>0</v>
      </c>
      <c r="M144" s="232">
        <f t="shared" si="22"/>
        <v>0</v>
      </c>
      <c r="N144" s="219">
        <f t="shared" si="23"/>
        <v>0</v>
      </c>
      <c r="O144" s="219">
        <f t="shared" si="24"/>
        <v>0</v>
      </c>
      <c r="P144" s="219">
        <f t="shared" si="25"/>
        <v>0</v>
      </c>
      <c r="Q144" s="219">
        <f t="shared" si="26"/>
        <v>0</v>
      </c>
      <c r="R144" s="131"/>
      <c r="S144" s="274">
        <v>17735235.059999984</v>
      </c>
      <c r="T144" s="272"/>
      <c r="U144" s="272"/>
      <c r="V144" s="272"/>
      <c r="W144" s="272"/>
      <c r="X144" s="272"/>
      <c r="Y144" s="272"/>
      <c r="Z144" s="272"/>
      <c r="AA144" s="272"/>
      <c r="AB144" s="272"/>
      <c r="AC144" s="272"/>
      <c r="AD144" s="272"/>
      <c r="AE144" s="272"/>
      <c r="AF144" s="272"/>
      <c r="AG144" s="272"/>
      <c r="AH144" s="274"/>
      <c r="AI144" s="272"/>
      <c r="AJ144" s="272"/>
      <c r="AK144" s="272"/>
      <c r="AO144" s="286" t="s">
        <v>349</v>
      </c>
    </row>
    <row r="145" spans="1:41" hidden="1" x14ac:dyDescent="0.25">
      <c r="A145" s="272" t="str">
        <f t="shared" si="18"/>
        <v>КостромскаяRADM MoscowRAL MOS N.Novgorod</v>
      </c>
      <c r="B145" s="284" t="s">
        <v>54</v>
      </c>
      <c r="C145" s="249" t="s">
        <v>317</v>
      </c>
      <c r="D145" s="249" t="s">
        <v>337</v>
      </c>
      <c r="E145" s="272" t="s">
        <v>348</v>
      </c>
      <c r="F145" s="284" t="s">
        <v>320</v>
      </c>
      <c r="J145" s="219">
        <f t="shared" si="19"/>
        <v>37869.070000000007</v>
      </c>
      <c r="K145" s="219">
        <f t="shared" si="20"/>
        <v>0</v>
      </c>
      <c r="L145" s="219">
        <f t="shared" si="21"/>
        <v>0</v>
      </c>
      <c r="M145" s="232">
        <f t="shared" si="22"/>
        <v>0</v>
      </c>
      <c r="N145" s="219">
        <f t="shared" si="23"/>
        <v>0</v>
      </c>
      <c r="O145" s="219">
        <f t="shared" si="24"/>
        <v>0</v>
      </c>
      <c r="P145" s="219">
        <f t="shared" si="25"/>
        <v>0</v>
      </c>
      <c r="Q145" s="219">
        <f t="shared" si="26"/>
        <v>0</v>
      </c>
      <c r="R145" s="131"/>
      <c r="S145" s="274">
        <v>37869.070000000007</v>
      </c>
      <c r="T145" s="272"/>
      <c r="U145" s="272"/>
      <c r="V145" s="272"/>
      <c r="W145" s="272"/>
      <c r="X145" s="272"/>
      <c r="Y145" s="272"/>
      <c r="Z145" s="272"/>
      <c r="AA145" s="272"/>
      <c r="AB145" s="272"/>
      <c r="AC145" s="272"/>
      <c r="AD145" s="272"/>
      <c r="AE145" s="272"/>
      <c r="AF145" s="272"/>
      <c r="AG145" s="272"/>
      <c r="AH145" s="274"/>
      <c r="AI145" s="272"/>
      <c r="AJ145" s="272"/>
      <c r="AK145" s="272"/>
      <c r="AO145" s="286" t="s">
        <v>349</v>
      </c>
    </row>
    <row r="146" spans="1:41" hidden="1" x14ac:dyDescent="0.25">
      <c r="A146" s="272" t="str">
        <f t="shared" si="18"/>
        <v>Марий ЭлRADM MoscowRAL MOS N.Novgorod</v>
      </c>
      <c r="B146" s="284" t="s">
        <v>350</v>
      </c>
      <c r="C146" s="249" t="s">
        <v>317</v>
      </c>
      <c r="D146" s="249" t="s">
        <v>337</v>
      </c>
      <c r="E146" s="272" t="s">
        <v>348</v>
      </c>
      <c r="F146" s="284" t="s">
        <v>320</v>
      </c>
      <c r="J146" s="219">
        <f t="shared" si="19"/>
        <v>38645289.219999984</v>
      </c>
      <c r="K146" s="219">
        <f t="shared" si="20"/>
        <v>0</v>
      </c>
      <c r="L146" s="219">
        <f t="shared" si="21"/>
        <v>0</v>
      </c>
      <c r="M146" s="232">
        <f t="shared" si="22"/>
        <v>0</v>
      </c>
      <c r="N146" s="219">
        <f t="shared" si="23"/>
        <v>0</v>
      </c>
      <c r="O146" s="219">
        <f t="shared" si="24"/>
        <v>0</v>
      </c>
      <c r="P146" s="219">
        <f t="shared" si="25"/>
        <v>0</v>
      </c>
      <c r="Q146" s="219">
        <f t="shared" si="26"/>
        <v>0</v>
      </c>
      <c r="R146" s="131"/>
      <c r="S146" s="274">
        <v>38645289.219999984</v>
      </c>
      <c r="T146" s="272"/>
      <c r="U146" s="272"/>
      <c r="V146" s="272"/>
      <c r="W146" s="272"/>
      <c r="X146" s="272"/>
      <c r="Y146" s="272"/>
      <c r="Z146" s="272"/>
      <c r="AA146" s="272"/>
      <c r="AB146" s="272"/>
      <c r="AC146" s="272"/>
      <c r="AD146" s="272"/>
      <c r="AE146" s="272"/>
      <c r="AF146" s="272"/>
      <c r="AG146" s="272"/>
      <c r="AH146" s="274"/>
      <c r="AI146" s="272"/>
      <c r="AJ146" s="272"/>
      <c r="AK146" s="272"/>
      <c r="AO146" s="286" t="s">
        <v>349</v>
      </c>
    </row>
    <row r="147" spans="1:41" hidden="1" x14ac:dyDescent="0.25">
      <c r="A147" s="272" t="str">
        <f t="shared" si="18"/>
        <v>МордовияRADM MoscowRAL MOS N.Novgorod</v>
      </c>
      <c r="B147" s="284" t="s">
        <v>27</v>
      </c>
      <c r="C147" s="249" t="s">
        <v>317</v>
      </c>
      <c r="D147" s="249" t="s">
        <v>337</v>
      </c>
      <c r="E147" s="272" t="s">
        <v>348</v>
      </c>
      <c r="F147" s="284" t="s">
        <v>320</v>
      </c>
      <c r="J147" s="219">
        <f t="shared" si="19"/>
        <v>47237007.010000035</v>
      </c>
      <c r="K147" s="219">
        <f t="shared" si="20"/>
        <v>0</v>
      </c>
      <c r="L147" s="219">
        <f t="shared" si="21"/>
        <v>0</v>
      </c>
      <c r="M147" s="232">
        <f t="shared" si="22"/>
        <v>0</v>
      </c>
      <c r="N147" s="219">
        <f t="shared" si="23"/>
        <v>0</v>
      </c>
      <c r="O147" s="219">
        <f t="shared" si="24"/>
        <v>0</v>
      </c>
      <c r="P147" s="219">
        <f t="shared" si="25"/>
        <v>0</v>
      </c>
      <c r="Q147" s="219">
        <f t="shared" si="26"/>
        <v>0</v>
      </c>
      <c r="R147" s="131"/>
      <c r="S147" s="274">
        <v>47237007.010000035</v>
      </c>
      <c r="T147" s="272"/>
      <c r="U147" s="272"/>
      <c r="V147" s="272"/>
      <c r="W147" s="272"/>
      <c r="X147" s="272"/>
      <c r="Y147" s="272"/>
      <c r="Z147" s="272"/>
      <c r="AA147" s="272"/>
      <c r="AB147" s="272"/>
      <c r="AC147" s="272"/>
      <c r="AD147" s="272"/>
      <c r="AE147" s="272"/>
      <c r="AF147" s="272"/>
      <c r="AG147" s="272"/>
      <c r="AH147" s="274"/>
      <c r="AI147" s="272"/>
      <c r="AJ147" s="272"/>
      <c r="AK147" s="272"/>
      <c r="AO147" s="286" t="s">
        <v>349</v>
      </c>
    </row>
    <row r="148" spans="1:41" hidden="1" x14ac:dyDescent="0.25">
      <c r="A148" s="272" t="str">
        <f t="shared" si="18"/>
        <v>НижегородскаяRADM MoscowRAL MOS N.Novgorod</v>
      </c>
      <c r="B148" s="284" t="s">
        <v>21</v>
      </c>
      <c r="C148" s="249" t="s">
        <v>317</v>
      </c>
      <c r="D148" s="249" t="s">
        <v>337</v>
      </c>
      <c r="E148" s="272" t="s">
        <v>348</v>
      </c>
      <c r="F148" s="284" t="s">
        <v>320</v>
      </c>
      <c r="J148" s="219">
        <f t="shared" si="19"/>
        <v>536814012.13001424</v>
      </c>
      <c r="K148" s="219">
        <f t="shared" si="20"/>
        <v>0</v>
      </c>
      <c r="L148" s="219">
        <f t="shared" si="21"/>
        <v>0</v>
      </c>
      <c r="M148" s="232">
        <f t="shared" si="22"/>
        <v>0</v>
      </c>
      <c r="N148" s="219">
        <f t="shared" si="23"/>
        <v>0</v>
      </c>
      <c r="O148" s="219">
        <f t="shared" si="24"/>
        <v>0</v>
      </c>
      <c r="P148" s="219">
        <f t="shared" si="25"/>
        <v>0</v>
      </c>
      <c r="Q148" s="219">
        <f t="shared" si="26"/>
        <v>0</v>
      </c>
      <c r="R148" s="131"/>
      <c r="S148" s="274">
        <v>536814012.13001424</v>
      </c>
      <c r="T148" s="272"/>
      <c r="U148" s="272"/>
      <c r="V148" s="272"/>
      <c r="W148" s="272"/>
      <c r="X148" s="272"/>
      <c r="Y148" s="272"/>
      <c r="Z148" s="272"/>
      <c r="AA148" s="272"/>
      <c r="AB148" s="272"/>
      <c r="AC148" s="272"/>
      <c r="AD148" s="272"/>
      <c r="AE148" s="272"/>
      <c r="AF148" s="272"/>
      <c r="AG148" s="272"/>
      <c r="AH148" s="274"/>
      <c r="AI148" s="272"/>
      <c r="AJ148" s="272"/>
      <c r="AK148" s="272"/>
      <c r="AO148" s="286" t="s">
        <v>349</v>
      </c>
    </row>
    <row r="149" spans="1:41" hidden="1" x14ac:dyDescent="0.25">
      <c r="A149" s="272" t="str">
        <f t="shared" si="18"/>
        <v>ПензенскаяRADM MoscowRAL MOS N.Novgorod</v>
      </c>
      <c r="B149" s="284" t="s">
        <v>152</v>
      </c>
      <c r="C149" s="249" t="s">
        <v>317</v>
      </c>
      <c r="D149" s="249" t="s">
        <v>337</v>
      </c>
      <c r="E149" s="272" t="s">
        <v>348</v>
      </c>
      <c r="F149" s="284" t="s">
        <v>320</v>
      </c>
      <c r="J149" s="219">
        <f t="shared" si="19"/>
        <v>13739359.569999987</v>
      </c>
      <c r="K149" s="219">
        <f t="shared" si="20"/>
        <v>0</v>
      </c>
      <c r="L149" s="219">
        <f t="shared" si="21"/>
        <v>0</v>
      </c>
      <c r="M149" s="232">
        <f t="shared" si="22"/>
        <v>0</v>
      </c>
      <c r="N149" s="219">
        <f t="shared" si="23"/>
        <v>0</v>
      </c>
      <c r="O149" s="219">
        <f t="shared" si="24"/>
        <v>0</v>
      </c>
      <c r="P149" s="219">
        <f t="shared" si="25"/>
        <v>0</v>
      </c>
      <c r="Q149" s="219">
        <f t="shared" si="26"/>
        <v>0</v>
      </c>
      <c r="R149" s="131"/>
      <c r="S149" s="274">
        <v>13739359.569999987</v>
      </c>
      <c r="T149" s="272"/>
      <c r="U149" s="272"/>
      <c r="V149" s="272"/>
      <c r="W149" s="272"/>
      <c r="X149" s="272"/>
      <c r="Y149" s="272"/>
      <c r="Z149" s="272"/>
      <c r="AA149" s="272"/>
      <c r="AB149" s="272"/>
      <c r="AC149" s="272"/>
      <c r="AD149" s="272"/>
      <c r="AE149" s="272"/>
      <c r="AF149" s="272"/>
      <c r="AG149" s="272"/>
      <c r="AH149" s="274"/>
      <c r="AI149" s="272"/>
      <c r="AJ149" s="272"/>
      <c r="AK149" s="272"/>
      <c r="AO149" s="286" t="s">
        <v>349</v>
      </c>
    </row>
    <row r="150" spans="1:41" hidden="1" x14ac:dyDescent="0.25">
      <c r="A150" s="272" t="str">
        <f t="shared" si="18"/>
        <v>РязанскаяRADM MoscowRAL MOS N.Novgorod</v>
      </c>
      <c r="B150" s="284" t="s">
        <v>18</v>
      </c>
      <c r="C150" s="249" t="s">
        <v>317</v>
      </c>
      <c r="D150" s="249" t="s">
        <v>337</v>
      </c>
      <c r="E150" s="272" t="s">
        <v>348</v>
      </c>
      <c r="F150" s="284" t="s">
        <v>320</v>
      </c>
      <c r="J150" s="219">
        <f t="shared" si="19"/>
        <v>8153129.5399999972</v>
      </c>
      <c r="K150" s="219">
        <f t="shared" si="20"/>
        <v>0</v>
      </c>
      <c r="L150" s="219">
        <f t="shared" si="21"/>
        <v>0</v>
      </c>
      <c r="M150" s="232">
        <f t="shared" si="22"/>
        <v>0</v>
      </c>
      <c r="N150" s="219">
        <f t="shared" si="23"/>
        <v>0</v>
      </c>
      <c r="O150" s="219">
        <f t="shared" si="24"/>
        <v>0</v>
      </c>
      <c r="P150" s="219">
        <f t="shared" si="25"/>
        <v>0</v>
      </c>
      <c r="Q150" s="219">
        <f t="shared" si="26"/>
        <v>0</v>
      </c>
      <c r="R150" s="131"/>
      <c r="S150" s="274">
        <v>8153129.5399999972</v>
      </c>
      <c r="T150" s="272"/>
      <c r="U150" s="272"/>
      <c r="V150" s="272"/>
      <c r="W150" s="272"/>
      <c r="X150" s="272"/>
      <c r="Y150" s="272"/>
      <c r="Z150" s="272"/>
      <c r="AA150" s="272"/>
      <c r="AB150" s="272"/>
      <c r="AC150" s="272"/>
      <c r="AD150" s="272"/>
      <c r="AE150" s="272"/>
      <c r="AF150" s="272"/>
      <c r="AG150" s="272"/>
      <c r="AH150" s="274"/>
      <c r="AI150" s="272"/>
      <c r="AJ150" s="272"/>
      <c r="AK150" s="272"/>
      <c r="AO150" s="286" t="s">
        <v>349</v>
      </c>
    </row>
    <row r="151" spans="1:41" hidden="1" x14ac:dyDescent="0.25">
      <c r="A151" s="272" t="str">
        <f t="shared" si="18"/>
        <v>ТатарстанRADM MoscowRAL MOS N.Novgorod</v>
      </c>
      <c r="B151" s="284" t="s">
        <v>93</v>
      </c>
      <c r="C151" s="249" t="s">
        <v>317</v>
      </c>
      <c r="D151" s="249" t="s">
        <v>337</v>
      </c>
      <c r="E151" s="272" t="s">
        <v>348</v>
      </c>
      <c r="F151" s="284" t="s">
        <v>320</v>
      </c>
      <c r="J151" s="219">
        <f t="shared" si="19"/>
        <v>22475823.93999996</v>
      </c>
      <c r="K151" s="219">
        <f t="shared" si="20"/>
        <v>0</v>
      </c>
      <c r="L151" s="219">
        <f t="shared" si="21"/>
        <v>0</v>
      </c>
      <c r="M151" s="232">
        <f t="shared" si="22"/>
        <v>0</v>
      </c>
      <c r="N151" s="219">
        <f t="shared" si="23"/>
        <v>0</v>
      </c>
      <c r="O151" s="219">
        <f t="shared" si="24"/>
        <v>0</v>
      </c>
      <c r="P151" s="219">
        <f t="shared" si="25"/>
        <v>0</v>
      </c>
      <c r="Q151" s="219">
        <f t="shared" si="26"/>
        <v>0</v>
      </c>
      <c r="R151" s="131"/>
      <c r="S151" s="274">
        <v>22475823.93999996</v>
      </c>
      <c r="T151" s="272"/>
      <c r="U151" s="272"/>
      <c r="V151" s="272"/>
      <c r="W151" s="272"/>
      <c r="X151" s="272"/>
      <c r="Y151" s="272"/>
      <c r="Z151" s="272"/>
      <c r="AA151" s="272"/>
      <c r="AB151" s="272"/>
      <c r="AC151" s="272"/>
      <c r="AD151" s="272"/>
      <c r="AE151" s="272"/>
      <c r="AF151" s="272"/>
      <c r="AG151" s="272"/>
      <c r="AH151" s="274"/>
      <c r="AI151" s="272"/>
      <c r="AJ151" s="272"/>
      <c r="AK151" s="272"/>
      <c r="AO151" s="286" t="s">
        <v>349</v>
      </c>
    </row>
    <row r="152" spans="1:41" hidden="1" x14ac:dyDescent="0.25">
      <c r="A152" s="272" t="str">
        <f t="shared" si="18"/>
        <v>Чувашская Республика -RADM MoscowRAL MOS N.Novgorod</v>
      </c>
      <c r="B152" s="284" t="s">
        <v>336</v>
      </c>
      <c r="C152" s="249" t="s">
        <v>317</v>
      </c>
      <c r="D152" s="249" t="s">
        <v>337</v>
      </c>
      <c r="E152" s="272" t="s">
        <v>348</v>
      </c>
      <c r="F152" s="284" t="s">
        <v>320</v>
      </c>
      <c r="J152" s="219">
        <f t="shared" si="19"/>
        <v>27729672.150000017</v>
      </c>
      <c r="K152" s="219">
        <f t="shared" si="20"/>
        <v>0</v>
      </c>
      <c r="L152" s="219">
        <f t="shared" si="21"/>
        <v>0</v>
      </c>
      <c r="M152" s="232">
        <f t="shared" si="22"/>
        <v>0</v>
      </c>
      <c r="N152" s="219">
        <f t="shared" si="23"/>
        <v>0</v>
      </c>
      <c r="O152" s="219">
        <f t="shared" si="24"/>
        <v>0</v>
      </c>
      <c r="P152" s="219">
        <f t="shared" si="25"/>
        <v>0</v>
      </c>
      <c r="Q152" s="219">
        <f t="shared" si="26"/>
        <v>0</v>
      </c>
      <c r="R152" s="131"/>
      <c r="S152" s="274">
        <v>27729672.150000017</v>
      </c>
      <c r="T152" s="272"/>
      <c r="U152" s="272"/>
      <c r="V152" s="272"/>
      <c r="W152" s="272"/>
      <c r="X152" s="272"/>
      <c r="Y152" s="272"/>
      <c r="Z152" s="272"/>
      <c r="AA152" s="272"/>
      <c r="AB152" s="272"/>
      <c r="AC152" s="272"/>
      <c r="AD152" s="272"/>
      <c r="AE152" s="272"/>
      <c r="AF152" s="272"/>
      <c r="AG152" s="272"/>
      <c r="AH152" s="274"/>
      <c r="AI152" s="272"/>
      <c r="AJ152" s="272"/>
      <c r="AK152" s="272"/>
      <c r="AO152" s="286" t="s">
        <v>349</v>
      </c>
    </row>
    <row r="153" spans="1:41" hidden="1" x14ac:dyDescent="0.25">
      <c r="A153" s="272" t="str">
        <f t="shared" si="18"/>
        <v>ЯрославскаяRADM MoscowRAL MOS N.Novgorod</v>
      </c>
      <c r="B153" s="284" t="s">
        <v>51</v>
      </c>
      <c r="C153" s="249" t="s">
        <v>317</v>
      </c>
      <c r="D153" s="249" t="s">
        <v>337</v>
      </c>
      <c r="E153" s="272" t="s">
        <v>348</v>
      </c>
      <c r="F153" s="287" t="s">
        <v>320</v>
      </c>
      <c r="J153" s="219">
        <f t="shared" si="19"/>
        <v>12720317.61999999</v>
      </c>
      <c r="K153" s="219">
        <f t="shared" si="20"/>
        <v>0</v>
      </c>
      <c r="L153" s="219">
        <f t="shared" si="21"/>
        <v>0</v>
      </c>
      <c r="M153" s="232">
        <f t="shared" si="22"/>
        <v>0</v>
      </c>
      <c r="N153" s="219">
        <f t="shared" si="23"/>
        <v>0</v>
      </c>
      <c r="O153" s="219">
        <f t="shared" si="24"/>
        <v>0</v>
      </c>
      <c r="P153" s="219">
        <f t="shared" si="25"/>
        <v>0</v>
      </c>
      <c r="Q153" s="219">
        <f t="shared" si="26"/>
        <v>0</v>
      </c>
      <c r="R153" s="131"/>
      <c r="S153" s="274">
        <v>12720317.61999999</v>
      </c>
      <c r="T153" s="272"/>
      <c r="U153" s="272"/>
      <c r="V153" s="272"/>
      <c r="W153" s="272"/>
      <c r="X153" s="272"/>
      <c r="Y153" s="272"/>
      <c r="Z153" s="272"/>
      <c r="AA153" s="272"/>
      <c r="AB153" s="272"/>
      <c r="AC153" s="272"/>
      <c r="AD153" s="272"/>
      <c r="AE153" s="272"/>
      <c r="AF153" s="272"/>
      <c r="AG153" s="272"/>
      <c r="AH153" s="274"/>
      <c r="AI153" s="272"/>
      <c r="AJ153" s="272"/>
      <c r="AK153" s="272"/>
      <c r="AO153" s="286" t="s">
        <v>349</v>
      </c>
    </row>
    <row r="154" spans="1:41" hidden="1" x14ac:dyDescent="0.25">
      <c r="A154" s="272" t="str">
        <f t="shared" si="18"/>
        <v>НижегородскаяRADM MoscowRAL MOS N.Novgorod</v>
      </c>
      <c r="B154" s="284" t="s">
        <v>21</v>
      </c>
      <c r="C154" s="249" t="s">
        <v>317</v>
      </c>
      <c r="D154" s="249" t="s">
        <v>337</v>
      </c>
      <c r="E154" s="272" t="s">
        <v>348</v>
      </c>
      <c r="F154" s="284" t="s">
        <v>322</v>
      </c>
      <c r="J154" s="219">
        <f t="shared" si="19"/>
        <v>4173924.4899999993</v>
      </c>
      <c r="K154" s="219">
        <f t="shared" si="20"/>
        <v>0</v>
      </c>
      <c r="L154" s="219">
        <f t="shared" si="21"/>
        <v>0</v>
      </c>
      <c r="M154" s="232">
        <f t="shared" si="22"/>
        <v>0</v>
      </c>
      <c r="N154" s="219">
        <f t="shared" si="23"/>
        <v>0</v>
      </c>
      <c r="O154" s="219">
        <f t="shared" si="24"/>
        <v>0</v>
      </c>
      <c r="P154" s="219">
        <f t="shared" si="25"/>
        <v>0</v>
      </c>
      <c r="Q154" s="219">
        <f t="shared" si="26"/>
        <v>0</v>
      </c>
      <c r="R154" s="131"/>
      <c r="S154" s="274">
        <v>4173924.4899999993</v>
      </c>
      <c r="T154" s="272"/>
      <c r="U154" s="272"/>
      <c r="V154" s="272"/>
      <c r="W154" s="272"/>
      <c r="X154" s="272"/>
      <c r="Y154" s="272"/>
      <c r="Z154" s="272"/>
      <c r="AA154" s="272"/>
      <c r="AB154" s="272"/>
      <c r="AC154" s="272"/>
      <c r="AD154" s="272"/>
      <c r="AE154" s="272"/>
      <c r="AF154" s="272"/>
      <c r="AG154" s="272"/>
      <c r="AH154" s="274"/>
      <c r="AI154" s="272"/>
      <c r="AJ154" s="272"/>
      <c r="AK154" s="272"/>
      <c r="AO154" s="286" t="s">
        <v>349</v>
      </c>
    </row>
    <row r="155" spans="1:41" hidden="1" x14ac:dyDescent="0.25">
      <c r="A155" s="272" t="str">
        <f t="shared" si="18"/>
        <v>ВладимирскаяRADM MoscowRAL MOS N.Novgorod</v>
      </c>
      <c r="B155" s="284" t="s">
        <v>22</v>
      </c>
      <c r="C155" s="249" t="s">
        <v>317</v>
      </c>
      <c r="D155" s="249" t="s">
        <v>337</v>
      </c>
      <c r="E155" s="272" t="s">
        <v>348</v>
      </c>
      <c r="F155" s="284" t="s">
        <v>322</v>
      </c>
      <c r="J155" s="219">
        <f t="shared" si="19"/>
        <v>11023567.570000023</v>
      </c>
      <c r="K155" s="219">
        <f t="shared" si="20"/>
        <v>0</v>
      </c>
      <c r="L155" s="219">
        <f t="shared" si="21"/>
        <v>0</v>
      </c>
      <c r="M155" s="232">
        <f t="shared" si="22"/>
        <v>0</v>
      </c>
      <c r="N155" s="219">
        <f t="shared" si="23"/>
        <v>0</v>
      </c>
      <c r="O155" s="219">
        <f t="shared" si="24"/>
        <v>0</v>
      </c>
      <c r="P155" s="219">
        <f t="shared" si="25"/>
        <v>0</v>
      </c>
      <c r="Q155" s="219">
        <f t="shared" si="26"/>
        <v>0</v>
      </c>
      <c r="R155" s="131"/>
      <c r="S155" s="274">
        <v>11023567.570000023</v>
      </c>
      <c r="T155" s="272"/>
      <c r="U155" s="272"/>
      <c r="V155" s="272"/>
      <c r="W155" s="272"/>
      <c r="X155" s="272"/>
      <c r="Y155" s="272"/>
      <c r="Z155" s="272"/>
      <c r="AA155" s="272"/>
      <c r="AB155" s="272"/>
      <c r="AC155" s="272"/>
      <c r="AD155" s="272"/>
      <c r="AE155" s="272"/>
      <c r="AF155" s="272"/>
      <c r="AG155" s="272"/>
      <c r="AH155" s="274"/>
      <c r="AI155" s="272"/>
      <c r="AJ155" s="272"/>
      <c r="AK155" s="272"/>
      <c r="AO155" s="286" t="s">
        <v>349</v>
      </c>
    </row>
    <row r="156" spans="1:41" hidden="1" x14ac:dyDescent="0.25">
      <c r="A156" s="272" t="str">
        <f t="shared" si="18"/>
        <v>КалужскаяRADM MoscowRAL MOS N.Novgorod</v>
      </c>
      <c r="B156" s="284" t="s">
        <v>20</v>
      </c>
      <c r="C156" s="249" t="s">
        <v>317</v>
      </c>
      <c r="D156" s="249" t="s">
        <v>337</v>
      </c>
      <c r="E156" s="272" t="s">
        <v>348</v>
      </c>
      <c r="F156" s="284" t="s">
        <v>322</v>
      </c>
      <c r="J156" s="219">
        <f t="shared" si="19"/>
        <v>23926032.889999863</v>
      </c>
      <c r="K156" s="219">
        <f t="shared" si="20"/>
        <v>0</v>
      </c>
      <c r="L156" s="219">
        <f t="shared" si="21"/>
        <v>0</v>
      </c>
      <c r="M156" s="232">
        <f t="shared" si="22"/>
        <v>0</v>
      </c>
      <c r="N156" s="219">
        <f t="shared" si="23"/>
        <v>0</v>
      </c>
      <c r="O156" s="219">
        <f t="shared" si="24"/>
        <v>0</v>
      </c>
      <c r="P156" s="219">
        <f t="shared" si="25"/>
        <v>0</v>
      </c>
      <c r="Q156" s="219">
        <f t="shared" si="26"/>
        <v>0</v>
      </c>
      <c r="R156" s="131"/>
      <c r="S156" s="274">
        <v>23926032.889999863</v>
      </c>
      <c r="T156" s="272"/>
      <c r="U156" s="272"/>
      <c r="V156" s="272"/>
      <c r="W156" s="272"/>
      <c r="X156" s="272"/>
      <c r="Y156" s="272"/>
      <c r="Z156" s="272"/>
      <c r="AA156" s="272"/>
      <c r="AB156" s="272"/>
      <c r="AC156" s="272"/>
      <c r="AD156" s="272"/>
      <c r="AE156" s="272"/>
      <c r="AF156" s="272"/>
      <c r="AG156" s="272"/>
      <c r="AH156" s="274"/>
      <c r="AI156" s="272"/>
      <c r="AJ156" s="272"/>
      <c r="AK156" s="272"/>
      <c r="AO156" s="286" t="s">
        <v>349</v>
      </c>
    </row>
    <row r="157" spans="1:41" hidden="1" x14ac:dyDescent="0.25">
      <c r="A157" s="272" t="str">
        <f t="shared" si="18"/>
        <v>ЛенинградскаяRADM MoscowRAL MOS N.Novgorod</v>
      </c>
      <c r="B157" s="284" t="s">
        <v>345</v>
      </c>
      <c r="C157" s="249" t="s">
        <v>317</v>
      </c>
      <c r="D157" s="249" t="s">
        <v>337</v>
      </c>
      <c r="E157" s="272" t="s">
        <v>348</v>
      </c>
      <c r="F157" s="284" t="s">
        <v>322</v>
      </c>
      <c r="J157" s="219">
        <f t="shared" si="19"/>
        <v>123535.67</v>
      </c>
      <c r="K157" s="219">
        <f t="shared" si="20"/>
        <v>0</v>
      </c>
      <c r="L157" s="219">
        <f t="shared" si="21"/>
        <v>0</v>
      </c>
      <c r="M157" s="232">
        <f t="shared" si="22"/>
        <v>0</v>
      </c>
      <c r="N157" s="219">
        <f t="shared" si="23"/>
        <v>0</v>
      </c>
      <c r="O157" s="219">
        <f t="shared" si="24"/>
        <v>0</v>
      </c>
      <c r="P157" s="219">
        <f t="shared" si="25"/>
        <v>0</v>
      </c>
      <c r="Q157" s="219">
        <f t="shared" si="26"/>
        <v>0</v>
      </c>
      <c r="R157" s="131"/>
      <c r="S157" s="274">
        <v>123535.67</v>
      </c>
      <c r="T157" s="272"/>
      <c r="U157" s="272"/>
      <c r="V157" s="272"/>
      <c r="W157" s="272"/>
      <c r="X157" s="272"/>
      <c r="Y157" s="272"/>
      <c r="Z157" s="272"/>
      <c r="AA157" s="272"/>
      <c r="AB157" s="272"/>
      <c r="AC157" s="272"/>
      <c r="AD157" s="272"/>
      <c r="AE157" s="272"/>
      <c r="AF157" s="272"/>
      <c r="AG157" s="272"/>
      <c r="AH157" s="274"/>
      <c r="AI157" s="272"/>
      <c r="AJ157" s="272"/>
      <c r="AK157" s="272"/>
      <c r="AO157" s="286" t="s">
        <v>349</v>
      </c>
    </row>
    <row r="158" spans="1:41" hidden="1" x14ac:dyDescent="0.25">
      <c r="A158" s="272" t="str">
        <f t="shared" si="18"/>
        <v>МоскваRADM MoscowRAL MOS N.Novgorod</v>
      </c>
      <c r="B158" s="284" t="s">
        <v>7</v>
      </c>
      <c r="C158" s="249" t="s">
        <v>317</v>
      </c>
      <c r="D158" s="249" t="s">
        <v>337</v>
      </c>
      <c r="E158" s="272" t="s">
        <v>348</v>
      </c>
      <c r="F158" s="284" t="s">
        <v>322</v>
      </c>
      <c r="J158" s="219">
        <f t="shared" si="19"/>
        <v>107010419.06999928</v>
      </c>
      <c r="K158" s="219">
        <f t="shared" si="20"/>
        <v>0</v>
      </c>
      <c r="L158" s="219">
        <f t="shared" si="21"/>
        <v>0</v>
      </c>
      <c r="M158" s="232">
        <f t="shared" si="22"/>
        <v>0</v>
      </c>
      <c r="N158" s="219">
        <f t="shared" si="23"/>
        <v>0</v>
      </c>
      <c r="O158" s="219">
        <f t="shared" si="24"/>
        <v>0</v>
      </c>
      <c r="P158" s="219">
        <f t="shared" si="25"/>
        <v>0</v>
      </c>
      <c r="Q158" s="219">
        <f t="shared" si="26"/>
        <v>0</v>
      </c>
      <c r="R158" s="131"/>
      <c r="S158" s="274">
        <v>107010419.06999928</v>
      </c>
      <c r="T158" s="272"/>
      <c r="U158" s="272"/>
      <c r="V158" s="272"/>
      <c r="W158" s="272"/>
      <c r="X158" s="272"/>
      <c r="Y158" s="272"/>
      <c r="Z158" s="272"/>
      <c r="AA158" s="272"/>
      <c r="AB158" s="272"/>
      <c r="AC158" s="272"/>
      <c r="AD158" s="272"/>
      <c r="AE158" s="272"/>
      <c r="AF158" s="272"/>
      <c r="AG158" s="272"/>
      <c r="AH158" s="274"/>
      <c r="AI158" s="272"/>
      <c r="AJ158" s="272"/>
      <c r="AK158" s="272"/>
      <c r="AO158" s="286" t="s">
        <v>349</v>
      </c>
    </row>
    <row r="159" spans="1:41" hidden="1" x14ac:dyDescent="0.25">
      <c r="A159" s="272" t="str">
        <f t="shared" si="18"/>
        <v>МосковскаяRADM MoscowRAL MOS N.Novgorod</v>
      </c>
      <c r="B159" s="284" t="s">
        <v>333</v>
      </c>
      <c r="C159" s="249" t="s">
        <v>317</v>
      </c>
      <c r="D159" s="249" t="s">
        <v>337</v>
      </c>
      <c r="E159" s="272" t="s">
        <v>348</v>
      </c>
      <c r="F159" s="284" t="s">
        <v>322</v>
      </c>
      <c r="J159" s="219">
        <f t="shared" si="19"/>
        <v>154799260.07999986</v>
      </c>
      <c r="K159" s="219">
        <f t="shared" si="20"/>
        <v>0</v>
      </c>
      <c r="L159" s="219">
        <f t="shared" si="21"/>
        <v>0</v>
      </c>
      <c r="M159" s="232">
        <f t="shared" si="22"/>
        <v>0</v>
      </c>
      <c r="N159" s="219">
        <f t="shared" si="23"/>
        <v>0</v>
      </c>
      <c r="O159" s="219">
        <f t="shared" si="24"/>
        <v>0</v>
      </c>
      <c r="P159" s="219">
        <f t="shared" si="25"/>
        <v>0</v>
      </c>
      <c r="Q159" s="219">
        <f t="shared" si="26"/>
        <v>0</v>
      </c>
      <c r="R159" s="131"/>
      <c r="S159" s="274">
        <v>154799260.07999986</v>
      </c>
      <c r="T159" s="272"/>
      <c r="U159" s="272"/>
      <c r="V159" s="272"/>
      <c r="W159" s="272"/>
      <c r="X159" s="272"/>
      <c r="Y159" s="272"/>
      <c r="Z159" s="272"/>
      <c r="AA159" s="272"/>
      <c r="AB159" s="272"/>
      <c r="AC159" s="272"/>
      <c r="AD159" s="272"/>
      <c r="AE159" s="272"/>
      <c r="AF159" s="272"/>
      <c r="AG159" s="272"/>
      <c r="AH159" s="274"/>
      <c r="AI159" s="272"/>
      <c r="AJ159" s="272"/>
      <c r="AK159" s="272"/>
      <c r="AO159" s="286" t="s">
        <v>349</v>
      </c>
    </row>
    <row r="160" spans="1:41" hidden="1" x14ac:dyDescent="0.25">
      <c r="A160" s="272" t="str">
        <f t="shared" si="18"/>
        <v>Санкт-ПетербургRADM MoscowRAL MOS N.Novgorod</v>
      </c>
      <c r="B160" s="284" t="s">
        <v>346</v>
      </c>
      <c r="C160" s="249" t="s">
        <v>317</v>
      </c>
      <c r="D160" s="249" t="s">
        <v>337</v>
      </c>
      <c r="E160" s="272" t="s">
        <v>348</v>
      </c>
      <c r="F160" s="284" t="s">
        <v>322</v>
      </c>
      <c r="J160" s="219">
        <f t="shared" si="19"/>
        <v>7796925.8200000012</v>
      </c>
      <c r="K160" s="219">
        <f t="shared" si="20"/>
        <v>0</v>
      </c>
      <c r="L160" s="219">
        <f t="shared" si="21"/>
        <v>0</v>
      </c>
      <c r="M160" s="232">
        <f t="shared" si="22"/>
        <v>0</v>
      </c>
      <c r="N160" s="219">
        <f t="shared" si="23"/>
        <v>0</v>
      </c>
      <c r="O160" s="219">
        <f t="shared" si="24"/>
        <v>0</v>
      </c>
      <c r="P160" s="219">
        <f t="shared" si="25"/>
        <v>0</v>
      </c>
      <c r="Q160" s="219">
        <f t="shared" si="26"/>
        <v>0</v>
      </c>
      <c r="R160" s="131"/>
      <c r="S160" s="274">
        <v>7796925.8200000012</v>
      </c>
      <c r="T160" s="272"/>
      <c r="U160" s="272"/>
      <c r="V160" s="272"/>
      <c r="W160" s="272"/>
      <c r="X160" s="272"/>
      <c r="Y160" s="272"/>
      <c r="Z160" s="272"/>
      <c r="AA160" s="272"/>
      <c r="AB160" s="272"/>
      <c r="AC160" s="272"/>
      <c r="AD160" s="272"/>
      <c r="AE160" s="272"/>
      <c r="AF160" s="272"/>
      <c r="AG160" s="272"/>
      <c r="AH160" s="274"/>
      <c r="AI160" s="272"/>
      <c r="AJ160" s="272"/>
      <c r="AK160" s="272"/>
      <c r="AO160" s="286" t="s">
        <v>349</v>
      </c>
    </row>
    <row r="161" spans="1:41" hidden="1" x14ac:dyDescent="0.25">
      <c r="A161" s="272" t="str">
        <f t="shared" si="18"/>
        <v>ТверскаяRADM MoscowRAL MOS N.Novgorod</v>
      </c>
      <c r="B161" s="284" t="s">
        <v>55</v>
      </c>
      <c r="C161" s="249" t="s">
        <v>317</v>
      </c>
      <c r="D161" s="249" t="s">
        <v>337</v>
      </c>
      <c r="E161" s="272" t="s">
        <v>348</v>
      </c>
      <c r="F161" s="284" t="s">
        <v>322</v>
      </c>
      <c r="J161" s="219">
        <f t="shared" si="19"/>
        <v>2517045.3900000011</v>
      </c>
      <c r="K161" s="219">
        <f t="shared" si="20"/>
        <v>0</v>
      </c>
      <c r="L161" s="219">
        <f t="shared" si="21"/>
        <v>0</v>
      </c>
      <c r="M161" s="232">
        <f t="shared" si="22"/>
        <v>0</v>
      </c>
      <c r="N161" s="219">
        <f t="shared" si="23"/>
        <v>0</v>
      </c>
      <c r="O161" s="219">
        <f t="shared" si="24"/>
        <v>0</v>
      </c>
      <c r="P161" s="219">
        <f t="shared" si="25"/>
        <v>0</v>
      </c>
      <c r="Q161" s="219">
        <f t="shared" si="26"/>
        <v>0</v>
      </c>
      <c r="R161" s="131"/>
      <c r="S161" s="274">
        <v>2517045.3900000011</v>
      </c>
      <c r="T161" s="272"/>
      <c r="U161" s="272"/>
      <c r="V161" s="272"/>
      <c r="W161" s="272"/>
      <c r="X161" s="272"/>
      <c r="Y161" s="272"/>
      <c r="Z161" s="272"/>
      <c r="AA161" s="272"/>
      <c r="AB161" s="272"/>
      <c r="AC161" s="272"/>
      <c r="AD161" s="272"/>
      <c r="AE161" s="272"/>
      <c r="AF161" s="272"/>
      <c r="AG161" s="272"/>
      <c r="AH161" s="274"/>
      <c r="AI161" s="272"/>
      <c r="AJ161" s="272"/>
      <c r="AK161" s="272"/>
      <c r="AO161" s="286" t="s">
        <v>349</v>
      </c>
    </row>
    <row r="162" spans="1:41" hidden="1" x14ac:dyDescent="0.25">
      <c r="A162" s="272" t="str">
        <f t="shared" si="18"/>
        <v>ЯрославскаяRADM MoscowRAL MOS N.Novgorod</v>
      </c>
      <c r="B162" s="284" t="s">
        <v>51</v>
      </c>
      <c r="C162" s="249" t="s">
        <v>317</v>
      </c>
      <c r="D162" s="249" t="s">
        <v>337</v>
      </c>
      <c r="E162" s="272" t="s">
        <v>348</v>
      </c>
      <c r="F162" s="287" t="s">
        <v>322</v>
      </c>
      <c r="J162" s="219">
        <f t="shared" si="19"/>
        <v>445154.67000000004</v>
      </c>
      <c r="K162" s="219">
        <f t="shared" si="20"/>
        <v>0</v>
      </c>
      <c r="L162" s="219">
        <f t="shared" si="21"/>
        <v>0</v>
      </c>
      <c r="M162" s="232">
        <f t="shared" si="22"/>
        <v>0</v>
      </c>
      <c r="N162" s="219">
        <f t="shared" si="23"/>
        <v>0</v>
      </c>
      <c r="O162" s="219">
        <f t="shared" si="24"/>
        <v>0</v>
      </c>
      <c r="P162" s="219">
        <f t="shared" si="25"/>
        <v>0</v>
      </c>
      <c r="Q162" s="219">
        <f t="shared" si="26"/>
        <v>0</v>
      </c>
      <c r="R162" s="131"/>
      <c r="S162" s="274">
        <v>445154.67000000004</v>
      </c>
      <c r="T162" s="272"/>
      <c r="U162" s="272"/>
      <c r="V162" s="272"/>
      <c r="W162" s="272"/>
      <c r="X162" s="272"/>
      <c r="Y162" s="272"/>
      <c r="Z162" s="272"/>
      <c r="AA162" s="272"/>
      <c r="AB162" s="272"/>
      <c r="AC162" s="272"/>
      <c r="AD162" s="272"/>
      <c r="AE162" s="272"/>
      <c r="AF162" s="272"/>
      <c r="AG162" s="272"/>
      <c r="AH162" s="274"/>
      <c r="AI162" s="272"/>
      <c r="AJ162" s="272"/>
      <c r="AK162" s="272"/>
      <c r="AO162" s="286" t="s">
        <v>349</v>
      </c>
    </row>
    <row r="163" spans="1:41" hidden="1" x14ac:dyDescent="0.25">
      <c r="A163" s="272" t="str">
        <f t="shared" si="18"/>
        <v>ЛенинградскаяDDM MOS Sladkaay ZhiznTSL MOS N.Novgorod</v>
      </c>
      <c r="B163" s="284" t="s">
        <v>345</v>
      </c>
      <c r="C163" s="249" t="s">
        <v>317</v>
      </c>
      <c r="D163" s="284" t="s">
        <v>318</v>
      </c>
      <c r="E163" s="272" t="s">
        <v>319</v>
      </c>
      <c r="F163" s="284" t="s">
        <v>351</v>
      </c>
      <c r="J163" s="219">
        <f t="shared" si="19"/>
        <v>5423625.7199999932</v>
      </c>
      <c r="K163" s="219">
        <f t="shared" si="20"/>
        <v>0</v>
      </c>
      <c r="L163" s="219">
        <f t="shared" si="21"/>
        <v>0</v>
      </c>
      <c r="M163" s="232">
        <f t="shared" si="22"/>
        <v>0</v>
      </c>
      <c r="N163" s="219">
        <f t="shared" si="23"/>
        <v>0</v>
      </c>
      <c r="O163" s="219">
        <f t="shared" si="24"/>
        <v>0</v>
      </c>
      <c r="P163" s="219">
        <f t="shared" si="25"/>
        <v>0</v>
      </c>
      <c r="Q163" s="219">
        <f t="shared" si="26"/>
        <v>0</v>
      </c>
      <c r="R163" s="131"/>
      <c r="T163" s="274">
        <v>5423625.7199999932</v>
      </c>
      <c r="U163" s="272"/>
      <c r="V163" s="272"/>
      <c r="W163" s="272"/>
      <c r="X163" s="272"/>
      <c r="Y163" s="272"/>
      <c r="Z163" s="272"/>
      <c r="AA163" s="272"/>
      <c r="AB163" s="272"/>
      <c r="AC163" s="272"/>
      <c r="AD163" s="272"/>
      <c r="AE163" s="272"/>
      <c r="AF163" s="272"/>
      <c r="AG163" s="272"/>
      <c r="AH163" s="274"/>
      <c r="AI163" s="272"/>
      <c r="AJ163" s="272"/>
      <c r="AK163" s="272"/>
      <c r="AO163" s="286" t="s">
        <v>352</v>
      </c>
    </row>
    <row r="164" spans="1:41" hidden="1" x14ac:dyDescent="0.25">
      <c r="A164" s="272" t="str">
        <f t="shared" si="18"/>
        <v>МурманскаяDDM MOS Sladkaay ZhiznTSL MOS N.Novgorod</v>
      </c>
      <c r="B164" s="284" t="s">
        <v>35</v>
      </c>
      <c r="C164" s="249" t="s">
        <v>317</v>
      </c>
      <c r="D164" s="284" t="s">
        <v>318</v>
      </c>
      <c r="E164" s="272" t="s">
        <v>319</v>
      </c>
      <c r="F164" s="284" t="s">
        <v>351</v>
      </c>
      <c r="J164" s="219">
        <f t="shared" si="19"/>
        <v>1456400.8099999996</v>
      </c>
      <c r="K164" s="219">
        <f t="shared" si="20"/>
        <v>0</v>
      </c>
      <c r="L164" s="219">
        <f t="shared" si="21"/>
        <v>0</v>
      </c>
      <c r="M164" s="232">
        <f t="shared" si="22"/>
        <v>0</v>
      </c>
      <c r="N164" s="219">
        <f t="shared" si="23"/>
        <v>0</v>
      </c>
      <c r="O164" s="219">
        <f t="shared" si="24"/>
        <v>0</v>
      </c>
      <c r="P164" s="219">
        <f t="shared" si="25"/>
        <v>0</v>
      </c>
      <c r="Q164" s="219">
        <f t="shared" si="26"/>
        <v>0</v>
      </c>
      <c r="R164" s="131"/>
      <c r="T164" s="274">
        <v>1456400.8099999996</v>
      </c>
      <c r="U164" s="272"/>
      <c r="V164" s="272"/>
      <c r="W164" s="272"/>
      <c r="X164" s="272"/>
      <c r="Y164" s="272"/>
      <c r="Z164" s="272"/>
      <c r="AA164" s="272"/>
      <c r="AB164" s="272"/>
      <c r="AC164" s="272"/>
      <c r="AD164" s="272"/>
      <c r="AE164" s="272"/>
      <c r="AF164" s="272"/>
      <c r="AG164" s="272"/>
      <c r="AH164" s="274"/>
      <c r="AI164" s="272"/>
      <c r="AJ164" s="272"/>
      <c r="AK164" s="272"/>
      <c r="AO164" s="286" t="s">
        <v>352</v>
      </c>
    </row>
    <row r="165" spans="1:41" hidden="1" x14ac:dyDescent="0.25">
      <c r="A165" s="272" t="str">
        <f t="shared" si="18"/>
        <v>Санкт-ПетербургDDM MOS Sladkaay ZhiznTSL MOS N.Novgorod</v>
      </c>
      <c r="B165" s="284" t="s">
        <v>346</v>
      </c>
      <c r="C165" s="249" t="s">
        <v>317</v>
      </c>
      <c r="D165" s="284" t="s">
        <v>318</v>
      </c>
      <c r="E165" s="272" t="s">
        <v>319</v>
      </c>
      <c r="F165" s="287" t="s">
        <v>351</v>
      </c>
      <c r="H165" s="272">
        <v>1</v>
      </c>
      <c r="J165" s="219">
        <f t="shared" si="19"/>
        <v>54851077.389999077</v>
      </c>
      <c r="K165" s="219">
        <f t="shared" si="20"/>
        <v>0</v>
      </c>
      <c r="L165" s="219">
        <f t="shared" si="21"/>
        <v>0</v>
      </c>
      <c r="M165" s="232">
        <f t="shared" si="22"/>
        <v>0</v>
      </c>
      <c r="N165" s="219">
        <f t="shared" si="23"/>
        <v>0</v>
      </c>
      <c r="O165" s="219">
        <f t="shared" si="24"/>
        <v>0</v>
      </c>
      <c r="P165" s="219">
        <f t="shared" si="25"/>
        <v>0</v>
      </c>
      <c r="Q165" s="219">
        <f t="shared" si="26"/>
        <v>0</v>
      </c>
      <c r="R165" s="131"/>
      <c r="T165" s="274">
        <v>54851077.389999077</v>
      </c>
      <c r="U165" s="272"/>
      <c r="V165" s="272"/>
      <c r="W165" s="272"/>
      <c r="X165" s="272"/>
      <c r="Y165" s="272"/>
      <c r="Z165" s="272"/>
      <c r="AA165" s="272"/>
      <c r="AB165" s="272"/>
      <c r="AC165" s="272"/>
      <c r="AD165" s="272"/>
      <c r="AE165" s="272"/>
      <c r="AF165" s="272"/>
      <c r="AG165" s="272"/>
      <c r="AH165" s="274"/>
      <c r="AI165" s="272"/>
      <c r="AJ165" s="272"/>
      <c r="AK165" s="272"/>
      <c r="AO165" s="286" t="s">
        <v>352</v>
      </c>
    </row>
    <row r="166" spans="1:41" hidden="1" x14ac:dyDescent="0.25">
      <c r="A166" s="272" t="str">
        <f t="shared" si="18"/>
        <v>БашкортостанDDM MOS Sladkaay ZhiznTSL MOS N.Novgorod</v>
      </c>
      <c r="B166" s="284" t="s">
        <v>353</v>
      </c>
      <c r="C166" s="249" t="s">
        <v>317</v>
      </c>
      <c r="D166" s="284" t="s">
        <v>318</v>
      </c>
      <c r="E166" s="272" t="s">
        <v>319</v>
      </c>
      <c r="F166" s="251" t="s">
        <v>325</v>
      </c>
      <c r="J166" s="219">
        <f t="shared" si="19"/>
        <v>25370.440000000002</v>
      </c>
      <c r="K166" s="219">
        <f t="shared" si="20"/>
        <v>0</v>
      </c>
      <c r="L166" s="219">
        <f t="shared" si="21"/>
        <v>0</v>
      </c>
      <c r="M166" s="232">
        <f t="shared" si="22"/>
        <v>0</v>
      </c>
      <c r="N166" s="219">
        <f t="shared" si="23"/>
        <v>0</v>
      </c>
      <c r="O166" s="219">
        <f t="shared" si="24"/>
        <v>0</v>
      </c>
      <c r="P166" s="219">
        <f t="shared" si="25"/>
        <v>0</v>
      </c>
      <c r="Q166" s="219">
        <f t="shared" si="26"/>
        <v>0</v>
      </c>
      <c r="R166" s="131"/>
      <c r="T166" s="274">
        <v>25370.440000000002</v>
      </c>
      <c r="U166" s="272"/>
      <c r="V166" s="272"/>
      <c r="W166" s="272"/>
      <c r="X166" s="272"/>
      <c r="Y166" s="272"/>
      <c r="Z166" s="272"/>
      <c r="AA166" s="272"/>
      <c r="AB166" s="272"/>
      <c r="AC166" s="272"/>
      <c r="AD166" s="272"/>
      <c r="AE166" s="272"/>
      <c r="AF166" s="272"/>
      <c r="AG166" s="272"/>
      <c r="AH166" s="274"/>
      <c r="AI166" s="272"/>
      <c r="AJ166" s="272"/>
      <c r="AK166" s="272"/>
      <c r="AO166" s="286" t="s">
        <v>352</v>
      </c>
    </row>
    <row r="167" spans="1:41" hidden="1" x14ac:dyDescent="0.25">
      <c r="A167" s="272" t="str">
        <f t="shared" si="18"/>
        <v>ВладимирскаяDDM MOS Sladkaay ZhiznTSL MOS N.Novgorod</v>
      </c>
      <c r="B167" s="284" t="s">
        <v>22</v>
      </c>
      <c r="C167" s="249" t="s">
        <v>317</v>
      </c>
      <c r="D167" s="284" t="s">
        <v>318</v>
      </c>
      <c r="E167" s="272" t="s">
        <v>319</v>
      </c>
      <c r="F167" s="251" t="s">
        <v>325</v>
      </c>
      <c r="J167" s="219">
        <f t="shared" si="19"/>
        <v>18648.36</v>
      </c>
      <c r="K167" s="219">
        <f t="shared" si="20"/>
        <v>0</v>
      </c>
      <c r="L167" s="219">
        <f t="shared" si="21"/>
        <v>0</v>
      </c>
      <c r="M167" s="232">
        <f t="shared" si="22"/>
        <v>0</v>
      </c>
      <c r="N167" s="219">
        <f t="shared" si="23"/>
        <v>0</v>
      </c>
      <c r="O167" s="219">
        <f t="shared" si="24"/>
        <v>0</v>
      </c>
      <c r="P167" s="219">
        <f t="shared" si="25"/>
        <v>0</v>
      </c>
      <c r="Q167" s="219">
        <f t="shared" si="26"/>
        <v>0</v>
      </c>
      <c r="R167" s="131"/>
      <c r="T167" s="286">
        <v>18648.36</v>
      </c>
      <c r="U167" s="450"/>
      <c r="V167" s="450"/>
      <c r="W167" s="450"/>
      <c r="X167" s="450"/>
      <c r="Y167" s="450"/>
      <c r="Z167" s="450"/>
      <c r="AA167" s="450"/>
      <c r="AB167" s="450"/>
      <c r="AC167" s="450"/>
      <c r="AD167" s="272"/>
      <c r="AE167" s="272"/>
      <c r="AF167" s="272"/>
      <c r="AG167" s="272"/>
      <c r="AH167" s="274"/>
      <c r="AI167" s="272"/>
      <c r="AJ167" s="272"/>
      <c r="AK167" s="272"/>
      <c r="AO167" s="286" t="s">
        <v>352</v>
      </c>
    </row>
    <row r="168" spans="1:41" hidden="1" x14ac:dyDescent="0.25">
      <c r="A168" s="272" t="str">
        <f t="shared" si="18"/>
        <v>ВоронежскаяDDM MOS Sladkaay ZhiznTSL MOS N.Novgorod</v>
      </c>
      <c r="B168" s="284" t="s">
        <v>148</v>
      </c>
      <c r="C168" s="249" t="s">
        <v>317</v>
      </c>
      <c r="D168" s="284" t="s">
        <v>318</v>
      </c>
      <c r="E168" s="272" t="s">
        <v>319</v>
      </c>
      <c r="F168" s="251" t="s">
        <v>325</v>
      </c>
      <c r="J168" s="219">
        <f t="shared" si="19"/>
        <v>2366.4</v>
      </c>
      <c r="K168" s="219">
        <f t="shared" si="20"/>
        <v>0</v>
      </c>
      <c r="L168" s="219">
        <f t="shared" si="21"/>
        <v>0</v>
      </c>
      <c r="M168" s="232">
        <f t="shared" si="22"/>
        <v>0</v>
      </c>
      <c r="N168" s="219">
        <f t="shared" si="23"/>
        <v>0</v>
      </c>
      <c r="O168" s="219">
        <f t="shared" si="24"/>
        <v>0</v>
      </c>
      <c r="P168" s="219">
        <f t="shared" si="25"/>
        <v>0</v>
      </c>
      <c r="Q168" s="219">
        <f t="shared" si="26"/>
        <v>0</v>
      </c>
      <c r="R168" s="131"/>
      <c r="T168" s="274">
        <v>2366.4</v>
      </c>
      <c r="U168" s="272"/>
      <c r="V168" s="272"/>
      <c r="W168" s="272"/>
      <c r="X168" s="272"/>
      <c r="Y168" s="272"/>
      <c r="Z168" s="272"/>
      <c r="AA168" s="272"/>
      <c r="AB168" s="272"/>
      <c r="AC168" s="272"/>
      <c r="AD168" s="272"/>
      <c r="AE168" s="272"/>
      <c r="AF168" s="272"/>
      <c r="AG168" s="272"/>
      <c r="AH168" s="274"/>
      <c r="AI168" s="272"/>
      <c r="AJ168" s="272"/>
      <c r="AK168" s="272"/>
      <c r="AO168" s="286" t="s">
        <v>352</v>
      </c>
    </row>
    <row r="169" spans="1:41" hidden="1" x14ac:dyDescent="0.25">
      <c r="A169" s="272" t="str">
        <f t="shared" si="18"/>
        <v>МоскваDDM MOS Sladkaay ZhiznTSL MOS N.Novgorod</v>
      </c>
      <c r="B169" s="284" t="s">
        <v>7</v>
      </c>
      <c r="C169" s="249" t="s">
        <v>317</v>
      </c>
      <c r="D169" s="284" t="s">
        <v>318</v>
      </c>
      <c r="E169" s="272" t="s">
        <v>319</v>
      </c>
      <c r="F169" s="251" t="s">
        <v>325</v>
      </c>
      <c r="J169" s="219">
        <f t="shared" si="19"/>
        <v>37065.72</v>
      </c>
      <c r="K169" s="219">
        <f t="shared" si="20"/>
        <v>0</v>
      </c>
      <c r="L169" s="219">
        <f t="shared" si="21"/>
        <v>0</v>
      </c>
      <c r="M169" s="232">
        <f t="shared" si="22"/>
        <v>0</v>
      </c>
      <c r="N169" s="219">
        <f t="shared" si="23"/>
        <v>0</v>
      </c>
      <c r="O169" s="219">
        <f t="shared" si="24"/>
        <v>0</v>
      </c>
      <c r="P169" s="219">
        <f t="shared" si="25"/>
        <v>0</v>
      </c>
      <c r="Q169" s="219">
        <f t="shared" si="26"/>
        <v>0</v>
      </c>
      <c r="R169" s="131"/>
      <c r="T169" s="286">
        <v>37065.72</v>
      </c>
      <c r="U169" s="272"/>
      <c r="V169" s="272"/>
      <c r="W169" s="272"/>
      <c r="X169" s="272"/>
      <c r="Y169" s="272"/>
      <c r="Z169" s="272"/>
      <c r="AA169" s="272"/>
      <c r="AB169" s="272"/>
      <c r="AC169" s="272"/>
      <c r="AD169" s="272"/>
      <c r="AE169" s="272"/>
      <c r="AF169" s="272"/>
      <c r="AG169" s="272"/>
      <c r="AH169" s="274"/>
      <c r="AI169" s="272"/>
      <c r="AJ169" s="272"/>
      <c r="AK169" s="272"/>
      <c r="AO169" s="286" t="s">
        <v>352</v>
      </c>
    </row>
    <row r="170" spans="1:41" hidden="1" x14ac:dyDescent="0.25">
      <c r="A170" s="272" t="str">
        <f t="shared" si="18"/>
        <v>МосковскаяDDM MOS Sladkaay ZhiznTSL MOS N.Novgorod</v>
      </c>
      <c r="B170" s="284" t="s">
        <v>333</v>
      </c>
      <c r="C170" s="249" t="s">
        <v>317</v>
      </c>
      <c r="D170" s="284" t="s">
        <v>318</v>
      </c>
      <c r="E170" s="272" t="s">
        <v>319</v>
      </c>
      <c r="F170" s="251" t="s">
        <v>325</v>
      </c>
      <c r="J170" s="219">
        <f t="shared" si="19"/>
        <v>7905.2800000000007</v>
      </c>
      <c r="K170" s="219">
        <f t="shared" si="20"/>
        <v>0</v>
      </c>
      <c r="L170" s="219">
        <f t="shared" si="21"/>
        <v>0</v>
      </c>
      <c r="M170" s="232">
        <f t="shared" si="22"/>
        <v>0</v>
      </c>
      <c r="N170" s="219">
        <f t="shared" si="23"/>
        <v>0</v>
      </c>
      <c r="O170" s="219">
        <f t="shared" si="24"/>
        <v>0</v>
      </c>
      <c r="P170" s="219">
        <f t="shared" si="25"/>
        <v>0</v>
      </c>
      <c r="Q170" s="219">
        <f t="shared" si="26"/>
        <v>0</v>
      </c>
      <c r="R170" s="131"/>
      <c r="T170" s="286">
        <v>7905.2800000000007</v>
      </c>
      <c r="U170" s="272"/>
      <c r="V170" s="272"/>
      <c r="W170" s="272"/>
      <c r="X170" s="272"/>
      <c r="Y170" s="272"/>
      <c r="Z170" s="272"/>
      <c r="AA170" s="272"/>
      <c r="AB170" s="272"/>
      <c r="AC170" s="272"/>
      <c r="AD170" s="272"/>
      <c r="AE170" s="272"/>
      <c r="AF170" s="272"/>
      <c r="AG170" s="272"/>
      <c r="AH170" s="274"/>
      <c r="AI170" s="272"/>
      <c r="AJ170" s="272"/>
      <c r="AK170" s="272"/>
      <c r="AO170" s="286" t="s">
        <v>352</v>
      </c>
    </row>
    <row r="171" spans="1:41" hidden="1" x14ac:dyDescent="0.25">
      <c r="A171" s="272" t="str">
        <f t="shared" si="18"/>
        <v>НовосибирскаяDDM MOS Sladkaay ZhiznTSL MOS N.Novgorod</v>
      </c>
      <c r="B171" s="284" t="s">
        <v>127</v>
      </c>
      <c r="C171" s="249" t="s">
        <v>317</v>
      </c>
      <c r="D171" s="284" t="s">
        <v>318</v>
      </c>
      <c r="E171" s="272" t="s">
        <v>319</v>
      </c>
      <c r="F171" s="251" t="s">
        <v>325</v>
      </c>
      <c r="J171" s="219">
        <f t="shared" si="19"/>
        <v>8188.1200000000008</v>
      </c>
      <c r="K171" s="219">
        <f t="shared" si="20"/>
        <v>0</v>
      </c>
      <c r="L171" s="219">
        <f t="shared" si="21"/>
        <v>0</v>
      </c>
      <c r="M171" s="232">
        <f t="shared" si="22"/>
        <v>0</v>
      </c>
      <c r="N171" s="219">
        <f t="shared" si="23"/>
        <v>0</v>
      </c>
      <c r="O171" s="219">
        <f t="shared" si="24"/>
        <v>0</v>
      </c>
      <c r="P171" s="219">
        <f t="shared" si="25"/>
        <v>0</v>
      </c>
      <c r="Q171" s="219">
        <f t="shared" si="26"/>
        <v>0</v>
      </c>
      <c r="R171" s="131"/>
      <c r="T171" s="274">
        <v>8188.1200000000008</v>
      </c>
      <c r="U171" s="272"/>
      <c r="V171" s="272"/>
      <c r="W171" s="272"/>
      <c r="X171" s="272"/>
      <c r="Y171" s="272"/>
      <c r="Z171" s="272"/>
      <c r="AA171" s="272"/>
      <c r="AB171" s="272"/>
      <c r="AC171" s="272"/>
      <c r="AD171" s="272"/>
      <c r="AE171" s="272"/>
      <c r="AF171" s="272"/>
      <c r="AG171" s="272"/>
      <c r="AH171" s="274"/>
      <c r="AI171" s="272"/>
      <c r="AJ171" s="272"/>
      <c r="AK171" s="272"/>
      <c r="AO171" s="286" t="s">
        <v>352</v>
      </c>
    </row>
    <row r="172" spans="1:41" hidden="1" x14ac:dyDescent="0.25">
      <c r="A172" s="272" t="str">
        <f t="shared" si="18"/>
        <v>ПермскийDDM MOS Sladkaay ZhiznTSL MOS N.Novgorod</v>
      </c>
      <c r="B172" s="284" t="s">
        <v>102</v>
      </c>
      <c r="C172" s="249" t="s">
        <v>317</v>
      </c>
      <c r="D172" s="284" t="s">
        <v>318</v>
      </c>
      <c r="E172" s="272" t="s">
        <v>319</v>
      </c>
      <c r="F172" s="251" t="s">
        <v>325</v>
      </c>
      <c r="J172" s="219">
        <f t="shared" si="19"/>
        <v>16376.24</v>
      </c>
      <c r="K172" s="219">
        <f t="shared" si="20"/>
        <v>0</v>
      </c>
      <c r="L172" s="219">
        <f t="shared" si="21"/>
        <v>0</v>
      </c>
      <c r="M172" s="232">
        <f t="shared" si="22"/>
        <v>0</v>
      </c>
      <c r="N172" s="219">
        <f t="shared" si="23"/>
        <v>0</v>
      </c>
      <c r="O172" s="219">
        <f t="shared" si="24"/>
        <v>0</v>
      </c>
      <c r="P172" s="219">
        <f t="shared" si="25"/>
        <v>0</v>
      </c>
      <c r="Q172" s="219">
        <f t="shared" si="26"/>
        <v>0</v>
      </c>
      <c r="R172" s="131"/>
      <c r="T172" s="274">
        <v>16376.24</v>
      </c>
      <c r="U172" s="272"/>
      <c r="V172" s="272"/>
      <c r="W172" s="272"/>
      <c r="X172" s="272"/>
      <c r="Y172" s="272"/>
      <c r="Z172" s="272"/>
      <c r="AA172" s="272"/>
      <c r="AB172" s="272"/>
      <c r="AC172" s="272"/>
      <c r="AD172" s="272"/>
      <c r="AE172" s="272"/>
      <c r="AF172" s="272"/>
      <c r="AG172" s="272"/>
      <c r="AH172" s="274"/>
      <c r="AI172" s="272"/>
      <c r="AJ172" s="272"/>
      <c r="AK172" s="272"/>
      <c r="AO172" s="286" t="s">
        <v>352</v>
      </c>
    </row>
    <row r="173" spans="1:41" hidden="1" x14ac:dyDescent="0.25">
      <c r="A173" s="272" t="str">
        <f t="shared" si="18"/>
        <v>СамарскаяDDM MOS Sladkaay ZhiznTSL MOS N.Novgorod</v>
      </c>
      <c r="B173" s="284" t="s">
        <v>105</v>
      </c>
      <c r="C173" s="249" t="s">
        <v>317</v>
      </c>
      <c r="D173" s="284" t="s">
        <v>318</v>
      </c>
      <c r="E173" s="272" t="s">
        <v>319</v>
      </c>
      <c r="F173" s="251" t="s">
        <v>325</v>
      </c>
      <c r="J173" s="219">
        <f t="shared" si="19"/>
        <v>21109.040000000001</v>
      </c>
      <c r="K173" s="219">
        <f t="shared" si="20"/>
        <v>0</v>
      </c>
      <c r="L173" s="219">
        <f t="shared" si="21"/>
        <v>0</v>
      </c>
      <c r="M173" s="232">
        <f t="shared" si="22"/>
        <v>0</v>
      </c>
      <c r="N173" s="219">
        <f t="shared" si="23"/>
        <v>0</v>
      </c>
      <c r="O173" s="219">
        <f t="shared" si="24"/>
        <v>0</v>
      </c>
      <c r="P173" s="219">
        <f t="shared" si="25"/>
        <v>0</v>
      </c>
      <c r="Q173" s="219">
        <f t="shared" si="26"/>
        <v>0</v>
      </c>
      <c r="R173" s="131"/>
      <c r="T173" s="274">
        <v>21109.040000000001</v>
      </c>
      <c r="U173" s="272"/>
      <c r="V173" s="272"/>
      <c r="W173" s="272"/>
      <c r="X173" s="272"/>
      <c r="Y173" s="272"/>
      <c r="Z173" s="272"/>
      <c r="AA173" s="272"/>
      <c r="AB173" s="272"/>
      <c r="AC173" s="272"/>
      <c r="AD173" s="272"/>
      <c r="AE173" s="272"/>
      <c r="AF173" s="272"/>
      <c r="AG173" s="272"/>
      <c r="AH173" s="274"/>
      <c r="AI173" s="272"/>
      <c r="AJ173" s="272"/>
      <c r="AK173" s="272"/>
      <c r="AO173" s="286" t="s">
        <v>352</v>
      </c>
    </row>
    <row r="174" spans="1:41" hidden="1" x14ac:dyDescent="0.25">
      <c r="A174" s="272" t="str">
        <f t="shared" si="18"/>
        <v>СаратовскаяDDM MOS Sladkaay ZhiznTSL MOS N.Novgorod</v>
      </c>
      <c r="B174" s="284" t="s">
        <v>154</v>
      </c>
      <c r="C174" s="249" t="s">
        <v>317</v>
      </c>
      <c r="D174" s="284" t="s">
        <v>318</v>
      </c>
      <c r="E174" s="272" t="s">
        <v>319</v>
      </c>
      <c r="F174" s="251" t="s">
        <v>325</v>
      </c>
      <c r="J174" s="219">
        <f t="shared" si="19"/>
        <v>1183.2</v>
      </c>
      <c r="K174" s="219">
        <f t="shared" si="20"/>
        <v>0</v>
      </c>
      <c r="L174" s="219">
        <f t="shared" si="21"/>
        <v>0</v>
      </c>
      <c r="M174" s="232">
        <f t="shared" si="22"/>
        <v>0</v>
      </c>
      <c r="N174" s="219">
        <f t="shared" si="23"/>
        <v>0</v>
      </c>
      <c r="O174" s="219">
        <f t="shared" si="24"/>
        <v>0</v>
      </c>
      <c r="P174" s="219">
        <f t="shared" si="25"/>
        <v>0</v>
      </c>
      <c r="Q174" s="219">
        <f t="shared" si="26"/>
        <v>0</v>
      </c>
      <c r="R174" s="131"/>
      <c r="T174" s="274">
        <v>1183.2</v>
      </c>
      <c r="U174" s="272"/>
      <c r="V174" s="272"/>
      <c r="W174" s="272"/>
      <c r="X174" s="272"/>
      <c r="Y174" s="272"/>
      <c r="Z174" s="272"/>
      <c r="AA174" s="272"/>
      <c r="AB174" s="272"/>
      <c r="AC174" s="272"/>
      <c r="AD174" s="272"/>
      <c r="AE174" s="272"/>
      <c r="AF174" s="272"/>
      <c r="AG174" s="272"/>
      <c r="AH174" s="274"/>
      <c r="AI174" s="272"/>
      <c r="AJ174" s="272"/>
      <c r="AK174" s="272"/>
      <c r="AO174" s="286" t="s">
        <v>352</v>
      </c>
    </row>
    <row r="175" spans="1:41" hidden="1" x14ac:dyDescent="0.25">
      <c r="A175" s="272" t="str">
        <f t="shared" si="18"/>
        <v>СвердловскаяDDM MOS Sladkaay ZhiznTSL MOS N.Novgorod</v>
      </c>
      <c r="B175" s="284" t="s">
        <v>118</v>
      </c>
      <c r="C175" s="249" t="s">
        <v>317</v>
      </c>
      <c r="D175" s="284" t="s">
        <v>318</v>
      </c>
      <c r="E175" s="272" t="s">
        <v>319</v>
      </c>
      <c r="F175" s="251" t="s">
        <v>325</v>
      </c>
      <c r="J175" s="219">
        <f t="shared" si="19"/>
        <v>3549.6000000000004</v>
      </c>
      <c r="K175" s="219">
        <f t="shared" si="20"/>
        <v>0</v>
      </c>
      <c r="L175" s="219">
        <f t="shared" si="21"/>
        <v>0</v>
      </c>
      <c r="M175" s="232">
        <f t="shared" si="22"/>
        <v>0</v>
      </c>
      <c r="N175" s="219">
        <f t="shared" si="23"/>
        <v>0</v>
      </c>
      <c r="O175" s="219">
        <f t="shared" si="24"/>
        <v>0</v>
      </c>
      <c r="P175" s="219">
        <f t="shared" si="25"/>
        <v>0</v>
      </c>
      <c r="Q175" s="219">
        <f t="shared" si="26"/>
        <v>0</v>
      </c>
      <c r="R175" s="131"/>
      <c r="T175" s="274">
        <v>3549.6000000000004</v>
      </c>
      <c r="U175" s="272"/>
      <c r="V175" s="272"/>
      <c r="W175" s="272"/>
      <c r="X175" s="272"/>
      <c r="Y175" s="272"/>
      <c r="Z175" s="272"/>
      <c r="AA175" s="272"/>
      <c r="AB175" s="272"/>
      <c r="AC175" s="272"/>
      <c r="AD175" s="272"/>
      <c r="AE175" s="272"/>
      <c r="AF175" s="272"/>
      <c r="AG175" s="272"/>
      <c r="AH175" s="274"/>
      <c r="AI175" s="272"/>
      <c r="AJ175" s="272"/>
      <c r="AK175" s="272"/>
      <c r="AO175" s="286" t="s">
        <v>352</v>
      </c>
    </row>
    <row r="176" spans="1:41" hidden="1" x14ac:dyDescent="0.25">
      <c r="A176" s="272" t="str">
        <f t="shared" si="18"/>
        <v>РостовскаяDDM MOS Sladkaay ZhiznTSL MOS N.Novgorod</v>
      </c>
      <c r="B176" s="284" t="s">
        <v>156</v>
      </c>
      <c r="C176" s="249" t="s">
        <v>317</v>
      </c>
      <c r="D176" s="284" t="s">
        <v>318</v>
      </c>
      <c r="E176" s="272" t="s">
        <v>319</v>
      </c>
      <c r="F176" s="287" t="s">
        <v>354</v>
      </c>
      <c r="J176" s="219">
        <f t="shared" si="19"/>
        <v>921680.2300000001</v>
      </c>
      <c r="K176" s="219">
        <f t="shared" si="20"/>
        <v>0</v>
      </c>
      <c r="L176" s="219">
        <f t="shared" si="21"/>
        <v>0</v>
      </c>
      <c r="M176" s="232">
        <f t="shared" si="22"/>
        <v>0</v>
      </c>
      <c r="N176" s="219">
        <f t="shared" si="23"/>
        <v>0</v>
      </c>
      <c r="O176" s="219">
        <f t="shared" si="24"/>
        <v>0</v>
      </c>
      <c r="P176" s="219">
        <f t="shared" si="25"/>
        <v>0</v>
      </c>
      <c r="Q176" s="219">
        <f t="shared" si="26"/>
        <v>0</v>
      </c>
      <c r="R176" s="131"/>
      <c r="T176" s="274">
        <v>921680.2300000001</v>
      </c>
      <c r="U176" s="272"/>
      <c r="V176" s="272"/>
      <c r="W176" s="272"/>
      <c r="X176" s="272"/>
      <c r="Y176" s="272"/>
      <c r="Z176" s="272"/>
      <c r="AA176" s="272"/>
      <c r="AB176" s="272"/>
      <c r="AC176" s="272"/>
      <c r="AD176" s="272"/>
      <c r="AE176" s="272"/>
      <c r="AF176" s="272"/>
      <c r="AG176" s="272"/>
      <c r="AH176" s="274"/>
      <c r="AI176" s="272"/>
      <c r="AJ176" s="272"/>
      <c r="AK176" s="272"/>
      <c r="AO176" s="286" t="s">
        <v>352</v>
      </c>
    </row>
    <row r="177" spans="1:41" hidden="1" x14ac:dyDescent="0.25">
      <c r="A177" s="272" t="str">
        <f t="shared" si="18"/>
        <v>НовосибирскаяDDM MOS Sladkaay ZhiznTSL MOS N.Novgorod</v>
      </c>
      <c r="B177" s="284" t="s">
        <v>127</v>
      </c>
      <c r="C177" s="249" t="s">
        <v>317</v>
      </c>
      <c r="D177" s="284" t="s">
        <v>318</v>
      </c>
      <c r="E177" s="272" t="s">
        <v>319</v>
      </c>
      <c r="F177" s="287" t="s">
        <v>355</v>
      </c>
      <c r="J177" s="219">
        <f t="shared" si="19"/>
        <v>5926665.4000000013</v>
      </c>
      <c r="K177" s="219">
        <f t="shared" si="20"/>
        <v>0</v>
      </c>
      <c r="L177" s="219">
        <f t="shared" si="21"/>
        <v>0</v>
      </c>
      <c r="M177" s="232">
        <f t="shared" si="22"/>
        <v>0</v>
      </c>
      <c r="N177" s="219">
        <f t="shared" si="23"/>
        <v>0</v>
      </c>
      <c r="O177" s="219">
        <f t="shared" si="24"/>
        <v>0</v>
      </c>
      <c r="P177" s="219">
        <f t="shared" si="25"/>
        <v>0</v>
      </c>
      <c r="Q177" s="219">
        <f t="shared" si="26"/>
        <v>0</v>
      </c>
      <c r="R177" s="131"/>
      <c r="T177" s="274">
        <v>5926665.4000000013</v>
      </c>
      <c r="U177" s="272"/>
      <c r="V177" s="272"/>
      <c r="W177" s="272"/>
      <c r="X177" s="272"/>
      <c r="Y177" s="272"/>
      <c r="Z177" s="272"/>
      <c r="AA177" s="272"/>
      <c r="AB177" s="272"/>
      <c r="AC177" s="272"/>
      <c r="AD177" s="272"/>
      <c r="AE177" s="272"/>
      <c r="AF177" s="272"/>
      <c r="AG177" s="272"/>
      <c r="AH177" s="274"/>
      <c r="AI177" s="272"/>
      <c r="AJ177" s="272"/>
      <c r="AK177" s="272"/>
      <c r="AO177" s="286" t="s">
        <v>352</v>
      </c>
    </row>
    <row r="178" spans="1:41" hidden="1" x14ac:dyDescent="0.25">
      <c r="A178" s="272" t="str">
        <f t="shared" si="18"/>
        <v>ВладимирскаяDDM MOS Sladkaay ZhiznTSL MOS N.Novgorod</v>
      </c>
      <c r="B178" s="284" t="s">
        <v>22</v>
      </c>
      <c r="C178" s="249" t="s">
        <v>317</v>
      </c>
      <c r="D178" s="249" t="s">
        <v>318</v>
      </c>
      <c r="E178" s="250" t="s">
        <v>319</v>
      </c>
      <c r="F178" s="284" t="s">
        <v>320</v>
      </c>
      <c r="J178" s="219">
        <f t="shared" si="19"/>
        <v>5086111.4299999988</v>
      </c>
      <c r="K178" s="219">
        <f t="shared" si="20"/>
        <v>0</v>
      </c>
      <c r="L178" s="219">
        <f t="shared" si="21"/>
        <v>0</v>
      </c>
      <c r="M178" s="232">
        <f t="shared" si="22"/>
        <v>0</v>
      </c>
      <c r="N178" s="219">
        <f t="shared" si="23"/>
        <v>0</v>
      </c>
      <c r="O178" s="219">
        <f t="shared" si="24"/>
        <v>0</v>
      </c>
      <c r="P178" s="219">
        <f t="shared" si="25"/>
        <v>0</v>
      </c>
      <c r="Q178" s="219">
        <f t="shared" si="26"/>
        <v>0</v>
      </c>
      <c r="R178" s="131"/>
      <c r="T178" s="286">
        <v>5086111.4299999988</v>
      </c>
      <c r="U178" s="450"/>
      <c r="V178" s="450"/>
      <c r="W178" s="450"/>
      <c r="X178" s="450"/>
      <c r="Y178" s="450"/>
      <c r="Z178" s="450"/>
      <c r="AA178" s="450"/>
      <c r="AB178" s="450"/>
      <c r="AC178" s="450"/>
      <c r="AD178" s="272"/>
      <c r="AE178" s="272"/>
      <c r="AF178" s="272"/>
      <c r="AG178" s="272"/>
      <c r="AH178" s="274"/>
      <c r="AI178" s="272"/>
      <c r="AJ178" s="272"/>
      <c r="AK178" s="272"/>
      <c r="AO178" s="286" t="s">
        <v>352</v>
      </c>
    </row>
    <row r="179" spans="1:41" hidden="1" x14ac:dyDescent="0.25">
      <c r="A179" s="272" t="str">
        <f t="shared" si="18"/>
        <v>НижегородскаяDDM MOS Sladkaay ZhiznTSL MOS N.Novgorod</v>
      </c>
      <c r="B179" s="284" t="s">
        <v>21</v>
      </c>
      <c r="C179" s="249" t="s">
        <v>317</v>
      </c>
      <c r="D179" s="249" t="s">
        <v>318</v>
      </c>
      <c r="E179" s="250" t="s">
        <v>319</v>
      </c>
      <c r="F179" s="284" t="s">
        <v>320</v>
      </c>
      <c r="H179" s="272">
        <v>1</v>
      </c>
      <c r="J179" s="219">
        <f t="shared" si="19"/>
        <v>26291849.469999973</v>
      </c>
      <c r="K179" s="219">
        <f t="shared" si="20"/>
        <v>0</v>
      </c>
      <c r="L179" s="219">
        <f t="shared" si="21"/>
        <v>0</v>
      </c>
      <c r="M179" s="232">
        <f t="shared" si="22"/>
        <v>0</v>
      </c>
      <c r="N179" s="219">
        <f t="shared" si="23"/>
        <v>0</v>
      </c>
      <c r="O179" s="219">
        <f t="shared" si="24"/>
        <v>0</v>
      </c>
      <c r="P179" s="219">
        <f t="shared" si="25"/>
        <v>0</v>
      </c>
      <c r="Q179" s="219">
        <f t="shared" si="26"/>
        <v>0</v>
      </c>
      <c r="R179" s="131"/>
      <c r="T179" s="286">
        <v>26291849.469999973</v>
      </c>
      <c r="U179" s="272"/>
      <c r="V179" s="272"/>
      <c r="W179" s="272"/>
      <c r="X179" s="272"/>
      <c r="Y179" s="272"/>
      <c r="Z179" s="272"/>
      <c r="AA179" s="272"/>
      <c r="AB179" s="272"/>
      <c r="AC179" s="272"/>
      <c r="AD179" s="272"/>
      <c r="AE179" s="272"/>
      <c r="AF179" s="272"/>
      <c r="AG179" s="272"/>
      <c r="AH179" s="274"/>
      <c r="AI179" s="272"/>
      <c r="AJ179" s="272"/>
      <c r="AK179" s="272"/>
      <c r="AO179" s="286" t="s">
        <v>352</v>
      </c>
    </row>
    <row r="180" spans="1:41" hidden="1" x14ac:dyDescent="0.25">
      <c r="A180" s="272" t="str">
        <f t="shared" si="18"/>
        <v>ТатарстанDDM MOS Sladkaay ZhiznTSL MOS N.Novgorod</v>
      </c>
      <c r="B180" s="284" t="s">
        <v>93</v>
      </c>
      <c r="C180" s="249" t="s">
        <v>317</v>
      </c>
      <c r="D180" s="249" t="s">
        <v>318</v>
      </c>
      <c r="E180" s="250" t="s">
        <v>319</v>
      </c>
      <c r="F180" s="287" t="s">
        <v>320</v>
      </c>
      <c r="J180" s="219">
        <f t="shared" si="19"/>
        <v>22420066.279999983</v>
      </c>
      <c r="K180" s="219">
        <f t="shared" si="20"/>
        <v>0</v>
      </c>
      <c r="L180" s="219">
        <f t="shared" si="21"/>
        <v>0</v>
      </c>
      <c r="M180" s="232">
        <f t="shared" si="22"/>
        <v>0</v>
      </c>
      <c r="N180" s="219">
        <f t="shared" si="23"/>
        <v>0</v>
      </c>
      <c r="O180" s="219">
        <f t="shared" si="24"/>
        <v>0</v>
      </c>
      <c r="P180" s="219">
        <f t="shared" si="25"/>
        <v>0</v>
      </c>
      <c r="Q180" s="219">
        <f t="shared" si="26"/>
        <v>0</v>
      </c>
      <c r="R180" s="131"/>
      <c r="T180" s="274">
        <v>22420066.279999983</v>
      </c>
      <c r="U180" s="272"/>
      <c r="V180" s="272"/>
      <c r="W180" s="272"/>
      <c r="X180" s="272"/>
      <c r="Y180" s="272"/>
      <c r="Z180" s="272"/>
      <c r="AA180" s="272"/>
      <c r="AB180" s="272"/>
      <c r="AC180" s="272"/>
      <c r="AD180" s="272"/>
      <c r="AE180" s="272"/>
      <c r="AF180" s="272"/>
      <c r="AG180" s="272"/>
      <c r="AH180" s="274"/>
      <c r="AI180" s="272"/>
      <c r="AJ180" s="272"/>
      <c r="AK180" s="272"/>
      <c r="AO180" s="286" t="s">
        <v>352</v>
      </c>
    </row>
    <row r="181" spans="1:41" hidden="1" x14ac:dyDescent="0.25">
      <c r="A181" s="272" t="str">
        <f t="shared" si="18"/>
        <v>МоскваDDM MOS Sladkaay ZhiznTSL MOS N.Novgorod</v>
      </c>
      <c r="B181" s="284" t="s">
        <v>7</v>
      </c>
      <c r="C181" s="249" t="s">
        <v>317</v>
      </c>
      <c r="D181" s="284" t="s">
        <v>318</v>
      </c>
      <c r="E181" s="272" t="s">
        <v>319</v>
      </c>
      <c r="F181" s="284" t="s">
        <v>322</v>
      </c>
      <c r="J181" s="219">
        <f t="shared" si="19"/>
        <v>85074102.199999839</v>
      </c>
      <c r="K181" s="219">
        <f t="shared" si="20"/>
        <v>0</v>
      </c>
      <c r="L181" s="219">
        <f t="shared" si="21"/>
        <v>0</v>
      </c>
      <c r="M181" s="232">
        <f t="shared" si="22"/>
        <v>0</v>
      </c>
      <c r="N181" s="219">
        <f t="shared" si="23"/>
        <v>0</v>
      </c>
      <c r="O181" s="219">
        <f t="shared" si="24"/>
        <v>0</v>
      </c>
      <c r="P181" s="219">
        <f t="shared" si="25"/>
        <v>0</v>
      </c>
      <c r="Q181" s="219">
        <f t="shared" si="26"/>
        <v>0</v>
      </c>
      <c r="R181" s="131"/>
      <c r="T181" s="286">
        <v>85074102.199999839</v>
      </c>
      <c r="U181" s="272"/>
      <c r="V181" s="272"/>
      <c r="W181" s="272"/>
      <c r="X181" s="272"/>
      <c r="Y181" s="272"/>
      <c r="Z181" s="272"/>
      <c r="AA181" s="272"/>
      <c r="AB181" s="272"/>
      <c r="AC181" s="272"/>
      <c r="AD181" s="272"/>
      <c r="AE181" s="272"/>
      <c r="AF181" s="272"/>
      <c r="AG181" s="272"/>
      <c r="AH181" s="274"/>
      <c r="AI181" s="272"/>
      <c r="AJ181" s="272"/>
      <c r="AK181" s="272"/>
      <c r="AO181" s="286" t="s">
        <v>352</v>
      </c>
    </row>
    <row r="182" spans="1:41" hidden="1" x14ac:dyDescent="0.25">
      <c r="A182" s="272" t="str">
        <f t="shared" si="18"/>
        <v>МосковскаяDDM MOS Sladkaay ZhiznTSL MOS N.Novgorod</v>
      </c>
      <c r="B182" s="284" t="s">
        <v>333</v>
      </c>
      <c r="C182" s="249" t="s">
        <v>317</v>
      </c>
      <c r="D182" s="284" t="s">
        <v>318</v>
      </c>
      <c r="E182" s="272" t="s">
        <v>319</v>
      </c>
      <c r="F182" s="287" t="s">
        <v>322</v>
      </c>
      <c r="J182" s="219">
        <f t="shared" si="19"/>
        <v>3823372.6700000009</v>
      </c>
      <c r="K182" s="219">
        <f t="shared" si="20"/>
        <v>0</v>
      </c>
      <c r="L182" s="219">
        <f t="shared" si="21"/>
        <v>0</v>
      </c>
      <c r="M182" s="232">
        <f t="shared" si="22"/>
        <v>0</v>
      </c>
      <c r="N182" s="219">
        <f t="shared" si="23"/>
        <v>0</v>
      </c>
      <c r="O182" s="219">
        <f t="shared" si="24"/>
        <v>0</v>
      </c>
      <c r="P182" s="219">
        <f t="shared" si="25"/>
        <v>0</v>
      </c>
      <c r="Q182" s="219">
        <f t="shared" si="26"/>
        <v>0</v>
      </c>
      <c r="R182" s="131"/>
      <c r="T182" s="286">
        <v>3823372.6700000009</v>
      </c>
      <c r="U182" s="272"/>
      <c r="V182" s="272"/>
      <c r="W182" s="272"/>
      <c r="X182" s="272"/>
      <c r="Y182" s="272"/>
      <c r="Z182" s="272"/>
      <c r="AA182" s="272"/>
      <c r="AB182" s="272"/>
      <c r="AC182" s="272"/>
      <c r="AD182" s="272"/>
      <c r="AE182" s="272"/>
      <c r="AF182" s="272"/>
      <c r="AG182" s="272"/>
      <c r="AH182" s="274"/>
      <c r="AI182" s="272"/>
      <c r="AJ182" s="272"/>
      <c r="AK182" s="272"/>
      <c r="AO182" s="286" t="s">
        <v>352</v>
      </c>
    </row>
    <row r="183" spans="1:41" hidden="1" x14ac:dyDescent="0.25">
      <c r="A183" s="272" t="str">
        <f t="shared" si="18"/>
        <v>ВоронежскаяDDM MOS Sladkaay ZhiznTSL MOS N.Novgorod</v>
      </c>
      <c r="B183" s="284" t="s">
        <v>148</v>
      </c>
      <c r="C183" s="249" t="s">
        <v>317</v>
      </c>
      <c r="D183" s="284" t="s">
        <v>318</v>
      </c>
      <c r="E183" s="272" t="s">
        <v>319</v>
      </c>
      <c r="F183" s="284" t="s">
        <v>356</v>
      </c>
      <c r="J183" s="219">
        <f t="shared" si="19"/>
        <v>8536955.5500000007</v>
      </c>
      <c r="K183" s="219">
        <f t="shared" si="20"/>
        <v>0</v>
      </c>
      <c r="L183" s="219">
        <f t="shared" si="21"/>
        <v>0</v>
      </c>
      <c r="M183" s="232">
        <f t="shared" si="22"/>
        <v>0</v>
      </c>
      <c r="N183" s="219">
        <f t="shared" si="23"/>
        <v>0</v>
      </c>
      <c r="O183" s="219">
        <f t="shared" si="24"/>
        <v>0</v>
      </c>
      <c r="P183" s="219">
        <f t="shared" si="25"/>
        <v>0</v>
      </c>
      <c r="Q183" s="219">
        <f t="shared" si="26"/>
        <v>0</v>
      </c>
      <c r="R183" s="131"/>
      <c r="T183" s="274">
        <v>8536955.5500000007</v>
      </c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2"/>
      <c r="AF183" s="272"/>
      <c r="AG183" s="272"/>
      <c r="AH183" s="274"/>
      <c r="AI183" s="272"/>
      <c r="AJ183" s="272"/>
      <c r="AK183" s="272"/>
      <c r="AO183" s="286" t="s">
        <v>352</v>
      </c>
    </row>
    <row r="184" spans="1:41" hidden="1" x14ac:dyDescent="0.25">
      <c r="A184" s="272" t="str">
        <f t="shared" si="18"/>
        <v>КраснодарскийDDM MOS Sladkaay ZhiznTSL MOS N.Novgorod</v>
      </c>
      <c r="B184" s="284" t="s">
        <v>173</v>
      </c>
      <c r="C184" s="249" t="s">
        <v>317</v>
      </c>
      <c r="D184" s="284" t="s">
        <v>318</v>
      </c>
      <c r="E184" s="272" t="s">
        <v>319</v>
      </c>
      <c r="F184" s="284" t="s">
        <v>356</v>
      </c>
      <c r="J184" s="219">
        <f t="shared" si="19"/>
        <v>10671112.189999996</v>
      </c>
      <c r="K184" s="219">
        <f t="shared" si="20"/>
        <v>0</v>
      </c>
      <c r="L184" s="219">
        <f t="shared" si="21"/>
        <v>0</v>
      </c>
      <c r="M184" s="232">
        <f t="shared" si="22"/>
        <v>0</v>
      </c>
      <c r="N184" s="219">
        <f t="shared" si="23"/>
        <v>0</v>
      </c>
      <c r="O184" s="219">
        <f t="shared" si="24"/>
        <v>0</v>
      </c>
      <c r="P184" s="219">
        <f t="shared" si="25"/>
        <v>0</v>
      </c>
      <c r="Q184" s="219">
        <f t="shared" si="26"/>
        <v>0</v>
      </c>
      <c r="R184" s="131"/>
      <c r="T184" s="274">
        <v>10671112.189999996</v>
      </c>
      <c r="U184" s="272"/>
      <c r="V184" s="272"/>
      <c r="W184" s="272"/>
      <c r="X184" s="272"/>
      <c r="Y184" s="272"/>
      <c r="Z184" s="272"/>
      <c r="AA184" s="272"/>
      <c r="AB184" s="272"/>
      <c r="AC184" s="272"/>
      <c r="AD184" s="272"/>
      <c r="AE184" s="272"/>
      <c r="AF184" s="272"/>
      <c r="AG184" s="272"/>
      <c r="AH184" s="274"/>
      <c r="AI184" s="272"/>
      <c r="AJ184" s="272"/>
      <c r="AK184" s="272"/>
      <c r="AO184" s="286" t="s">
        <v>352</v>
      </c>
    </row>
    <row r="185" spans="1:41" hidden="1" x14ac:dyDescent="0.25">
      <c r="A185" s="272" t="str">
        <f t="shared" si="18"/>
        <v>РостовскаяDDM MOS Sladkaay ZhiznTSL MOS N.Novgorod</v>
      </c>
      <c r="B185" s="284" t="s">
        <v>156</v>
      </c>
      <c r="C185" s="249" t="s">
        <v>317</v>
      </c>
      <c r="D185" s="284" t="s">
        <v>318</v>
      </c>
      <c r="E185" s="272" t="s">
        <v>319</v>
      </c>
      <c r="F185" s="284" t="s">
        <v>356</v>
      </c>
      <c r="J185" s="219">
        <f t="shared" si="19"/>
        <v>647650.9600000002</v>
      </c>
      <c r="K185" s="219">
        <f t="shared" si="20"/>
        <v>0</v>
      </c>
      <c r="L185" s="219">
        <f t="shared" si="21"/>
        <v>0</v>
      </c>
      <c r="M185" s="232">
        <f t="shared" si="22"/>
        <v>0</v>
      </c>
      <c r="N185" s="219">
        <f t="shared" si="23"/>
        <v>0</v>
      </c>
      <c r="O185" s="219">
        <f t="shared" si="24"/>
        <v>0</v>
      </c>
      <c r="P185" s="219">
        <f t="shared" si="25"/>
        <v>0</v>
      </c>
      <c r="Q185" s="219">
        <f t="shared" si="26"/>
        <v>0</v>
      </c>
      <c r="R185" s="131"/>
      <c r="T185" s="274">
        <v>647650.9600000002</v>
      </c>
      <c r="U185" s="272"/>
      <c r="V185" s="272"/>
      <c r="W185" s="272"/>
      <c r="X185" s="272"/>
      <c r="Y185" s="272"/>
      <c r="Z185" s="272"/>
      <c r="AA185" s="272"/>
      <c r="AB185" s="272"/>
      <c r="AC185" s="272"/>
      <c r="AD185" s="272"/>
      <c r="AE185" s="272"/>
      <c r="AF185" s="272"/>
      <c r="AG185" s="272"/>
      <c r="AH185" s="274"/>
      <c r="AI185" s="272"/>
      <c r="AJ185" s="272"/>
      <c r="AK185" s="272"/>
      <c r="AO185" s="286" t="s">
        <v>352</v>
      </c>
    </row>
    <row r="186" spans="1:41" hidden="1" x14ac:dyDescent="0.25">
      <c r="A186" s="272" t="str">
        <f t="shared" si="18"/>
        <v>СаратовскаяDDM MOS Sladkaay ZhiznTSL MOS N.Novgorod</v>
      </c>
      <c r="B186" s="284" t="s">
        <v>154</v>
      </c>
      <c r="C186" s="249" t="s">
        <v>317</v>
      </c>
      <c r="D186" s="284" t="s">
        <v>318</v>
      </c>
      <c r="E186" s="272" t="s">
        <v>319</v>
      </c>
      <c r="F186" s="284" t="s">
        <v>356</v>
      </c>
      <c r="J186" s="219">
        <f t="shared" si="19"/>
        <v>4282666.66</v>
      </c>
      <c r="K186" s="219">
        <f t="shared" si="20"/>
        <v>0</v>
      </c>
      <c r="L186" s="219">
        <f t="shared" si="21"/>
        <v>0</v>
      </c>
      <c r="M186" s="232">
        <f t="shared" si="22"/>
        <v>0</v>
      </c>
      <c r="N186" s="219">
        <f t="shared" si="23"/>
        <v>0</v>
      </c>
      <c r="O186" s="219">
        <f t="shared" si="24"/>
        <v>0</v>
      </c>
      <c r="P186" s="219">
        <f t="shared" si="25"/>
        <v>0</v>
      </c>
      <c r="Q186" s="219">
        <f t="shared" si="26"/>
        <v>0</v>
      </c>
      <c r="R186" s="131"/>
      <c r="T186" s="274">
        <v>4282666.66</v>
      </c>
      <c r="U186" s="272"/>
      <c r="V186" s="272"/>
      <c r="W186" s="272"/>
      <c r="X186" s="272"/>
      <c r="Y186" s="272"/>
      <c r="Z186" s="272"/>
      <c r="AA186" s="272"/>
      <c r="AB186" s="272"/>
      <c r="AC186" s="272"/>
      <c r="AD186" s="272"/>
      <c r="AE186" s="272"/>
      <c r="AF186" s="272"/>
      <c r="AG186" s="272"/>
      <c r="AH186" s="274"/>
      <c r="AI186" s="272"/>
      <c r="AJ186" s="272"/>
      <c r="AK186" s="272"/>
      <c r="AO186" s="286" t="s">
        <v>352</v>
      </c>
    </row>
    <row r="187" spans="1:41" hidden="1" x14ac:dyDescent="0.25">
      <c r="A187" s="272" t="str">
        <f t="shared" si="18"/>
        <v>СтавропольскийDDM MOS Sladkaay ZhiznTSL MOS N.Novgorod</v>
      </c>
      <c r="B187" s="284" t="s">
        <v>160</v>
      </c>
      <c r="C187" s="249" t="s">
        <v>317</v>
      </c>
      <c r="D187" s="284" t="s">
        <v>318</v>
      </c>
      <c r="E187" s="272" t="s">
        <v>319</v>
      </c>
      <c r="F187" s="287" t="s">
        <v>356</v>
      </c>
      <c r="J187" s="219">
        <f t="shared" si="19"/>
        <v>6853605.1999999909</v>
      </c>
      <c r="K187" s="219">
        <f t="shared" si="20"/>
        <v>0</v>
      </c>
      <c r="L187" s="219">
        <f t="shared" si="21"/>
        <v>0</v>
      </c>
      <c r="M187" s="232">
        <f t="shared" si="22"/>
        <v>0</v>
      </c>
      <c r="N187" s="219">
        <f t="shared" si="23"/>
        <v>0</v>
      </c>
      <c r="O187" s="219">
        <f t="shared" si="24"/>
        <v>0</v>
      </c>
      <c r="P187" s="219">
        <f t="shared" si="25"/>
        <v>0</v>
      </c>
      <c r="Q187" s="219">
        <f t="shared" si="26"/>
        <v>0</v>
      </c>
      <c r="R187" s="131"/>
      <c r="T187" s="274">
        <v>6853605.1999999909</v>
      </c>
      <c r="U187" s="272"/>
      <c r="V187" s="272"/>
      <c r="W187" s="272"/>
      <c r="X187" s="272"/>
      <c r="Y187" s="272"/>
      <c r="Z187" s="272"/>
      <c r="AA187" s="272"/>
      <c r="AB187" s="272"/>
      <c r="AC187" s="272"/>
      <c r="AD187" s="272"/>
      <c r="AE187" s="272"/>
      <c r="AF187" s="272"/>
      <c r="AG187" s="272"/>
      <c r="AH187" s="274"/>
      <c r="AI187" s="272"/>
      <c r="AJ187" s="272"/>
      <c r="AK187" s="272"/>
      <c r="AO187" s="286" t="s">
        <v>352</v>
      </c>
    </row>
    <row r="188" spans="1:41" hidden="1" x14ac:dyDescent="0.25">
      <c r="A188" s="272" t="str">
        <f t="shared" si="18"/>
        <v>НовосибирскаяDDM MOS Sladkaay ZhiznTSL MOS N.Novgorod</v>
      </c>
      <c r="B188" s="284" t="s">
        <v>127</v>
      </c>
      <c r="C188" s="249" t="s">
        <v>317</v>
      </c>
      <c r="D188" s="284" t="s">
        <v>318</v>
      </c>
      <c r="E188" s="272" t="s">
        <v>319</v>
      </c>
      <c r="F188" s="287" t="s">
        <v>357</v>
      </c>
      <c r="J188" s="219">
        <f t="shared" si="19"/>
        <v>3186751.46</v>
      </c>
      <c r="K188" s="219">
        <f t="shared" si="20"/>
        <v>0</v>
      </c>
      <c r="L188" s="219">
        <f t="shared" si="21"/>
        <v>0</v>
      </c>
      <c r="M188" s="232">
        <f t="shared" si="22"/>
        <v>0</v>
      </c>
      <c r="N188" s="219">
        <f t="shared" si="23"/>
        <v>0</v>
      </c>
      <c r="O188" s="219">
        <f t="shared" si="24"/>
        <v>0</v>
      </c>
      <c r="P188" s="219">
        <f t="shared" si="25"/>
        <v>0</v>
      </c>
      <c r="Q188" s="219">
        <f t="shared" si="26"/>
        <v>0</v>
      </c>
      <c r="R188" s="131"/>
      <c r="T188" s="274">
        <v>3186751.46</v>
      </c>
      <c r="U188" s="272"/>
      <c r="V188" s="272"/>
      <c r="W188" s="272"/>
      <c r="X188" s="272"/>
      <c r="Y188" s="272"/>
      <c r="Z188" s="272"/>
      <c r="AA188" s="272"/>
      <c r="AB188" s="272"/>
      <c r="AC188" s="272"/>
      <c r="AD188" s="272"/>
      <c r="AE188" s="272"/>
      <c r="AF188" s="272"/>
      <c r="AG188" s="272"/>
      <c r="AH188" s="274"/>
      <c r="AI188" s="272"/>
      <c r="AJ188" s="272"/>
      <c r="AK188" s="272"/>
      <c r="AO188" s="286" t="s">
        <v>352</v>
      </c>
    </row>
    <row r="189" spans="1:41" hidden="1" x14ac:dyDescent="0.25">
      <c r="A189" s="272" t="str">
        <f t="shared" si="18"/>
        <v>ПермскийDDM MOS Sladkaay ZhiznTSL MOS N.Novgorod</v>
      </c>
      <c r="B189" s="284" t="s">
        <v>102</v>
      </c>
      <c r="C189" s="249" t="s">
        <v>317</v>
      </c>
      <c r="D189" s="284" t="s">
        <v>318</v>
      </c>
      <c r="E189" s="272" t="s">
        <v>319</v>
      </c>
      <c r="F189" s="284" t="s">
        <v>358</v>
      </c>
      <c r="J189" s="219">
        <f t="shared" si="19"/>
        <v>17566407.939999998</v>
      </c>
      <c r="K189" s="219">
        <f t="shared" si="20"/>
        <v>0</v>
      </c>
      <c r="L189" s="219">
        <f t="shared" si="21"/>
        <v>0</v>
      </c>
      <c r="M189" s="232">
        <f t="shared" si="22"/>
        <v>0</v>
      </c>
      <c r="N189" s="219">
        <f t="shared" si="23"/>
        <v>0</v>
      </c>
      <c r="O189" s="219">
        <f t="shared" si="24"/>
        <v>0</v>
      </c>
      <c r="P189" s="219">
        <f t="shared" si="25"/>
        <v>0</v>
      </c>
      <c r="Q189" s="219">
        <f t="shared" si="26"/>
        <v>0</v>
      </c>
      <c r="R189" s="131"/>
      <c r="T189" s="274">
        <v>17566407.939999998</v>
      </c>
      <c r="U189" s="272"/>
      <c r="V189" s="272"/>
      <c r="W189" s="272"/>
      <c r="X189" s="272"/>
      <c r="Y189" s="272"/>
      <c r="Z189" s="272"/>
      <c r="AA189" s="272"/>
      <c r="AB189" s="272"/>
      <c r="AC189" s="272"/>
      <c r="AD189" s="272"/>
      <c r="AE189" s="272"/>
      <c r="AF189" s="272"/>
      <c r="AG189" s="272"/>
      <c r="AH189" s="274"/>
      <c r="AI189" s="272"/>
      <c r="AJ189" s="272"/>
      <c r="AK189" s="272"/>
      <c r="AO189" s="286" t="s">
        <v>352</v>
      </c>
    </row>
    <row r="190" spans="1:41" hidden="1" x14ac:dyDescent="0.25">
      <c r="A190" s="272" t="str">
        <f t="shared" si="18"/>
        <v>ЧелябинскаяDDM MOS Sladkaay ZhiznTSL MOS N.Novgorod</v>
      </c>
      <c r="B190" s="284" t="s">
        <v>103</v>
      </c>
      <c r="C190" s="249" t="s">
        <v>317</v>
      </c>
      <c r="D190" s="284" t="s">
        <v>318</v>
      </c>
      <c r="E190" s="272" t="s">
        <v>319</v>
      </c>
      <c r="F190" s="287" t="s">
        <v>358</v>
      </c>
      <c r="J190" s="219">
        <f t="shared" si="19"/>
        <v>664339.91000000038</v>
      </c>
      <c r="K190" s="219">
        <f t="shared" si="20"/>
        <v>0</v>
      </c>
      <c r="L190" s="219">
        <f t="shared" si="21"/>
        <v>0</v>
      </c>
      <c r="M190" s="232">
        <f t="shared" si="22"/>
        <v>0</v>
      </c>
      <c r="N190" s="219">
        <f t="shared" si="23"/>
        <v>0</v>
      </c>
      <c r="O190" s="219">
        <f t="shared" si="24"/>
        <v>0</v>
      </c>
      <c r="P190" s="219">
        <f t="shared" si="25"/>
        <v>0</v>
      </c>
      <c r="Q190" s="219">
        <f t="shared" si="26"/>
        <v>0</v>
      </c>
      <c r="R190" s="131"/>
      <c r="T190" s="274">
        <v>664339.91000000038</v>
      </c>
      <c r="U190" s="272"/>
      <c r="V190" s="272"/>
      <c r="W190" s="272"/>
      <c r="X190" s="272"/>
      <c r="Y190" s="272"/>
      <c r="Z190" s="272"/>
      <c r="AA190" s="272"/>
      <c r="AB190" s="272"/>
      <c r="AC190" s="272"/>
      <c r="AD190" s="272"/>
      <c r="AE190" s="272"/>
      <c r="AF190" s="272"/>
      <c r="AG190" s="272"/>
      <c r="AH190" s="274"/>
      <c r="AI190" s="272"/>
      <c r="AJ190" s="272"/>
      <c r="AK190" s="272"/>
      <c r="AO190" s="286" t="s">
        <v>352</v>
      </c>
    </row>
    <row r="191" spans="1:41" hidden="1" x14ac:dyDescent="0.25">
      <c r="A191" s="272" t="str">
        <f t="shared" si="18"/>
        <v>СамарскаяDDM MOS Sladkaay ZhiznTSL MOS N.Novgorod</v>
      </c>
      <c r="B191" s="284" t="s">
        <v>105</v>
      </c>
      <c r="C191" s="249" t="s">
        <v>317</v>
      </c>
      <c r="D191" s="284" t="s">
        <v>318</v>
      </c>
      <c r="E191" s="272" t="s">
        <v>319</v>
      </c>
      <c r="F191" s="287" t="s">
        <v>359</v>
      </c>
      <c r="J191" s="219">
        <f t="shared" si="19"/>
        <v>8668249.0399999991</v>
      </c>
      <c r="K191" s="219">
        <f t="shared" si="20"/>
        <v>0</v>
      </c>
      <c r="L191" s="219">
        <f t="shared" si="21"/>
        <v>0</v>
      </c>
      <c r="M191" s="232">
        <f t="shared" si="22"/>
        <v>0</v>
      </c>
      <c r="N191" s="219">
        <f t="shared" si="23"/>
        <v>0</v>
      </c>
      <c r="O191" s="219">
        <f t="shared" si="24"/>
        <v>0</v>
      </c>
      <c r="P191" s="219">
        <f t="shared" si="25"/>
        <v>0</v>
      </c>
      <c r="Q191" s="219">
        <f t="shared" si="26"/>
        <v>0</v>
      </c>
      <c r="R191" s="131"/>
      <c r="T191" s="274">
        <v>8668249.0399999991</v>
      </c>
      <c r="U191" s="272"/>
      <c r="V191" s="272"/>
      <c r="W191" s="272"/>
      <c r="X191" s="272"/>
      <c r="Y191" s="272"/>
      <c r="Z191" s="272"/>
      <c r="AA191" s="272"/>
      <c r="AB191" s="272"/>
      <c r="AC191" s="272"/>
      <c r="AD191" s="272"/>
      <c r="AE191" s="272"/>
      <c r="AF191" s="272"/>
      <c r="AG191" s="272"/>
      <c r="AH191" s="274"/>
      <c r="AI191" s="272"/>
      <c r="AJ191" s="272"/>
      <c r="AK191" s="272"/>
      <c r="AO191" s="286" t="s">
        <v>352</v>
      </c>
    </row>
    <row r="192" spans="1:41" hidden="1" x14ac:dyDescent="0.25">
      <c r="A192" s="272" t="str">
        <f t="shared" si="18"/>
        <v>СвердловскаяDDM MOS Sladkaay ZhiznTSL MOS N.Novgorod</v>
      </c>
      <c r="B192" s="284" t="s">
        <v>118</v>
      </c>
      <c r="C192" s="249" t="s">
        <v>317</v>
      </c>
      <c r="D192" s="284" t="s">
        <v>318</v>
      </c>
      <c r="E192" s="272" t="s">
        <v>319</v>
      </c>
      <c r="F192" s="287" t="s">
        <v>360</v>
      </c>
      <c r="J192" s="219">
        <f t="shared" si="19"/>
        <v>20660.689999999999</v>
      </c>
      <c r="K192" s="219">
        <f t="shared" si="20"/>
        <v>0</v>
      </c>
      <c r="L192" s="219">
        <f t="shared" si="21"/>
        <v>0</v>
      </c>
      <c r="M192" s="232">
        <f t="shared" si="22"/>
        <v>0</v>
      </c>
      <c r="N192" s="219">
        <f t="shared" si="23"/>
        <v>0</v>
      </c>
      <c r="O192" s="219">
        <f t="shared" si="24"/>
        <v>0</v>
      </c>
      <c r="P192" s="219">
        <f t="shared" si="25"/>
        <v>0</v>
      </c>
      <c r="Q192" s="219">
        <f t="shared" si="26"/>
        <v>0</v>
      </c>
      <c r="R192" s="131"/>
      <c r="T192" s="274">
        <v>20660.689999999999</v>
      </c>
      <c r="U192" s="272"/>
      <c r="V192" s="272"/>
      <c r="W192" s="272"/>
      <c r="X192" s="272"/>
      <c r="Y192" s="272"/>
      <c r="Z192" s="272"/>
      <c r="AA192" s="272"/>
      <c r="AB192" s="272"/>
      <c r="AC192" s="272"/>
      <c r="AD192" s="272"/>
      <c r="AE192" s="272"/>
      <c r="AF192" s="272"/>
      <c r="AG192" s="272"/>
      <c r="AH192" s="274"/>
      <c r="AI192" s="272"/>
      <c r="AJ192" s="272"/>
      <c r="AK192" s="272"/>
      <c r="AO192" s="286" t="s">
        <v>352</v>
      </c>
    </row>
    <row r="193" spans="1:41" hidden="1" x14ac:dyDescent="0.25">
      <c r="A193" s="272" t="str">
        <f t="shared" si="18"/>
        <v>БелгородскаяRADM MoscowRAL MOS SPT RKA</v>
      </c>
      <c r="B193" s="287" t="s">
        <v>341</v>
      </c>
      <c r="C193" s="249" t="s">
        <v>317</v>
      </c>
      <c r="D193" s="249" t="s">
        <v>337</v>
      </c>
      <c r="E193" s="272" t="s">
        <v>338</v>
      </c>
      <c r="F193" s="251" t="s">
        <v>325</v>
      </c>
      <c r="J193" s="219">
        <f t="shared" si="19"/>
        <v>43742.18</v>
      </c>
      <c r="K193" s="219">
        <f t="shared" si="20"/>
        <v>0</v>
      </c>
      <c r="L193" s="219">
        <f t="shared" si="21"/>
        <v>0</v>
      </c>
      <c r="M193" s="232">
        <f t="shared" si="22"/>
        <v>0</v>
      </c>
      <c r="N193" s="219">
        <f t="shared" si="23"/>
        <v>0</v>
      </c>
      <c r="O193" s="219">
        <f t="shared" si="24"/>
        <v>0</v>
      </c>
      <c r="P193" s="219">
        <f t="shared" si="25"/>
        <v>0</v>
      </c>
      <c r="Q193" s="219">
        <f t="shared" si="26"/>
        <v>0</v>
      </c>
      <c r="R193" s="131"/>
      <c r="T193" s="286">
        <v>43742.18</v>
      </c>
      <c r="U193" s="272"/>
      <c r="V193" s="272"/>
      <c r="W193" s="272"/>
      <c r="X193" s="272"/>
      <c r="Y193" s="272"/>
      <c r="Z193" s="272"/>
      <c r="AA193" s="272"/>
      <c r="AB193" s="272"/>
      <c r="AC193" s="272"/>
      <c r="AD193" s="272"/>
      <c r="AE193" s="272"/>
      <c r="AF193" s="272"/>
      <c r="AG193" s="272"/>
      <c r="AH193" s="274"/>
      <c r="AI193" s="450"/>
      <c r="AJ193" s="272"/>
      <c r="AK193" s="272"/>
      <c r="AO193" s="284" t="s">
        <v>361</v>
      </c>
    </row>
    <row r="194" spans="1:41" hidden="1" x14ac:dyDescent="0.25">
      <c r="A194" s="272" t="str">
        <f t="shared" si="18"/>
        <v>МоскваRADM MoscowRAL MOS SPT RKA</v>
      </c>
      <c r="B194" s="287" t="s">
        <v>7</v>
      </c>
      <c r="C194" s="249" t="s">
        <v>317</v>
      </c>
      <c r="D194" s="249" t="s">
        <v>337</v>
      </c>
      <c r="E194" s="272" t="s">
        <v>338</v>
      </c>
      <c r="F194" s="251" t="s">
        <v>325</v>
      </c>
      <c r="H194" s="272">
        <v>1</v>
      </c>
      <c r="J194" s="219">
        <f t="shared" si="19"/>
        <v>51488847.459999874</v>
      </c>
      <c r="K194" s="219">
        <f t="shared" si="20"/>
        <v>0</v>
      </c>
      <c r="L194" s="219">
        <f t="shared" si="21"/>
        <v>0</v>
      </c>
      <c r="M194" s="232">
        <f t="shared" si="22"/>
        <v>0</v>
      </c>
      <c r="N194" s="219">
        <f t="shared" si="23"/>
        <v>0</v>
      </c>
      <c r="O194" s="219">
        <f t="shared" si="24"/>
        <v>0</v>
      </c>
      <c r="P194" s="219">
        <f t="shared" si="25"/>
        <v>0</v>
      </c>
      <c r="Q194" s="219">
        <f t="shared" si="26"/>
        <v>0</v>
      </c>
      <c r="R194" s="131"/>
      <c r="T194" s="286">
        <v>51488847.459999874</v>
      </c>
      <c r="U194" s="272"/>
      <c r="V194" s="272"/>
      <c r="W194" s="272"/>
      <c r="X194" s="272"/>
      <c r="Y194" s="272"/>
      <c r="Z194" s="272"/>
      <c r="AA194" s="272"/>
      <c r="AB194" s="272"/>
      <c r="AC194" s="272"/>
      <c r="AD194" s="272"/>
      <c r="AE194" s="272"/>
      <c r="AF194" s="272"/>
      <c r="AG194" s="272"/>
      <c r="AH194" s="274"/>
      <c r="AI194" s="450"/>
      <c r="AJ194" s="272"/>
      <c r="AK194" s="272"/>
      <c r="AO194" s="284" t="s">
        <v>361</v>
      </c>
    </row>
    <row r="195" spans="1:41" hidden="1" x14ac:dyDescent="0.25">
      <c r="A195" s="272" t="str">
        <f t="shared" si="18"/>
        <v>МосковскаяRADM MoscowRAL MOS SPT RKA</v>
      </c>
      <c r="B195" s="287" t="s">
        <v>333</v>
      </c>
      <c r="C195" s="249" t="s">
        <v>317</v>
      </c>
      <c r="D195" s="249" t="s">
        <v>337</v>
      </c>
      <c r="E195" s="272" t="s">
        <v>338</v>
      </c>
      <c r="F195" s="251" t="s">
        <v>325</v>
      </c>
      <c r="J195" s="219">
        <f t="shared" si="19"/>
        <v>4983223.1399999978</v>
      </c>
      <c r="K195" s="219">
        <f t="shared" si="20"/>
        <v>0</v>
      </c>
      <c r="L195" s="219">
        <f t="shared" si="21"/>
        <v>0</v>
      </c>
      <c r="M195" s="232">
        <f t="shared" si="22"/>
        <v>0</v>
      </c>
      <c r="N195" s="219">
        <f t="shared" si="23"/>
        <v>0</v>
      </c>
      <c r="O195" s="219">
        <f t="shared" si="24"/>
        <v>0</v>
      </c>
      <c r="P195" s="219">
        <f t="shared" si="25"/>
        <v>0</v>
      </c>
      <c r="Q195" s="219">
        <f t="shared" si="26"/>
        <v>0</v>
      </c>
      <c r="R195" s="131"/>
      <c r="T195" s="286">
        <v>4983223.1399999978</v>
      </c>
      <c r="U195" s="272"/>
      <c r="V195" s="272"/>
      <c r="W195" s="272"/>
      <c r="X195" s="272"/>
      <c r="Y195" s="272"/>
      <c r="Z195" s="272"/>
      <c r="AA195" s="272"/>
      <c r="AB195" s="272"/>
      <c r="AC195" s="272"/>
      <c r="AD195" s="272"/>
      <c r="AE195" s="272"/>
      <c r="AF195" s="272"/>
      <c r="AG195" s="272"/>
      <c r="AH195" s="274"/>
      <c r="AI195" s="450"/>
      <c r="AJ195" s="272"/>
      <c r="AK195" s="272"/>
      <c r="AO195" s="284" t="s">
        <v>361</v>
      </c>
    </row>
    <row r="196" spans="1:41" hidden="1" x14ac:dyDescent="0.25">
      <c r="A196" s="272" t="str">
        <f t="shared" ref="A196:A233" si="27">B196&amp;D196&amp;E196</f>
        <v>СамарскаяRADM MoscowRAL MOS SPT RKA</v>
      </c>
      <c r="B196" s="287" t="s">
        <v>105</v>
      </c>
      <c r="C196" s="249" t="s">
        <v>317</v>
      </c>
      <c r="D196" s="249" t="s">
        <v>337</v>
      </c>
      <c r="E196" s="272" t="s">
        <v>338</v>
      </c>
      <c r="F196" s="251" t="s">
        <v>325</v>
      </c>
      <c r="J196" s="219">
        <f t="shared" si="19"/>
        <v>28707.439999999991</v>
      </c>
      <c r="K196" s="219">
        <f t="shared" si="20"/>
        <v>0</v>
      </c>
      <c r="L196" s="219">
        <f t="shared" si="21"/>
        <v>0</v>
      </c>
      <c r="M196" s="232">
        <f t="shared" si="22"/>
        <v>0</v>
      </c>
      <c r="N196" s="219">
        <f t="shared" si="23"/>
        <v>0</v>
      </c>
      <c r="O196" s="219">
        <f t="shared" si="24"/>
        <v>0</v>
      </c>
      <c r="P196" s="219">
        <f t="shared" si="25"/>
        <v>0</v>
      </c>
      <c r="Q196" s="219">
        <f t="shared" si="26"/>
        <v>0</v>
      </c>
      <c r="R196" s="131"/>
      <c r="T196" s="286">
        <v>28707.439999999991</v>
      </c>
      <c r="U196" s="272"/>
      <c r="V196" s="272"/>
      <c r="W196" s="272"/>
      <c r="X196" s="272"/>
      <c r="Y196" s="272"/>
      <c r="Z196" s="272"/>
      <c r="AA196" s="272"/>
      <c r="AB196" s="272"/>
      <c r="AC196" s="272"/>
      <c r="AD196" s="272"/>
      <c r="AE196" s="272"/>
      <c r="AF196" s="272"/>
      <c r="AG196" s="272"/>
      <c r="AH196" s="274"/>
      <c r="AI196" s="450"/>
      <c r="AJ196" s="272"/>
      <c r="AK196" s="272"/>
      <c r="AO196" s="284" t="s">
        <v>361</v>
      </c>
    </row>
    <row r="197" spans="1:41" hidden="1" x14ac:dyDescent="0.25">
      <c r="A197" s="272" t="str">
        <f t="shared" si="27"/>
        <v>Санкт-ПетербургRADM MoscowRAL MOS SPT RKA</v>
      </c>
      <c r="B197" s="287" t="s">
        <v>346</v>
      </c>
      <c r="C197" s="249" t="s">
        <v>317</v>
      </c>
      <c r="D197" s="249" t="s">
        <v>337</v>
      </c>
      <c r="E197" s="272" t="s">
        <v>338</v>
      </c>
      <c r="F197" s="251" t="s">
        <v>325</v>
      </c>
      <c r="J197" s="219">
        <f t="shared" ref="J197:J260" si="28">SUM(S197:T197)</f>
        <v>904834.39000000013</v>
      </c>
      <c r="K197" s="219">
        <f t="shared" ref="K197:K260" si="29">SUM(U197:W197)</f>
        <v>0</v>
      </c>
      <c r="L197" s="219">
        <f t="shared" ref="L197:L260" si="30">X197</f>
        <v>0</v>
      </c>
      <c r="M197" s="232">
        <f t="shared" ref="M197:M260" si="31">SUM(Y197:AC197)</f>
        <v>0</v>
      </c>
      <c r="N197" s="219">
        <f t="shared" ref="N197:N260" si="32">SUM(AD197:AF197)</f>
        <v>0</v>
      </c>
      <c r="O197" s="219">
        <f t="shared" ref="O197:O260" si="33">AH197</f>
        <v>0</v>
      </c>
      <c r="P197" s="219">
        <f t="shared" ref="P197:P260" si="34">AI197</f>
        <v>0</v>
      </c>
      <c r="Q197" s="219">
        <f t="shared" ref="Q197:Q260" si="35">SUM(AL197:AN197)</f>
        <v>0</v>
      </c>
      <c r="R197" s="131"/>
      <c r="T197" s="286">
        <v>904834.39000000013</v>
      </c>
      <c r="U197" s="272"/>
      <c r="V197" s="272"/>
      <c r="W197" s="272"/>
      <c r="X197" s="272"/>
      <c r="Y197" s="272"/>
      <c r="Z197" s="272"/>
      <c r="AA197" s="272"/>
      <c r="AB197" s="272"/>
      <c r="AC197" s="272"/>
      <c r="AD197" s="272"/>
      <c r="AE197" s="272"/>
      <c r="AF197" s="272"/>
      <c r="AG197" s="272"/>
      <c r="AH197" s="274"/>
      <c r="AI197" s="450"/>
      <c r="AJ197" s="272"/>
      <c r="AK197" s="272"/>
      <c r="AO197" s="284" t="s">
        <v>361</v>
      </c>
    </row>
    <row r="198" spans="1:41" hidden="1" x14ac:dyDescent="0.25">
      <c r="A198" s="272" t="str">
        <f t="shared" si="27"/>
        <v>ВладимирскаяTDM MOS Grocery RKA+NA Moscow NorthKADL MOS NA Vladimir</v>
      </c>
      <c r="B198" s="287" t="s">
        <v>22</v>
      </c>
      <c r="C198" s="249" t="s">
        <v>317</v>
      </c>
      <c r="D198" s="284" t="s">
        <v>362</v>
      </c>
      <c r="E198" s="272" t="s">
        <v>363</v>
      </c>
      <c r="I198" s="272" t="s">
        <v>342</v>
      </c>
      <c r="J198" s="219">
        <f t="shared" si="28"/>
        <v>0</v>
      </c>
      <c r="K198" s="219">
        <f t="shared" si="29"/>
        <v>0</v>
      </c>
      <c r="L198" s="219">
        <f t="shared" si="30"/>
        <v>0</v>
      </c>
      <c r="M198" s="232">
        <f t="shared" si="31"/>
        <v>0</v>
      </c>
      <c r="N198" s="219">
        <f t="shared" si="32"/>
        <v>1574705433.900434</v>
      </c>
      <c r="O198" s="219">
        <f t="shared" si="33"/>
        <v>0</v>
      </c>
      <c r="P198" s="219">
        <f t="shared" si="34"/>
        <v>850113432.71010005</v>
      </c>
      <c r="Q198" s="219">
        <f t="shared" si="35"/>
        <v>0</v>
      </c>
      <c r="R198" s="131"/>
      <c r="T198" s="272"/>
      <c r="U198" s="272"/>
      <c r="V198" s="272"/>
      <c r="W198" s="272"/>
      <c r="X198" s="272"/>
      <c r="Y198" s="272"/>
      <c r="Z198" s="272"/>
      <c r="AA198" s="272"/>
      <c r="AB198" s="272"/>
      <c r="AC198" s="272"/>
      <c r="AD198" s="291">
        <v>678438040.08997214</v>
      </c>
      <c r="AE198" s="291">
        <v>526018131.46046066</v>
      </c>
      <c r="AF198" s="291">
        <v>370249262.35000122</v>
      </c>
      <c r="AG198" s="291">
        <v>102728614.69999996</v>
      </c>
      <c r="AH198" s="274"/>
      <c r="AI198" s="450">
        <v>850113432.71010005</v>
      </c>
      <c r="AJ198" s="290"/>
      <c r="AK198" s="289"/>
    </row>
    <row r="199" spans="1:41" hidden="1" x14ac:dyDescent="0.25">
      <c r="A199" s="272" t="str">
        <f t="shared" si="27"/>
        <v>КалужскаяTDM MOS Grocery RKA+NA Moscow SouthKADL MOS Grocery RKA+NA Tula+Ryazan-Kaluga</v>
      </c>
      <c r="B199" s="287" t="s">
        <v>20</v>
      </c>
      <c r="C199" s="249" t="s">
        <v>317</v>
      </c>
      <c r="D199" s="284" t="s">
        <v>364</v>
      </c>
      <c r="E199" s="272" t="s">
        <v>365</v>
      </c>
      <c r="I199" s="272" t="s">
        <v>343</v>
      </c>
      <c r="J199" s="219">
        <f t="shared" si="28"/>
        <v>0</v>
      </c>
      <c r="K199" s="219">
        <f t="shared" si="29"/>
        <v>0</v>
      </c>
      <c r="L199" s="219">
        <f t="shared" si="30"/>
        <v>0</v>
      </c>
      <c r="M199" s="232">
        <f t="shared" si="31"/>
        <v>0</v>
      </c>
      <c r="N199" s="219">
        <f t="shared" si="32"/>
        <v>1261789709.1353848</v>
      </c>
      <c r="O199" s="219">
        <f t="shared" si="33"/>
        <v>0</v>
      </c>
      <c r="P199" s="219">
        <f t="shared" si="34"/>
        <v>662172794.79000032</v>
      </c>
      <c r="Q199" s="219">
        <f t="shared" si="35"/>
        <v>0</v>
      </c>
      <c r="R199" s="131"/>
      <c r="T199" s="272"/>
      <c r="U199" s="272"/>
      <c r="V199" s="272"/>
      <c r="W199" s="272"/>
      <c r="X199" s="272"/>
      <c r="Y199" s="272"/>
      <c r="Z199" s="272"/>
      <c r="AA199" s="272"/>
      <c r="AB199" s="272"/>
      <c r="AC199" s="272"/>
      <c r="AD199" s="291">
        <v>527389618.38998353</v>
      </c>
      <c r="AE199" s="291">
        <v>395132896.1954003</v>
      </c>
      <c r="AF199" s="291">
        <v>339267194.55000097</v>
      </c>
      <c r="AG199" s="291">
        <v>6626195.330000001</v>
      </c>
      <c r="AH199" s="274"/>
      <c r="AI199" s="450">
        <v>662172794.79000032</v>
      </c>
      <c r="AJ199" s="290"/>
      <c r="AK199" s="289"/>
    </row>
    <row r="200" spans="1:41" hidden="1" x14ac:dyDescent="0.25">
      <c r="A200" s="272" t="str">
        <f t="shared" si="27"/>
        <v>КировскаяTDM MOS Grocery RKA+NA Moscow NorthKADL MOS NA Vladimir</v>
      </c>
      <c r="B200" s="287" t="s">
        <v>25</v>
      </c>
      <c r="C200" s="249" t="s">
        <v>317</v>
      </c>
      <c r="D200" s="284" t="s">
        <v>362</v>
      </c>
      <c r="E200" s="272" t="s">
        <v>363</v>
      </c>
      <c r="I200" s="272" t="s">
        <v>342</v>
      </c>
      <c r="J200" s="219">
        <f t="shared" si="28"/>
        <v>0</v>
      </c>
      <c r="K200" s="219">
        <f t="shared" si="29"/>
        <v>0</v>
      </c>
      <c r="L200" s="219">
        <f t="shared" si="30"/>
        <v>0</v>
      </c>
      <c r="M200" s="232">
        <f t="shared" si="31"/>
        <v>0</v>
      </c>
      <c r="N200" s="219">
        <f t="shared" si="32"/>
        <v>1008606761.4179183</v>
      </c>
      <c r="O200" s="219">
        <f t="shared" si="33"/>
        <v>0</v>
      </c>
      <c r="P200" s="219">
        <f t="shared" si="34"/>
        <v>600256169.04110003</v>
      </c>
      <c r="Q200" s="219">
        <f t="shared" si="35"/>
        <v>0</v>
      </c>
      <c r="R200" s="131"/>
      <c r="T200" s="272"/>
      <c r="U200" s="272"/>
      <c r="V200" s="272"/>
      <c r="W200" s="272"/>
      <c r="X200" s="272"/>
      <c r="Y200" s="272"/>
      <c r="Z200" s="272"/>
      <c r="AA200" s="272"/>
      <c r="AB200" s="272"/>
      <c r="AC200" s="272"/>
      <c r="AD200" s="291">
        <v>349549813.68998915</v>
      </c>
      <c r="AE200" s="291">
        <v>582318886.45792902</v>
      </c>
      <c r="AF200" s="291">
        <v>76738061.2700001</v>
      </c>
      <c r="AG200" s="291">
        <v>1904727.94</v>
      </c>
      <c r="AH200" s="274"/>
      <c r="AI200" s="450">
        <v>600256169.04110003</v>
      </c>
      <c r="AJ200" s="290"/>
      <c r="AK200" s="289"/>
    </row>
    <row r="201" spans="1:41" hidden="1" x14ac:dyDescent="0.25">
      <c r="A201" s="272" t="str">
        <f t="shared" si="27"/>
        <v>Марий ЭлTDM MOS Grocery RKA+NA Moscow NorthKADL MOS NA N.Novgorod</v>
      </c>
      <c r="B201" s="287" t="s">
        <v>350</v>
      </c>
      <c r="C201" s="249" t="s">
        <v>317</v>
      </c>
      <c r="D201" s="284" t="s">
        <v>362</v>
      </c>
      <c r="E201" s="272" t="s">
        <v>366</v>
      </c>
      <c r="J201" s="219">
        <f t="shared" si="28"/>
        <v>0</v>
      </c>
      <c r="K201" s="219">
        <f t="shared" si="29"/>
        <v>0</v>
      </c>
      <c r="L201" s="219">
        <f t="shared" si="30"/>
        <v>0</v>
      </c>
      <c r="M201" s="232">
        <f t="shared" si="31"/>
        <v>0</v>
      </c>
      <c r="N201" s="219">
        <f t="shared" si="32"/>
        <v>372331071.40695155</v>
      </c>
      <c r="O201" s="219">
        <f t="shared" si="33"/>
        <v>0</v>
      </c>
      <c r="P201" s="219">
        <f t="shared" si="34"/>
        <v>241381462.22059995</v>
      </c>
      <c r="Q201" s="219">
        <f t="shared" si="35"/>
        <v>6817750437.9784079</v>
      </c>
      <c r="R201" s="131"/>
      <c r="T201" s="272"/>
      <c r="U201" s="272"/>
      <c r="V201" s="272"/>
      <c r="W201" s="272"/>
      <c r="X201" s="272"/>
      <c r="Y201" s="272"/>
      <c r="Z201" s="272"/>
      <c r="AA201" s="272"/>
      <c r="AB201" s="272"/>
      <c r="AC201" s="272"/>
      <c r="AD201" s="291">
        <v>182346766.06000003</v>
      </c>
      <c r="AE201" s="291">
        <v>167865815.36695156</v>
      </c>
      <c r="AF201" s="291">
        <v>22118489.979999982</v>
      </c>
      <c r="AG201" s="291">
        <v>17529857.530000001</v>
      </c>
      <c r="AH201" s="274"/>
      <c r="AI201" s="450">
        <v>241381462.22059995</v>
      </c>
      <c r="AJ201" s="290"/>
      <c r="AK201" s="289"/>
      <c r="AM201" s="274">
        <v>6817750437.9784079</v>
      </c>
      <c r="AO201" s="272" t="s">
        <v>367</v>
      </c>
    </row>
    <row r="202" spans="1:41" hidden="1" x14ac:dyDescent="0.25">
      <c r="A202" s="272" t="str">
        <f t="shared" si="27"/>
        <v>МордовияTDM MOS Grocery RKA+NA Moscow NorthKADL MOS NA Vladimir</v>
      </c>
      <c r="B202" s="287" t="s">
        <v>27</v>
      </c>
      <c r="C202" s="249" t="s">
        <v>317</v>
      </c>
      <c r="D202" s="284" t="s">
        <v>362</v>
      </c>
      <c r="E202" s="272" t="s">
        <v>363</v>
      </c>
      <c r="I202" s="272" t="s">
        <v>368</v>
      </c>
      <c r="J202" s="219">
        <f t="shared" si="28"/>
        <v>0</v>
      </c>
      <c r="K202" s="219">
        <f t="shared" si="29"/>
        <v>0</v>
      </c>
      <c r="L202" s="219">
        <f t="shared" si="30"/>
        <v>0</v>
      </c>
      <c r="M202" s="232">
        <f t="shared" si="31"/>
        <v>0</v>
      </c>
      <c r="N202" s="219">
        <f t="shared" si="32"/>
        <v>363908644.75262171</v>
      </c>
      <c r="O202" s="219">
        <f t="shared" si="33"/>
        <v>0</v>
      </c>
      <c r="P202" s="219">
        <f t="shared" si="34"/>
        <v>118931747.26550004</v>
      </c>
      <c r="Q202" s="219">
        <f t="shared" si="35"/>
        <v>0</v>
      </c>
      <c r="R202" s="131"/>
      <c r="T202" s="272"/>
      <c r="U202" s="272"/>
      <c r="V202" s="272"/>
      <c r="W202" s="272"/>
      <c r="X202" s="272"/>
      <c r="Y202" s="272"/>
      <c r="Z202" s="272"/>
      <c r="AA202" s="272"/>
      <c r="AB202" s="272"/>
      <c r="AC202" s="272"/>
      <c r="AD202" s="291">
        <v>122073888.85000151</v>
      </c>
      <c r="AE202" s="291">
        <v>231384018.69262016</v>
      </c>
      <c r="AF202" s="291">
        <v>10450737.210000031</v>
      </c>
      <c r="AG202" s="291">
        <v>7764070.8000000035</v>
      </c>
      <c r="AH202" s="274"/>
      <c r="AI202" s="450">
        <v>118931747.26550004</v>
      </c>
      <c r="AJ202" s="290"/>
      <c r="AK202" s="289"/>
    </row>
    <row r="203" spans="1:41" hidden="1" x14ac:dyDescent="0.25">
      <c r="A203" s="272" t="str">
        <f t="shared" si="27"/>
        <v>МоскваTDM MOS Grocery RKA+NA Moscow NorthKADL MOS Grocery RKA+NA DiscSuper Mos Obl North 2</v>
      </c>
      <c r="B203" s="284" t="s">
        <v>7</v>
      </c>
      <c r="C203" s="249" t="s">
        <v>317</v>
      </c>
      <c r="D203" s="284" t="s">
        <v>362</v>
      </c>
      <c r="E203" s="272" t="s">
        <v>369</v>
      </c>
      <c r="I203" s="272" t="s">
        <v>342</v>
      </c>
      <c r="J203" s="219">
        <f t="shared" si="28"/>
        <v>0</v>
      </c>
      <c r="K203" s="219">
        <f t="shared" si="29"/>
        <v>0</v>
      </c>
      <c r="L203" s="219">
        <f t="shared" si="30"/>
        <v>0</v>
      </c>
      <c r="M203" s="232">
        <f t="shared" si="31"/>
        <v>0</v>
      </c>
      <c r="N203" s="219">
        <f t="shared" si="32"/>
        <v>1036468770.0691371</v>
      </c>
      <c r="O203" s="219">
        <f t="shared" si="33"/>
        <v>0</v>
      </c>
      <c r="P203" s="219">
        <f t="shared" si="34"/>
        <v>657929607.73280001</v>
      </c>
      <c r="Q203" s="219">
        <f t="shared" si="35"/>
        <v>0</v>
      </c>
      <c r="R203" s="131"/>
      <c r="T203" s="272"/>
      <c r="U203" s="272"/>
      <c r="V203" s="272"/>
      <c r="W203" s="272"/>
      <c r="X203" s="272"/>
      <c r="Y203" s="272"/>
      <c r="Z203" s="272"/>
      <c r="AA203" s="272"/>
      <c r="AB203" s="272"/>
      <c r="AC203" s="272"/>
      <c r="AD203" s="291">
        <v>465540732.66266191</v>
      </c>
      <c r="AE203" s="291">
        <v>144203765.25396419</v>
      </c>
      <c r="AF203" s="291">
        <v>426724272.15251094</v>
      </c>
      <c r="AG203" s="291">
        <v>66553933.090000004</v>
      </c>
      <c r="AH203" s="274"/>
      <c r="AI203" s="450">
        <v>657929607.73280001</v>
      </c>
      <c r="AJ203" s="290"/>
      <c r="AK203" s="289"/>
    </row>
    <row r="204" spans="1:41" hidden="1" x14ac:dyDescent="0.25">
      <c r="A204" s="272" t="str">
        <f t="shared" si="27"/>
        <v>МоскваTDM MOS Grocery RKA+NA Moscow NorthKADL MOS Grocery RKA+NA DiscSuper Moscow East</v>
      </c>
      <c r="B204" s="284" t="s">
        <v>7</v>
      </c>
      <c r="C204" s="249" t="s">
        <v>317</v>
      </c>
      <c r="D204" s="284" t="s">
        <v>362</v>
      </c>
      <c r="E204" s="272" t="s">
        <v>370</v>
      </c>
      <c r="I204" s="272" t="s">
        <v>342</v>
      </c>
      <c r="J204" s="219">
        <f t="shared" si="28"/>
        <v>0</v>
      </c>
      <c r="K204" s="219">
        <f t="shared" si="29"/>
        <v>0</v>
      </c>
      <c r="L204" s="219">
        <f t="shared" si="30"/>
        <v>0</v>
      </c>
      <c r="M204" s="232">
        <f t="shared" si="31"/>
        <v>0</v>
      </c>
      <c r="N204" s="219">
        <f t="shared" si="32"/>
        <v>795403118.30058694</v>
      </c>
      <c r="O204" s="219">
        <f t="shared" si="33"/>
        <v>0</v>
      </c>
      <c r="P204" s="219">
        <f t="shared" si="34"/>
        <v>680999942.92850018</v>
      </c>
      <c r="Q204" s="219">
        <f t="shared" si="35"/>
        <v>0</v>
      </c>
      <c r="R204" s="131"/>
      <c r="T204" s="272"/>
      <c r="U204" s="272"/>
      <c r="V204" s="272"/>
      <c r="W204" s="272"/>
      <c r="X204" s="272"/>
      <c r="Y204" s="272"/>
      <c r="Z204" s="272"/>
      <c r="AA204" s="272"/>
      <c r="AB204" s="272"/>
      <c r="AC204" s="272"/>
      <c r="AD204" s="291">
        <v>324178349.08697456</v>
      </c>
      <c r="AE204" s="291">
        <v>90020535.327285334</v>
      </c>
      <c r="AF204" s="291">
        <v>381204233.88632697</v>
      </c>
      <c r="AG204" s="291">
        <v>18514567.340000004</v>
      </c>
      <c r="AH204" s="274"/>
      <c r="AI204" s="450">
        <v>680999942.92850018</v>
      </c>
      <c r="AJ204" s="290"/>
      <c r="AK204" s="289"/>
    </row>
    <row r="205" spans="1:41" hidden="1" x14ac:dyDescent="0.25">
      <c r="A205" s="272" t="str">
        <f t="shared" si="27"/>
        <v>МоскваTDM MOS Grocery RKA+NA Moscow NorthKADL MOS Grocery RKA+NA Hyper Moscow North</v>
      </c>
      <c r="B205" s="284" t="s">
        <v>7</v>
      </c>
      <c r="C205" s="249" t="s">
        <v>317</v>
      </c>
      <c r="D205" s="284" t="s">
        <v>362</v>
      </c>
      <c r="E205" s="272" t="s">
        <v>371</v>
      </c>
      <c r="I205" s="272" t="s">
        <v>342</v>
      </c>
      <c r="J205" s="219">
        <f t="shared" si="28"/>
        <v>0</v>
      </c>
      <c r="K205" s="219">
        <f t="shared" si="29"/>
        <v>0</v>
      </c>
      <c r="L205" s="219">
        <f t="shared" si="30"/>
        <v>0</v>
      </c>
      <c r="M205" s="232">
        <f t="shared" si="31"/>
        <v>0</v>
      </c>
      <c r="N205" s="219">
        <f t="shared" si="32"/>
        <v>1515150860.7424669</v>
      </c>
      <c r="O205" s="219">
        <f t="shared" si="33"/>
        <v>0</v>
      </c>
      <c r="P205" s="219">
        <f t="shared" si="34"/>
        <v>1000410897.2363987</v>
      </c>
      <c r="Q205" s="219">
        <f t="shared" si="35"/>
        <v>0</v>
      </c>
      <c r="R205" s="131"/>
      <c r="T205" s="272"/>
      <c r="U205" s="272"/>
      <c r="V205" s="272"/>
      <c r="W205" s="272"/>
      <c r="X205" s="272"/>
      <c r="Y205" s="272"/>
      <c r="Z205" s="272"/>
      <c r="AA205" s="272"/>
      <c r="AB205" s="272"/>
      <c r="AC205" s="272"/>
      <c r="AD205" s="291">
        <v>678418859.55294251</v>
      </c>
      <c r="AE205" s="291">
        <v>216905781.21951029</v>
      </c>
      <c r="AF205" s="291">
        <v>619826219.97001421</v>
      </c>
      <c r="AG205" s="291">
        <v>115336058.25999995</v>
      </c>
      <c r="AH205" s="274"/>
      <c r="AI205" s="450">
        <v>1000410897.2363987</v>
      </c>
      <c r="AJ205" s="290"/>
      <c r="AK205" s="289"/>
    </row>
    <row r="206" spans="1:41" hidden="1" x14ac:dyDescent="0.25">
      <c r="A206" s="272" t="str">
        <f t="shared" si="27"/>
        <v>МоскваTDM MOS Grocery RKA+NA Moscow SouthKADL MOS Grocery Dixy ( вакансия)</v>
      </c>
      <c r="B206" s="284" t="s">
        <v>7</v>
      </c>
      <c r="C206" s="249" t="s">
        <v>317</v>
      </c>
      <c r="D206" s="284" t="s">
        <v>364</v>
      </c>
      <c r="E206" s="272" t="s">
        <v>372</v>
      </c>
      <c r="I206" s="272" t="s">
        <v>343</v>
      </c>
      <c r="J206" s="219">
        <f t="shared" si="28"/>
        <v>0</v>
      </c>
      <c r="K206" s="219">
        <f t="shared" si="29"/>
        <v>0</v>
      </c>
      <c r="L206" s="219">
        <f t="shared" si="30"/>
        <v>0</v>
      </c>
      <c r="M206" s="232">
        <f t="shared" si="31"/>
        <v>0</v>
      </c>
      <c r="N206" s="219">
        <f t="shared" si="32"/>
        <v>957298104.97257185</v>
      </c>
      <c r="O206" s="219">
        <f t="shared" si="33"/>
        <v>0</v>
      </c>
      <c r="P206" s="219">
        <f t="shared" si="34"/>
        <v>647372110.11980021</v>
      </c>
      <c r="Q206" s="219">
        <f t="shared" si="35"/>
        <v>0</v>
      </c>
      <c r="R206" s="131"/>
      <c r="T206" s="272"/>
      <c r="U206" s="272"/>
      <c r="V206" s="272"/>
      <c r="W206" s="272"/>
      <c r="X206" s="272"/>
      <c r="Y206" s="272"/>
      <c r="Z206" s="272"/>
      <c r="AA206" s="272"/>
      <c r="AB206" s="272"/>
      <c r="AC206" s="272"/>
      <c r="AD206" s="291">
        <v>394373422.19329673</v>
      </c>
      <c r="AE206" s="291">
        <v>97253700.064874455</v>
      </c>
      <c r="AF206" s="291">
        <v>465670982.71440059</v>
      </c>
      <c r="AG206" s="291">
        <v>57686817.789999984</v>
      </c>
      <c r="AH206" s="274"/>
      <c r="AI206" s="450">
        <v>647372110.11980021</v>
      </c>
      <c r="AJ206" s="290"/>
      <c r="AK206" s="289"/>
    </row>
    <row r="207" spans="1:41" hidden="1" x14ac:dyDescent="0.25">
      <c r="A207" s="272" t="str">
        <f t="shared" si="27"/>
        <v>МоскваTDM MOS Grocery RKA+NA Moscow SouthKADL MOS Grocery Tander South</v>
      </c>
      <c r="B207" s="287" t="s">
        <v>7</v>
      </c>
      <c r="C207" s="249" t="s">
        <v>317</v>
      </c>
      <c r="D207" s="284" t="s">
        <v>364</v>
      </c>
      <c r="E207" s="272" t="s">
        <v>373</v>
      </c>
      <c r="I207" s="272" t="s">
        <v>343</v>
      </c>
      <c r="J207" s="219">
        <f t="shared" si="28"/>
        <v>0</v>
      </c>
      <c r="K207" s="219">
        <f t="shared" si="29"/>
        <v>0</v>
      </c>
      <c r="L207" s="219">
        <f t="shared" si="30"/>
        <v>0</v>
      </c>
      <c r="M207" s="232">
        <f t="shared" si="31"/>
        <v>0</v>
      </c>
      <c r="N207" s="219">
        <f t="shared" si="32"/>
        <v>1830138460.7654872</v>
      </c>
      <c r="O207" s="219">
        <f t="shared" si="33"/>
        <v>0</v>
      </c>
      <c r="P207" s="219">
        <f t="shared" si="34"/>
        <v>1033839503.4343996</v>
      </c>
      <c r="Q207" s="219">
        <f t="shared" si="35"/>
        <v>0</v>
      </c>
      <c r="R207" s="131"/>
      <c r="T207" s="272"/>
      <c r="U207" s="272"/>
      <c r="V207" s="272"/>
      <c r="W207" s="272"/>
      <c r="X207" s="272"/>
      <c r="Y207" s="272"/>
      <c r="Z207" s="272"/>
      <c r="AA207" s="272"/>
      <c r="AB207" s="272"/>
      <c r="AC207" s="272"/>
      <c r="AD207" s="291">
        <v>537892417.89402521</v>
      </c>
      <c r="AE207" s="291">
        <v>126016039.0647274</v>
      </c>
      <c r="AF207" s="291">
        <v>1166230003.8067346</v>
      </c>
      <c r="AG207" s="291">
        <v>70400224.169999972</v>
      </c>
      <c r="AH207" s="274"/>
      <c r="AI207" s="450">
        <v>1033839503.4343996</v>
      </c>
      <c r="AJ207" s="290"/>
      <c r="AK207" s="289"/>
    </row>
    <row r="208" spans="1:41" hidden="1" x14ac:dyDescent="0.25">
      <c r="A208" s="272" t="str">
        <f t="shared" si="27"/>
        <v>МосковскаяTDM MOS Grocery RKA+NA Moscow NorthKADL MOS Grocery RKA+NA DiscSuper Mos Obl North 2</v>
      </c>
      <c r="B208" s="284" t="s">
        <v>333</v>
      </c>
      <c r="C208" s="249" t="s">
        <v>317</v>
      </c>
      <c r="D208" s="284" t="s">
        <v>362</v>
      </c>
      <c r="E208" s="272" t="s">
        <v>369</v>
      </c>
      <c r="I208" s="272" t="s">
        <v>342</v>
      </c>
      <c r="J208" s="219">
        <f t="shared" si="28"/>
        <v>0</v>
      </c>
      <c r="K208" s="219">
        <f t="shared" si="29"/>
        <v>0</v>
      </c>
      <c r="L208" s="219">
        <f t="shared" si="30"/>
        <v>0</v>
      </c>
      <c r="M208" s="232">
        <f t="shared" si="31"/>
        <v>0</v>
      </c>
      <c r="N208" s="219">
        <f t="shared" si="32"/>
        <v>2145155606.2921829</v>
      </c>
      <c r="O208" s="219">
        <f t="shared" si="33"/>
        <v>0</v>
      </c>
      <c r="P208" s="219">
        <f t="shared" si="34"/>
        <v>1183794628.9130003</v>
      </c>
      <c r="Q208" s="219">
        <f t="shared" si="35"/>
        <v>0</v>
      </c>
      <c r="R208" s="131"/>
      <c r="T208" s="272"/>
      <c r="U208" s="272"/>
      <c r="V208" s="272"/>
      <c r="W208" s="272"/>
      <c r="X208" s="272"/>
      <c r="Y208" s="272"/>
      <c r="Z208" s="272"/>
      <c r="AA208" s="272"/>
      <c r="AB208" s="272"/>
      <c r="AC208" s="272"/>
      <c r="AD208" s="291">
        <v>831474836.10060978</v>
      </c>
      <c r="AE208" s="291">
        <v>351347611.42868149</v>
      </c>
      <c r="AF208" s="291">
        <v>962333158.76289189</v>
      </c>
      <c r="AG208" s="291">
        <v>196830557.36999971</v>
      </c>
      <c r="AH208" s="274"/>
      <c r="AI208" s="450">
        <v>1183794628.9130003</v>
      </c>
      <c r="AJ208" s="290"/>
      <c r="AK208" s="289"/>
    </row>
    <row r="209" spans="1:43" hidden="1" x14ac:dyDescent="0.25">
      <c r="A209" s="272" t="str">
        <f t="shared" si="27"/>
        <v>МосковскаяTDM MOS Grocery RKA+NA Moscow NorthKADL MOS Grocery RKA+NA DiscSuper Moscow East</v>
      </c>
      <c r="B209" s="284" t="s">
        <v>333</v>
      </c>
      <c r="C209" s="249" t="s">
        <v>317</v>
      </c>
      <c r="D209" s="284" t="s">
        <v>362</v>
      </c>
      <c r="E209" s="272" t="s">
        <v>370</v>
      </c>
      <c r="I209" s="272" t="s">
        <v>342</v>
      </c>
      <c r="J209" s="219">
        <f t="shared" si="28"/>
        <v>0</v>
      </c>
      <c r="K209" s="219">
        <f t="shared" si="29"/>
        <v>0</v>
      </c>
      <c r="L209" s="219">
        <f t="shared" si="30"/>
        <v>0</v>
      </c>
      <c r="M209" s="232">
        <f t="shared" si="31"/>
        <v>0</v>
      </c>
      <c r="N209" s="219">
        <f t="shared" si="32"/>
        <v>1373186133.5273333</v>
      </c>
      <c r="O209" s="219">
        <f t="shared" si="33"/>
        <v>0</v>
      </c>
      <c r="P209" s="219">
        <f t="shared" si="34"/>
        <v>679826351.63689983</v>
      </c>
      <c r="Q209" s="219">
        <f t="shared" si="35"/>
        <v>0</v>
      </c>
      <c r="R209" s="131"/>
      <c r="T209" s="272"/>
      <c r="U209" s="272"/>
      <c r="V209" s="272"/>
      <c r="W209" s="272"/>
      <c r="X209" s="272"/>
      <c r="Y209" s="272"/>
      <c r="Z209" s="272"/>
      <c r="AA209" s="272"/>
      <c r="AB209" s="272"/>
      <c r="AC209" s="272"/>
      <c r="AD209" s="291">
        <v>511318499.99989861</v>
      </c>
      <c r="AE209" s="291">
        <v>225669171.78091267</v>
      </c>
      <c r="AF209" s="291">
        <v>636198461.74652195</v>
      </c>
      <c r="AG209" s="291">
        <v>114335881.62999998</v>
      </c>
      <c r="AH209" s="274"/>
      <c r="AI209" s="450">
        <v>679826351.63689983</v>
      </c>
      <c r="AJ209" s="290"/>
      <c r="AK209" s="289"/>
    </row>
    <row r="210" spans="1:43" hidden="1" x14ac:dyDescent="0.25">
      <c r="A210" s="272" t="str">
        <f t="shared" si="27"/>
        <v>МосковскаяTDM MOS Grocery RKA+NA Moscow NorthKADL MOS Grocery RKA+NA Hyper Moscow North</v>
      </c>
      <c r="B210" s="284" t="s">
        <v>333</v>
      </c>
      <c r="C210" s="249" t="s">
        <v>317</v>
      </c>
      <c r="D210" s="284" t="s">
        <v>362</v>
      </c>
      <c r="E210" s="272" t="s">
        <v>371</v>
      </c>
      <c r="I210" s="272" t="s">
        <v>342</v>
      </c>
      <c r="J210" s="219">
        <f t="shared" si="28"/>
        <v>0</v>
      </c>
      <c r="K210" s="219">
        <f t="shared" si="29"/>
        <v>0</v>
      </c>
      <c r="L210" s="219">
        <f t="shared" si="30"/>
        <v>0</v>
      </c>
      <c r="M210" s="232">
        <f t="shared" si="31"/>
        <v>0</v>
      </c>
      <c r="N210" s="219">
        <f t="shared" si="32"/>
        <v>1682882221.7050142</v>
      </c>
      <c r="O210" s="219">
        <f t="shared" si="33"/>
        <v>0</v>
      </c>
      <c r="P210" s="219">
        <f t="shared" si="34"/>
        <v>815322183.05460024</v>
      </c>
      <c r="Q210" s="219">
        <f t="shared" si="35"/>
        <v>0</v>
      </c>
      <c r="R210" s="131"/>
      <c r="T210" s="272"/>
      <c r="U210" s="272"/>
      <c r="V210" s="272"/>
      <c r="W210" s="272"/>
      <c r="X210" s="272"/>
      <c r="Y210" s="272"/>
      <c r="Z210" s="272"/>
      <c r="AA210" s="272"/>
      <c r="AB210" s="272"/>
      <c r="AC210" s="272"/>
      <c r="AD210" s="291">
        <v>712543615.09525537</v>
      </c>
      <c r="AE210" s="291">
        <v>373375719.28500658</v>
      </c>
      <c r="AF210" s="291">
        <v>596962887.32475233</v>
      </c>
      <c r="AG210" s="291">
        <v>197474993.87000009</v>
      </c>
      <c r="AH210" s="274"/>
      <c r="AI210" s="450">
        <v>815322183.05460024</v>
      </c>
      <c r="AJ210" s="290"/>
      <c r="AK210" s="289"/>
    </row>
    <row r="211" spans="1:43" hidden="1" x14ac:dyDescent="0.25">
      <c r="A211" s="272" t="str">
        <f t="shared" si="27"/>
        <v>МосковскаяTDM MOS Grocery RKA+NA Moscow SouthKADL MOS Grocery Dixy ( вакансия)</v>
      </c>
      <c r="B211" s="284" t="s">
        <v>333</v>
      </c>
      <c r="C211" s="249" t="s">
        <v>317</v>
      </c>
      <c r="D211" s="284" t="s">
        <v>364</v>
      </c>
      <c r="E211" s="272" t="s">
        <v>372</v>
      </c>
      <c r="I211" s="272" t="s">
        <v>343</v>
      </c>
      <c r="J211" s="219">
        <f t="shared" si="28"/>
        <v>0</v>
      </c>
      <c r="K211" s="219">
        <f t="shared" si="29"/>
        <v>0</v>
      </c>
      <c r="L211" s="219">
        <f t="shared" si="30"/>
        <v>0</v>
      </c>
      <c r="M211" s="232">
        <f t="shared" si="31"/>
        <v>0</v>
      </c>
      <c r="N211" s="219">
        <f t="shared" si="32"/>
        <v>2456433269.3302546</v>
      </c>
      <c r="O211" s="219">
        <f t="shared" si="33"/>
        <v>0</v>
      </c>
      <c r="P211" s="219">
        <f t="shared" si="34"/>
        <v>1229216756.1869001</v>
      </c>
      <c r="Q211" s="219">
        <f t="shared" si="35"/>
        <v>0</v>
      </c>
      <c r="R211" s="131"/>
      <c r="T211" s="272"/>
      <c r="U211" s="272"/>
      <c r="V211" s="272"/>
      <c r="W211" s="272"/>
      <c r="X211" s="272"/>
      <c r="Y211" s="272"/>
      <c r="Z211" s="272"/>
      <c r="AA211" s="272"/>
      <c r="AB211" s="272"/>
      <c r="AC211" s="272"/>
      <c r="AD211" s="291">
        <v>991569343.23612261</v>
      </c>
      <c r="AE211" s="291">
        <v>599357210.44890904</v>
      </c>
      <c r="AF211" s="291">
        <v>865506715.6452229</v>
      </c>
      <c r="AG211" s="291">
        <v>177607220.12999988</v>
      </c>
      <c r="AH211" s="274"/>
      <c r="AI211" s="450">
        <v>1229216756.1869001</v>
      </c>
      <c r="AJ211" s="290"/>
      <c r="AK211" s="289"/>
    </row>
    <row r="212" spans="1:43" hidden="1" x14ac:dyDescent="0.25">
      <c r="A212" s="272" t="str">
        <f t="shared" si="27"/>
        <v>МосковскаяTDM MOS Grocery RKA+NA Moscow SouthKADL MOS Grocery Tander South</v>
      </c>
      <c r="B212" s="287" t="s">
        <v>333</v>
      </c>
      <c r="C212" s="249" t="s">
        <v>317</v>
      </c>
      <c r="D212" s="284" t="s">
        <v>364</v>
      </c>
      <c r="E212" s="272" t="s">
        <v>373</v>
      </c>
      <c r="I212" s="272" t="s">
        <v>343</v>
      </c>
      <c r="J212" s="219">
        <f t="shared" si="28"/>
        <v>0</v>
      </c>
      <c r="K212" s="219">
        <f t="shared" si="29"/>
        <v>0</v>
      </c>
      <c r="L212" s="219">
        <f t="shared" si="30"/>
        <v>0</v>
      </c>
      <c r="M212" s="232">
        <f t="shared" si="31"/>
        <v>0</v>
      </c>
      <c r="N212" s="219">
        <f t="shared" si="32"/>
        <v>2974553447.1966333</v>
      </c>
      <c r="O212" s="219">
        <f t="shared" si="33"/>
        <v>0</v>
      </c>
      <c r="P212" s="219">
        <f t="shared" si="34"/>
        <v>1516192695.7996001</v>
      </c>
      <c r="Q212" s="219">
        <f t="shared" si="35"/>
        <v>0</v>
      </c>
      <c r="R212" s="131"/>
      <c r="T212" s="272"/>
      <c r="U212" s="272"/>
      <c r="V212" s="272"/>
      <c r="W212" s="272"/>
      <c r="X212" s="272"/>
      <c r="Y212" s="272"/>
      <c r="Z212" s="272"/>
      <c r="AA212" s="272"/>
      <c r="AB212" s="272"/>
      <c r="AC212" s="272"/>
      <c r="AD212" s="291">
        <v>1037182468.147874</v>
      </c>
      <c r="AE212" s="291">
        <v>551826914.40820706</v>
      </c>
      <c r="AF212" s="291">
        <v>1385544064.640552</v>
      </c>
      <c r="AG212" s="291">
        <v>284347953.18000025</v>
      </c>
      <c r="AH212" s="274"/>
      <c r="AI212" s="450">
        <v>1516192695.7996001</v>
      </c>
      <c r="AJ212" s="290"/>
      <c r="AK212" s="289"/>
    </row>
    <row r="213" spans="1:43" hidden="1" x14ac:dyDescent="0.25">
      <c r="A213" s="272" t="str">
        <f t="shared" si="27"/>
        <v>НижегородскаяTDM MOS Grocery RKA+NA Moscow NorthKADL MOS NA Vladimir</v>
      </c>
      <c r="B213" s="284" t="s">
        <v>21</v>
      </c>
      <c r="C213" s="249" t="s">
        <v>317</v>
      </c>
      <c r="D213" s="284" t="s">
        <v>362</v>
      </c>
      <c r="E213" s="272" t="s">
        <v>363</v>
      </c>
      <c r="I213" s="272" t="s">
        <v>342</v>
      </c>
      <c r="J213" s="219">
        <f t="shared" si="28"/>
        <v>0</v>
      </c>
      <c r="K213" s="219">
        <f t="shared" si="29"/>
        <v>0</v>
      </c>
      <c r="L213" s="219">
        <f t="shared" si="30"/>
        <v>0</v>
      </c>
      <c r="M213" s="232">
        <f t="shared" si="31"/>
        <v>0</v>
      </c>
      <c r="N213" s="219">
        <f t="shared" si="32"/>
        <v>1041681577.0615587</v>
      </c>
      <c r="O213" s="219">
        <f t="shared" si="33"/>
        <v>0</v>
      </c>
      <c r="P213" s="219">
        <f t="shared" si="34"/>
        <v>651264436.76190007</v>
      </c>
      <c r="Q213" s="219">
        <f t="shared" si="35"/>
        <v>0</v>
      </c>
      <c r="R213" s="131"/>
      <c r="T213" s="272"/>
      <c r="U213" s="272"/>
      <c r="V213" s="272"/>
      <c r="W213" s="272"/>
      <c r="X213" s="272"/>
      <c r="Y213" s="272"/>
      <c r="Z213" s="272"/>
      <c r="AA213" s="272"/>
      <c r="AB213" s="272"/>
      <c r="AC213" s="272"/>
      <c r="AD213" s="291">
        <v>540611305.32998252</v>
      </c>
      <c r="AE213" s="291">
        <v>345351095.60157597</v>
      </c>
      <c r="AF213" s="291">
        <v>155719176.13000017</v>
      </c>
      <c r="AG213" s="291">
        <v>122456893.96000002</v>
      </c>
      <c r="AH213" s="274"/>
      <c r="AI213" s="450">
        <v>651264436.76190007</v>
      </c>
      <c r="AJ213" s="290"/>
      <c r="AK213" s="289"/>
    </row>
    <row r="214" spans="1:43" hidden="1" x14ac:dyDescent="0.25">
      <c r="A214" s="272" t="str">
        <f t="shared" si="27"/>
        <v>НижегородскаяTDM MOS Grocery RKA+NA Moscow NorthKADL MOS NA N.Novgorod</v>
      </c>
      <c r="B214" s="287" t="s">
        <v>21</v>
      </c>
      <c r="C214" s="249" t="s">
        <v>317</v>
      </c>
      <c r="D214" s="284" t="s">
        <v>362</v>
      </c>
      <c r="E214" s="272" t="s">
        <v>366</v>
      </c>
      <c r="I214" s="272" t="s">
        <v>342</v>
      </c>
      <c r="J214" s="219">
        <f t="shared" si="28"/>
        <v>0</v>
      </c>
      <c r="K214" s="219">
        <f t="shared" si="29"/>
        <v>0</v>
      </c>
      <c r="L214" s="219">
        <f t="shared" si="30"/>
        <v>0</v>
      </c>
      <c r="M214" s="232">
        <f t="shared" si="31"/>
        <v>0</v>
      </c>
      <c r="N214" s="219">
        <f t="shared" si="32"/>
        <v>1765265709.8193688</v>
      </c>
      <c r="O214" s="219">
        <f t="shared" si="33"/>
        <v>0</v>
      </c>
      <c r="P214" s="219">
        <f t="shared" si="34"/>
        <v>978077545.10700023</v>
      </c>
      <c r="Q214" s="219">
        <f t="shared" si="35"/>
        <v>0</v>
      </c>
      <c r="R214" s="131"/>
      <c r="T214" s="272"/>
      <c r="U214" s="272"/>
      <c r="V214" s="272"/>
      <c r="W214" s="272"/>
      <c r="X214" s="272"/>
      <c r="Y214" s="272"/>
      <c r="Z214" s="272"/>
      <c r="AA214" s="272"/>
      <c r="AB214" s="272"/>
      <c r="AC214" s="272"/>
      <c r="AD214" s="291">
        <v>988414284.19993234</v>
      </c>
      <c r="AE214" s="291">
        <v>629508014.34943664</v>
      </c>
      <c r="AF214" s="291">
        <v>147343411.26999986</v>
      </c>
      <c r="AG214" s="291">
        <v>132219886.2</v>
      </c>
      <c r="AH214" s="274"/>
      <c r="AI214" s="450">
        <v>978077545.10700023</v>
      </c>
      <c r="AJ214" s="290"/>
      <c r="AK214" s="289"/>
    </row>
    <row r="215" spans="1:43" hidden="1" x14ac:dyDescent="0.25">
      <c r="A215" s="272" t="str">
        <f t="shared" si="27"/>
        <v>РязанскаяTDM MOS Grocery RKA+NA Moscow SouthKADL MOS Grocery RKA+NA Tula+Ryazan-Kaluga</v>
      </c>
      <c r="B215" s="287" t="s">
        <v>18</v>
      </c>
      <c r="C215" s="249" t="s">
        <v>317</v>
      </c>
      <c r="D215" s="284" t="s">
        <v>364</v>
      </c>
      <c r="E215" s="272" t="s">
        <v>365</v>
      </c>
      <c r="I215" s="272" t="s">
        <v>343</v>
      </c>
      <c r="J215" s="219">
        <f t="shared" si="28"/>
        <v>0</v>
      </c>
      <c r="K215" s="219">
        <f t="shared" si="29"/>
        <v>0</v>
      </c>
      <c r="L215" s="219">
        <f t="shared" si="30"/>
        <v>0</v>
      </c>
      <c r="M215" s="232">
        <f t="shared" si="31"/>
        <v>0</v>
      </c>
      <c r="N215" s="219">
        <f t="shared" si="32"/>
        <v>1038614436.6483186</v>
      </c>
      <c r="O215" s="219">
        <f t="shared" si="33"/>
        <v>0</v>
      </c>
      <c r="P215" s="219">
        <f t="shared" si="34"/>
        <v>480428274.77450013</v>
      </c>
      <c r="Q215" s="219">
        <f t="shared" si="35"/>
        <v>0</v>
      </c>
      <c r="R215" s="131"/>
      <c r="T215" s="272"/>
      <c r="U215" s="272"/>
      <c r="V215" s="272"/>
      <c r="W215" s="272"/>
      <c r="X215" s="272"/>
      <c r="Y215" s="272"/>
      <c r="Z215" s="272"/>
      <c r="AA215" s="272"/>
      <c r="AB215" s="272"/>
      <c r="AC215" s="272"/>
      <c r="AD215" s="291">
        <v>507455147.54997963</v>
      </c>
      <c r="AE215" s="291">
        <v>294422244.72833872</v>
      </c>
      <c r="AF215" s="291">
        <v>236737044.37000024</v>
      </c>
      <c r="AG215" s="291">
        <v>40707434.009999976</v>
      </c>
      <c r="AH215" s="274"/>
      <c r="AI215" s="450">
        <v>480428274.77450013</v>
      </c>
      <c r="AJ215" s="290"/>
      <c r="AK215" s="289"/>
    </row>
    <row r="216" spans="1:43" hidden="1" x14ac:dyDescent="0.25">
      <c r="A216" s="272" t="str">
        <f t="shared" si="27"/>
        <v>ТульскаяTDM MOS Grocery RKA+NA Moscow SouthKADL MOS Grocery RKA+NA Tula+Ryazan-Kaluga</v>
      </c>
      <c r="B216" s="287" t="s">
        <v>17</v>
      </c>
      <c r="C216" s="249" t="s">
        <v>317</v>
      </c>
      <c r="D216" s="284" t="s">
        <v>364</v>
      </c>
      <c r="E216" s="474" t="s">
        <v>365</v>
      </c>
      <c r="I216" s="272" t="s">
        <v>343</v>
      </c>
      <c r="J216" s="219">
        <f t="shared" si="28"/>
        <v>0</v>
      </c>
      <c r="K216" s="219">
        <f t="shared" si="29"/>
        <v>0</v>
      </c>
      <c r="L216" s="219">
        <f t="shared" si="30"/>
        <v>0</v>
      </c>
      <c r="M216" s="232">
        <f t="shared" si="31"/>
        <v>0</v>
      </c>
      <c r="N216" s="219">
        <f t="shared" si="32"/>
        <v>1627551925.4856875</v>
      </c>
      <c r="O216" s="219">
        <f t="shared" si="33"/>
        <v>0</v>
      </c>
      <c r="P216" s="219">
        <f t="shared" si="34"/>
        <v>741268860.08500016</v>
      </c>
      <c r="Q216" s="219">
        <f t="shared" si="35"/>
        <v>0</v>
      </c>
      <c r="R216" s="131"/>
      <c r="T216" s="272"/>
      <c r="U216" s="272"/>
      <c r="V216" s="272"/>
      <c r="W216" s="272"/>
      <c r="X216" s="272"/>
      <c r="Y216" s="272"/>
      <c r="Z216" s="272"/>
      <c r="AA216" s="272"/>
      <c r="AB216" s="272"/>
      <c r="AC216" s="272"/>
      <c r="AD216" s="291">
        <v>662088823.75997436</v>
      </c>
      <c r="AE216" s="291">
        <v>536696592.08571398</v>
      </c>
      <c r="AF216" s="291">
        <v>428766509.63999921</v>
      </c>
      <c r="AG216" s="291">
        <v>99891083.720000029</v>
      </c>
      <c r="AH216" s="274"/>
      <c r="AI216" s="450">
        <v>741268860.08500016</v>
      </c>
      <c r="AJ216" s="290"/>
      <c r="AK216" s="289"/>
    </row>
    <row r="217" spans="1:43" hidden="1" x14ac:dyDescent="0.25">
      <c r="A217" s="272" t="str">
        <f t="shared" si="27"/>
        <v>Чувашская Республика -TDM MOS Grocery RKA+NA Moscow NorthKADL MOS NA N.Novgorod</v>
      </c>
      <c r="B217" s="287" t="s">
        <v>336</v>
      </c>
      <c r="C217" s="249" t="s">
        <v>317</v>
      </c>
      <c r="D217" s="284" t="s">
        <v>362</v>
      </c>
      <c r="E217" s="272" t="s">
        <v>366</v>
      </c>
      <c r="I217" s="272" t="s">
        <v>342</v>
      </c>
      <c r="J217" s="219">
        <f t="shared" si="28"/>
        <v>0</v>
      </c>
      <c r="K217" s="219">
        <f t="shared" si="29"/>
        <v>0</v>
      </c>
      <c r="L217" s="219">
        <f t="shared" si="30"/>
        <v>0</v>
      </c>
      <c r="M217" s="232">
        <f t="shared" si="31"/>
        <v>0</v>
      </c>
      <c r="N217" s="219">
        <f t="shared" si="32"/>
        <v>666661438.05790865</v>
      </c>
      <c r="O217" s="219">
        <f t="shared" si="33"/>
        <v>0</v>
      </c>
      <c r="P217" s="219">
        <f t="shared" si="34"/>
        <v>409132633.48490024</v>
      </c>
      <c r="Q217" s="219">
        <f t="shared" si="35"/>
        <v>0</v>
      </c>
      <c r="R217" s="131"/>
      <c r="T217" s="272"/>
      <c r="U217" s="272"/>
      <c r="V217" s="272"/>
      <c r="W217" s="272"/>
      <c r="X217" s="272"/>
      <c r="Y217" s="272"/>
      <c r="Z217" s="272"/>
      <c r="AA217" s="272"/>
      <c r="AB217" s="272"/>
      <c r="AC217" s="272"/>
      <c r="AD217" s="291">
        <v>271899901.41999817</v>
      </c>
      <c r="AE217" s="291">
        <v>333077940.63791049</v>
      </c>
      <c r="AF217" s="291">
        <v>61683596</v>
      </c>
      <c r="AG217" s="291">
        <v>26624441.639999993</v>
      </c>
      <c r="AH217" s="274"/>
      <c r="AI217" s="450">
        <v>409132633.48490024</v>
      </c>
      <c r="AJ217" s="290"/>
      <c r="AK217" s="289"/>
    </row>
    <row r="218" spans="1:43" hidden="1" x14ac:dyDescent="0.25">
      <c r="A218" s="272" t="str">
        <f t="shared" si="27"/>
        <v>МосковскаяRADM MoscowJRAM Verniy</v>
      </c>
      <c r="B218" s="272" t="s">
        <v>333</v>
      </c>
      <c r="C218" s="249" t="s">
        <v>317</v>
      </c>
      <c r="D218" s="284" t="s">
        <v>337</v>
      </c>
      <c r="E218" s="284" t="s">
        <v>374</v>
      </c>
      <c r="I218" s="288" t="s">
        <v>375</v>
      </c>
      <c r="J218" s="219">
        <f t="shared" si="28"/>
        <v>283124.17999999993</v>
      </c>
      <c r="K218" s="219">
        <f t="shared" si="29"/>
        <v>0</v>
      </c>
      <c r="L218" s="219">
        <f t="shared" si="30"/>
        <v>0</v>
      </c>
      <c r="M218" s="232">
        <f t="shared" si="31"/>
        <v>0</v>
      </c>
      <c r="N218" s="219">
        <f t="shared" si="32"/>
        <v>0</v>
      </c>
      <c r="O218" s="219">
        <f t="shared" si="33"/>
        <v>0</v>
      </c>
      <c r="P218" s="219">
        <f t="shared" si="34"/>
        <v>0</v>
      </c>
      <c r="Q218" s="219">
        <f t="shared" si="35"/>
        <v>0</v>
      </c>
      <c r="R218" s="131"/>
      <c r="S218" s="274">
        <v>283124.17999999993</v>
      </c>
      <c r="T218" s="272"/>
      <c r="U218" s="272"/>
      <c r="V218" s="272"/>
      <c r="W218" s="272"/>
      <c r="X218" s="272"/>
      <c r="Y218" s="272"/>
      <c r="Z218" s="272"/>
      <c r="AA218" s="272"/>
      <c r="AB218" s="272"/>
      <c r="AC218" s="272"/>
      <c r="AD218" s="272"/>
      <c r="AE218" s="272"/>
      <c r="AF218" s="272"/>
      <c r="AG218" s="272"/>
      <c r="AH218" s="274"/>
      <c r="AI218" s="450"/>
      <c r="AJ218" s="272"/>
      <c r="AK218" s="272"/>
      <c r="AP218" s="272" t="s">
        <v>376</v>
      </c>
      <c r="AQ218" s="452">
        <v>516389977.08349985</v>
      </c>
    </row>
    <row r="219" spans="1:43" hidden="1" x14ac:dyDescent="0.25">
      <c r="A219" s="272" t="str">
        <f t="shared" si="27"/>
        <v>ВладимирскаяRADM MoscowJRAM Verniy</v>
      </c>
      <c r="B219" s="272" t="s">
        <v>22</v>
      </c>
      <c r="C219" s="249" t="s">
        <v>317</v>
      </c>
      <c r="D219" s="284" t="s">
        <v>337</v>
      </c>
      <c r="E219" s="284" t="s">
        <v>374</v>
      </c>
      <c r="I219" s="288" t="s">
        <v>377</v>
      </c>
      <c r="J219" s="219">
        <f t="shared" si="28"/>
        <v>105566381.88999967</v>
      </c>
      <c r="K219" s="219">
        <f t="shared" si="29"/>
        <v>0</v>
      </c>
      <c r="L219" s="219">
        <f t="shared" si="30"/>
        <v>0</v>
      </c>
      <c r="M219" s="232">
        <f t="shared" si="31"/>
        <v>0</v>
      </c>
      <c r="N219" s="219">
        <f t="shared" si="32"/>
        <v>0</v>
      </c>
      <c r="O219" s="219">
        <f t="shared" si="33"/>
        <v>0</v>
      </c>
      <c r="P219" s="219">
        <f t="shared" si="34"/>
        <v>0</v>
      </c>
      <c r="Q219" s="219">
        <f t="shared" si="35"/>
        <v>0</v>
      </c>
      <c r="R219" s="131"/>
      <c r="S219" s="274">
        <v>105566381.88999967</v>
      </c>
      <c r="T219" s="272"/>
      <c r="U219" s="272"/>
      <c r="V219" s="272"/>
      <c r="W219" s="272"/>
      <c r="X219" s="289"/>
      <c r="Y219" s="289"/>
      <c r="Z219" s="289"/>
      <c r="AA219" s="289"/>
      <c r="AB219" s="289"/>
      <c r="AC219" s="289"/>
      <c r="AD219" s="272"/>
      <c r="AE219" s="272"/>
      <c r="AF219" s="272"/>
      <c r="AG219" s="272"/>
      <c r="AH219" s="274"/>
      <c r="AI219" s="450"/>
      <c r="AJ219" s="272"/>
      <c r="AK219" s="272"/>
      <c r="AQ219" s="452">
        <v>106533326.64000003</v>
      </c>
    </row>
    <row r="220" spans="1:43" hidden="1" x14ac:dyDescent="0.25">
      <c r="A220" s="272" t="str">
        <f t="shared" si="27"/>
        <v>КалужскаяRADM MoscowJRAM Verniy</v>
      </c>
      <c r="B220" s="272" t="s">
        <v>20</v>
      </c>
      <c r="C220" s="249" t="s">
        <v>317</v>
      </c>
      <c r="D220" s="284" t="s">
        <v>337</v>
      </c>
      <c r="E220" s="284" t="s">
        <v>374</v>
      </c>
      <c r="I220" s="288" t="s">
        <v>343</v>
      </c>
      <c r="J220" s="219">
        <f t="shared" si="28"/>
        <v>64720074.180000171</v>
      </c>
      <c r="K220" s="219">
        <f t="shared" si="29"/>
        <v>0</v>
      </c>
      <c r="L220" s="219">
        <f t="shared" si="30"/>
        <v>0</v>
      </c>
      <c r="M220" s="232">
        <f t="shared" si="31"/>
        <v>0</v>
      </c>
      <c r="N220" s="219">
        <f t="shared" si="32"/>
        <v>0</v>
      </c>
      <c r="O220" s="219">
        <f t="shared" si="33"/>
        <v>0</v>
      </c>
      <c r="P220" s="219">
        <f t="shared" si="34"/>
        <v>0</v>
      </c>
      <c r="Q220" s="219">
        <f t="shared" si="35"/>
        <v>0</v>
      </c>
      <c r="R220" s="131"/>
      <c r="S220" s="274">
        <v>64720074.180000171</v>
      </c>
      <c r="T220" s="272"/>
      <c r="U220" s="272"/>
      <c r="V220" s="272"/>
      <c r="W220" s="272"/>
      <c r="X220" s="272"/>
      <c r="Y220" s="272"/>
      <c r="Z220" s="272"/>
      <c r="AA220" s="272"/>
      <c r="AB220" s="272"/>
      <c r="AC220" s="272"/>
      <c r="AD220" s="272"/>
      <c r="AE220" s="272"/>
      <c r="AF220" s="272"/>
      <c r="AG220" s="272"/>
      <c r="AH220" s="274"/>
      <c r="AI220" s="450"/>
      <c r="AJ220" s="272"/>
      <c r="AK220" s="272"/>
      <c r="AQ220" s="452">
        <v>64622264.329999983</v>
      </c>
    </row>
    <row r="221" spans="1:43" hidden="1" x14ac:dyDescent="0.25">
      <c r="A221" s="272" t="str">
        <f t="shared" si="27"/>
        <v>ЛенинградскаяRADM MoscowJRAM Verniy</v>
      </c>
      <c r="B221" s="272" t="s">
        <v>345</v>
      </c>
      <c r="C221" s="249" t="s">
        <v>317</v>
      </c>
      <c r="D221" s="284" t="s">
        <v>337</v>
      </c>
      <c r="E221" s="284" t="s">
        <v>374</v>
      </c>
      <c r="I221" s="288" t="s">
        <v>377</v>
      </c>
      <c r="J221" s="219">
        <f t="shared" si="28"/>
        <v>121614441.35999963</v>
      </c>
      <c r="K221" s="219">
        <f t="shared" si="29"/>
        <v>0</v>
      </c>
      <c r="L221" s="219">
        <f t="shared" si="30"/>
        <v>0</v>
      </c>
      <c r="M221" s="232">
        <f t="shared" si="31"/>
        <v>0</v>
      </c>
      <c r="N221" s="219">
        <f t="shared" si="32"/>
        <v>0</v>
      </c>
      <c r="O221" s="219">
        <f t="shared" si="33"/>
        <v>0</v>
      </c>
      <c r="P221" s="219">
        <f t="shared" si="34"/>
        <v>0</v>
      </c>
      <c r="Q221" s="219">
        <f t="shared" si="35"/>
        <v>0</v>
      </c>
      <c r="R221" s="131"/>
      <c r="S221" s="274">
        <v>121614441.35999963</v>
      </c>
      <c r="T221" s="272"/>
      <c r="U221" s="272"/>
      <c r="V221" s="272"/>
      <c r="W221" s="272"/>
      <c r="X221" s="289"/>
      <c r="Y221" s="289"/>
      <c r="Z221" s="289"/>
      <c r="AA221" s="289"/>
      <c r="AB221" s="289"/>
      <c r="AC221" s="289"/>
      <c r="AD221" s="272"/>
      <c r="AE221" s="272"/>
      <c r="AF221" s="272"/>
      <c r="AG221" s="272"/>
      <c r="AH221" s="274"/>
      <c r="AI221" s="450"/>
      <c r="AJ221" s="272"/>
      <c r="AK221" s="272"/>
      <c r="AQ221" s="452">
        <v>122941078.97369997</v>
      </c>
    </row>
    <row r="222" spans="1:43" hidden="1" x14ac:dyDescent="0.25">
      <c r="A222" s="272" t="str">
        <f t="shared" si="27"/>
        <v>МоскваRADM MoscowJRAM Verniy</v>
      </c>
      <c r="B222" s="272" t="s">
        <v>7</v>
      </c>
      <c r="C222" s="249" t="s">
        <v>317</v>
      </c>
      <c r="D222" s="284" t="s">
        <v>337</v>
      </c>
      <c r="E222" s="284" t="s">
        <v>374</v>
      </c>
      <c r="H222" s="272">
        <v>1</v>
      </c>
      <c r="I222" s="288" t="s">
        <v>375</v>
      </c>
      <c r="J222" s="219">
        <f t="shared" si="28"/>
        <v>112033790.56999968</v>
      </c>
      <c r="K222" s="219">
        <f t="shared" si="29"/>
        <v>0</v>
      </c>
      <c r="L222" s="219">
        <f t="shared" si="30"/>
        <v>0</v>
      </c>
      <c r="M222" s="232">
        <f t="shared" si="31"/>
        <v>0</v>
      </c>
      <c r="N222" s="219">
        <f t="shared" si="32"/>
        <v>0</v>
      </c>
      <c r="O222" s="219">
        <f t="shared" si="33"/>
        <v>0</v>
      </c>
      <c r="P222" s="219">
        <f t="shared" si="34"/>
        <v>0</v>
      </c>
      <c r="Q222" s="219">
        <f t="shared" si="35"/>
        <v>0</v>
      </c>
      <c r="R222" s="131"/>
      <c r="S222" s="274">
        <v>112033790.56999968</v>
      </c>
      <c r="T222" s="272"/>
      <c r="U222" s="272"/>
      <c r="V222" s="272"/>
      <c r="W222" s="272"/>
      <c r="X222" s="272"/>
      <c r="Y222" s="272"/>
      <c r="Z222" s="272"/>
      <c r="AA222" s="272"/>
      <c r="AB222" s="272"/>
      <c r="AC222" s="272"/>
      <c r="AD222" s="272"/>
      <c r="AE222" s="272"/>
      <c r="AF222" s="272"/>
      <c r="AG222" s="272"/>
      <c r="AH222" s="274"/>
      <c r="AI222" s="450"/>
      <c r="AJ222" s="272"/>
      <c r="AK222" s="272"/>
      <c r="AQ222" s="452">
        <v>102195583.09480006</v>
      </c>
    </row>
    <row r="223" spans="1:43" hidden="1" x14ac:dyDescent="0.25">
      <c r="A223" s="272" t="str">
        <f t="shared" si="27"/>
        <v>МосковскаяRADM MoscowJRAM Verniy</v>
      </c>
      <c r="B223" s="272" t="s">
        <v>333</v>
      </c>
      <c r="C223" s="249" t="s">
        <v>317</v>
      </c>
      <c r="D223" s="284" t="s">
        <v>337</v>
      </c>
      <c r="E223" s="284" t="s">
        <v>374</v>
      </c>
      <c r="I223" s="288" t="s">
        <v>375</v>
      </c>
      <c r="J223" s="219">
        <f t="shared" si="28"/>
        <v>526009540.95000339</v>
      </c>
      <c r="K223" s="219">
        <f t="shared" si="29"/>
        <v>0</v>
      </c>
      <c r="L223" s="219">
        <f t="shared" si="30"/>
        <v>0</v>
      </c>
      <c r="M223" s="232">
        <f t="shared" si="31"/>
        <v>0</v>
      </c>
      <c r="N223" s="219">
        <f t="shared" si="32"/>
        <v>0</v>
      </c>
      <c r="O223" s="219">
        <f t="shared" si="33"/>
        <v>0</v>
      </c>
      <c r="P223" s="219">
        <f t="shared" si="34"/>
        <v>0</v>
      </c>
      <c r="Q223" s="219">
        <f t="shared" si="35"/>
        <v>0</v>
      </c>
      <c r="R223" s="131"/>
      <c r="S223" s="274">
        <v>526009540.95000339</v>
      </c>
      <c r="T223" s="272"/>
      <c r="U223" s="272"/>
      <c r="V223" s="272"/>
      <c r="W223" s="272"/>
      <c r="X223" s="272"/>
      <c r="Y223" s="272"/>
      <c r="Z223" s="272"/>
      <c r="AA223" s="272"/>
      <c r="AB223" s="272"/>
      <c r="AC223" s="272"/>
      <c r="AD223" s="272"/>
      <c r="AE223" s="272"/>
      <c r="AF223" s="272"/>
      <c r="AG223" s="272"/>
      <c r="AH223" s="274"/>
      <c r="AI223" s="450"/>
      <c r="AJ223" s="272"/>
      <c r="AK223" s="272"/>
      <c r="AQ223" s="452"/>
    </row>
    <row r="224" spans="1:43" hidden="1" x14ac:dyDescent="0.25">
      <c r="A224" s="272" t="str">
        <f t="shared" si="27"/>
        <v>НовгородскаяRADM MoscowJRAM Verniy</v>
      </c>
      <c r="B224" s="272" t="s">
        <v>36</v>
      </c>
      <c r="C224" s="249" t="s">
        <v>317</v>
      </c>
      <c r="D224" s="284" t="s">
        <v>337</v>
      </c>
      <c r="E224" s="284" t="s">
        <v>374</v>
      </c>
      <c r="I224" s="288" t="s">
        <v>377</v>
      </c>
      <c r="J224" s="219">
        <f t="shared" si="28"/>
        <v>29237977.820000004</v>
      </c>
      <c r="K224" s="219">
        <f t="shared" si="29"/>
        <v>0</v>
      </c>
      <c r="L224" s="219">
        <f t="shared" si="30"/>
        <v>0</v>
      </c>
      <c r="M224" s="232">
        <f t="shared" si="31"/>
        <v>0</v>
      </c>
      <c r="N224" s="219">
        <f t="shared" si="32"/>
        <v>0</v>
      </c>
      <c r="O224" s="219">
        <f t="shared" si="33"/>
        <v>0</v>
      </c>
      <c r="P224" s="219">
        <f t="shared" si="34"/>
        <v>0</v>
      </c>
      <c r="Q224" s="219">
        <f t="shared" si="35"/>
        <v>0</v>
      </c>
      <c r="R224" s="131"/>
      <c r="S224" s="274">
        <v>29237977.820000004</v>
      </c>
      <c r="T224" s="272"/>
      <c r="U224" s="272"/>
      <c r="V224" s="272"/>
      <c r="W224" s="272"/>
      <c r="X224" s="272"/>
      <c r="Y224" s="272"/>
      <c r="Z224" s="272"/>
      <c r="AA224" s="272"/>
      <c r="AB224" s="272"/>
      <c r="AC224" s="272"/>
      <c r="AD224" s="272"/>
      <c r="AE224" s="272"/>
      <c r="AF224" s="272"/>
      <c r="AG224" s="272"/>
      <c r="AH224" s="274"/>
      <c r="AI224" s="450"/>
      <c r="AJ224" s="272"/>
      <c r="AK224" s="272"/>
      <c r="AQ224" s="452">
        <v>29371032.3413</v>
      </c>
    </row>
    <row r="225" spans="1:43" hidden="1" x14ac:dyDescent="0.25">
      <c r="A225" s="272" t="str">
        <f t="shared" si="27"/>
        <v>Санкт-ПетербургRADM MoscowJRAM Verniy</v>
      </c>
      <c r="B225" s="272" t="s">
        <v>346</v>
      </c>
      <c r="C225" s="249" t="s">
        <v>317</v>
      </c>
      <c r="D225" s="284" t="s">
        <v>337</v>
      </c>
      <c r="E225" s="284" t="s">
        <v>374</v>
      </c>
      <c r="I225" s="288" t="s">
        <v>377</v>
      </c>
      <c r="J225" s="219">
        <f t="shared" si="28"/>
        <v>75479434.529999688</v>
      </c>
      <c r="K225" s="219">
        <f t="shared" si="29"/>
        <v>0</v>
      </c>
      <c r="L225" s="219">
        <f t="shared" si="30"/>
        <v>0</v>
      </c>
      <c r="M225" s="232">
        <f t="shared" si="31"/>
        <v>0</v>
      </c>
      <c r="N225" s="219">
        <f t="shared" si="32"/>
        <v>0</v>
      </c>
      <c r="O225" s="219">
        <f t="shared" si="33"/>
        <v>0</v>
      </c>
      <c r="P225" s="219">
        <f t="shared" si="34"/>
        <v>0</v>
      </c>
      <c r="Q225" s="219">
        <f t="shared" si="35"/>
        <v>0</v>
      </c>
      <c r="R225" s="131"/>
      <c r="S225" s="274">
        <v>75479434.529999688</v>
      </c>
      <c r="T225" s="272"/>
      <c r="U225" s="272"/>
      <c r="V225" s="272"/>
      <c r="W225" s="272"/>
      <c r="X225" s="272"/>
      <c r="Y225" s="272"/>
      <c r="Z225" s="272"/>
      <c r="AA225" s="272"/>
      <c r="AB225" s="272"/>
      <c r="AC225" s="272"/>
      <c r="AD225" s="272"/>
      <c r="AE225" s="272"/>
      <c r="AF225" s="272"/>
      <c r="AG225" s="272"/>
      <c r="AH225" s="274"/>
      <c r="AI225" s="450"/>
      <c r="AJ225" s="272"/>
      <c r="AK225" s="272"/>
      <c r="AQ225" s="452">
        <v>71871073.864199966</v>
      </c>
    </row>
    <row r="226" spans="1:43" hidden="1" x14ac:dyDescent="0.25">
      <c r="A226" s="272" t="str">
        <f t="shared" si="27"/>
        <v>СвердловскаяRADM MoscowJRAM Verniy</v>
      </c>
      <c r="B226" s="272" t="s">
        <v>118</v>
      </c>
      <c r="C226" s="249" t="s">
        <v>317</v>
      </c>
      <c r="D226" s="284" t="s">
        <v>337</v>
      </c>
      <c r="E226" s="284" t="s">
        <v>374</v>
      </c>
      <c r="I226" s="288" t="s">
        <v>343</v>
      </c>
      <c r="J226" s="219">
        <f t="shared" si="28"/>
        <v>148975561.0899995</v>
      </c>
      <c r="K226" s="219">
        <f t="shared" si="29"/>
        <v>0</v>
      </c>
      <c r="L226" s="219">
        <f t="shared" si="30"/>
        <v>0</v>
      </c>
      <c r="M226" s="232">
        <f t="shared" si="31"/>
        <v>0</v>
      </c>
      <c r="N226" s="219">
        <f t="shared" si="32"/>
        <v>0</v>
      </c>
      <c r="O226" s="219">
        <f t="shared" si="33"/>
        <v>0</v>
      </c>
      <c r="P226" s="219">
        <f t="shared" si="34"/>
        <v>0</v>
      </c>
      <c r="Q226" s="219">
        <f t="shared" si="35"/>
        <v>0</v>
      </c>
      <c r="R226" s="131"/>
      <c r="S226" s="274">
        <v>148975561.0899995</v>
      </c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4"/>
      <c r="AI226" s="450"/>
      <c r="AJ226" s="272"/>
      <c r="AK226" s="272"/>
      <c r="AQ226" s="452">
        <v>137989138.02179998</v>
      </c>
    </row>
    <row r="227" spans="1:43" hidden="1" x14ac:dyDescent="0.25">
      <c r="A227" s="272" t="str">
        <f t="shared" si="27"/>
        <v>ТатарстанRADM MoscowJRAM Verniy</v>
      </c>
      <c r="B227" s="272" t="s">
        <v>93</v>
      </c>
      <c r="C227" s="249" t="s">
        <v>317</v>
      </c>
      <c r="D227" s="284" t="s">
        <v>337</v>
      </c>
      <c r="E227" s="284" t="s">
        <v>374</v>
      </c>
      <c r="I227" s="288" t="s">
        <v>343</v>
      </c>
      <c r="J227" s="219">
        <f t="shared" si="28"/>
        <v>69785619.640000135</v>
      </c>
      <c r="K227" s="219">
        <f t="shared" si="29"/>
        <v>0</v>
      </c>
      <c r="L227" s="219">
        <f t="shared" si="30"/>
        <v>0</v>
      </c>
      <c r="M227" s="232">
        <f t="shared" si="31"/>
        <v>0</v>
      </c>
      <c r="N227" s="219">
        <f t="shared" si="32"/>
        <v>0</v>
      </c>
      <c r="O227" s="219">
        <f t="shared" si="33"/>
        <v>0</v>
      </c>
      <c r="P227" s="219">
        <f t="shared" si="34"/>
        <v>0</v>
      </c>
      <c r="Q227" s="219">
        <f t="shared" si="35"/>
        <v>0</v>
      </c>
      <c r="R227" s="131"/>
      <c r="S227" s="274">
        <v>69785619.640000135</v>
      </c>
      <c r="T227" s="272"/>
      <c r="U227" s="272"/>
      <c r="V227" s="272"/>
      <c r="W227" s="272"/>
      <c r="X227" s="272"/>
      <c r="Y227" s="272"/>
      <c r="Z227" s="272"/>
      <c r="AA227" s="272"/>
      <c r="AB227" s="272"/>
      <c r="AC227" s="272"/>
      <c r="AD227" s="272"/>
      <c r="AE227" s="272"/>
      <c r="AF227" s="272"/>
      <c r="AG227" s="272"/>
      <c r="AH227" s="274"/>
      <c r="AI227" s="450"/>
      <c r="AJ227" s="272"/>
      <c r="AK227" s="272"/>
      <c r="AQ227" s="452">
        <v>68020541.41610001</v>
      </c>
    </row>
    <row r="228" spans="1:43" hidden="1" x14ac:dyDescent="0.25">
      <c r="A228" s="272" t="str">
        <f t="shared" si="27"/>
        <v>ТверскаяRADM MoscowJRAM Verniy</v>
      </c>
      <c r="B228" s="272" t="s">
        <v>55</v>
      </c>
      <c r="C228" s="249" t="s">
        <v>317</v>
      </c>
      <c r="D228" s="284" t="s">
        <v>337</v>
      </c>
      <c r="E228" s="284" t="s">
        <v>374</v>
      </c>
      <c r="I228" s="288" t="s">
        <v>377</v>
      </c>
      <c r="J228" s="219">
        <f t="shared" si="28"/>
        <v>31075214.729999986</v>
      </c>
      <c r="K228" s="219">
        <f t="shared" si="29"/>
        <v>0</v>
      </c>
      <c r="L228" s="219">
        <f t="shared" si="30"/>
        <v>0</v>
      </c>
      <c r="M228" s="232">
        <f t="shared" si="31"/>
        <v>0</v>
      </c>
      <c r="N228" s="219">
        <f t="shared" si="32"/>
        <v>0</v>
      </c>
      <c r="O228" s="219">
        <f t="shared" si="33"/>
        <v>0</v>
      </c>
      <c r="P228" s="219">
        <f t="shared" si="34"/>
        <v>0</v>
      </c>
      <c r="Q228" s="219">
        <f t="shared" si="35"/>
        <v>0</v>
      </c>
      <c r="R228" s="131"/>
      <c r="S228" s="274">
        <v>31075214.729999986</v>
      </c>
      <c r="T228" s="272"/>
      <c r="U228" s="272"/>
      <c r="V228" s="272"/>
      <c r="W228" s="272"/>
      <c r="X228" s="272"/>
      <c r="Y228" s="272"/>
      <c r="Z228" s="272"/>
      <c r="AA228" s="272"/>
      <c r="AB228" s="272"/>
      <c r="AC228" s="272"/>
      <c r="AD228" s="272"/>
      <c r="AE228" s="272"/>
      <c r="AF228" s="272"/>
      <c r="AG228" s="272"/>
      <c r="AH228" s="274"/>
      <c r="AI228" s="450"/>
      <c r="AJ228" s="272"/>
      <c r="AK228" s="272"/>
      <c r="AQ228" s="452">
        <v>29297090.464200005</v>
      </c>
    </row>
    <row r="229" spans="1:43" hidden="1" x14ac:dyDescent="0.25">
      <c r="A229" s="272" t="str">
        <f t="shared" si="27"/>
        <v>ТульскаяRADM MoscowJRAM Verniy</v>
      </c>
      <c r="B229" s="272" t="s">
        <v>17</v>
      </c>
      <c r="C229" s="249" t="s">
        <v>317</v>
      </c>
      <c r="D229" s="284" t="s">
        <v>337</v>
      </c>
      <c r="E229" s="284" t="s">
        <v>374</v>
      </c>
      <c r="I229" s="288" t="s">
        <v>343</v>
      </c>
      <c r="J229" s="219">
        <f t="shared" si="28"/>
        <v>77073871.469999909</v>
      </c>
      <c r="K229" s="219">
        <f t="shared" si="29"/>
        <v>0</v>
      </c>
      <c r="L229" s="219">
        <f t="shared" si="30"/>
        <v>0</v>
      </c>
      <c r="M229" s="232">
        <f t="shared" si="31"/>
        <v>0</v>
      </c>
      <c r="N229" s="219">
        <f t="shared" si="32"/>
        <v>0</v>
      </c>
      <c r="O229" s="219">
        <f t="shared" si="33"/>
        <v>0</v>
      </c>
      <c r="P229" s="219">
        <f t="shared" si="34"/>
        <v>0</v>
      </c>
      <c r="Q229" s="219">
        <f t="shared" si="35"/>
        <v>0</v>
      </c>
      <c r="R229" s="131"/>
      <c r="S229" s="274">
        <v>77073871.469999909</v>
      </c>
      <c r="T229" s="272"/>
      <c r="U229" s="272"/>
      <c r="V229" s="272"/>
      <c r="W229" s="272"/>
      <c r="X229" s="272"/>
      <c r="Y229" s="272"/>
      <c r="Z229" s="272"/>
      <c r="AA229" s="272"/>
      <c r="AB229" s="272"/>
      <c r="AC229" s="272"/>
      <c r="AD229" s="272"/>
      <c r="AE229" s="272"/>
      <c r="AF229" s="272"/>
      <c r="AG229" s="272"/>
      <c r="AH229" s="274"/>
      <c r="AI229" s="450"/>
      <c r="AJ229" s="272"/>
      <c r="AK229" s="272"/>
      <c r="AQ229" s="452">
        <v>75920595.749699965</v>
      </c>
    </row>
    <row r="230" spans="1:43" hidden="1" x14ac:dyDescent="0.25">
      <c r="A230" s="272" t="str">
        <f t="shared" si="27"/>
        <v>ЯрославскаяRADM MoscowJRAM Verniy</v>
      </c>
      <c r="B230" s="272" t="s">
        <v>51</v>
      </c>
      <c r="C230" s="249" t="s">
        <v>317</v>
      </c>
      <c r="D230" s="284" t="s">
        <v>337</v>
      </c>
      <c r="E230" s="284" t="s">
        <v>374</v>
      </c>
      <c r="I230" s="288" t="s">
        <v>377</v>
      </c>
      <c r="J230" s="219">
        <f t="shared" si="28"/>
        <v>35515056.810000002</v>
      </c>
      <c r="K230" s="219">
        <f t="shared" si="29"/>
        <v>0</v>
      </c>
      <c r="L230" s="219">
        <f t="shared" si="30"/>
        <v>0</v>
      </c>
      <c r="M230" s="232">
        <f t="shared" si="31"/>
        <v>0</v>
      </c>
      <c r="N230" s="219">
        <f t="shared" si="32"/>
        <v>0</v>
      </c>
      <c r="O230" s="219">
        <f t="shared" si="33"/>
        <v>0</v>
      </c>
      <c r="P230" s="219">
        <f t="shared" si="34"/>
        <v>0</v>
      </c>
      <c r="Q230" s="219">
        <f t="shared" si="35"/>
        <v>0</v>
      </c>
      <c r="R230" s="131"/>
      <c r="S230" s="274">
        <v>35515056.810000002</v>
      </c>
      <c r="T230" s="272"/>
      <c r="U230" s="272"/>
      <c r="V230" s="272"/>
      <c r="W230" s="272"/>
      <c r="X230" s="272"/>
      <c r="Y230" s="272"/>
      <c r="Z230" s="272"/>
      <c r="AA230" s="272"/>
      <c r="AB230" s="272"/>
      <c r="AC230" s="272"/>
      <c r="AD230" s="272"/>
      <c r="AE230" s="272"/>
      <c r="AF230" s="272"/>
      <c r="AG230" s="272"/>
      <c r="AH230" s="274"/>
      <c r="AI230" s="450"/>
      <c r="AJ230" s="272"/>
      <c r="AK230" s="272"/>
      <c r="AQ230" s="452">
        <v>35040462.035800003</v>
      </c>
    </row>
    <row r="231" spans="1:43" hidden="1" x14ac:dyDescent="0.25">
      <c r="A231" s="272" t="str">
        <f t="shared" si="27"/>
        <v>МоскваASM MOS Food Trade+SorsoTSL MOS SPT Moscow Play Sorso</v>
      </c>
      <c r="B231" s="287" t="s">
        <v>7</v>
      </c>
      <c r="C231" s="249" t="s">
        <v>317</v>
      </c>
      <c r="D231" s="249" t="s">
        <v>323</v>
      </c>
      <c r="E231" s="272" t="s">
        <v>324</v>
      </c>
      <c r="F231" s="287" t="s">
        <v>378</v>
      </c>
      <c r="H231" s="272">
        <v>1</v>
      </c>
      <c r="I231" s="272" t="s">
        <v>379</v>
      </c>
      <c r="J231" s="219">
        <f t="shared" si="28"/>
        <v>75907049.919999987</v>
      </c>
      <c r="K231" s="219">
        <f t="shared" si="29"/>
        <v>0</v>
      </c>
      <c r="L231" s="219">
        <f t="shared" si="30"/>
        <v>0</v>
      </c>
      <c r="M231" s="232">
        <f t="shared" si="31"/>
        <v>0</v>
      </c>
      <c r="N231" s="219">
        <f t="shared" si="32"/>
        <v>0</v>
      </c>
      <c r="O231" s="219">
        <f t="shared" si="33"/>
        <v>0</v>
      </c>
      <c r="P231" s="219">
        <f t="shared" si="34"/>
        <v>0</v>
      </c>
      <c r="Q231" s="219">
        <f t="shared" si="35"/>
        <v>0</v>
      </c>
      <c r="R231" s="131"/>
      <c r="T231" s="286">
        <v>75907049.919999987</v>
      </c>
      <c r="U231" s="272"/>
      <c r="V231" s="272"/>
      <c r="W231" s="272"/>
      <c r="X231" s="272"/>
      <c r="Y231" s="272"/>
      <c r="Z231" s="272"/>
      <c r="AA231" s="272"/>
      <c r="AB231" s="272"/>
      <c r="AC231" s="272"/>
      <c r="AD231" s="272"/>
      <c r="AE231" s="272"/>
      <c r="AF231" s="272"/>
      <c r="AG231" s="272"/>
      <c r="AH231" s="274"/>
      <c r="AI231" s="272"/>
      <c r="AJ231" s="272"/>
      <c r="AK231" s="272"/>
    </row>
    <row r="232" spans="1:43" hidden="1" x14ac:dyDescent="0.25">
      <c r="A232" s="272" t="str">
        <f t="shared" si="27"/>
        <v>Марий Эл DDM MOS Sladkaay ZhiznTSL MOS Cheboksary</v>
      </c>
      <c r="B232" s="284" t="s">
        <v>380</v>
      </c>
      <c r="C232" s="249" t="s">
        <v>317</v>
      </c>
      <c r="D232" s="249" t="s">
        <v>318</v>
      </c>
      <c r="E232" s="250" t="s">
        <v>326</v>
      </c>
      <c r="F232" s="284" t="s">
        <v>320</v>
      </c>
      <c r="J232" s="219">
        <f t="shared" si="28"/>
        <v>0</v>
      </c>
      <c r="K232" s="219">
        <f t="shared" si="29"/>
        <v>0</v>
      </c>
      <c r="L232" s="219">
        <f t="shared" si="30"/>
        <v>0</v>
      </c>
      <c r="M232" s="232">
        <f t="shared" si="31"/>
        <v>27831061.140000023</v>
      </c>
      <c r="N232" s="219">
        <f t="shared" si="32"/>
        <v>0</v>
      </c>
      <c r="O232" s="219">
        <f t="shared" si="33"/>
        <v>49094726.479999989</v>
      </c>
      <c r="P232" s="219">
        <f t="shared" si="34"/>
        <v>0</v>
      </c>
      <c r="Q232" s="219">
        <f t="shared" si="35"/>
        <v>0</v>
      </c>
      <c r="R232" s="131"/>
      <c r="T232" s="272"/>
      <c r="U232" s="272">
        <v>0</v>
      </c>
      <c r="V232" s="272">
        <v>0</v>
      </c>
      <c r="W232" s="272">
        <v>0</v>
      </c>
      <c r="X232" s="272"/>
      <c r="Y232" s="272">
        <v>3077540.45</v>
      </c>
      <c r="Z232" s="272">
        <v>5828592.4799999986</v>
      </c>
      <c r="AA232" s="272">
        <v>0</v>
      </c>
      <c r="AB232" s="272">
        <v>9821309.0800000243</v>
      </c>
      <c r="AC232" s="272">
        <v>9103619.129999999</v>
      </c>
      <c r="AD232" s="272"/>
      <c r="AE232" s="272"/>
      <c r="AF232" s="272"/>
      <c r="AG232" s="272"/>
      <c r="AH232" s="285">
        <v>49094726.479999989</v>
      </c>
      <c r="AI232" s="272"/>
      <c r="AJ232" s="272"/>
      <c r="AK232" s="272"/>
      <c r="AO232" s="275" t="s">
        <v>321</v>
      </c>
    </row>
    <row r="233" spans="1:43" ht="30" hidden="1" x14ac:dyDescent="0.25">
      <c r="A233" s="272" t="str">
        <f t="shared" si="27"/>
        <v>НижегородскаяDDM MOS Sladkaay ZhiznTSL MOS  Moscow 1 Sladkaya Zhizn</v>
      </c>
      <c r="B233" s="248" t="s">
        <v>21</v>
      </c>
      <c r="C233" s="249" t="s">
        <v>317</v>
      </c>
      <c r="D233" s="249" t="s">
        <v>318</v>
      </c>
      <c r="E233" s="250" t="s">
        <v>331</v>
      </c>
      <c r="F233" s="251" t="s">
        <v>322</v>
      </c>
      <c r="J233" s="219">
        <f t="shared" si="28"/>
        <v>0</v>
      </c>
      <c r="K233" s="219">
        <f t="shared" si="29"/>
        <v>0</v>
      </c>
      <c r="L233" s="219">
        <f t="shared" si="30"/>
        <v>0</v>
      </c>
      <c r="M233" s="232">
        <f t="shared" si="31"/>
        <v>0</v>
      </c>
      <c r="N233" s="219">
        <f t="shared" si="32"/>
        <v>0</v>
      </c>
      <c r="O233" s="219">
        <f t="shared" si="33"/>
        <v>0</v>
      </c>
      <c r="P233" s="219">
        <f t="shared" si="34"/>
        <v>0</v>
      </c>
      <c r="Q233" s="219">
        <f t="shared" si="35"/>
        <v>0</v>
      </c>
      <c r="R233" s="131"/>
      <c r="T233" s="272"/>
      <c r="U233" s="272"/>
      <c r="V233" s="272"/>
      <c r="W233" s="272"/>
      <c r="X233" s="272"/>
      <c r="Y233" s="272"/>
      <c r="Z233" s="272"/>
      <c r="AA233" s="272"/>
      <c r="AB233" s="272"/>
      <c r="AC233" s="272"/>
      <c r="AD233" s="272"/>
      <c r="AE233" s="272"/>
      <c r="AF233" s="272"/>
      <c r="AG233" s="272"/>
      <c r="AH233"/>
      <c r="AI233" s="272"/>
      <c r="AJ233" s="272"/>
      <c r="AK233" s="272"/>
      <c r="AO233" s="275" t="s">
        <v>328</v>
      </c>
    </row>
    <row r="234" spans="1:43" x14ac:dyDescent="0.25">
      <c r="B234" s="278" t="s">
        <v>333</v>
      </c>
      <c r="C234" s="249" t="s">
        <v>317</v>
      </c>
      <c r="D234" s="284" t="s">
        <v>364</v>
      </c>
      <c r="E234" s="272" t="s">
        <v>381</v>
      </c>
      <c r="J234" s="219">
        <f t="shared" si="28"/>
        <v>0</v>
      </c>
      <c r="K234" s="219">
        <f t="shared" si="29"/>
        <v>0</v>
      </c>
      <c r="L234" s="219">
        <f t="shared" si="30"/>
        <v>0</v>
      </c>
      <c r="M234" s="232">
        <f t="shared" si="31"/>
        <v>0</v>
      </c>
      <c r="N234" s="219">
        <f t="shared" si="32"/>
        <v>0</v>
      </c>
      <c r="O234" s="219">
        <f t="shared" si="33"/>
        <v>0</v>
      </c>
      <c r="P234" s="219">
        <f t="shared" si="34"/>
        <v>0</v>
      </c>
      <c r="Q234" s="219">
        <f t="shared" si="35"/>
        <v>11314707530.999416</v>
      </c>
      <c r="R234" s="131"/>
      <c r="T234" s="272"/>
      <c r="U234" s="272"/>
      <c r="V234" s="272"/>
      <c r="W234" s="272"/>
      <c r="X234" s="272"/>
      <c r="Y234" s="272"/>
      <c r="Z234" s="272"/>
      <c r="AA234" s="272"/>
      <c r="AB234" s="272"/>
      <c r="AC234" s="272"/>
      <c r="AD234" s="272"/>
      <c r="AE234" s="272"/>
      <c r="AF234" s="272"/>
      <c r="AG234" s="272"/>
      <c r="AH234" s="274"/>
      <c r="AI234" s="272"/>
      <c r="AJ234" s="272"/>
      <c r="AK234" s="272"/>
      <c r="AL234" s="450">
        <v>11314707530.999416</v>
      </c>
      <c r="AO234" s="272" t="s">
        <v>382</v>
      </c>
    </row>
    <row r="235" spans="1:43" s="279" customFormat="1" hidden="1" x14ac:dyDescent="0.25">
      <c r="A235" s="279" t="str">
        <f t="shared" ref="A235:A261" si="36">B235&amp;D235&amp;E235</f>
        <v>АлтайскийDDM MOS Sladkaay ZhiznTSL MOS Cheboksary</v>
      </c>
      <c r="B235" s="278" t="s">
        <v>383</v>
      </c>
      <c r="C235" s="249" t="s">
        <v>317</v>
      </c>
      <c r="D235" s="277" t="s">
        <v>318</v>
      </c>
      <c r="E235" s="282" t="s">
        <v>326</v>
      </c>
      <c r="F235" s="276" t="s">
        <v>320</v>
      </c>
      <c r="J235" s="219">
        <f t="shared" si="28"/>
        <v>16492.399999999998</v>
      </c>
      <c r="K235" s="219">
        <f t="shared" si="29"/>
        <v>0</v>
      </c>
      <c r="L235" s="219">
        <f t="shared" si="30"/>
        <v>0</v>
      </c>
      <c r="M235" s="232">
        <f t="shared" si="31"/>
        <v>0</v>
      </c>
      <c r="N235" s="219">
        <f t="shared" si="32"/>
        <v>0</v>
      </c>
      <c r="O235" s="219">
        <f t="shared" si="33"/>
        <v>0</v>
      </c>
      <c r="P235" s="219">
        <f t="shared" si="34"/>
        <v>0</v>
      </c>
      <c r="Q235" s="219">
        <f t="shared" si="35"/>
        <v>0</v>
      </c>
      <c r="R235" s="131"/>
      <c r="S235" s="280"/>
      <c r="T235" s="280">
        <v>16492.399999999998</v>
      </c>
      <c r="U235" s="281"/>
      <c r="V235" s="281"/>
      <c r="W235" s="281"/>
      <c r="X235" s="281"/>
      <c r="Y235" s="281"/>
      <c r="Z235" s="281"/>
      <c r="AA235" s="281"/>
      <c r="AB235" s="281"/>
      <c r="AC235" s="281"/>
      <c r="AH235" s="280"/>
      <c r="AI235" s="453"/>
      <c r="AO235" s="279" t="s">
        <v>384</v>
      </c>
    </row>
    <row r="236" spans="1:43" s="279" customFormat="1" hidden="1" x14ac:dyDescent="0.25">
      <c r="A236" s="279" t="str">
        <f t="shared" si="36"/>
        <v>БашкортостанDDM MOS Sladkaay ZhiznTSL MOS Cheboksary</v>
      </c>
      <c r="B236" s="278" t="s">
        <v>353</v>
      </c>
      <c r="C236" s="249" t="s">
        <v>317</v>
      </c>
      <c r="D236" s="277" t="s">
        <v>318</v>
      </c>
      <c r="E236" s="282" t="s">
        <v>326</v>
      </c>
      <c r="F236" s="276" t="s">
        <v>320</v>
      </c>
      <c r="J236" s="219">
        <f t="shared" si="28"/>
        <v>4318141.4600000009</v>
      </c>
      <c r="K236" s="219">
        <f t="shared" si="29"/>
        <v>0</v>
      </c>
      <c r="L236" s="219">
        <f t="shared" si="30"/>
        <v>0</v>
      </c>
      <c r="M236" s="232">
        <f t="shared" si="31"/>
        <v>0</v>
      </c>
      <c r="N236" s="219">
        <f t="shared" si="32"/>
        <v>0</v>
      </c>
      <c r="O236" s="219">
        <f t="shared" si="33"/>
        <v>0</v>
      </c>
      <c r="P236" s="219">
        <f t="shared" si="34"/>
        <v>0</v>
      </c>
      <c r="Q236" s="219">
        <f t="shared" si="35"/>
        <v>0</v>
      </c>
      <c r="R236" s="131"/>
      <c r="S236" s="280"/>
      <c r="T236" s="280">
        <v>4318141.4600000009</v>
      </c>
      <c r="U236" s="281"/>
      <c r="V236" s="281"/>
      <c r="W236" s="281"/>
      <c r="X236" s="281"/>
      <c r="Y236" s="281"/>
      <c r="Z236" s="281"/>
      <c r="AA236" s="281"/>
      <c r="AB236" s="281"/>
      <c r="AC236" s="281"/>
      <c r="AH236" s="280"/>
      <c r="AI236" s="453"/>
      <c r="AO236" s="279" t="s">
        <v>384</v>
      </c>
    </row>
    <row r="237" spans="1:43" s="279" customFormat="1" hidden="1" x14ac:dyDescent="0.25">
      <c r="A237" s="279" t="str">
        <f t="shared" si="36"/>
        <v>ВладимирскаяDDM MOS Sladkaay ZhiznTSL MOS Cheboksary</v>
      </c>
      <c r="B237" s="278" t="s">
        <v>22</v>
      </c>
      <c r="C237" s="249" t="s">
        <v>317</v>
      </c>
      <c r="D237" s="277" t="s">
        <v>318</v>
      </c>
      <c r="E237" s="282" t="s">
        <v>326</v>
      </c>
      <c r="F237" s="276" t="s">
        <v>320</v>
      </c>
      <c r="J237" s="219">
        <f t="shared" si="28"/>
        <v>21819448.430000007</v>
      </c>
      <c r="K237" s="219">
        <f t="shared" si="29"/>
        <v>0</v>
      </c>
      <c r="L237" s="219">
        <f t="shared" si="30"/>
        <v>0</v>
      </c>
      <c r="M237" s="232">
        <f t="shared" si="31"/>
        <v>0</v>
      </c>
      <c r="N237" s="219">
        <f t="shared" si="32"/>
        <v>0</v>
      </c>
      <c r="O237" s="219">
        <f t="shared" si="33"/>
        <v>0</v>
      </c>
      <c r="P237" s="219">
        <f t="shared" si="34"/>
        <v>0</v>
      </c>
      <c r="Q237" s="219">
        <f t="shared" si="35"/>
        <v>0</v>
      </c>
      <c r="R237" s="131"/>
      <c r="S237" s="280"/>
      <c r="T237" s="280">
        <v>21819448.430000007</v>
      </c>
      <c r="U237" s="281"/>
      <c r="V237" s="281"/>
      <c r="W237" s="281"/>
      <c r="X237" s="281"/>
      <c r="Y237" s="281"/>
      <c r="Z237" s="281"/>
      <c r="AA237" s="281"/>
      <c r="AB237" s="281"/>
      <c r="AC237" s="281"/>
      <c r="AH237" s="280"/>
      <c r="AI237" s="453"/>
      <c r="AO237" s="279" t="s">
        <v>384</v>
      </c>
    </row>
    <row r="238" spans="1:43" s="279" customFormat="1" hidden="1" x14ac:dyDescent="0.25">
      <c r="A238" s="279" t="str">
        <f t="shared" si="36"/>
        <v>ИвановскаяDDM MOS Sladkaay ZhiznTSL MOS Cheboksary</v>
      </c>
      <c r="B238" s="278" t="s">
        <v>56</v>
      </c>
      <c r="C238" s="249" t="s">
        <v>317</v>
      </c>
      <c r="D238" s="277" t="s">
        <v>318</v>
      </c>
      <c r="E238" s="282" t="s">
        <v>326</v>
      </c>
      <c r="F238" s="276" t="s">
        <v>320</v>
      </c>
      <c r="J238" s="219">
        <f t="shared" si="28"/>
        <v>9185746.0500000063</v>
      </c>
      <c r="K238" s="219">
        <f t="shared" si="29"/>
        <v>0</v>
      </c>
      <c r="L238" s="219">
        <f t="shared" si="30"/>
        <v>0</v>
      </c>
      <c r="M238" s="232">
        <f t="shared" si="31"/>
        <v>0</v>
      </c>
      <c r="N238" s="219">
        <f t="shared" si="32"/>
        <v>0</v>
      </c>
      <c r="O238" s="219">
        <f t="shared" si="33"/>
        <v>0</v>
      </c>
      <c r="P238" s="219">
        <f t="shared" si="34"/>
        <v>0</v>
      </c>
      <c r="Q238" s="219">
        <f t="shared" si="35"/>
        <v>0</v>
      </c>
      <c r="R238" s="131"/>
      <c r="S238" s="280"/>
      <c r="T238" s="280">
        <v>9185746.0500000063</v>
      </c>
      <c r="U238" s="281"/>
      <c r="V238" s="281"/>
      <c r="W238" s="281"/>
      <c r="X238" s="281"/>
      <c r="Y238" s="281"/>
      <c r="Z238" s="281"/>
      <c r="AA238" s="281"/>
      <c r="AB238" s="281"/>
      <c r="AC238" s="281"/>
      <c r="AH238" s="280"/>
      <c r="AI238" s="453"/>
      <c r="AO238" s="279" t="s">
        <v>384</v>
      </c>
    </row>
    <row r="239" spans="1:43" s="279" customFormat="1" hidden="1" x14ac:dyDescent="0.25">
      <c r="A239" s="279" t="str">
        <f t="shared" si="36"/>
        <v>ИркутскаяDDM MOS Sladkaay ZhiznTSL MOS Cheboksary</v>
      </c>
      <c r="B239" s="278" t="s">
        <v>90</v>
      </c>
      <c r="C239" s="249" t="s">
        <v>317</v>
      </c>
      <c r="D239" s="277" t="s">
        <v>318</v>
      </c>
      <c r="E239" s="282" t="s">
        <v>326</v>
      </c>
      <c r="F239" s="276" t="s">
        <v>320</v>
      </c>
      <c r="J239" s="219">
        <f t="shared" si="28"/>
        <v>78932.240000000005</v>
      </c>
      <c r="K239" s="219">
        <f t="shared" si="29"/>
        <v>0</v>
      </c>
      <c r="L239" s="219">
        <f t="shared" si="30"/>
        <v>0</v>
      </c>
      <c r="M239" s="232">
        <f t="shared" si="31"/>
        <v>0</v>
      </c>
      <c r="N239" s="219">
        <f t="shared" si="32"/>
        <v>0</v>
      </c>
      <c r="O239" s="219">
        <f t="shared" si="33"/>
        <v>0</v>
      </c>
      <c r="P239" s="219">
        <f t="shared" si="34"/>
        <v>0</v>
      </c>
      <c r="Q239" s="219">
        <f t="shared" si="35"/>
        <v>0</v>
      </c>
      <c r="R239" s="131"/>
      <c r="S239" s="280"/>
      <c r="T239" s="280">
        <v>78932.240000000005</v>
      </c>
      <c r="U239" s="281"/>
      <c r="V239" s="281"/>
      <c r="W239" s="281"/>
      <c r="X239" s="281"/>
      <c r="Y239" s="281"/>
      <c r="Z239" s="281"/>
      <c r="AA239" s="281"/>
      <c r="AB239" s="281"/>
      <c r="AC239" s="281"/>
      <c r="AH239" s="280"/>
      <c r="AI239" s="453"/>
      <c r="AO239" s="279" t="s">
        <v>384</v>
      </c>
    </row>
    <row r="240" spans="1:43" s="279" customFormat="1" hidden="1" x14ac:dyDescent="0.25">
      <c r="A240" s="279" t="str">
        <f t="shared" si="36"/>
        <v>КалужскаяDDM MOS Sladkaay ZhiznTSL MOS Cheboksary</v>
      </c>
      <c r="B240" s="283" t="s">
        <v>20</v>
      </c>
      <c r="C240" s="249" t="s">
        <v>317</v>
      </c>
      <c r="D240" s="277" t="s">
        <v>318</v>
      </c>
      <c r="E240" s="282" t="s">
        <v>326</v>
      </c>
      <c r="F240" s="276" t="s">
        <v>320</v>
      </c>
      <c r="J240" s="219">
        <f t="shared" si="28"/>
        <v>152696.55999999997</v>
      </c>
      <c r="K240" s="219">
        <f t="shared" si="29"/>
        <v>0</v>
      </c>
      <c r="L240" s="219">
        <f t="shared" si="30"/>
        <v>0</v>
      </c>
      <c r="M240" s="232">
        <f t="shared" si="31"/>
        <v>0</v>
      </c>
      <c r="N240" s="219">
        <f t="shared" si="32"/>
        <v>0</v>
      </c>
      <c r="O240" s="219">
        <f t="shared" si="33"/>
        <v>0</v>
      </c>
      <c r="P240" s="219">
        <f t="shared" si="34"/>
        <v>0</v>
      </c>
      <c r="Q240" s="219">
        <f t="shared" si="35"/>
        <v>0</v>
      </c>
      <c r="R240" s="131"/>
      <c r="S240" s="280"/>
      <c r="T240" s="280">
        <v>152696.55999999997</v>
      </c>
      <c r="U240" s="281"/>
      <c r="V240" s="281"/>
      <c r="W240" s="281"/>
      <c r="X240" s="281"/>
      <c r="Y240" s="281"/>
      <c r="Z240" s="281"/>
      <c r="AA240" s="281"/>
      <c r="AB240" s="281"/>
      <c r="AC240" s="281"/>
      <c r="AH240" s="280"/>
      <c r="AI240" s="453"/>
      <c r="AO240" s="279" t="s">
        <v>384</v>
      </c>
    </row>
    <row r="241" spans="1:41" s="279" customFormat="1" hidden="1" x14ac:dyDescent="0.25">
      <c r="A241" s="279" t="str">
        <f t="shared" si="36"/>
        <v>КалужскаяDDM MOS Sladkaay ZhiznTSL MOS Cheboksary</v>
      </c>
      <c r="B241" s="278" t="s">
        <v>20</v>
      </c>
      <c r="C241" s="249" t="s">
        <v>317</v>
      </c>
      <c r="D241" s="277" t="s">
        <v>318</v>
      </c>
      <c r="E241" s="282" t="s">
        <v>326</v>
      </c>
      <c r="F241" s="276" t="s">
        <v>322</v>
      </c>
      <c r="J241" s="219">
        <f t="shared" si="28"/>
        <v>12786581.08999995</v>
      </c>
      <c r="K241" s="219">
        <f t="shared" si="29"/>
        <v>0</v>
      </c>
      <c r="L241" s="219">
        <f t="shared" si="30"/>
        <v>0</v>
      </c>
      <c r="M241" s="232">
        <f t="shared" si="31"/>
        <v>0</v>
      </c>
      <c r="N241" s="219">
        <f t="shared" si="32"/>
        <v>0</v>
      </c>
      <c r="O241" s="219">
        <f t="shared" si="33"/>
        <v>0</v>
      </c>
      <c r="P241" s="219">
        <f t="shared" si="34"/>
        <v>0</v>
      </c>
      <c r="Q241" s="219">
        <f t="shared" si="35"/>
        <v>0</v>
      </c>
      <c r="R241" s="131"/>
      <c r="S241" s="280"/>
      <c r="T241" s="280">
        <v>12786581.08999995</v>
      </c>
      <c r="U241" s="281"/>
      <c r="V241" s="281"/>
      <c r="W241" s="281"/>
      <c r="X241" s="281"/>
      <c r="Y241" s="281"/>
      <c r="Z241" s="281"/>
      <c r="AA241" s="281"/>
      <c r="AB241" s="281"/>
      <c r="AC241" s="281"/>
      <c r="AH241" s="280"/>
      <c r="AI241" s="453"/>
      <c r="AO241" s="279" t="s">
        <v>384</v>
      </c>
    </row>
    <row r="242" spans="1:41" s="279" customFormat="1" hidden="1" x14ac:dyDescent="0.25">
      <c r="A242" s="279" t="str">
        <f t="shared" si="36"/>
        <v>КировскаяDDM MOS Sladkaay ZhiznTSL MOS Cheboksary</v>
      </c>
      <c r="B242" s="278" t="s">
        <v>25</v>
      </c>
      <c r="C242" s="249" t="s">
        <v>317</v>
      </c>
      <c r="D242" s="277" t="s">
        <v>318</v>
      </c>
      <c r="E242" s="282" t="s">
        <v>326</v>
      </c>
      <c r="F242" s="276" t="s">
        <v>320</v>
      </c>
      <c r="J242" s="219">
        <f t="shared" si="28"/>
        <v>25568610.759999935</v>
      </c>
      <c r="K242" s="219">
        <f t="shared" si="29"/>
        <v>0</v>
      </c>
      <c r="L242" s="219">
        <f t="shared" si="30"/>
        <v>0</v>
      </c>
      <c r="M242" s="232">
        <f t="shared" si="31"/>
        <v>0</v>
      </c>
      <c r="N242" s="219">
        <f t="shared" si="32"/>
        <v>0</v>
      </c>
      <c r="O242" s="219">
        <f t="shared" si="33"/>
        <v>0</v>
      </c>
      <c r="P242" s="219">
        <f t="shared" si="34"/>
        <v>0</v>
      </c>
      <c r="Q242" s="219">
        <f t="shared" si="35"/>
        <v>0</v>
      </c>
      <c r="R242" s="131"/>
      <c r="S242" s="280"/>
      <c r="T242" s="280">
        <v>25568610.759999935</v>
      </c>
      <c r="U242" s="281"/>
      <c r="V242" s="281"/>
      <c r="W242" s="281"/>
      <c r="X242" s="281"/>
      <c r="Y242" s="281"/>
      <c r="Z242" s="281"/>
      <c r="AA242" s="281"/>
      <c r="AB242" s="281"/>
      <c r="AC242" s="281"/>
      <c r="AH242" s="280"/>
      <c r="AI242" s="453"/>
      <c r="AO242" s="279" t="s">
        <v>384</v>
      </c>
    </row>
    <row r="243" spans="1:41" s="279" customFormat="1" hidden="1" x14ac:dyDescent="0.25">
      <c r="A243" s="279" t="str">
        <f t="shared" si="36"/>
        <v>КостромскаяDDM MOS Sladkaay ZhiznTSL MOS Cheboksary</v>
      </c>
      <c r="B243" s="278" t="s">
        <v>54</v>
      </c>
      <c r="C243" s="249" t="s">
        <v>317</v>
      </c>
      <c r="D243" s="277" t="s">
        <v>318</v>
      </c>
      <c r="E243" s="282" t="s">
        <v>326</v>
      </c>
      <c r="F243" s="276" t="s">
        <v>320</v>
      </c>
      <c r="J243" s="219">
        <f t="shared" si="28"/>
        <v>2964846.8800000008</v>
      </c>
      <c r="K243" s="219">
        <f t="shared" si="29"/>
        <v>0</v>
      </c>
      <c r="L243" s="219">
        <f t="shared" si="30"/>
        <v>0</v>
      </c>
      <c r="M243" s="232">
        <f t="shared" si="31"/>
        <v>0</v>
      </c>
      <c r="N243" s="219">
        <f t="shared" si="32"/>
        <v>0</v>
      </c>
      <c r="O243" s="219">
        <f t="shared" si="33"/>
        <v>0</v>
      </c>
      <c r="P243" s="219">
        <f t="shared" si="34"/>
        <v>0</v>
      </c>
      <c r="Q243" s="219">
        <f t="shared" si="35"/>
        <v>0</v>
      </c>
      <c r="R243" s="131"/>
      <c r="S243" s="280"/>
      <c r="T243" s="280">
        <v>2964846.8800000008</v>
      </c>
      <c r="U243" s="281"/>
      <c r="V243" s="281"/>
      <c r="W243" s="281"/>
      <c r="X243" s="281"/>
      <c r="Y243" s="281"/>
      <c r="Z243" s="281"/>
      <c r="AA243" s="281"/>
      <c r="AB243" s="281"/>
      <c r="AC243" s="281"/>
      <c r="AH243" s="280"/>
      <c r="AI243" s="453"/>
      <c r="AO243" s="279" t="s">
        <v>384</v>
      </c>
    </row>
    <row r="244" spans="1:41" s="279" customFormat="1" hidden="1" x14ac:dyDescent="0.25">
      <c r="A244" s="279" t="str">
        <f t="shared" si="36"/>
        <v>Марий ЭлDDM MOS Sladkaay ZhiznTSL MOS Cheboksary</v>
      </c>
      <c r="B244" s="278" t="s">
        <v>350</v>
      </c>
      <c r="C244" s="249" t="s">
        <v>317</v>
      </c>
      <c r="D244" s="277" t="s">
        <v>318</v>
      </c>
      <c r="E244" s="282" t="s">
        <v>326</v>
      </c>
      <c r="F244" s="276" t="s">
        <v>320</v>
      </c>
      <c r="J244" s="219">
        <f t="shared" si="28"/>
        <v>11122562.409999976</v>
      </c>
      <c r="K244" s="219">
        <f t="shared" si="29"/>
        <v>0</v>
      </c>
      <c r="L244" s="219">
        <f t="shared" si="30"/>
        <v>0</v>
      </c>
      <c r="M244" s="232">
        <f t="shared" si="31"/>
        <v>0</v>
      </c>
      <c r="N244" s="219">
        <f t="shared" si="32"/>
        <v>0</v>
      </c>
      <c r="O244" s="219">
        <f t="shared" si="33"/>
        <v>0</v>
      </c>
      <c r="P244" s="219">
        <f t="shared" si="34"/>
        <v>0</v>
      </c>
      <c r="Q244" s="219">
        <f t="shared" si="35"/>
        <v>0</v>
      </c>
      <c r="R244" s="131"/>
      <c r="S244" s="280"/>
      <c r="T244" s="280">
        <v>11122562.409999976</v>
      </c>
      <c r="U244" s="281"/>
      <c r="V244" s="281"/>
      <c r="W244" s="281"/>
      <c r="X244" s="281"/>
      <c r="Y244" s="281"/>
      <c r="Z244" s="281"/>
      <c r="AA244" s="281"/>
      <c r="AB244" s="281"/>
      <c r="AC244" s="281"/>
      <c r="AH244" s="280"/>
      <c r="AI244" s="453"/>
      <c r="AO244" s="279" t="s">
        <v>384</v>
      </c>
    </row>
    <row r="245" spans="1:41" s="279" customFormat="1" hidden="1" x14ac:dyDescent="0.25">
      <c r="A245" s="279" t="str">
        <f t="shared" si="36"/>
        <v>МордовияDDM MOS Sladkaay ZhiznTSL MOS Cheboksary</v>
      </c>
      <c r="B245" s="278" t="s">
        <v>27</v>
      </c>
      <c r="C245" s="249" t="s">
        <v>317</v>
      </c>
      <c r="D245" s="277" t="s">
        <v>318</v>
      </c>
      <c r="E245" s="282" t="s">
        <v>326</v>
      </c>
      <c r="F245" s="276" t="s">
        <v>320</v>
      </c>
      <c r="J245" s="219">
        <f t="shared" si="28"/>
        <v>5516975.6900000079</v>
      </c>
      <c r="K245" s="219">
        <f t="shared" si="29"/>
        <v>0</v>
      </c>
      <c r="L245" s="219">
        <f t="shared" si="30"/>
        <v>0</v>
      </c>
      <c r="M245" s="232">
        <f t="shared" si="31"/>
        <v>0</v>
      </c>
      <c r="N245" s="219">
        <f t="shared" si="32"/>
        <v>0</v>
      </c>
      <c r="O245" s="219">
        <f t="shared" si="33"/>
        <v>0</v>
      </c>
      <c r="P245" s="219">
        <f t="shared" si="34"/>
        <v>0</v>
      </c>
      <c r="Q245" s="219">
        <f t="shared" si="35"/>
        <v>0</v>
      </c>
      <c r="R245" s="131"/>
      <c r="S245" s="280"/>
      <c r="T245" s="280">
        <v>5516975.6900000079</v>
      </c>
      <c r="U245" s="281"/>
      <c r="V245" s="281"/>
      <c r="W245" s="281"/>
      <c r="X245" s="281"/>
      <c r="Y245" s="281"/>
      <c r="Z245" s="281"/>
      <c r="AA245" s="281"/>
      <c r="AB245" s="281"/>
      <c r="AC245" s="281"/>
      <c r="AH245" s="280"/>
      <c r="AI245" s="453"/>
      <c r="AO245" s="279" t="s">
        <v>384</v>
      </c>
    </row>
    <row r="246" spans="1:41" s="279" customFormat="1" hidden="1" x14ac:dyDescent="0.25">
      <c r="A246" s="279" t="str">
        <f t="shared" si="36"/>
        <v>МоскваDDM MOS Sladkaay ZhiznTSL MOS Cheboksary</v>
      </c>
      <c r="B246" s="283" t="s">
        <v>7</v>
      </c>
      <c r="C246" s="249" t="s">
        <v>317</v>
      </c>
      <c r="D246" s="277" t="s">
        <v>318</v>
      </c>
      <c r="E246" s="282" t="s">
        <v>326</v>
      </c>
      <c r="F246" s="276" t="s">
        <v>320</v>
      </c>
      <c r="J246" s="219">
        <f t="shared" si="28"/>
        <v>597781.92999999993</v>
      </c>
      <c r="K246" s="219">
        <f t="shared" si="29"/>
        <v>0</v>
      </c>
      <c r="L246" s="219">
        <f t="shared" si="30"/>
        <v>0</v>
      </c>
      <c r="M246" s="232">
        <f t="shared" si="31"/>
        <v>0</v>
      </c>
      <c r="N246" s="219">
        <f t="shared" si="32"/>
        <v>0</v>
      </c>
      <c r="O246" s="219">
        <f t="shared" si="33"/>
        <v>0</v>
      </c>
      <c r="P246" s="219">
        <f t="shared" si="34"/>
        <v>0</v>
      </c>
      <c r="Q246" s="219">
        <f t="shared" si="35"/>
        <v>0</v>
      </c>
      <c r="R246" s="131"/>
      <c r="S246" s="280"/>
      <c r="T246" s="280">
        <v>597781.92999999993</v>
      </c>
      <c r="U246" s="281"/>
      <c r="V246" s="281"/>
      <c r="W246" s="281"/>
      <c r="X246" s="281"/>
      <c r="Y246" s="281"/>
      <c r="Z246" s="281"/>
      <c r="AA246" s="281"/>
      <c r="AB246" s="281"/>
      <c r="AC246" s="281"/>
      <c r="AH246" s="280"/>
      <c r="AI246" s="453"/>
      <c r="AO246" s="279" t="s">
        <v>384</v>
      </c>
    </row>
    <row r="247" spans="1:41" s="279" customFormat="1" hidden="1" x14ac:dyDescent="0.25">
      <c r="A247" s="279" t="str">
        <f t="shared" si="36"/>
        <v>МоскваDDM MOS Sladkaay ZhiznTSL MOS Cheboksary</v>
      </c>
      <c r="B247" s="278" t="s">
        <v>7</v>
      </c>
      <c r="C247" s="249" t="s">
        <v>317</v>
      </c>
      <c r="D247" s="277" t="s">
        <v>318</v>
      </c>
      <c r="E247" s="282" t="s">
        <v>326</v>
      </c>
      <c r="F247" s="276" t="s">
        <v>322</v>
      </c>
      <c r="J247" s="219">
        <f t="shared" si="28"/>
        <v>8503970.8899999987</v>
      </c>
      <c r="K247" s="219">
        <f t="shared" si="29"/>
        <v>0</v>
      </c>
      <c r="L247" s="219">
        <f t="shared" si="30"/>
        <v>0</v>
      </c>
      <c r="M247" s="232">
        <f t="shared" si="31"/>
        <v>0</v>
      </c>
      <c r="N247" s="219">
        <f t="shared" si="32"/>
        <v>0</v>
      </c>
      <c r="O247" s="219">
        <f t="shared" si="33"/>
        <v>0</v>
      </c>
      <c r="P247" s="219">
        <f t="shared" si="34"/>
        <v>0</v>
      </c>
      <c r="Q247" s="219">
        <f t="shared" si="35"/>
        <v>0</v>
      </c>
      <c r="R247" s="131"/>
      <c r="S247" s="280"/>
      <c r="T247" s="280">
        <v>8503970.8899999987</v>
      </c>
      <c r="U247" s="281"/>
      <c r="V247" s="281"/>
      <c r="W247" s="281"/>
      <c r="X247" s="281"/>
      <c r="Y247" s="281"/>
      <c r="Z247" s="281"/>
      <c r="AA247" s="281"/>
      <c r="AB247" s="281"/>
      <c r="AC247" s="281"/>
      <c r="AH247" s="280"/>
      <c r="AI247" s="453"/>
      <c r="AO247" s="279" t="s">
        <v>384</v>
      </c>
    </row>
    <row r="248" spans="1:41" s="279" customFormat="1" hidden="1" x14ac:dyDescent="0.25">
      <c r="A248" s="279" t="str">
        <f t="shared" si="36"/>
        <v>МосковскаяDDM MOS Sladkaay ZhiznTSL MOS Cheboksary</v>
      </c>
      <c r="B248" s="278" t="s">
        <v>333</v>
      </c>
      <c r="C248" s="249" t="s">
        <v>317</v>
      </c>
      <c r="D248" s="277" t="s">
        <v>318</v>
      </c>
      <c r="E248" s="282" t="s">
        <v>326</v>
      </c>
      <c r="F248" s="276" t="s">
        <v>322</v>
      </c>
      <c r="J248" s="219">
        <f t="shared" si="28"/>
        <v>38756102.86999961</v>
      </c>
      <c r="K248" s="219">
        <f t="shared" si="29"/>
        <v>0</v>
      </c>
      <c r="L248" s="219">
        <f t="shared" si="30"/>
        <v>0</v>
      </c>
      <c r="M248" s="232">
        <f t="shared" si="31"/>
        <v>0</v>
      </c>
      <c r="N248" s="219">
        <f t="shared" si="32"/>
        <v>0</v>
      </c>
      <c r="O248" s="219">
        <f t="shared" si="33"/>
        <v>0</v>
      </c>
      <c r="P248" s="219">
        <f t="shared" si="34"/>
        <v>0</v>
      </c>
      <c r="Q248" s="219">
        <f t="shared" si="35"/>
        <v>0</v>
      </c>
      <c r="R248" s="131"/>
      <c r="S248" s="280"/>
      <c r="T248" s="280">
        <v>38756102.86999961</v>
      </c>
      <c r="U248" s="281"/>
      <c r="V248" s="281"/>
      <c r="W248" s="281"/>
      <c r="X248" s="281"/>
      <c r="Y248" s="281"/>
      <c r="Z248" s="281"/>
      <c r="AA248" s="281"/>
      <c r="AB248" s="281"/>
      <c r="AC248" s="281"/>
      <c r="AH248" s="280"/>
      <c r="AI248" s="453"/>
      <c r="AO248" s="279" t="s">
        <v>384</v>
      </c>
    </row>
    <row r="249" spans="1:41" s="279" customFormat="1" hidden="1" x14ac:dyDescent="0.25">
      <c r="A249" s="279" t="str">
        <f t="shared" si="36"/>
        <v>НижегородскаяDDM MOS Sladkaay ZhiznTSL MOS Cheboksary</v>
      </c>
      <c r="B249" s="278" t="s">
        <v>21</v>
      </c>
      <c r="C249" s="249" t="s">
        <v>317</v>
      </c>
      <c r="D249" s="277" t="s">
        <v>318</v>
      </c>
      <c r="E249" s="282" t="s">
        <v>326</v>
      </c>
      <c r="F249" s="276" t="s">
        <v>320</v>
      </c>
      <c r="J249" s="219">
        <f t="shared" si="28"/>
        <v>40099952.099999592</v>
      </c>
      <c r="K249" s="219">
        <f t="shared" si="29"/>
        <v>0</v>
      </c>
      <c r="L249" s="219">
        <f t="shared" si="30"/>
        <v>0</v>
      </c>
      <c r="M249" s="232">
        <f t="shared" si="31"/>
        <v>0</v>
      </c>
      <c r="N249" s="219">
        <f t="shared" si="32"/>
        <v>0</v>
      </c>
      <c r="O249" s="219">
        <f t="shared" si="33"/>
        <v>0</v>
      </c>
      <c r="P249" s="219">
        <f t="shared" si="34"/>
        <v>0</v>
      </c>
      <c r="Q249" s="219">
        <f t="shared" si="35"/>
        <v>0</v>
      </c>
      <c r="R249" s="131"/>
      <c r="S249" s="280"/>
      <c r="T249" s="280">
        <v>40099952.099999592</v>
      </c>
      <c r="U249" s="281"/>
      <c r="V249" s="281"/>
      <c r="W249" s="281"/>
      <c r="X249" s="281"/>
      <c r="Y249" s="281"/>
      <c r="Z249" s="281"/>
      <c r="AA249" s="281"/>
      <c r="AB249" s="281"/>
      <c r="AC249" s="281"/>
      <c r="AH249" s="280"/>
      <c r="AI249" s="453"/>
      <c r="AO249" s="279" t="s">
        <v>384</v>
      </c>
    </row>
    <row r="250" spans="1:41" s="279" customFormat="1" hidden="1" x14ac:dyDescent="0.25">
      <c r="A250" s="279" t="str">
        <f t="shared" si="36"/>
        <v>ПензенскаяDDM MOS Sladkaay ZhiznTSL MOS Cheboksary</v>
      </c>
      <c r="B250" s="278" t="s">
        <v>152</v>
      </c>
      <c r="C250" s="249" t="s">
        <v>317</v>
      </c>
      <c r="D250" s="277" t="s">
        <v>318</v>
      </c>
      <c r="E250" s="282" t="s">
        <v>326</v>
      </c>
      <c r="F250" s="276" t="s">
        <v>320</v>
      </c>
      <c r="J250" s="219">
        <f t="shared" si="28"/>
        <v>6101533.7600000193</v>
      </c>
      <c r="K250" s="219">
        <f t="shared" si="29"/>
        <v>0</v>
      </c>
      <c r="L250" s="219">
        <f t="shared" si="30"/>
        <v>0</v>
      </c>
      <c r="M250" s="232">
        <f t="shared" si="31"/>
        <v>0</v>
      </c>
      <c r="N250" s="219">
        <f t="shared" si="32"/>
        <v>0</v>
      </c>
      <c r="O250" s="219">
        <f t="shared" si="33"/>
        <v>0</v>
      </c>
      <c r="P250" s="219">
        <f t="shared" si="34"/>
        <v>0</v>
      </c>
      <c r="Q250" s="219">
        <f t="shared" si="35"/>
        <v>0</v>
      </c>
      <c r="R250" s="131"/>
      <c r="S250" s="280"/>
      <c r="T250" s="280">
        <v>6101533.7600000193</v>
      </c>
      <c r="U250" s="281"/>
      <c r="V250" s="281"/>
      <c r="W250" s="281"/>
      <c r="X250" s="281"/>
      <c r="Y250" s="281"/>
      <c r="Z250" s="281"/>
      <c r="AA250" s="281"/>
      <c r="AB250" s="281"/>
      <c r="AC250" s="281"/>
      <c r="AH250" s="280"/>
      <c r="AI250" s="453"/>
      <c r="AO250" s="279" t="s">
        <v>384</v>
      </c>
    </row>
    <row r="251" spans="1:41" s="279" customFormat="1" hidden="1" x14ac:dyDescent="0.25">
      <c r="A251" s="279" t="str">
        <f t="shared" si="36"/>
        <v>РязанскаяDDM MOS Sladkaay ZhiznTSL MOS Cheboksary</v>
      </c>
      <c r="B251" s="278" t="s">
        <v>18</v>
      </c>
      <c r="C251" s="249" t="s">
        <v>317</v>
      </c>
      <c r="D251" s="277" t="s">
        <v>318</v>
      </c>
      <c r="E251" s="282" t="s">
        <v>326</v>
      </c>
      <c r="F251" s="276" t="s">
        <v>320</v>
      </c>
      <c r="J251" s="219">
        <f t="shared" si="28"/>
        <v>11308710.899999972</v>
      </c>
      <c r="K251" s="219">
        <f t="shared" si="29"/>
        <v>0</v>
      </c>
      <c r="L251" s="219">
        <f t="shared" si="30"/>
        <v>0</v>
      </c>
      <c r="M251" s="232">
        <f t="shared" si="31"/>
        <v>0</v>
      </c>
      <c r="N251" s="219">
        <f t="shared" si="32"/>
        <v>0</v>
      </c>
      <c r="O251" s="219">
        <f t="shared" si="33"/>
        <v>0</v>
      </c>
      <c r="P251" s="219">
        <f t="shared" si="34"/>
        <v>0</v>
      </c>
      <c r="Q251" s="219">
        <f t="shared" si="35"/>
        <v>0</v>
      </c>
      <c r="R251" s="131"/>
      <c r="S251" s="280"/>
      <c r="T251" s="280">
        <v>11308710.899999972</v>
      </c>
      <c r="U251" s="281"/>
      <c r="V251" s="281"/>
      <c r="W251" s="281"/>
      <c r="X251" s="281"/>
      <c r="Y251" s="281"/>
      <c r="Z251" s="281"/>
      <c r="AA251" s="281"/>
      <c r="AB251" s="281"/>
      <c r="AC251" s="281"/>
      <c r="AH251" s="280"/>
      <c r="AI251" s="453"/>
      <c r="AO251" s="279" t="s">
        <v>384</v>
      </c>
    </row>
    <row r="252" spans="1:41" s="279" customFormat="1" hidden="1" x14ac:dyDescent="0.25">
      <c r="A252" s="279" t="str">
        <f t="shared" si="36"/>
        <v>СамарскаяDDM MOS Sladkaay ZhiznTSL MOS Cheboksary</v>
      </c>
      <c r="B252" s="278" t="s">
        <v>105</v>
      </c>
      <c r="C252" s="249" t="s">
        <v>317</v>
      </c>
      <c r="D252" s="277" t="s">
        <v>318</v>
      </c>
      <c r="E252" s="282" t="s">
        <v>326</v>
      </c>
      <c r="F252" s="276" t="s">
        <v>320</v>
      </c>
      <c r="J252" s="219">
        <f t="shared" si="28"/>
        <v>286145.93999999994</v>
      </c>
      <c r="K252" s="219">
        <f t="shared" si="29"/>
        <v>0</v>
      </c>
      <c r="L252" s="219">
        <f t="shared" si="30"/>
        <v>0</v>
      </c>
      <c r="M252" s="232">
        <f t="shared" si="31"/>
        <v>0</v>
      </c>
      <c r="N252" s="219">
        <f t="shared" si="32"/>
        <v>0</v>
      </c>
      <c r="O252" s="219">
        <f t="shared" si="33"/>
        <v>0</v>
      </c>
      <c r="P252" s="219">
        <f t="shared" si="34"/>
        <v>0</v>
      </c>
      <c r="Q252" s="219">
        <f t="shared" si="35"/>
        <v>0</v>
      </c>
      <c r="R252" s="131"/>
      <c r="S252" s="280"/>
      <c r="T252" s="280">
        <v>286145.93999999994</v>
      </c>
      <c r="U252" s="281"/>
      <c r="V252" s="281"/>
      <c r="W252" s="281"/>
      <c r="X252" s="281"/>
      <c r="Y252" s="281"/>
      <c r="Z252" s="281"/>
      <c r="AA252" s="281"/>
      <c r="AB252" s="281"/>
      <c r="AC252" s="281"/>
      <c r="AH252" s="280"/>
      <c r="AI252" s="453"/>
      <c r="AO252" s="279" t="s">
        <v>384</v>
      </c>
    </row>
    <row r="253" spans="1:41" s="279" customFormat="1" hidden="1" x14ac:dyDescent="0.25">
      <c r="A253" s="279" t="str">
        <f t="shared" si="36"/>
        <v>ТатарстанDDM MOS Sladkaay ZhiznTSL MOS Cheboksary</v>
      </c>
      <c r="B253" s="278" t="s">
        <v>93</v>
      </c>
      <c r="C253" s="249" t="s">
        <v>317</v>
      </c>
      <c r="D253" s="277" t="s">
        <v>318</v>
      </c>
      <c r="E253" s="282" t="s">
        <v>326</v>
      </c>
      <c r="F253" s="276" t="s">
        <v>320</v>
      </c>
      <c r="J253" s="219">
        <f t="shared" si="28"/>
        <v>17912428.459999882</v>
      </c>
      <c r="K253" s="219">
        <f t="shared" si="29"/>
        <v>0</v>
      </c>
      <c r="L253" s="219">
        <f t="shared" si="30"/>
        <v>0</v>
      </c>
      <c r="M253" s="232">
        <f t="shared" si="31"/>
        <v>0</v>
      </c>
      <c r="N253" s="219">
        <f t="shared" si="32"/>
        <v>0</v>
      </c>
      <c r="O253" s="219">
        <f t="shared" si="33"/>
        <v>0</v>
      </c>
      <c r="P253" s="219">
        <f t="shared" si="34"/>
        <v>0</v>
      </c>
      <c r="Q253" s="219">
        <f t="shared" si="35"/>
        <v>0</v>
      </c>
      <c r="R253" s="131"/>
      <c r="S253" s="280"/>
      <c r="T253" s="280">
        <v>17912428.459999882</v>
      </c>
      <c r="U253" s="281"/>
      <c r="V253" s="281"/>
      <c r="W253" s="281"/>
      <c r="X253" s="281"/>
      <c r="Y253" s="281"/>
      <c r="Z253" s="281"/>
      <c r="AA253" s="281"/>
      <c r="AB253" s="281"/>
      <c r="AC253" s="281"/>
      <c r="AH253" s="280"/>
      <c r="AI253" s="453"/>
      <c r="AO253" s="279" t="s">
        <v>384</v>
      </c>
    </row>
    <row r="254" spans="1:41" s="279" customFormat="1" hidden="1" x14ac:dyDescent="0.25">
      <c r="A254" s="279" t="str">
        <f t="shared" si="36"/>
        <v>ТверскаяDDM MOS Sladkaay ZhiznTSL MOS Cheboksary</v>
      </c>
      <c r="B254" s="278" t="s">
        <v>55</v>
      </c>
      <c r="C254" s="249" t="s">
        <v>317</v>
      </c>
      <c r="D254" s="277" t="s">
        <v>318</v>
      </c>
      <c r="E254" s="282" t="s">
        <v>326</v>
      </c>
      <c r="F254" s="276" t="s">
        <v>322</v>
      </c>
      <c r="J254" s="219">
        <f t="shared" si="28"/>
        <v>5842546.7000000197</v>
      </c>
      <c r="K254" s="219">
        <f t="shared" si="29"/>
        <v>0</v>
      </c>
      <c r="L254" s="219">
        <f t="shared" si="30"/>
        <v>0</v>
      </c>
      <c r="M254" s="232">
        <f t="shared" si="31"/>
        <v>0</v>
      </c>
      <c r="N254" s="219">
        <f t="shared" si="32"/>
        <v>0</v>
      </c>
      <c r="O254" s="219">
        <f t="shared" si="33"/>
        <v>0</v>
      </c>
      <c r="P254" s="219">
        <f t="shared" si="34"/>
        <v>0</v>
      </c>
      <c r="Q254" s="219">
        <f t="shared" si="35"/>
        <v>0</v>
      </c>
      <c r="R254" s="131"/>
      <c r="S254" s="280"/>
      <c r="T254" s="280">
        <v>5842546.7000000197</v>
      </c>
      <c r="U254" s="281"/>
      <c r="V254" s="281"/>
      <c r="W254" s="281"/>
      <c r="X254" s="281"/>
      <c r="Y254" s="281"/>
      <c r="Z254" s="281"/>
      <c r="AA254" s="281"/>
      <c r="AB254" s="281"/>
      <c r="AC254" s="281"/>
      <c r="AH254" s="280"/>
      <c r="AI254" s="453"/>
      <c r="AO254" s="279" t="s">
        <v>384</v>
      </c>
    </row>
    <row r="255" spans="1:41" s="279" customFormat="1" hidden="1" x14ac:dyDescent="0.25">
      <c r="A255" s="279" t="str">
        <f t="shared" si="36"/>
        <v>ТульскаяDDM MOS Sladkaay ZhiznTSL MOS Cheboksary</v>
      </c>
      <c r="B255" s="278" t="s">
        <v>17</v>
      </c>
      <c r="C255" s="249" t="s">
        <v>317</v>
      </c>
      <c r="D255" s="277" t="s">
        <v>318</v>
      </c>
      <c r="E255" s="282" t="s">
        <v>326</v>
      </c>
      <c r="F255" s="276" t="s">
        <v>322</v>
      </c>
      <c r="J255" s="219">
        <f t="shared" si="28"/>
        <v>19446886.789999954</v>
      </c>
      <c r="K255" s="219">
        <f t="shared" si="29"/>
        <v>0</v>
      </c>
      <c r="L255" s="219">
        <f t="shared" si="30"/>
        <v>0</v>
      </c>
      <c r="M255" s="232">
        <f t="shared" si="31"/>
        <v>0</v>
      </c>
      <c r="N255" s="219">
        <f t="shared" si="32"/>
        <v>0</v>
      </c>
      <c r="O255" s="219">
        <f t="shared" si="33"/>
        <v>0</v>
      </c>
      <c r="P255" s="219">
        <f t="shared" si="34"/>
        <v>0</v>
      </c>
      <c r="Q255" s="219">
        <f t="shared" si="35"/>
        <v>0</v>
      </c>
      <c r="R255" s="131"/>
      <c r="S255" s="280"/>
      <c r="T255" s="280">
        <v>19446886.789999954</v>
      </c>
      <c r="U255" s="281"/>
      <c r="V255" s="281"/>
      <c r="W255" s="281"/>
      <c r="X255" s="281"/>
      <c r="Y255" s="281"/>
      <c r="Z255" s="281"/>
      <c r="AA255" s="281"/>
      <c r="AB255" s="281"/>
      <c r="AC255" s="281"/>
      <c r="AH255" s="280"/>
      <c r="AI255" s="453"/>
      <c r="AO255" s="279" t="s">
        <v>384</v>
      </c>
    </row>
    <row r="256" spans="1:41" s="279" customFormat="1" hidden="1" x14ac:dyDescent="0.25">
      <c r="A256" s="279" t="str">
        <f t="shared" si="36"/>
        <v>УдмуртскаяDDM MOS Sladkaay ZhiznTSL MOS Cheboksary</v>
      </c>
      <c r="B256" s="278" t="s">
        <v>385</v>
      </c>
      <c r="C256" s="249" t="s">
        <v>317</v>
      </c>
      <c r="D256" s="277" t="s">
        <v>318</v>
      </c>
      <c r="E256" s="282" t="s">
        <v>326</v>
      </c>
      <c r="F256" s="276" t="s">
        <v>320</v>
      </c>
      <c r="J256" s="219">
        <f t="shared" si="28"/>
        <v>7878247.5200000014</v>
      </c>
      <c r="K256" s="219">
        <f t="shared" si="29"/>
        <v>0</v>
      </c>
      <c r="L256" s="219">
        <f t="shared" si="30"/>
        <v>0</v>
      </c>
      <c r="M256" s="232">
        <f t="shared" si="31"/>
        <v>0</v>
      </c>
      <c r="N256" s="219">
        <f t="shared" si="32"/>
        <v>0</v>
      </c>
      <c r="O256" s="219">
        <f t="shared" si="33"/>
        <v>0</v>
      </c>
      <c r="P256" s="219">
        <f t="shared" si="34"/>
        <v>0</v>
      </c>
      <c r="Q256" s="219">
        <f t="shared" si="35"/>
        <v>0</v>
      </c>
      <c r="R256" s="131"/>
      <c r="S256" s="280"/>
      <c r="T256" s="280">
        <v>7878247.5200000014</v>
      </c>
      <c r="U256" s="281"/>
      <c r="V256" s="281"/>
      <c r="W256" s="281"/>
      <c r="X256" s="281"/>
      <c r="Y256" s="281"/>
      <c r="Z256" s="281"/>
      <c r="AA256" s="281"/>
      <c r="AB256" s="281"/>
      <c r="AC256" s="281"/>
      <c r="AH256" s="280"/>
      <c r="AI256" s="453"/>
      <c r="AO256" s="279" t="s">
        <v>384</v>
      </c>
    </row>
    <row r="257" spans="1:41" s="279" customFormat="1" hidden="1" x14ac:dyDescent="0.25">
      <c r="A257" s="279" t="str">
        <f t="shared" si="36"/>
        <v>УльяновскаяDDM MOS Sladkaay ZhiznTSL MOS Cheboksary</v>
      </c>
      <c r="B257" s="278" t="s">
        <v>107</v>
      </c>
      <c r="C257" s="249" t="s">
        <v>317</v>
      </c>
      <c r="D257" s="277" t="s">
        <v>318</v>
      </c>
      <c r="E257" s="282" t="s">
        <v>326</v>
      </c>
      <c r="F257" s="276" t="s">
        <v>320</v>
      </c>
      <c r="J257" s="219">
        <f t="shared" si="28"/>
        <v>459590.29</v>
      </c>
      <c r="K257" s="219">
        <f t="shared" si="29"/>
        <v>0</v>
      </c>
      <c r="L257" s="219">
        <f t="shared" si="30"/>
        <v>0</v>
      </c>
      <c r="M257" s="232">
        <f t="shared" si="31"/>
        <v>0</v>
      </c>
      <c r="N257" s="219">
        <f t="shared" si="32"/>
        <v>0</v>
      </c>
      <c r="O257" s="219">
        <f t="shared" si="33"/>
        <v>0</v>
      </c>
      <c r="P257" s="219">
        <f t="shared" si="34"/>
        <v>0</v>
      </c>
      <c r="Q257" s="219">
        <f t="shared" si="35"/>
        <v>0</v>
      </c>
      <c r="R257" s="131"/>
      <c r="S257" s="280"/>
      <c r="T257" s="280">
        <v>459590.29</v>
      </c>
      <c r="U257" s="281"/>
      <c r="V257" s="281"/>
      <c r="W257" s="281"/>
      <c r="X257" s="281"/>
      <c r="Y257" s="281"/>
      <c r="Z257" s="281"/>
      <c r="AA257" s="281"/>
      <c r="AB257" s="281"/>
      <c r="AC257" s="281"/>
      <c r="AH257" s="280"/>
      <c r="AI257" s="453"/>
      <c r="AO257" s="279" t="s">
        <v>384</v>
      </c>
    </row>
    <row r="258" spans="1:41" s="279" customFormat="1" hidden="1" x14ac:dyDescent="0.25">
      <c r="A258" s="279" t="str">
        <f t="shared" si="36"/>
        <v>Чувашская Республика -DDM MOS Sladkaay ZhiznTSL MOS Cheboksary</v>
      </c>
      <c r="B258" s="278" t="s">
        <v>336</v>
      </c>
      <c r="C258" s="249" t="s">
        <v>317</v>
      </c>
      <c r="D258" s="277" t="s">
        <v>318</v>
      </c>
      <c r="E258" s="282" t="s">
        <v>326</v>
      </c>
      <c r="F258" s="276" t="s">
        <v>320</v>
      </c>
      <c r="J258" s="219">
        <f t="shared" si="28"/>
        <v>11608457.909999993</v>
      </c>
      <c r="K258" s="219">
        <f t="shared" si="29"/>
        <v>0</v>
      </c>
      <c r="L258" s="219">
        <f t="shared" si="30"/>
        <v>0</v>
      </c>
      <c r="M258" s="232">
        <f t="shared" si="31"/>
        <v>0</v>
      </c>
      <c r="N258" s="219">
        <f t="shared" si="32"/>
        <v>0</v>
      </c>
      <c r="O258" s="219">
        <f t="shared" si="33"/>
        <v>0</v>
      </c>
      <c r="P258" s="219">
        <f t="shared" si="34"/>
        <v>0</v>
      </c>
      <c r="Q258" s="219">
        <f t="shared" si="35"/>
        <v>0</v>
      </c>
      <c r="R258" s="131"/>
      <c r="S258" s="280"/>
      <c r="T258" s="280">
        <v>11608457.909999993</v>
      </c>
      <c r="U258" s="281"/>
      <c r="V258" s="281"/>
      <c r="W258" s="281"/>
      <c r="X258" s="281"/>
      <c r="Y258" s="281"/>
      <c r="Z258" s="281"/>
      <c r="AA258" s="281"/>
      <c r="AB258" s="281"/>
      <c r="AC258" s="281"/>
      <c r="AH258" s="280"/>
      <c r="AI258" s="453"/>
      <c r="AO258" s="279" t="s">
        <v>384</v>
      </c>
    </row>
    <row r="259" spans="1:41" s="279" customFormat="1" hidden="1" x14ac:dyDescent="0.25">
      <c r="A259" s="279" t="str">
        <f t="shared" si="36"/>
        <v>ЯрославскаяDDM MOS Sladkaay ZhiznTSL MOS Cheboksary</v>
      </c>
      <c r="B259" s="283" t="s">
        <v>51</v>
      </c>
      <c r="C259" s="249" t="s">
        <v>317</v>
      </c>
      <c r="D259" s="277" t="s">
        <v>318</v>
      </c>
      <c r="E259" s="282" t="s">
        <v>326</v>
      </c>
      <c r="F259" s="276" t="s">
        <v>320</v>
      </c>
      <c r="J259" s="219">
        <f t="shared" si="28"/>
        <v>2743343.1599999988</v>
      </c>
      <c r="K259" s="219">
        <f t="shared" si="29"/>
        <v>0</v>
      </c>
      <c r="L259" s="219">
        <f t="shared" si="30"/>
        <v>0</v>
      </c>
      <c r="M259" s="232">
        <f t="shared" si="31"/>
        <v>0</v>
      </c>
      <c r="N259" s="219">
        <f t="shared" si="32"/>
        <v>0</v>
      </c>
      <c r="O259" s="219">
        <f t="shared" si="33"/>
        <v>0</v>
      </c>
      <c r="P259" s="219">
        <f t="shared" si="34"/>
        <v>0</v>
      </c>
      <c r="Q259" s="219">
        <f t="shared" si="35"/>
        <v>0</v>
      </c>
      <c r="R259" s="131"/>
      <c r="S259" s="280"/>
      <c r="T259" s="280">
        <v>2743343.1599999988</v>
      </c>
      <c r="U259" s="281"/>
      <c r="V259" s="281"/>
      <c r="W259" s="281"/>
      <c r="X259" s="281"/>
      <c r="Y259" s="281"/>
      <c r="Z259" s="281"/>
      <c r="AA259" s="281"/>
      <c r="AB259" s="281"/>
      <c r="AC259" s="281"/>
      <c r="AH259" s="280"/>
      <c r="AI259" s="453"/>
      <c r="AO259" s="279" t="s">
        <v>384</v>
      </c>
    </row>
    <row r="260" spans="1:41" s="279" customFormat="1" hidden="1" x14ac:dyDescent="0.25">
      <c r="A260" s="279" t="str">
        <f t="shared" si="36"/>
        <v>ЯрославскаяDDM MOS Sladkaay ZhiznTSL MOS Cheboksary</v>
      </c>
      <c r="B260" s="278" t="s">
        <v>51</v>
      </c>
      <c r="C260" s="249" t="s">
        <v>317</v>
      </c>
      <c r="D260" s="277" t="s">
        <v>318</v>
      </c>
      <c r="E260" s="282" t="s">
        <v>326</v>
      </c>
      <c r="F260" s="276" t="s">
        <v>322</v>
      </c>
      <c r="J260" s="219">
        <f t="shared" si="28"/>
        <v>377880.25999999989</v>
      </c>
      <c r="K260" s="219">
        <f t="shared" si="29"/>
        <v>0</v>
      </c>
      <c r="L260" s="219">
        <f t="shared" si="30"/>
        <v>0</v>
      </c>
      <c r="M260" s="232">
        <f t="shared" si="31"/>
        <v>0</v>
      </c>
      <c r="N260" s="219">
        <f t="shared" si="32"/>
        <v>0</v>
      </c>
      <c r="O260" s="219">
        <f t="shared" si="33"/>
        <v>0</v>
      </c>
      <c r="P260" s="219">
        <f t="shared" si="34"/>
        <v>0</v>
      </c>
      <c r="Q260" s="219">
        <f t="shared" si="35"/>
        <v>0</v>
      </c>
      <c r="R260" s="131"/>
      <c r="S260" s="280"/>
      <c r="T260" s="280">
        <v>377880.25999999989</v>
      </c>
      <c r="U260" s="281"/>
      <c r="V260" s="281"/>
      <c r="W260" s="281"/>
      <c r="X260" s="281"/>
      <c r="Y260" s="281"/>
      <c r="Z260" s="281"/>
      <c r="AA260" s="281"/>
      <c r="AB260" s="281"/>
      <c r="AC260" s="281"/>
      <c r="AH260" s="280"/>
      <c r="AI260" s="453"/>
      <c r="AO260" s="279" t="s">
        <v>384</v>
      </c>
    </row>
    <row r="261" spans="1:41" hidden="1" x14ac:dyDescent="0.25">
      <c r="A261" s="279" t="str">
        <f t="shared" si="36"/>
        <v>РязанскаяDDM MOS Sladkaay ZhiznTSL MOS N.Novgorod</v>
      </c>
      <c r="B261" s="278" t="s">
        <v>18</v>
      </c>
      <c r="C261" s="249" t="s">
        <v>317</v>
      </c>
      <c r="D261" s="277" t="s">
        <v>318</v>
      </c>
      <c r="E261" t="s">
        <v>319</v>
      </c>
      <c r="F261" s="276" t="s">
        <v>320</v>
      </c>
      <c r="J261" s="219">
        <f t="shared" ref="J261:J268" si="37">SUM(S261:T261)</f>
        <v>0</v>
      </c>
      <c r="K261" s="219">
        <f t="shared" ref="K261:K268" si="38">SUM(U261:W261)</f>
        <v>0</v>
      </c>
      <c r="L261" s="219">
        <f t="shared" ref="L261:L268" si="39">X261</f>
        <v>0</v>
      </c>
      <c r="M261" s="232">
        <f t="shared" ref="M261:M268" si="40">SUM(Y261:AC261)</f>
        <v>0</v>
      </c>
      <c r="N261" s="219">
        <f t="shared" ref="N261:N268" si="41">SUM(AD261:AF261)</f>
        <v>0</v>
      </c>
      <c r="O261" s="219">
        <f t="shared" ref="O261:O268" si="42">AH261</f>
        <v>11308710.900000002</v>
      </c>
      <c r="P261" s="219">
        <f t="shared" ref="P261:P268" si="43">AI261</f>
        <v>0</v>
      </c>
      <c r="Q261" s="219">
        <f t="shared" ref="Q261:Q268" si="44">SUM(AL261:AN261)</f>
        <v>0</v>
      </c>
      <c r="R261" s="131"/>
      <c r="T261" s="274"/>
      <c r="AD261" s="272"/>
      <c r="AE261" s="272"/>
      <c r="AF261" s="272"/>
      <c r="AG261" s="272"/>
      <c r="AH261" s="274">
        <v>11308710.900000002</v>
      </c>
      <c r="AI261" s="450"/>
      <c r="AJ261" s="272"/>
      <c r="AK261" s="272"/>
      <c r="AO261" s="275" t="s">
        <v>321</v>
      </c>
    </row>
    <row r="262" spans="1:41" hidden="1" x14ac:dyDescent="0.25">
      <c r="J262" s="219">
        <f t="shared" si="37"/>
        <v>0</v>
      </c>
      <c r="K262" s="219">
        <f t="shared" si="38"/>
        <v>0</v>
      </c>
      <c r="L262" s="219">
        <f t="shared" si="39"/>
        <v>0</v>
      </c>
      <c r="M262" s="232">
        <f t="shared" si="40"/>
        <v>0</v>
      </c>
      <c r="N262" s="219">
        <f t="shared" si="41"/>
        <v>0</v>
      </c>
      <c r="O262" s="219">
        <f t="shared" si="42"/>
        <v>0</v>
      </c>
      <c r="P262" s="219">
        <f t="shared" si="43"/>
        <v>0</v>
      </c>
      <c r="Q262" s="219">
        <f t="shared" si="44"/>
        <v>0</v>
      </c>
      <c r="R262" s="131"/>
      <c r="AD262" s="450"/>
      <c r="AE262" s="450"/>
      <c r="AF262" s="450"/>
      <c r="AG262" s="450"/>
      <c r="AI262" s="450"/>
      <c r="AJ262" s="450"/>
      <c r="AK262" s="450"/>
    </row>
    <row r="263" spans="1:41" hidden="1" x14ac:dyDescent="0.25">
      <c r="J263" s="219">
        <f t="shared" si="37"/>
        <v>0</v>
      </c>
      <c r="K263" s="219">
        <f t="shared" si="38"/>
        <v>0</v>
      </c>
      <c r="L263" s="219">
        <f t="shared" si="39"/>
        <v>0</v>
      </c>
      <c r="M263" s="232">
        <f t="shared" si="40"/>
        <v>0</v>
      </c>
      <c r="N263" s="219">
        <f t="shared" si="41"/>
        <v>0</v>
      </c>
      <c r="O263" s="219">
        <f t="shared" si="42"/>
        <v>0</v>
      </c>
      <c r="P263" s="219">
        <f t="shared" si="43"/>
        <v>0</v>
      </c>
      <c r="Q263" s="219">
        <f t="shared" si="44"/>
        <v>0</v>
      </c>
      <c r="R263" s="131"/>
      <c r="AD263" s="450"/>
      <c r="AE263" s="450"/>
      <c r="AF263" s="450"/>
      <c r="AG263" s="450"/>
      <c r="AI263" s="450"/>
      <c r="AJ263" s="450"/>
      <c r="AK263" s="450"/>
    </row>
    <row r="264" spans="1:41" hidden="1" x14ac:dyDescent="0.25">
      <c r="J264" s="219">
        <f t="shared" si="37"/>
        <v>0</v>
      </c>
      <c r="K264" s="219">
        <f t="shared" si="38"/>
        <v>0</v>
      </c>
      <c r="L264" s="219">
        <f t="shared" si="39"/>
        <v>0</v>
      </c>
      <c r="M264" s="232">
        <f t="shared" si="40"/>
        <v>0</v>
      </c>
      <c r="N264" s="219">
        <f t="shared" si="41"/>
        <v>0</v>
      </c>
      <c r="O264" s="219">
        <f t="shared" si="42"/>
        <v>0</v>
      </c>
      <c r="P264" s="219">
        <f t="shared" si="43"/>
        <v>0</v>
      </c>
      <c r="Q264" s="219">
        <f t="shared" si="44"/>
        <v>0</v>
      </c>
      <c r="R264" s="131"/>
      <c r="AD264" s="450"/>
      <c r="AE264" s="450"/>
      <c r="AF264" s="450"/>
      <c r="AG264" s="450"/>
      <c r="AI264" s="450"/>
      <c r="AJ264" s="450"/>
      <c r="AK264" s="450"/>
    </row>
    <row r="265" spans="1:41" hidden="1" x14ac:dyDescent="0.25">
      <c r="J265" s="219">
        <f t="shared" si="37"/>
        <v>0</v>
      </c>
      <c r="K265" s="219">
        <f t="shared" si="38"/>
        <v>0</v>
      </c>
      <c r="L265" s="219">
        <f t="shared" si="39"/>
        <v>0</v>
      </c>
      <c r="M265" s="232">
        <f t="shared" si="40"/>
        <v>0</v>
      </c>
      <c r="N265" s="219">
        <f t="shared" si="41"/>
        <v>0</v>
      </c>
      <c r="O265" s="219">
        <f t="shared" si="42"/>
        <v>0</v>
      </c>
      <c r="P265" s="219">
        <f t="shared" si="43"/>
        <v>0</v>
      </c>
      <c r="Q265" s="219">
        <f t="shared" si="44"/>
        <v>0</v>
      </c>
      <c r="R265" s="131"/>
      <c r="AD265" s="450"/>
      <c r="AE265" s="450"/>
      <c r="AF265" s="450"/>
      <c r="AG265" s="450"/>
      <c r="AI265" s="450"/>
      <c r="AJ265" s="450"/>
      <c r="AK265" s="450"/>
    </row>
    <row r="266" spans="1:41" hidden="1" x14ac:dyDescent="0.25">
      <c r="J266" s="219">
        <f t="shared" si="37"/>
        <v>0</v>
      </c>
      <c r="K266" s="219">
        <f t="shared" si="38"/>
        <v>0</v>
      </c>
      <c r="L266" s="219">
        <f t="shared" si="39"/>
        <v>0</v>
      </c>
      <c r="M266" s="232">
        <f t="shared" si="40"/>
        <v>0</v>
      </c>
      <c r="N266" s="219">
        <f t="shared" si="41"/>
        <v>0</v>
      </c>
      <c r="O266" s="219">
        <f t="shared" si="42"/>
        <v>0</v>
      </c>
      <c r="P266" s="219">
        <f t="shared" si="43"/>
        <v>0</v>
      </c>
      <c r="Q266" s="219">
        <f t="shared" si="44"/>
        <v>0</v>
      </c>
      <c r="R266" s="131"/>
      <c r="AD266" s="450"/>
      <c r="AE266" s="450"/>
      <c r="AF266" s="450"/>
      <c r="AG266" s="450"/>
      <c r="AI266" s="450"/>
      <c r="AJ266" s="450"/>
      <c r="AK266" s="450"/>
    </row>
    <row r="267" spans="1:41" hidden="1" x14ac:dyDescent="0.25">
      <c r="J267" s="219">
        <f t="shared" si="37"/>
        <v>0</v>
      </c>
      <c r="K267" s="219">
        <f t="shared" si="38"/>
        <v>0</v>
      </c>
      <c r="L267" s="219">
        <f t="shared" si="39"/>
        <v>0</v>
      </c>
      <c r="M267" s="232">
        <f t="shared" si="40"/>
        <v>0</v>
      </c>
      <c r="N267" s="219">
        <f t="shared" si="41"/>
        <v>0</v>
      </c>
      <c r="O267" s="219">
        <f t="shared" si="42"/>
        <v>0</v>
      </c>
      <c r="P267" s="219">
        <f t="shared" si="43"/>
        <v>0</v>
      </c>
      <c r="Q267" s="219">
        <f t="shared" si="44"/>
        <v>0</v>
      </c>
      <c r="R267" s="131"/>
      <c r="AD267" s="450"/>
      <c r="AE267" s="450"/>
      <c r="AF267" s="450"/>
      <c r="AG267" s="450"/>
      <c r="AI267" s="450"/>
      <c r="AJ267" s="450"/>
      <c r="AK267" s="450"/>
    </row>
    <row r="268" spans="1:41" hidden="1" x14ac:dyDescent="0.25">
      <c r="J268" s="219">
        <f t="shared" si="37"/>
        <v>0</v>
      </c>
      <c r="K268" s="219">
        <f t="shared" si="38"/>
        <v>0</v>
      </c>
      <c r="L268" s="219">
        <f t="shared" si="39"/>
        <v>0</v>
      </c>
      <c r="M268" s="232">
        <f t="shared" si="40"/>
        <v>0</v>
      </c>
      <c r="N268" s="219">
        <f t="shared" si="41"/>
        <v>0</v>
      </c>
      <c r="O268" s="219">
        <f t="shared" si="42"/>
        <v>0</v>
      </c>
      <c r="P268" s="219">
        <f t="shared" si="43"/>
        <v>0</v>
      </c>
      <c r="Q268" s="219">
        <f t="shared" si="44"/>
        <v>0</v>
      </c>
      <c r="R268" s="131"/>
      <c r="AD268" s="450"/>
      <c r="AE268" s="450"/>
      <c r="AF268" s="450"/>
      <c r="AG268" s="450"/>
      <c r="AI268" s="450"/>
      <c r="AJ268" s="450"/>
      <c r="AK268" s="450"/>
    </row>
  </sheetData>
  <autoFilter ref="A3:AP268" xr:uid="{14B78800-1EE8-4823-9747-33876C8399FB}">
    <filterColumn colId="1">
      <filters>
        <filter val="Москва"/>
        <filter val="Московская"/>
      </filters>
    </filterColumn>
    <filterColumn colId="4">
      <filters>
        <filter val="KADL MOS WEST"/>
      </filters>
    </filterColumn>
  </autoFilter>
  <mergeCells count="7">
    <mergeCell ref="K2:M2"/>
    <mergeCell ref="N2:R2"/>
    <mergeCell ref="S1:AC1"/>
    <mergeCell ref="AD1:AN1"/>
    <mergeCell ref="S2:T2"/>
    <mergeCell ref="AD2:AK2"/>
    <mergeCell ref="AL2:AN2"/>
  </mergeCells>
  <conditionalFormatting sqref="B218:B230">
    <cfRule type="duplicateValues" dxfId="1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BF65-6B09-43B1-8177-6B521D4ACFB1}">
  <sheetPr filterMode="1">
    <tabColor rgb="FF92D050"/>
  </sheetPr>
  <dimension ref="A1:AN268"/>
  <sheetViews>
    <sheetView zoomScale="85" zoomScaleNormal="85" workbookViewId="0">
      <selection activeCell="L33" sqref="L33"/>
    </sheetView>
  </sheetViews>
  <sheetFormatPr defaultRowHeight="15" x14ac:dyDescent="0.25"/>
  <cols>
    <col min="1" max="1" width="13.140625" customWidth="1"/>
    <col min="2" max="2" width="11.85546875" bestFit="1" customWidth="1"/>
    <col min="3" max="3" width="31.140625" bestFit="1" customWidth="1"/>
    <col min="4" max="4" width="39.5703125" bestFit="1" customWidth="1"/>
    <col min="5" max="5" width="18.85546875" bestFit="1" customWidth="1"/>
    <col min="6" max="6" width="8.42578125" bestFit="1" customWidth="1"/>
    <col min="7" max="7" width="8.140625" bestFit="1" customWidth="1"/>
    <col min="8" max="8" width="12.85546875" bestFit="1" customWidth="1"/>
    <col min="9" max="9" width="13.140625" bestFit="1" customWidth="1"/>
    <col min="10" max="10" width="18.7109375" bestFit="1" customWidth="1"/>
    <col min="11" max="11" width="20.7109375" bestFit="1" customWidth="1"/>
    <col min="12" max="12" width="21.28515625" bestFit="1" customWidth="1"/>
    <col min="13" max="13" width="25.42578125" bestFit="1" customWidth="1"/>
    <col min="14" max="14" width="25.140625" bestFit="1" customWidth="1"/>
    <col min="15" max="15" width="23.28515625" bestFit="1" customWidth="1"/>
    <col min="16" max="16" width="18.28515625" bestFit="1" customWidth="1"/>
    <col min="17" max="17" width="19.28515625" bestFit="1" customWidth="1"/>
    <col min="18" max="18" width="12.5703125" bestFit="1" customWidth="1"/>
    <col min="20" max="20" width="13.5703125" bestFit="1" customWidth="1"/>
    <col min="21" max="21" width="12.42578125" bestFit="1" customWidth="1"/>
    <col min="22" max="22" width="11.42578125" bestFit="1" customWidth="1"/>
    <col min="23" max="24" width="13.5703125" bestFit="1" customWidth="1"/>
    <col min="25" max="25" width="12.42578125" bestFit="1" customWidth="1"/>
    <col min="26" max="26" width="10.140625" bestFit="1" customWidth="1"/>
    <col min="27" max="27" width="13.5703125" bestFit="1" customWidth="1"/>
    <col min="28" max="28" width="12.42578125" bestFit="1" customWidth="1"/>
    <col min="29" max="29" width="12.5703125" bestFit="1" customWidth="1"/>
    <col min="30" max="30" width="11.5703125" bestFit="1" customWidth="1"/>
    <col min="31" max="31" width="12.5703125" bestFit="1" customWidth="1"/>
    <col min="32" max="32" width="8.5703125" bestFit="1" customWidth="1"/>
    <col min="33" max="34" width="12.5703125" bestFit="1" customWidth="1"/>
    <col min="35" max="35" width="8.42578125" bestFit="1" customWidth="1"/>
    <col min="36" max="36" width="7" bestFit="1" customWidth="1"/>
    <col min="37" max="37" width="12.5703125" bestFit="1" customWidth="1"/>
    <col min="38" max="38" width="8.5703125" bestFit="1" customWidth="1"/>
    <col min="40" max="40" width="12.5703125" bestFit="1" customWidth="1"/>
  </cols>
  <sheetData>
    <row r="1" spans="1:40" ht="15.75" thickBot="1" x14ac:dyDescent="0.3">
      <c r="A1" s="129" t="s">
        <v>182</v>
      </c>
      <c r="F1" s="2"/>
      <c r="G1" s="2"/>
      <c r="I1" s="1"/>
      <c r="J1" s="1"/>
      <c r="K1" s="1"/>
      <c r="L1" s="1"/>
      <c r="M1" s="1"/>
      <c r="N1" s="1"/>
      <c r="O1" s="1"/>
      <c r="P1" s="1"/>
      <c r="Q1" s="1"/>
      <c r="R1" s="504" t="s">
        <v>184</v>
      </c>
      <c r="S1" s="508"/>
      <c r="T1" s="508"/>
      <c r="U1" s="508"/>
      <c r="V1" s="508"/>
      <c r="W1" s="508"/>
      <c r="X1" s="508"/>
      <c r="Y1" s="508"/>
      <c r="Z1" s="508"/>
      <c r="AA1" s="508"/>
      <c r="AB1" s="509"/>
      <c r="AC1" s="504" t="s">
        <v>185</v>
      </c>
      <c r="AD1" s="508"/>
      <c r="AE1" s="508"/>
      <c r="AF1" s="508"/>
      <c r="AG1" s="510"/>
      <c r="AH1" s="508"/>
      <c r="AI1" s="508"/>
      <c r="AJ1" s="508"/>
      <c r="AK1" s="508"/>
      <c r="AL1" s="508"/>
      <c r="AM1" s="508"/>
      <c r="AN1" s="509"/>
    </row>
    <row r="2" spans="1:40" ht="45.75" thickBot="1" x14ac:dyDescent="0.3">
      <c r="A2" s="130"/>
      <c r="B2" s="130"/>
      <c r="C2" s="130"/>
      <c r="D2" s="130"/>
      <c r="E2" s="130"/>
      <c r="F2" s="3"/>
      <c r="G2" s="3"/>
      <c r="H2" s="130"/>
      <c r="I2" s="13" t="s">
        <v>290</v>
      </c>
      <c r="J2" s="490" t="s">
        <v>291</v>
      </c>
      <c r="K2" s="490"/>
      <c r="L2" s="490"/>
      <c r="M2" s="490" t="s">
        <v>292</v>
      </c>
      <c r="N2" s="490"/>
      <c r="O2" s="490"/>
      <c r="P2" s="490"/>
      <c r="Q2" s="491"/>
      <c r="R2" s="505" t="s">
        <v>186</v>
      </c>
      <c r="S2" s="511"/>
      <c r="T2" s="164" t="s">
        <v>187</v>
      </c>
      <c r="U2" s="165" t="s">
        <v>187</v>
      </c>
      <c r="V2" s="166" t="s">
        <v>187</v>
      </c>
      <c r="W2" s="164" t="s">
        <v>188</v>
      </c>
      <c r="X2" s="165" t="s">
        <v>188</v>
      </c>
      <c r="Y2" s="165" t="s">
        <v>188</v>
      </c>
      <c r="Z2" s="165" t="s">
        <v>188</v>
      </c>
      <c r="AA2" s="165" t="s">
        <v>188</v>
      </c>
      <c r="AB2" s="166" t="s">
        <v>188</v>
      </c>
      <c r="AC2" s="505" t="s">
        <v>189</v>
      </c>
      <c r="AD2" s="512"/>
      <c r="AE2" s="512"/>
      <c r="AF2" s="512"/>
      <c r="AG2" s="513"/>
      <c r="AH2" s="512"/>
      <c r="AI2" s="512"/>
      <c r="AJ2" s="511"/>
      <c r="AK2" s="505" t="s">
        <v>293</v>
      </c>
      <c r="AL2" s="512"/>
      <c r="AM2" s="512"/>
      <c r="AN2" s="511"/>
    </row>
    <row r="3" spans="1:40" ht="60.75" thickBot="1" x14ac:dyDescent="0.3">
      <c r="A3" s="144" t="s">
        <v>190</v>
      </c>
      <c r="B3" s="145" t="s">
        <v>191</v>
      </c>
      <c r="C3" s="145" t="s">
        <v>192</v>
      </c>
      <c r="D3" s="145" t="s">
        <v>193</v>
      </c>
      <c r="E3" s="148" t="s">
        <v>194</v>
      </c>
      <c r="F3" s="153" t="s">
        <v>195</v>
      </c>
      <c r="G3" s="146" t="s">
        <v>196</v>
      </c>
      <c r="H3" s="147" t="s">
        <v>197</v>
      </c>
      <c r="I3" s="231" t="s">
        <v>290</v>
      </c>
      <c r="J3" s="231" t="s">
        <v>294</v>
      </c>
      <c r="K3" s="231" t="s">
        <v>295</v>
      </c>
      <c r="L3" s="231" t="s">
        <v>296</v>
      </c>
      <c r="M3" s="231" t="s">
        <v>297</v>
      </c>
      <c r="N3" s="231" t="s">
        <v>298</v>
      </c>
      <c r="O3" s="231" t="s">
        <v>299</v>
      </c>
      <c r="P3" s="231" t="s">
        <v>300</v>
      </c>
      <c r="Q3" s="231" t="s">
        <v>301</v>
      </c>
      <c r="R3" s="10" t="s">
        <v>302</v>
      </c>
      <c r="S3" s="12" t="s">
        <v>303</v>
      </c>
      <c r="T3" s="10" t="s">
        <v>304</v>
      </c>
      <c r="U3" s="11" t="s">
        <v>305</v>
      </c>
      <c r="V3" s="12" t="s">
        <v>201</v>
      </c>
      <c r="W3" s="10" t="s">
        <v>202</v>
      </c>
      <c r="X3" s="11" t="s">
        <v>204</v>
      </c>
      <c r="Y3" s="11" t="s">
        <v>205</v>
      </c>
      <c r="Z3" s="11" t="s">
        <v>206</v>
      </c>
      <c r="AA3" s="11" t="s">
        <v>207</v>
      </c>
      <c r="AB3" s="12" t="s">
        <v>208</v>
      </c>
      <c r="AC3" s="10" t="s">
        <v>306</v>
      </c>
      <c r="AD3" s="11" t="s">
        <v>307</v>
      </c>
      <c r="AE3" s="11" t="s">
        <v>308</v>
      </c>
      <c r="AF3" s="11" t="s">
        <v>309</v>
      </c>
      <c r="AG3" s="11" t="s">
        <v>310</v>
      </c>
      <c r="AH3" s="17" t="s">
        <v>311</v>
      </c>
      <c r="AI3" s="11" t="s">
        <v>312</v>
      </c>
      <c r="AJ3" s="12" t="s">
        <v>313</v>
      </c>
      <c r="AK3" s="10" t="s">
        <v>306</v>
      </c>
      <c r="AL3" s="11" t="s">
        <v>307</v>
      </c>
      <c r="AM3" s="12" t="s">
        <v>314</v>
      </c>
      <c r="AN3" s="12" t="s">
        <v>437</v>
      </c>
    </row>
    <row r="4" spans="1:40" hidden="1" x14ac:dyDescent="0.25">
      <c r="A4" s="141" t="s">
        <v>81</v>
      </c>
      <c r="B4" s="142" t="s">
        <v>438</v>
      </c>
      <c r="C4" s="142" t="s">
        <v>439</v>
      </c>
      <c r="D4" s="142" t="s">
        <v>440</v>
      </c>
      <c r="E4" s="149" t="s">
        <v>421</v>
      </c>
      <c r="F4" s="154"/>
      <c r="G4" s="18"/>
      <c r="H4" s="143"/>
      <c r="I4" s="219">
        <f>SUM(R4:S4)</f>
        <v>0</v>
      </c>
      <c r="J4" s="219">
        <f>SUM(T4:V4)</f>
        <v>0</v>
      </c>
      <c r="K4" s="219">
        <f>W4</f>
        <v>0</v>
      </c>
      <c r="L4" s="232">
        <f>SUM(X4:AB4)</f>
        <v>208688.66999999998</v>
      </c>
      <c r="M4" s="219">
        <f>SUM(AC4:AE4)</f>
        <v>0</v>
      </c>
      <c r="N4" s="219">
        <f>AG4</f>
        <v>0</v>
      </c>
      <c r="O4" s="219">
        <f>AH4</f>
        <v>0</v>
      </c>
      <c r="P4" s="219">
        <f>SUM(AK4:AM4)</f>
        <v>0</v>
      </c>
      <c r="Q4" s="219">
        <f>AN4</f>
        <v>0</v>
      </c>
      <c r="R4" s="157"/>
      <c r="S4" s="158"/>
      <c r="T4" s="161">
        <v>0</v>
      </c>
      <c r="U4" s="126">
        <v>0</v>
      </c>
      <c r="V4" s="160">
        <v>0</v>
      </c>
      <c r="W4" s="161">
        <v>0</v>
      </c>
      <c r="X4" s="126">
        <v>0</v>
      </c>
      <c r="Y4" s="126">
        <v>0</v>
      </c>
      <c r="Z4" s="126">
        <v>0</v>
      </c>
      <c r="AA4" s="126">
        <v>208688.66999999998</v>
      </c>
      <c r="AB4" s="160">
        <v>0</v>
      </c>
      <c r="AC4" s="161"/>
      <c r="AD4" s="126"/>
      <c r="AE4" s="126"/>
      <c r="AF4" s="126"/>
      <c r="AG4" s="172"/>
      <c r="AH4" s="176"/>
      <c r="AI4" s="132"/>
      <c r="AJ4" s="169"/>
      <c r="AK4" s="159"/>
      <c r="AL4" s="127"/>
      <c r="AM4" s="127"/>
      <c r="AN4" s="169"/>
    </row>
    <row r="5" spans="1:40" hidden="1" x14ac:dyDescent="0.25">
      <c r="A5" s="133" t="s">
        <v>81</v>
      </c>
      <c r="B5" s="131" t="s">
        <v>438</v>
      </c>
      <c r="C5" s="131" t="s">
        <v>439</v>
      </c>
      <c r="D5" s="131" t="s">
        <v>441</v>
      </c>
      <c r="E5" s="150" t="s">
        <v>442</v>
      </c>
      <c r="F5" s="155"/>
      <c r="G5" s="19"/>
      <c r="H5" s="134"/>
      <c r="I5" s="219">
        <f t="shared" ref="I5:I68" si="0">SUM(R5:S5)</f>
        <v>0</v>
      </c>
      <c r="J5" s="219">
        <f t="shared" ref="J5:J68" si="1">SUM(T5:V5)</f>
        <v>0</v>
      </c>
      <c r="K5" s="219">
        <f t="shared" ref="K5:K68" si="2">W5</f>
        <v>0</v>
      </c>
      <c r="L5" s="232">
        <f t="shared" ref="L5:L68" si="3">SUM(X5:AB5)</f>
        <v>11776760.620000001</v>
      </c>
      <c r="M5" s="219">
        <f t="shared" ref="M5:M68" si="4">SUM(AC5:AE5)</f>
        <v>0</v>
      </c>
      <c r="N5" s="219">
        <f t="shared" ref="N5:N68" si="5">AG5</f>
        <v>0</v>
      </c>
      <c r="O5" s="219">
        <f t="shared" ref="O5:O68" si="6">AH5</f>
        <v>0</v>
      </c>
      <c r="P5" s="219">
        <f t="shared" ref="P5:P68" si="7">SUM(AK5:AM5)</f>
        <v>0</v>
      </c>
      <c r="Q5" s="219">
        <f t="shared" ref="Q5:Q68" si="8">AN5</f>
        <v>0</v>
      </c>
      <c r="R5" s="157"/>
      <c r="S5" s="158"/>
      <c r="T5" s="161">
        <v>0</v>
      </c>
      <c r="U5" s="126">
        <v>0</v>
      </c>
      <c r="V5" s="160">
        <v>0</v>
      </c>
      <c r="W5" s="161">
        <v>0</v>
      </c>
      <c r="X5" s="126">
        <v>0</v>
      </c>
      <c r="Y5" s="126">
        <v>0</v>
      </c>
      <c r="Z5" s="126">
        <v>0</v>
      </c>
      <c r="AA5" s="126">
        <v>11776760.620000001</v>
      </c>
      <c r="AB5" s="160">
        <v>0</v>
      </c>
      <c r="AC5" s="161"/>
      <c r="AD5" s="126"/>
      <c r="AE5" s="126"/>
      <c r="AF5" s="126"/>
      <c r="AG5" s="172"/>
      <c r="AH5" s="176"/>
      <c r="AI5" s="132"/>
      <c r="AJ5" s="169"/>
      <c r="AK5" s="159"/>
      <c r="AL5" s="127"/>
      <c r="AM5" s="127"/>
      <c r="AN5" s="169"/>
    </row>
    <row r="6" spans="1:40" hidden="1" x14ac:dyDescent="0.25">
      <c r="A6" s="133" t="s">
        <v>81</v>
      </c>
      <c r="B6" s="131" t="s">
        <v>438</v>
      </c>
      <c r="C6" s="131" t="s">
        <v>439</v>
      </c>
      <c r="D6" s="131" t="s">
        <v>441</v>
      </c>
      <c r="E6" s="150" t="s">
        <v>421</v>
      </c>
      <c r="F6" s="155"/>
      <c r="G6" s="19"/>
      <c r="H6" s="134" t="s">
        <v>343</v>
      </c>
      <c r="I6" s="219">
        <f t="shared" si="0"/>
        <v>0</v>
      </c>
      <c r="J6" s="219">
        <f t="shared" si="1"/>
        <v>153019583.42999998</v>
      </c>
      <c r="K6" s="219">
        <f t="shared" si="2"/>
        <v>134970165.77000001</v>
      </c>
      <c r="L6" s="232">
        <f t="shared" si="3"/>
        <v>322128488.81000018</v>
      </c>
      <c r="M6" s="219">
        <f t="shared" si="4"/>
        <v>13117256.509999998</v>
      </c>
      <c r="N6" s="219">
        <f t="shared" si="5"/>
        <v>27361099.270000003</v>
      </c>
      <c r="O6" s="219">
        <f t="shared" si="6"/>
        <v>1989224.5970999999</v>
      </c>
      <c r="P6" s="219">
        <f t="shared" si="7"/>
        <v>0</v>
      </c>
      <c r="Q6" s="219">
        <f t="shared" si="8"/>
        <v>0</v>
      </c>
      <c r="R6" s="157"/>
      <c r="S6" s="158"/>
      <c r="T6" s="161">
        <v>115894189.43999997</v>
      </c>
      <c r="U6" s="126">
        <v>37125393.990000002</v>
      </c>
      <c r="V6" s="160">
        <v>0</v>
      </c>
      <c r="W6" s="161">
        <v>134970165.77000001</v>
      </c>
      <c r="X6" s="126">
        <v>61507257.609999999</v>
      </c>
      <c r="Y6" s="126">
        <v>91722032.220000058</v>
      </c>
      <c r="Z6" s="126">
        <v>0</v>
      </c>
      <c r="AA6" s="126">
        <v>117376133.46000017</v>
      </c>
      <c r="AB6" s="160">
        <v>51523065.519999996</v>
      </c>
      <c r="AC6" s="161">
        <v>13117256.509999998</v>
      </c>
      <c r="AD6" s="126">
        <v>0</v>
      </c>
      <c r="AE6" s="126">
        <v>0</v>
      </c>
      <c r="AF6" s="126"/>
      <c r="AG6" s="172">
        <v>27361099.270000003</v>
      </c>
      <c r="AH6" s="176">
        <v>1989224.5970999999</v>
      </c>
      <c r="AI6" s="132"/>
      <c r="AJ6" s="169"/>
      <c r="AK6" s="159"/>
      <c r="AL6" s="127"/>
      <c r="AM6" s="127"/>
      <c r="AN6" s="169"/>
    </row>
    <row r="7" spans="1:40" hidden="1" x14ac:dyDescent="0.25">
      <c r="A7" s="133" t="s">
        <v>87</v>
      </c>
      <c r="B7" s="131" t="s">
        <v>438</v>
      </c>
      <c r="C7" s="131" t="s">
        <v>443</v>
      </c>
      <c r="D7" s="131" t="s">
        <v>444</v>
      </c>
      <c r="E7" s="150" t="s">
        <v>424</v>
      </c>
      <c r="F7" s="155"/>
      <c r="G7" s="19"/>
      <c r="H7" s="134" t="s">
        <v>377</v>
      </c>
      <c r="I7" s="219">
        <f t="shared" si="0"/>
        <v>0</v>
      </c>
      <c r="J7" s="219">
        <f t="shared" si="1"/>
        <v>6003235.9700000007</v>
      </c>
      <c r="K7" s="219">
        <f t="shared" si="2"/>
        <v>221515033.27000004</v>
      </c>
      <c r="L7" s="232">
        <f t="shared" si="3"/>
        <v>26051285.77999999</v>
      </c>
      <c r="M7" s="219">
        <f t="shared" si="4"/>
        <v>43675974.810000084</v>
      </c>
      <c r="N7" s="219">
        <f t="shared" si="5"/>
        <v>0</v>
      </c>
      <c r="O7" s="219">
        <f t="shared" si="6"/>
        <v>43675974.810000084</v>
      </c>
      <c r="P7" s="219">
        <f t="shared" si="7"/>
        <v>0</v>
      </c>
      <c r="Q7" s="219">
        <f t="shared" si="8"/>
        <v>0</v>
      </c>
      <c r="R7" s="157"/>
      <c r="S7" s="158"/>
      <c r="T7" s="161">
        <v>6003235.9700000007</v>
      </c>
      <c r="U7" s="126">
        <v>0</v>
      </c>
      <c r="V7" s="160">
        <v>0</v>
      </c>
      <c r="W7" s="161">
        <v>221515033.27000004</v>
      </c>
      <c r="X7" s="126">
        <v>26051285.77999999</v>
      </c>
      <c r="Y7" s="126">
        <v>0</v>
      </c>
      <c r="Z7" s="126">
        <v>0</v>
      </c>
      <c r="AA7" s="126">
        <v>0</v>
      </c>
      <c r="AB7" s="160">
        <v>0</v>
      </c>
      <c r="AC7" s="161">
        <v>43675974.810000084</v>
      </c>
      <c r="AD7" s="126">
        <v>0</v>
      </c>
      <c r="AE7" s="126">
        <v>0</v>
      </c>
      <c r="AF7" s="126"/>
      <c r="AG7" s="172"/>
      <c r="AH7" s="176">
        <v>43675974.810000084</v>
      </c>
      <c r="AI7" s="132"/>
      <c r="AJ7" s="169"/>
      <c r="AK7" s="159"/>
      <c r="AL7" s="127"/>
      <c r="AM7" s="127"/>
      <c r="AN7" s="169"/>
    </row>
    <row r="8" spans="1:40" hidden="1" x14ac:dyDescent="0.25">
      <c r="A8" s="133" t="s">
        <v>87</v>
      </c>
      <c r="B8" s="131" t="s">
        <v>438</v>
      </c>
      <c r="C8" s="131" t="s">
        <v>443</v>
      </c>
      <c r="D8" s="131" t="s">
        <v>445</v>
      </c>
      <c r="E8" s="150" t="s">
        <v>424</v>
      </c>
      <c r="F8" s="155"/>
      <c r="G8" s="19"/>
      <c r="H8" s="134"/>
      <c r="I8" s="219">
        <f t="shared" si="0"/>
        <v>0</v>
      </c>
      <c r="J8" s="219">
        <f t="shared" si="1"/>
        <v>23080630.669999998</v>
      </c>
      <c r="K8" s="219">
        <f t="shared" si="2"/>
        <v>628783.19000000006</v>
      </c>
      <c r="L8" s="232">
        <f t="shared" si="3"/>
        <v>141679553.97000003</v>
      </c>
      <c r="M8" s="219">
        <f t="shared" si="4"/>
        <v>511490.75000000006</v>
      </c>
      <c r="N8" s="219">
        <f t="shared" si="5"/>
        <v>0</v>
      </c>
      <c r="O8" s="219">
        <f t="shared" si="6"/>
        <v>0</v>
      </c>
      <c r="P8" s="219">
        <f t="shared" si="7"/>
        <v>0</v>
      </c>
      <c r="Q8" s="219">
        <f t="shared" si="8"/>
        <v>0</v>
      </c>
      <c r="R8" s="157"/>
      <c r="S8" s="158"/>
      <c r="T8" s="161">
        <v>0</v>
      </c>
      <c r="U8" s="126">
        <v>23080630.669999998</v>
      </c>
      <c r="V8" s="160">
        <v>0</v>
      </c>
      <c r="W8" s="161">
        <v>628783.19000000006</v>
      </c>
      <c r="X8" s="126">
        <v>393046.49</v>
      </c>
      <c r="Y8" s="126">
        <v>15400189.129999997</v>
      </c>
      <c r="Z8" s="126">
        <v>0</v>
      </c>
      <c r="AA8" s="126">
        <v>39059676.37000002</v>
      </c>
      <c r="AB8" s="160">
        <v>86826641.980000004</v>
      </c>
      <c r="AC8" s="161">
        <v>511490.75000000006</v>
      </c>
      <c r="AD8" s="126">
        <v>0</v>
      </c>
      <c r="AE8" s="126">
        <v>0</v>
      </c>
      <c r="AF8" s="126"/>
      <c r="AG8" s="172"/>
      <c r="AH8" s="176"/>
      <c r="AI8" s="132"/>
      <c r="AJ8" s="169"/>
      <c r="AK8" s="159"/>
      <c r="AL8" s="127"/>
      <c r="AM8" s="127"/>
      <c r="AN8" s="169"/>
    </row>
    <row r="9" spans="1:40" hidden="1" x14ac:dyDescent="0.25">
      <c r="A9" s="133" t="s">
        <v>87</v>
      </c>
      <c r="B9" s="131" t="s">
        <v>438</v>
      </c>
      <c r="C9" s="131" t="s">
        <v>443</v>
      </c>
      <c r="D9" s="131" t="s">
        <v>446</v>
      </c>
      <c r="E9" s="150" t="s">
        <v>424</v>
      </c>
      <c r="F9" s="155"/>
      <c r="G9" s="19"/>
      <c r="H9" s="134"/>
      <c r="I9" s="219">
        <f t="shared" si="0"/>
        <v>0</v>
      </c>
      <c r="J9" s="219">
        <f t="shared" si="1"/>
        <v>3048091.0600000005</v>
      </c>
      <c r="K9" s="219">
        <f t="shared" si="2"/>
        <v>2767536.3699999996</v>
      </c>
      <c r="L9" s="232">
        <f t="shared" si="3"/>
        <v>20306140.809999995</v>
      </c>
      <c r="M9" s="219">
        <f t="shared" si="4"/>
        <v>0</v>
      </c>
      <c r="N9" s="219">
        <f t="shared" si="5"/>
        <v>0</v>
      </c>
      <c r="O9" s="219">
        <f t="shared" si="6"/>
        <v>0</v>
      </c>
      <c r="P9" s="219">
        <f t="shared" si="7"/>
        <v>0</v>
      </c>
      <c r="Q9" s="219">
        <f t="shared" si="8"/>
        <v>0</v>
      </c>
      <c r="R9" s="157"/>
      <c r="S9" s="158"/>
      <c r="T9" s="161">
        <v>1212322.8800000001</v>
      </c>
      <c r="U9" s="126">
        <v>1835768.1800000006</v>
      </c>
      <c r="V9" s="160">
        <v>0</v>
      </c>
      <c r="W9" s="161">
        <v>2767536.3699999996</v>
      </c>
      <c r="X9" s="126">
        <v>3874285.9299999997</v>
      </c>
      <c r="Y9" s="126">
        <v>6783659.339999998</v>
      </c>
      <c r="Z9" s="126">
        <v>0</v>
      </c>
      <c r="AA9" s="126">
        <v>9003427.1699999962</v>
      </c>
      <c r="AB9" s="160">
        <v>644768.37</v>
      </c>
      <c r="AC9" s="161"/>
      <c r="AD9" s="126"/>
      <c r="AE9" s="126"/>
      <c r="AF9" s="126"/>
      <c r="AG9" s="172"/>
      <c r="AH9" s="176"/>
      <c r="AI9" s="132"/>
      <c r="AJ9" s="169"/>
      <c r="AK9" s="159"/>
      <c r="AL9" s="127"/>
      <c r="AM9" s="127"/>
      <c r="AN9" s="169"/>
    </row>
    <row r="10" spans="1:40" hidden="1" x14ac:dyDescent="0.25">
      <c r="A10" s="133" t="s">
        <v>87</v>
      </c>
      <c r="B10" s="131" t="s">
        <v>438</v>
      </c>
      <c r="C10" s="131" t="s">
        <v>447</v>
      </c>
      <c r="D10" s="131" t="s">
        <v>448</v>
      </c>
      <c r="E10" s="150" t="s">
        <v>424</v>
      </c>
      <c r="F10" s="155"/>
      <c r="G10" s="19"/>
      <c r="H10" s="134"/>
      <c r="I10" s="219">
        <f t="shared" si="0"/>
        <v>0</v>
      </c>
      <c r="J10" s="219">
        <f t="shared" si="1"/>
        <v>0</v>
      </c>
      <c r="K10" s="219">
        <f t="shared" si="2"/>
        <v>0</v>
      </c>
      <c r="L10" s="232">
        <f t="shared" si="3"/>
        <v>0</v>
      </c>
      <c r="M10" s="219">
        <f t="shared" si="4"/>
        <v>0</v>
      </c>
      <c r="N10" s="219">
        <f t="shared" si="5"/>
        <v>0</v>
      </c>
      <c r="O10" s="219">
        <f t="shared" si="6"/>
        <v>0</v>
      </c>
      <c r="P10" s="219">
        <f t="shared" si="7"/>
        <v>0</v>
      </c>
      <c r="Q10" s="219">
        <f t="shared" si="8"/>
        <v>179038670.03000003</v>
      </c>
      <c r="R10" s="157"/>
      <c r="S10" s="158"/>
      <c r="T10" s="161"/>
      <c r="U10" s="126"/>
      <c r="V10" s="160"/>
      <c r="W10" s="161"/>
      <c r="X10" s="126"/>
      <c r="Y10" s="126"/>
      <c r="Z10" s="126"/>
      <c r="AA10" s="126"/>
      <c r="AB10" s="160"/>
      <c r="AC10" s="161"/>
      <c r="AD10" s="126"/>
      <c r="AE10" s="126"/>
      <c r="AF10" s="126"/>
      <c r="AG10" s="172"/>
      <c r="AH10" s="176"/>
      <c r="AI10" s="132"/>
      <c r="AJ10" s="169"/>
      <c r="AK10" s="159"/>
      <c r="AL10" s="127"/>
      <c r="AM10" s="127"/>
      <c r="AN10" s="169">
        <v>179038670.03000003</v>
      </c>
    </row>
    <row r="11" spans="1:40" hidden="1" x14ac:dyDescent="0.25">
      <c r="A11" s="133" t="s">
        <v>449</v>
      </c>
      <c r="B11" s="131" t="s">
        <v>438</v>
      </c>
      <c r="C11" s="131" t="s">
        <v>439</v>
      </c>
      <c r="D11" s="131" t="s">
        <v>440</v>
      </c>
      <c r="E11" s="150" t="s">
        <v>450</v>
      </c>
      <c r="F11" s="155"/>
      <c r="G11" s="19"/>
      <c r="H11" s="134"/>
      <c r="I11" s="219">
        <f t="shared" si="0"/>
        <v>0</v>
      </c>
      <c r="J11" s="219">
        <f t="shared" si="1"/>
        <v>0</v>
      </c>
      <c r="K11" s="219">
        <f t="shared" si="2"/>
        <v>0</v>
      </c>
      <c r="L11" s="232">
        <f t="shared" si="3"/>
        <v>1185678.5599999998</v>
      </c>
      <c r="M11" s="219">
        <f t="shared" si="4"/>
        <v>0</v>
      </c>
      <c r="N11" s="219">
        <f t="shared" si="5"/>
        <v>0</v>
      </c>
      <c r="O11" s="219">
        <f t="shared" si="6"/>
        <v>0</v>
      </c>
      <c r="P11" s="219">
        <f t="shared" si="7"/>
        <v>0</v>
      </c>
      <c r="Q11" s="219">
        <f t="shared" si="8"/>
        <v>0</v>
      </c>
      <c r="R11" s="157"/>
      <c r="S11" s="158"/>
      <c r="T11" s="161">
        <v>0</v>
      </c>
      <c r="U11" s="126">
        <v>0</v>
      </c>
      <c r="V11" s="160">
        <v>0</v>
      </c>
      <c r="W11" s="161">
        <v>0</v>
      </c>
      <c r="X11" s="126">
        <v>0</v>
      </c>
      <c r="Y11" s="126">
        <v>0</v>
      </c>
      <c r="Z11" s="126">
        <v>0</v>
      </c>
      <c r="AA11" s="126">
        <v>1185678.5599999998</v>
      </c>
      <c r="AB11" s="160">
        <v>0</v>
      </c>
      <c r="AC11" s="161"/>
      <c r="AD11" s="126"/>
      <c r="AE11" s="126"/>
      <c r="AF11" s="126"/>
      <c r="AG11" s="172"/>
      <c r="AH11" s="176"/>
      <c r="AI11" s="132"/>
      <c r="AJ11" s="169"/>
      <c r="AK11" s="159"/>
      <c r="AL11" s="127"/>
      <c r="AM11" s="127"/>
      <c r="AN11" s="169"/>
    </row>
    <row r="12" spans="1:40" hidden="1" x14ac:dyDescent="0.25">
      <c r="A12" s="133" t="s">
        <v>449</v>
      </c>
      <c r="B12" s="131" t="s">
        <v>438</v>
      </c>
      <c r="C12" s="131" t="s">
        <v>439</v>
      </c>
      <c r="D12" s="131" t="s">
        <v>451</v>
      </c>
      <c r="E12" s="150" t="s">
        <v>421</v>
      </c>
      <c r="F12" s="155"/>
      <c r="G12" s="19"/>
      <c r="H12" s="134"/>
      <c r="I12" s="219">
        <f t="shared" si="0"/>
        <v>0</v>
      </c>
      <c r="J12" s="219">
        <f t="shared" si="1"/>
        <v>0</v>
      </c>
      <c r="K12" s="219">
        <f t="shared" si="2"/>
        <v>0</v>
      </c>
      <c r="L12" s="232">
        <f t="shared" si="3"/>
        <v>60209490.649999976</v>
      </c>
      <c r="M12" s="219">
        <f t="shared" si="4"/>
        <v>0</v>
      </c>
      <c r="N12" s="219">
        <f t="shared" si="5"/>
        <v>0</v>
      </c>
      <c r="O12" s="219">
        <f t="shared" si="6"/>
        <v>0</v>
      </c>
      <c r="P12" s="219">
        <f t="shared" si="7"/>
        <v>0</v>
      </c>
      <c r="Q12" s="219">
        <f t="shared" si="8"/>
        <v>0</v>
      </c>
      <c r="R12" s="157"/>
      <c r="S12" s="158"/>
      <c r="T12" s="161"/>
      <c r="U12" s="126"/>
      <c r="V12" s="160"/>
      <c r="W12" s="161">
        <v>0</v>
      </c>
      <c r="X12" s="126">
        <v>32168011.559999999</v>
      </c>
      <c r="Y12" s="126">
        <v>2705635.2199999997</v>
      </c>
      <c r="Z12" s="126">
        <v>0</v>
      </c>
      <c r="AA12" s="126">
        <v>22971063.53999998</v>
      </c>
      <c r="AB12" s="160">
        <v>2364780.3299999996</v>
      </c>
      <c r="AC12" s="161"/>
      <c r="AD12" s="126"/>
      <c r="AE12" s="126"/>
      <c r="AF12" s="126"/>
      <c r="AG12" s="172"/>
      <c r="AH12" s="176"/>
      <c r="AI12" s="132"/>
      <c r="AJ12" s="169"/>
      <c r="AK12" s="159"/>
      <c r="AL12" s="127"/>
      <c r="AM12" s="127"/>
      <c r="AN12" s="169"/>
    </row>
    <row r="13" spans="1:40" hidden="1" x14ac:dyDescent="0.25">
      <c r="A13" s="133" t="s">
        <v>449</v>
      </c>
      <c r="B13" s="131" t="s">
        <v>438</v>
      </c>
      <c r="C13" s="131" t="s">
        <v>439</v>
      </c>
      <c r="D13" s="131" t="s">
        <v>440</v>
      </c>
      <c r="E13" s="150" t="s">
        <v>421</v>
      </c>
      <c r="F13" s="155"/>
      <c r="G13" s="19"/>
      <c r="H13" s="134" t="s">
        <v>343</v>
      </c>
      <c r="I13" s="219">
        <f t="shared" si="0"/>
        <v>0</v>
      </c>
      <c r="J13" s="219">
        <f t="shared" si="1"/>
        <v>34691444.800000004</v>
      </c>
      <c r="K13" s="219">
        <f t="shared" si="2"/>
        <v>0</v>
      </c>
      <c r="L13" s="232">
        <f t="shared" si="3"/>
        <v>0</v>
      </c>
      <c r="M13" s="219">
        <f t="shared" si="4"/>
        <v>12714006.299999993</v>
      </c>
      <c r="N13" s="219">
        <f t="shared" si="5"/>
        <v>19653666.589999996</v>
      </c>
      <c r="O13" s="219">
        <f t="shared" si="6"/>
        <v>650000</v>
      </c>
      <c r="P13" s="219">
        <f t="shared" si="7"/>
        <v>0</v>
      </c>
      <c r="Q13" s="219">
        <f t="shared" si="8"/>
        <v>0</v>
      </c>
      <c r="R13" s="157"/>
      <c r="S13" s="158"/>
      <c r="T13" s="161">
        <v>34691444.800000004</v>
      </c>
      <c r="U13" s="126"/>
      <c r="V13" s="160">
        <v>0</v>
      </c>
      <c r="W13" s="161"/>
      <c r="X13" s="126"/>
      <c r="Y13" s="126"/>
      <c r="Z13" s="126"/>
      <c r="AA13" s="126"/>
      <c r="AB13" s="160"/>
      <c r="AC13" s="161">
        <v>12714006.299999993</v>
      </c>
      <c r="AD13" s="126">
        <v>0</v>
      </c>
      <c r="AE13" s="126">
        <v>0</v>
      </c>
      <c r="AF13" s="126"/>
      <c r="AG13" s="172">
        <v>19653666.589999996</v>
      </c>
      <c r="AH13" s="176">
        <v>650000</v>
      </c>
      <c r="AI13" s="132"/>
      <c r="AJ13" s="169"/>
      <c r="AK13" s="159"/>
      <c r="AL13" s="127"/>
      <c r="AM13" s="127"/>
      <c r="AN13" s="169"/>
    </row>
    <row r="14" spans="1:40" hidden="1" x14ac:dyDescent="0.25">
      <c r="A14" s="133" t="s">
        <v>425</v>
      </c>
      <c r="B14" s="131" t="s">
        <v>438</v>
      </c>
      <c r="C14" s="131" t="s">
        <v>443</v>
      </c>
      <c r="D14" s="131" t="s">
        <v>452</v>
      </c>
      <c r="E14" s="150" t="s">
        <v>424</v>
      </c>
      <c r="F14" s="155"/>
      <c r="G14" s="19"/>
      <c r="H14" s="134" t="s">
        <v>377</v>
      </c>
      <c r="I14" s="219">
        <f t="shared" si="0"/>
        <v>0</v>
      </c>
      <c r="J14" s="219">
        <f t="shared" si="1"/>
        <v>121671430.49999997</v>
      </c>
      <c r="K14" s="219">
        <f t="shared" si="2"/>
        <v>183658746.71000001</v>
      </c>
      <c r="L14" s="232">
        <f t="shared" si="3"/>
        <v>227938901.79999974</v>
      </c>
      <c r="M14" s="219">
        <f t="shared" si="4"/>
        <v>121867232.1300009</v>
      </c>
      <c r="N14" s="219">
        <f t="shared" si="5"/>
        <v>0</v>
      </c>
      <c r="O14" s="219">
        <f t="shared" si="6"/>
        <v>70488320.631299987</v>
      </c>
      <c r="P14" s="219">
        <f t="shared" si="7"/>
        <v>0</v>
      </c>
      <c r="Q14" s="219">
        <f t="shared" si="8"/>
        <v>0</v>
      </c>
      <c r="R14" s="157"/>
      <c r="S14" s="158"/>
      <c r="T14" s="161">
        <v>105377111.81999998</v>
      </c>
      <c r="U14" s="126">
        <v>16294318.67999999</v>
      </c>
      <c r="V14" s="160">
        <v>0</v>
      </c>
      <c r="W14" s="161">
        <v>183658746.71000001</v>
      </c>
      <c r="X14" s="126">
        <v>36323786.489999995</v>
      </c>
      <c r="Y14" s="126">
        <v>28838830.019999992</v>
      </c>
      <c r="Z14" s="126">
        <v>0</v>
      </c>
      <c r="AA14" s="126">
        <v>90811721.889999777</v>
      </c>
      <c r="AB14" s="160">
        <v>71964563.399999976</v>
      </c>
      <c r="AC14" s="161">
        <v>121867232.1300009</v>
      </c>
      <c r="AD14" s="126">
        <v>0</v>
      </c>
      <c r="AE14" s="126">
        <v>0</v>
      </c>
      <c r="AF14" s="126"/>
      <c r="AG14" s="172"/>
      <c r="AH14" s="176">
        <v>70488320.631299987</v>
      </c>
      <c r="AI14" s="132"/>
      <c r="AJ14" s="169"/>
      <c r="AK14" s="159"/>
      <c r="AL14" s="127"/>
      <c r="AM14" s="127"/>
      <c r="AN14" s="169"/>
    </row>
    <row r="15" spans="1:40" hidden="1" x14ac:dyDescent="0.25">
      <c r="A15" s="133" t="s">
        <v>425</v>
      </c>
      <c r="B15" s="131" t="s">
        <v>438</v>
      </c>
      <c r="C15" s="131" t="s">
        <v>447</v>
      </c>
      <c r="D15" s="131" t="s">
        <v>448</v>
      </c>
      <c r="E15" s="150" t="s">
        <v>424</v>
      </c>
      <c r="F15" s="155"/>
      <c r="G15" s="19"/>
      <c r="H15" s="134"/>
      <c r="I15" s="219">
        <f t="shared" si="0"/>
        <v>0</v>
      </c>
      <c r="J15" s="219">
        <f t="shared" si="1"/>
        <v>0</v>
      </c>
      <c r="K15" s="219">
        <f t="shared" si="2"/>
        <v>0</v>
      </c>
      <c r="L15" s="232">
        <f t="shared" si="3"/>
        <v>0</v>
      </c>
      <c r="M15" s="219">
        <f t="shared" si="4"/>
        <v>0</v>
      </c>
      <c r="N15" s="219">
        <f t="shared" si="5"/>
        <v>0</v>
      </c>
      <c r="O15" s="219">
        <f t="shared" si="6"/>
        <v>0</v>
      </c>
      <c r="P15" s="219">
        <f t="shared" si="7"/>
        <v>0</v>
      </c>
      <c r="Q15" s="219">
        <f t="shared" si="8"/>
        <v>120850016.12999998</v>
      </c>
      <c r="R15" s="157"/>
      <c r="S15" s="158"/>
      <c r="T15" s="161"/>
      <c r="U15" s="126"/>
      <c r="V15" s="160"/>
      <c r="W15" s="161"/>
      <c r="X15" s="126"/>
      <c r="Y15" s="126"/>
      <c r="Z15" s="126"/>
      <c r="AA15" s="126"/>
      <c r="AB15" s="160"/>
      <c r="AC15" s="161"/>
      <c r="AD15" s="126"/>
      <c r="AE15" s="126"/>
      <c r="AF15" s="126"/>
      <c r="AG15" s="172"/>
      <c r="AH15" s="176"/>
      <c r="AI15" s="132"/>
      <c r="AJ15" s="169"/>
      <c r="AK15" s="159"/>
      <c r="AL15" s="127"/>
      <c r="AM15" s="127"/>
      <c r="AN15" s="169">
        <v>120850016.12999998</v>
      </c>
    </row>
    <row r="16" spans="1:40" hidden="1" x14ac:dyDescent="0.25">
      <c r="A16" s="133" t="s">
        <v>90</v>
      </c>
      <c r="B16" s="131" t="s">
        <v>438</v>
      </c>
      <c r="C16" s="131" t="s">
        <v>443</v>
      </c>
      <c r="D16" s="131" t="s">
        <v>444</v>
      </c>
      <c r="E16" s="150" t="s">
        <v>424</v>
      </c>
      <c r="F16" s="155">
        <v>1</v>
      </c>
      <c r="G16" s="19">
        <v>2</v>
      </c>
      <c r="H16" s="134" t="s">
        <v>377</v>
      </c>
      <c r="I16" s="219">
        <f t="shared" si="0"/>
        <v>0</v>
      </c>
      <c r="J16" s="219">
        <f t="shared" si="1"/>
        <v>201600905.64000005</v>
      </c>
      <c r="K16" s="219">
        <f t="shared" si="2"/>
        <v>46083759.960000001</v>
      </c>
      <c r="L16" s="232">
        <f t="shared" si="3"/>
        <v>38379886.579999991</v>
      </c>
      <c r="M16" s="219">
        <f t="shared" si="4"/>
        <v>311425467.55000055</v>
      </c>
      <c r="N16" s="219">
        <f t="shared" si="5"/>
        <v>0</v>
      </c>
      <c r="O16" s="219">
        <f t="shared" si="6"/>
        <v>296054124.14759994</v>
      </c>
      <c r="P16" s="219">
        <f t="shared" si="7"/>
        <v>0</v>
      </c>
      <c r="Q16" s="219">
        <f t="shared" si="8"/>
        <v>0</v>
      </c>
      <c r="R16" s="157"/>
      <c r="S16" s="158"/>
      <c r="T16" s="161">
        <v>201600905.64000005</v>
      </c>
      <c r="U16" s="126">
        <v>0</v>
      </c>
      <c r="V16" s="160">
        <v>0</v>
      </c>
      <c r="W16" s="161">
        <v>46083759.960000001</v>
      </c>
      <c r="X16" s="126">
        <v>38379886.579999991</v>
      </c>
      <c r="Y16" s="126">
        <v>0</v>
      </c>
      <c r="Z16" s="126">
        <v>0</v>
      </c>
      <c r="AA16" s="126">
        <v>0</v>
      </c>
      <c r="AB16" s="160">
        <v>0</v>
      </c>
      <c r="AC16" s="161">
        <v>85954643.570000529</v>
      </c>
      <c r="AD16" s="126">
        <v>181235.87999999998</v>
      </c>
      <c r="AE16" s="126">
        <v>225289588.10000005</v>
      </c>
      <c r="AF16" s="126"/>
      <c r="AG16" s="172"/>
      <c r="AH16" s="176">
        <v>296054124.14759994</v>
      </c>
      <c r="AI16" s="132"/>
      <c r="AJ16" s="169"/>
      <c r="AK16" s="159"/>
      <c r="AL16" s="127"/>
      <c r="AM16" s="127"/>
      <c r="AN16" s="169"/>
    </row>
    <row r="17" spans="1:40" hidden="1" x14ac:dyDescent="0.25">
      <c r="A17" s="133" t="s">
        <v>90</v>
      </c>
      <c r="B17" s="131" t="s">
        <v>438</v>
      </c>
      <c r="C17" s="131" t="s">
        <v>443</v>
      </c>
      <c r="D17" s="131" t="s">
        <v>445</v>
      </c>
      <c r="E17" s="150" t="s">
        <v>424</v>
      </c>
      <c r="F17" s="155"/>
      <c r="G17" s="19"/>
      <c r="H17" s="134"/>
      <c r="I17" s="219">
        <f t="shared" si="0"/>
        <v>0</v>
      </c>
      <c r="J17" s="219">
        <f t="shared" si="1"/>
        <v>104860578.90999995</v>
      </c>
      <c r="K17" s="219">
        <f t="shared" si="2"/>
        <v>1722313.4900000002</v>
      </c>
      <c r="L17" s="232">
        <f t="shared" si="3"/>
        <v>162118278.36999997</v>
      </c>
      <c r="M17" s="219">
        <f t="shared" si="4"/>
        <v>0</v>
      </c>
      <c r="N17" s="219">
        <f t="shared" si="5"/>
        <v>18110606.940000001</v>
      </c>
      <c r="O17" s="219">
        <f t="shared" si="6"/>
        <v>0</v>
      </c>
      <c r="P17" s="219">
        <f t="shared" si="7"/>
        <v>0</v>
      </c>
      <c r="Q17" s="219">
        <f t="shared" si="8"/>
        <v>0</v>
      </c>
      <c r="R17" s="157"/>
      <c r="S17" s="158"/>
      <c r="T17" s="161">
        <v>18330426.220000003</v>
      </c>
      <c r="U17" s="126">
        <v>84517520.339999959</v>
      </c>
      <c r="V17" s="160">
        <v>2012632.3499999996</v>
      </c>
      <c r="W17" s="161">
        <v>1722313.4900000002</v>
      </c>
      <c r="X17" s="126">
        <v>6509035.8099999996</v>
      </c>
      <c r="Y17" s="126">
        <v>59991572.299999975</v>
      </c>
      <c r="Z17" s="126">
        <v>0</v>
      </c>
      <c r="AA17" s="126">
        <v>14138194.830000006</v>
      </c>
      <c r="AB17" s="160">
        <v>81479475.429999992</v>
      </c>
      <c r="AC17" s="161"/>
      <c r="AD17" s="126"/>
      <c r="AE17" s="126"/>
      <c r="AF17" s="126"/>
      <c r="AG17" s="172">
        <v>18110606.940000001</v>
      </c>
      <c r="AH17" s="176"/>
      <c r="AI17" s="132"/>
      <c r="AJ17" s="169"/>
      <c r="AK17" s="159"/>
      <c r="AL17" s="127"/>
      <c r="AM17" s="127"/>
      <c r="AN17" s="169"/>
    </row>
    <row r="18" spans="1:40" hidden="1" x14ac:dyDescent="0.25">
      <c r="A18" s="133" t="s">
        <v>90</v>
      </c>
      <c r="B18" s="131" t="s">
        <v>438</v>
      </c>
      <c r="C18" s="131" t="s">
        <v>443</v>
      </c>
      <c r="D18" s="131" t="s">
        <v>446</v>
      </c>
      <c r="E18" s="150" t="s">
        <v>424</v>
      </c>
      <c r="F18" s="155"/>
      <c r="G18" s="19"/>
      <c r="H18" s="134" t="s">
        <v>377</v>
      </c>
      <c r="I18" s="219">
        <f t="shared" si="0"/>
        <v>0</v>
      </c>
      <c r="J18" s="219">
        <f t="shared" si="1"/>
        <v>441448884.41999984</v>
      </c>
      <c r="K18" s="219">
        <f t="shared" si="2"/>
        <v>65985340.409999982</v>
      </c>
      <c r="L18" s="232">
        <f t="shared" si="3"/>
        <v>262371949.57000005</v>
      </c>
      <c r="M18" s="219">
        <f t="shared" si="4"/>
        <v>275845491.41999978</v>
      </c>
      <c r="N18" s="219">
        <f t="shared" si="5"/>
        <v>0</v>
      </c>
      <c r="O18" s="219">
        <f t="shared" si="6"/>
        <v>176294026.74129999</v>
      </c>
      <c r="P18" s="219">
        <f t="shared" si="7"/>
        <v>0</v>
      </c>
      <c r="Q18" s="219">
        <f t="shared" si="8"/>
        <v>0</v>
      </c>
      <c r="R18" s="157"/>
      <c r="S18" s="158"/>
      <c r="T18" s="161">
        <v>410949372.68999988</v>
      </c>
      <c r="U18" s="126">
        <v>30499511.729999967</v>
      </c>
      <c r="V18" s="160">
        <v>0</v>
      </c>
      <c r="W18" s="161">
        <v>65985340.409999982</v>
      </c>
      <c r="X18" s="126">
        <v>59783238.489999987</v>
      </c>
      <c r="Y18" s="126">
        <v>77904673.86999999</v>
      </c>
      <c r="Z18" s="126">
        <v>0</v>
      </c>
      <c r="AA18" s="126">
        <v>77614202.700000063</v>
      </c>
      <c r="AB18" s="160">
        <v>47069834.50999999</v>
      </c>
      <c r="AC18" s="161">
        <v>218700896.99999976</v>
      </c>
      <c r="AD18" s="126">
        <v>16672009.290000001</v>
      </c>
      <c r="AE18" s="126">
        <v>40472585.130000003</v>
      </c>
      <c r="AF18" s="126"/>
      <c r="AG18" s="172"/>
      <c r="AH18" s="176">
        <v>176294026.74129999</v>
      </c>
      <c r="AI18" s="132"/>
      <c r="AJ18" s="169"/>
      <c r="AK18" s="159"/>
      <c r="AL18" s="127"/>
      <c r="AM18" s="127"/>
      <c r="AN18" s="169"/>
    </row>
    <row r="19" spans="1:40" hidden="1" x14ac:dyDescent="0.25">
      <c r="A19" s="133" t="s">
        <v>90</v>
      </c>
      <c r="B19" s="131" t="s">
        <v>438</v>
      </c>
      <c r="C19" s="131" t="s">
        <v>453</v>
      </c>
      <c r="D19" s="131" t="s">
        <v>454</v>
      </c>
      <c r="E19" s="150" t="s">
        <v>424</v>
      </c>
      <c r="F19" s="155"/>
      <c r="G19" s="19"/>
      <c r="H19" s="134"/>
      <c r="I19" s="219">
        <f t="shared" si="0"/>
        <v>0</v>
      </c>
      <c r="J19" s="219">
        <f t="shared" si="1"/>
        <v>0</v>
      </c>
      <c r="K19" s="219">
        <f t="shared" si="2"/>
        <v>0</v>
      </c>
      <c r="L19" s="232">
        <f t="shared" si="3"/>
        <v>99500.459999999992</v>
      </c>
      <c r="M19" s="219">
        <f t="shared" si="4"/>
        <v>0</v>
      </c>
      <c r="N19" s="219">
        <f t="shared" si="5"/>
        <v>0</v>
      </c>
      <c r="O19" s="219">
        <f t="shared" si="6"/>
        <v>0</v>
      </c>
      <c r="P19" s="219">
        <f t="shared" si="7"/>
        <v>0</v>
      </c>
      <c r="Q19" s="219">
        <f t="shared" si="8"/>
        <v>0</v>
      </c>
      <c r="R19" s="157"/>
      <c r="S19" s="158"/>
      <c r="T19" s="161">
        <v>0</v>
      </c>
      <c r="U19" s="126">
        <v>0</v>
      </c>
      <c r="V19" s="160">
        <v>0</v>
      </c>
      <c r="W19" s="161">
        <v>0</v>
      </c>
      <c r="X19" s="126">
        <v>0</v>
      </c>
      <c r="Y19" s="126">
        <v>0</v>
      </c>
      <c r="Z19" s="126">
        <v>0</v>
      </c>
      <c r="AA19" s="126">
        <v>0</v>
      </c>
      <c r="AB19" s="160">
        <v>99500.459999999992</v>
      </c>
      <c r="AC19" s="161"/>
      <c r="AD19" s="126"/>
      <c r="AE19" s="126"/>
      <c r="AF19" s="126"/>
      <c r="AG19" s="172"/>
      <c r="AH19" s="176"/>
      <c r="AI19" s="132"/>
      <c r="AJ19" s="169"/>
      <c r="AK19" s="159"/>
      <c r="AL19" s="127"/>
      <c r="AM19" s="127"/>
      <c r="AN19" s="169"/>
    </row>
    <row r="20" spans="1:40" hidden="1" x14ac:dyDescent="0.25">
      <c r="A20" s="133" t="s">
        <v>90</v>
      </c>
      <c r="B20" s="131" t="s">
        <v>438</v>
      </c>
      <c r="C20" s="131" t="s">
        <v>447</v>
      </c>
      <c r="D20" s="131" t="s">
        <v>448</v>
      </c>
      <c r="E20" s="150" t="s">
        <v>424</v>
      </c>
      <c r="F20" s="155"/>
      <c r="G20" s="19"/>
      <c r="H20" s="134"/>
      <c r="I20" s="219">
        <f t="shared" si="0"/>
        <v>0</v>
      </c>
      <c r="J20" s="219">
        <f t="shared" si="1"/>
        <v>0</v>
      </c>
      <c r="K20" s="219">
        <f t="shared" si="2"/>
        <v>0</v>
      </c>
      <c r="L20" s="232">
        <f t="shared" si="3"/>
        <v>0</v>
      </c>
      <c r="M20" s="219">
        <f t="shared" si="4"/>
        <v>0</v>
      </c>
      <c r="N20" s="219">
        <f t="shared" si="5"/>
        <v>0</v>
      </c>
      <c r="O20" s="219">
        <f t="shared" si="6"/>
        <v>0</v>
      </c>
      <c r="P20" s="219">
        <f t="shared" si="7"/>
        <v>0</v>
      </c>
      <c r="Q20" s="219">
        <f t="shared" si="8"/>
        <v>535714473.38999999</v>
      </c>
      <c r="R20" s="157"/>
      <c r="S20" s="158"/>
      <c r="T20" s="161"/>
      <c r="U20" s="126"/>
      <c r="V20" s="160"/>
      <c r="W20" s="161"/>
      <c r="X20" s="126"/>
      <c r="Y20" s="126"/>
      <c r="Z20" s="126"/>
      <c r="AA20" s="126"/>
      <c r="AB20" s="160"/>
      <c r="AC20" s="161"/>
      <c r="AD20" s="126"/>
      <c r="AE20" s="126"/>
      <c r="AF20" s="126"/>
      <c r="AG20" s="172"/>
      <c r="AH20" s="176"/>
      <c r="AI20" s="132"/>
      <c r="AJ20" s="169"/>
      <c r="AK20" s="159"/>
      <c r="AL20" s="127"/>
      <c r="AM20" s="127"/>
      <c r="AN20" s="169">
        <v>535714473.38999999</v>
      </c>
    </row>
    <row r="21" spans="1:40" hidden="1" x14ac:dyDescent="0.25">
      <c r="A21" s="133" t="s">
        <v>427</v>
      </c>
      <c r="B21" s="131" t="s">
        <v>438</v>
      </c>
      <c r="C21" s="131" t="s">
        <v>453</v>
      </c>
      <c r="D21" s="131" t="s">
        <v>455</v>
      </c>
      <c r="E21" s="150" t="s">
        <v>421</v>
      </c>
      <c r="F21" s="155"/>
      <c r="G21" s="19"/>
      <c r="H21" s="134"/>
      <c r="I21" s="219">
        <f t="shared" si="0"/>
        <v>0</v>
      </c>
      <c r="J21" s="219">
        <f t="shared" si="1"/>
        <v>342333.52</v>
      </c>
      <c r="K21" s="219">
        <f t="shared" si="2"/>
        <v>73470389.230000004</v>
      </c>
      <c r="L21" s="232">
        <f t="shared" si="3"/>
        <v>129327350.88000001</v>
      </c>
      <c r="M21" s="219">
        <f t="shared" si="4"/>
        <v>0</v>
      </c>
      <c r="N21" s="219">
        <f t="shared" si="5"/>
        <v>51890853.25</v>
      </c>
      <c r="O21" s="219">
        <f t="shared" si="6"/>
        <v>0</v>
      </c>
      <c r="P21" s="219">
        <f t="shared" si="7"/>
        <v>0</v>
      </c>
      <c r="Q21" s="219">
        <f t="shared" si="8"/>
        <v>0</v>
      </c>
      <c r="R21" s="157"/>
      <c r="S21" s="158"/>
      <c r="T21" s="161">
        <v>342333.52</v>
      </c>
      <c r="U21" s="126"/>
      <c r="V21" s="160">
        <v>0</v>
      </c>
      <c r="W21" s="161">
        <v>73470389.230000004</v>
      </c>
      <c r="X21" s="126">
        <v>23682417.420000006</v>
      </c>
      <c r="Y21" s="126">
        <v>45849080.889999993</v>
      </c>
      <c r="Z21" s="126">
        <v>0</v>
      </c>
      <c r="AA21" s="126">
        <v>35789984.680000015</v>
      </c>
      <c r="AB21" s="160">
        <v>24005867.889999997</v>
      </c>
      <c r="AC21" s="161"/>
      <c r="AD21" s="126"/>
      <c r="AE21" s="126"/>
      <c r="AF21" s="126"/>
      <c r="AG21" s="172">
        <v>51890853.25</v>
      </c>
      <c r="AH21" s="176"/>
      <c r="AI21" s="132"/>
      <c r="AJ21" s="169"/>
      <c r="AK21" s="159"/>
      <c r="AL21" s="127"/>
      <c r="AM21" s="127"/>
      <c r="AN21" s="169"/>
    </row>
    <row r="22" spans="1:40" hidden="1" x14ac:dyDescent="0.25">
      <c r="A22" s="133" t="s">
        <v>66</v>
      </c>
      <c r="B22" s="131" t="s">
        <v>438</v>
      </c>
      <c r="C22" s="131" t="s">
        <v>453</v>
      </c>
      <c r="D22" s="131" t="s">
        <v>454</v>
      </c>
      <c r="E22" s="150" t="s">
        <v>450</v>
      </c>
      <c r="F22" s="155"/>
      <c r="G22" s="19"/>
      <c r="H22" s="134"/>
      <c r="I22" s="219">
        <f t="shared" si="0"/>
        <v>0</v>
      </c>
      <c r="J22" s="219">
        <f t="shared" si="1"/>
        <v>0</v>
      </c>
      <c r="K22" s="219">
        <f t="shared" si="2"/>
        <v>0</v>
      </c>
      <c r="L22" s="232">
        <f t="shared" si="3"/>
        <v>1138102.06</v>
      </c>
      <c r="M22" s="219">
        <f t="shared" si="4"/>
        <v>0</v>
      </c>
      <c r="N22" s="219">
        <f t="shared" si="5"/>
        <v>0</v>
      </c>
      <c r="O22" s="219">
        <f t="shared" si="6"/>
        <v>0</v>
      </c>
      <c r="P22" s="219">
        <f t="shared" si="7"/>
        <v>0</v>
      </c>
      <c r="Q22" s="219">
        <f t="shared" si="8"/>
        <v>0</v>
      </c>
      <c r="R22" s="157"/>
      <c r="S22" s="158"/>
      <c r="T22" s="161">
        <v>0</v>
      </c>
      <c r="U22" s="126">
        <v>0</v>
      </c>
      <c r="V22" s="160">
        <v>0</v>
      </c>
      <c r="W22" s="161">
        <v>0</v>
      </c>
      <c r="X22" s="126">
        <v>0</v>
      </c>
      <c r="Y22" s="126">
        <v>0</v>
      </c>
      <c r="Z22" s="126">
        <v>0</v>
      </c>
      <c r="AA22" s="126">
        <v>0</v>
      </c>
      <c r="AB22" s="160">
        <v>1138102.06</v>
      </c>
      <c r="AC22" s="161"/>
      <c r="AD22" s="126"/>
      <c r="AE22" s="126"/>
      <c r="AF22" s="126"/>
      <c r="AG22" s="172"/>
      <c r="AH22" s="176"/>
      <c r="AI22" s="132"/>
      <c r="AJ22" s="169"/>
      <c r="AK22" s="159"/>
      <c r="AL22" s="127"/>
      <c r="AM22" s="127"/>
      <c r="AN22" s="169"/>
    </row>
    <row r="23" spans="1:40" hidden="1" x14ac:dyDescent="0.25">
      <c r="A23" s="133" t="s">
        <v>66</v>
      </c>
      <c r="B23" s="131" t="s">
        <v>438</v>
      </c>
      <c r="C23" s="131" t="s">
        <v>453</v>
      </c>
      <c r="D23" s="131" t="s">
        <v>454</v>
      </c>
      <c r="E23" s="150" t="s">
        <v>421</v>
      </c>
      <c r="F23" s="155"/>
      <c r="G23" s="19"/>
      <c r="H23" s="134"/>
      <c r="I23" s="219">
        <f t="shared" si="0"/>
        <v>0</v>
      </c>
      <c r="J23" s="219">
        <f t="shared" si="1"/>
        <v>0</v>
      </c>
      <c r="K23" s="219">
        <f t="shared" si="2"/>
        <v>0</v>
      </c>
      <c r="L23" s="232">
        <f t="shared" si="3"/>
        <v>85490087.909999996</v>
      </c>
      <c r="M23" s="219">
        <f t="shared" si="4"/>
        <v>0</v>
      </c>
      <c r="N23" s="219">
        <f t="shared" si="5"/>
        <v>18132123.189999998</v>
      </c>
      <c r="O23" s="219">
        <f t="shared" si="6"/>
        <v>0</v>
      </c>
      <c r="P23" s="219">
        <f t="shared" si="7"/>
        <v>0</v>
      </c>
      <c r="Q23" s="219">
        <f t="shared" si="8"/>
        <v>0</v>
      </c>
      <c r="R23" s="157"/>
      <c r="S23" s="158"/>
      <c r="T23" s="161">
        <v>0</v>
      </c>
      <c r="U23" s="126"/>
      <c r="V23" s="160">
        <v>0</v>
      </c>
      <c r="W23" s="161">
        <v>0</v>
      </c>
      <c r="X23" s="126">
        <v>40231047.999999985</v>
      </c>
      <c r="Y23" s="126">
        <v>3072676.09</v>
      </c>
      <c r="Z23" s="126">
        <v>0</v>
      </c>
      <c r="AA23" s="126">
        <v>18449632.629999995</v>
      </c>
      <c r="AB23" s="160">
        <v>23736731.190000005</v>
      </c>
      <c r="AC23" s="161"/>
      <c r="AD23" s="126"/>
      <c r="AE23" s="126"/>
      <c r="AF23" s="126"/>
      <c r="AG23" s="172">
        <v>18132123.189999998</v>
      </c>
      <c r="AH23" s="176"/>
      <c r="AI23" s="132"/>
      <c r="AJ23" s="169"/>
      <c r="AK23" s="159"/>
      <c r="AL23" s="127"/>
      <c r="AM23" s="127"/>
      <c r="AN23" s="169"/>
    </row>
    <row r="24" spans="1:40" hidden="1" x14ac:dyDescent="0.25">
      <c r="A24" s="133" t="s">
        <v>431</v>
      </c>
      <c r="B24" s="131" t="s">
        <v>438</v>
      </c>
      <c r="C24" s="131" t="s">
        <v>453</v>
      </c>
      <c r="D24" s="131" t="s">
        <v>456</v>
      </c>
      <c r="E24" s="150" t="s">
        <v>450</v>
      </c>
      <c r="F24" s="155">
        <v>1</v>
      </c>
      <c r="G24" s="19">
        <v>2</v>
      </c>
      <c r="H24" s="134" t="s">
        <v>343</v>
      </c>
      <c r="I24" s="219">
        <f t="shared" si="0"/>
        <v>0</v>
      </c>
      <c r="J24" s="219">
        <f t="shared" si="1"/>
        <v>162288104.04000002</v>
      </c>
      <c r="K24" s="219">
        <f t="shared" si="2"/>
        <v>2795778.5500000003</v>
      </c>
      <c r="L24" s="232">
        <f t="shared" si="3"/>
        <v>253464764.50999996</v>
      </c>
      <c r="M24" s="219">
        <f t="shared" si="4"/>
        <v>42057506.110000044</v>
      </c>
      <c r="N24" s="219">
        <f t="shared" si="5"/>
        <v>0</v>
      </c>
      <c r="O24" s="219">
        <f t="shared" si="6"/>
        <v>42057506.110000044</v>
      </c>
      <c r="P24" s="219">
        <f t="shared" si="7"/>
        <v>0</v>
      </c>
      <c r="Q24" s="219">
        <f t="shared" si="8"/>
        <v>0</v>
      </c>
      <c r="R24" s="157"/>
      <c r="S24" s="158"/>
      <c r="T24" s="161">
        <v>149216623.75999999</v>
      </c>
      <c r="U24" s="126">
        <v>13071480.280000031</v>
      </c>
      <c r="V24" s="160">
        <v>0</v>
      </c>
      <c r="W24" s="161">
        <v>2795778.5500000003</v>
      </c>
      <c r="X24" s="126">
        <v>59249726.330000013</v>
      </c>
      <c r="Y24" s="126">
        <v>94408122.529999956</v>
      </c>
      <c r="Z24" s="126">
        <v>0</v>
      </c>
      <c r="AA24" s="126">
        <v>56598297.840000018</v>
      </c>
      <c r="AB24" s="160">
        <v>43208617.809999973</v>
      </c>
      <c r="AC24" s="161">
        <v>42057506.110000044</v>
      </c>
      <c r="AD24" s="126">
        <v>0</v>
      </c>
      <c r="AE24" s="126">
        <v>0</v>
      </c>
      <c r="AF24" s="126"/>
      <c r="AG24" s="172"/>
      <c r="AH24" s="176">
        <v>42057506.110000044</v>
      </c>
      <c r="AI24" s="132"/>
      <c r="AJ24" s="169"/>
      <c r="AK24" s="159"/>
      <c r="AL24" s="127"/>
      <c r="AM24" s="127"/>
      <c r="AN24" s="169"/>
    </row>
    <row r="25" spans="1:40" hidden="1" x14ac:dyDescent="0.25">
      <c r="A25" s="133" t="s">
        <v>431</v>
      </c>
      <c r="B25" s="131" t="s">
        <v>438</v>
      </c>
      <c r="C25" s="131" t="s">
        <v>453</v>
      </c>
      <c r="D25" s="131" t="s">
        <v>456</v>
      </c>
      <c r="E25" s="150" t="s">
        <v>421</v>
      </c>
      <c r="F25" s="155"/>
      <c r="G25" s="19">
        <v>3</v>
      </c>
      <c r="H25" s="134"/>
      <c r="I25" s="219">
        <f t="shared" si="0"/>
        <v>0</v>
      </c>
      <c r="J25" s="219">
        <f t="shared" si="1"/>
        <v>72507901.849999994</v>
      </c>
      <c r="K25" s="219">
        <f t="shared" si="2"/>
        <v>0</v>
      </c>
      <c r="L25" s="232">
        <f t="shared" si="3"/>
        <v>11787053.539999999</v>
      </c>
      <c r="M25" s="219">
        <f t="shared" si="4"/>
        <v>0</v>
      </c>
      <c r="N25" s="219">
        <f t="shared" si="5"/>
        <v>0</v>
      </c>
      <c r="O25" s="219">
        <f t="shared" si="6"/>
        <v>0</v>
      </c>
      <c r="P25" s="219">
        <f t="shared" si="7"/>
        <v>0</v>
      </c>
      <c r="Q25" s="219">
        <f t="shared" si="8"/>
        <v>0</v>
      </c>
      <c r="R25" s="157"/>
      <c r="S25" s="158"/>
      <c r="T25" s="161">
        <v>72507901.849999994</v>
      </c>
      <c r="U25" s="126">
        <v>0</v>
      </c>
      <c r="V25" s="160">
        <v>0</v>
      </c>
      <c r="W25" s="161">
        <v>0</v>
      </c>
      <c r="X25" s="126">
        <v>749396.18</v>
      </c>
      <c r="Y25" s="126">
        <v>7064177.2299999995</v>
      </c>
      <c r="Z25" s="126">
        <v>0</v>
      </c>
      <c r="AA25" s="126">
        <v>2053558.58</v>
      </c>
      <c r="AB25" s="160">
        <v>1919921.5499999998</v>
      </c>
      <c r="AC25" s="161"/>
      <c r="AD25" s="126"/>
      <c r="AE25" s="126"/>
      <c r="AF25" s="126"/>
      <c r="AG25" s="172"/>
      <c r="AH25" s="176"/>
      <c r="AI25" s="132"/>
      <c r="AJ25" s="169"/>
      <c r="AK25" s="159"/>
      <c r="AL25" s="127"/>
      <c r="AM25" s="127"/>
      <c r="AN25" s="169"/>
    </row>
    <row r="26" spans="1:40" hidden="1" x14ac:dyDescent="0.25">
      <c r="A26" s="133" t="s">
        <v>431</v>
      </c>
      <c r="B26" s="131" t="s">
        <v>438</v>
      </c>
      <c r="C26" s="131" t="s">
        <v>453</v>
      </c>
      <c r="D26" s="131" t="s">
        <v>457</v>
      </c>
      <c r="E26" s="150" t="s">
        <v>450</v>
      </c>
      <c r="F26" s="155"/>
      <c r="G26" s="19"/>
      <c r="H26" s="134"/>
      <c r="I26" s="219">
        <f t="shared" si="0"/>
        <v>0</v>
      </c>
      <c r="J26" s="219">
        <f t="shared" si="1"/>
        <v>108176429.54000001</v>
      </c>
      <c r="K26" s="219">
        <f t="shared" si="2"/>
        <v>965889.3600000001</v>
      </c>
      <c r="L26" s="232">
        <f t="shared" si="3"/>
        <v>153317268.61999995</v>
      </c>
      <c r="M26" s="219">
        <f t="shared" si="4"/>
        <v>0</v>
      </c>
      <c r="N26" s="219">
        <f t="shared" si="5"/>
        <v>112886230.99000001</v>
      </c>
      <c r="O26" s="219">
        <f t="shared" si="6"/>
        <v>0</v>
      </c>
      <c r="P26" s="219">
        <f t="shared" si="7"/>
        <v>0</v>
      </c>
      <c r="Q26" s="219">
        <f t="shared" si="8"/>
        <v>0</v>
      </c>
      <c r="R26" s="157"/>
      <c r="S26" s="158"/>
      <c r="T26" s="161">
        <v>58216616.269999996</v>
      </c>
      <c r="U26" s="126">
        <v>49959813.270000011</v>
      </c>
      <c r="V26" s="160">
        <v>0</v>
      </c>
      <c r="W26" s="161">
        <v>965889.3600000001</v>
      </c>
      <c r="X26" s="126">
        <v>17052737.93</v>
      </c>
      <c r="Y26" s="126">
        <v>48293301.269999996</v>
      </c>
      <c r="Z26" s="126">
        <v>0</v>
      </c>
      <c r="AA26" s="126">
        <v>67306151.669999957</v>
      </c>
      <c r="AB26" s="160">
        <v>20665077.75</v>
      </c>
      <c r="AC26" s="161"/>
      <c r="AD26" s="126"/>
      <c r="AE26" s="126"/>
      <c r="AF26" s="126"/>
      <c r="AG26" s="172">
        <v>112886230.99000001</v>
      </c>
      <c r="AH26" s="176"/>
      <c r="AI26" s="132"/>
      <c r="AJ26" s="169"/>
      <c r="AK26" s="159"/>
      <c r="AL26" s="127"/>
      <c r="AM26" s="127"/>
      <c r="AN26" s="169"/>
    </row>
    <row r="27" spans="1:40" hidden="1" x14ac:dyDescent="0.25">
      <c r="A27" s="133" t="s">
        <v>431</v>
      </c>
      <c r="B27" s="131" t="s">
        <v>438</v>
      </c>
      <c r="C27" s="131" t="s">
        <v>453</v>
      </c>
      <c r="D27" s="131" t="s">
        <v>457</v>
      </c>
      <c r="E27" s="150" t="s">
        <v>421</v>
      </c>
      <c r="F27" s="155"/>
      <c r="G27" s="19"/>
      <c r="H27" s="134" t="s">
        <v>343</v>
      </c>
      <c r="I27" s="219">
        <f t="shared" si="0"/>
        <v>0</v>
      </c>
      <c r="J27" s="219">
        <f t="shared" si="1"/>
        <v>136311684.74000001</v>
      </c>
      <c r="K27" s="219">
        <f t="shared" si="2"/>
        <v>0</v>
      </c>
      <c r="L27" s="232">
        <f t="shared" si="3"/>
        <v>161329599.02000001</v>
      </c>
      <c r="M27" s="219">
        <f t="shared" si="4"/>
        <v>85979673.750000238</v>
      </c>
      <c r="N27" s="219">
        <f t="shared" si="5"/>
        <v>0</v>
      </c>
      <c r="O27" s="219">
        <f t="shared" si="6"/>
        <v>52620015.693699993</v>
      </c>
      <c r="P27" s="219">
        <f t="shared" si="7"/>
        <v>0</v>
      </c>
      <c r="Q27" s="219">
        <f t="shared" si="8"/>
        <v>0</v>
      </c>
      <c r="R27" s="157"/>
      <c r="S27" s="158"/>
      <c r="T27" s="161">
        <v>136311684.74000001</v>
      </c>
      <c r="U27" s="126">
        <v>0</v>
      </c>
      <c r="V27" s="160">
        <v>0</v>
      </c>
      <c r="W27" s="161">
        <v>0</v>
      </c>
      <c r="X27" s="126">
        <v>57374877.609999985</v>
      </c>
      <c r="Y27" s="126">
        <v>44737891.649999969</v>
      </c>
      <c r="Z27" s="126">
        <v>0</v>
      </c>
      <c r="AA27" s="126">
        <v>57161985.790000059</v>
      </c>
      <c r="AB27" s="160">
        <v>2054843.9699999997</v>
      </c>
      <c r="AC27" s="161">
        <v>85979673.750000238</v>
      </c>
      <c r="AD27" s="126">
        <v>0</v>
      </c>
      <c r="AE27" s="126">
        <v>0</v>
      </c>
      <c r="AF27" s="126"/>
      <c r="AG27" s="172"/>
      <c r="AH27" s="176">
        <v>52620015.693699993</v>
      </c>
      <c r="AI27" s="132"/>
      <c r="AJ27" s="169"/>
      <c r="AK27" s="159"/>
      <c r="AL27" s="127"/>
      <c r="AM27" s="127"/>
      <c r="AN27" s="169"/>
    </row>
    <row r="28" spans="1:40" hidden="1" x14ac:dyDescent="0.25">
      <c r="A28" s="133" t="s">
        <v>431</v>
      </c>
      <c r="B28" s="131" t="s">
        <v>438</v>
      </c>
      <c r="C28" s="131" t="s">
        <v>453</v>
      </c>
      <c r="D28" s="131" t="s">
        <v>454</v>
      </c>
      <c r="E28" s="150" t="s">
        <v>450</v>
      </c>
      <c r="F28" s="155"/>
      <c r="G28" s="19"/>
      <c r="H28" s="134" t="s">
        <v>343</v>
      </c>
      <c r="I28" s="219">
        <f t="shared" si="0"/>
        <v>0</v>
      </c>
      <c r="J28" s="219">
        <f t="shared" si="1"/>
        <v>124147509.69999997</v>
      </c>
      <c r="K28" s="219">
        <f t="shared" si="2"/>
        <v>1186505.8400000001</v>
      </c>
      <c r="L28" s="232">
        <f t="shared" si="3"/>
        <v>406056098.95000011</v>
      </c>
      <c r="M28" s="219">
        <f t="shared" si="4"/>
        <v>73076719.090000346</v>
      </c>
      <c r="N28" s="219">
        <f t="shared" si="5"/>
        <v>70473505.910000011</v>
      </c>
      <c r="O28" s="219">
        <f t="shared" si="6"/>
        <v>44026513.027900003</v>
      </c>
      <c r="P28" s="219">
        <f t="shared" si="7"/>
        <v>0</v>
      </c>
      <c r="Q28" s="219">
        <f t="shared" si="8"/>
        <v>0</v>
      </c>
      <c r="R28" s="157"/>
      <c r="S28" s="158"/>
      <c r="T28" s="161">
        <v>99151156.859999999</v>
      </c>
      <c r="U28" s="126">
        <v>24996352.839999974</v>
      </c>
      <c r="V28" s="160">
        <v>0</v>
      </c>
      <c r="W28" s="161">
        <v>1186505.8400000001</v>
      </c>
      <c r="X28" s="126">
        <v>71901010.850000009</v>
      </c>
      <c r="Y28" s="126">
        <v>98936087.75999999</v>
      </c>
      <c r="Z28" s="126">
        <v>0</v>
      </c>
      <c r="AA28" s="126">
        <v>184969053.07000011</v>
      </c>
      <c r="AB28" s="160">
        <v>50249947.269999996</v>
      </c>
      <c r="AC28" s="161">
        <v>73076719.090000346</v>
      </c>
      <c r="AD28" s="126">
        <v>0</v>
      </c>
      <c r="AE28" s="126">
        <v>0</v>
      </c>
      <c r="AF28" s="126"/>
      <c r="AG28" s="172">
        <v>70473505.910000011</v>
      </c>
      <c r="AH28" s="176">
        <v>44026513.027900003</v>
      </c>
      <c r="AI28" s="132"/>
      <c r="AJ28" s="169"/>
      <c r="AK28" s="159"/>
      <c r="AL28" s="127"/>
      <c r="AM28" s="127"/>
      <c r="AN28" s="169"/>
    </row>
    <row r="29" spans="1:40" hidden="1" x14ac:dyDescent="0.25">
      <c r="A29" s="133" t="s">
        <v>431</v>
      </c>
      <c r="B29" s="131" t="s">
        <v>438</v>
      </c>
      <c r="C29" s="131" t="s">
        <v>453</v>
      </c>
      <c r="D29" s="131" t="s">
        <v>454</v>
      </c>
      <c r="E29" s="150" t="s">
        <v>421</v>
      </c>
      <c r="F29" s="155"/>
      <c r="G29" s="19"/>
      <c r="H29" s="134"/>
      <c r="I29" s="219">
        <f t="shared" si="0"/>
        <v>0</v>
      </c>
      <c r="J29" s="219">
        <f t="shared" si="1"/>
        <v>144232227.30999997</v>
      </c>
      <c r="K29" s="219">
        <f t="shared" si="2"/>
        <v>0</v>
      </c>
      <c r="L29" s="232">
        <f t="shared" si="3"/>
        <v>5910.24</v>
      </c>
      <c r="M29" s="219">
        <f t="shared" si="4"/>
        <v>0</v>
      </c>
      <c r="N29" s="219">
        <f t="shared" si="5"/>
        <v>0</v>
      </c>
      <c r="O29" s="219">
        <f t="shared" si="6"/>
        <v>0</v>
      </c>
      <c r="P29" s="219">
        <f t="shared" si="7"/>
        <v>0</v>
      </c>
      <c r="Q29" s="219">
        <f t="shared" si="8"/>
        <v>0</v>
      </c>
      <c r="R29" s="157"/>
      <c r="S29" s="158"/>
      <c r="T29" s="161">
        <v>144232227.30999997</v>
      </c>
      <c r="U29" s="126">
        <v>0</v>
      </c>
      <c r="V29" s="160">
        <v>0</v>
      </c>
      <c r="W29" s="161">
        <v>0</v>
      </c>
      <c r="X29" s="126">
        <v>0</v>
      </c>
      <c r="Y29" s="126">
        <v>0</v>
      </c>
      <c r="Z29" s="126">
        <v>0</v>
      </c>
      <c r="AA29" s="126">
        <v>0</v>
      </c>
      <c r="AB29" s="160">
        <v>5910.24</v>
      </c>
      <c r="AC29" s="161"/>
      <c r="AD29" s="126"/>
      <c r="AE29" s="126"/>
      <c r="AF29" s="126"/>
      <c r="AG29" s="172"/>
      <c r="AH29" s="176"/>
      <c r="AI29" s="132"/>
      <c r="AJ29" s="169"/>
      <c r="AK29" s="159"/>
      <c r="AL29" s="127"/>
      <c r="AM29" s="127"/>
      <c r="AN29" s="169"/>
    </row>
    <row r="30" spans="1:40" hidden="1" x14ac:dyDescent="0.25">
      <c r="A30" s="133" t="s">
        <v>431</v>
      </c>
      <c r="B30" s="131" t="s">
        <v>438</v>
      </c>
      <c r="C30" s="131" t="s">
        <v>447</v>
      </c>
      <c r="D30" s="131" t="s">
        <v>448</v>
      </c>
      <c r="E30" s="150" t="s">
        <v>450</v>
      </c>
      <c r="F30" s="155"/>
      <c r="G30" s="19"/>
      <c r="H30" s="134"/>
      <c r="I30" s="219">
        <f t="shared" si="0"/>
        <v>0</v>
      </c>
      <c r="J30" s="219">
        <f t="shared" si="1"/>
        <v>0</v>
      </c>
      <c r="K30" s="219">
        <f t="shared" si="2"/>
        <v>0</v>
      </c>
      <c r="L30" s="232">
        <f t="shared" si="3"/>
        <v>0</v>
      </c>
      <c r="M30" s="219">
        <f t="shared" si="4"/>
        <v>0</v>
      </c>
      <c r="N30" s="219">
        <f t="shared" si="5"/>
        <v>0</v>
      </c>
      <c r="O30" s="219">
        <f t="shared" si="6"/>
        <v>0</v>
      </c>
      <c r="P30" s="219">
        <f t="shared" si="7"/>
        <v>0</v>
      </c>
      <c r="Q30" s="219">
        <f t="shared" si="8"/>
        <v>306584396.88999999</v>
      </c>
      <c r="R30" s="157"/>
      <c r="S30" s="158"/>
      <c r="T30" s="161"/>
      <c r="U30" s="126"/>
      <c r="V30" s="160"/>
      <c r="W30" s="161"/>
      <c r="X30" s="126"/>
      <c r="Y30" s="126"/>
      <c r="Z30" s="126"/>
      <c r="AA30" s="126"/>
      <c r="AB30" s="160"/>
      <c r="AC30" s="161"/>
      <c r="AD30" s="126"/>
      <c r="AE30" s="126"/>
      <c r="AF30" s="126"/>
      <c r="AG30" s="172"/>
      <c r="AH30" s="176"/>
      <c r="AI30" s="132"/>
      <c r="AJ30" s="169"/>
      <c r="AK30" s="159"/>
      <c r="AL30" s="127"/>
      <c r="AM30" s="127"/>
      <c r="AN30" s="169">
        <v>306584396.88999999</v>
      </c>
    </row>
    <row r="31" spans="1:40" hidden="1" x14ac:dyDescent="0.25">
      <c r="A31" s="133" t="s">
        <v>431</v>
      </c>
      <c r="B31" s="131" t="s">
        <v>438</v>
      </c>
      <c r="C31" s="131" t="s">
        <v>447</v>
      </c>
      <c r="D31" s="131" t="s">
        <v>448</v>
      </c>
      <c r="E31" s="150" t="s">
        <v>421</v>
      </c>
      <c r="F31" s="155"/>
      <c r="G31" s="19"/>
      <c r="H31" s="134"/>
      <c r="I31" s="219">
        <f t="shared" si="0"/>
        <v>0</v>
      </c>
      <c r="J31" s="219">
        <f t="shared" si="1"/>
        <v>0</v>
      </c>
      <c r="K31" s="219">
        <f t="shared" si="2"/>
        <v>0</v>
      </c>
      <c r="L31" s="232">
        <f t="shared" si="3"/>
        <v>0</v>
      </c>
      <c r="M31" s="219">
        <f t="shared" si="4"/>
        <v>0</v>
      </c>
      <c r="N31" s="219">
        <f t="shared" si="5"/>
        <v>0</v>
      </c>
      <c r="O31" s="219">
        <f t="shared" si="6"/>
        <v>0</v>
      </c>
      <c r="P31" s="219">
        <f t="shared" si="7"/>
        <v>0</v>
      </c>
      <c r="Q31" s="219">
        <f t="shared" si="8"/>
        <v>133764346.09999998</v>
      </c>
      <c r="R31" s="157"/>
      <c r="S31" s="158"/>
      <c r="T31" s="161"/>
      <c r="U31" s="126"/>
      <c r="V31" s="160"/>
      <c r="W31" s="161"/>
      <c r="X31" s="126"/>
      <c r="Y31" s="126"/>
      <c r="Z31" s="126"/>
      <c r="AA31" s="126"/>
      <c r="AB31" s="160"/>
      <c r="AC31" s="161"/>
      <c r="AD31" s="126"/>
      <c r="AE31" s="126"/>
      <c r="AF31" s="126"/>
      <c r="AG31" s="172"/>
      <c r="AH31" s="176"/>
      <c r="AI31" s="132"/>
      <c r="AJ31" s="169"/>
      <c r="AK31" s="159"/>
      <c r="AL31" s="127"/>
      <c r="AM31" s="127"/>
      <c r="AN31" s="169">
        <v>133764346.09999998</v>
      </c>
    </row>
    <row r="32" spans="1:40" x14ac:dyDescent="0.25">
      <c r="A32" s="133" t="s">
        <v>458</v>
      </c>
      <c r="B32" s="131" t="s">
        <v>438</v>
      </c>
      <c r="C32" s="131" t="s">
        <v>439</v>
      </c>
      <c r="D32" s="131" t="s">
        <v>459</v>
      </c>
      <c r="E32" s="150" t="s">
        <v>442</v>
      </c>
      <c r="F32" s="155">
        <v>1</v>
      </c>
      <c r="G32" s="19"/>
      <c r="H32" s="134" t="s">
        <v>343</v>
      </c>
      <c r="I32" s="219">
        <f t="shared" si="0"/>
        <v>0</v>
      </c>
      <c r="J32" s="219">
        <f t="shared" si="1"/>
        <v>0</v>
      </c>
      <c r="K32" s="219">
        <f t="shared" si="2"/>
        <v>99588543.879999995</v>
      </c>
      <c r="L32" s="232">
        <f t="shared" si="3"/>
        <v>304359569.74999988</v>
      </c>
      <c r="M32" s="219">
        <f t="shared" si="4"/>
        <v>10295973.709999979</v>
      </c>
      <c r="N32" s="219">
        <f t="shared" si="5"/>
        <v>41179517.719999999</v>
      </c>
      <c r="O32" s="219">
        <f t="shared" si="6"/>
        <v>650000</v>
      </c>
      <c r="P32" s="219">
        <f t="shared" si="7"/>
        <v>0</v>
      </c>
      <c r="Q32" s="219">
        <f t="shared" si="8"/>
        <v>0</v>
      </c>
      <c r="R32" s="157"/>
      <c r="S32" s="158"/>
      <c r="T32" s="161">
        <v>0</v>
      </c>
      <c r="U32" s="126"/>
      <c r="V32" s="160">
        <v>0</v>
      </c>
      <c r="W32" s="161">
        <v>99588543.879999995</v>
      </c>
      <c r="X32" s="126">
        <v>72114522.719999999</v>
      </c>
      <c r="Y32" s="126">
        <v>19156297.930000003</v>
      </c>
      <c r="Z32" s="126">
        <v>0</v>
      </c>
      <c r="AA32" s="126">
        <v>164713301.48999986</v>
      </c>
      <c r="AB32" s="160">
        <v>48375447.610000014</v>
      </c>
      <c r="AC32" s="161">
        <v>10295973.709999979</v>
      </c>
      <c r="AD32" s="126">
        <v>0</v>
      </c>
      <c r="AE32" s="126">
        <v>0</v>
      </c>
      <c r="AF32" s="126"/>
      <c r="AG32" s="172">
        <v>41179517.719999999</v>
      </c>
      <c r="AH32" s="176">
        <v>650000</v>
      </c>
      <c r="AI32" s="132"/>
      <c r="AJ32" s="169"/>
      <c r="AK32" s="159"/>
      <c r="AL32" s="127"/>
      <c r="AM32" s="127"/>
      <c r="AN32" s="169"/>
    </row>
    <row r="33" spans="1:40" hidden="1" x14ac:dyDescent="0.25">
      <c r="A33" s="133" t="s">
        <v>458</v>
      </c>
      <c r="B33" s="131" t="s">
        <v>438</v>
      </c>
      <c r="C33" s="131" t="s">
        <v>439</v>
      </c>
      <c r="D33" s="131" t="s">
        <v>459</v>
      </c>
      <c r="E33" s="150" t="s">
        <v>450</v>
      </c>
      <c r="F33" s="155"/>
      <c r="G33" s="19"/>
      <c r="H33" s="134"/>
      <c r="I33" s="219">
        <f t="shared" si="0"/>
        <v>0</v>
      </c>
      <c r="J33" s="219">
        <f t="shared" si="1"/>
        <v>0</v>
      </c>
      <c r="K33" s="219">
        <f t="shared" si="2"/>
        <v>0</v>
      </c>
      <c r="L33" s="232">
        <f t="shared" si="3"/>
        <v>4068172.7399999998</v>
      </c>
      <c r="M33" s="219">
        <f t="shared" si="4"/>
        <v>0</v>
      </c>
      <c r="N33" s="219">
        <f t="shared" si="5"/>
        <v>0</v>
      </c>
      <c r="O33" s="219">
        <f t="shared" si="6"/>
        <v>0</v>
      </c>
      <c r="P33" s="219">
        <f t="shared" si="7"/>
        <v>0</v>
      </c>
      <c r="Q33" s="219">
        <f t="shared" si="8"/>
        <v>0</v>
      </c>
      <c r="R33" s="157"/>
      <c r="S33" s="158"/>
      <c r="T33" s="161">
        <v>0</v>
      </c>
      <c r="U33" s="126">
        <v>0</v>
      </c>
      <c r="V33" s="160">
        <v>0</v>
      </c>
      <c r="W33" s="161">
        <v>0</v>
      </c>
      <c r="X33" s="126">
        <v>3872937.0599999996</v>
      </c>
      <c r="Y33" s="126">
        <v>0</v>
      </c>
      <c r="Z33" s="126">
        <v>0</v>
      </c>
      <c r="AA33" s="126">
        <v>0</v>
      </c>
      <c r="AB33" s="160">
        <v>195235.68</v>
      </c>
      <c r="AC33" s="161"/>
      <c r="AD33" s="126"/>
      <c r="AE33" s="126"/>
      <c r="AF33" s="126"/>
      <c r="AG33" s="172"/>
      <c r="AH33" s="176"/>
      <c r="AI33" s="132"/>
      <c r="AJ33" s="169"/>
      <c r="AK33" s="159"/>
      <c r="AL33" s="127"/>
      <c r="AM33" s="127"/>
      <c r="AN33" s="169"/>
    </row>
    <row r="34" spans="1:40" hidden="1" x14ac:dyDescent="0.25">
      <c r="A34" s="133" t="s">
        <v>458</v>
      </c>
      <c r="B34" s="131" t="s">
        <v>438</v>
      </c>
      <c r="C34" s="131" t="s">
        <v>439</v>
      </c>
      <c r="D34" s="131" t="s">
        <v>459</v>
      </c>
      <c r="E34" s="150" t="s">
        <v>421</v>
      </c>
      <c r="F34" s="155"/>
      <c r="G34" s="19"/>
      <c r="H34" s="134"/>
      <c r="I34" s="219">
        <f t="shared" si="0"/>
        <v>0</v>
      </c>
      <c r="J34" s="219">
        <f t="shared" si="1"/>
        <v>0</v>
      </c>
      <c r="K34" s="219">
        <f t="shared" si="2"/>
        <v>0</v>
      </c>
      <c r="L34" s="232">
        <f t="shared" si="3"/>
        <v>92672.789999999979</v>
      </c>
      <c r="M34" s="219">
        <f t="shared" si="4"/>
        <v>0</v>
      </c>
      <c r="N34" s="219">
        <f t="shared" si="5"/>
        <v>0</v>
      </c>
      <c r="O34" s="219">
        <f t="shared" si="6"/>
        <v>0</v>
      </c>
      <c r="P34" s="219">
        <f t="shared" si="7"/>
        <v>0</v>
      </c>
      <c r="Q34" s="219">
        <f t="shared" si="8"/>
        <v>0</v>
      </c>
      <c r="R34" s="157"/>
      <c r="S34" s="158"/>
      <c r="T34" s="161">
        <v>0</v>
      </c>
      <c r="U34" s="126">
        <v>0</v>
      </c>
      <c r="V34" s="160">
        <v>0</v>
      </c>
      <c r="W34" s="161">
        <v>0</v>
      </c>
      <c r="X34" s="126">
        <v>0</v>
      </c>
      <c r="Y34" s="126">
        <v>0</v>
      </c>
      <c r="Z34" s="126">
        <v>0</v>
      </c>
      <c r="AA34" s="126">
        <v>62121.559999999983</v>
      </c>
      <c r="AB34" s="160">
        <v>30551.230000000003</v>
      </c>
      <c r="AC34" s="161"/>
      <c r="AD34" s="126"/>
      <c r="AE34" s="126"/>
      <c r="AF34" s="126"/>
      <c r="AG34" s="173"/>
      <c r="AH34" s="176"/>
      <c r="AI34" s="132"/>
      <c r="AJ34" s="169"/>
      <c r="AK34" s="159"/>
      <c r="AL34" s="127"/>
      <c r="AM34" s="127"/>
      <c r="AN34" s="169"/>
    </row>
    <row r="35" spans="1:40" hidden="1" x14ac:dyDescent="0.25">
      <c r="A35" s="133" t="s">
        <v>65</v>
      </c>
      <c r="B35" s="131" t="s">
        <v>438</v>
      </c>
      <c r="C35" s="131" t="s">
        <v>453</v>
      </c>
      <c r="D35" s="131" t="s">
        <v>455</v>
      </c>
      <c r="E35" s="150" t="s">
        <v>450</v>
      </c>
      <c r="F35" s="155"/>
      <c r="G35" s="19"/>
      <c r="H35" s="134"/>
      <c r="I35" s="219">
        <f t="shared" si="0"/>
        <v>0</v>
      </c>
      <c r="J35" s="219">
        <f t="shared" si="1"/>
        <v>0</v>
      </c>
      <c r="K35" s="219">
        <f t="shared" si="2"/>
        <v>0</v>
      </c>
      <c r="L35" s="232">
        <f t="shared" si="3"/>
        <v>1571412.16</v>
      </c>
      <c r="M35" s="219">
        <f t="shared" si="4"/>
        <v>0</v>
      </c>
      <c r="N35" s="219">
        <f t="shared" si="5"/>
        <v>0</v>
      </c>
      <c r="O35" s="219">
        <f t="shared" si="6"/>
        <v>0</v>
      </c>
      <c r="P35" s="219">
        <f t="shared" si="7"/>
        <v>0</v>
      </c>
      <c r="Q35" s="219">
        <f t="shared" si="8"/>
        <v>0</v>
      </c>
      <c r="R35" s="157"/>
      <c r="S35" s="158"/>
      <c r="T35" s="161">
        <v>0</v>
      </c>
      <c r="U35" s="126">
        <v>0</v>
      </c>
      <c r="V35" s="160">
        <v>0</v>
      </c>
      <c r="W35" s="161">
        <v>0</v>
      </c>
      <c r="X35" s="126">
        <v>0</v>
      </c>
      <c r="Y35" s="126">
        <v>0</v>
      </c>
      <c r="Z35" s="126">
        <v>0</v>
      </c>
      <c r="AA35" s="126">
        <v>1571412.16</v>
      </c>
      <c r="AB35" s="160">
        <v>0</v>
      </c>
      <c r="AC35" s="161"/>
      <c r="AD35" s="126"/>
      <c r="AE35" s="126"/>
      <c r="AF35" s="126"/>
      <c r="AG35" s="173"/>
      <c r="AH35" s="176"/>
      <c r="AI35" s="132"/>
      <c r="AJ35" s="169"/>
      <c r="AK35" s="159"/>
      <c r="AL35" s="127"/>
      <c r="AM35" s="127"/>
      <c r="AN35" s="169"/>
    </row>
    <row r="36" spans="1:40" hidden="1" x14ac:dyDescent="0.25">
      <c r="A36" s="133" t="s">
        <v>65</v>
      </c>
      <c r="B36" s="131" t="s">
        <v>438</v>
      </c>
      <c r="C36" s="131" t="s">
        <v>453</v>
      </c>
      <c r="D36" s="131" t="s">
        <v>455</v>
      </c>
      <c r="E36" s="150" t="s">
        <v>421</v>
      </c>
      <c r="F36" s="155"/>
      <c r="G36" s="19"/>
      <c r="H36" s="134"/>
      <c r="I36" s="219">
        <f t="shared" si="0"/>
        <v>0</v>
      </c>
      <c r="J36" s="219">
        <f t="shared" si="1"/>
        <v>87513734.649999991</v>
      </c>
      <c r="K36" s="219">
        <f t="shared" si="2"/>
        <v>0</v>
      </c>
      <c r="L36" s="232">
        <f t="shared" si="3"/>
        <v>322766397.86999983</v>
      </c>
      <c r="M36" s="219">
        <f t="shared" si="4"/>
        <v>0</v>
      </c>
      <c r="N36" s="219">
        <f t="shared" si="5"/>
        <v>107271744.92999998</v>
      </c>
      <c r="O36" s="219">
        <f t="shared" si="6"/>
        <v>0</v>
      </c>
      <c r="P36" s="219">
        <f t="shared" si="7"/>
        <v>0</v>
      </c>
      <c r="Q36" s="219">
        <f t="shared" si="8"/>
        <v>0</v>
      </c>
      <c r="R36" s="157"/>
      <c r="S36" s="158"/>
      <c r="T36" s="161">
        <v>30486272.169999998</v>
      </c>
      <c r="U36" s="126">
        <v>57027462.479999989</v>
      </c>
      <c r="V36" s="160">
        <v>0</v>
      </c>
      <c r="W36" s="161">
        <v>0</v>
      </c>
      <c r="X36" s="126">
        <v>123283268.79999994</v>
      </c>
      <c r="Y36" s="126">
        <v>83777538.189999968</v>
      </c>
      <c r="Z36" s="126">
        <v>118383.87</v>
      </c>
      <c r="AA36" s="126">
        <v>84829063.319999918</v>
      </c>
      <c r="AB36" s="160">
        <v>30758143.690000005</v>
      </c>
      <c r="AC36" s="161"/>
      <c r="AD36" s="126"/>
      <c r="AE36" s="126"/>
      <c r="AF36" s="126"/>
      <c r="AG36" s="172">
        <v>107271744.92999998</v>
      </c>
      <c r="AH36" s="176"/>
      <c r="AI36" s="132"/>
      <c r="AJ36" s="169"/>
      <c r="AK36" s="159"/>
      <c r="AL36" s="127"/>
      <c r="AM36" s="127"/>
      <c r="AN36" s="169"/>
    </row>
    <row r="37" spans="1:40" hidden="1" x14ac:dyDescent="0.25">
      <c r="A37" s="133" t="s">
        <v>74</v>
      </c>
      <c r="B37" s="131" t="s">
        <v>438</v>
      </c>
      <c r="C37" s="131" t="s">
        <v>439</v>
      </c>
      <c r="D37" s="131" t="s">
        <v>440</v>
      </c>
      <c r="E37" s="150" t="s">
        <v>450</v>
      </c>
      <c r="F37" s="155"/>
      <c r="G37" s="19"/>
      <c r="H37" s="134"/>
      <c r="I37" s="219">
        <f t="shared" si="0"/>
        <v>0</v>
      </c>
      <c r="J37" s="219">
        <f t="shared" si="1"/>
        <v>72973257.709999979</v>
      </c>
      <c r="K37" s="219">
        <f t="shared" si="2"/>
        <v>1069912.8400000001</v>
      </c>
      <c r="L37" s="232">
        <f t="shared" si="3"/>
        <v>199166366.24000001</v>
      </c>
      <c r="M37" s="219">
        <f t="shared" si="4"/>
        <v>0</v>
      </c>
      <c r="N37" s="219">
        <f t="shared" si="5"/>
        <v>151412020.53999996</v>
      </c>
      <c r="O37" s="219">
        <f t="shared" si="6"/>
        <v>0</v>
      </c>
      <c r="P37" s="219">
        <f t="shared" si="7"/>
        <v>0</v>
      </c>
      <c r="Q37" s="219">
        <f t="shared" si="8"/>
        <v>0</v>
      </c>
      <c r="R37" s="157"/>
      <c r="S37" s="158"/>
      <c r="T37" s="161">
        <v>39536460.18</v>
      </c>
      <c r="U37" s="126">
        <v>33436797.529999971</v>
      </c>
      <c r="V37" s="160">
        <v>0</v>
      </c>
      <c r="W37" s="161">
        <v>1069912.8400000001</v>
      </c>
      <c r="X37" s="126">
        <v>51088520.130000032</v>
      </c>
      <c r="Y37" s="126">
        <v>35263831.909999996</v>
      </c>
      <c r="Z37" s="126">
        <v>0</v>
      </c>
      <c r="AA37" s="126">
        <v>62817789.979999982</v>
      </c>
      <c r="AB37" s="160">
        <v>49996224.220000014</v>
      </c>
      <c r="AC37" s="161"/>
      <c r="AD37" s="126"/>
      <c r="AE37" s="126"/>
      <c r="AF37" s="126"/>
      <c r="AG37" s="172">
        <v>151412020.53999996</v>
      </c>
      <c r="AH37" s="176"/>
      <c r="AI37" s="132"/>
      <c r="AJ37" s="169"/>
      <c r="AK37" s="159"/>
      <c r="AL37" s="127"/>
      <c r="AM37" s="127"/>
      <c r="AN37" s="169"/>
    </row>
    <row r="38" spans="1:40" hidden="1" x14ac:dyDescent="0.25">
      <c r="A38" s="133" t="s">
        <v>74</v>
      </c>
      <c r="B38" s="131" t="s">
        <v>438</v>
      </c>
      <c r="C38" s="131" t="s">
        <v>439</v>
      </c>
      <c r="D38" s="131" t="s">
        <v>440</v>
      </c>
      <c r="E38" s="150" t="s">
        <v>421</v>
      </c>
      <c r="F38" s="155">
        <v>1</v>
      </c>
      <c r="G38" s="19"/>
      <c r="H38" s="134" t="s">
        <v>343</v>
      </c>
      <c r="I38" s="219">
        <f t="shared" si="0"/>
        <v>0</v>
      </c>
      <c r="J38" s="219">
        <f t="shared" si="1"/>
        <v>272667604.43000001</v>
      </c>
      <c r="K38" s="219">
        <f t="shared" si="2"/>
        <v>0</v>
      </c>
      <c r="L38" s="232">
        <f t="shared" si="3"/>
        <v>71722248.539999992</v>
      </c>
      <c r="M38" s="219">
        <f t="shared" si="4"/>
        <v>129002635.05000092</v>
      </c>
      <c r="N38" s="219">
        <f t="shared" si="5"/>
        <v>0</v>
      </c>
      <c r="O38" s="219">
        <f t="shared" si="6"/>
        <v>19381660.741299998</v>
      </c>
      <c r="P38" s="219">
        <f t="shared" si="7"/>
        <v>0</v>
      </c>
      <c r="Q38" s="219">
        <f t="shared" si="8"/>
        <v>0</v>
      </c>
      <c r="R38" s="157"/>
      <c r="S38" s="158"/>
      <c r="T38" s="161">
        <v>272667604.43000001</v>
      </c>
      <c r="U38" s="126">
        <v>0</v>
      </c>
      <c r="V38" s="160">
        <v>0</v>
      </c>
      <c r="W38" s="161">
        <v>0</v>
      </c>
      <c r="X38" s="126">
        <v>1375191.4700000002</v>
      </c>
      <c r="Y38" s="126">
        <v>0</v>
      </c>
      <c r="Z38" s="126">
        <v>0</v>
      </c>
      <c r="AA38" s="126">
        <v>25918781.099999994</v>
      </c>
      <c r="AB38" s="160">
        <v>44428275.969999991</v>
      </c>
      <c r="AC38" s="161">
        <v>129002635.05000092</v>
      </c>
      <c r="AD38" s="126">
        <v>0</v>
      </c>
      <c r="AE38" s="126">
        <v>0</v>
      </c>
      <c r="AF38" s="126"/>
      <c r="AG38" s="172"/>
      <c r="AH38" s="176">
        <v>19381660.741299998</v>
      </c>
      <c r="AI38" s="132"/>
      <c r="AJ38" s="169"/>
      <c r="AK38" s="159"/>
      <c r="AL38" s="127"/>
      <c r="AM38" s="127"/>
      <c r="AN38" s="169"/>
    </row>
    <row r="39" spans="1:40" hidden="1" x14ac:dyDescent="0.25">
      <c r="A39" s="133" t="s">
        <v>74</v>
      </c>
      <c r="B39" s="131" t="s">
        <v>438</v>
      </c>
      <c r="C39" s="131" t="s">
        <v>439</v>
      </c>
      <c r="D39" s="131" t="s">
        <v>451</v>
      </c>
      <c r="E39" s="150" t="s">
        <v>450</v>
      </c>
      <c r="F39" s="155"/>
      <c r="G39" s="19"/>
      <c r="H39" s="134"/>
      <c r="I39" s="219">
        <f t="shared" si="0"/>
        <v>0</v>
      </c>
      <c r="J39" s="219">
        <f t="shared" si="1"/>
        <v>0</v>
      </c>
      <c r="K39" s="219">
        <f t="shared" si="2"/>
        <v>0</v>
      </c>
      <c r="L39" s="232">
        <f t="shared" si="3"/>
        <v>25022.84</v>
      </c>
      <c r="M39" s="219">
        <f t="shared" si="4"/>
        <v>0</v>
      </c>
      <c r="N39" s="219">
        <f t="shared" si="5"/>
        <v>0</v>
      </c>
      <c r="O39" s="219">
        <f t="shared" si="6"/>
        <v>0</v>
      </c>
      <c r="P39" s="219">
        <f t="shared" si="7"/>
        <v>0</v>
      </c>
      <c r="Q39" s="219">
        <f t="shared" si="8"/>
        <v>0</v>
      </c>
      <c r="R39" s="157"/>
      <c r="S39" s="158"/>
      <c r="T39" s="161">
        <v>0</v>
      </c>
      <c r="U39" s="126">
        <v>0</v>
      </c>
      <c r="V39" s="160">
        <v>0</v>
      </c>
      <c r="W39" s="161">
        <v>0</v>
      </c>
      <c r="X39" s="126">
        <v>3719.8</v>
      </c>
      <c r="Y39" s="126">
        <v>0</v>
      </c>
      <c r="Z39" s="126">
        <v>0</v>
      </c>
      <c r="AA39" s="126">
        <v>21303.040000000001</v>
      </c>
      <c r="AB39" s="160">
        <v>0</v>
      </c>
      <c r="AC39" s="161"/>
      <c r="AD39" s="126"/>
      <c r="AE39" s="126"/>
      <c r="AF39" s="126"/>
      <c r="AG39" s="173"/>
      <c r="AH39" s="176"/>
      <c r="AI39" s="132"/>
      <c r="AJ39" s="169"/>
      <c r="AK39" s="159"/>
      <c r="AL39" s="127"/>
      <c r="AM39" s="127"/>
      <c r="AN39" s="169"/>
    </row>
    <row r="40" spans="1:40" hidden="1" x14ac:dyDescent="0.25">
      <c r="A40" s="133" t="s">
        <v>74</v>
      </c>
      <c r="B40" s="131" t="s">
        <v>438</v>
      </c>
      <c r="C40" s="131" t="s">
        <v>439</v>
      </c>
      <c r="D40" s="131" t="s">
        <v>451</v>
      </c>
      <c r="E40" s="150" t="s">
        <v>421</v>
      </c>
      <c r="F40" s="155"/>
      <c r="G40" s="19"/>
      <c r="H40" s="134" t="s">
        <v>343</v>
      </c>
      <c r="I40" s="219">
        <f t="shared" si="0"/>
        <v>0</v>
      </c>
      <c r="J40" s="219">
        <f t="shared" si="1"/>
        <v>180123255.57999998</v>
      </c>
      <c r="K40" s="219">
        <f t="shared" si="2"/>
        <v>0</v>
      </c>
      <c r="L40" s="232">
        <f t="shared" si="3"/>
        <v>105165021.79999992</v>
      </c>
      <c r="M40" s="219">
        <f t="shared" si="4"/>
        <v>149308281.99999991</v>
      </c>
      <c r="N40" s="219">
        <f t="shared" si="5"/>
        <v>17840405.869999994</v>
      </c>
      <c r="O40" s="219">
        <f t="shared" si="6"/>
        <v>107753024.60259996</v>
      </c>
      <c r="P40" s="219">
        <f t="shared" si="7"/>
        <v>0</v>
      </c>
      <c r="Q40" s="219">
        <f t="shared" si="8"/>
        <v>0</v>
      </c>
      <c r="R40" s="157"/>
      <c r="S40" s="158"/>
      <c r="T40" s="161">
        <v>124103105.69999999</v>
      </c>
      <c r="U40" s="126">
        <v>56020149.88000001</v>
      </c>
      <c r="V40" s="160">
        <v>0</v>
      </c>
      <c r="W40" s="161">
        <v>0</v>
      </c>
      <c r="X40" s="126">
        <v>28015153.530000009</v>
      </c>
      <c r="Y40" s="126">
        <v>20986038.289999999</v>
      </c>
      <c r="Z40" s="126">
        <v>0</v>
      </c>
      <c r="AA40" s="126">
        <v>38685574.419999912</v>
      </c>
      <c r="AB40" s="160">
        <v>17478255.559999999</v>
      </c>
      <c r="AC40" s="161">
        <v>149308281.99999991</v>
      </c>
      <c r="AD40" s="126">
        <v>0</v>
      </c>
      <c r="AE40" s="126">
        <v>0</v>
      </c>
      <c r="AF40" s="126"/>
      <c r="AG40" s="173">
        <v>17840405.869999994</v>
      </c>
      <c r="AH40" s="176">
        <v>107753024.60259996</v>
      </c>
      <c r="AI40" s="132"/>
      <c r="AJ40" s="169"/>
      <c r="AK40" s="159"/>
      <c r="AL40" s="127"/>
      <c r="AM40" s="127"/>
      <c r="AN40" s="169"/>
    </row>
    <row r="41" spans="1:40" hidden="1" x14ac:dyDescent="0.25">
      <c r="A41" s="133" t="s">
        <v>74</v>
      </c>
      <c r="B41" s="131" t="s">
        <v>438</v>
      </c>
      <c r="C41" s="131" t="s">
        <v>447</v>
      </c>
      <c r="D41" s="131" t="s">
        <v>448</v>
      </c>
      <c r="E41" s="150" t="s">
        <v>450</v>
      </c>
      <c r="F41" s="155"/>
      <c r="G41" s="19"/>
      <c r="H41" s="134"/>
      <c r="I41" s="219">
        <f t="shared" si="0"/>
        <v>0</v>
      </c>
      <c r="J41" s="219">
        <f t="shared" si="1"/>
        <v>0</v>
      </c>
      <c r="K41" s="219">
        <f t="shared" si="2"/>
        <v>0</v>
      </c>
      <c r="L41" s="232">
        <f t="shared" si="3"/>
        <v>0</v>
      </c>
      <c r="M41" s="219">
        <f t="shared" si="4"/>
        <v>0</v>
      </c>
      <c r="N41" s="219">
        <f t="shared" si="5"/>
        <v>0</v>
      </c>
      <c r="O41" s="219">
        <f t="shared" si="6"/>
        <v>0</v>
      </c>
      <c r="P41" s="219">
        <f t="shared" si="7"/>
        <v>0</v>
      </c>
      <c r="Q41" s="219">
        <f t="shared" si="8"/>
        <v>39536460.18</v>
      </c>
      <c r="R41" s="157"/>
      <c r="S41" s="158"/>
      <c r="T41" s="161"/>
      <c r="U41" s="126"/>
      <c r="V41" s="160"/>
      <c r="W41" s="161"/>
      <c r="X41" s="126"/>
      <c r="Y41" s="126"/>
      <c r="Z41" s="126"/>
      <c r="AA41" s="126"/>
      <c r="AB41" s="160"/>
      <c r="AC41" s="161"/>
      <c r="AD41" s="126"/>
      <c r="AE41" s="126"/>
      <c r="AF41" s="126"/>
      <c r="AG41" s="173"/>
      <c r="AH41" s="176"/>
      <c r="AI41" s="132"/>
      <c r="AJ41" s="169"/>
      <c r="AK41" s="159"/>
      <c r="AL41" s="127"/>
      <c r="AM41" s="127"/>
      <c r="AN41" s="169">
        <v>39536460.18</v>
      </c>
    </row>
    <row r="42" spans="1:40" hidden="1" x14ac:dyDescent="0.25">
      <c r="A42" s="133" t="s">
        <v>74</v>
      </c>
      <c r="B42" s="131" t="s">
        <v>438</v>
      </c>
      <c r="C42" s="131" t="s">
        <v>447</v>
      </c>
      <c r="D42" s="131" t="s">
        <v>448</v>
      </c>
      <c r="E42" s="150" t="s">
        <v>421</v>
      </c>
      <c r="F42" s="155"/>
      <c r="G42" s="19"/>
      <c r="H42" s="134"/>
      <c r="I42" s="219">
        <f t="shared" si="0"/>
        <v>0</v>
      </c>
      <c r="J42" s="219">
        <f t="shared" si="1"/>
        <v>0</v>
      </c>
      <c r="K42" s="219">
        <f t="shared" si="2"/>
        <v>0</v>
      </c>
      <c r="L42" s="232">
        <f t="shared" si="3"/>
        <v>0</v>
      </c>
      <c r="M42" s="219">
        <f t="shared" si="4"/>
        <v>0</v>
      </c>
      <c r="N42" s="219">
        <f t="shared" si="5"/>
        <v>0</v>
      </c>
      <c r="O42" s="219">
        <f t="shared" si="6"/>
        <v>0</v>
      </c>
      <c r="P42" s="219">
        <f t="shared" si="7"/>
        <v>0</v>
      </c>
      <c r="Q42" s="219">
        <f t="shared" si="8"/>
        <v>170304571.24000007</v>
      </c>
      <c r="R42" s="157"/>
      <c r="S42" s="158"/>
      <c r="T42" s="161"/>
      <c r="U42" s="126"/>
      <c r="V42" s="160"/>
      <c r="W42" s="161"/>
      <c r="X42" s="126"/>
      <c r="Y42" s="126"/>
      <c r="Z42" s="126"/>
      <c r="AA42" s="126"/>
      <c r="AB42" s="160"/>
      <c r="AC42" s="161"/>
      <c r="AD42" s="126"/>
      <c r="AE42" s="126"/>
      <c r="AF42" s="126"/>
      <c r="AG42" s="173"/>
      <c r="AH42" s="176"/>
      <c r="AI42" s="132"/>
      <c r="AJ42" s="169"/>
      <c r="AK42" s="159"/>
      <c r="AL42" s="127"/>
      <c r="AM42" s="127"/>
      <c r="AN42" s="169">
        <v>170304571.24000007</v>
      </c>
    </row>
    <row r="43" spans="1:40" hidden="1" x14ac:dyDescent="0.25">
      <c r="A43" s="133" t="s">
        <v>460</v>
      </c>
      <c r="B43" s="131" t="s">
        <v>438</v>
      </c>
      <c r="C43" s="131" t="s">
        <v>439</v>
      </c>
      <c r="D43" s="131" t="s">
        <v>440</v>
      </c>
      <c r="E43" s="150" t="s">
        <v>450</v>
      </c>
      <c r="F43" s="155"/>
      <c r="G43" s="19"/>
      <c r="H43" s="134"/>
      <c r="I43" s="219">
        <f t="shared" si="0"/>
        <v>0</v>
      </c>
      <c r="J43" s="219">
        <f t="shared" si="1"/>
        <v>0</v>
      </c>
      <c r="K43" s="219">
        <f t="shared" si="2"/>
        <v>0</v>
      </c>
      <c r="L43" s="232">
        <f t="shared" si="3"/>
        <v>1908716.2599999998</v>
      </c>
      <c r="M43" s="219">
        <f t="shared" si="4"/>
        <v>0</v>
      </c>
      <c r="N43" s="219">
        <f t="shared" si="5"/>
        <v>0</v>
      </c>
      <c r="O43" s="219">
        <f t="shared" si="6"/>
        <v>0</v>
      </c>
      <c r="P43" s="219">
        <f t="shared" si="7"/>
        <v>0</v>
      </c>
      <c r="Q43" s="219">
        <f t="shared" si="8"/>
        <v>0</v>
      </c>
      <c r="R43" s="157"/>
      <c r="S43" s="158"/>
      <c r="T43" s="161">
        <v>0</v>
      </c>
      <c r="U43" s="126">
        <v>0</v>
      </c>
      <c r="V43" s="160">
        <v>0</v>
      </c>
      <c r="W43" s="161">
        <v>0</v>
      </c>
      <c r="X43" s="126">
        <v>0</v>
      </c>
      <c r="Y43" s="126">
        <v>0</v>
      </c>
      <c r="Z43" s="126">
        <v>0</v>
      </c>
      <c r="AA43" s="126">
        <v>0</v>
      </c>
      <c r="AB43" s="160">
        <v>1908716.2599999998</v>
      </c>
      <c r="AC43" s="161"/>
      <c r="AD43" s="126"/>
      <c r="AE43" s="126"/>
      <c r="AF43" s="126"/>
      <c r="AG43" s="173"/>
      <c r="AH43" s="176"/>
      <c r="AI43" s="132"/>
      <c r="AJ43" s="169"/>
      <c r="AK43" s="159"/>
      <c r="AL43" s="127"/>
      <c r="AM43" s="127"/>
      <c r="AN43" s="169"/>
    </row>
    <row r="44" spans="1:40" hidden="1" x14ac:dyDescent="0.25">
      <c r="A44" s="133" t="s">
        <v>460</v>
      </c>
      <c r="B44" s="131" t="s">
        <v>438</v>
      </c>
      <c r="C44" s="131" t="s">
        <v>439</v>
      </c>
      <c r="D44" s="131" t="s">
        <v>440</v>
      </c>
      <c r="E44" s="150" t="s">
        <v>421</v>
      </c>
      <c r="F44" s="155"/>
      <c r="G44" s="19"/>
      <c r="H44" s="134"/>
      <c r="I44" s="219">
        <f t="shared" si="0"/>
        <v>0</v>
      </c>
      <c r="J44" s="219">
        <f t="shared" si="1"/>
        <v>0</v>
      </c>
      <c r="K44" s="219">
        <f t="shared" si="2"/>
        <v>0</v>
      </c>
      <c r="L44" s="232">
        <f t="shared" si="3"/>
        <v>216311.05</v>
      </c>
      <c r="M44" s="219">
        <f t="shared" si="4"/>
        <v>0</v>
      </c>
      <c r="N44" s="219">
        <f t="shared" si="5"/>
        <v>0</v>
      </c>
      <c r="O44" s="219">
        <f t="shared" si="6"/>
        <v>0</v>
      </c>
      <c r="P44" s="219">
        <f t="shared" si="7"/>
        <v>0</v>
      </c>
      <c r="Q44" s="219">
        <f t="shared" si="8"/>
        <v>0</v>
      </c>
      <c r="R44" s="157"/>
      <c r="S44" s="158"/>
      <c r="T44" s="161">
        <v>0</v>
      </c>
      <c r="U44" s="126">
        <v>0</v>
      </c>
      <c r="V44" s="160">
        <v>0</v>
      </c>
      <c r="W44" s="161">
        <v>0</v>
      </c>
      <c r="X44" s="126">
        <v>0</v>
      </c>
      <c r="Y44" s="126">
        <v>0</v>
      </c>
      <c r="Z44" s="126">
        <v>0</v>
      </c>
      <c r="AA44" s="126">
        <v>114005.03</v>
      </c>
      <c r="AB44" s="160">
        <v>102306.01999999999</v>
      </c>
      <c r="AC44" s="161"/>
      <c r="AD44" s="126"/>
      <c r="AE44" s="126"/>
      <c r="AF44" s="126"/>
      <c r="AG44" s="173"/>
      <c r="AH44" s="176"/>
      <c r="AI44" s="132"/>
      <c r="AJ44" s="169"/>
      <c r="AK44" s="159"/>
      <c r="AL44" s="127"/>
      <c r="AM44" s="127"/>
      <c r="AN44" s="169"/>
    </row>
    <row r="45" spans="1:40" hidden="1" x14ac:dyDescent="0.25">
      <c r="A45" s="133" t="s">
        <v>81</v>
      </c>
      <c r="B45" s="131" t="s">
        <v>438</v>
      </c>
      <c r="C45" s="131" t="s">
        <v>453</v>
      </c>
      <c r="D45" s="131" t="s">
        <v>461</v>
      </c>
      <c r="E45" s="150"/>
      <c r="F45" s="155"/>
      <c r="G45" s="19"/>
      <c r="H45" s="135"/>
      <c r="I45" s="219">
        <f t="shared" si="0"/>
        <v>0</v>
      </c>
      <c r="J45" s="219">
        <f t="shared" si="1"/>
        <v>0</v>
      </c>
      <c r="K45" s="219">
        <f t="shared" si="2"/>
        <v>0</v>
      </c>
      <c r="L45" s="232">
        <f t="shared" si="3"/>
        <v>0</v>
      </c>
      <c r="M45" s="219">
        <f t="shared" si="4"/>
        <v>0</v>
      </c>
      <c r="N45" s="219">
        <f t="shared" si="5"/>
        <v>0</v>
      </c>
      <c r="O45" s="219">
        <f t="shared" si="6"/>
        <v>0</v>
      </c>
      <c r="P45" s="219">
        <f t="shared" si="7"/>
        <v>13117256.510000009</v>
      </c>
      <c r="Q45" s="219">
        <f t="shared" si="8"/>
        <v>0</v>
      </c>
      <c r="R45" s="157"/>
      <c r="S45" s="158"/>
      <c r="T45" s="157"/>
      <c r="U45" s="128"/>
      <c r="V45" s="158"/>
      <c r="W45" s="157"/>
      <c r="X45" s="128"/>
      <c r="Y45" s="128"/>
      <c r="Z45" s="128"/>
      <c r="AA45" s="128"/>
      <c r="AB45" s="158"/>
      <c r="AC45" s="159"/>
      <c r="AD45" s="127"/>
      <c r="AE45" s="127"/>
      <c r="AF45" s="127"/>
      <c r="AG45" s="172"/>
      <c r="AH45" s="176"/>
      <c r="AI45" s="132"/>
      <c r="AJ45" s="169"/>
      <c r="AK45" s="157">
        <v>13117256.510000009</v>
      </c>
      <c r="AL45" s="127"/>
      <c r="AM45" s="127"/>
      <c r="AN45" s="169"/>
    </row>
    <row r="46" spans="1:40" hidden="1" x14ac:dyDescent="0.25">
      <c r="A46" s="133" t="s">
        <v>87</v>
      </c>
      <c r="B46" s="131" t="s">
        <v>438</v>
      </c>
      <c r="C46" s="131" t="s">
        <v>453</v>
      </c>
      <c r="D46" s="131" t="s">
        <v>461</v>
      </c>
      <c r="E46" s="150"/>
      <c r="F46" s="155"/>
      <c r="G46" s="19"/>
      <c r="H46" s="135"/>
      <c r="I46" s="219">
        <f t="shared" si="0"/>
        <v>0</v>
      </c>
      <c r="J46" s="219">
        <f t="shared" si="1"/>
        <v>0</v>
      </c>
      <c r="K46" s="219">
        <f t="shared" si="2"/>
        <v>0</v>
      </c>
      <c r="L46" s="232">
        <f t="shared" si="3"/>
        <v>0</v>
      </c>
      <c r="M46" s="219">
        <f t="shared" si="4"/>
        <v>0</v>
      </c>
      <c r="N46" s="219">
        <f t="shared" si="5"/>
        <v>0</v>
      </c>
      <c r="O46" s="219">
        <f t="shared" si="6"/>
        <v>0</v>
      </c>
      <c r="P46" s="219">
        <f t="shared" si="7"/>
        <v>44187465.560000092</v>
      </c>
      <c r="Q46" s="219">
        <f t="shared" si="8"/>
        <v>0</v>
      </c>
      <c r="R46" s="157"/>
      <c r="S46" s="158"/>
      <c r="T46" s="157"/>
      <c r="U46" s="128"/>
      <c r="V46" s="158"/>
      <c r="W46" s="157"/>
      <c r="X46" s="128"/>
      <c r="Y46" s="128"/>
      <c r="Z46" s="128"/>
      <c r="AA46" s="128"/>
      <c r="AB46" s="158"/>
      <c r="AC46" s="159"/>
      <c r="AD46" s="127"/>
      <c r="AE46" s="127"/>
      <c r="AF46" s="127"/>
      <c r="AG46" s="172"/>
      <c r="AH46" s="176"/>
      <c r="AI46" s="132"/>
      <c r="AJ46" s="169"/>
      <c r="AK46" s="157">
        <v>44187465.560000092</v>
      </c>
      <c r="AL46" s="127"/>
      <c r="AM46" s="127"/>
      <c r="AN46" s="169"/>
    </row>
    <row r="47" spans="1:40" hidden="1" x14ac:dyDescent="0.25">
      <c r="A47" s="133" t="s">
        <v>449</v>
      </c>
      <c r="B47" s="131" t="s">
        <v>438</v>
      </c>
      <c r="C47" s="131" t="s">
        <v>453</v>
      </c>
      <c r="D47" s="131" t="s">
        <v>461</v>
      </c>
      <c r="E47" s="150"/>
      <c r="F47" s="155"/>
      <c r="G47" s="19"/>
      <c r="H47" s="135"/>
      <c r="I47" s="219">
        <f t="shared" si="0"/>
        <v>0</v>
      </c>
      <c r="J47" s="219">
        <f t="shared" si="1"/>
        <v>0</v>
      </c>
      <c r="K47" s="219">
        <f t="shared" si="2"/>
        <v>0</v>
      </c>
      <c r="L47" s="232">
        <f t="shared" si="3"/>
        <v>0</v>
      </c>
      <c r="M47" s="219">
        <f t="shared" si="4"/>
        <v>0</v>
      </c>
      <c r="N47" s="219">
        <f t="shared" si="5"/>
        <v>0</v>
      </c>
      <c r="O47" s="219">
        <f t="shared" si="6"/>
        <v>0</v>
      </c>
      <c r="P47" s="219">
        <f t="shared" si="7"/>
        <v>12714006.299999991</v>
      </c>
      <c r="Q47" s="219">
        <f t="shared" si="8"/>
        <v>0</v>
      </c>
      <c r="R47" s="157"/>
      <c r="S47" s="158"/>
      <c r="T47" s="157"/>
      <c r="U47" s="128"/>
      <c r="V47" s="158"/>
      <c r="W47" s="157"/>
      <c r="X47" s="128"/>
      <c r="Y47" s="128"/>
      <c r="Z47" s="128"/>
      <c r="AA47" s="128"/>
      <c r="AB47" s="158"/>
      <c r="AC47" s="159"/>
      <c r="AD47" s="127"/>
      <c r="AE47" s="127"/>
      <c r="AF47" s="127"/>
      <c r="AG47" s="172"/>
      <c r="AH47" s="176"/>
      <c r="AI47" s="132"/>
      <c r="AJ47" s="169"/>
      <c r="AK47" s="157">
        <v>12714006.299999991</v>
      </c>
      <c r="AL47" s="127"/>
      <c r="AM47" s="127"/>
      <c r="AN47" s="169"/>
    </row>
    <row r="48" spans="1:40" hidden="1" x14ac:dyDescent="0.25">
      <c r="A48" s="133" t="s">
        <v>425</v>
      </c>
      <c r="B48" s="131" t="s">
        <v>438</v>
      </c>
      <c r="C48" s="131" t="s">
        <v>453</v>
      </c>
      <c r="D48" s="131" t="s">
        <v>461</v>
      </c>
      <c r="E48" s="150"/>
      <c r="F48" s="155"/>
      <c r="G48" s="19"/>
      <c r="H48" s="135"/>
      <c r="I48" s="219">
        <f t="shared" si="0"/>
        <v>0</v>
      </c>
      <c r="J48" s="219">
        <f t="shared" si="1"/>
        <v>0</v>
      </c>
      <c r="K48" s="219">
        <f t="shared" si="2"/>
        <v>0</v>
      </c>
      <c r="L48" s="232">
        <f t="shared" si="3"/>
        <v>0</v>
      </c>
      <c r="M48" s="219">
        <f t="shared" si="4"/>
        <v>0</v>
      </c>
      <c r="N48" s="219">
        <f t="shared" si="5"/>
        <v>0</v>
      </c>
      <c r="O48" s="219">
        <f t="shared" si="6"/>
        <v>0</v>
      </c>
      <c r="P48" s="219">
        <f t="shared" si="7"/>
        <v>121867232.13000081</v>
      </c>
      <c r="Q48" s="219">
        <f t="shared" si="8"/>
        <v>0</v>
      </c>
      <c r="R48" s="157"/>
      <c r="S48" s="158"/>
      <c r="T48" s="157"/>
      <c r="U48" s="128"/>
      <c r="V48" s="158"/>
      <c r="W48" s="157"/>
      <c r="X48" s="128"/>
      <c r="Y48" s="128"/>
      <c r="Z48" s="128"/>
      <c r="AA48" s="128"/>
      <c r="AB48" s="158"/>
      <c r="AC48" s="159"/>
      <c r="AD48" s="127"/>
      <c r="AE48" s="127"/>
      <c r="AF48" s="127"/>
      <c r="AG48" s="172"/>
      <c r="AH48" s="176"/>
      <c r="AI48" s="132"/>
      <c r="AJ48" s="169"/>
      <c r="AK48" s="157">
        <v>121867232.13000081</v>
      </c>
      <c r="AL48" s="127"/>
      <c r="AM48" s="127"/>
      <c r="AN48" s="169"/>
    </row>
    <row r="49" spans="1:40" hidden="1" x14ac:dyDescent="0.25">
      <c r="A49" s="133" t="s">
        <v>90</v>
      </c>
      <c r="B49" s="131" t="s">
        <v>438</v>
      </c>
      <c r="C49" s="131" t="s">
        <v>453</v>
      </c>
      <c r="D49" s="131" t="s">
        <v>461</v>
      </c>
      <c r="E49" s="150"/>
      <c r="F49" s="155"/>
      <c r="G49" s="19"/>
      <c r="H49" s="135"/>
      <c r="I49" s="219">
        <f t="shared" si="0"/>
        <v>0</v>
      </c>
      <c r="J49" s="219">
        <f t="shared" si="1"/>
        <v>0</v>
      </c>
      <c r="K49" s="219">
        <f t="shared" si="2"/>
        <v>0</v>
      </c>
      <c r="L49" s="232">
        <f t="shared" si="3"/>
        <v>0</v>
      </c>
      <c r="M49" s="219">
        <f t="shared" si="4"/>
        <v>0</v>
      </c>
      <c r="N49" s="219">
        <f t="shared" si="5"/>
        <v>0</v>
      </c>
      <c r="O49" s="219">
        <f t="shared" si="6"/>
        <v>0</v>
      </c>
      <c r="P49" s="219">
        <f t="shared" si="7"/>
        <v>304655540.56999564</v>
      </c>
      <c r="Q49" s="219">
        <f t="shared" si="8"/>
        <v>0</v>
      </c>
      <c r="R49" s="157"/>
      <c r="S49" s="158"/>
      <c r="T49" s="157"/>
      <c r="U49" s="128"/>
      <c r="V49" s="158"/>
      <c r="W49" s="157"/>
      <c r="X49" s="128"/>
      <c r="Y49" s="128"/>
      <c r="Z49" s="128"/>
      <c r="AA49" s="128"/>
      <c r="AB49" s="158"/>
      <c r="AC49" s="159"/>
      <c r="AD49" s="127"/>
      <c r="AE49" s="127"/>
      <c r="AF49" s="127"/>
      <c r="AG49" s="172"/>
      <c r="AH49" s="176"/>
      <c r="AI49" s="132"/>
      <c r="AJ49" s="169"/>
      <c r="AK49" s="157">
        <v>304655540.56999564</v>
      </c>
      <c r="AL49" s="127"/>
      <c r="AM49" s="127"/>
      <c r="AN49" s="169"/>
    </row>
    <row r="50" spans="1:40" hidden="1" x14ac:dyDescent="0.25">
      <c r="A50" s="133" t="s">
        <v>431</v>
      </c>
      <c r="B50" s="131" t="s">
        <v>438</v>
      </c>
      <c r="C50" s="131" t="s">
        <v>453</v>
      </c>
      <c r="D50" s="131" t="s">
        <v>461</v>
      </c>
      <c r="E50" s="150"/>
      <c r="F50" s="155"/>
      <c r="G50" s="19"/>
      <c r="H50" s="135"/>
      <c r="I50" s="219">
        <f t="shared" si="0"/>
        <v>0</v>
      </c>
      <c r="J50" s="219">
        <f t="shared" si="1"/>
        <v>0</v>
      </c>
      <c r="K50" s="219">
        <f t="shared" si="2"/>
        <v>0</v>
      </c>
      <c r="L50" s="232">
        <f t="shared" si="3"/>
        <v>0</v>
      </c>
      <c r="M50" s="219">
        <f t="shared" si="4"/>
        <v>0</v>
      </c>
      <c r="N50" s="219">
        <f t="shared" si="5"/>
        <v>0</v>
      </c>
      <c r="O50" s="219">
        <f t="shared" si="6"/>
        <v>0</v>
      </c>
      <c r="P50" s="219">
        <f t="shared" si="7"/>
        <v>201113898.94999927</v>
      </c>
      <c r="Q50" s="219">
        <f t="shared" si="8"/>
        <v>0</v>
      </c>
      <c r="R50" s="157"/>
      <c r="S50" s="158"/>
      <c r="T50" s="157"/>
      <c r="U50" s="128"/>
      <c r="V50" s="158"/>
      <c r="W50" s="157"/>
      <c r="X50" s="128"/>
      <c r="Y50" s="128"/>
      <c r="Z50" s="128"/>
      <c r="AA50" s="128"/>
      <c r="AB50" s="158"/>
      <c r="AC50" s="159"/>
      <c r="AD50" s="127"/>
      <c r="AE50" s="127"/>
      <c r="AF50" s="127"/>
      <c r="AG50" s="172"/>
      <c r="AH50" s="176"/>
      <c r="AI50" s="132"/>
      <c r="AJ50" s="169"/>
      <c r="AK50" s="157">
        <v>201113898.94999927</v>
      </c>
      <c r="AL50" s="127"/>
      <c r="AM50" s="127"/>
      <c r="AN50" s="169"/>
    </row>
    <row r="51" spans="1:40" hidden="1" x14ac:dyDescent="0.25">
      <c r="A51" s="133" t="s">
        <v>458</v>
      </c>
      <c r="B51" s="131" t="s">
        <v>438</v>
      </c>
      <c r="C51" s="131" t="s">
        <v>453</v>
      </c>
      <c r="D51" s="131" t="s">
        <v>461</v>
      </c>
      <c r="E51" s="150"/>
      <c r="F51" s="155"/>
      <c r="G51" s="19"/>
      <c r="H51" s="135"/>
      <c r="I51" s="219">
        <f t="shared" si="0"/>
        <v>0</v>
      </c>
      <c r="J51" s="219">
        <f t="shared" si="1"/>
        <v>0</v>
      </c>
      <c r="K51" s="219">
        <f t="shared" si="2"/>
        <v>0</v>
      </c>
      <c r="L51" s="232">
        <f t="shared" si="3"/>
        <v>0</v>
      </c>
      <c r="M51" s="219">
        <f t="shared" si="4"/>
        <v>0</v>
      </c>
      <c r="N51" s="219">
        <f t="shared" si="5"/>
        <v>0</v>
      </c>
      <c r="O51" s="219">
        <f t="shared" si="6"/>
        <v>0</v>
      </c>
      <c r="P51" s="219">
        <f t="shared" si="7"/>
        <v>10295973.709999979</v>
      </c>
      <c r="Q51" s="219">
        <f t="shared" si="8"/>
        <v>0</v>
      </c>
      <c r="R51" s="157"/>
      <c r="S51" s="158"/>
      <c r="T51" s="157"/>
      <c r="U51" s="128"/>
      <c r="V51" s="158"/>
      <c r="W51" s="157"/>
      <c r="X51" s="128"/>
      <c r="Y51" s="128"/>
      <c r="Z51" s="128"/>
      <c r="AA51" s="128"/>
      <c r="AB51" s="158"/>
      <c r="AC51" s="159"/>
      <c r="AD51" s="127"/>
      <c r="AE51" s="127"/>
      <c r="AF51" s="127"/>
      <c r="AG51" s="172"/>
      <c r="AH51" s="176"/>
      <c r="AI51" s="132"/>
      <c r="AJ51" s="169"/>
      <c r="AK51" s="157">
        <v>10295973.709999979</v>
      </c>
      <c r="AL51" s="127"/>
      <c r="AM51" s="127"/>
      <c r="AN51" s="169"/>
    </row>
    <row r="52" spans="1:40" hidden="1" x14ac:dyDescent="0.25">
      <c r="A52" s="133" t="s">
        <v>74</v>
      </c>
      <c r="B52" s="131" t="s">
        <v>438</v>
      </c>
      <c r="C52" s="131" t="s">
        <v>453</v>
      </c>
      <c r="D52" s="131" t="s">
        <v>461</v>
      </c>
      <c r="E52" s="150"/>
      <c r="F52" s="155"/>
      <c r="G52" s="19"/>
      <c r="H52" s="135"/>
      <c r="I52" s="219">
        <f t="shared" si="0"/>
        <v>0</v>
      </c>
      <c r="J52" s="219">
        <f t="shared" si="1"/>
        <v>0</v>
      </c>
      <c r="K52" s="219">
        <f t="shared" si="2"/>
        <v>0</v>
      </c>
      <c r="L52" s="232">
        <f t="shared" si="3"/>
        <v>0</v>
      </c>
      <c r="M52" s="219">
        <f t="shared" si="4"/>
        <v>0</v>
      </c>
      <c r="N52" s="219">
        <f t="shared" si="5"/>
        <v>0</v>
      </c>
      <c r="O52" s="219">
        <f t="shared" si="6"/>
        <v>0</v>
      </c>
      <c r="P52" s="219">
        <f t="shared" si="7"/>
        <v>278310917.04999495</v>
      </c>
      <c r="Q52" s="219">
        <f t="shared" si="8"/>
        <v>0</v>
      </c>
      <c r="R52" s="157"/>
      <c r="S52" s="158"/>
      <c r="T52" s="157"/>
      <c r="U52" s="128"/>
      <c r="V52" s="158"/>
      <c r="W52" s="157"/>
      <c r="X52" s="128"/>
      <c r="Y52" s="128"/>
      <c r="Z52" s="128"/>
      <c r="AA52" s="128"/>
      <c r="AB52" s="158"/>
      <c r="AC52" s="159"/>
      <c r="AD52" s="127"/>
      <c r="AE52" s="127"/>
      <c r="AF52" s="127"/>
      <c r="AG52" s="172"/>
      <c r="AH52" s="176"/>
      <c r="AI52" s="132"/>
      <c r="AJ52" s="169"/>
      <c r="AK52" s="157">
        <v>278310917.04999495</v>
      </c>
      <c r="AL52" s="127"/>
      <c r="AM52" s="127"/>
      <c r="AN52" s="169"/>
    </row>
    <row r="53" spans="1:40" hidden="1" x14ac:dyDescent="0.25">
      <c r="A53" s="136" t="s">
        <v>81</v>
      </c>
      <c r="B53" s="131" t="s">
        <v>438</v>
      </c>
      <c r="C53" s="131" t="s">
        <v>462</v>
      </c>
      <c r="D53" s="131" t="s">
        <v>463</v>
      </c>
      <c r="E53" s="151" t="s">
        <v>421</v>
      </c>
      <c r="F53" s="155"/>
      <c r="G53" s="19"/>
      <c r="H53" s="135"/>
      <c r="I53" s="219">
        <f t="shared" si="0"/>
        <v>27361099.270000003</v>
      </c>
      <c r="J53" s="219">
        <f t="shared" si="1"/>
        <v>0</v>
      </c>
      <c r="K53" s="219">
        <f t="shared" si="2"/>
        <v>0</v>
      </c>
      <c r="L53" s="232">
        <f t="shared" si="3"/>
        <v>0</v>
      </c>
      <c r="M53" s="219">
        <f t="shared" si="4"/>
        <v>0</v>
      </c>
      <c r="N53" s="219">
        <f t="shared" si="5"/>
        <v>0</v>
      </c>
      <c r="O53" s="219">
        <f t="shared" si="6"/>
        <v>0</v>
      </c>
      <c r="P53" s="219">
        <f t="shared" si="7"/>
        <v>0</v>
      </c>
      <c r="Q53" s="219">
        <f t="shared" si="8"/>
        <v>37125393.990000002</v>
      </c>
      <c r="R53" s="159">
        <v>27361099.270000003</v>
      </c>
      <c r="S53" s="160"/>
      <c r="T53" s="161"/>
      <c r="U53" s="126"/>
      <c r="V53" s="160"/>
      <c r="W53" s="161"/>
      <c r="X53" s="126"/>
      <c r="Y53" s="126"/>
      <c r="Z53" s="126"/>
      <c r="AA53" s="126"/>
      <c r="AB53" s="160"/>
      <c r="AC53" s="159"/>
      <c r="AD53" s="127"/>
      <c r="AE53" s="127"/>
      <c r="AF53" s="127"/>
      <c r="AG53" s="172"/>
      <c r="AH53" s="176"/>
      <c r="AI53" s="132"/>
      <c r="AJ53" s="169"/>
      <c r="AK53" s="159"/>
      <c r="AL53" s="127"/>
      <c r="AM53" s="127"/>
      <c r="AN53" s="160">
        <v>37125393.990000002</v>
      </c>
    </row>
    <row r="54" spans="1:40" hidden="1" x14ac:dyDescent="0.25">
      <c r="A54" s="136" t="s">
        <v>87</v>
      </c>
      <c r="B54" s="131" t="s">
        <v>438</v>
      </c>
      <c r="C54" s="131" t="s">
        <v>462</v>
      </c>
      <c r="D54" s="131" t="s">
        <v>463</v>
      </c>
      <c r="E54" s="151" t="s">
        <v>424</v>
      </c>
      <c r="F54" s="155"/>
      <c r="G54" s="19"/>
      <c r="H54" s="135"/>
      <c r="I54" s="219">
        <f t="shared" si="0"/>
        <v>0</v>
      </c>
      <c r="J54" s="219">
        <f t="shared" si="1"/>
        <v>0</v>
      </c>
      <c r="K54" s="219">
        <f t="shared" si="2"/>
        <v>0</v>
      </c>
      <c r="L54" s="232">
        <f t="shared" si="3"/>
        <v>0</v>
      </c>
      <c r="M54" s="219">
        <f t="shared" si="4"/>
        <v>0</v>
      </c>
      <c r="N54" s="219">
        <f t="shared" si="5"/>
        <v>0</v>
      </c>
      <c r="O54" s="219">
        <f t="shared" si="6"/>
        <v>0</v>
      </c>
      <c r="P54" s="219">
        <f t="shared" si="7"/>
        <v>0</v>
      </c>
      <c r="Q54" s="219">
        <f t="shared" si="8"/>
        <v>24916398.850000013</v>
      </c>
      <c r="R54" s="159"/>
      <c r="S54" s="160"/>
      <c r="T54" s="161"/>
      <c r="U54" s="126"/>
      <c r="V54" s="160"/>
      <c r="W54" s="161"/>
      <c r="X54" s="126"/>
      <c r="Y54" s="126"/>
      <c r="Z54" s="126"/>
      <c r="AA54" s="126"/>
      <c r="AB54" s="160"/>
      <c r="AC54" s="159"/>
      <c r="AD54" s="127"/>
      <c r="AE54" s="127"/>
      <c r="AF54" s="127"/>
      <c r="AG54" s="172"/>
      <c r="AH54" s="176"/>
      <c r="AI54" s="132"/>
      <c r="AJ54" s="169"/>
      <c r="AK54" s="159"/>
      <c r="AL54" s="127"/>
      <c r="AM54" s="127"/>
      <c r="AN54" s="160">
        <v>24916398.850000013</v>
      </c>
    </row>
    <row r="55" spans="1:40" hidden="1" x14ac:dyDescent="0.25">
      <c r="A55" s="136" t="s">
        <v>449</v>
      </c>
      <c r="B55" s="131" t="s">
        <v>438</v>
      </c>
      <c r="C55" s="131" t="s">
        <v>462</v>
      </c>
      <c r="D55" s="131" t="s">
        <v>463</v>
      </c>
      <c r="E55" s="151" t="s">
        <v>421</v>
      </c>
      <c r="F55" s="155"/>
      <c r="G55" s="19"/>
      <c r="H55" s="135"/>
      <c r="I55" s="219">
        <f t="shared" si="0"/>
        <v>19653666.590000004</v>
      </c>
      <c r="J55" s="219">
        <f t="shared" si="1"/>
        <v>0</v>
      </c>
      <c r="K55" s="219">
        <f t="shared" si="2"/>
        <v>0</v>
      </c>
      <c r="L55" s="232">
        <f t="shared" si="3"/>
        <v>0</v>
      </c>
      <c r="M55" s="219">
        <f t="shared" si="4"/>
        <v>0</v>
      </c>
      <c r="N55" s="219">
        <f t="shared" si="5"/>
        <v>0</v>
      </c>
      <c r="O55" s="219">
        <f t="shared" si="6"/>
        <v>0</v>
      </c>
      <c r="P55" s="219">
        <f t="shared" si="7"/>
        <v>0</v>
      </c>
      <c r="Q55" s="219">
        <f t="shared" si="8"/>
        <v>0</v>
      </c>
      <c r="R55" s="159">
        <v>19653666.590000004</v>
      </c>
      <c r="S55" s="160"/>
      <c r="T55" s="161"/>
      <c r="U55" s="126"/>
      <c r="V55" s="160"/>
      <c r="W55" s="161"/>
      <c r="X55" s="126"/>
      <c r="Y55" s="126"/>
      <c r="Z55" s="126"/>
      <c r="AA55" s="126"/>
      <c r="AB55" s="160"/>
      <c r="AC55" s="159"/>
      <c r="AD55" s="127"/>
      <c r="AE55" s="127"/>
      <c r="AF55" s="127"/>
      <c r="AG55" s="172"/>
      <c r="AH55" s="176"/>
      <c r="AI55" s="132"/>
      <c r="AJ55" s="169"/>
      <c r="AK55" s="159"/>
      <c r="AL55" s="127"/>
      <c r="AM55" s="127"/>
      <c r="AN55" s="160"/>
    </row>
    <row r="56" spans="1:40" hidden="1" x14ac:dyDescent="0.25">
      <c r="A56" s="136" t="s">
        <v>425</v>
      </c>
      <c r="B56" s="131" t="s">
        <v>438</v>
      </c>
      <c r="C56" s="131" t="s">
        <v>462</v>
      </c>
      <c r="D56" s="131" t="s">
        <v>463</v>
      </c>
      <c r="E56" s="151" t="s">
        <v>424</v>
      </c>
      <c r="F56" s="155"/>
      <c r="G56" s="19"/>
      <c r="H56" s="135"/>
      <c r="I56" s="219">
        <f t="shared" si="0"/>
        <v>0</v>
      </c>
      <c r="J56" s="219">
        <f t="shared" si="1"/>
        <v>0</v>
      </c>
      <c r="K56" s="219">
        <f t="shared" si="2"/>
        <v>0</v>
      </c>
      <c r="L56" s="232">
        <f t="shared" si="3"/>
        <v>0</v>
      </c>
      <c r="M56" s="219">
        <f t="shared" si="4"/>
        <v>0</v>
      </c>
      <c r="N56" s="219">
        <f t="shared" si="5"/>
        <v>0</v>
      </c>
      <c r="O56" s="219">
        <f t="shared" si="6"/>
        <v>0</v>
      </c>
      <c r="P56" s="219">
        <f t="shared" si="7"/>
        <v>0</v>
      </c>
      <c r="Q56" s="219">
        <f t="shared" si="8"/>
        <v>16294318.680000011</v>
      </c>
      <c r="R56" s="159"/>
      <c r="S56" s="160"/>
      <c r="T56" s="161"/>
      <c r="U56" s="126"/>
      <c r="V56" s="160"/>
      <c r="W56" s="161"/>
      <c r="X56" s="126"/>
      <c r="Y56" s="126"/>
      <c r="Z56" s="126"/>
      <c r="AA56" s="126"/>
      <c r="AB56" s="160"/>
      <c r="AC56" s="159"/>
      <c r="AD56" s="127"/>
      <c r="AE56" s="127"/>
      <c r="AF56" s="127"/>
      <c r="AG56" s="172"/>
      <c r="AH56" s="176"/>
      <c r="AI56" s="132"/>
      <c r="AJ56" s="169"/>
      <c r="AK56" s="159"/>
      <c r="AL56" s="127"/>
      <c r="AM56" s="127"/>
      <c r="AN56" s="160">
        <v>16294318.680000011</v>
      </c>
    </row>
    <row r="57" spans="1:40" hidden="1" x14ac:dyDescent="0.25">
      <c r="A57" s="136" t="s">
        <v>90</v>
      </c>
      <c r="B57" s="131" t="s">
        <v>438</v>
      </c>
      <c r="C57" s="131" t="s">
        <v>462</v>
      </c>
      <c r="D57" s="131" t="s">
        <v>463</v>
      </c>
      <c r="E57" s="151" t="s">
        <v>424</v>
      </c>
      <c r="F57" s="155"/>
      <c r="G57" s="19"/>
      <c r="H57" s="135"/>
      <c r="I57" s="219">
        <f t="shared" si="0"/>
        <v>18110606.940000001</v>
      </c>
      <c r="J57" s="219">
        <f t="shared" si="1"/>
        <v>0</v>
      </c>
      <c r="K57" s="219">
        <f t="shared" si="2"/>
        <v>0</v>
      </c>
      <c r="L57" s="232">
        <f t="shared" si="3"/>
        <v>0</v>
      </c>
      <c r="M57" s="219">
        <f t="shared" si="4"/>
        <v>0</v>
      </c>
      <c r="N57" s="219">
        <f t="shared" si="5"/>
        <v>0</v>
      </c>
      <c r="O57" s="219">
        <f t="shared" si="6"/>
        <v>0</v>
      </c>
      <c r="P57" s="219">
        <f t="shared" si="7"/>
        <v>0</v>
      </c>
      <c r="Q57" s="219">
        <f t="shared" si="8"/>
        <v>115017032.07000068</v>
      </c>
      <c r="R57" s="159">
        <v>18110606.940000001</v>
      </c>
      <c r="S57" s="160"/>
      <c r="T57" s="161"/>
      <c r="U57" s="126"/>
      <c r="V57" s="160"/>
      <c r="W57" s="161"/>
      <c r="X57" s="126"/>
      <c r="Y57" s="126"/>
      <c r="Z57" s="126"/>
      <c r="AA57" s="126"/>
      <c r="AB57" s="160"/>
      <c r="AC57" s="159"/>
      <c r="AD57" s="127"/>
      <c r="AE57" s="127"/>
      <c r="AF57" s="127"/>
      <c r="AG57" s="172"/>
      <c r="AH57" s="176"/>
      <c r="AI57" s="132"/>
      <c r="AJ57" s="169"/>
      <c r="AK57" s="159"/>
      <c r="AL57" s="127"/>
      <c r="AM57" s="127"/>
      <c r="AN57" s="160">
        <v>115017032.07000068</v>
      </c>
    </row>
    <row r="58" spans="1:40" hidden="1" x14ac:dyDescent="0.25">
      <c r="A58" s="136" t="s">
        <v>427</v>
      </c>
      <c r="B58" s="131" t="s">
        <v>438</v>
      </c>
      <c r="C58" s="131" t="s">
        <v>462</v>
      </c>
      <c r="D58" s="131" t="s">
        <v>463</v>
      </c>
      <c r="E58" s="151" t="s">
        <v>421</v>
      </c>
      <c r="F58" s="155"/>
      <c r="G58" s="19"/>
      <c r="H58" s="135"/>
      <c r="I58" s="219">
        <f t="shared" si="0"/>
        <v>51890853.249999955</v>
      </c>
      <c r="J58" s="219">
        <f t="shared" si="1"/>
        <v>0</v>
      </c>
      <c r="K58" s="219">
        <f t="shared" si="2"/>
        <v>0</v>
      </c>
      <c r="L58" s="232">
        <f t="shared" si="3"/>
        <v>0</v>
      </c>
      <c r="M58" s="219">
        <f t="shared" si="4"/>
        <v>0</v>
      </c>
      <c r="N58" s="219">
        <f t="shared" si="5"/>
        <v>0</v>
      </c>
      <c r="O58" s="219">
        <f t="shared" si="6"/>
        <v>0</v>
      </c>
      <c r="P58" s="219">
        <f t="shared" si="7"/>
        <v>0</v>
      </c>
      <c r="Q58" s="219">
        <f t="shared" si="8"/>
        <v>0</v>
      </c>
      <c r="R58" s="159">
        <v>51890853.249999955</v>
      </c>
      <c r="S58" s="160"/>
      <c r="T58" s="161"/>
      <c r="U58" s="126"/>
      <c r="V58" s="160"/>
      <c r="W58" s="161"/>
      <c r="X58" s="126"/>
      <c r="Y58" s="126"/>
      <c r="Z58" s="126"/>
      <c r="AA58" s="126"/>
      <c r="AB58" s="160"/>
      <c r="AC58" s="159"/>
      <c r="AD58" s="127"/>
      <c r="AE58" s="127"/>
      <c r="AF58" s="127"/>
      <c r="AG58" s="172"/>
      <c r="AH58" s="176"/>
      <c r="AI58" s="132"/>
      <c r="AJ58" s="169"/>
      <c r="AK58" s="159"/>
      <c r="AL58" s="127"/>
      <c r="AM58" s="127"/>
      <c r="AN58" s="160"/>
    </row>
    <row r="59" spans="1:40" hidden="1" x14ac:dyDescent="0.25">
      <c r="A59" s="136" t="s">
        <v>66</v>
      </c>
      <c r="B59" s="131" t="s">
        <v>438</v>
      </c>
      <c r="C59" s="131" t="s">
        <v>462</v>
      </c>
      <c r="D59" s="131" t="s">
        <v>463</v>
      </c>
      <c r="E59" s="151" t="s">
        <v>421</v>
      </c>
      <c r="F59" s="155"/>
      <c r="G59" s="19"/>
      <c r="H59" s="135"/>
      <c r="I59" s="219">
        <f t="shared" si="0"/>
        <v>18132123.190000005</v>
      </c>
      <c r="J59" s="219">
        <f t="shared" si="1"/>
        <v>0</v>
      </c>
      <c r="K59" s="219">
        <f t="shared" si="2"/>
        <v>0</v>
      </c>
      <c r="L59" s="232">
        <f t="shared" si="3"/>
        <v>0</v>
      </c>
      <c r="M59" s="219">
        <f t="shared" si="4"/>
        <v>0</v>
      </c>
      <c r="N59" s="219">
        <f t="shared" si="5"/>
        <v>0</v>
      </c>
      <c r="O59" s="219">
        <f t="shared" si="6"/>
        <v>0</v>
      </c>
      <c r="P59" s="219">
        <f t="shared" si="7"/>
        <v>0</v>
      </c>
      <c r="Q59" s="219">
        <f t="shared" si="8"/>
        <v>0</v>
      </c>
      <c r="R59" s="159">
        <v>18132123.190000005</v>
      </c>
      <c r="S59" s="160"/>
      <c r="T59" s="161"/>
      <c r="U59" s="126"/>
      <c r="V59" s="160"/>
      <c r="W59" s="161"/>
      <c r="X59" s="126"/>
      <c r="Y59" s="126"/>
      <c r="Z59" s="126"/>
      <c r="AA59" s="126"/>
      <c r="AB59" s="160"/>
      <c r="AC59" s="159"/>
      <c r="AD59" s="127"/>
      <c r="AE59" s="127"/>
      <c r="AF59" s="127"/>
      <c r="AG59" s="172"/>
      <c r="AH59" s="176"/>
      <c r="AI59" s="132"/>
      <c r="AJ59" s="169"/>
      <c r="AK59" s="159"/>
      <c r="AL59" s="127"/>
      <c r="AM59" s="127"/>
      <c r="AN59" s="160"/>
    </row>
    <row r="60" spans="1:40" hidden="1" x14ac:dyDescent="0.25">
      <c r="A60" s="136" t="s">
        <v>431</v>
      </c>
      <c r="B60" s="131" t="s">
        <v>438</v>
      </c>
      <c r="C60" s="131" t="s">
        <v>462</v>
      </c>
      <c r="D60" s="131" t="s">
        <v>463</v>
      </c>
      <c r="E60" s="151" t="s">
        <v>450</v>
      </c>
      <c r="F60" s="155"/>
      <c r="G60" s="19">
        <v>1</v>
      </c>
      <c r="H60" s="135"/>
      <c r="I60" s="219">
        <f t="shared" si="0"/>
        <v>411669864.01999992</v>
      </c>
      <c r="J60" s="219">
        <f t="shared" si="1"/>
        <v>0</v>
      </c>
      <c r="K60" s="219">
        <f t="shared" si="2"/>
        <v>0</v>
      </c>
      <c r="L60" s="232">
        <f t="shared" si="3"/>
        <v>0</v>
      </c>
      <c r="M60" s="219">
        <f t="shared" si="4"/>
        <v>0</v>
      </c>
      <c r="N60" s="219">
        <f t="shared" si="5"/>
        <v>0</v>
      </c>
      <c r="O60" s="219">
        <f t="shared" si="6"/>
        <v>0</v>
      </c>
      <c r="P60" s="219">
        <f t="shared" si="7"/>
        <v>0</v>
      </c>
      <c r="Q60" s="219">
        <f t="shared" si="8"/>
        <v>88027646.390002668</v>
      </c>
      <c r="R60" s="161">
        <v>411669864.01999992</v>
      </c>
      <c r="S60" s="160"/>
      <c r="T60" s="161"/>
      <c r="U60" s="126"/>
      <c r="V60" s="160"/>
      <c r="W60" s="161"/>
      <c r="X60" s="126"/>
      <c r="Y60" s="126"/>
      <c r="Z60" s="126"/>
      <c r="AA60" s="126"/>
      <c r="AB60" s="160"/>
      <c r="AC60" s="159"/>
      <c r="AD60" s="127"/>
      <c r="AE60" s="127"/>
      <c r="AF60" s="127"/>
      <c r="AG60" s="172"/>
      <c r="AH60" s="176"/>
      <c r="AI60" s="132"/>
      <c r="AJ60" s="169"/>
      <c r="AK60" s="159"/>
      <c r="AL60" s="127"/>
      <c r="AM60" s="127"/>
      <c r="AN60" s="160">
        <v>88027646.390002668</v>
      </c>
    </row>
    <row r="61" spans="1:40" x14ac:dyDescent="0.25">
      <c r="A61" s="136" t="s">
        <v>458</v>
      </c>
      <c r="B61" s="131" t="s">
        <v>438</v>
      </c>
      <c r="C61" s="131" t="s">
        <v>462</v>
      </c>
      <c r="D61" s="131" t="s">
        <v>463</v>
      </c>
      <c r="E61" s="151" t="s">
        <v>442</v>
      </c>
      <c r="F61" s="155"/>
      <c r="G61" s="19"/>
      <c r="H61" s="135"/>
      <c r="I61" s="219">
        <f t="shared" si="0"/>
        <v>41179517.719999976</v>
      </c>
      <c r="J61" s="219">
        <f t="shared" si="1"/>
        <v>0</v>
      </c>
      <c r="K61" s="219">
        <f t="shared" si="2"/>
        <v>0</v>
      </c>
      <c r="L61" s="232">
        <f t="shared" si="3"/>
        <v>0</v>
      </c>
      <c r="M61" s="219">
        <f t="shared" si="4"/>
        <v>0</v>
      </c>
      <c r="N61" s="219">
        <f t="shared" si="5"/>
        <v>0</v>
      </c>
      <c r="O61" s="219">
        <f t="shared" si="6"/>
        <v>0</v>
      </c>
      <c r="P61" s="219">
        <f t="shared" si="7"/>
        <v>0</v>
      </c>
      <c r="Q61" s="219">
        <f t="shared" si="8"/>
        <v>0</v>
      </c>
      <c r="R61" s="159">
        <v>41179517.719999976</v>
      </c>
      <c r="S61" s="160"/>
      <c r="T61" s="161"/>
      <c r="U61" s="126"/>
      <c r="V61" s="160"/>
      <c r="W61" s="161"/>
      <c r="X61" s="126"/>
      <c r="Y61" s="126"/>
      <c r="Z61" s="126"/>
      <c r="AA61" s="126"/>
      <c r="AB61" s="160"/>
      <c r="AC61" s="159"/>
      <c r="AD61" s="127"/>
      <c r="AE61" s="127"/>
      <c r="AF61" s="127"/>
      <c r="AG61" s="172"/>
      <c r="AH61" s="176"/>
      <c r="AI61" s="132"/>
      <c r="AJ61" s="169"/>
      <c r="AK61" s="159"/>
      <c r="AL61" s="127"/>
      <c r="AM61" s="127"/>
      <c r="AN61" s="160"/>
    </row>
    <row r="62" spans="1:40" hidden="1" x14ac:dyDescent="0.25">
      <c r="A62" s="136" t="s">
        <v>65</v>
      </c>
      <c r="B62" s="131" t="s">
        <v>438</v>
      </c>
      <c r="C62" s="131" t="s">
        <v>462</v>
      </c>
      <c r="D62" s="131" t="s">
        <v>463</v>
      </c>
      <c r="E62" s="151" t="s">
        <v>421</v>
      </c>
      <c r="F62" s="155"/>
      <c r="G62" s="19"/>
      <c r="H62" s="135"/>
      <c r="I62" s="219">
        <f t="shared" si="0"/>
        <v>107271744.92999998</v>
      </c>
      <c r="J62" s="219">
        <f t="shared" si="1"/>
        <v>0</v>
      </c>
      <c r="K62" s="219">
        <f t="shared" si="2"/>
        <v>0</v>
      </c>
      <c r="L62" s="232">
        <f t="shared" si="3"/>
        <v>0</v>
      </c>
      <c r="M62" s="219">
        <f t="shared" si="4"/>
        <v>0</v>
      </c>
      <c r="N62" s="219">
        <f t="shared" si="5"/>
        <v>0</v>
      </c>
      <c r="O62" s="219">
        <f t="shared" si="6"/>
        <v>0</v>
      </c>
      <c r="P62" s="219">
        <f t="shared" si="7"/>
        <v>0</v>
      </c>
      <c r="Q62" s="219">
        <f t="shared" si="8"/>
        <v>57027462.479999512</v>
      </c>
      <c r="R62" s="159">
        <v>107271744.92999998</v>
      </c>
      <c r="S62" s="160"/>
      <c r="T62" s="161"/>
      <c r="U62" s="126"/>
      <c r="V62" s="160"/>
      <c r="W62" s="161"/>
      <c r="X62" s="126"/>
      <c r="Y62" s="126"/>
      <c r="Z62" s="126"/>
      <c r="AA62" s="126"/>
      <c r="AB62" s="160"/>
      <c r="AC62" s="159"/>
      <c r="AD62" s="127"/>
      <c r="AE62" s="127"/>
      <c r="AF62" s="127"/>
      <c r="AG62" s="172"/>
      <c r="AH62" s="176"/>
      <c r="AI62" s="132"/>
      <c r="AJ62" s="169"/>
      <c r="AK62" s="159"/>
      <c r="AL62" s="127"/>
      <c r="AM62" s="127"/>
      <c r="AN62" s="160">
        <v>57027462.479999512</v>
      </c>
    </row>
    <row r="63" spans="1:40" hidden="1" x14ac:dyDescent="0.25">
      <c r="A63" s="136" t="s">
        <v>74</v>
      </c>
      <c r="B63" s="131" t="s">
        <v>438</v>
      </c>
      <c r="C63" s="131" t="s">
        <v>462</v>
      </c>
      <c r="D63" s="131" t="s">
        <v>463</v>
      </c>
      <c r="E63" s="151" t="s">
        <v>450</v>
      </c>
      <c r="F63" s="155"/>
      <c r="G63" s="19"/>
      <c r="H63" s="135"/>
      <c r="I63" s="219">
        <f t="shared" si="0"/>
        <v>151412020.53999996</v>
      </c>
      <c r="J63" s="219">
        <f t="shared" si="1"/>
        <v>0</v>
      </c>
      <c r="K63" s="219">
        <f t="shared" si="2"/>
        <v>0</v>
      </c>
      <c r="L63" s="232">
        <f t="shared" si="3"/>
        <v>0</v>
      </c>
      <c r="M63" s="219">
        <f t="shared" si="4"/>
        <v>0</v>
      </c>
      <c r="N63" s="219">
        <f t="shared" si="5"/>
        <v>0</v>
      </c>
      <c r="O63" s="219">
        <f t="shared" si="6"/>
        <v>0</v>
      </c>
      <c r="P63" s="219">
        <f t="shared" si="7"/>
        <v>0</v>
      </c>
      <c r="Q63" s="219">
        <f t="shared" si="8"/>
        <v>33436797.529999971</v>
      </c>
      <c r="R63" s="159">
        <v>151412020.53999996</v>
      </c>
      <c r="S63" s="160"/>
      <c r="T63" s="161"/>
      <c r="U63" s="126"/>
      <c r="V63" s="160"/>
      <c r="W63" s="161"/>
      <c r="X63" s="126"/>
      <c r="Y63" s="126"/>
      <c r="Z63" s="126"/>
      <c r="AA63" s="126"/>
      <c r="AB63" s="160"/>
      <c r="AC63" s="159"/>
      <c r="AD63" s="127"/>
      <c r="AE63" s="127"/>
      <c r="AF63" s="127"/>
      <c r="AG63" s="172"/>
      <c r="AH63" s="176"/>
      <c r="AI63" s="132"/>
      <c r="AJ63" s="169"/>
      <c r="AK63" s="159"/>
      <c r="AL63" s="127"/>
      <c r="AM63" s="127"/>
      <c r="AN63" s="160">
        <v>33436797.529999971</v>
      </c>
    </row>
    <row r="64" spans="1:40" ht="15.75" hidden="1" thickBot="1" x14ac:dyDescent="0.3">
      <c r="A64" s="137" t="s">
        <v>74</v>
      </c>
      <c r="B64" s="138" t="s">
        <v>438</v>
      </c>
      <c r="C64" s="138" t="s">
        <v>462</v>
      </c>
      <c r="D64" s="138" t="s">
        <v>463</v>
      </c>
      <c r="E64" s="152" t="s">
        <v>421</v>
      </c>
      <c r="F64" s="156"/>
      <c r="G64" s="139"/>
      <c r="H64" s="140"/>
      <c r="I64" s="219">
        <f t="shared" si="0"/>
        <v>17840405.869999994</v>
      </c>
      <c r="J64" s="219">
        <f t="shared" si="1"/>
        <v>0</v>
      </c>
      <c r="K64" s="219">
        <f t="shared" si="2"/>
        <v>0</v>
      </c>
      <c r="L64" s="232">
        <f t="shared" si="3"/>
        <v>0</v>
      </c>
      <c r="M64" s="219">
        <f t="shared" si="4"/>
        <v>0</v>
      </c>
      <c r="N64" s="219">
        <f t="shared" si="5"/>
        <v>0</v>
      </c>
      <c r="O64" s="219">
        <f t="shared" si="6"/>
        <v>0</v>
      </c>
      <c r="P64" s="219">
        <f t="shared" si="7"/>
        <v>0</v>
      </c>
      <c r="Q64" s="219">
        <f t="shared" si="8"/>
        <v>56020149.88000001</v>
      </c>
      <c r="R64" s="162">
        <v>17840405.869999994</v>
      </c>
      <c r="S64" s="163"/>
      <c r="T64" s="167"/>
      <c r="U64" s="168"/>
      <c r="V64" s="163"/>
      <c r="W64" s="167"/>
      <c r="X64" s="168"/>
      <c r="Y64" s="168"/>
      <c r="Z64" s="168"/>
      <c r="AA64" s="168"/>
      <c r="AB64" s="163"/>
      <c r="AC64" s="162"/>
      <c r="AD64" s="170"/>
      <c r="AE64" s="170"/>
      <c r="AF64" s="170"/>
      <c r="AG64" s="174"/>
      <c r="AH64" s="177"/>
      <c r="AI64" s="175"/>
      <c r="AJ64" s="171"/>
      <c r="AK64" s="162"/>
      <c r="AL64" s="170"/>
      <c r="AM64" s="170"/>
      <c r="AN64" s="163">
        <v>56020149.88000001</v>
      </c>
    </row>
    <row r="65" spans="9:17" hidden="1" x14ac:dyDescent="0.25">
      <c r="I65" s="219">
        <f t="shared" si="0"/>
        <v>0</v>
      </c>
      <c r="J65" s="219">
        <f t="shared" si="1"/>
        <v>0</v>
      </c>
      <c r="K65" s="219">
        <f t="shared" si="2"/>
        <v>0</v>
      </c>
      <c r="L65" s="232">
        <f t="shared" si="3"/>
        <v>0</v>
      </c>
      <c r="M65" s="219">
        <f t="shared" si="4"/>
        <v>0</v>
      </c>
      <c r="N65" s="219">
        <f t="shared" si="5"/>
        <v>0</v>
      </c>
      <c r="O65" s="219">
        <f t="shared" si="6"/>
        <v>0</v>
      </c>
      <c r="P65" s="219">
        <f t="shared" si="7"/>
        <v>0</v>
      </c>
      <c r="Q65" s="219">
        <f t="shared" si="8"/>
        <v>0</v>
      </c>
    </row>
    <row r="66" spans="9:17" hidden="1" x14ac:dyDescent="0.25">
      <c r="I66" s="219">
        <f t="shared" si="0"/>
        <v>0</v>
      </c>
      <c r="J66" s="219">
        <f t="shared" si="1"/>
        <v>0</v>
      </c>
      <c r="K66" s="219">
        <f t="shared" si="2"/>
        <v>0</v>
      </c>
      <c r="L66" s="232">
        <f t="shared" si="3"/>
        <v>0</v>
      </c>
      <c r="M66" s="219">
        <f t="shared" si="4"/>
        <v>0</v>
      </c>
      <c r="N66" s="219">
        <f t="shared" si="5"/>
        <v>0</v>
      </c>
      <c r="O66" s="219">
        <f t="shared" si="6"/>
        <v>0</v>
      </c>
      <c r="P66" s="219">
        <f t="shared" si="7"/>
        <v>0</v>
      </c>
      <c r="Q66" s="219">
        <f t="shared" si="8"/>
        <v>0</v>
      </c>
    </row>
    <row r="67" spans="9:17" hidden="1" x14ac:dyDescent="0.25">
      <c r="I67" s="219">
        <f t="shared" si="0"/>
        <v>0</v>
      </c>
      <c r="J67" s="219">
        <f t="shared" si="1"/>
        <v>0</v>
      </c>
      <c r="K67" s="219">
        <f t="shared" si="2"/>
        <v>0</v>
      </c>
      <c r="L67" s="232">
        <f t="shared" si="3"/>
        <v>0</v>
      </c>
      <c r="M67" s="219">
        <f t="shared" si="4"/>
        <v>0</v>
      </c>
      <c r="N67" s="219">
        <f t="shared" si="5"/>
        <v>0</v>
      </c>
      <c r="O67" s="219">
        <f t="shared" si="6"/>
        <v>0</v>
      </c>
      <c r="P67" s="219">
        <f t="shared" si="7"/>
        <v>0</v>
      </c>
      <c r="Q67" s="219">
        <f t="shared" si="8"/>
        <v>0</v>
      </c>
    </row>
    <row r="68" spans="9:17" hidden="1" x14ac:dyDescent="0.25">
      <c r="I68" s="219">
        <f t="shared" si="0"/>
        <v>0</v>
      </c>
      <c r="J68" s="219">
        <f t="shared" si="1"/>
        <v>0</v>
      </c>
      <c r="K68" s="219">
        <f t="shared" si="2"/>
        <v>0</v>
      </c>
      <c r="L68" s="232">
        <f t="shared" si="3"/>
        <v>0</v>
      </c>
      <c r="M68" s="219">
        <f t="shared" si="4"/>
        <v>0</v>
      </c>
      <c r="N68" s="219">
        <f t="shared" si="5"/>
        <v>0</v>
      </c>
      <c r="O68" s="219">
        <f t="shared" si="6"/>
        <v>0</v>
      </c>
      <c r="P68" s="219">
        <f t="shared" si="7"/>
        <v>0</v>
      </c>
      <c r="Q68" s="219">
        <f t="shared" si="8"/>
        <v>0</v>
      </c>
    </row>
    <row r="69" spans="9:17" hidden="1" x14ac:dyDescent="0.25">
      <c r="I69" s="219">
        <f t="shared" ref="I69:I75" si="9">SUM(R69:S69)</f>
        <v>0</v>
      </c>
      <c r="J69" s="219">
        <f t="shared" ref="J69:J75" si="10">SUM(T69:V69)</f>
        <v>0</v>
      </c>
      <c r="K69" s="219">
        <f t="shared" ref="K69:K75" si="11">W69</f>
        <v>0</v>
      </c>
      <c r="L69" s="232">
        <f t="shared" ref="L69:L75" si="12">SUM(X69:AB69)</f>
        <v>0</v>
      </c>
      <c r="M69" s="219">
        <f t="shared" ref="M69:M75" si="13">SUM(AC69:AE69)</f>
        <v>0</v>
      </c>
      <c r="N69" s="219">
        <f t="shared" ref="N69:N75" si="14">AG69</f>
        <v>0</v>
      </c>
      <c r="O69" s="219">
        <f t="shared" ref="O69:O75" si="15">AH69</f>
        <v>0</v>
      </c>
      <c r="P69" s="219">
        <f t="shared" ref="P69:P75" si="16">SUM(AK69:AM69)</f>
        <v>0</v>
      </c>
      <c r="Q69" s="219">
        <f t="shared" ref="Q69:Q75" si="17">AN69</f>
        <v>0</v>
      </c>
    </row>
    <row r="70" spans="9:17" hidden="1" x14ac:dyDescent="0.25">
      <c r="I70" s="219">
        <f t="shared" si="9"/>
        <v>0</v>
      </c>
      <c r="J70" s="219">
        <f t="shared" si="10"/>
        <v>0</v>
      </c>
      <c r="K70" s="219">
        <f t="shared" si="11"/>
        <v>0</v>
      </c>
      <c r="L70" s="232">
        <f t="shared" si="12"/>
        <v>0</v>
      </c>
      <c r="M70" s="219">
        <f t="shared" si="13"/>
        <v>0</v>
      </c>
      <c r="N70" s="219">
        <f t="shared" si="14"/>
        <v>0</v>
      </c>
      <c r="O70" s="219">
        <f t="shared" si="15"/>
        <v>0</v>
      </c>
      <c r="P70" s="219">
        <f t="shared" si="16"/>
        <v>0</v>
      </c>
      <c r="Q70" s="219">
        <f t="shared" si="17"/>
        <v>0</v>
      </c>
    </row>
    <row r="71" spans="9:17" hidden="1" x14ac:dyDescent="0.25">
      <c r="I71" s="219">
        <f t="shared" si="9"/>
        <v>0</v>
      </c>
      <c r="J71" s="219">
        <f t="shared" si="10"/>
        <v>0</v>
      </c>
      <c r="K71" s="219">
        <f t="shared" si="11"/>
        <v>0</v>
      </c>
      <c r="L71" s="232">
        <f t="shared" si="12"/>
        <v>0</v>
      </c>
      <c r="M71" s="219">
        <f t="shared" si="13"/>
        <v>0</v>
      </c>
      <c r="N71" s="219">
        <f t="shared" si="14"/>
        <v>0</v>
      </c>
      <c r="O71" s="219">
        <f t="shared" si="15"/>
        <v>0</v>
      </c>
      <c r="P71" s="219">
        <f t="shared" si="16"/>
        <v>0</v>
      </c>
      <c r="Q71" s="219">
        <f t="shared" si="17"/>
        <v>0</v>
      </c>
    </row>
    <row r="72" spans="9:17" hidden="1" x14ac:dyDescent="0.25">
      <c r="I72" s="219">
        <f t="shared" si="9"/>
        <v>0</v>
      </c>
      <c r="J72" s="219">
        <f t="shared" si="10"/>
        <v>0</v>
      </c>
      <c r="K72" s="219">
        <f t="shared" si="11"/>
        <v>0</v>
      </c>
      <c r="L72" s="232">
        <f t="shared" si="12"/>
        <v>0</v>
      </c>
      <c r="M72" s="219">
        <f t="shared" si="13"/>
        <v>0</v>
      </c>
      <c r="N72" s="219">
        <f t="shared" si="14"/>
        <v>0</v>
      </c>
      <c r="O72" s="219">
        <f t="shared" si="15"/>
        <v>0</v>
      </c>
      <c r="P72" s="219">
        <f t="shared" si="16"/>
        <v>0</v>
      </c>
      <c r="Q72" s="219">
        <f t="shared" si="17"/>
        <v>0</v>
      </c>
    </row>
    <row r="73" spans="9:17" hidden="1" x14ac:dyDescent="0.25">
      <c r="I73" s="219">
        <f t="shared" si="9"/>
        <v>0</v>
      </c>
      <c r="J73" s="219">
        <f t="shared" si="10"/>
        <v>0</v>
      </c>
      <c r="K73" s="219">
        <f t="shared" si="11"/>
        <v>0</v>
      </c>
      <c r="L73" s="232">
        <f t="shared" si="12"/>
        <v>0</v>
      </c>
      <c r="M73" s="219">
        <f t="shared" si="13"/>
        <v>0</v>
      </c>
      <c r="N73" s="219">
        <f t="shared" si="14"/>
        <v>0</v>
      </c>
      <c r="O73" s="219">
        <f t="shared" si="15"/>
        <v>0</v>
      </c>
      <c r="P73" s="219">
        <f t="shared" si="16"/>
        <v>0</v>
      </c>
      <c r="Q73" s="219">
        <f t="shared" si="17"/>
        <v>0</v>
      </c>
    </row>
    <row r="74" spans="9:17" hidden="1" x14ac:dyDescent="0.25">
      <c r="I74" s="219">
        <f t="shared" si="9"/>
        <v>0</v>
      </c>
      <c r="J74" s="219">
        <f t="shared" si="10"/>
        <v>0</v>
      </c>
      <c r="K74" s="219">
        <f t="shared" si="11"/>
        <v>0</v>
      </c>
      <c r="L74" s="232">
        <f t="shared" si="12"/>
        <v>0</v>
      </c>
      <c r="M74" s="219">
        <f t="shared" si="13"/>
        <v>0</v>
      </c>
      <c r="N74" s="219">
        <f t="shared" si="14"/>
        <v>0</v>
      </c>
      <c r="O74" s="219">
        <f t="shared" si="15"/>
        <v>0</v>
      </c>
      <c r="P74" s="219">
        <f t="shared" si="16"/>
        <v>0</v>
      </c>
      <c r="Q74" s="219">
        <f t="shared" si="17"/>
        <v>0</v>
      </c>
    </row>
    <row r="75" spans="9:17" hidden="1" x14ac:dyDescent="0.25">
      <c r="I75" s="219">
        <f t="shared" si="9"/>
        <v>0</v>
      </c>
      <c r="J75" s="219">
        <f t="shared" si="10"/>
        <v>0</v>
      </c>
      <c r="K75" s="219">
        <f t="shared" si="11"/>
        <v>0</v>
      </c>
      <c r="L75" s="232">
        <f t="shared" si="12"/>
        <v>0</v>
      </c>
      <c r="M75" s="219">
        <f t="shared" si="13"/>
        <v>0</v>
      </c>
      <c r="N75" s="219">
        <f t="shared" si="14"/>
        <v>0</v>
      </c>
      <c r="O75" s="219">
        <f t="shared" si="15"/>
        <v>0</v>
      </c>
      <c r="P75" s="219">
        <f t="shared" si="16"/>
        <v>0</v>
      </c>
      <c r="Q75" s="219">
        <f t="shared" si="17"/>
        <v>0</v>
      </c>
    </row>
    <row r="76" spans="9:17" hidden="1" x14ac:dyDescent="0.25">
      <c r="I76" s="219">
        <f t="shared" ref="I76:I132" si="18">SUM(R76:S76)</f>
        <v>0</v>
      </c>
      <c r="J76" s="219">
        <f t="shared" ref="J76:J132" si="19">SUM(T76:V76)</f>
        <v>0</v>
      </c>
      <c r="K76" s="219">
        <f t="shared" ref="K76:K132" si="20">W76</f>
        <v>0</v>
      </c>
      <c r="L76" s="232">
        <f t="shared" ref="L76:L132" si="21">SUM(X76:AB76)</f>
        <v>0</v>
      </c>
      <c r="M76" s="219">
        <f t="shared" ref="M76:M132" si="22">SUM(AC76:AE76)</f>
        <v>0</v>
      </c>
      <c r="N76" s="219">
        <f t="shared" ref="N76:O132" si="23">AG76</f>
        <v>0</v>
      </c>
      <c r="O76" s="219">
        <f t="shared" si="23"/>
        <v>0</v>
      </c>
      <c r="P76" s="219">
        <f t="shared" ref="P76:P132" si="24">SUM(AK76:AM76)</f>
        <v>0</v>
      </c>
      <c r="Q76" s="219">
        <f t="shared" ref="Q76:Q132" si="25">AN76</f>
        <v>0</v>
      </c>
    </row>
    <row r="77" spans="9:17" hidden="1" x14ac:dyDescent="0.25">
      <c r="I77" s="219">
        <f t="shared" si="18"/>
        <v>0</v>
      </c>
      <c r="J77" s="219">
        <f t="shared" si="19"/>
        <v>0</v>
      </c>
      <c r="K77" s="219">
        <f t="shared" si="20"/>
        <v>0</v>
      </c>
      <c r="L77" s="232">
        <f t="shared" si="21"/>
        <v>0</v>
      </c>
      <c r="M77" s="219">
        <f t="shared" si="22"/>
        <v>0</v>
      </c>
      <c r="N77" s="219">
        <f t="shared" si="23"/>
        <v>0</v>
      </c>
      <c r="O77" s="219">
        <f t="shared" si="23"/>
        <v>0</v>
      </c>
      <c r="P77" s="219">
        <f t="shared" si="24"/>
        <v>0</v>
      </c>
      <c r="Q77" s="219">
        <f t="shared" si="25"/>
        <v>0</v>
      </c>
    </row>
    <row r="78" spans="9:17" hidden="1" x14ac:dyDescent="0.25">
      <c r="I78" s="219">
        <f t="shared" si="18"/>
        <v>0</v>
      </c>
      <c r="J78" s="219">
        <f t="shared" si="19"/>
        <v>0</v>
      </c>
      <c r="K78" s="219">
        <f t="shared" si="20"/>
        <v>0</v>
      </c>
      <c r="L78" s="232">
        <f t="shared" si="21"/>
        <v>0</v>
      </c>
      <c r="M78" s="219">
        <f t="shared" si="22"/>
        <v>0</v>
      </c>
      <c r="N78" s="219">
        <f t="shared" si="23"/>
        <v>0</v>
      </c>
      <c r="O78" s="219">
        <f t="shared" si="23"/>
        <v>0</v>
      </c>
      <c r="P78" s="219">
        <f t="shared" si="24"/>
        <v>0</v>
      </c>
      <c r="Q78" s="219">
        <f t="shared" si="25"/>
        <v>0</v>
      </c>
    </row>
    <row r="79" spans="9:17" hidden="1" x14ac:dyDescent="0.25">
      <c r="I79" s="219">
        <f t="shared" si="18"/>
        <v>0</v>
      </c>
      <c r="J79" s="219">
        <f t="shared" si="19"/>
        <v>0</v>
      </c>
      <c r="K79" s="219">
        <f t="shared" si="20"/>
        <v>0</v>
      </c>
      <c r="L79" s="232">
        <f t="shared" si="21"/>
        <v>0</v>
      </c>
      <c r="M79" s="219">
        <f t="shared" si="22"/>
        <v>0</v>
      </c>
      <c r="N79" s="219">
        <f t="shared" si="23"/>
        <v>0</v>
      </c>
      <c r="O79" s="219">
        <f t="shared" si="23"/>
        <v>0</v>
      </c>
      <c r="P79" s="219">
        <f t="shared" si="24"/>
        <v>0</v>
      </c>
      <c r="Q79" s="219">
        <f t="shared" si="25"/>
        <v>0</v>
      </c>
    </row>
    <row r="80" spans="9:17" hidden="1" x14ac:dyDescent="0.25">
      <c r="I80" s="219">
        <f t="shared" si="18"/>
        <v>0</v>
      </c>
      <c r="J80" s="219">
        <f t="shared" si="19"/>
        <v>0</v>
      </c>
      <c r="K80" s="219">
        <f t="shared" si="20"/>
        <v>0</v>
      </c>
      <c r="L80" s="232">
        <f t="shared" si="21"/>
        <v>0</v>
      </c>
      <c r="M80" s="219">
        <f t="shared" si="22"/>
        <v>0</v>
      </c>
      <c r="N80" s="219">
        <f t="shared" si="23"/>
        <v>0</v>
      </c>
      <c r="O80" s="219">
        <f t="shared" si="23"/>
        <v>0</v>
      </c>
      <c r="P80" s="219">
        <f t="shared" si="24"/>
        <v>0</v>
      </c>
      <c r="Q80" s="219">
        <f t="shared" si="25"/>
        <v>0</v>
      </c>
    </row>
    <row r="81" spans="9:17" hidden="1" x14ac:dyDescent="0.25">
      <c r="I81" s="219">
        <f t="shared" si="18"/>
        <v>0</v>
      </c>
      <c r="J81" s="219">
        <f t="shared" si="19"/>
        <v>0</v>
      </c>
      <c r="K81" s="219">
        <f t="shared" si="20"/>
        <v>0</v>
      </c>
      <c r="L81" s="232">
        <f t="shared" si="21"/>
        <v>0</v>
      </c>
      <c r="M81" s="219">
        <f t="shared" si="22"/>
        <v>0</v>
      </c>
      <c r="N81" s="219">
        <f t="shared" si="23"/>
        <v>0</v>
      </c>
      <c r="O81" s="219">
        <f t="shared" si="23"/>
        <v>0</v>
      </c>
      <c r="P81" s="219">
        <f t="shared" si="24"/>
        <v>0</v>
      </c>
      <c r="Q81" s="219">
        <f t="shared" si="25"/>
        <v>0</v>
      </c>
    </row>
    <row r="82" spans="9:17" hidden="1" x14ac:dyDescent="0.25">
      <c r="I82" s="219">
        <f t="shared" si="18"/>
        <v>0</v>
      </c>
      <c r="J82" s="219">
        <f t="shared" si="19"/>
        <v>0</v>
      </c>
      <c r="K82" s="219">
        <f t="shared" si="20"/>
        <v>0</v>
      </c>
      <c r="L82" s="232">
        <f t="shared" si="21"/>
        <v>0</v>
      </c>
      <c r="M82" s="219">
        <f t="shared" si="22"/>
        <v>0</v>
      </c>
      <c r="N82" s="219">
        <f t="shared" si="23"/>
        <v>0</v>
      </c>
      <c r="O82" s="219">
        <f t="shared" si="23"/>
        <v>0</v>
      </c>
      <c r="P82" s="219">
        <f t="shared" si="24"/>
        <v>0</v>
      </c>
      <c r="Q82" s="219">
        <f t="shared" si="25"/>
        <v>0</v>
      </c>
    </row>
    <row r="83" spans="9:17" hidden="1" x14ac:dyDescent="0.25">
      <c r="I83" s="219">
        <f t="shared" si="18"/>
        <v>0</v>
      </c>
      <c r="J83" s="219">
        <f t="shared" si="19"/>
        <v>0</v>
      </c>
      <c r="K83" s="219">
        <f t="shared" si="20"/>
        <v>0</v>
      </c>
      <c r="L83" s="232">
        <f t="shared" si="21"/>
        <v>0</v>
      </c>
      <c r="M83" s="219">
        <f t="shared" si="22"/>
        <v>0</v>
      </c>
      <c r="N83" s="219">
        <f t="shared" si="23"/>
        <v>0</v>
      </c>
      <c r="O83" s="219">
        <f t="shared" si="23"/>
        <v>0</v>
      </c>
      <c r="P83" s="219">
        <f t="shared" si="24"/>
        <v>0</v>
      </c>
      <c r="Q83" s="219">
        <f t="shared" si="25"/>
        <v>0</v>
      </c>
    </row>
    <row r="84" spans="9:17" hidden="1" x14ac:dyDescent="0.25">
      <c r="I84" s="219">
        <f t="shared" si="18"/>
        <v>0</v>
      </c>
      <c r="J84" s="219">
        <f t="shared" si="19"/>
        <v>0</v>
      </c>
      <c r="K84" s="219">
        <f t="shared" si="20"/>
        <v>0</v>
      </c>
      <c r="L84" s="232">
        <f t="shared" si="21"/>
        <v>0</v>
      </c>
      <c r="M84" s="219">
        <f t="shared" si="22"/>
        <v>0</v>
      </c>
      <c r="N84" s="219">
        <f t="shared" si="23"/>
        <v>0</v>
      </c>
      <c r="O84" s="219">
        <f t="shared" si="23"/>
        <v>0</v>
      </c>
      <c r="P84" s="219">
        <f t="shared" si="24"/>
        <v>0</v>
      </c>
      <c r="Q84" s="219">
        <f t="shared" si="25"/>
        <v>0</v>
      </c>
    </row>
    <row r="85" spans="9:17" hidden="1" x14ac:dyDescent="0.25">
      <c r="I85" s="219">
        <f t="shared" si="18"/>
        <v>0</v>
      </c>
      <c r="J85" s="219">
        <f t="shared" si="19"/>
        <v>0</v>
      </c>
      <c r="K85" s="219">
        <f t="shared" si="20"/>
        <v>0</v>
      </c>
      <c r="L85" s="232">
        <f t="shared" si="21"/>
        <v>0</v>
      </c>
      <c r="M85" s="219">
        <f t="shared" si="22"/>
        <v>0</v>
      </c>
      <c r="N85" s="219">
        <f t="shared" si="23"/>
        <v>0</v>
      </c>
      <c r="O85" s="219">
        <f t="shared" si="23"/>
        <v>0</v>
      </c>
      <c r="P85" s="219">
        <f t="shared" si="24"/>
        <v>0</v>
      </c>
      <c r="Q85" s="219">
        <f t="shared" si="25"/>
        <v>0</v>
      </c>
    </row>
    <row r="86" spans="9:17" hidden="1" x14ac:dyDescent="0.25">
      <c r="I86" s="219">
        <f t="shared" si="18"/>
        <v>0</v>
      </c>
      <c r="J86" s="219">
        <f t="shared" si="19"/>
        <v>0</v>
      </c>
      <c r="K86" s="219">
        <f t="shared" si="20"/>
        <v>0</v>
      </c>
      <c r="L86" s="232">
        <f t="shared" si="21"/>
        <v>0</v>
      </c>
      <c r="M86" s="219">
        <f t="shared" si="22"/>
        <v>0</v>
      </c>
      <c r="N86" s="219">
        <f t="shared" si="23"/>
        <v>0</v>
      </c>
      <c r="O86" s="219">
        <f t="shared" si="23"/>
        <v>0</v>
      </c>
      <c r="P86" s="219">
        <f t="shared" si="24"/>
        <v>0</v>
      </c>
      <c r="Q86" s="219">
        <f t="shared" si="25"/>
        <v>0</v>
      </c>
    </row>
    <row r="87" spans="9:17" hidden="1" x14ac:dyDescent="0.25">
      <c r="I87" s="219">
        <f t="shared" si="18"/>
        <v>0</v>
      </c>
      <c r="J87" s="219">
        <f t="shared" si="19"/>
        <v>0</v>
      </c>
      <c r="K87" s="219">
        <f t="shared" si="20"/>
        <v>0</v>
      </c>
      <c r="L87" s="232">
        <f t="shared" si="21"/>
        <v>0</v>
      </c>
      <c r="M87" s="219">
        <f t="shared" si="22"/>
        <v>0</v>
      </c>
      <c r="N87" s="219">
        <f t="shared" si="23"/>
        <v>0</v>
      </c>
      <c r="O87" s="219">
        <f t="shared" si="23"/>
        <v>0</v>
      </c>
      <c r="P87" s="219">
        <f t="shared" si="24"/>
        <v>0</v>
      </c>
      <c r="Q87" s="219">
        <f t="shared" si="25"/>
        <v>0</v>
      </c>
    </row>
    <row r="88" spans="9:17" hidden="1" x14ac:dyDescent="0.25">
      <c r="I88" s="219">
        <f t="shared" si="18"/>
        <v>0</v>
      </c>
      <c r="J88" s="219">
        <f t="shared" si="19"/>
        <v>0</v>
      </c>
      <c r="K88" s="219">
        <f t="shared" si="20"/>
        <v>0</v>
      </c>
      <c r="L88" s="232">
        <f t="shared" si="21"/>
        <v>0</v>
      </c>
      <c r="M88" s="219">
        <f t="shared" si="22"/>
        <v>0</v>
      </c>
      <c r="N88" s="219">
        <f t="shared" si="23"/>
        <v>0</v>
      </c>
      <c r="O88" s="219">
        <f t="shared" si="23"/>
        <v>0</v>
      </c>
      <c r="P88" s="219">
        <f t="shared" si="24"/>
        <v>0</v>
      </c>
      <c r="Q88" s="219">
        <f t="shared" si="25"/>
        <v>0</v>
      </c>
    </row>
    <row r="89" spans="9:17" hidden="1" x14ac:dyDescent="0.25">
      <c r="I89" s="219">
        <f t="shared" si="18"/>
        <v>0</v>
      </c>
      <c r="J89" s="219">
        <f t="shared" si="19"/>
        <v>0</v>
      </c>
      <c r="K89" s="219">
        <f t="shared" si="20"/>
        <v>0</v>
      </c>
      <c r="L89" s="232">
        <f t="shared" si="21"/>
        <v>0</v>
      </c>
      <c r="M89" s="219">
        <f t="shared" si="22"/>
        <v>0</v>
      </c>
      <c r="N89" s="219">
        <f t="shared" si="23"/>
        <v>0</v>
      </c>
      <c r="O89" s="219">
        <f t="shared" si="23"/>
        <v>0</v>
      </c>
      <c r="P89" s="219">
        <f t="shared" si="24"/>
        <v>0</v>
      </c>
      <c r="Q89" s="219">
        <f t="shared" si="25"/>
        <v>0</v>
      </c>
    </row>
    <row r="90" spans="9:17" hidden="1" x14ac:dyDescent="0.25">
      <c r="I90" s="219">
        <f t="shared" si="18"/>
        <v>0</v>
      </c>
      <c r="J90" s="219">
        <f t="shared" si="19"/>
        <v>0</v>
      </c>
      <c r="K90" s="219">
        <f t="shared" si="20"/>
        <v>0</v>
      </c>
      <c r="L90" s="232">
        <f t="shared" si="21"/>
        <v>0</v>
      </c>
      <c r="M90" s="219">
        <f t="shared" si="22"/>
        <v>0</v>
      </c>
      <c r="N90" s="219">
        <f t="shared" si="23"/>
        <v>0</v>
      </c>
      <c r="O90" s="219">
        <f t="shared" si="23"/>
        <v>0</v>
      </c>
      <c r="P90" s="219">
        <f t="shared" si="24"/>
        <v>0</v>
      </c>
      <c r="Q90" s="219">
        <f t="shared" si="25"/>
        <v>0</v>
      </c>
    </row>
    <row r="91" spans="9:17" hidden="1" x14ac:dyDescent="0.25">
      <c r="I91" s="219">
        <f t="shared" si="18"/>
        <v>0</v>
      </c>
      <c r="J91" s="219">
        <f t="shared" si="19"/>
        <v>0</v>
      </c>
      <c r="K91" s="219">
        <f t="shared" si="20"/>
        <v>0</v>
      </c>
      <c r="L91" s="232">
        <f t="shared" si="21"/>
        <v>0</v>
      </c>
      <c r="M91" s="219">
        <f t="shared" si="22"/>
        <v>0</v>
      </c>
      <c r="N91" s="219">
        <f t="shared" si="23"/>
        <v>0</v>
      </c>
      <c r="O91" s="219">
        <f t="shared" si="23"/>
        <v>0</v>
      </c>
      <c r="P91" s="219">
        <f t="shared" si="24"/>
        <v>0</v>
      </c>
      <c r="Q91" s="219">
        <f t="shared" si="25"/>
        <v>0</v>
      </c>
    </row>
    <row r="92" spans="9:17" hidden="1" x14ac:dyDescent="0.25">
      <c r="I92" s="219">
        <f t="shared" si="18"/>
        <v>0</v>
      </c>
      <c r="J92" s="219">
        <f t="shared" si="19"/>
        <v>0</v>
      </c>
      <c r="K92" s="219">
        <f t="shared" si="20"/>
        <v>0</v>
      </c>
      <c r="L92" s="232">
        <f t="shared" si="21"/>
        <v>0</v>
      </c>
      <c r="M92" s="219">
        <f t="shared" si="22"/>
        <v>0</v>
      </c>
      <c r="N92" s="219">
        <f t="shared" si="23"/>
        <v>0</v>
      </c>
      <c r="O92" s="219">
        <f t="shared" si="23"/>
        <v>0</v>
      </c>
      <c r="P92" s="219">
        <f t="shared" si="24"/>
        <v>0</v>
      </c>
      <c r="Q92" s="219">
        <f t="shared" si="25"/>
        <v>0</v>
      </c>
    </row>
    <row r="93" spans="9:17" hidden="1" x14ac:dyDescent="0.25">
      <c r="I93" s="219">
        <f t="shared" si="18"/>
        <v>0</v>
      </c>
      <c r="J93" s="219">
        <f t="shared" si="19"/>
        <v>0</v>
      </c>
      <c r="K93" s="219">
        <f t="shared" si="20"/>
        <v>0</v>
      </c>
      <c r="L93" s="232">
        <f t="shared" si="21"/>
        <v>0</v>
      </c>
      <c r="M93" s="219">
        <f t="shared" si="22"/>
        <v>0</v>
      </c>
      <c r="N93" s="219">
        <f t="shared" si="23"/>
        <v>0</v>
      </c>
      <c r="O93" s="219">
        <f t="shared" si="23"/>
        <v>0</v>
      </c>
      <c r="P93" s="219">
        <f t="shared" si="24"/>
        <v>0</v>
      </c>
      <c r="Q93" s="219">
        <f t="shared" si="25"/>
        <v>0</v>
      </c>
    </row>
    <row r="94" spans="9:17" hidden="1" x14ac:dyDescent="0.25">
      <c r="I94" s="219">
        <f t="shared" si="18"/>
        <v>0</v>
      </c>
      <c r="J94" s="219">
        <f t="shared" si="19"/>
        <v>0</v>
      </c>
      <c r="K94" s="219">
        <f t="shared" si="20"/>
        <v>0</v>
      </c>
      <c r="L94" s="232">
        <f t="shared" si="21"/>
        <v>0</v>
      </c>
      <c r="M94" s="219">
        <f t="shared" si="22"/>
        <v>0</v>
      </c>
      <c r="N94" s="219">
        <f t="shared" si="23"/>
        <v>0</v>
      </c>
      <c r="O94" s="219">
        <f t="shared" si="23"/>
        <v>0</v>
      </c>
      <c r="P94" s="219">
        <f t="shared" si="24"/>
        <v>0</v>
      </c>
      <c r="Q94" s="219">
        <f t="shared" si="25"/>
        <v>0</v>
      </c>
    </row>
    <row r="95" spans="9:17" hidden="1" x14ac:dyDescent="0.25">
      <c r="I95" s="219">
        <f t="shared" si="18"/>
        <v>0</v>
      </c>
      <c r="J95" s="219">
        <f t="shared" si="19"/>
        <v>0</v>
      </c>
      <c r="K95" s="219">
        <f t="shared" si="20"/>
        <v>0</v>
      </c>
      <c r="L95" s="232">
        <f t="shared" si="21"/>
        <v>0</v>
      </c>
      <c r="M95" s="219">
        <f t="shared" si="22"/>
        <v>0</v>
      </c>
      <c r="N95" s="219">
        <f t="shared" si="23"/>
        <v>0</v>
      </c>
      <c r="O95" s="219">
        <f t="shared" si="23"/>
        <v>0</v>
      </c>
      <c r="P95" s="219">
        <f t="shared" si="24"/>
        <v>0</v>
      </c>
      <c r="Q95" s="219">
        <f t="shared" si="25"/>
        <v>0</v>
      </c>
    </row>
    <row r="96" spans="9:17" hidden="1" x14ac:dyDescent="0.25">
      <c r="I96" s="219">
        <f t="shared" si="18"/>
        <v>0</v>
      </c>
      <c r="J96" s="219">
        <f t="shared" si="19"/>
        <v>0</v>
      </c>
      <c r="K96" s="219">
        <f t="shared" si="20"/>
        <v>0</v>
      </c>
      <c r="L96" s="232">
        <f t="shared" si="21"/>
        <v>0</v>
      </c>
      <c r="M96" s="219">
        <f t="shared" si="22"/>
        <v>0</v>
      </c>
      <c r="N96" s="219">
        <f t="shared" si="23"/>
        <v>0</v>
      </c>
      <c r="O96" s="219">
        <f t="shared" si="23"/>
        <v>0</v>
      </c>
      <c r="P96" s="219">
        <f t="shared" si="24"/>
        <v>0</v>
      </c>
      <c r="Q96" s="219">
        <f t="shared" si="25"/>
        <v>0</v>
      </c>
    </row>
    <row r="97" spans="9:17" hidden="1" x14ac:dyDescent="0.25">
      <c r="I97" s="219">
        <f t="shared" si="18"/>
        <v>0</v>
      </c>
      <c r="J97" s="219">
        <f t="shared" si="19"/>
        <v>0</v>
      </c>
      <c r="K97" s="219">
        <f t="shared" si="20"/>
        <v>0</v>
      </c>
      <c r="L97" s="232">
        <f t="shared" si="21"/>
        <v>0</v>
      </c>
      <c r="M97" s="219">
        <f t="shared" si="22"/>
        <v>0</v>
      </c>
      <c r="N97" s="219">
        <f t="shared" si="23"/>
        <v>0</v>
      </c>
      <c r="O97" s="219">
        <f t="shared" si="23"/>
        <v>0</v>
      </c>
      <c r="P97" s="219">
        <f t="shared" si="24"/>
        <v>0</v>
      </c>
      <c r="Q97" s="219">
        <f t="shared" si="25"/>
        <v>0</v>
      </c>
    </row>
    <row r="98" spans="9:17" hidden="1" x14ac:dyDescent="0.25">
      <c r="I98" s="219">
        <f t="shared" si="18"/>
        <v>0</v>
      </c>
      <c r="J98" s="219">
        <f t="shared" si="19"/>
        <v>0</v>
      </c>
      <c r="K98" s="219">
        <f t="shared" si="20"/>
        <v>0</v>
      </c>
      <c r="L98" s="232">
        <f t="shared" si="21"/>
        <v>0</v>
      </c>
      <c r="M98" s="219">
        <f t="shared" si="22"/>
        <v>0</v>
      </c>
      <c r="N98" s="219">
        <f t="shared" si="23"/>
        <v>0</v>
      </c>
      <c r="O98" s="219">
        <f t="shared" si="23"/>
        <v>0</v>
      </c>
      <c r="P98" s="219">
        <f t="shared" si="24"/>
        <v>0</v>
      </c>
      <c r="Q98" s="219">
        <f t="shared" si="25"/>
        <v>0</v>
      </c>
    </row>
    <row r="99" spans="9:17" hidden="1" x14ac:dyDescent="0.25">
      <c r="I99" s="219">
        <f t="shared" si="18"/>
        <v>0</v>
      </c>
      <c r="J99" s="219">
        <f t="shared" si="19"/>
        <v>0</v>
      </c>
      <c r="K99" s="219">
        <f t="shared" si="20"/>
        <v>0</v>
      </c>
      <c r="L99" s="232">
        <f t="shared" si="21"/>
        <v>0</v>
      </c>
      <c r="M99" s="219">
        <f t="shared" si="22"/>
        <v>0</v>
      </c>
      <c r="N99" s="219">
        <f t="shared" si="23"/>
        <v>0</v>
      </c>
      <c r="O99" s="219">
        <f t="shared" si="23"/>
        <v>0</v>
      </c>
      <c r="P99" s="219">
        <f t="shared" si="24"/>
        <v>0</v>
      </c>
      <c r="Q99" s="219">
        <f t="shared" si="25"/>
        <v>0</v>
      </c>
    </row>
    <row r="100" spans="9:17" hidden="1" x14ac:dyDescent="0.25">
      <c r="I100" s="219">
        <f t="shared" si="18"/>
        <v>0</v>
      </c>
      <c r="J100" s="219">
        <f t="shared" si="19"/>
        <v>0</v>
      </c>
      <c r="K100" s="219">
        <f t="shared" si="20"/>
        <v>0</v>
      </c>
      <c r="L100" s="232">
        <f t="shared" si="21"/>
        <v>0</v>
      </c>
      <c r="M100" s="219">
        <f t="shared" si="22"/>
        <v>0</v>
      </c>
      <c r="N100" s="219">
        <f t="shared" si="23"/>
        <v>0</v>
      </c>
      <c r="O100" s="219">
        <f t="shared" si="23"/>
        <v>0</v>
      </c>
      <c r="P100" s="219">
        <f t="shared" si="24"/>
        <v>0</v>
      </c>
      <c r="Q100" s="219">
        <f t="shared" si="25"/>
        <v>0</v>
      </c>
    </row>
    <row r="101" spans="9:17" hidden="1" x14ac:dyDescent="0.25">
      <c r="I101" s="219">
        <f t="shared" si="18"/>
        <v>0</v>
      </c>
      <c r="J101" s="219">
        <f t="shared" si="19"/>
        <v>0</v>
      </c>
      <c r="K101" s="219">
        <f t="shared" si="20"/>
        <v>0</v>
      </c>
      <c r="L101" s="232">
        <f t="shared" si="21"/>
        <v>0</v>
      </c>
      <c r="M101" s="219">
        <f t="shared" si="22"/>
        <v>0</v>
      </c>
      <c r="N101" s="219">
        <f t="shared" si="23"/>
        <v>0</v>
      </c>
      <c r="O101" s="219">
        <f t="shared" si="23"/>
        <v>0</v>
      </c>
      <c r="P101" s="219">
        <f t="shared" si="24"/>
        <v>0</v>
      </c>
      <c r="Q101" s="219">
        <f t="shared" si="25"/>
        <v>0</v>
      </c>
    </row>
    <row r="102" spans="9:17" hidden="1" x14ac:dyDescent="0.25">
      <c r="I102" s="219">
        <f t="shared" si="18"/>
        <v>0</v>
      </c>
      <c r="J102" s="219">
        <f t="shared" si="19"/>
        <v>0</v>
      </c>
      <c r="K102" s="219">
        <f t="shared" si="20"/>
        <v>0</v>
      </c>
      <c r="L102" s="232">
        <f t="shared" si="21"/>
        <v>0</v>
      </c>
      <c r="M102" s="219">
        <f t="shared" si="22"/>
        <v>0</v>
      </c>
      <c r="N102" s="219">
        <f t="shared" si="23"/>
        <v>0</v>
      </c>
      <c r="O102" s="219">
        <f t="shared" si="23"/>
        <v>0</v>
      </c>
      <c r="P102" s="219">
        <f t="shared" si="24"/>
        <v>0</v>
      </c>
      <c r="Q102" s="219">
        <f t="shared" si="25"/>
        <v>0</v>
      </c>
    </row>
    <row r="103" spans="9:17" hidden="1" x14ac:dyDescent="0.25">
      <c r="I103" s="219">
        <f t="shared" si="18"/>
        <v>0</v>
      </c>
      <c r="J103" s="219">
        <f t="shared" si="19"/>
        <v>0</v>
      </c>
      <c r="K103" s="219">
        <f t="shared" si="20"/>
        <v>0</v>
      </c>
      <c r="L103" s="232">
        <f t="shared" si="21"/>
        <v>0</v>
      </c>
      <c r="M103" s="219">
        <f t="shared" si="22"/>
        <v>0</v>
      </c>
      <c r="N103" s="219">
        <f t="shared" si="23"/>
        <v>0</v>
      </c>
      <c r="O103" s="219">
        <f t="shared" si="23"/>
        <v>0</v>
      </c>
      <c r="P103" s="219">
        <f t="shared" si="24"/>
        <v>0</v>
      </c>
      <c r="Q103" s="219">
        <f t="shared" si="25"/>
        <v>0</v>
      </c>
    </row>
    <row r="104" spans="9:17" hidden="1" x14ac:dyDescent="0.25">
      <c r="I104" s="219">
        <f t="shared" si="18"/>
        <v>0</v>
      </c>
      <c r="J104" s="219">
        <f t="shared" si="19"/>
        <v>0</v>
      </c>
      <c r="K104" s="219">
        <f t="shared" si="20"/>
        <v>0</v>
      </c>
      <c r="L104" s="232">
        <f t="shared" si="21"/>
        <v>0</v>
      </c>
      <c r="M104" s="219">
        <f t="shared" si="22"/>
        <v>0</v>
      </c>
      <c r="N104" s="219">
        <f t="shared" si="23"/>
        <v>0</v>
      </c>
      <c r="O104" s="219">
        <f t="shared" si="23"/>
        <v>0</v>
      </c>
      <c r="P104" s="219">
        <f t="shared" si="24"/>
        <v>0</v>
      </c>
      <c r="Q104" s="219">
        <f t="shared" si="25"/>
        <v>0</v>
      </c>
    </row>
    <row r="105" spans="9:17" hidden="1" x14ac:dyDescent="0.25">
      <c r="I105" s="219">
        <f t="shared" si="18"/>
        <v>0</v>
      </c>
      <c r="J105" s="219">
        <f t="shared" si="19"/>
        <v>0</v>
      </c>
      <c r="K105" s="219">
        <f t="shared" si="20"/>
        <v>0</v>
      </c>
      <c r="L105" s="232">
        <f t="shared" si="21"/>
        <v>0</v>
      </c>
      <c r="M105" s="219">
        <f t="shared" si="22"/>
        <v>0</v>
      </c>
      <c r="N105" s="219">
        <f t="shared" si="23"/>
        <v>0</v>
      </c>
      <c r="O105" s="219">
        <f t="shared" si="23"/>
        <v>0</v>
      </c>
      <c r="P105" s="219">
        <f t="shared" si="24"/>
        <v>0</v>
      </c>
      <c r="Q105" s="219">
        <f t="shared" si="25"/>
        <v>0</v>
      </c>
    </row>
    <row r="106" spans="9:17" hidden="1" x14ac:dyDescent="0.25">
      <c r="I106" s="219">
        <f t="shared" si="18"/>
        <v>0</v>
      </c>
      <c r="J106" s="219">
        <f t="shared" si="19"/>
        <v>0</v>
      </c>
      <c r="K106" s="219">
        <f t="shared" si="20"/>
        <v>0</v>
      </c>
      <c r="L106" s="232">
        <f t="shared" si="21"/>
        <v>0</v>
      </c>
      <c r="M106" s="219">
        <f t="shared" si="22"/>
        <v>0</v>
      </c>
      <c r="N106" s="219">
        <f t="shared" si="23"/>
        <v>0</v>
      </c>
      <c r="O106" s="219">
        <f t="shared" si="23"/>
        <v>0</v>
      </c>
      <c r="P106" s="219">
        <f t="shared" si="24"/>
        <v>0</v>
      </c>
      <c r="Q106" s="219">
        <f t="shared" si="25"/>
        <v>0</v>
      </c>
    </row>
    <row r="107" spans="9:17" hidden="1" x14ac:dyDescent="0.25">
      <c r="I107" s="219">
        <f t="shared" si="18"/>
        <v>0</v>
      </c>
      <c r="J107" s="219">
        <f t="shared" si="19"/>
        <v>0</v>
      </c>
      <c r="K107" s="219">
        <f t="shared" si="20"/>
        <v>0</v>
      </c>
      <c r="L107" s="232">
        <f t="shared" si="21"/>
        <v>0</v>
      </c>
      <c r="M107" s="219">
        <f t="shared" si="22"/>
        <v>0</v>
      </c>
      <c r="N107" s="219">
        <f t="shared" si="23"/>
        <v>0</v>
      </c>
      <c r="O107" s="219">
        <f t="shared" si="23"/>
        <v>0</v>
      </c>
      <c r="P107" s="219">
        <f t="shared" si="24"/>
        <v>0</v>
      </c>
      <c r="Q107" s="219">
        <f t="shared" si="25"/>
        <v>0</v>
      </c>
    </row>
    <row r="108" spans="9:17" hidden="1" x14ac:dyDescent="0.25">
      <c r="I108" s="219">
        <f t="shared" si="18"/>
        <v>0</v>
      </c>
      <c r="J108" s="219">
        <f t="shared" si="19"/>
        <v>0</v>
      </c>
      <c r="K108" s="219">
        <f t="shared" si="20"/>
        <v>0</v>
      </c>
      <c r="L108" s="232">
        <f t="shared" si="21"/>
        <v>0</v>
      </c>
      <c r="M108" s="219">
        <f t="shared" si="22"/>
        <v>0</v>
      </c>
      <c r="N108" s="219">
        <f t="shared" si="23"/>
        <v>0</v>
      </c>
      <c r="O108" s="219">
        <f t="shared" si="23"/>
        <v>0</v>
      </c>
      <c r="P108" s="219">
        <f t="shared" si="24"/>
        <v>0</v>
      </c>
      <c r="Q108" s="219">
        <f t="shared" si="25"/>
        <v>0</v>
      </c>
    </row>
    <row r="109" spans="9:17" hidden="1" x14ac:dyDescent="0.25">
      <c r="I109" s="219">
        <f t="shared" si="18"/>
        <v>0</v>
      </c>
      <c r="J109" s="219">
        <f t="shared" si="19"/>
        <v>0</v>
      </c>
      <c r="K109" s="219">
        <f t="shared" si="20"/>
        <v>0</v>
      </c>
      <c r="L109" s="232">
        <f t="shared" si="21"/>
        <v>0</v>
      </c>
      <c r="M109" s="219">
        <f t="shared" si="22"/>
        <v>0</v>
      </c>
      <c r="N109" s="219">
        <f t="shared" si="23"/>
        <v>0</v>
      </c>
      <c r="O109" s="219">
        <f t="shared" si="23"/>
        <v>0</v>
      </c>
      <c r="P109" s="219">
        <f t="shared" si="24"/>
        <v>0</v>
      </c>
      <c r="Q109" s="219">
        <f t="shared" si="25"/>
        <v>0</v>
      </c>
    </row>
    <row r="110" spans="9:17" hidden="1" x14ac:dyDescent="0.25">
      <c r="I110" s="219">
        <f t="shared" si="18"/>
        <v>0</v>
      </c>
      <c r="J110" s="219">
        <f t="shared" si="19"/>
        <v>0</v>
      </c>
      <c r="K110" s="219">
        <f t="shared" si="20"/>
        <v>0</v>
      </c>
      <c r="L110" s="232">
        <f t="shared" si="21"/>
        <v>0</v>
      </c>
      <c r="M110" s="219">
        <f t="shared" si="22"/>
        <v>0</v>
      </c>
      <c r="N110" s="219">
        <f t="shared" si="23"/>
        <v>0</v>
      </c>
      <c r="O110" s="219">
        <f t="shared" si="23"/>
        <v>0</v>
      </c>
      <c r="P110" s="219">
        <f t="shared" si="24"/>
        <v>0</v>
      </c>
      <c r="Q110" s="219">
        <f t="shared" si="25"/>
        <v>0</v>
      </c>
    </row>
    <row r="111" spans="9:17" hidden="1" x14ac:dyDescent="0.25">
      <c r="I111" s="219">
        <f t="shared" si="18"/>
        <v>0</v>
      </c>
      <c r="J111" s="219">
        <f t="shared" si="19"/>
        <v>0</v>
      </c>
      <c r="K111" s="219">
        <f t="shared" si="20"/>
        <v>0</v>
      </c>
      <c r="L111" s="232">
        <f t="shared" si="21"/>
        <v>0</v>
      </c>
      <c r="M111" s="219">
        <f t="shared" si="22"/>
        <v>0</v>
      </c>
      <c r="N111" s="219">
        <f t="shared" si="23"/>
        <v>0</v>
      </c>
      <c r="O111" s="219">
        <f t="shared" si="23"/>
        <v>0</v>
      </c>
      <c r="P111" s="219">
        <f t="shared" si="24"/>
        <v>0</v>
      </c>
      <c r="Q111" s="219">
        <f t="shared" si="25"/>
        <v>0</v>
      </c>
    </row>
    <row r="112" spans="9:17" hidden="1" x14ac:dyDescent="0.25">
      <c r="I112" s="219">
        <f t="shared" si="18"/>
        <v>0</v>
      </c>
      <c r="J112" s="219">
        <f t="shared" si="19"/>
        <v>0</v>
      </c>
      <c r="K112" s="219">
        <f t="shared" si="20"/>
        <v>0</v>
      </c>
      <c r="L112" s="232">
        <f t="shared" si="21"/>
        <v>0</v>
      </c>
      <c r="M112" s="219">
        <f t="shared" si="22"/>
        <v>0</v>
      </c>
      <c r="N112" s="219">
        <f t="shared" si="23"/>
        <v>0</v>
      </c>
      <c r="O112" s="219">
        <f t="shared" si="23"/>
        <v>0</v>
      </c>
      <c r="P112" s="219">
        <f t="shared" si="24"/>
        <v>0</v>
      </c>
      <c r="Q112" s="219">
        <f t="shared" si="25"/>
        <v>0</v>
      </c>
    </row>
    <row r="113" spans="9:17" hidden="1" x14ac:dyDescent="0.25">
      <c r="I113" s="219">
        <f t="shared" si="18"/>
        <v>0</v>
      </c>
      <c r="J113" s="219">
        <f t="shared" si="19"/>
        <v>0</v>
      </c>
      <c r="K113" s="219">
        <f t="shared" si="20"/>
        <v>0</v>
      </c>
      <c r="L113" s="232">
        <f t="shared" si="21"/>
        <v>0</v>
      </c>
      <c r="M113" s="219">
        <f t="shared" si="22"/>
        <v>0</v>
      </c>
      <c r="N113" s="219">
        <f t="shared" si="23"/>
        <v>0</v>
      </c>
      <c r="O113" s="219">
        <f t="shared" si="23"/>
        <v>0</v>
      </c>
      <c r="P113" s="219">
        <f t="shared" si="24"/>
        <v>0</v>
      </c>
      <c r="Q113" s="219">
        <f t="shared" si="25"/>
        <v>0</v>
      </c>
    </row>
    <row r="114" spans="9:17" hidden="1" x14ac:dyDescent="0.25">
      <c r="I114" s="219">
        <f t="shared" si="18"/>
        <v>0</v>
      </c>
      <c r="J114" s="219">
        <f t="shared" si="19"/>
        <v>0</v>
      </c>
      <c r="K114" s="219">
        <f t="shared" si="20"/>
        <v>0</v>
      </c>
      <c r="L114" s="232">
        <f t="shared" si="21"/>
        <v>0</v>
      </c>
      <c r="M114" s="219">
        <f t="shared" si="22"/>
        <v>0</v>
      </c>
      <c r="N114" s="219">
        <f t="shared" si="23"/>
        <v>0</v>
      </c>
      <c r="O114" s="219">
        <f t="shared" si="23"/>
        <v>0</v>
      </c>
      <c r="P114" s="219">
        <f t="shared" si="24"/>
        <v>0</v>
      </c>
      <c r="Q114" s="219">
        <f t="shared" si="25"/>
        <v>0</v>
      </c>
    </row>
    <row r="115" spans="9:17" hidden="1" x14ac:dyDescent="0.25">
      <c r="I115" s="219">
        <f t="shared" si="18"/>
        <v>0</v>
      </c>
      <c r="J115" s="219">
        <f t="shared" si="19"/>
        <v>0</v>
      </c>
      <c r="K115" s="219">
        <f t="shared" si="20"/>
        <v>0</v>
      </c>
      <c r="L115" s="232">
        <f t="shared" si="21"/>
        <v>0</v>
      </c>
      <c r="M115" s="219">
        <f t="shared" si="22"/>
        <v>0</v>
      </c>
      <c r="N115" s="219">
        <f t="shared" si="23"/>
        <v>0</v>
      </c>
      <c r="O115" s="219">
        <f t="shared" si="23"/>
        <v>0</v>
      </c>
      <c r="P115" s="219">
        <f t="shared" si="24"/>
        <v>0</v>
      </c>
      <c r="Q115" s="219">
        <f t="shared" si="25"/>
        <v>0</v>
      </c>
    </row>
    <row r="116" spans="9:17" hidden="1" x14ac:dyDescent="0.25">
      <c r="I116" s="219">
        <f t="shared" si="18"/>
        <v>0</v>
      </c>
      <c r="J116" s="219">
        <f t="shared" si="19"/>
        <v>0</v>
      </c>
      <c r="K116" s="219">
        <f t="shared" si="20"/>
        <v>0</v>
      </c>
      <c r="L116" s="232">
        <f t="shared" si="21"/>
        <v>0</v>
      </c>
      <c r="M116" s="219">
        <f t="shared" si="22"/>
        <v>0</v>
      </c>
      <c r="N116" s="219">
        <f t="shared" si="23"/>
        <v>0</v>
      </c>
      <c r="O116" s="219">
        <f t="shared" si="23"/>
        <v>0</v>
      </c>
      <c r="P116" s="219">
        <f t="shared" si="24"/>
        <v>0</v>
      </c>
      <c r="Q116" s="219">
        <f t="shared" si="25"/>
        <v>0</v>
      </c>
    </row>
    <row r="117" spans="9:17" hidden="1" x14ac:dyDescent="0.25">
      <c r="I117" s="219">
        <f t="shared" si="18"/>
        <v>0</v>
      </c>
      <c r="J117" s="219">
        <f t="shared" si="19"/>
        <v>0</v>
      </c>
      <c r="K117" s="219">
        <f t="shared" si="20"/>
        <v>0</v>
      </c>
      <c r="L117" s="232">
        <f t="shared" si="21"/>
        <v>0</v>
      </c>
      <c r="M117" s="219">
        <f t="shared" si="22"/>
        <v>0</v>
      </c>
      <c r="N117" s="219">
        <f t="shared" si="23"/>
        <v>0</v>
      </c>
      <c r="O117" s="219">
        <f t="shared" si="23"/>
        <v>0</v>
      </c>
      <c r="P117" s="219">
        <f t="shared" si="24"/>
        <v>0</v>
      </c>
      <c r="Q117" s="219">
        <f t="shared" si="25"/>
        <v>0</v>
      </c>
    </row>
    <row r="118" spans="9:17" hidden="1" x14ac:dyDescent="0.25">
      <c r="I118" s="219">
        <f t="shared" si="18"/>
        <v>0</v>
      </c>
      <c r="J118" s="219">
        <f t="shared" si="19"/>
        <v>0</v>
      </c>
      <c r="K118" s="219">
        <f t="shared" si="20"/>
        <v>0</v>
      </c>
      <c r="L118" s="232">
        <f t="shared" si="21"/>
        <v>0</v>
      </c>
      <c r="M118" s="219">
        <f t="shared" si="22"/>
        <v>0</v>
      </c>
      <c r="N118" s="219">
        <f t="shared" si="23"/>
        <v>0</v>
      </c>
      <c r="O118" s="219">
        <f t="shared" si="23"/>
        <v>0</v>
      </c>
      <c r="P118" s="219">
        <f t="shared" si="24"/>
        <v>0</v>
      </c>
      <c r="Q118" s="219">
        <f t="shared" si="25"/>
        <v>0</v>
      </c>
    </row>
    <row r="119" spans="9:17" hidden="1" x14ac:dyDescent="0.25">
      <c r="I119" s="219">
        <f t="shared" si="18"/>
        <v>0</v>
      </c>
      <c r="J119" s="219">
        <f t="shared" si="19"/>
        <v>0</v>
      </c>
      <c r="K119" s="219">
        <f t="shared" si="20"/>
        <v>0</v>
      </c>
      <c r="L119" s="232">
        <f t="shared" si="21"/>
        <v>0</v>
      </c>
      <c r="M119" s="219">
        <f t="shared" si="22"/>
        <v>0</v>
      </c>
      <c r="N119" s="219">
        <f t="shared" si="23"/>
        <v>0</v>
      </c>
      <c r="O119" s="219">
        <f t="shared" si="23"/>
        <v>0</v>
      </c>
      <c r="P119" s="219">
        <f t="shared" si="24"/>
        <v>0</v>
      </c>
      <c r="Q119" s="219">
        <f t="shared" si="25"/>
        <v>0</v>
      </c>
    </row>
    <row r="120" spans="9:17" hidden="1" x14ac:dyDescent="0.25">
      <c r="I120" s="219">
        <f t="shared" si="18"/>
        <v>0</v>
      </c>
      <c r="J120" s="219">
        <f t="shared" si="19"/>
        <v>0</v>
      </c>
      <c r="K120" s="219">
        <f t="shared" si="20"/>
        <v>0</v>
      </c>
      <c r="L120" s="232">
        <f t="shared" si="21"/>
        <v>0</v>
      </c>
      <c r="M120" s="219">
        <f t="shared" si="22"/>
        <v>0</v>
      </c>
      <c r="N120" s="219">
        <f t="shared" si="23"/>
        <v>0</v>
      </c>
      <c r="O120" s="219">
        <f t="shared" si="23"/>
        <v>0</v>
      </c>
      <c r="P120" s="219">
        <f t="shared" si="24"/>
        <v>0</v>
      </c>
      <c r="Q120" s="219">
        <f t="shared" si="25"/>
        <v>0</v>
      </c>
    </row>
    <row r="121" spans="9:17" hidden="1" x14ac:dyDescent="0.25">
      <c r="I121" s="219">
        <f t="shared" si="18"/>
        <v>0</v>
      </c>
      <c r="J121" s="219">
        <f t="shared" si="19"/>
        <v>0</v>
      </c>
      <c r="K121" s="219">
        <f t="shared" si="20"/>
        <v>0</v>
      </c>
      <c r="L121" s="232">
        <f t="shared" si="21"/>
        <v>0</v>
      </c>
      <c r="M121" s="219">
        <f t="shared" si="22"/>
        <v>0</v>
      </c>
      <c r="N121" s="219">
        <f t="shared" si="23"/>
        <v>0</v>
      </c>
      <c r="O121" s="219">
        <f t="shared" si="23"/>
        <v>0</v>
      </c>
      <c r="P121" s="219">
        <f t="shared" si="24"/>
        <v>0</v>
      </c>
      <c r="Q121" s="219">
        <f t="shared" si="25"/>
        <v>0</v>
      </c>
    </row>
    <row r="122" spans="9:17" hidden="1" x14ac:dyDescent="0.25">
      <c r="I122" s="219">
        <f t="shared" si="18"/>
        <v>0</v>
      </c>
      <c r="J122" s="219">
        <f t="shared" si="19"/>
        <v>0</v>
      </c>
      <c r="K122" s="219">
        <f t="shared" si="20"/>
        <v>0</v>
      </c>
      <c r="L122" s="232">
        <f t="shared" si="21"/>
        <v>0</v>
      </c>
      <c r="M122" s="219">
        <f t="shared" si="22"/>
        <v>0</v>
      </c>
      <c r="N122" s="219">
        <f t="shared" si="23"/>
        <v>0</v>
      </c>
      <c r="O122" s="219">
        <f t="shared" si="23"/>
        <v>0</v>
      </c>
      <c r="P122" s="219">
        <f t="shared" si="24"/>
        <v>0</v>
      </c>
      <c r="Q122" s="219">
        <f t="shared" si="25"/>
        <v>0</v>
      </c>
    </row>
    <row r="123" spans="9:17" hidden="1" x14ac:dyDescent="0.25">
      <c r="I123" s="219">
        <f t="shared" si="18"/>
        <v>0</v>
      </c>
      <c r="J123" s="219">
        <f t="shared" si="19"/>
        <v>0</v>
      </c>
      <c r="K123" s="219">
        <f t="shared" si="20"/>
        <v>0</v>
      </c>
      <c r="L123" s="232">
        <f t="shared" si="21"/>
        <v>0</v>
      </c>
      <c r="M123" s="219">
        <f t="shared" si="22"/>
        <v>0</v>
      </c>
      <c r="N123" s="219">
        <f t="shared" si="23"/>
        <v>0</v>
      </c>
      <c r="O123" s="219">
        <f t="shared" si="23"/>
        <v>0</v>
      </c>
      <c r="P123" s="219">
        <f t="shared" si="24"/>
        <v>0</v>
      </c>
      <c r="Q123" s="219">
        <f t="shared" si="25"/>
        <v>0</v>
      </c>
    </row>
    <row r="124" spans="9:17" hidden="1" x14ac:dyDescent="0.25">
      <c r="I124" s="219">
        <f t="shared" si="18"/>
        <v>0</v>
      </c>
      <c r="J124" s="219">
        <f t="shared" si="19"/>
        <v>0</v>
      </c>
      <c r="K124" s="219">
        <f t="shared" si="20"/>
        <v>0</v>
      </c>
      <c r="L124" s="232">
        <f t="shared" si="21"/>
        <v>0</v>
      </c>
      <c r="M124" s="219">
        <f t="shared" si="22"/>
        <v>0</v>
      </c>
      <c r="N124" s="219">
        <f t="shared" si="23"/>
        <v>0</v>
      </c>
      <c r="O124" s="219">
        <f t="shared" si="23"/>
        <v>0</v>
      </c>
      <c r="P124" s="219">
        <f t="shared" si="24"/>
        <v>0</v>
      </c>
      <c r="Q124" s="219">
        <f t="shared" si="25"/>
        <v>0</v>
      </c>
    </row>
    <row r="125" spans="9:17" hidden="1" x14ac:dyDescent="0.25">
      <c r="I125" s="219">
        <f t="shared" si="18"/>
        <v>0</v>
      </c>
      <c r="J125" s="219">
        <f t="shared" si="19"/>
        <v>0</v>
      </c>
      <c r="K125" s="219">
        <f t="shared" si="20"/>
        <v>0</v>
      </c>
      <c r="L125" s="232">
        <f t="shared" si="21"/>
        <v>0</v>
      </c>
      <c r="M125" s="219">
        <f t="shared" si="22"/>
        <v>0</v>
      </c>
      <c r="N125" s="219">
        <f t="shared" si="23"/>
        <v>0</v>
      </c>
      <c r="O125" s="219">
        <f t="shared" si="23"/>
        <v>0</v>
      </c>
      <c r="P125" s="219">
        <f t="shared" si="24"/>
        <v>0</v>
      </c>
      <c r="Q125" s="219">
        <f t="shared" si="25"/>
        <v>0</v>
      </c>
    </row>
    <row r="126" spans="9:17" hidden="1" x14ac:dyDescent="0.25">
      <c r="I126" s="219">
        <f t="shared" si="18"/>
        <v>0</v>
      </c>
      <c r="J126" s="219">
        <f t="shared" si="19"/>
        <v>0</v>
      </c>
      <c r="K126" s="219">
        <f t="shared" si="20"/>
        <v>0</v>
      </c>
      <c r="L126" s="232">
        <f t="shared" si="21"/>
        <v>0</v>
      </c>
      <c r="M126" s="219">
        <f t="shared" si="22"/>
        <v>0</v>
      </c>
      <c r="N126" s="219">
        <f t="shared" si="23"/>
        <v>0</v>
      </c>
      <c r="O126" s="219">
        <f t="shared" si="23"/>
        <v>0</v>
      </c>
      <c r="P126" s="219">
        <f t="shared" si="24"/>
        <v>0</v>
      </c>
      <c r="Q126" s="219">
        <f t="shared" si="25"/>
        <v>0</v>
      </c>
    </row>
    <row r="127" spans="9:17" hidden="1" x14ac:dyDescent="0.25">
      <c r="I127" s="219">
        <f t="shared" si="18"/>
        <v>0</v>
      </c>
      <c r="J127" s="219">
        <f t="shared" si="19"/>
        <v>0</v>
      </c>
      <c r="K127" s="219">
        <f t="shared" si="20"/>
        <v>0</v>
      </c>
      <c r="L127" s="232">
        <f t="shared" si="21"/>
        <v>0</v>
      </c>
      <c r="M127" s="219">
        <f t="shared" si="22"/>
        <v>0</v>
      </c>
      <c r="N127" s="219">
        <f t="shared" si="23"/>
        <v>0</v>
      </c>
      <c r="O127" s="219">
        <f t="shared" si="23"/>
        <v>0</v>
      </c>
      <c r="P127" s="219">
        <f t="shared" si="24"/>
        <v>0</v>
      </c>
      <c r="Q127" s="219">
        <f t="shared" si="25"/>
        <v>0</v>
      </c>
    </row>
    <row r="128" spans="9:17" hidden="1" x14ac:dyDescent="0.25">
      <c r="I128" s="219">
        <f t="shared" si="18"/>
        <v>0</v>
      </c>
      <c r="J128" s="219">
        <f t="shared" si="19"/>
        <v>0</v>
      </c>
      <c r="K128" s="219">
        <f t="shared" si="20"/>
        <v>0</v>
      </c>
      <c r="L128" s="232">
        <f t="shared" si="21"/>
        <v>0</v>
      </c>
      <c r="M128" s="219">
        <f t="shared" si="22"/>
        <v>0</v>
      </c>
      <c r="N128" s="219">
        <f t="shared" si="23"/>
        <v>0</v>
      </c>
      <c r="O128" s="219">
        <f t="shared" si="23"/>
        <v>0</v>
      </c>
      <c r="P128" s="219">
        <f t="shared" si="24"/>
        <v>0</v>
      </c>
      <c r="Q128" s="219">
        <f t="shared" si="25"/>
        <v>0</v>
      </c>
    </row>
    <row r="129" spans="9:17" hidden="1" x14ac:dyDescent="0.25">
      <c r="I129" s="219">
        <f t="shared" si="18"/>
        <v>0</v>
      </c>
      <c r="J129" s="219">
        <f t="shared" si="19"/>
        <v>0</v>
      </c>
      <c r="K129" s="219">
        <f t="shared" si="20"/>
        <v>0</v>
      </c>
      <c r="L129" s="232">
        <f t="shared" si="21"/>
        <v>0</v>
      </c>
      <c r="M129" s="219">
        <f t="shared" si="22"/>
        <v>0</v>
      </c>
      <c r="N129" s="219">
        <f t="shared" si="23"/>
        <v>0</v>
      </c>
      <c r="O129" s="219">
        <f t="shared" si="23"/>
        <v>0</v>
      </c>
      <c r="P129" s="219">
        <f t="shared" si="24"/>
        <v>0</v>
      </c>
      <c r="Q129" s="219">
        <f t="shared" si="25"/>
        <v>0</v>
      </c>
    </row>
    <row r="130" spans="9:17" hidden="1" x14ac:dyDescent="0.25">
      <c r="I130" s="219">
        <f t="shared" si="18"/>
        <v>0</v>
      </c>
      <c r="J130" s="219">
        <f t="shared" si="19"/>
        <v>0</v>
      </c>
      <c r="K130" s="219">
        <f t="shared" si="20"/>
        <v>0</v>
      </c>
      <c r="L130" s="232">
        <f t="shared" si="21"/>
        <v>0</v>
      </c>
      <c r="M130" s="219">
        <f t="shared" si="22"/>
        <v>0</v>
      </c>
      <c r="N130" s="219">
        <f t="shared" si="23"/>
        <v>0</v>
      </c>
      <c r="O130" s="219">
        <f t="shared" si="23"/>
        <v>0</v>
      </c>
      <c r="P130" s="219">
        <f t="shared" si="24"/>
        <v>0</v>
      </c>
      <c r="Q130" s="219">
        <f t="shared" si="25"/>
        <v>0</v>
      </c>
    </row>
    <row r="131" spans="9:17" hidden="1" x14ac:dyDescent="0.25">
      <c r="I131" s="219">
        <f t="shared" si="18"/>
        <v>0</v>
      </c>
      <c r="J131" s="219">
        <f t="shared" si="19"/>
        <v>0</v>
      </c>
      <c r="K131" s="219">
        <f t="shared" si="20"/>
        <v>0</v>
      </c>
      <c r="L131" s="232">
        <f t="shared" si="21"/>
        <v>0</v>
      </c>
      <c r="M131" s="219">
        <f t="shared" si="22"/>
        <v>0</v>
      </c>
      <c r="N131" s="219">
        <f t="shared" si="23"/>
        <v>0</v>
      </c>
      <c r="O131" s="219">
        <f t="shared" si="23"/>
        <v>0</v>
      </c>
      <c r="P131" s="219">
        <f t="shared" si="24"/>
        <v>0</v>
      </c>
      <c r="Q131" s="219">
        <f t="shared" si="25"/>
        <v>0</v>
      </c>
    </row>
    <row r="132" spans="9:17" hidden="1" x14ac:dyDescent="0.25">
      <c r="I132" s="219">
        <f t="shared" si="18"/>
        <v>0</v>
      </c>
      <c r="J132" s="219">
        <f t="shared" si="19"/>
        <v>0</v>
      </c>
      <c r="K132" s="219">
        <f t="shared" si="20"/>
        <v>0</v>
      </c>
      <c r="L132" s="232">
        <f t="shared" si="21"/>
        <v>0</v>
      </c>
      <c r="M132" s="219">
        <f t="shared" si="22"/>
        <v>0</v>
      </c>
      <c r="N132" s="219">
        <f t="shared" si="23"/>
        <v>0</v>
      </c>
      <c r="O132" s="219">
        <f t="shared" si="23"/>
        <v>0</v>
      </c>
      <c r="P132" s="219">
        <f t="shared" si="24"/>
        <v>0</v>
      </c>
      <c r="Q132" s="219">
        <f t="shared" si="25"/>
        <v>0</v>
      </c>
    </row>
    <row r="133" spans="9:17" hidden="1" x14ac:dyDescent="0.25">
      <c r="I133" s="219">
        <f t="shared" ref="I133:I196" si="26">SUM(R133:S133)</f>
        <v>0</v>
      </c>
      <c r="J133" s="219">
        <f t="shared" ref="J133:J196" si="27">SUM(T133:V133)</f>
        <v>0</v>
      </c>
      <c r="K133" s="219">
        <f t="shared" ref="K133:K196" si="28">W133</f>
        <v>0</v>
      </c>
      <c r="L133" s="232">
        <f t="shared" ref="L133:L196" si="29">SUM(X133:AB133)</f>
        <v>0</v>
      </c>
      <c r="M133" s="219">
        <f t="shared" ref="M133:M196" si="30">SUM(AC133:AE133)</f>
        <v>0</v>
      </c>
      <c r="N133" s="219">
        <f t="shared" ref="N133:O196" si="31">AG133</f>
        <v>0</v>
      </c>
      <c r="O133" s="219">
        <f t="shared" si="31"/>
        <v>0</v>
      </c>
      <c r="P133" s="219">
        <f t="shared" ref="P133:P196" si="32">SUM(AK133:AM133)</f>
        <v>0</v>
      </c>
      <c r="Q133" s="219">
        <f t="shared" ref="Q133:Q196" si="33">AN133</f>
        <v>0</v>
      </c>
    </row>
    <row r="134" spans="9:17" hidden="1" x14ac:dyDescent="0.25">
      <c r="I134" s="219">
        <f t="shared" si="26"/>
        <v>0</v>
      </c>
      <c r="J134" s="219">
        <f t="shared" si="27"/>
        <v>0</v>
      </c>
      <c r="K134" s="219">
        <f t="shared" si="28"/>
        <v>0</v>
      </c>
      <c r="L134" s="232">
        <f t="shared" si="29"/>
        <v>0</v>
      </c>
      <c r="M134" s="219">
        <f t="shared" si="30"/>
        <v>0</v>
      </c>
      <c r="N134" s="219">
        <f t="shared" si="31"/>
        <v>0</v>
      </c>
      <c r="O134" s="219">
        <f t="shared" si="31"/>
        <v>0</v>
      </c>
      <c r="P134" s="219">
        <f t="shared" si="32"/>
        <v>0</v>
      </c>
      <c r="Q134" s="219">
        <f t="shared" si="33"/>
        <v>0</v>
      </c>
    </row>
    <row r="135" spans="9:17" hidden="1" x14ac:dyDescent="0.25">
      <c r="I135" s="219">
        <f t="shared" si="26"/>
        <v>0</v>
      </c>
      <c r="J135" s="219">
        <f t="shared" si="27"/>
        <v>0</v>
      </c>
      <c r="K135" s="219">
        <f t="shared" si="28"/>
        <v>0</v>
      </c>
      <c r="L135" s="232">
        <f t="shared" si="29"/>
        <v>0</v>
      </c>
      <c r="M135" s="219">
        <f t="shared" si="30"/>
        <v>0</v>
      </c>
      <c r="N135" s="219">
        <f t="shared" si="31"/>
        <v>0</v>
      </c>
      <c r="O135" s="219">
        <f t="shared" si="31"/>
        <v>0</v>
      </c>
      <c r="P135" s="219">
        <f t="shared" si="32"/>
        <v>0</v>
      </c>
      <c r="Q135" s="219">
        <f t="shared" si="33"/>
        <v>0</v>
      </c>
    </row>
    <row r="136" spans="9:17" hidden="1" x14ac:dyDescent="0.25">
      <c r="I136" s="219">
        <f t="shared" si="26"/>
        <v>0</v>
      </c>
      <c r="J136" s="219">
        <f t="shared" si="27"/>
        <v>0</v>
      </c>
      <c r="K136" s="219">
        <f t="shared" si="28"/>
        <v>0</v>
      </c>
      <c r="L136" s="232">
        <f t="shared" si="29"/>
        <v>0</v>
      </c>
      <c r="M136" s="219">
        <f t="shared" si="30"/>
        <v>0</v>
      </c>
      <c r="N136" s="219">
        <f t="shared" si="31"/>
        <v>0</v>
      </c>
      <c r="O136" s="219">
        <f t="shared" si="31"/>
        <v>0</v>
      </c>
      <c r="P136" s="219">
        <f t="shared" si="32"/>
        <v>0</v>
      </c>
      <c r="Q136" s="219">
        <f t="shared" si="33"/>
        <v>0</v>
      </c>
    </row>
    <row r="137" spans="9:17" hidden="1" x14ac:dyDescent="0.25">
      <c r="I137" s="219">
        <f t="shared" si="26"/>
        <v>0</v>
      </c>
      <c r="J137" s="219">
        <f t="shared" si="27"/>
        <v>0</v>
      </c>
      <c r="K137" s="219">
        <f t="shared" si="28"/>
        <v>0</v>
      </c>
      <c r="L137" s="232">
        <f t="shared" si="29"/>
        <v>0</v>
      </c>
      <c r="M137" s="219">
        <f t="shared" si="30"/>
        <v>0</v>
      </c>
      <c r="N137" s="219">
        <f t="shared" si="31"/>
        <v>0</v>
      </c>
      <c r="O137" s="219">
        <f t="shared" si="31"/>
        <v>0</v>
      </c>
      <c r="P137" s="219">
        <f t="shared" si="32"/>
        <v>0</v>
      </c>
      <c r="Q137" s="219">
        <f t="shared" si="33"/>
        <v>0</v>
      </c>
    </row>
    <row r="138" spans="9:17" hidden="1" x14ac:dyDescent="0.25">
      <c r="I138" s="219">
        <f t="shared" si="26"/>
        <v>0</v>
      </c>
      <c r="J138" s="219">
        <f t="shared" si="27"/>
        <v>0</v>
      </c>
      <c r="K138" s="219">
        <f t="shared" si="28"/>
        <v>0</v>
      </c>
      <c r="L138" s="232">
        <f t="shared" si="29"/>
        <v>0</v>
      </c>
      <c r="M138" s="219">
        <f t="shared" si="30"/>
        <v>0</v>
      </c>
      <c r="N138" s="219">
        <f t="shared" si="31"/>
        <v>0</v>
      </c>
      <c r="O138" s="219">
        <f t="shared" si="31"/>
        <v>0</v>
      </c>
      <c r="P138" s="219">
        <f t="shared" si="32"/>
        <v>0</v>
      </c>
      <c r="Q138" s="219">
        <f t="shared" si="33"/>
        <v>0</v>
      </c>
    </row>
    <row r="139" spans="9:17" hidden="1" x14ac:dyDescent="0.25">
      <c r="I139" s="219">
        <f t="shared" si="26"/>
        <v>0</v>
      </c>
      <c r="J139" s="219">
        <f t="shared" si="27"/>
        <v>0</v>
      </c>
      <c r="K139" s="219">
        <f t="shared" si="28"/>
        <v>0</v>
      </c>
      <c r="L139" s="232">
        <f t="shared" si="29"/>
        <v>0</v>
      </c>
      <c r="M139" s="219">
        <f t="shared" si="30"/>
        <v>0</v>
      </c>
      <c r="N139" s="219">
        <f t="shared" si="31"/>
        <v>0</v>
      </c>
      <c r="O139" s="219">
        <f t="shared" si="31"/>
        <v>0</v>
      </c>
      <c r="P139" s="219">
        <f t="shared" si="32"/>
        <v>0</v>
      </c>
      <c r="Q139" s="219">
        <f t="shared" si="33"/>
        <v>0</v>
      </c>
    </row>
    <row r="140" spans="9:17" hidden="1" x14ac:dyDescent="0.25">
      <c r="I140" s="219">
        <f t="shared" si="26"/>
        <v>0</v>
      </c>
      <c r="J140" s="219">
        <f t="shared" si="27"/>
        <v>0</v>
      </c>
      <c r="K140" s="219">
        <f t="shared" si="28"/>
        <v>0</v>
      </c>
      <c r="L140" s="232">
        <f t="shared" si="29"/>
        <v>0</v>
      </c>
      <c r="M140" s="219">
        <f t="shared" si="30"/>
        <v>0</v>
      </c>
      <c r="N140" s="219">
        <f t="shared" si="31"/>
        <v>0</v>
      </c>
      <c r="O140" s="219">
        <f t="shared" si="31"/>
        <v>0</v>
      </c>
      <c r="P140" s="219">
        <f t="shared" si="32"/>
        <v>0</v>
      </c>
      <c r="Q140" s="219">
        <f t="shared" si="33"/>
        <v>0</v>
      </c>
    </row>
    <row r="141" spans="9:17" hidden="1" x14ac:dyDescent="0.25">
      <c r="I141" s="219">
        <f t="shared" si="26"/>
        <v>0</v>
      </c>
      <c r="J141" s="219">
        <f t="shared" si="27"/>
        <v>0</v>
      </c>
      <c r="K141" s="219">
        <f t="shared" si="28"/>
        <v>0</v>
      </c>
      <c r="L141" s="232">
        <f t="shared" si="29"/>
        <v>0</v>
      </c>
      <c r="M141" s="219">
        <f t="shared" si="30"/>
        <v>0</v>
      </c>
      <c r="N141" s="219">
        <f t="shared" si="31"/>
        <v>0</v>
      </c>
      <c r="O141" s="219">
        <f t="shared" si="31"/>
        <v>0</v>
      </c>
      <c r="P141" s="219">
        <f t="shared" si="32"/>
        <v>0</v>
      </c>
      <c r="Q141" s="219">
        <f t="shared" si="33"/>
        <v>0</v>
      </c>
    </row>
    <row r="142" spans="9:17" hidden="1" x14ac:dyDescent="0.25">
      <c r="I142" s="219">
        <f t="shared" si="26"/>
        <v>0</v>
      </c>
      <c r="J142" s="219">
        <f t="shared" si="27"/>
        <v>0</v>
      </c>
      <c r="K142" s="219">
        <f t="shared" si="28"/>
        <v>0</v>
      </c>
      <c r="L142" s="232">
        <f t="shared" si="29"/>
        <v>0</v>
      </c>
      <c r="M142" s="219">
        <f t="shared" si="30"/>
        <v>0</v>
      </c>
      <c r="N142" s="219">
        <f t="shared" si="31"/>
        <v>0</v>
      </c>
      <c r="O142" s="219">
        <f t="shared" si="31"/>
        <v>0</v>
      </c>
      <c r="P142" s="219">
        <f t="shared" si="32"/>
        <v>0</v>
      </c>
      <c r="Q142" s="219">
        <f t="shared" si="33"/>
        <v>0</v>
      </c>
    </row>
    <row r="143" spans="9:17" hidden="1" x14ac:dyDescent="0.25">
      <c r="I143" s="219">
        <f t="shared" si="26"/>
        <v>0</v>
      </c>
      <c r="J143" s="219">
        <f t="shared" si="27"/>
        <v>0</v>
      </c>
      <c r="K143" s="219">
        <f t="shared" si="28"/>
        <v>0</v>
      </c>
      <c r="L143" s="232">
        <f t="shared" si="29"/>
        <v>0</v>
      </c>
      <c r="M143" s="219">
        <f t="shared" si="30"/>
        <v>0</v>
      </c>
      <c r="N143" s="219">
        <f t="shared" si="31"/>
        <v>0</v>
      </c>
      <c r="O143" s="219">
        <f t="shared" si="31"/>
        <v>0</v>
      </c>
      <c r="P143" s="219">
        <f t="shared" si="32"/>
        <v>0</v>
      </c>
      <c r="Q143" s="219">
        <f t="shared" si="33"/>
        <v>0</v>
      </c>
    </row>
    <row r="144" spans="9:17" hidden="1" x14ac:dyDescent="0.25">
      <c r="I144" s="219">
        <f t="shared" si="26"/>
        <v>0</v>
      </c>
      <c r="J144" s="219">
        <f t="shared" si="27"/>
        <v>0</v>
      </c>
      <c r="K144" s="219">
        <f t="shared" si="28"/>
        <v>0</v>
      </c>
      <c r="L144" s="232">
        <f t="shared" si="29"/>
        <v>0</v>
      </c>
      <c r="M144" s="219">
        <f t="shared" si="30"/>
        <v>0</v>
      </c>
      <c r="N144" s="219">
        <f t="shared" si="31"/>
        <v>0</v>
      </c>
      <c r="O144" s="219">
        <f t="shared" si="31"/>
        <v>0</v>
      </c>
      <c r="P144" s="219">
        <f t="shared" si="32"/>
        <v>0</v>
      </c>
      <c r="Q144" s="219">
        <f t="shared" si="33"/>
        <v>0</v>
      </c>
    </row>
    <row r="145" spans="9:17" hidden="1" x14ac:dyDescent="0.25">
      <c r="I145" s="219">
        <f t="shared" si="26"/>
        <v>0</v>
      </c>
      <c r="J145" s="219">
        <f t="shared" si="27"/>
        <v>0</v>
      </c>
      <c r="K145" s="219">
        <f t="shared" si="28"/>
        <v>0</v>
      </c>
      <c r="L145" s="232">
        <f t="shared" si="29"/>
        <v>0</v>
      </c>
      <c r="M145" s="219">
        <f t="shared" si="30"/>
        <v>0</v>
      </c>
      <c r="N145" s="219">
        <f t="shared" si="31"/>
        <v>0</v>
      </c>
      <c r="O145" s="219">
        <f t="shared" si="31"/>
        <v>0</v>
      </c>
      <c r="P145" s="219">
        <f t="shared" si="32"/>
        <v>0</v>
      </c>
      <c r="Q145" s="219">
        <f t="shared" si="33"/>
        <v>0</v>
      </c>
    </row>
    <row r="146" spans="9:17" hidden="1" x14ac:dyDescent="0.25">
      <c r="I146" s="219">
        <f t="shared" si="26"/>
        <v>0</v>
      </c>
      <c r="J146" s="219">
        <f t="shared" si="27"/>
        <v>0</v>
      </c>
      <c r="K146" s="219">
        <f t="shared" si="28"/>
        <v>0</v>
      </c>
      <c r="L146" s="232">
        <f t="shared" si="29"/>
        <v>0</v>
      </c>
      <c r="M146" s="219">
        <f t="shared" si="30"/>
        <v>0</v>
      </c>
      <c r="N146" s="219">
        <f t="shared" si="31"/>
        <v>0</v>
      </c>
      <c r="O146" s="219">
        <f t="shared" si="31"/>
        <v>0</v>
      </c>
      <c r="P146" s="219">
        <f t="shared" si="32"/>
        <v>0</v>
      </c>
      <c r="Q146" s="219">
        <f t="shared" si="33"/>
        <v>0</v>
      </c>
    </row>
    <row r="147" spans="9:17" hidden="1" x14ac:dyDescent="0.25">
      <c r="I147" s="219">
        <f t="shared" si="26"/>
        <v>0</v>
      </c>
      <c r="J147" s="219">
        <f t="shared" si="27"/>
        <v>0</v>
      </c>
      <c r="K147" s="219">
        <f t="shared" si="28"/>
        <v>0</v>
      </c>
      <c r="L147" s="232">
        <f t="shared" si="29"/>
        <v>0</v>
      </c>
      <c r="M147" s="219">
        <f t="shared" si="30"/>
        <v>0</v>
      </c>
      <c r="N147" s="219">
        <f t="shared" si="31"/>
        <v>0</v>
      </c>
      <c r="O147" s="219">
        <f t="shared" si="31"/>
        <v>0</v>
      </c>
      <c r="P147" s="219">
        <f t="shared" si="32"/>
        <v>0</v>
      </c>
      <c r="Q147" s="219">
        <f t="shared" si="33"/>
        <v>0</v>
      </c>
    </row>
    <row r="148" spans="9:17" hidden="1" x14ac:dyDescent="0.25">
      <c r="I148" s="219">
        <f t="shared" si="26"/>
        <v>0</v>
      </c>
      <c r="J148" s="219">
        <f t="shared" si="27"/>
        <v>0</v>
      </c>
      <c r="K148" s="219">
        <f t="shared" si="28"/>
        <v>0</v>
      </c>
      <c r="L148" s="232">
        <f t="shared" si="29"/>
        <v>0</v>
      </c>
      <c r="M148" s="219">
        <f t="shared" si="30"/>
        <v>0</v>
      </c>
      <c r="N148" s="219">
        <f t="shared" si="31"/>
        <v>0</v>
      </c>
      <c r="O148" s="219">
        <f t="shared" si="31"/>
        <v>0</v>
      </c>
      <c r="P148" s="219">
        <f t="shared" si="32"/>
        <v>0</v>
      </c>
      <c r="Q148" s="219">
        <f t="shared" si="33"/>
        <v>0</v>
      </c>
    </row>
    <row r="149" spans="9:17" hidden="1" x14ac:dyDescent="0.25">
      <c r="I149" s="219">
        <f t="shared" si="26"/>
        <v>0</v>
      </c>
      <c r="J149" s="219">
        <f t="shared" si="27"/>
        <v>0</v>
      </c>
      <c r="K149" s="219">
        <f t="shared" si="28"/>
        <v>0</v>
      </c>
      <c r="L149" s="232">
        <f t="shared" si="29"/>
        <v>0</v>
      </c>
      <c r="M149" s="219">
        <f t="shared" si="30"/>
        <v>0</v>
      </c>
      <c r="N149" s="219">
        <f t="shared" si="31"/>
        <v>0</v>
      </c>
      <c r="O149" s="219">
        <f t="shared" si="31"/>
        <v>0</v>
      </c>
      <c r="P149" s="219">
        <f t="shared" si="32"/>
        <v>0</v>
      </c>
      <c r="Q149" s="219">
        <f t="shared" si="33"/>
        <v>0</v>
      </c>
    </row>
    <row r="150" spans="9:17" hidden="1" x14ac:dyDescent="0.25">
      <c r="I150" s="219">
        <f t="shared" si="26"/>
        <v>0</v>
      </c>
      <c r="J150" s="219">
        <f t="shared" si="27"/>
        <v>0</v>
      </c>
      <c r="K150" s="219">
        <f t="shared" si="28"/>
        <v>0</v>
      </c>
      <c r="L150" s="232">
        <f t="shared" si="29"/>
        <v>0</v>
      </c>
      <c r="M150" s="219">
        <f t="shared" si="30"/>
        <v>0</v>
      </c>
      <c r="N150" s="219">
        <f t="shared" si="31"/>
        <v>0</v>
      </c>
      <c r="O150" s="219">
        <f t="shared" si="31"/>
        <v>0</v>
      </c>
      <c r="P150" s="219">
        <f t="shared" si="32"/>
        <v>0</v>
      </c>
      <c r="Q150" s="219">
        <f t="shared" si="33"/>
        <v>0</v>
      </c>
    </row>
    <row r="151" spans="9:17" hidden="1" x14ac:dyDescent="0.25">
      <c r="I151" s="219">
        <f t="shared" si="26"/>
        <v>0</v>
      </c>
      <c r="J151" s="219">
        <f t="shared" si="27"/>
        <v>0</v>
      </c>
      <c r="K151" s="219">
        <f t="shared" si="28"/>
        <v>0</v>
      </c>
      <c r="L151" s="232">
        <f t="shared" si="29"/>
        <v>0</v>
      </c>
      <c r="M151" s="219">
        <f t="shared" si="30"/>
        <v>0</v>
      </c>
      <c r="N151" s="219">
        <f t="shared" si="31"/>
        <v>0</v>
      </c>
      <c r="O151" s="219">
        <f t="shared" si="31"/>
        <v>0</v>
      </c>
      <c r="P151" s="219">
        <f t="shared" si="32"/>
        <v>0</v>
      </c>
      <c r="Q151" s="219">
        <f t="shared" si="33"/>
        <v>0</v>
      </c>
    </row>
    <row r="152" spans="9:17" hidden="1" x14ac:dyDescent="0.25">
      <c r="I152" s="219">
        <f t="shared" si="26"/>
        <v>0</v>
      </c>
      <c r="J152" s="219">
        <f t="shared" si="27"/>
        <v>0</v>
      </c>
      <c r="K152" s="219">
        <f t="shared" si="28"/>
        <v>0</v>
      </c>
      <c r="L152" s="232">
        <f t="shared" si="29"/>
        <v>0</v>
      </c>
      <c r="M152" s="219">
        <f t="shared" si="30"/>
        <v>0</v>
      </c>
      <c r="N152" s="219">
        <f t="shared" si="31"/>
        <v>0</v>
      </c>
      <c r="O152" s="219">
        <f t="shared" si="31"/>
        <v>0</v>
      </c>
      <c r="P152" s="219">
        <f t="shared" si="32"/>
        <v>0</v>
      </c>
      <c r="Q152" s="219">
        <f t="shared" si="33"/>
        <v>0</v>
      </c>
    </row>
    <row r="153" spans="9:17" hidden="1" x14ac:dyDescent="0.25">
      <c r="I153" s="219">
        <f t="shared" si="26"/>
        <v>0</v>
      </c>
      <c r="J153" s="219">
        <f t="shared" si="27"/>
        <v>0</v>
      </c>
      <c r="K153" s="219">
        <f t="shared" si="28"/>
        <v>0</v>
      </c>
      <c r="L153" s="232">
        <f t="shared" si="29"/>
        <v>0</v>
      </c>
      <c r="M153" s="219">
        <f t="shared" si="30"/>
        <v>0</v>
      </c>
      <c r="N153" s="219">
        <f t="shared" si="31"/>
        <v>0</v>
      </c>
      <c r="O153" s="219">
        <f t="shared" si="31"/>
        <v>0</v>
      </c>
      <c r="P153" s="219">
        <f t="shared" si="32"/>
        <v>0</v>
      </c>
      <c r="Q153" s="219">
        <f t="shared" si="33"/>
        <v>0</v>
      </c>
    </row>
    <row r="154" spans="9:17" hidden="1" x14ac:dyDescent="0.25">
      <c r="I154" s="219">
        <f t="shared" si="26"/>
        <v>0</v>
      </c>
      <c r="J154" s="219">
        <f t="shared" si="27"/>
        <v>0</v>
      </c>
      <c r="K154" s="219">
        <f t="shared" si="28"/>
        <v>0</v>
      </c>
      <c r="L154" s="232">
        <f t="shared" si="29"/>
        <v>0</v>
      </c>
      <c r="M154" s="219">
        <f t="shared" si="30"/>
        <v>0</v>
      </c>
      <c r="N154" s="219">
        <f t="shared" si="31"/>
        <v>0</v>
      </c>
      <c r="O154" s="219">
        <f t="shared" si="31"/>
        <v>0</v>
      </c>
      <c r="P154" s="219">
        <f t="shared" si="32"/>
        <v>0</v>
      </c>
      <c r="Q154" s="219">
        <f t="shared" si="33"/>
        <v>0</v>
      </c>
    </row>
    <row r="155" spans="9:17" hidden="1" x14ac:dyDescent="0.25">
      <c r="I155" s="219">
        <f t="shared" si="26"/>
        <v>0</v>
      </c>
      <c r="J155" s="219">
        <f t="shared" si="27"/>
        <v>0</v>
      </c>
      <c r="K155" s="219">
        <f t="shared" si="28"/>
        <v>0</v>
      </c>
      <c r="L155" s="232">
        <f t="shared" si="29"/>
        <v>0</v>
      </c>
      <c r="M155" s="219">
        <f t="shared" si="30"/>
        <v>0</v>
      </c>
      <c r="N155" s="219">
        <f t="shared" si="31"/>
        <v>0</v>
      </c>
      <c r="O155" s="219">
        <f t="shared" si="31"/>
        <v>0</v>
      </c>
      <c r="P155" s="219">
        <f t="shared" si="32"/>
        <v>0</v>
      </c>
      <c r="Q155" s="219">
        <f t="shared" si="33"/>
        <v>0</v>
      </c>
    </row>
    <row r="156" spans="9:17" hidden="1" x14ac:dyDescent="0.25">
      <c r="I156" s="219">
        <f t="shared" si="26"/>
        <v>0</v>
      </c>
      <c r="J156" s="219">
        <f t="shared" si="27"/>
        <v>0</v>
      </c>
      <c r="K156" s="219">
        <f t="shared" si="28"/>
        <v>0</v>
      </c>
      <c r="L156" s="232">
        <f t="shared" si="29"/>
        <v>0</v>
      </c>
      <c r="M156" s="219">
        <f t="shared" si="30"/>
        <v>0</v>
      </c>
      <c r="N156" s="219">
        <f t="shared" si="31"/>
        <v>0</v>
      </c>
      <c r="O156" s="219">
        <f t="shared" si="31"/>
        <v>0</v>
      </c>
      <c r="P156" s="219">
        <f t="shared" si="32"/>
        <v>0</v>
      </c>
      <c r="Q156" s="219">
        <f t="shared" si="33"/>
        <v>0</v>
      </c>
    </row>
    <row r="157" spans="9:17" hidden="1" x14ac:dyDescent="0.25">
      <c r="I157" s="219">
        <f t="shared" si="26"/>
        <v>0</v>
      </c>
      <c r="J157" s="219">
        <f t="shared" si="27"/>
        <v>0</v>
      </c>
      <c r="K157" s="219">
        <f t="shared" si="28"/>
        <v>0</v>
      </c>
      <c r="L157" s="232">
        <f t="shared" si="29"/>
        <v>0</v>
      </c>
      <c r="M157" s="219">
        <f t="shared" si="30"/>
        <v>0</v>
      </c>
      <c r="N157" s="219">
        <f t="shared" si="31"/>
        <v>0</v>
      </c>
      <c r="O157" s="219">
        <f t="shared" si="31"/>
        <v>0</v>
      </c>
      <c r="P157" s="219">
        <f t="shared" si="32"/>
        <v>0</v>
      </c>
      <c r="Q157" s="219">
        <f t="shared" si="33"/>
        <v>0</v>
      </c>
    </row>
    <row r="158" spans="9:17" hidden="1" x14ac:dyDescent="0.25">
      <c r="I158" s="219">
        <f t="shared" si="26"/>
        <v>0</v>
      </c>
      <c r="J158" s="219">
        <f t="shared" si="27"/>
        <v>0</v>
      </c>
      <c r="K158" s="219">
        <f t="shared" si="28"/>
        <v>0</v>
      </c>
      <c r="L158" s="232">
        <f t="shared" si="29"/>
        <v>0</v>
      </c>
      <c r="M158" s="219">
        <f t="shared" si="30"/>
        <v>0</v>
      </c>
      <c r="N158" s="219">
        <f t="shared" si="31"/>
        <v>0</v>
      </c>
      <c r="O158" s="219">
        <f t="shared" si="31"/>
        <v>0</v>
      </c>
      <c r="P158" s="219">
        <f t="shared" si="32"/>
        <v>0</v>
      </c>
      <c r="Q158" s="219">
        <f t="shared" si="33"/>
        <v>0</v>
      </c>
    </row>
    <row r="159" spans="9:17" hidden="1" x14ac:dyDescent="0.25">
      <c r="I159" s="219">
        <f t="shared" si="26"/>
        <v>0</v>
      </c>
      <c r="J159" s="219">
        <f t="shared" si="27"/>
        <v>0</v>
      </c>
      <c r="K159" s="219">
        <f t="shared" si="28"/>
        <v>0</v>
      </c>
      <c r="L159" s="232">
        <f t="shared" si="29"/>
        <v>0</v>
      </c>
      <c r="M159" s="219">
        <f t="shared" si="30"/>
        <v>0</v>
      </c>
      <c r="N159" s="219">
        <f t="shared" si="31"/>
        <v>0</v>
      </c>
      <c r="O159" s="219">
        <f t="shared" si="31"/>
        <v>0</v>
      </c>
      <c r="P159" s="219">
        <f t="shared" si="32"/>
        <v>0</v>
      </c>
      <c r="Q159" s="219">
        <f t="shared" si="33"/>
        <v>0</v>
      </c>
    </row>
    <row r="160" spans="9:17" hidden="1" x14ac:dyDescent="0.25">
      <c r="I160" s="219">
        <f t="shared" si="26"/>
        <v>0</v>
      </c>
      <c r="J160" s="219">
        <f t="shared" si="27"/>
        <v>0</v>
      </c>
      <c r="K160" s="219">
        <f t="shared" si="28"/>
        <v>0</v>
      </c>
      <c r="L160" s="232">
        <f t="shared" si="29"/>
        <v>0</v>
      </c>
      <c r="M160" s="219">
        <f t="shared" si="30"/>
        <v>0</v>
      </c>
      <c r="N160" s="219">
        <f t="shared" si="31"/>
        <v>0</v>
      </c>
      <c r="O160" s="219">
        <f t="shared" si="31"/>
        <v>0</v>
      </c>
      <c r="P160" s="219">
        <f t="shared" si="32"/>
        <v>0</v>
      </c>
      <c r="Q160" s="219">
        <f t="shared" si="33"/>
        <v>0</v>
      </c>
    </row>
    <row r="161" spans="9:17" hidden="1" x14ac:dyDescent="0.25">
      <c r="I161" s="219">
        <f t="shared" si="26"/>
        <v>0</v>
      </c>
      <c r="J161" s="219">
        <f t="shared" si="27"/>
        <v>0</v>
      </c>
      <c r="K161" s="219">
        <f t="shared" si="28"/>
        <v>0</v>
      </c>
      <c r="L161" s="232">
        <f t="shared" si="29"/>
        <v>0</v>
      </c>
      <c r="M161" s="219">
        <f t="shared" si="30"/>
        <v>0</v>
      </c>
      <c r="N161" s="219">
        <f t="shared" si="31"/>
        <v>0</v>
      </c>
      <c r="O161" s="219">
        <f t="shared" si="31"/>
        <v>0</v>
      </c>
      <c r="P161" s="219">
        <f t="shared" si="32"/>
        <v>0</v>
      </c>
      <c r="Q161" s="219">
        <f t="shared" si="33"/>
        <v>0</v>
      </c>
    </row>
    <row r="162" spans="9:17" hidden="1" x14ac:dyDescent="0.25">
      <c r="I162" s="219">
        <f t="shared" si="26"/>
        <v>0</v>
      </c>
      <c r="J162" s="219">
        <f t="shared" si="27"/>
        <v>0</v>
      </c>
      <c r="K162" s="219">
        <f t="shared" si="28"/>
        <v>0</v>
      </c>
      <c r="L162" s="232">
        <f t="shared" si="29"/>
        <v>0</v>
      </c>
      <c r="M162" s="219">
        <f t="shared" si="30"/>
        <v>0</v>
      </c>
      <c r="N162" s="219">
        <f t="shared" si="31"/>
        <v>0</v>
      </c>
      <c r="O162" s="219">
        <f t="shared" si="31"/>
        <v>0</v>
      </c>
      <c r="P162" s="219">
        <f t="shared" si="32"/>
        <v>0</v>
      </c>
      <c r="Q162" s="219">
        <f t="shared" si="33"/>
        <v>0</v>
      </c>
    </row>
    <row r="163" spans="9:17" hidden="1" x14ac:dyDescent="0.25">
      <c r="I163" s="219">
        <f t="shared" si="26"/>
        <v>0</v>
      </c>
      <c r="J163" s="219">
        <f t="shared" si="27"/>
        <v>0</v>
      </c>
      <c r="K163" s="219">
        <f t="shared" si="28"/>
        <v>0</v>
      </c>
      <c r="L163" s="232">
        <f t="shared" si="29"/>
        <v>0</v>
      </c>
      <c r="M163" s="219">
        <f t="shared" si="30"/>
        <v>0</v>
      </c>
      <c r="N163" s="219">
        <f t="shared" si="31"/>
        <v>0</v>
      </c>
      <c r="O163" s="219">
        <f t="shared" si="31"/>
        <v>0</v>
      </c>
      <c r="P163" s="219">
        <f t="shared" si="32"/>
        <v>0</v>
      </c>
      <c r="Q163" s="219">
        <f t="shared" si="33"/>
        <v>0</v>
      </c>
    </row>
    <row r="164" spans="9:17" hidden="1" x14ac:dyDescent="0.25">
      <c r="I164" s="219">
        <f t="shared" si="26"/>
        <v>0</v>
      </c>
      <c r="J164" s="219">
        <f t="shared" si="27"/>
        <v>0</v>
      </c>
      <c r="K164" s="219">
        <f t="shared" si="28"/>
        <v>0</v>
      </c>
      <c r="L164" s="232">
        <f t="shared" si="29"/>
        <v>0</v>
      </c>
      <c r="M164" s="219">
        <f t="shared" si="30"/>
        <v>0</v>
      </c>
      <c r="N164" s="219">
        <f t="shared" si="31"/>
        <v>0</v>
      </c>
      <c r="O164" s="219">
        <f t="shared" si="31"/>
        <v>0</v>
      </c>
      <c r="P164" s="219">
        <f t="shared" si="32"/>
        <v>0</v>
      </c>
      <c r="Q164" s="219">
        <f t="shared" si="33"/>
        <v>0</v>
      </c>
    </row>
    <row r="165" spans="9:17" hidden="1" x14ac:dyDescent="0.25">
      <c r="I165" s="219">
        <f t="shared" si="26"/>
        <v>0</v>
      </c>
      <c r="J165" s="219">
        <f t="shared" si="27"/>
        <v>0</v>
      </c>
      <c r="K165" s="219">
        <f t="shared" si="28"/>
        <v>0</v>
      </c>
      <c r="L165" s="232">
        <f t="shared" si="29"/>
        <v>0</v>
      </c>
      <c r="M165" s="219">
        <f t="shared" si="30"/>
        <v>0</v>
      </c>
      <c r="N165" s="219">
        <f t="shared" si="31"/>
        <v>0</v>
      </c>
      <c r="O165" s="219">
        <f t="shared" si="31"/>
        <v>0</v>
      </c>
      <c r="P165" s="219">
        <f t="shared" si="32"/>
        <v>0</v>
      </c>
      <c r="Q165" s="219">
        <f t="shared" si="33"/>
        <v>0</v>
      </c>
    </row>
    <row r="166" spans="9:17" hidden="1" x14ac:dyDescent="0.25">
      <c r="I166" s="219">
        <f t="shared" si="26"/>
        <v>0</v>
      </c>
      <c r="J166" s="219">
        <f t="shared" si="27"/>
        <v>0</v>
      </c>
      <c r="K166" s="219">
        <f t="shared" si="28"/>
        <v>0</v>
      </c>
      <c r="L166" s="232">
        <f t="shared" si="29"/>
        <v>0</v>
      </c>
      <c r="M166" s="219">
        <f t="shared" si="30"/>
        <v>0</v>
      </c>
      <c r="N166" s="219">
        <f t="shared" si="31"/>
        <v>0</v>
      </c>
      <c r="O166" s="219">
        <f t="shared" si="31"/>
        <v>0</v>
      </c>
      <c r="P166" s="219">
        <f t="shared" si="32"/>
        <v>0</v>
      </c>
      <c r="Q166" s="219">
        <f t="shared" si="33"/>
        <v>0</v>
      </c>
    </row>
    <row r="167" spans="9:17" hidden="1" x14ac:dyDescent="0.25">
      <c r="I167" s="219">
        <f t="shared" si="26"/>
        <v>0</v>
      </c>
      <c r="J167" s="219">
        <f t="shared" si="27"/>
        <v>0</v>
      </c>
      <c r="K167" s="219">
        <f t="shared" si="28"/>
        <v>0</v>
      </c>
      <c r="L167" s="232">
        <f t="shared" si="29"/>
        <v>0</v>
      </c>
      <c r="M167" s="219">
        <f t="shared" si="30"/>
        <v>0</v>
      </c>
      <c r="N167" s="219">
        <f t="shared" si="31"/>
        <v>0</v>
      </c>
      <c r="O167" s="219">
        <f t="shared" si="31"/>
        <v>0</v>
      </c>
      <c r="P167" s="219">
        <f t="shared" si="32"/>
        <v>0</v>
      </c>
      <c r="Q167" s="219">
        <f t="shared" si="33"/>
        <v>0</v>
      </c>
    </row>
    <row r="168" spans="9:17" hidden="1" x14ac:dyDescent="0.25">
      <c r="I168" s="219">
        <f t="shared" si="26"/>
        <v>0</v>
      </c>
      <c r="J168" s="219">
        <f t="shared" si="27"/>
        <v>0</v>
      </c>
      <c r="K168" s="219">
        <f t="shared" si="28"/>
        <v>0</v>
      </c>
      <c r="L168" s="232">
        <f t="shared" si="29"/>
        <v>0</v>
      </c>
      <c r="M168" s="219">
        <f t="shared" si="30"/>
        <v>0</v>
      </c>
      <c r="N168" s="219">
        <f t="shared" si="31"/>
        <v>0</v>
      </c>
      <c r="O168" s="219">
        <f t="shared" si="31"/>
        <v>0</v>
      </c>
      <c r="P168" s="219">
        <f t="shared" si="32"/>
        <v>0</v>
      </c>
      <c r="Q168" s="219">
        <f t="shared" si="33"/>
        <v>0</v>
      </c>
    </row>
    <row r="169" spans="9:17" hidden="1" x14ac:dyDescent="0.25">
      <c r="I169" s="219">
        <f t="shared" si="26"/>
        <v>0</v>
      </c>
      <c r="J169" s="219">
        <f t="shared" si="27"/>
        <v>0</v>
      </c>
      <c r="K169" s="219">
        <f t="shared" si="28"/>
        <v>0</v>
      </c>
      <c r="L169" s="232">
        <f t="shared" si="29"/>
        <v>0</v>
      </c>
      <c r="M169" s="219">
        <f t="shared" si="30"/>
        <v>0</v>
      </c>
      <c r="N169" s="219">
        <f t="shared" si="31"/>
        <v>0</v>
      </c>
      <c r="O169" s="219">
        <f t="shared" si="31"/>
        <v>0</v>
      </c>
      <c r="P169" s="219">
        <f t="shared" si="32"/>
        <v>0</v>
      </c>
      <c r="Q169" s="219">
        <f t="shared" si="33"/>
        <v>0</v>
      </c>
    </row>
    <row r="170" spans="9:17" hidden="1" x14ac:dyDescent="0.25">
      <c r="I170" s="219">
        <f t="shared" si="26"/>
        <v>0</v>
      </c>
      <c r="J170" s="219">
        <f t="shared" si="27"/>
        <v>0</v>
      </c>
      <c r="K170" s="219">
        <f t="shared" si="28"/>
        <v>0</v>
      </c>
      <c r="L170" s="232">
        <f t="shared" si="29"/>
        <v>0</v>
      </c>
      <c r="M170" s="219">
        <f t="shared" si="30"/>
        <v>0</v>
      </c>
      <c r="N170" s="219">
        <f t="shared" si="31"/>
        <v>0</v>
      </c>
      <c r="O170" s="219">
        <f t="shared" si="31"/>
        <v>0</v>
      </c>
      <c r="P170" s="219">
        <f t="shared" si="32"/>
        <v>0</v>
      </c>
      <c r="Q170" s="219">
        <f t="shared" si="33"/>
        <v>0</v>
      </c>
    </row>
    <row r="171" spans="9:17" hidden="1" x14ac:dyDescent="0.25">
      <c r="I171" s="219">
        <f t="shared" si="26"/>
        <v>0</v>
      </c>
      <c r="J171" s="219">
        <f t="shared" si="27"/>
        <v>0</v>
      </c>
      <c r="K171" s="219">
        <f t="shared" si="28"/>
        <v>0</v>
      </c>
      <c r="L171" s="232">
        <f t="shared" si="29"/>
        <v>0</v>
      </c>
      <c r="M171" s="219">
        <f t="shared" si="30"/>
        <v>0</v>
      </c>
      <c r="N171" s="219">
        <f t="shared" si="31"/>
        <v>0</v>
      </c>
      <c r="O171" s="219">
        <f t="shared" si="31"/>
        <v>0</v>
      </c>
      <c r="P171" s="219">
        <f t="shared" si="32"/>
        <v>0</v>
      </c>
      <c r="Q171" s="219">
        <f t="shared" si="33"/>
        <v>0</v>
      </c>
    </row>
    <row r="172" spans="9:17" hidden="1" x14ac:dyDescent="0.25">
      <c r="I172" s="219">
        <f t="shared" si="26"/>
        <v>0</v>
      </c>
      <c r="J172" s="219">
        <f t="shared" si="27"/>
        <v>0</v>
      </c>
      <c r="K172" s="219">
        <f t="shared" si="28"/>
        <v>0</v>
      </c>
      <c r="L172" s="232">
        <f t="shared" si="29"/>
        <v>0</v>
      </c>
      <c r="M172" s="219">
        <f t="shared" si="30"/>
        <v>0</v>
      </c>
      <c r="N172" s="219">
        <f t="shared" si="31"/>
        <v>0</v>
      </c>
      <c r="O172" s="219">
        <f t="shared" si="31"/>
        <v>0</v>
      </c>
      <c r="P172" s="219">
        <f t="shared" si="32"/>
        <v>0</v>
      </c>
      <c r="Q172" s="219">
        <f t="shared" si="33"/>
        <v>0</v>
      </c>
    </row>
    <row r="173" spans="9:17" hidden="1" x14ac:dyDescent="0.25">
      <c r="I173" s="219">
        <f t="shared" si="26"/>
        <v>0</v>
      </c>
      <c r="J173" s="219">
        <f t="shared" si="27"/>
        <v>0</v>
      </c>
      <c r="K173" s="219">
        <f t="shared" si="28"/>
        <v>0</v>
      </c>
      <c r="L173" s="232">
        <f t="shared" si="29"/>
        <v>0</v>
      </c>
      <c r="M173" s="219">
        <f t="shared" si="30"/>
        <v>0</v>
      </c>
      <c r="N173" s="219">
        <f t="shared" si="31"/>
        <v>0</v>
      </c>
      <c r="O173" s="219">
        <f t="shared" si="31"/>
        <v>0</v>
      </c>
      <c r="P173" s="219">
        <f t="shared" si="32"/>
        <v>0</v>
      </c>
      <c r="Q173" s="219">
        <f t="shared" si="33"/>
        <v>0</v>
      </c>
    </row>
    <row r="174" spans="9:17" hidden="1" x14ac:dyDescent="0.25">
      <c r="I174" s="219">
        <f t="shared" si="26"/>
        <v>0</v>
      </c>
      <c r="J174" s="219">
        <f t="shared" si="27"/>
        <v>0</v>
      </c>
      <c r="K174" s="219">
        <f t="shared" si="28"/>
        <v>0</v>
      </c>
      <c r="L174" s="232">
        <f t="shared" si="29"/>
        <v>0</v>
      </c>
      <c r="M174" s="219">
        <f t="shared" si="30"/>
        <v>0</v>
      </c>
      <c r="N174" s="219">
        <f t="shared" si="31"/>
        <v>0</v>
      </c>
      <c r="O174" s="219">
        <f t="shared" si="31"/>
        <v>0</v>
      </c>
      <c r="P174" s="219">
        <f t="shared" si="32"/>
        <v>0</v>
      </c>
      <c r="Q174" s="219">
        <f t="shared" si="33"/>
        <v>0</v>
      </c>
    </row>
    <row r="175" spans="9:17" hidden="1" x14ac:dyDescent="0.25">
      <c r="I175" s="219">
        <f t="shared" si="26"/>
        <v>0</v>
      </c>
      <c r="J175" s="219">
        <f t="shared" si="27"/>
        <v>0</v>
      </c>
      <c r="K175" s="219">
        <f t="shared" si="28"/>
        <v>0</v>
      </c>
      <c r="L175" s="232">
        <f t="shared" si="29"/>
        <v>0</v>
      </c>
      <c r="M175" s="219">
        <f t="shared" si="30"/>
        <v>0</v>
      </c>
      <c r="N175" s="219">
        <f t="shared" si="31"/>
        <v>0</v>
      </c>
      <c r="O175" s="219">
        <f t="shared" si="31"/>
        <v>0</v>
      </c>
      <c r="P175" s="219">
        <f t="shared" si="32"/>
        <v>0</v>
      </c>
      <c r="Q175" s="219">
        <f t="shared" si="33"/>
        <v>0</v>
      </c>
    </row>
    <row r="176" spans="9:17" hidden="1" x14ac:dyDescent="0.25">
      <c r="I176" s="219">
        <f t="shared" si="26"/>
        <v>0</v>
      </c>
      <c r="J176" s="219">
        <f t="shared" si="27"/>
        <v>0</v>
      </c>
      <c r="K176" s="219">
        <f t="shared" si="28"/>
        <v>0</v>
      </c>
      <c r="L176" s="232">
        <f t="shared" si="29"/>
        <v>0</v>
      </c>
      <c r="M176" s="219">
        <f t="shared" si="30"/>
        <v>0</v>
      </c>
      <c r="N176" s="219">
        <f t="shared" si="31"/>
        <v>0</v>
      </c>
      <c r="O176" s="219">
        <f t="shared" si="31"/>
        <v>0</v>
      </c>
      <c r="P176" s="219">
        <f t="shared" si="32"/>
        <v>0</v>
      </c>
      <c r="Q176" s="219">
        <f t="shared" si="33"/>
        <v>0</v>
      </c>
    </row>
    <row r="177" spans="9:17" hidden="1" x14ac:dyDescent="0.25">
      <c r="I177" s="219">
        <f t="shared" si="26"/>
        <v>0</v>
      </c>
      <c r="J177" s="219">
        <f t="shared" si="27"/>
        <v>0</v>
      </c>
      <c r="K177" s="219">
        <f t="shared" si="28"/>
        <v>0</v>
      </c>
      <c r="L177" s="232">
        <f t="shared" si="29"/>
        <v>0</v>
      </c>
      <c r="M177" s="219">
        <f t="shared" si="30"/>
        <v>0</v>
      </c>
      <c r="N177" s="219">
        <f t="shared" si="31"/>
        <v>0</v>
      </c>
      <c r="O177" s="219">
        <f t="shared" si="31"/>
        <v>0</v>
      </c>
      <c r="P177" s="219">
        <f t="shared" si="32"/>
        <v>0</v>
      </c>
      <c r="Q177" s="219">
        <f t="shared" si="33"/>
        <v>0</v>
      </c>
    </row>
    <row r="178" spans="9:17" hidden="1" x14ac:dyDescent="0.25">
      <c r="I178" s="219">
        <f t="shared" si="26"/>
        <v>0</v>
      </c>
      <c r="J178" s="219">
        <f t="shared" si="27"/>
        <v>0</v>
      </c>
      <c r="K178" s="219">
        <f t="shared" si="28"/>
        <v>0</v>
      </c>
      <c r="L178" s="232">
        <f t="shared" si="29"/>
        <v>0</v>
      </c>
      <c r="M178" s="219">
        <f t="shared" si="30"/>
        <v>0</v>
      </c>
      <c r="N178" s="219">
        <f t="shared" si="31"/>
        <v>0</v>
      </c>
      <c r="O178" s="219">
        <f t="shared" si="31"/>
        <v>0</v>
      </c>
      <c r="P178" s="219">
        <f t="shared" si="32"/>
        <v>0</v>
      </c>
      <c r="Q178" s="219">
        <f t="shared" si="33"/>
        <v>0</v>
      </c>
    </row>
    <row r="179" spans="9:17" hidden="1" x14ac:dyDescent="0.25">
      <c r="I179" s="219">
        <f t="shared" si="26"/>
        <v>0</v>
      </c>
      <c r="J179" s="219">
        <f t="shared" si="27"/>
        <v>0</v>
      </c>
      <c r="K179" s="219">
        <f t="shared" si="28"/>
        <v>0</v>
      </c>
      <c r="L179" s="232">
        <f t="shared" si="29"/>
        <v>0</v>
      </c>
      <c r="M179" s="219">
        <f t="shared" si="30"/>
        <v>0</v>
      </c>
      <c r="N179" s="219">
        <f t="shared" si="31"/>
        <v>0</v>
      </c>
      <c r="O179" s="219">
        <f t="shared" si="31"/>
        <v>0</v>
      </c>
      <c r="P179" s="219">
        <f t="shared" si="32"/>
        <v>0</v>
      </c>
      <c r="Q179" s="219">
        <f t="shared" si="33"/>
        <v>0</v>
      </c>
    </row>
    <row r="180" spans="9:17" hidden="1" x14ac:dyDescent="0.25">
      <c r="I180" s="219">
        <f t="shared" si="26"/>
        <v>0</v>
      </c>
      <c r="J180" s="219">
        <f t="shared" si="27"/>
        <v>0</v>
      </c>
      <c r="K180" s="219">
        <f t="shared" si="28"/>
        <v>0</v>
      </c>
      <c r="L180" s="232">
        <f t="shared" si="29"/>
        <v>0</v>
      </c>
      <c r="M180" s="219">
        <f t="shared" si="30"/>
        <v>0</v>
      </c>
      <c r="N180" s="219">
        <f t="shared" si="31"/>
        <v>0</v>
      </c>
      <c r="O180" s="219">
        <f t="shared" si="31"/>
        <v>0</v>
      </c>
      <c r="P180" s="219">
        <f t="shared" si="32"/>
        <v>0</v>
      </c>
      <c r="Q180" s="219">
        <f t="shared" si="33"/>
        <v>0</v>
      </c>
    </row>
    <row r="181" spans="9:17" hidden="1" x14ac:dyDescent="0.25">
      <c r="I181" s="219">
        <f t="shared" si="26"/>
        <v>0</v>
      </c>
      <c r="J181" s="219">
        <f t="shared" si="27"/>
        <v>0</v>
      </c>
      <c r="K181" s="219">
        <f t="shared" si="28"/>
        <v>0</v>
      </c>
      <c r="L181" s="232">
        <f t="shared" si="29"/>
        <v>0</v>
      </c>
      <c r="M181" s="219">
        <f t="shared" si="30"/>
        <v>0</v>
      </c>
      <c r="N181" s="219">
        <f t="shared" si="31"/>
        <v>0</v>
      </c>
      <c r="O181" s="219">
        <f t="shared" si="31"/>
        <v>0</v>
      </c>
      <c r="P181" s="219">
        <f t="shared" si="32"/>
        <v>0</v>
      </c>
      <c r="Q181" s="219">
        <f t="shared" si="33"/>
        <v>0</v>
      </c>
    </row>
    <row r="182" spans="9:17" hidden="1" x14ac:dyDescent="0.25">
      <c r="I182" s="219">
        <f t="shared" si="26"/>
        <v>0</v>
      </c>
      <c r="J182" s="219">
        <f t="shared" si="27"/>
        <v>0</v>
      </c>
      <c r="K182" s="219">
        <f t="shared" si="28"/>
        <v>0</v>
      </c>
      <c r="L182" s="232">
        <f t="shared" si="29"/>
        <v>0</v>
      </c>
      <c r="M182" s="219">
        <f t="shared" si="30"/>
        <v>0</v>
      </c>
      <c r="N182" s="219">
        <f t="shared" si="31"/>
        <v>0</v>
      </c>
      <c r="O182" s="219">
        <f t="shared" si="31"/>
        <v>0</v>
      </c>
      <c r="P182" s="219">
        <f t="shared" si="32"/>
        <v>0</v>
      </c>
      <c r="Q182" s="219">
        <f t="shared" si="33"/>
        <v>0</v>
      </c>
    </row>
    <row r="183" spans="9:17" hidden="1" x14ac:dyDescent="0.25">
      <c r="I183" s="219">
        <f t="shared" si="26"/>
        <v>0</v>
      </c>
      <c r="J183" s="219">
        <f t="shared" si="27"/>
        <v>0</v>
      </c>
      <c r="K183" s="219">
        <f t="shared" si="28"/>
        <v>0</v>
      </c>
      <c r="L183" s="232">
        <f t="shared" si="29"/>
        <v>0</v>
      </c>
      <c r="M183" s="219">
        <f t="shared" si="30"/>
        <v>0</v>
      </c>
      <c r="N183" s="219">
        <f t="shared" si="31"/>
        <v>0</v>
      </c>
      <c r="O183" s="219">
        <f t="shared" si="31"/>
        <v>0</v>
      </c>
      <c r="P183" s="219">
        <f t="shared" si="32"/>
        <v>0</v>
      </c>
      <c r="Q183" s="219">
        <f t="shared" si="33"/>
        <v>0</v>
      </c>
    </row>
    <row r="184" spans="9:17" hidden="1" x14ac:dyDescent="0.25">
      <c r="I184" s="219">
        <f t="shared" si="26"/>
        <v>0</v>
      </c>
      <c r="J184" s="219">
        <f t="shared" si="27"/>
        <v>0</v>
      </c>
      <c r="K184" s="219">
        <f t="shared" si="28"/>
        <v>0</v>
      </c>
      <c r="L184" s="232">
        <f t="shared" si="29"/>
        <v>0</v>
      </c>
      <c r="M184" s="219">
        <f t="shared" si="30"/>
        <v>0</v>
      </c>
      <c r="N184" s="219">
        <f t="shared" si="31"/>
        <v>0</v>
      </c>
      <c r="O184" s="219">
        <f t="shared" si="31"/>
        <v>0</v>
      </c>
      <c r="P184" s="219">
        <f t="shared" si="32"/>
        <v>0</v>
      </c>
      <c r="Q184" s="219">
        <f t="shared" si="33"/>
        <v>0</v>
      </c>
    </row>
    <row r="185" spans="9:17" hidden="1" x14ac:dyDescent="0.25">
      <c r="I185" s="219">
        <f t="shared" si="26"/>
        <v>0</v>
      </c>
      <c r="J185" s="219">
        <f t="shared" si="27"/>
        <v>0</v>
      </c>
      <c r="K185" s="219">
        <f t="shared" si="28"/>
        <v>0</v>
      </c>
      <c r="L185" s="232">
        <f t="shared" si="29"/>
        <v>0</v>
      </c>
      <c r="M185" s="219">
        <f t="shared" si="30"/>
        <v>0</v>
      </c>
      <c r="N185" s="219">
        <f t="shared" si="31"/>
        <v>0</v>
      </c>
      <c r="O185" s="219">
        <f t="shared" si="31"/>
        <v>0</v>
      </c>
      <c r="P185" s="219">
        <f t="shared" si="32"/>
        <v>0</v>
      </c>
      <c r="Q185" s="219">
        <f t="shared" si="33"/>
        <v>0</v>
      </c>
    </row>
    <row r="186" spans="9:17" hidden="1" x14ac:dyDescent="0.25">
      <c r="I186" s="219">
        <f t="shared" si="26"/>
        <v>0</v>
      </c>
      <c r="J186" s="219">
        <f t="shared" si="27"/>
        <v>0</v>
      </c>
      <c r="K186" s="219">
        <f t="shared" si="28"/>
        <v>0</v>
      </c>
      <c r="L186" s="232">
        <f t="shared" si="29"/>
        <v>0</v>
      </c>
      <c r="M186" s="219">
        <f t="shared" si="30"/>
        <v>0</v>
      </c>
      <c r="N186" s="219">
        <f t="shared" si="31"/>
        <v>0</v>
      </c>
      <c r="O186" s="219">
        <f t="shared" si="31"/>
        <v>0</v>
      </c>
      <c r="P186" s="219">
        <f t="shared" si="32"/>
        <v>0</v>
      </c>
      <c r="Q186" s="219">
        <f t="shared" si="33"/>
        <v>0</v>
      </c>
    </row>
    <row r="187" spans="9:17" hidden="1" x14ac:dyDescent="0.25">
      <c r="I187" s="219">
        <f t="shared" si="26"/>
        <v>0</v>
      </c>
      <c r="J187" s="219">
        <f t="shared" si="27"/>
        <v>0</v>
      </c>
      <c r="K187" s="219">
        <f t="shared" si="28"/>
        <v>0</v>
      </c>
      <c r="L187" s="232">
        <f t="shared" si="29"/>
        <v>0</v>
      </c>
      <c r="M187" s="219">
        <f t="shared" si="30"/>
        <v>0</v>
      </c>
      <c r="N187" s="219">
        <f t="shared" si="31"/>
        <v>0</v>
      </c>
      <c r="O187" s="219">
        <f t="shared" si="31"/>
        <v>0</v>
      </c>
      <c r="P187" s="219">
        <f t="shared" si="32"/>
        <v>0</v>
      </c>
      <c r="Q187" s="219">
        <f t="shared" si="33"/>
        <v>0</v>
      </c>
    </row>
    <row r="188" spans="9:17" hidden="1" x14ac:dyDescent="0.25">
      <c r="I188" s="219">
        <f t="shared" si="26"/>
        <v>0</v>
      </c>
      <c r="J188" s="219">
        <f t="shared" si="27"/>
        <v>0</v>
      </c>
      <c r="K188" s="219">
        <f t="shared" si="28"/>
        <v>0</v>
      </c>
      <c r="L188" s="232">
        <f t="shared" si="29"/>
        <v>0</v>
      </c>
      <c r="M188" s="219">
        <f t="shared" si="30"/>
        <v>0</v>
      </c>
      <c r="N188" s="219">
        <f t="shared" si="31"/>
        <v>0</v>
      </c>
      <c r="O188" s="219">
        <f t="shared" si="31"/>
        <v>0</v>
      </c>
      <c r="P188" s="219">
        <f t="shared" si="32"/>
        <v>0</v>
      </c>
      <c r="Q188" s="219">
        <f t="shared" si="33"/>
        <v>0</v>
      </c>
    </row>
    <row r="189" spans="9:17" hidden="1" x14ac:dyDescent="0.25">
      <c r="I189" s="219">
        <f t="shared" si="26"/>
        <v>0</v>
      </c>
      <c r="J189" s="219">
        <f t="shared" si="27"/>
        <v>0</v>
      </c>
      <c r="K189" s="219">
        <f t="shared" si="28"/>
        <v>0</v>
      </c>
      <c r="L189" s="232">
        <f t="shared" si="29"/>
        <v>0</v>
      </c>
      <c r="M189" s="219">
        <f t="shared" si="30"/>
        <v>0</v>
      </c>
      <c r="N189" s="219">
        <f t="shared" si="31"/>
        <v>0</v>
      </c>
      <c r="O189" s="219">
        <f t="shared" si="31"/>
        <v>0</v>
      </c>
      <c r="P189" s="219">
        <f t="shared" si="32"/>
        <v>0</v>
      </c>
      <c r="Q189" s="219">
        <f t="shared" si="33"/>
        <v>0</v>
      </c>
    </row>
    <row r="190" spans="9:17" hidden="1" x14ac:dyDescent="0.25">
      <c r="I190" s="219">
        <f t="shared" si="26"/>
        <v>0</v>
      </c>
      <c r="J190" s="219">
        <f t="shared" si="27"/>
        <v>0</v>
      </c>
      <c r="K190" s="219">
        <f t="shared" si="28"/>
        <v>0</v>
      </c>
      <c r="L190" s="232">
        <f t="shared" si="29"/>
        <v>0</v>
      </c>
      <c r="M190" s="219">
        <f t="shared" si="30"/>
        <v>0</v>
      </c>
      <c r="N190" s="219">
        <f t="shared" si="31"/>
        <v>0</v>
      </c>
      <c r="O190" s="219">
        <f t="shared" si="31"/>
        <v>0</v>
      </c>
      <c r="P190" s="219">
        <f t="shared" si="32"/>
        <v>0</v>
      </c>
      <c r="Q190" s="219">
        <f t="shared" si="33"/>
        <v>0</v>
      </c>
    </row>
    <row r="191" spans="9:17" hidden="1" x14ac:dyDescent="0.25">
      <c r="I191" s="219">
        <f t="shared" si="26"/>
        <v>0</v>
      </c>
      <c r="J191" s="219">
        <f t="shared" si="27"/>
        <v>0</v>
      </c>
      <c r="K191" s="219">
        <f t="shared" si="28"/>
        <v>0</v>
      </c>
      <c r="L191" s="232">
        <f t="shared" si="29"/>
        <v>0</v>
      </c>
      <c r="M191" s="219">
        <f t="shared" si="30"/>
        <v>0</v>
      </c>
      <c r="N191" s="219">
        <f t="shared" si="31"/>
        <v>0</v>
      </c>
      <c r="O191" s="219">
        <f t="shared" si="31"/>
        <v>0</v>
      </c>
      <c r="P191" s="219">
        <f t="shared" si="32"/>
        <v>0</v>
      </c>
      <c r="Q191" s="219">
        <f t="shared" si="33"/>
        <v>0</v>
      </c>
    </row>
    <row r="192" spans="9:17" hidden="1" x14ac:dyDescent="0.25">
      <c r="I192" s="219">
        <f t="shared" si="26"/>
        <v>0</v>
      </c>
      <c r="J192" s="219">
        <f t="shared" si="27"/>
        <v>0</v>
      </c>
      <c r="K192" s="219">
        <f t="shared" si="28"/>
        <v>0</v>
      </c>
      <c r="L192" s="232">
        <f t="shared" si="29"/>
        <v>0</v>
      </c>
      <c r="M192" s="219">
        <f t="shared" si="30"/>
        <v>0</v>
      </c>
      <c r="N192" s="219">
        <f t="shared" si="31"/>
        <v>0</v>
      </c>
      <c r="O192" s="219">
        <f t="shared" si="31"/>
        <v>0</v>
      </c>
      <c r="P192" s="219">
        <f t="shared" si="32"/>
        <v>0</v>
      </c>
      <c r="Q192" s="219">
        <f t="shared" si="33"/>
        <v>0</v>
      </c>
    </row>
    <row r="193" spans="9:17" hidden="1" x14ac:dyDescent="0.25">
      <c r="I193" s="219">
        <f t="shared" si="26"/>
        <v>0</v>
      </c>
      <c r="J193" s="219">
        <f t="shared" si="27"/>
        <v>0</v>
      </c>
      <c r="K193" s="219">
        <f t="shared" si="28"/>
        <v>0</v>
      </c>
      <c r="L193" s="232">
        <f t="shared" si="29"/>
        <v>0</v>
      </c>
      <c r="M193" s="219">
        <f t="shared" si="30"/>
        <v>0</v>
      </c>
      <c r="N193" s="219">
        <f t="shared" si="31"/>
        <v>0</v>
      </c>
      <c r="O193" s="219">
        <f t="shared" si="31"/>
        <v>0</v>
      </c>
      <c r="P193" s="219">
        <f t="shared" si="32"/>
        <v>0</v>
      </c>
      <c r="Q193" s="219">
        <f t="shared" si="33"/>
        <v>0</v>
      </c>
    </row>
    <row r="194" spans="9:17" hidden="1" x14ac:dyDescent="0.25">
      <c r="I194" s="219">
        <f t="shared" si="26"/>
        <v>0</v>
      </c>
      <c r="J194" s="219">
        <f t="shared" si="27"/>
        <v>0</v>
      </c>
      <c r="K194" s="219">
        <f t="shared" si="28"/>
        <v>0</v>
      </c>
      <c r="L194" s="232">
        <f t="shared" si="29"/>
        <v>0</v>
      </c>
      <c r="M194" s="219">
        <f t="shared" si="30"/>
        <v>0</v>
      </c>
      <c r="N194" s="219">
        <f t="shared" si="31"/>
        <v>0</v>
      </c>
      <c r="O194" s="219">
        <f t="shared" si="31"/>
        <v>0</v>
      </c>
      <c r="P194" s="219">
        <f t="shared" si="32"/>
        <v>0</v>
      </c>
      <c r="Q194" s="219">
        <f t="shared" si="33"/>
        <v>0</v>
      </c>
    </row>
    <row r="195" spans="9:17" hidden="1" x14ac:dyDescent="0.25">
      <c r="I195" s="219">
        <f t="shared" si="26"/>
        <v>0</v>
      </c>
      <c r="J195" s="219">
        <f t="shared" si="27"/>
        <v>0</v>
      </c>
      <c r="K195" s="219">
        <f t="shared" si="28"/>
        <v>0</v>
      </c>
      <c r="L195" s="232">
        <f t="shared" si="29"/>
        <v>0</v>
      </c>
      <c r="M195" s="219">
        <f t="shared" si="30"/>
        <v>0</v>
      </c>
      <c r="N195" s="219">
        <f t="shared" si="31"/>
        <v>0</v>
      </c>
      <c r="O195" s="219">
        <f t="shared" si="31"/>
        <v>0</v>
      </c>
      <c r="P195" s="219">
        <f t="shared" si="32"/>
        <v>0</v>
      </c>
      <c r="Q195" s="219">
        <f t="shared" si="33"/>
        <v>0</v>
      </c>
    </row>
    <row r="196" spans="9:17" hidden="1" x14ac:dyDescent="0.25">
      <c r="I196" s="219">
        <f t="shared" si="26"/>
        <v>0</v>
      </c>
      <c r="J196" s="219">
        <f t="shared" si="27"/>
        <v>0</v>
      </c>
      <c r="K196" s="219">
        <f t="shared" si="28"/>
        <v>0</v>
      </c>
      <c r="L196" s="232">
        <f t="shared" si="29"/>
        <v>0</v>
      </c>
      <c r="M196" s="219">
        <f t="shared" si="30"/>
        <v>0</v>
      </c>
      <c r="N196" s="219">
        <f t="shared" si="31"/>
        <v>0</v>
      </c>
      <c r="O196" s="219">
        <f t="shared" si="31"/>
        <v>0</v>
      </c>
      <c r="P196" s="219">
        <f t="shared" si="32"/>
        <v>0</v>
      </c>
      <c r="Q196" s="219">
        <f t="shared" si="33"/>
        <v>0</v>
      </c>
    </row>
    <row r="197" spans="9:17" hidden="1" x14ac:dyDescent="0.25">
      <c r="I197" s="219">
        <f t="shared" ref="I197:I260" si="34">SUM(R197:S197)</f>
        <v>0</v>
      </c>
      <c r="J197" s="219">
        <f t="shared" ref="J197:J260" si="35">SUM(T197:V197)</f>
        <v>0</v>
      </c>
      <c r="K197" s="219">
        <f t="shared" ref="K197:K260" si="36">W197</f>
        <v>0</v>
      </c>
      <c r="L197" s="232">
        <f t="shared" ref="L197:L260" si="37">SUM(X197:AB197)</f>
        <v>0</v>
      </c>
      <c r="M197" s="219">
        <f t="shared" ref="M197:M260" si="38">SUM(AC197:AE197)</f>
        <v>0</v>
      </c>
      <c r="N197" s="219">
        <f t="shared" ref="N197:O260" si="39">AG197</f>
        <v>0</v>
      </c>
      <c r="O197" s="219">
        <f t="shared" si="39"/>
        <v>0</v>
      </c>
      <c r="P197" s="219">
        <f t="shared" ref="P197:P260" si="40">SUM(AK197:AM197)</f>
        <v>0</v>
      </c>
      <c r="Q197" s="219">
        <f t="shared" ref="Q197:Q260" si="41">AN197</f>
        <v>0</v>
      </c>
    </row>
    <row r="198" spans="9:17" hidden="1" x14ac:dyDescent="0.25">
      <c r="I198" s="219">
        <f t="shared" si="34"/>
        <v>0</v>
      </c>
      <c r="J198" s="219">
        <f t="shared" si="35"/>
        <v>0</v>
      </c>
      <c r="K198" s="219">
        <f t="shared" si="36"/>
        <v>0</v>
      </c>
      <c r="L198" s="232">
        <f t="shared" si="37"/>
        <v>0</v>
      </c>
      <c r="M198" s="219">
        <f t="shared" si="38"/>
        <v>0</v>
      </c>
      <c r="N198" s="219">
        <f t="shared" si="39"/>
        <v>0</v>
      </c>
      <c r="O198" s="219">
        <f t="shared" si="39"/>
        <v>0</v>
      </c>
      <c r="P198" s="219">
        <f t="shared" si="40"/>
        <v>0</v>
      </c>
      <c r="Q198" s="219">
        <f t="shared" si="41"/>
        <v>0</v>
      </c>
    </row>
    <row r="199" spans="9:17" hidden="1" x14ac:dyDescent="0.25">
      <c r="I199" s="219">
        <f t="shared" si="34"/>
        <v>0</v>
      </c>
      <c r="J199" s="219">
        <f t="shared" si="35"/>
        <v>0</v>
      </c>
      <c r="K199" s="219">
        <f t="shared" si="36"/>
        <v>0</v>
      </c>
      <c r="L199" s="232">
        <f t="shared" si="37"/>
        <v>0</v>
      </c>
      <c r="M199" s="219">
        <f t="shared" si="38"/>
        <v>0</v>
      </c>
      <c r="N199" s="219">
        <f t="shared" si="39"/>
        <v>0</v>
      </c>
      <c r="O199" s="219">
        <f t="shared" si="39"/>
        <v>0</v>
      </c>
      <c r="P199" s="219">
        <f t="shared" si="40"/>
        <v>0</v>
      </c>
      <c r="Q199" s="219">
        <f t="shared" si="41"/>
        <v>0</v>
      </c>
    </row>
    <row r="200" spans="9:17" hidden="1" x14ac:dyDescent="0.25">
      <c r="I200" s="219">
        <f t="shared" si="34"/>
        <v>0</v>
      </c>
      <c r="J200" s="219">
        <f t="shared" si="35"/>
        <v>0</v>
      </c>
      <c r="K200" s="219">
        <f t="shared" si="36"/>
        <v>0</v>
      </c>
      <c r="L200" s="232">
        <f t="shared" si="37"/>
        <v>0</v>
      </c>
      <c r="M200" s="219">
        <f t="shared" si="38"/>
        <v>0</v>
      </c>
      <c r="N200" s="219">
        <f t="shared" si="39"/>
        <v>0</v>
      </c>
      <c r="O200" s="219">
        <f t="shared" si="39"/>
        <v>0</v>
      </c>
      <c r="P200" s="219">
        <f t="shared" si="40"/>
        <v>0</v>
      </c>
      <c r="Q200" s="219">
        <f t="shared" si="41"/>
        <v>0</v>
      </c>
    </row>
    <row r="201" spans="9:17" hidden="1" x14ac:dyDescent="0.25">
      <c r="I201" s="219">
        <f t="shared" si="34"/>
        <v>0</v>
      </c>
      <c r="J201" s="219">
        <f t="shared" si="35"/>
        <v>0</v>
      </c>
      <c r="K201" s="219">
        <f t="shared" si="36"/>
        <v>0</v>
      </c>
      <c r="L201" s="232">
        <f t="shared" si="37"/>
        <v>0</v>
      </c>
      <c r="M201" s="219">
        <f t="shared" si="38"/>
        <v>0</v>
      </c>
      <c r="N201" s="219">
        <f t="shared" si="39"/>
        <v>0</v>
      </c>
      <c r="O201" s="219">
        <f t="shared" si="39"/>
        <v>0</v>
      </c>
      <c r="P201" s="219">
        <f t="shared" si="40"/>
        <v>0</v>
      </c>
      <c r="Q201" s="219">
        <f t="shared" si="41"/>
        <v>0</v>
      </c>
    </row>
    <row r="202" spans="9:17" hidden="1" x14ac:dyDescent="0.25">
      <c r="I202" s="219">
        <f t="shared" si="34"/>
        <v>0</v>
      </c>
      <c r="J202" s="219">
        <f t="shared" si="35"/>
        <v>0</v>
      </c>
      <c r="K202" s="219">
        <f t="shared" si="36"/>
        <v>0</v>
      </c>
      <c r="L202" s="232">
        <f t="shared" si="37"/>
        <v>0</v>
      </c>
      <c r="M202" s="219">
        <f t="shared" si="38"/>
        <v>0</v>
      </c>
      <c r="N202" s="219">
        <f t="shared" si="39"/>
        <v>0</v>
      </c>
      <c r="O202" s="219">
        <f t="shared" si="39"/>
        <v>0</v>
      </c>
      <c r="P202" s="219">
        <f t="shared" si="40"/>
        <v>0</v>
      </c>
      <c r="Q202" s="219">
        <f t="shared" si="41"/>
        <v>0</v>
      </c>
    </row>
    <row r="203" spans="9:17" hidden="1" x14ac:dyDescent="0.25">
      <c r="I203" s="219">
        <f t="shared" si="34"/>
        <v>0</v>
      </c>
      <c r="J203" s="219">
        <f t="shared" si="35"/>
        <v>0</v>
      </c>
      <c r="K203" s="219">
        <f t="shared" si="36"/>
        <v>0</v>
      </c>
      <c r="L203" s="232">
        <f t="shared" si="37"/>
        <v>0</v>
      </c>
      <c r="M203" s="219">
        <f t="shared" si="38"/>
        <v>0</v>
      </c>
      <c r="N203" s="219">
        <f t="shared" si="39"/>
        <v>0</v>
      </c>
      <c r="O203" s="219">
        <f t="shared" si="39"/>
        <v>0</v>
      </c>
      <c r="P203" s="219">
        <f t="shared" si="40"/>
        <v>0</v>
      </c>
      <c r="Q203" s="219">
        <f t="shared" si="41"/>
        <v>0</v>
      </c>
    </row>
    <row r="204" spans="9:17" hidden="1" x14ac:dyDescent="0.25">
      <c r="I204" s="219">
        <f t="shared" si="34"/>
        <v>0</v>
      </c>
      <c r="J204" s="219">
        <f t="shared" si="35"/>
        <v>0</v>
      </c>
      <c r="K204" s="219">
        <f t="shared" si="36"/>
        <v>0</v>
      </c>
      <c r="L204" s="232">
        <f t="shared" si="37"/>
        <v>0</v>
      </c>
      <c r="M204" s="219">
        <f t="shared" si="38"/>
        <v>0</v>
      </c>
      <c r="N204" s="219">
        <f t="shared" si="39"/>
        <v>0</v>
      </c>
      <c r="O204" s="219">
        <f t="shared" si="39"/>
        <v>0</v>
      </c>
      <c r="P204" s="219">
        <f t="shared" si="40"/>
        <v>0</v>
      </c>
      <c r="Q204" s="219">
        <f t="shared" si="41"/>
        <v>0</v>
      </c>
    </row>
    <row r="205" spans="9:17" hidden="1" x14ac:dyDescent="0.25">
      <c r="I205" s="219">
        <f t="shared" si="34"/>
        <v>0</v>
      </c>
      <c r="J205" s="219">
        <f t="shared" si="35"/>
        <v>0</v>
      </c>
      <c r="K205" s="219">
        <f t="shared" si="36"/>
        <v>0</v>
      </c>
      <c r="L205" s="232">
        <f t="shared" si="37"/>
        <v>0</v>
      </c>
      <c r="M205" s="219">
        <f t="shared" si="38"/>
        <v>0</v>
      </c>
      <c r="N205" s="219">
        <f t="shared" si="39"/>
        <v>0</v>
      </c>
      <c r="O205" s="219">
        <f t="shared" si="39"/>
        <v>0</v>
      </c>
      <c r="P205" s="219">
        <f t="shared" si="40"/>
        <v>0</v>
      </c>
      <c r="Q205" s="219">
        <f t="shared" si="41"/>
        <v>0</v>
      </c>
    </row>
    <row r="206" spans="9:17" hidden="1" x14ac:dyDescent="0.25">
      <c r="I206" s="219">
        <f t="shared" si="34"/>
        <v>0</v>
      </c>
      <c r="J206" s="219">
        <f t="shared" si="35"/>
        <v>0</v>
      </c>
      <c r="K206" s="219">
        <f t="shared" si="36"/>
        <v>0</v>
      </c>
      <c r="L206" s="232">
        <f t="shared" si="37"/>
        <v>0</v>
      </c>
      <c r="M206" s="219">
        <f t="shared" si="38"/>
        <v>0</v>
      </c>
      <c r="N206" s="219">
        <f t="shared" si="39"/>
        <v>0</v>
      </c>
      <c r="O206" s="219">
        <f t="shared" si="39"/>
        <v>0</v>
      </c>
      <c r="P206" s="219">
        <f t="shared" si="40"/>
        <v>0</v>
      </c>
      <c r="Q206" s="219">
        <f t="shared" si="41"/>
        <v>0</v>
      </c>
    </row>
    <row r="207" spans="9:17" hidden="1" x14ac:dyDescent="0.25">
      <c r="I207" s="219">
        <f t="shared" si="34"/>
        <v>0</v>
      </c>
      <c r="J207" s="219">
        <f t="shared" si="35"/>
        <v>0</v>
      </c>
      <c r="K207" s="219">
        <f t="shared" si="36"/>
        <v>0</v>
      </c>
      <c r="L207" s="232">
        <f t="shared" si="37"/>
        <v>0</v>
      </c>
      <c r="M207" s="219">
        <f t="shared" si="38"/>
        <v>0</v>
      </c>
      <c r="N207" s="219">
        <f t="shared" si="39"/>
        <v>0</v>
      </c>
      <c r="O207" s="219">
        <f t="shared" si="39"/>
        <v>0</v>
      </c>
      <c r="P207" s="219">
        <f t="shared" si="40"/>
        <v>0</v>
      </c>
      <c r="Q207" s="219">
        <f t="shared" si="41"/>
        <v>0</v>
      </c>
    </row>
    <row r="208" spans="9:17" hidden="1" x14ac:dyDescent="0.25">
      <c r="I208" s="219">
        <f t="shared" si="34"/>
        <v>0</v>
      </c>
      <c r="J208" s="219">
        <f t="shared" si="35"/>
        <v>0</v>
      </c>
      <c r="K208" s="219">
        <f t="shared" si="36"/>
        <v>0</v>
      </c>
      <c r="L208" s="232">
        <f t="shared" si="37"/>
        <v>0</v>
      </c>
      <c r="M208" s="219">
        <f t="shared" si="38"/>
        <v>0</v>
      </c>
      <c r="N208" s="219">
        <f t="shared" si="39"/>
        <v>0</v>
      </c>
      <c r="O208" s="219">
        <f t="shared" si="39"/>
        <v>0</v>
      </c>
      <c r="P208" s="219">
        <f t="shared" si="40"/>
        <v>0</v>
      </c>
      <c r="Q208" s="219">
        <f t="shared" si="41"/>
        <v>0</v>
      </c>
    </row>
    <row r="209" spans="9:17" hidden="1" x14ac:dyDescent="0.25">
      <c r="I209" s="219">
        <f t="shared" si="34"/>
        <v>0</v>
      </c>
      <c r="J209" s="219">
        <f t="shared" si="35"/>
        <v>0</v>
      </c>
      <c r="K209" s="219">
        <f t="shared" si="36"/>
        <v>0</v>
      </c>
      <c r="L209" s="232">
        <f t="shared" si="37"/>
        <v>0</v>
      </c>
      <c r="M209" s="219">
        <f t="shared" si="38"/>
        <v>0</v>
      </c>
      <c r="N209" s="219">
        <f t="shared" si="39"/>
        <v>0</v>
      </c>
      <c r="O209" s="219">
        <f t="shared" si="39"/>
        <v>0</v>
      </c>
      <c r="P209" s="219">
        <f t="shared" si="40"/>
        <v>0</v>
      </c>
      <c r="Q209" s="219">
        <f t="shared" si="41"/>
        <v>0</v>
      </c>
    </row>
    <row r="210" spans="9:17" hidden="1" x14ac:dyDescent="0.25">
      <c r="I210" s="219">
        <f t="shared" si="34"/>
        <v>0</v>
      </c>
      <c r="J210" s="219">
        <f t="shared" si="35"/>
        <v>0</v>
      </c>
      <c r="K210" s="219">
        <f t="shared" si="36"/>
        <v>0</v>
      </c>
      <c r="L210" s="232">
        <f t="shared" si="37"/>
        <v>0</v>
      </c>
      <c r="M210" s="219">
        <f t="shared" si="38"/>
        <v>0</v>
      </c>
      <c r="N210" s="219">
        <f t="shared" si="39"/>
        <v>0</v>
      </c>
      <c r="O210" s="219">
        <f t="shared" si="39"/>
        <v>0</v>
      </c>
      <c r="P210" s="219">
        <f t="shared" si="40"/>
        <v>0</v>
      </c>
      <c r="Q210" s="219">
        <f t="shared" si="41"/>
        <v>0</v>
      </c>
    </row>
    <row r="211" spans="9:17" hidden="1" x14ac:dyDescent="0.25">
      <c r="I211" s="219">
        <f t="shared" si="34"/>
        <v>0</v>
      </c>
      <c r="J211" s="219">
        <f t="shared" si="35"/>
        <v>0</v>
      </c>
      <c r="K211" s="219">
        <f t="shared" si="36"/>
        <v>0</v>
      </c>
      <c r="L211" s="232">
        <f t="shared" si="37"/>
        <v>0</v>
      </c>
      <c r="M211" s="219">
        <f t="shared" si="38"/>
        <v>0</v>
      </c>
      <c r="N211" s="219">
        <f t="shared" si="39"/>
        <v>0</v>
      </c>
      <c r="O211" s="219">
        <f t="shared" si="39"/>
        <v>0</v>
      </c>
      <c r="P211" s="219">
        <f t="shared" si="40"/>
        <v>0</v>
      </c>
      <c r="Q211" s="219">
        <f t="shared" si="41"/>
        <v>0</v>
      </c>
    </row>
    <row r="212" spans="9:17" hidden="1" x14ac:dyDescent="0.25">
      <c r="I212" s="219">
        <f t="shared" si="34"/>
        <v>0</v>
      </c>
      <c r="J212" s="219">
        <f t="shared" si="35"/>
        <v>0</v>
      </c>
      <c r="K212" s="219">
        <f t="shared" si="36"/>
        <v>0</v>
      </c>
      <c r="L212" s="232">
        <f t="shared" si="37"/>
        <v>0</v>
      </c>
      <c r="M212" s="219">
        <f t="shared" si="38"/>
        <v>0</v>
      </c>
      <c r="N212" s="219">
        <f t="shared" si="39"/>
        <v>0</v>
      </c>
      <c r="O212" s="219">
        <f t="shared" si="39"/>
        <v>0</v>
      </c>
      <c r="P212" s="219">
        <f t="shared" si="40"/>
        <v>0</v>
      </c>
      <c r="Q212" s="219">
        <f t="shared" si="41"/>
        <v>0</v>
      </c>
    </row>
    <row r="213" spans="9:17" hidden="1" x14ac:dyDescent="0.25">
      <c r="I213" s="219">
        <f t="shared" si="34"/>
        <v>0</v>
      </c>
      <c r="J213" s="219">
        <f t="shared" si="35"/>
        <v>0</v>
      </c>
      <c r="K213" s="219">
        <f t="shared" si="36"/>
        <v>0</v>
      </c>
      <c r="L213" s="232">
        <f t="shared" si="37"/>
        <v>0</v>
      </c>
      <c r="M213" s="219">
        <f t="shared" si="38"/>
        <v>0</v>
      </c>
      <c r="N213" s="219">
        <f t="shared" si="39"/>
        <v>0</v>
      </c>
      <c r="O213" s="219">
        <f t="shared" si="39"/>
        <v>0</v>
      </c>
      <c r="P213" s="219">
        <f t="shared" si="40"/>
        <v>0</v>
      </c>
      <c r="Q213" s="219">
        <f t="shared" si="41"/>
        <v>0</v>
      </c>
    </row>
    <row r="214" spans="9:17" hidden="1" x14ac:dyDescent="0.25">
      <c r="I214" s="219">
        <f t="shared" si="34"/>
        <v>0</v>
      </c>
      <c r="J214" s="219">
        <f t="shared" si="35"/>
        <v>0</v>
      </c>
      <c r="K214" s="219">
        <f t="shared" si="36"/>
        <v>0</v>
      </c>
      <c r="L214" s="232">
        <f t="shared" si="37"/>
        <v>0</v>
      </c>
      <c r="M214" s="219">
        <f t="shared" si="38"/>
        <v>0</v>
      </c>
      <c r="N214" s="219">
        <f t="shared" si="39"/>
        <v>0</v>
      </c>
      <c r="O214" s="219">
        <f t="shared" si="39"/>
        <v>0</v>
      </c>
      <c r="P214" s="219">
        <f t="shared" si="40"/>
        <v>0</v>
      </c>
      <c r="Q214" s="219">
        <f t="shared" si="41"/>
        <v>0</v>
      </c>
    </row>
    <row r="215" spans="9:17" hidden="1" x14ac:dyDescent="0.25">
      <c r="I215" s="219">
        <f t="shared" si="34"/>
        <v>0</v>
      </c>
      <c r="J215" s="219">
        <f t="shared" si="35"/>
        <v>0</v>
      </c>
      <c r="K215" s="219">
        <f t="shared" si="36"/>
        <v>0</v>
      </c>
      <c r="L215" s="232">
        <f t="shared" si="37"/>
        <v>0</v>
      </c>
      <c r="M215" s="219">
        <f t="shared" si="38"/>
        <v>0</v>
      </c>
      <c r="N215" s="219">
        <f t="shared" si="39"/>
        <v>0</v>
      </c>
      <c r="O215" s="219">
        <f t="shared" si="39"/>
        <v>0</v>
      </c>
      <c r="P215" s="219">
        <f t="shared" si="40"/>
        <v>0</v>
      </c>
      <c r="Q215" s="219">
        <f t="shared" si="41"/>
        <v>0</v>
      </c>
    </row>
    <row r="216" spans="9:17" hidden="1" x14ac:dyDescent="0.25">
      <c r="I216" s="219">
        <f t="shared" si="34"/>
        <v>0</v>
      </c>
      <c r="J216" s="219">
        <f t="shared" si="35"/>
        <v>0</v>
      </c>
      <c r="K216" s="219">
        <f t="shared" si="36"/>
        <v>0</v>
      </c>
      <c r="L216" s="232">
        <f t="shared" si="37"/>
        <v>0</v>
      </c>
      <c r="M216" s="219">
        <f t="shared" si="38"/>
        <v>0</v>
      </c>
      <c r="N216" s="219">
        <f t="shared" si="39"/>
        <v>0</v>
      </c>
      <c r="O216" s="219">
        <f t="shared" si="39"/>
        <v>0</v>
      </c>
      <c r="P216" s="219">
        <f t="shared" si="40"/>
        <v>0</v>
      </c>
      <c r="Q216" s="219">
        <f t="shared" si="41"/>
        <v>0</v>
      </c>
    </row>
    <row r="217" spans="9:17" hidden="1" x14ac:dyDescent="0.25">
      <c r="I217" s="219">
        <f t="shared" si="34"/>
        <v>0</v>
      </c>
      <c r="J217" s="219">
        <f t="shared" si="35"/>
        <v>0</v>
      </c>
      <c r="K217" s="219">
        <f t="shared" si="36"/>
        <v>0</v>
      </c>
      <c r="L217" s="232">
        <f t="shared" si="37"/>
        <v>0</v>
      </c>
      <c r="M217" s="219">
        <f t="shared" si="38"/>
        <v>0</v>
      </c>
      <c r="N217" s="219">
        <f t="shared" si="39"/>
        <v>0</v>
      </c>
      <c r="O217" s="219">
        <f t="shared" si="39"/>
        <v>0</v>
      </c>
      <c r="P217" s="219">
        <f t="shared" si="40"/>
        <v>0</v>
      </c>
      <c r="Q217" s="219">
        <f t="shared" si="41"/>
        <v>0</v>
      </c>
    </row>
    <row r="218" spans="9:17" hidden="1" x14ac:dyDescent="0.25">
      <c r="I218" s="219">
        <f t="shared" si="34"/>
        <v>0</v>
      </c>
      <c r="J218" s="219">
        <f t="shared" si="35"/>
        <v>0</v>
      </c>
      <c r="K218" s="219">
        <f t="shared" si="36"/>
        <v>0</v>
      </c>
      <c r="L218" s="232">
        <f t="shared" si="37"/>
        <v>0</v>
      </c>
      <c r="M218" s="219">
        <f t="shared" si="38"/>
        <v>0</v>
      </c>
      <c r="N218" s="219">
        <f t="shared" si="39"/>
        <v>0</v>
      </c>
      <c r="O218" s="219">
        <f t="shared" si="39"/>
        <v>0</v>
      </c>
      <c r="P218" s="219">
        <f t="shared" si="40"/>
        <v>0</v>
      </c>
      <c r="Q218" s="219">
        <f t="shared" si="41"/>
        <v>0</v>
      </c>
    </row>
    <row r="219" spans="9:17" hidden="1" x14ac:dyDescent="0.25">
      <c r="I219" s="219">
        <f t="shared" si="34"/>
        <v>0</v>
      </c>
      <c r="J219" s="219">
        <f t="shared" si="35"/>
        <v>0</v>
      </c>
      <c r="K219" s="219">
        <f t="shared" si="36"/>
        <v>0</v>
      </c>
      <c r="L219" s="232">
        <f t="shared" si="37"/>
        <v>0</v>
      </c>
      <c r="M219" s="219">
        <f t="shared" si="38"/>
        <v>0</v>
      </c>
      <c r="N219" s="219">
        <f t="shared" si="39"/>
        <v>0</v>
      </c>
      <c r="O219" s="219">
        <f t="shared" si="39"/>
        <v>0</v>
      </c>
      <c r="P219" s="219">
        <f t="shared" si="40"/>
        <v>0</v>
      </c>
      <c r="Q219" s="219">
        <f t="shared" si="41"/>
        <v>0</v>
      </c>
    </row>
    <row r="220" spans="9:17" hidden="1" x14ac:dyDescent="0.25">
      <c r="I220" s="219">
        <f t="shared" si="34"/>
        <v>0</v>
      </c>
      <c r="J220" s="219">
        <f t="shared" si="35"/>
        <v>0</v>
      </c>
      <c r="K220" s="219">
        <f t="shared" si="36"/>
        <v>0</v>
      </c>
      <c r="L220" s="232">
        <f t="shared" si="37"/>
        <v>0</v>
      </c>
      <c r="M220" s="219">
        <f t="shared" si="38"/>
        <v>0</v>
      </c>
      <c r="N220" s="219">
        <f t="shared" si="39"/>
        <v>0</v>
      </c>
      <c r="O220" s="219">
        <f t="shared" si="39"/>
        <v>0</v>
      </c>
      <c r="P220" s="219">
        <f t="shared" si="40"/>
        <v>0</v>
      </c>
      <c r="Q220" s="219">
        <f t="shared" si="41"/>
        <v>0</v>
      </c>
    </row>
    <row r="221" spans="9:17" hidden="1" x14ac:dyDescent="0.25">
      <c r="I221" s="219">
        <f t="shared" si="34"/>
        <v>0</v>
      </c>
      <c r="J221" s="219">
        <f t="shared" si="35"/>
        <v>0</v>
      </c>
      <c r="K221" s="219">
        <f t="shared" si="36"/>
        <v>0</v>
      </c>
      <c r="L221" s="232">
        <f t="shared" si="37"/>
        <v>0</v>
      </c>
      <c r="M221" s="219">
        <f t="shared" si="38"/>
        <v>0</v>
      </c>
      <c r="N221" s="219">
        <f t="shared" si="39"/>
        <v>0</v>
      </c>
      <c r="O221" s="219">
        <f t="shared" si="39"/>
        <v>0</v>
      </c>
      <c r="P221" s="219">
        <f t="shared" si="40"/>
        <v>0</v>
      </c>
      <c r="Q221" s="219">
        <f t="shared" si="41"/>
        <v>0</v>
      </c>
    </row>
    <row r="222" spans="9:17" hidden="1" x14ac:dyDescent="0.25">
      <c r="I222" s="219">
        <f t="shared" si="34"/>
        <v>0</v>
      </c>
      <c r="J222" s="219">
        <f t="shared" si="35"/>
        <v>0</v>
      </c>
      <c r="K222" s="219">
        <f t="shared" si="36"/>
        <v>0</v>
      </c>
      <c r="L222" s="232">
        <f t="shared" si="37"/>
        <v>0</v>
      </c>
      <c r="M222" s="219">
        <f t="shared" si="38"/>
        <v>0</v>
      </c>
      <c r="N222" s="219">
        <f t="shared" si="39"/>
        <v>0</v>
      </c>
      <c r="O222" s="219">
        <f t="shared" si="39"/>
        <v>0</v>
      </c>
      <c r="P222" s="219">
        <f t="shared" si="40"/>
        <v>0</v>
      </c>
      <c r="Q222" s="219">
        <f t="shared" si="41"/>
        <v>0</v>
      </c>
    </row>
    <row r="223" spans="9:17" hidden="1" x14ac:dyDescent="0.25">
      <c r="I223" s="219">
        <f t="shared" si="34"/>
        <v>0</v>
      </c>
      <c r="J223" s="219">
        <f t="shared" si="35"/>
        <v>0</v>
      </c>
      <c r="K223" s="219">
        <f t="shared" si="36"/>
        <v>0</v>
      </c>
      <c r="L223" s="232">
        <f t="shared" si="37"/>
        <v>0</v>
      </c>
      <c r="M223" s="219">
        <f t="shared" si="38"/>
        <v>0</v>
      </c>
      <c r="N223" s="219">
        <f t="shared" si="39"/>
        <v>0</v>
      </c>
      <c r="O223" s="219">
        <f t="shared" si="39"/>
        <v>0</v>
      </c>
      <c r="P223" s="219">
        <f t="shared" si="40"/>
        <v>0</v>
      </c>
      <c r="Q223" s="219">
        <f t="shared" si="41"/>
        <v>0</v>
      </c>
    </row>
    <row r="224" spans="9:17" hidden="1" x14ac:dyDescent="0.25">
      <c r="I224" s="219">
        <f t="shared" si="34"/>
        <v>0</v>
      </c>
      <c r="J224" s="219">
        <f t="shared" si="35"/>
        <v>0</v>
      </c>
      <c r="K224" s="219">
        <f t="shared" si="36"/>
        <v>0</v>
      </c>
      <c r="L224" s="232">
        <f t="shared" si="37"/>
        <v>0</v>
      </c>
      <c r="M224" s="219">
        <f t="shared" si="38"/>
        <v>0</v>
      </c>
      <c r="N224" s="219">
        <f t="shared" si="39"/>
        <v>0</v>
      </c>
      <c r="O224" s="219">
        <f t="shared" si="39"/>
        <v>0</v>
      </c>
      <c r="P224" s="219">
        <f t="shared" si="40"/>
        <v>0</v>
      </c>
      <c r="Q224" s="219">
        <f t="shared" si="41"/>
        <v>0</v>
      </c>
    </row>
    <row r="225" spans="9:17" hidden="1" x14ac:dyDescent="0.25">
      <c r="I225" s="219">
        <f t="shared" si="34"/>
        <v>0</v>
      </c>
      <c r="J225" s="219">
        <f t="shared" si="35"/>
        <v>0</v>
      </c>
      <c r="K225" s="219">
        <f t="shared" si="36"/>
        <v>0</v>
      </c>
      <c r="L225" s="232">
        <f t="shared" si="37"/>
        <v>0</v>
      </c>
      <c r="M225" s="219">
        <f t="shared" si="38"/>
        <v>0</v>
      </c>
      <c r="N225" s="219">
        <f t="shared" si="39"/>
        <v>0</v>
      </c>
      <c r="O225" s="219">
        <f t="shared" si="39"/>
        <v>0</v>
      </c>
      <c r="P225" s="219">
        <f t="shared" si="40"/>
        <v>0</v>
      </c>
      <c r="Q225" s="219">
        <f t="shared" si="41"/>
        <v>0</v>
      </c>
    </row>
    <row r="226" spans="9:17" hidden="1" x14ac:dyDescent="0.25">
      <c r="I226" s="219">
        <f t="shared" si="34"/>
        <v>0</v>
      </c>
      <c r="J226" s="219">
        <f t="shared" si="35"/>
        <v>0</v>
      </c>
      <c r="K226" s="219">
        <f t="shared" si="36"/>
        <v>0</v>
      </c>
      <c r="L226" s="232">
        <f t="shared" si="37"/>
        <v>0</v>
      </c>
      <c r="M226" s="219">
        <f t="shared" si="38"/>
        <v>0</v>
      </c>
      <c r="N226" s="219">
        <f t="shared" si="39"/>
        <v>0</v>
      </c>
      <c r="O226" s="219">
        <f t="shared" si="39"/>
        <v>0</v>
      </c>
      <c r="P226" s="219">
        <f t="shared" si="40"/>
        <v>0</v>
      </c>
      <c r="Q226" s="219">
        <f t="shared" si="41"/>
        <v>0</v>
      </c>
    </row>
    <row r="227" spans="9:17" hidden="1" x14ac:dyDescent="0.25">
      <c r="I227" s="219">
        <f t="shared" si="34"/>
        <v>0</v>
      </c>
      <c r="J227" s="219">
        <f t="shared" si="35"/>
        <v>0</v>
      </c>
      <c r="K227" s="219">
        <f t="shared" si="36"/>
        <v>0</v>
      </c>
      <c r="L227" s="232">
        <f t="shared" si="37"/>
        <v>0</v>
      </c>
      <c r="M227" s="219">
        <f t="shared" si="38"/>
        <v>0</v>
      </c>
      <c r="N227" s="219">
        <f t="shared" si="39"/>
        <v>0</v>
      </c>
      <c r="O227" s="219">
        <f t="shared" si="39"/>
        <v>0</v>
      </c>
      <c r="P227" s="219">
        <f t="shared" si="40"/>
        <v>0</v>
      </c>
      <c r="Q227" s="219">
        <f t="shared" si="41"/>
        <v>0</v>
      </c>
    </row>
    <row r="228" spans="9:17" hidden="1" x14ac:dyDescent="0.25">
      <c r="I228" s="219">
        <f t="shared" si="34"/>
        <v>0</v>
      </c>
      <c r="J228" s="219">
        <f t="shared" si="35"/>
        <v>0</v>
      </c>
      <c r="K228" s="219">
        <f t="shared" si="36"/>
        <v>0</v>
      </c>
      <c r="L228" s="232">
        <f t="shared" si="37"/>
        <v>0</v>
      </c>
      <c r="M228" s="219">
        <f t="shared" si="38"/>
        <v>0</v>
      </c>
      <c r="N228" s="219">
        <f t="shared" si="39"/>
        <v>0</v>
      </c>
      <c r="O228" s="219">
        <f t="shared" si="39"/>
        <v>0</v>
      </c>
      <c r="P228" s="219">
        <f t="shared" si="40"/>
        <v>0</v>
      </c>
      <c r="Q228" s="219">
        <f t="shared" si="41"/>
        <v>0</v>
      </c>
    </row>
    <row r="229" spans="9:17" hidden="1" x14ac:dyDescent="0.25">
      <c r="I229" s="219">
        <f t="shared" si="34"/>
        <v>0</v>
      </c>
      <c r="J229" s="219">
        <f t="shared" si="35"/>
        <v>0</v>
      </c>
      <c r="K229" s="219">
        <f t="shared" si="36"/>
        <v>0</v>
      </c>
      <c r="L229" s="232">
        <f t="shared" si="37"/>
        <v>0</v>
      </c>
      <c r="M229" s="219">
        <f t="shared" si="38"/>
        <v>0</v>
      </c>
      <c r="N229" s="219">
        <f t="shared" si="39"/>
        <v>0</v>
      </c>
      <c r="O229" s="219">
        <f t="shared" si="39"/>
        <v>0</v>
      </c>
      <c r="P229" s="219">
        <f t="shared" si="40"/>
        <v>0</v>
      </c>
      <c r="Q229" s="219">
        <f t="shared" si="41"/>
        <v>0</v>
      </c>
    </row>
    <row r="230" spans="9:17" hidden="1" x14ac:dyDescent="0.25">
      <c r="I230" s="219">
        <f t="shared" si="34"/>
        <v>0</v>
      </c>
      <c r="J230" s="219">
        <f t="shared" si="35"/>
        <v>0</v>
      </c>
      <c r="K230" s="219">
        <f t="shared" si="36"/>
        <v>0</v>
      </c>
      <c r="L230" s="232">
        <f t="shared" si="37"/>
        <v>0</v>
      </c>
      <c r="M230" s="219">
        <f t="shared" si="38"/>
        <v>0</v>
      </c>
      <c r="N230" s="219">
        <f t="shared" si="39"/>
        <v>0</v>
      </c>
      <c r="O230" s="219">
        <f t="shared" si="39"/>
        <v>0</v>
      </c>
      <c r="P230" s="219">
        <f t="shared" si="40"/>
        <v>0</v>
      </c>
      <c r="Q230" s="219">
        <f t="shared" si="41"/>
        <v>0</v>
      </c>
    </row>
    <row r="231" spans="9:17" hidden="1" x14ac:dyDescent="0.25">
      <c r="I231" s="219">
        <f t="shared" si="34"/>
        <v>0</v>
      </c>
      <c r="J231" s="219">
        <f t="shared" si="35"/>
        <v>0</v>
      </c>
      <c r="K231" s="219">
        <f t="shared" si="36"/>
        <v>0</v>
      </c>
      <c r="L231" s="232">
        <f t="shared" si="37"/>
        <v>0</v>
      </c>
      <c r="M231" s="219">
        <f t="shared" si="38"/>
        <v>0</v>
      </c>
      <c r="N231" s="219">
        <f t="shared" si="39"/>
        <v>0</v>
      </c>
      <c r="O231" s="219">
        <f t="shared" si="39"/>
        <v>0</v>
      </c>
      <c r="P231" s="219">
        <f t="shared" si="40"/>
        <v>0</v>
      </c>
      <c r="Q231" s="219">
        <f t="shared" si="41"/>
        <v>0</v>
      </c>
    </row>
    <row r="232" spans="9:17" hidden="1" x14ac:dyDescent="0.25">
      <c r="I232" s="219">
        <f t="shared" si="34"/>
        <v>0</v>
      </c>
      <c r="J232" s="219">
        <f t="shared" si="35"/>
        <v>0</v>
      </c>
      <c r="K232" s="219">
        <f t="shared" si="36"/>
        <v>0</v>
      </c>
      <c r="L232" s="232">
        <f t="shared" si="37"/>
        <v>0</v>
      </c>
      <c r="M232" s="219">
        <f t="shared" si="38"/>
        <v>0</v>
      </c>
      <c r="N232" s="219">
        <f t="shared" si="39"/>
        <v>0</v>
      </c>
      <c r="O232" s="219">
        <f t="shared" si="39"/>
        <v>0</v>
      </c>
      <c r="P232" s="219">
        <f t="shared" si="40"/>
        <v>0</v>
      </c>
      <c r="Q232" s="219">
        <f t="shared" si="41"/>
        <v>0</v>
      </c>
    </row>
    <row r="233" spans="9:17" hidden="1" x14ac:dyDescent="0.25">
      <c r="I233" s="219">
        <f t="shared" si="34"/>
        <v>0</v>
      </c>
      <c r="J233" s="219">
        <f t="shared" si="35"/>
        <v>0</v>
      </c>
      <c r="K233" s="219">
        <f t="shared" si="36"/>
        <v>0</v>
      </c>
      <c r="L233" s="232">
        <f t="shared" si="37"/>
        <v>0</v>
      </c>
      <c r="M233" s="219">
        <f t="shared" si="38"/>
        <v>0</v>
      </c>
      <c r="N233" s="219">
        <f t="shared" si="39"/>
        <v>0</v>
      </c>
      <c r="O233" s="219">
        <f t="shared" si="39"/>
        <v>0</v>
      </c>
      <c r="P233" s="219">
        <f t="shared" si="40"/>
        <v>0</v>
      </c>
      <c r="Q233" s="219">
        <f t="shared" si="41"/>
        <v>0</v>
      </c>
    </row>
    <row r="234" spans="9:17" hidden="1" x14ac:dyDescent="0.25">
      <c r="I234" s="219">
        <f t="shared" si="34"/>
        <v>0</v>
      </c>
      <c r="J234" s="219">
        <f t="shared" si="35"/>
        <v>0</v>
      </c>
      <c r="K234" s="219">
        <f t="shared" si="36"/>
        <v>0</v>
      </c>
      <c r="L234" s="232">
        <f t="shared" si="37"/>
        <v>0</v>
      </c>
      <c r="M234" s="219">
        <f t="shared" si="38"/>
        <v>0</v>
      </c>
      <c r="N234" s="219">
        <f t="shared" si="39"/>
        <v>0</v>
      </c>
      <c r="O234" s="219">
        <f t="shared" si="39"/>
        <v>0</v>
      </c>
      <c r="P234" s="219">
        <f t="shared" si="40"/>
        <v>0</v>
      </c>
      <c r="Q234" s="219">
        <f t="shared" si="41"/>
        <v>0</v>
      </c>
    </row>
    <row r="235" spans="9:17" hidden="1" x14ac:dyDescent="0.25">
      <c r="I235" s="219">
        <f t="shared" si="34"/>
        <v>0</v>
      </c>
      <c r="J235" s="219">
        <f t="shared" si="35"/>
        <v>0</v>
      </c>
      <c r="K235" s="219">
        <f t="shared" si="36"/>
        <v>0</v>
      </c>
      <c r="L235" s="232">
        <f t="shared" si="37"/>
        <v>0</v>
      </c>
      <c r="M235" s="219">
        <f t="shared" si="38"/>
        <v>0</v>
      </c>
      <c r="N235" s="219">
        <f t="shared" si="39"/>
        <v>0</v>
      </c>
      <c r="O235" s="219">
        <f t="shared" si="39"/>
        <v>0</v>
      </c>
      <c r="P235" s="219">
        <f t="shared" si="40"/>
        <v>0</v>
      </c>
      <c r="Q235" s="219">
        <f t="shared" si="41"/>
        <v>0</v>
      </c>
    </row>
    <row r="236" spans="9:17" hidden="1" x14ac:dyDescent="0.25">
      <c r="I236" s="219">
        <f t="shared" si="34"/>
        <v>0</v>
      </c>
      <c r="J236" s="219">
        <f t="shared" si="35"/>
        <v>0</v>
      </c>
      <c r="K236" s="219">
        <f t="shared" si="36"/>
        <v>0</v>
      </c>
      <c r="L236" s="232">
        <f t="shared" si="37"/>
        <v>0</v>
      </c>
      <c r="M236" s="219">
        <f t="shared" si="38"/>
        <v>0</v>
      </c>
      <c r="N236" s="219">
        <f t="shared" si="39"/>
        <v>0</v>
      </c>
      <c r="O236" s="219">
        <f t="shared" si="39"/>
        <v>0</v>
      </c>
      <c r="P236" s="219">
        <f t="shared" si="40"/>
        <v>0</v>
      </c>
      <c r="Q236" s="219">
        <f t="shared" si="41"/>
        <v>0</v>
      </c>
    </row>
    <row r="237" spans="9:17" hidden="1" x14ac:dyDescent="0.25">
      <c r="I237" s="219">
        <f t="shared" si="34"/>
        <v>0</v>
      </c>
      <c r="J237" s="219">
        <f t="shared" si="35"/>
        <v>0</v>
      </c>
      <c r="K237" s="219">
        <f t="shared" si="36"/>
        <v>0</v>
      </c>
      <c r="L237" s="232">
        <f t="shared" si="37"/>
        <v>0</v>
      </c>
      <c r="M237" s="219">
        <f t="shared" si="38"/>
        <v>0</v>
      </c>
      <c r="N237" s="219">
        <f t="shared" si="39"/>
        <v>0</v>
      </c>
      <c r="O237" s="219">
        <f t="shared" si="39"/>
        <v>0</v>
      </c>
      <c r="P237" s="219">
        <f t="shared" si="40"/>
        <v>0</v>
      </c>
      <c r="Q237" s="219">
        <f t="shared" si="41"/>
        <v>0</v>
      </c>
    </row>
    <row r="238" spans="9:17" hidden="1" x14ac:dyDescent="0.25">
      <c r="I238" s="219">
        <f t="shared" si="34"/>
        <v>0</v>
      </c>
      <c r="J238" s="219">
        <f t="shared" si="35"/>
        <v>0</v>
      </c>
      <c r="K238" s="219">
        <f t="shared" si="36"/>
        <v>0</v>
      </c>
      <c r="L238" s="232">
        <f t="shared" si="37"/>
        <v>0</v>
      </c>
      <c r="M238" s="219">
        <f t="shared" si="38"/>
        <v>0</v>
      </c>
      <c r="N238" s="219">
        <f t="shared" si="39"/>
        <v>0</v>
      </c>
      <c r="O238" s="219">
        <f t="shared" si="39"/>
        <v>0</v>
      </c>
      <c r="P238" s="219">
        <f t="shared" si="40"/>
        <v>0</v>
      </c>
      <c r="Q238" s="219">
        <f t="shared" si="41"/>
        <v>0</v>
      </c>
    </row>
    <row r="239" spans="9:17" hidden="1" x14ac:dyDescent="0.25">
      <c r="I239" s="219">
        <f t="shared" si="34"/>
        <v>0</v>
      </c>
      <c r="J239" s="219">
        <f t="shared" si="35"/>
        <v>0</v>
      </c>
      <c r="K239" s="219">
        <f t="shared" si="36"/>
        <v>0</v>
      </c>
      <c r="L239" s="232">
        <f t="shared" si="37"/>
        <v>0</v>
      </c>
      <c r="M239" s="219">
        <f t="shared" si="38"/>
        <v>0</v>
      </c>
      <c r="N239" s="219">
        <f t="shared" si="39"/>
        <v>0</v>
      </c>
      <c r="O239" s="219">
        <f t="shared" si="39"/>
        <v>0</v>
      </c>
      <c r="P239" s="219">
        <f t="shared" si="40"/>
        <v>0</v>
      </c>
      <c r="Q239" s="219">
        <f t="shared" si="41"/>
        <v>0</v>
      </c>
    </row>
    <row r="240" spans="9:17" hidden="1" x14ac:dyDescent="0.25">
      <c r="I240" s="219">
        <f t="shared" si="34"/>
        <v>0</v>
      </c>
      <c r="J240" s="219">
        <f t="shared" si="35"/>
        <v>0</v>
      </c>
      <c r="K240" s="219">
        <f t="shared" si="36"/>
        <v>0</v>
      </c>
      <c r="L240" s="232">
        <f t="shared" si="37"/>
        <v>0</v>
      </c>
      <c r="M240" s="219">
        <f t="shared" si="38"/>
        <v>0</v>
      </c>
      <c r="N240" s="219">
        <f t="shared" si="39"/>
        <v>0</v>
      </c>
      <c r="O240" s="219">
        <f t="shared" si="39"/>
        <v>0</v>
      </c>
      <c r="P240" s="219">
        <f t="shared" si="40"/>
        <v>0</v>
      </c>
      <c r="Q240" s="219">
        <f t="shared" si="41"/>
        <v>0</v>
      </c>
    </row>
    <row r="241" spans="9:17" hidden="1" x14ac:dyDescent="0.25">
      <c r="I241" s="219">
        <f t="shared" si="34"/>
        <v>0</v>
      </c>
      <c r="J241" s="219">
        <f t="shared" si="35"/>
        <v>0</v>
      </c>
      <c r="K241" s="219">
        <f t="shared" si="36"/>
        <v>0</v>
      </c>
      <c r="L241" s="232">
        <f t="shared" si="37"/>
        <v>0</v>
      </c>
      <c r="M241" s="219">
        <f t="shared" si="38"/>
        <v>0</v>
      </c>
      <c r="N241" s="219">
        <f t="shared" si="39"/>
        <v>0</v>
      </c>
      <c r="O241" s="219">
        <f t="shared" si="39"/>
        <v>0</v>
      </c>
      <c r="P241" s="219">
        <f t="shared" si="40"/>
        <v>0</v>
      </c>
      <c r="Q241" s="219">
        <f t="shared" si="41"/>
        <v>0</v>
      </c>
    </row>
    <row r="242" spans="9:17" hidden="1" x14ac:dyDescent="0.25">
      <c r="I242" s="219">
        <f t="shared" si="34"/>
        <v>0</v>
      </c>
      <c r="J242" s="219">
        <f t="shared" si="35"/>
        <v>0</v>
      </c>
      <c r="K242" s="219">
        <f t="shared" si="36"/>
        <v>0</v>
      </c>
      <c r="L242" s="232">
        <f t="shared" si="37"/>
        <v>0</v>
      </c>
      <c r="M242" s="219">
        <f t="shared" si="38"/>
        <v>0</v>
      </c>
      <c r="N242" s="219">
        <f t="shared" si="39"/>
        <v>0</v>
      </c>
      <c r="O242" s="219">
        <f t="shared" si="39"/>
        <v>0</v>
      </c>
      <c r="P242" s="219">
        <f t="shared" si="40"/>
        <v>0</v>
      </c>
      <c r="Q242" s="219">
        <f t="shared" si="41"/>
        <v>0</v>
      </c>
    </row>
    <row r="243" spans="9:17" hidden="1" x14ac:dyDescent="0.25">
      <c r="I243" s="219">
        <f t="shared" si="34"/>
        <v>0</v>
      </c>
      <c r="J243" s="219">
        <f t="shared" si="35"/>
        <v>0</v>
      </c>
      <c r="K243" s="219">
        <f t="shared" si="36"/>
        <v>0</v>
      </c>
      <c r="L243" s="232">
        <f t="shared" si="37"/>
        <v>0</v>
      </c>
      <c r="M243" s="219">
        <f t="shared" si="38"/>
        <v>0</v>
      </c>
      <c r="N243" s="219">
        <f t="shared" si="39"/>
        <v>0</v>
      </c>
      <c r="O243" s="219">
        <f t="shared" si="39"/>
        <v>0</v>
      </c>
      <c r="P243" s="219">
        <f t="shared" si="40"/>
        <v>0</v>
      </c>
      <c r="Q243" s="219">
        <f t="shared" si="41"/>
        <v>0</v>
      </c>
    </row>
    <row r="244" spans="9:17" hidden="1" x14ac:dyDescent="0.25">
      <c r="I244" s="219">
        <f t="shared" si="34"/>
        <v>0</v>
      </c>
      <c r="J244" s="219">
        <f t="shared" si="35"/>
        <v>0</v>
      </c>
      <c r="K244" s="219">
        <f t="shared" si="36"/>
        <v>0</v>
      </c>
      <c r="L244" s="232">
        <f t="shared" si="37"/>
        <v>0</v>
      </c>
      <c r="M244" s="219">
        <f t="shared" si="38"/>
        <v>0</v>
      </c>
      <c r="N244" s="219">
        <f t="shared" si="39"/>
        <v>0</v>
      </c>
      <c r="O244" s="219">
        <f t="shared" si="39"/>
        <v>0</v>
      </c>
      <c r="P244" s="219">
        <f t="shared" si="40"/>
        <v>0</v>
      </c>
      <c r="Q244" s="219">
        <f t="shared" si="41"/>
        <v>0</v>
      </c>
    </row>
    <row r="245" spans="9:17" hidden="1" x14ac:dyDescent="0.25">
      <c r="I245" s="219">
        <f t="shared" si="34"/>
        <v>0</v>
      </c>
      <c r="J245" s="219">
        <f t="shared" si="35"/>
        <v>0</v>
      </c>
      <c r="K245" s="219">
        <f t="shared" si="36"/>
        <v>0</v>
      </c>
      <c r="L245" s="232">
        <f t="shared" si="37"/>
        <v>0</v>
      </c>
      <c r="M245" s="219">
        <f t="shared" si="38"/>
        <v>0</v>
      </c>
      <c r="N245" s="219">
        <f t="shared" si="39"/>
        <v>0</v>
      </c>
      <c r="O245" s="219">
        <f t="shared" si="39"/>
        <v>0</v>
      </c>
      <c r="P245" s="219">
        <f t="shared" si="40"/>
        <v>0</v>
      </c>
      <c r="Q245" s="219">
        <f t="shared" si="41"/>
        <v>0</v>
      </c>
    </row>
    <row r="246" spans="9:17" hidden="1" x14ac:dyDescent="0.25">
      <c r="I246" s="219">
        <f t="shared" si="34"/>
        <v>0</v>
      </c>
      <c r="J246" s="219">
        <f t="shared" si="35"/>
        <v>0</v>
      </c>
      <c r="K246" s="219">
        <f t="shared" si="36"/>
        <v>0</v>
      </c>
      <c r="L246" s="232">
        <f t="shared" si="37"/>
        <v>0</v>
      </c>
      <c r="M246" s="219">
        <f t="shared" si="38"/>
        <v>0</v>
      </c>
      <c r="N246" s="219">
        <f t="shared" si="39"/>
        <v>0</v>
      </c>
      <c r="O246" s="219">
        <f t="shared" si="39"/>
        <v>0</v>
      </c>
      <c r="P246" s="219">
        <f t="shared" si="40"/>
        <v>0</v>
      </c>
      <c r="Q246" s="219">
        <f t="shared" si="41"/>
        <v>0</v>
      </c>
    </row>
    <row r="247" spans="9:17" hidden="1" x14ac:dyDescent="0.25">
      <c r="I247" s="219">
        <f t="shared" si="34"/>
        <v>0</v>
      </c>
      <c r="J247" s="219">
        <f t="shared" si="35"/>
        <v>0</v>
      </c>
      <c r="K247" s="219">
        <f t="shared" si="36"/>
        <v>0</v>
      </c>
      <c r="L247" s="232">
        <f t="shared" si="37"/>
        <v>0</v>
      </c>
      <c r="M247" s="219">
        <f t="shared" si="38"/>
        <v>0</v>
      </c>
      <c r="N247" s="219">
        <f t="shared" si="39"/>
        <v>0</v>
      </c>
      <c r="O247" s="219">
        <f t="shared" si="39"/>
        <v>0</v>
      </c>
      <c r="P247" s="219">
        <f t="shared" si="40"/>
        <v>0</v>
      </c>
      <c r="Q247" s="219">
        <f t="shared" si="41"/>
        <v>0</v>
      </c>
    </row>
    <row r="248" spans="9:17" hidden="1" x14ac:dyDescent="0.25">
      <c r="I248" s="219">
        <f t="shared" si="34"/>
        <v>0</v>
      </c>
      <c r="J248" s="219">
        <f t="shared" si="35"/>
        <v>0</v>
      </c>
      <c r="K248" s="219">
        <f t="shared" si="36"/>
        <v>0</v>
      </c>
      <c r="L248" s="232">
        <f t="shared" si="37"/>
        <v>0</v>
      </c>
      <c r="M248" s="219">
        <f t="shared" si="38"/>
        <v>0</v>
      </c>
      <c r="N248" s="219">
        <f t="shared" si="39"/>
        <v>0</v>
      </c>
      <c r="O248" s="219">
        <f t="shared" si="39"/>
        <v>0</v>
      </c>
      <c r="P248" s="219">
        <f t="shared" si="40"/>
        <v>0</v>
      </c>
      <c r="Q248" s="219">
        <f t="shared" si="41"/>
        <v>0</v>
      </c>
    </row>
    <row r="249" spans="9:17" hidden="1" x14ac:dyDescent="0.25">
      <c r="I249" s="219">
        <f t="shared" si="34"/>
        <v>0</v>
      </c>
      <c r="J249" s="219">
        <f t="shared" si="35"/>
        <v>0</v>
      </c>
      <c r="K249" s="219">
        <f t="shared" si="36"/>
        <v>0</v>
      </c>
      <c r="L249" s="232">
        <f t="shared" si="37"/>
        <v>0</v>
      </c>
      <c r="M249" s="219">
        <f t="shared" si="38"/>
        <v>0</v>
      </c>
      <c r="N249" s="219">
        <f t="shared" si="39"/>
        <v>0</v>
      </c>
      <c r="O249" s="219">
        <f t="shared" si="39"/>
        <v>0</v>
      </c>
      <c r="P249" s="219">
        <f t="shared" si="40"/>
        <v>0</v>
      </c>
      <c r="Q249" s="219">
        <f t="shared" si="41"/>
        <v>0</v>
      </c>
    </row>
    <row r="250" spans="9:17" hidden="1" x14ac:dyDescent="0.25">
      <c r="I250" s="219">
        <f t="shared" si="34"/>
        <v>0</v>
      </c>
      <c r="J250" s="219">
        <f t="shared" si="35"/>
        <v>0</v>
      </c>
      <c r="K250" s="219">
        <f t="shared" si="36"/>
        <v>0</v>
      </c>
      <c r="L250" s="232">
        <f t="shared" si="37"/>
        <v>0</v>
      </c>
      <c r="M250" s="219">
        <f t="shared" si="38"/>
        <v>0</v>
      </c>
      <c r="N250" s="219">
        <f t="shared" si="39"/>
        <v>0</v>
      </c>
      <c r="O250" s="219">
        <f t="shared" si="39"/>
        <v>0</v>
      </c>
      <c r="P250" s="219">
        <f t="shared" si="40"/>
        <v>0</v>
      </c>
      <c r="Q250" s="219">
        <f t="shared" si="41"/>
        <v>0</v>
      </c>
    </row>
    <row r="251" spans="9:17" hidden="1" x14ac:dyDescent="0.25">
      <c r="I251" s="219">
        <f t="shared" si="34"/>
        <v>0</v>
      </c>
      <c r="J251" s="219">
        <f t="shared" si="35"/>
        <v>0</v>
      </c>
      <c r="K251" s="219">
        <f t="shared" si="36"/>
        <v>0</v>
      </c>
      <c r="L251" s="232">
        <f t="shared" si="37"/>
        <v>0</v>
      </c>
      <c r="M251" s="219">
        <f t="shared" si="38"/>
        <v>0</v>
      </c>
      <c r="N251" s="219">
        <f t="shared" si="39"/>
        <v>0</v>
      </c>
      <c r="O251" s="219">
        <f t="shared" si="39"/>
        <v>0</v>
      </c>
      <c r="P251" s="219">
        <f t="shared" si="40"/>
        <v>0</v>
      </c>
      <c r="Q251" s="219">
        <f t="shared" si="41"/>
        <v>0</v>
      </c>
    </row>
    <row r="252" spans="9:17" hidden="1" x14ac:dyDescent="0.25">
      <c r="I252" s="219">
        <f t="shared" si="34"/>
        <v>0</v>
      </c>
      <c r="J252" s="219">
        <f t="shared" si="35"/>
        <v>0</v>
      </c>
      <c r="K252" s="219">
        <f t="shared" si="36"/>
        <v>0</v>
      </c>
      <c r="L252" s="232">
        <f t="shared" si="37"/>
        <v>0</v>
      </c>
      <c r="M252" s="219">
        <f t="shared" si="38"/>
        <v>0</v>
      </c>
      <c r="N252" s="219">
        <f t="shared" si="39"/>
        <v>0</v>
      </c>
      <c r="O252" s="219">
        <f t="shared" si="39"/>
        <v>0</v>
      </c>
      <c r="P252" s="219">
        <f t="shared" si="40"/>
        <v>0</v>
      </c>
      <c r="Q252" s="219">
        <f t="shared" si="41"/>
        <v>0</v>
      </c>
    </row>
    <row r="253" spans="9:17" hidden="1" x14ac:dyDescent="0.25">
      <c r="I253" s="219">
        <f t="shared" si="34"/>
        <v>0</v>
      </c>
      <c r="J253" s="219">
        <f t="shared" si="35"/>
        <v>0</v>
      </c>
      <c r="K253" s="219">
        <f t="shared" si="36"/>
        <v>0</v>
      </c>
      <c r="L253" s="232">
        <f t="shared" si="37"/>
        <v>0</v>
      </c>
      <c r="M253" s="219">
        <f t="shared" si="38"/>
        <v>0</v>
      </c>
      <c r="N253" s="219">
        <f t="shared" si="39"/>
        <v>0</v>
      </c>
      <c r="O253" s="219">
        <f t="shared" si="39"/>
        <v>0</v>
      </c>
      <c r="P253" s="219">
        <f t="shared" si="40"/>
        <v>0</v>
      </c>
      <c r="Q253" s="219">
        <f t="shared" si="41"/>
        <v>0</v>
      </c>
    </row>
    <row r="254" spans="9:17" hidden="1" x14ac:dyDescent="0.25">
      <c r="I254" s="219">
        <f t="shared" si="34"/>
        <v>0</v>
      </c>
      <c r="J254" s="219">
        <f t="shared" si="35"/>
        <v>0</v>
      </c>
      <c r="K254" s="219">
        <f t="shared" si="36"/>
        <v>0</v>
      </c>
      <c r="L254" s="232">
        <f t="shared" si="37"/>
        <v>0</v>
      </c>
      <c r="M254" s="219">
        <f t="shared" si="38"/>
        <v>0</v>
      </c>
      <c r="N254" s="219">
        <f t="shared" si="39"/>
        <v>0</v>
      </c>
      <c r="O254" s="219">
        <f t="shared" si="39"/>
        <v>0</v>
      </c>
      <c r="P254" s="219">
        <f t="shared" si="40"/>
        <v>0</v>
      </c>
      <c r="Q254" s="219">
        <f t="shared" si="41"/>
        <v>0</v>
      </c>
    </row>
    <row r="255" spans="9:17" hidden="1" x14ac:dyDescent="0.25">
      <c r="I255" s="219">
        <f t="shared" si="34"/>
        <v>0</v>
      </c>
      <c r="J255" s="219">
        <f t="shared" si="35"/>
        <v>0</v>
      </c>
      <c r="K255" s="219">
        <f t="shared" si="36"/>
        <v>0</v>
      </c>
      <c r="L255" s="232">
        <f t="shared" si="37"/>
        <v>0</v>
      </c>
      <c r="M255" s="219">
        <f t="shared" si="38"/>
        <v>0</v>
      </c>
      <c r="N255" s="219">
        <f t="shared" si="39"/>
        <v>0</v>
      </c>
      <c r="O255" s="219">
        <f t="shared" si="39"/>
        <v>0</v>
      </c>
      <c r="P255" s="219">
        <f t="shared" si="40"/>
        <v>0</v>
      </c>
      <c r="Q255" s="219">
        <f t="shared" si="41"/>
        <v>0</v>
      </c>
    </row>
    <row r="256" spans="9:17" hidden="1" x14ac:dyDescent="0.25">
      <c r="I256" s="219">
        <f t="shared" si="34"/>
        <v>0</v>
      </c>
      <c r="J256" s="219">
        <f t="shared" si="35"/>
        <v>0</v>
      </c>
      <c r="K256" s="219">
        <f t="shared" si="36"/>
        <v>0</v>
      </c>
      <c r="L256" s="232">
        <f t="shared" si="37"/>
        <v>0</v>
      </c>
      <c r="M256" s="219">
        <f t="shared" si="38"/>
        <v>0</v>
      </c>
      <c r="N256" s="219">
        <f t="shared" si="39"/>
        <v>0</v>
      </c>
      <c r="O256" s="219">
        <f t="shared" si="39"/>
        <v>0</v>
      </c>
      <c r="P256" s="219">
        <f t="shared" si="40"/>
        <v>0</v>
      </c>
      <c r="Q256" s="219">
        <f t="shared" si="41"/>
        <v>0</v>
      </c>
    </row>
    <row r="257" spans="9:17" hidden="1" x14ac:dyDescent="0.25">
      <c r="I257" s="219">
        <f t="shared" si="34"/>
        <v>0</v>
      </c>
      <c r="J257" s="219">
        <f t="shared" si="35"/>
        <v>0</v>
      </c>
      <c r="K257" s="219">
        <f t="shared" si="36"/>
        <v>0</v>
      </c>
      <c r="L257" s="232">
        <f t="shared" si="37"/>
        <v>0</v>
      </c>
      <c r="M257" s="219">
        <f t="shared" si="38"/>
        <v>0</v>
      </c>
      <c r="N257" s="219">
        <f t="shared" si="39"/>
        <v>0</v>
      </c>
      <c r="O257" s="219">
        <f t="shared" si="39"/>
        <v>0</v>
      </c>
      <c r="P257" s="219">
        <f t="shared" si="40"/>
        <v>0</v>
      </c>
      <c r="Q257" s="219">
        <f t="shared" si="41"/>
        <v>0</v>
      </c>
    </row>
    <row r="258" spans="9:17" hidden="1" x14ac:dyDescent="0.25">
      <c r="I258" s="219">
        <f t="shared" si="34"/>
        <v>0</v>
      </c>
      <c r="J258" s="219">
        <f t="shared" si="35"/>
        <v>0</v>
      </c>
      <c r="K258" s="219">
        <f t="shared" si="36"/>
        <v>0</v>
      </c>
      <c r="L258" s="232">
        <f t="shared" si="37"/>
        <v>0</v>
      </c>
      <c r="M258" s="219">
        <f t="shared" si="38"/>
        <v>0</v>
      </c>
      <c r="N258" s="219">
        <f t="shared" si="39"/>
        <v>0</v>
      </c>
      <c r="O258" s="219">
        <f t="shared" si="39"/>
        <v>0</v>
      </c>
      <c r="P258" s="219">
        <f t="shared" si="40"/>
        <v>0</v>
      </c>
      <c r="Q258" s="219">
        <f t="shared" si="41"/>
        <v>0</v>
      </c>
    </row>
    <row r="259" spans="9:17" hidden="1" x14ac:dyDescent="0.25">
      <c r="I259" s="219">
        <f t="shared" si="34"/>
        <v>0</v>
      </c>
      <c r="J259" s="219">
        <f t="shared" si="35"/>
        <v>0</v>
      </c>
      <c r="K259" s="219">
        <f t="shared" si="36"/>
        <v>0</v>
      </c>
      <c r="L259" s="232">
        <f t="shared" si="37"/>
        <v>0</v>
      </c>
      <c r="M259" s="219">
        <f t="shared" si="38"/>
        <v>0</v>
      </c>
      <c r="N259" s="219">
        <f t="shared" si="39"/>
        <v>0</v>
      </c>
      <c r="O259" s="219">
        <f t="shared" si="39"/>
        <v>0</v>
      </c>
      <c r="P259" s="219">
        <f t="shared" si="40"/>
        <v>0</v>
      </c>
      <c r="Q259" s="219">
        <f t="shared" si="41"/>
        <v>0</v>
      </c>
    </row>
    <row r="260" spans="9:17" hidden="1" x14ac:dyDescent="0.25">
      <c r="I260" s="219">
        <f t="shared" si="34"/>
        <v>0</v>
      </c>
      <c r="J260" s="219">
        <f t="shared" si="35"/>
        <v>0</v>
      </c>
      <c r="K260" s="219">
        <f t="shared" si="36"/>
        <v>0</v>
      </c>
      <c r="L260" s="232">
        <f t="shared" si="37"/>
        <v>0</v>
      </c>
      <c r="M260" s="219">
        <f t="shared" si="38"/>
        <v>0</v>
      </c>
      <c r="N260" s="219">
        <f t="shared" si="39"/>
        <v>0</v>
      </c>
      <c r="O260" s="219">
        <f t="shared" si="39"/>
        <v>0</v>
      </c>
      <c r="P260" s="219">
        <f t="shared" si="40"/>
        <v>0</v>
      </c>
      <c r="Q260" s="219">
        <f t="shared" si="41"/>
        <v>0</v>
      </c>
    </row>
    <row r="261" spans="9:17" hidden="1" x14ac:dyDescent="0.25">
      <c r="I261" s="219">
        <f t="shared" ref="I261:I268" si="42">SUM(R261:S261)</f>
        <v>0</v>
      </c>
      <c r="J261" s="219">
        <f t="shared" ref="J261:J268" si="43">SUM(T261:V261)</f>
        <v>0</v>
      </c>
      <c r="K261" s="219">
        <f t="shared" ref="K261:K268" si="44">W261</f>
        <v>0</v>
      </c>
      <c r="L261" s="232">
        <f t="shared" ref="L261:L268" si="45">SUM(X261:AB261)</f>
        <v>0</v>
      </c>
      <c r="M261" s="219">
        <f t="shared" ref="M261:M268" si="46">SUM(AC261:AE261)</f>
        <v>0</v>
      </c>
      <c r="N261" s="219">
        <f t="shared" ref="N261:O268" si="47">AG261</f>
        <v>0</v>
      </c>
      <c r="O261" s="219">
        <f t="shared" si="47"/>
        <v>0</v>
      </c>
      <c r="P261" s="219">
        <f t="shared" ref="P261:P268" si="48">SUM(AK261:AM261)</f>
        <v>0</v>
      </c>
      <c r="Q261" s="219">
        <f t="shared" ref="Q261:Q268" si="49">AN261</f>
        <v>0</v>
      </c>
    </row>
    <row r="262" spans="9:17" hidden="1" x14ac:dyDescent="0.25">
      <c r="I262" s="219">
        <f t="shared" si="42"/>
        <v>0</v>
      </c>
      <c r="J262" s="219">
        <f t="shared" si="43"/>
        <v>0</v>
      </c>
      <c r="K262" s="219">
        <f t="shared" si="44"/>
        <v>0</v>
      </c>
      <c r="L262" s="232">
        <f t="shared" si="45"/>
        <v>0</v>
      </c>
      <c r="M262" s="219">
        <f t="shared" si="46"/>
        <v>0</v>
      </c>
      <c r="N262" s="219">
        <f t="shared" si="47"/>
        <v>0</v>
      </c>
      <c r="O262" s="219">
        <f t="shared" si="47"/>
        <v>0</v>
      </c>
      <c r="P262" s="219">
        <f t="shared" si="48"/>
        <v>0</v>
      </c>
      <c r="Q262" s="219">
        <f t="shared" si="49"/>
        <v>0</v>
      </c>
    </row>
    <row r="263" spans="9:17" hidden="1" x14ac:dyDescent="0.25">
      <c r="I263" s="219">
        <f t="shared" si="42"/>
        <v>0</v>
      </c>
      <c r="J263" s="219">
        <f t="shared" si="43"/>
        <v>0</v>
      </c>
      <c r="K263" s="219">
        <f t="shared" si="44"/>
        <v>0</v>
      </c>
      <c r="L263" s="232">
        <f t="shared" si="45"/>
        <v>0</v>
      </c>
      <c r="M263" s="219">
        <f t="shared" si="46"/>
        <v>0</v>
      </c>
      <c r="N263" s="219">
        <f t="shared" si="47"/>
        <v>0</v>
      </c>
      <c r="O263" s="219">
        <f t="shared" si="47"/>
        <v>0</v>
      </c>
      <c r="P263" s="219">
        <f t="shared" si="48"/>
        <v>0</v>
      </c>
      <c r="Q263" s="219">
        <f t="shared" si="49"/>
        <v>0</v>
      </c>
    </row>
    <row r="264" spans="9:17" hidden="1" x14ac:dyDescent="0.25">
      <c r="I264" s="219">
        <f t="shared" si="42"/>
        <v>0</v>
      </c>
      <c r="J264" s="219">
        <f t="shared" si="43"/>
        <v>0</v>
      </c>
      <c r="K264" s="219">
        <f t="shared" si="44"/>
        <v>0</v>
      </c>
      <c r="L264" s="232">
        <f t="shared" si="45"/>
        <v>0</v>
      </c>
      <c r="M264" s="219">
        <f t="shared" si="46"/>
        <v>0</v>
      </c>
      <c r="N264" s="219">
        <f t="shared" si="47"/>
        <v>0</v>
      </c>
      <c r="O264" s="219">
        <f t="shared" si="47"/>
        <v>0</v>
      </c>
      <c r="P264" s="219">
        <f t="shared" si="48"/>
        <v>0</v>
      </c>
      <c r="Q264" s="219">
        <f t="shared" si="49"/>
        <v>0</v>
      </c>
    </row>
    <row r="265" spans="9:17" hidden="1" x14ac:dyDescent="0.25">
      <c r="I265" s="219">
        <f t="shared" si="42"/>
        <v>0</v>
      </c>
      <c r="J265" s="219">
        <f t="shared" si="43"/>
        <v>0</v>
      </c>
      <c r="K265" s="219">
        <f t="shared" si="44"/>
        <v>0</v>
      </c>
      <c r="L265" s="232">
        <f t="shared" si="45"/>
        <v>0</v>
      </c>
      <c r="M265" s="219">
        <f t="shared" si="46"/>
        <v>0</v>
      </c>
      <c r="N265" s="219">
        <f t="shared" si="47"/>
        <v>0</v>
      </c>
      <c r="O265" s="219">
        <f t="shared" si="47"/>
        <v>0</v>
      </c>
      <c r="P265" s="219">
        <f t="shared" si="48"/>
        <v>0</v>
      </c>
      <c r="Q265" s="219">
        <f t="shared" si="49"/>
        <v>0</v>
      </c>
    </row>
    <row r="266" spans="9:17" hidden="1" x14ac:dyDescent="0.25">
      <c r="I266" s="219">
        <f t="shared" si="42"/>
        <v>0</v>
      </c>
      <c r="J266" s="219">
        <f t="shared" si="43"/>
        <v>0</v>
      </c>
      <c r="K266" s="219">
        <f t="shared" si="44"/>
        <v>0</v>
      </c>
      <c r="L266" s="232">
        <f t="shared" si="45"/>
        <v>0</v>
      </c>
      <c r="M266" s="219">
        <f t="shared" si="46"/>
        <v>0</v>
      </c>
      <c r="N266" s="219">
        <f t="shared" si="47"/>
        <v>0</v>
      </c>
      <c r="O266" s="219">
        <f t="shared" si="47"/>
        <v>0</v>
      </c>
      <c r="P266" s="219">
        <f t="shared" si="48"/>
        <v>0</v>
      </c>
      <c r="Q266" s="219">
        <f t="shared" si="49"/>
        <v>0</v>
      </c>
    </row>
    <row r="267" spans="9:17" hidden="1" x14ac:dyDescent="0.25">
      <c r="I267" s="219">
        <f t="shared" si="42"/>
        <v>0</v>
      </c>
      <c r="J267" s="219">
        <f t="shared" si="43"/>
        <v>0</v>
      </c>
      <c r="K267" s="219">
        <f t="shared" si="44"/>
        <v>0</v>
      </c>
      <c r="L267" s="232">
        <f t="shared" si="45"/>
        <v>0</v>
      </c>
      <c r="M267" s="219">
        <f t="shared" si="46"/>
        <v>0</v>
      </c>
      <c r="N267" s="219">
        <f t="shared" si="47"/>
        <v>0</v>
      </c>
      <c r="O267" s="219">
        <f t="shared" si="47"/>
        <v>0</v>
      </c>
      <c r="P267" s="219">
        <f t="shared" si="48"/>
        <v>0</v>
      </c>
      <c r="Q267" s="219">
        <f t="shared" si="49"/>
        <v>0</v>
      </c>
    </row>
    <row r="268" spans="9:17" hidden="1" x14ac:dyDescent="0.25">
      <c r="I268" s="219">
        <f t="shared" si="42"/>
        <v>0</v>
      </c>
      <c r="J268" s="219">
        <f t="shared" si="43"/>
        <v>0</v>
      </c>
      <c r="K268" s="219">
        <f t="shared" si="44"/>
        <v>0</v>
      </c>
      <c r="L268" s="232">
        <f t="shared" si="45"/>
        <v>0</v>
      </c>
      <c r="M268" s="219">
        <f t="shared" si="46"/>
        <v>0</v>
      </c>
      <c r="N268" s="219">
        <f t="shared" si="47"/>
        <v>0</v>
      </c>
      <c r="O268" s="219">
        <f t="shared" si="47"/>
        <v>0</v>
      </c>
      <c r="P268" s="219">
        <f t="shared" si="48"/>
        <v>0</v>
      </c>
      <c r="Q268" s="219">
        <f t="shared" si="49"/>
        <v>0</v>
      </c>
    </row>
  </sheetData>
  <autoFilter ref="A3:AN268" xr:uid="{6795BF65-6B09-43B1-8177-6B521D4ACFB1}">
    <filterColumn colId="0">
      <filters>
        <filter val="Саха (Якутия)"/>
        <filter val="Сахалинская"/>
      </filters>
    </filterColumn>
    <filterColumn colId="4">
      <filters>
        <filter val="Атика ООО"/>
      </filters>
    </filterColumn>
  </autoFilter>
  <mergeCells count="7">
    <mergeCell ref="J2:L2"/>
    <mergeCell ref="M2:Q2"/>
    <mergeCell ref="R1:AB1"/>
    <mergeCell ref="AC1:AN1"/>
    <mergeCell ref="R2:S2"/>
    <mergeCell ref="AC2:AJ2"/>
    <mergeCell ref="AK2:AN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CDD9-2766-4FCB-9CD5-AB6905233612}">
  <sheetPr filterMode="1">
    <tabColor rgb="FF92D050"/>
  </sheetPr>
  <dimension ref="A1:AR268"/>
  <sheetViews>
    <sheetView zoomScale="85" zoomScaleNormal="85" workbookViewId="0">
      <pane ySplit="3" topLeftCell="A28" activePane="bottomLeft" state="frozen"/>
      <selection pane="bottomLeft" activeCell="L37" sqref="L37"/>
    </sheetView>
  </sheetViews>
  <sheetFormatPr defaultRowHeight="15" x14ac:dyDescent="0.25"/>
  <cols>
    <col min="1" max="1" width="60.42578125" bestFit="1" customWidth="1"/>
    <col min="3" max="3" width="33.28515625" bestFit="1" customWidth="1"/>
    <col min="4" max="4" width="32" bestFit="1" customWidth="1"/>
    <col min="5" max="5" width="23" customWidth="1"/>
    <col min="6" max="7" width="8.7109375" customWidth="1"/>
    <col min="8" max="8" width="22.28515625" customWidth="1"/>
    <col min="9" max="9" width="13.140625" bestFit="1" customWidth="1"/>
    <col min="10" max="10" width="18.7109375" bestFit="1" customWidth="1"/>
    <col min="11" max="11" width="20.7109375" bestFit="1" customWidth="1"/>
    <col min="12" max="12" width="21.28515625" bestFit="1" customWidth="1"/>
    <col min="13" max="13" width="25.42578125" bestFit="1" customWidth="1"/>
    <col min="14" max="14" width="25.140625" bestFit="1" customWidth="1"/>
    <col min="15" max="15" width="23.28515625" bestFit="1" customWidth="1"/>
    <col min="16" max="16" width="18.28515625" bestFit="1" customWidth="1"/>
    <col min="17" max="17" width="19.28515625" bestFit="1" customWidth="1"/>
    <col min="18" max="18" width="15.28515625" style="181" customWidth="1"/>
    <col min="19" max="19" width="15.28515625" customWidth="1"/>
    <col min="20" max="20" width="15.5703125" bestFit="1" customWidth="1"/>
    <col min="21" max="21" width="16.5703125" bestFit="1" customWidth="1"/>
    <col min="22" max="22" width="15.28515625" customWidth="1"/>
    <col min="23" max="23" width="8.7109375" customWidth="1"/>
    <col min="24" max="24" width="13.7109375" style="181" bestFit="1" customWidth="1"/>
    <col min="25" max="25" width="14.7109375" bestFit="1" customWidth="1"/>
    <col min="26" max="26" width="13.7109375" bestFit="1" customWidth="1"/>
    <col min="27" max="27" width="16.28515625" bestFit="1" customWidth="1"/>
    <col min="28" max="29" width="14.7109375" bestFit="1" customWidth="1"/>
    <col min="30" max="30" width="12.5703125" bestFit="1" customWidth="1"/>
    <col min="31" max="31" width="14.5703125" bestFit="1" customWidth="1"/>
    <col min="32" max="32" width="14.7109375" style="199" bestFit="1" customWidth="1"/>
    <col min="33" max="33" width="16.28515625" bestFit="1" customWidth="1"/>
    <col min="34" max="34" width="14.5703125" customWidth="1"/>
    <col min="35" max="35" width="14.42578125" customWidth="1"/>
    <col min="36" max="36" width="14.5703125" style="194" customWidth="1"/>
    <col min="37" max="37" width="12.5703125" customWidth="1"/>
    <col min="38" max="38" width="22.5703125" customWidth="1"/>
    <col min="39" max="40" width="8.7109375" customWidth="1"/>
    <col min="41" max="41" width="14.5703125" customWidth="1"/>
    <col min="42" max="42" width="21.42578125" customWidth="1"/>
    <col min="43" max="43" width="15.42578125" customWidth="1"/>
    <col min="44" max="44" width="15.5703125" customWidth="1"/>
  </cols>
  <sheetData>
    <row r="1" spans="1:44" ht="15.75" thickBot="1" x14ac:dyDescent="0.3">
      <c r="A1" s="14" t="s">
        <v>182</v>
      </c>
      <c r="B1" s="1"/>
      <c r="C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506" t="s">
        <v>184</v>
      </c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4" t="s">
        <v>185</v>
      </c>
      <c r="AH1" s="504"/>
      <c r="AI1" s="504"/>
      <c r="AJ1" s="504"/>
      <c r="AK1" s="504"/>
      <c r="AL1" s="504"/>
      <c r="AM1" s="504"/>
      <c r="AN1" s="504"/>
      <c r="AO1" s="504"/>
      <c r="AP1" s="504"/>
      <c r="AQ1" s="504"/>
    </row>
    <row r="2" spans="1:44" ht="58.5" customHeight="1" thickBot="1" x14ac:dyDescent="0.3">
      <c r="A2" s="3"/>
      <c r="B2" s="3"/>
      <c r="C2" s="3"/>
      <c r="D2" s="3"/>
      <c r="E2" s="3"/>
      <c r="F2" s="3"/>
      <c r="G2" s="3"/>
      <c r="H2" s="3"/>
      <c r="I2" s="13" t="s">
        <v>290</v>
      </c>
      <c r="J2" s="490" t="s">
        <v>291</v>
      </c>
      <c r="K2" s="490"/>
      <c r="L2" s="490"/>
      <c r="M2" s="490" t="s">
        <v>292</v>
      </c>
      <c r="N2" s="490"/>
      <c r="O2" s="490"/>
      <c r="P2" s="490"/>
      <c r="Q2" s="491"/>
      <c r="R2" s="507" t="s">
        <v>186</v>
      </c>
      <c r="S2" s="507"/>
      <c r="T2" s="507"/>
      <c r="U2" s="507"/>
      <c r="V2" s="507"/>
      <c r="W2" s="507"/>
      <c r="X2" s="182" t="s">
        <v>187</v>
      </c>
      <c r="Y2" s="3" t="s">
        <v>187</v>
      </c>
      <c r="Z2" s="5" t="s">
        <v>187</v>
      </c>
      <c r="AA2" s="3" t="s">
        <v>188</v>
      </c>
      <c r="AB2" s="3" t="s">
        <v>188</v>
      </c>
      <c r="AC2" s="3" t="s">
        <v>188</v>
      </c>
      <c r="AD2" s="3" t="s">
        <v>188</v>
      </c>
      <c r="AE2" s="3" t="s">
        <v>188</v>
      </c>
      <c r="AF2" s="183" t="s">
        <v>188</v>
      </c>
      <c r="AG2" s="505" t="s">
        <v>189</v>
      </c>
      <c r="AH2" s="505"/>
      <c r="AI2" s="505"/>
      <c r="AJ2" s="505"/>
      <c r="AK2" s="505"/>
      <c r="AL2" s="505"/>
      <c r="AM2" s="505"/>
      <c r="AN2" s="505"/>
      <c r="AO2" s="505" t="s">
        <v>293</v>
      </c>
      <c r="AP2" s="505"/>
      <c r="AQ2" s="505"/>
    </row>
    <row r="3" spans="1:44" ht="45.6" customHeight="1" thickBot="1" x14ac:dyDescent="0.3">
      <c r="A3" s="10" t="s">
        <v>190</v>
      </c>
      <c r="B3" s="11" t="s">
        <v>191</v>
      </c>
      <c r="C3" s="11" t="s">
        <v>192</v>
      </c>
      <c r="D3" s="12" t="s">
        <v>193</v>
      </c>
      <c r="E3" s="10" t="s">
        <v>194</v>
      </c>
      <c r="F3" s="12" t="s">
        <v>195</v>
      </c>
      <c r="G3" s="17" t="s">
        <v>196</v>
      </c>
      <c r="H3" s="10" t="s">
        <v>197</v>
      </c>
      <c r="I3" s="231" t="s">
        <v>290</v>
      </c>
      <c r="J3" s="231" t="s">
        <v>294</v>
      </c>
      <c r="K3" s="231" t="s">
        <v>295</v>
      </c>
      <c r="L3" s="231" t="s">
        <v>296</v>
      </c>
      <c r="M3" s="231" t="s">
        <v>297</v>
      </c>
      <c r="N3" s="231" t="s">
        <v>298</v>
      </c>
      <c r="O3" s="231" t="s">
        <v>299</v>
      </c>
      <c r="P3" s="231" t="s">
        <v>300</v>
      </c>
      <c r="Q3" s="231" t="s">
        <v>301</v>
      </c>
      <c r="R3" s="184" t="s">
        <v>523</v>
      </c>
      <c r="S3" s="185" t="s">
        <v>524</v>
      </c>
      <c r="T3" s="185" t="s">
        <v>334</v>
      </c>
      <c r="U3" s="185" t="s">
        <v>352</v>
      </c>
      <c r="V3" s="185" t="s">
        <v>302</v>
      </c>
      <c r="W3" s="186" t="s">
        <v>303</v>
      </c>
      <c r="X3" s="187" t="s">
        <v>304</v>
      </c>
      <c r="Y3" s="11" t="s">
        <v>305</v>
      </c>
      <c r="Z3" s="12" t="s">
        <v>201</v>
      </c>
      <c r="AA3" s="11" t="s">
        <v>202</v>
      </c>
      <c r="AB3" s="11" t="s">
        <v>204</v>
      </c>
      <c r="AC3" s="11" t="s">
        <v>205</v>
      </c>
      <c r="AD3" s="11" t="s">
        <v>206</v>
      </c>
      <c r="AE3" s="11" t="s">
        <v>207</v>
      </c>
      <c r="AF3" s="188" t="s">
        <v>208</v>
      </c>
      <c r="AG3" s="11" t="s">
        <v>306</v>
      </c>
      <c r="AH3" s="11" t="s">
        <v>307</v>
      </c>
      <c r="AI3" s="11" t="s">
        <v>308</v>
      </c>
      <c r="AJ3" s="189" t="s">
        <v>309</v>
      </c>
      <c r="AK3" s="11" t="s">
        <v>310</v>
      </c>
      <c r="AL3" s="10" t="s">
        <v>311</v>
      </c>
      <c r="AM3" s="10" t="s">
        <v>312</v>
      </c>
      <c r="AN3" s="12" t="s">
        <v>313</v>
      </c>
      <c r="AO3" s="10" t="s">
        <v>306</v>
      </c>
      <c r="AP3" s="11" t="s">
        <v>307</v>
      </c>
      <c r="AQ3" s="12" t="s">
        <v>314</v>
      </c>
      <c r="AR3" s="13"/>
    </row>
    <row r="4" spans="1:44" hidden="1" x14ac:dyDescent="0.25">
      <c r="A4" t="s">
        <v>525</v>
      </c>
      <c r="B4" t="s">
        <v>526</v>
      </c>
      <c r="C4" t="s">
        <v>527</v>
      </c>
      <c r="D4" t="s">
        <v>528</v>
      </c>
      <c r="E4" t="s">
        <v>423</v>
      </c>
      <c r="I4" s="219">
        <f>SUM(R4:S4,V4:W4)</f>
        <v>98053376.850000009</v>
      </c>
      <c r="J4" s="219">
        <f>SUM(T4:U4,X4:Z4)</f>
        <v>6208890.4699999997</v>
      </c>
      <c r="K4" s="219">
        <f>AA4</f>
        <v>0</v>
      </c>
      <c r="L4" s="232">
        <f>SUM(AB4:AF4)</f>
        <v>124811072.15000001</v>
      </c>
      <c r="M4" s="219">
        <f>SUM(AG4:AI4)</f>
        <v>0</v>
      </c>
      <c r="N4" s="219">
        <f>AK4</f>
        <v>0</v>
      </c>
      <c r="O4" s="219">
        <f>AL4</f>
        <v>1119300</v>
      </c>
      <c r="P4" s="219">
        <f>SUM(AO4:AQ4)</f>
        <v>0</v>
      </c>
      <c r="Q4" s="219"/>
      <c r="R4" s="190">
        <v>0</v>
      </c>
      <c r="S4" s="190">
        <v>0</v>
      </c>
      <c r="T4" s="190">
        <v>6208890.4699999997</v>
      </c>
      <c r="U4" s="180">
        <v>0</v>
      </c>
      <c r="V4" s="180">
        <v>98053376.850000009</v>
      </c>
      <c r="X4" s="191">
        <v>0</v>
      </c>
      <c r="Y4" s="192">
        <v>0</v>
      </c>
      <c r="Z4" s="192">
        <v>0</v>
      </c>
      <c r="AA4" s="192">
        <v>0</v>
      </c>
      <c r="AB4" s="192">
        <v>47806808.620000005</v>
      </c>
      <c r="AC4" s="192">
        <v>3692435.3200000003</v>
      </c>
      <c r="AD4" s="192">
        <v>0</v>
      </c>
      <c r="AE4" s="192">
        <v>43354021.339999989</v>
      </c>
      <c r="AF4" s="193">
        <v>29957806.869999997</v>
      </c>
      <c r="AH4">
        <v>0</v>
      </c>
      <c r="AK4" s="180">
        <v>0</v>
      </c>
      <c r="AL4" s="194">
        <v>1119300</v>
      </c>
      <c r="AQ4" s="180"/>
      <c r="AR4" s="178"/>
    </row>
    <row r="5" spans="1:44" hidden="1" x14ac:dyDescent="0.25">
      <c r="A5" t="s">
        <v>525</v>
      </c>
      <c r="B5" t="s">
        <v>526</v>
      </c>
      <c r="C5" t="s">
        <v>529</v>
      </c>
      <c r="D5" t="s">
        <v>530</v>
      </c>
      <c r="E5" t="s">
        <v>351</v>
      </c>
      <c r="I5" s="219">
        <f t="shared" ref="I5:I68" si="0">SUM(R5:S5,V5:W5)</f>
        <v>0</v>
      </c>
      <c r="J5" s="219">
        <f t="shared" ref="J5:J68" si="1">SUM(T5:U5,X5:Z5)</f>
        <v>0</v>
      </c>
      <c r="K5" s="219">
        <f t="shared" ref="K5:K68" si="2">AA5</f>
        <v>323974269.37999994</v>
      </c>
      <c r="L5" s="232">
        <f t="shared" ref="L5:L68" si="3">SUM(AB5:AF5)</f>
        <v>163844.40999999997</v>
      </c>
      <c r="M5" s="219">
        <f t="shared" ref="M5:M68" si="4">SUM(AG5:AI5)</f>
        <v>0</v>
      </c>
      <c r="N5" s="219">
        <f t="shared" ref="N5:N68" si="5">AK5</f>
        <v>0</v>
      </c>
      <c r="O5" s="219">
        <f t="shared" ref="O5:O68" si="6">AL5</f>
        <v>0</v>
      </c>
      <c r="P5" s="219">
        <f t="shared" ref="P5:P68" si="7">SUM(AO5:AQ5)</f>
        <v>0</v>
      </c>
      <c r="Q5" s="219"/>
      <c r="R5" s="190">
        <v>0</v>
      </c>
      <c r="S5" s="190">
        <v>0</v>
      </c>
      <c r="T5" s="190">
        <v>0</v>
      </c>
      <c r="U5" s="180">
        <v>0</v>
      </c>
      <c r="V5" s="180">
        <v>0</v>
      </c>
      <c r="X5" s="191">
        <v>0</v>
      </c>
      <c r="Y5" s="192">
        <v>0</v>
      </c>
      <c r="Z5" s="192">
        <v>0</v>
      </c>
      <c r="AA5" s="192">
        <v>323974269.37999994</v>
      </c>
      <c r="AB5" s="192">
        <v>0</v>
      </c>
      <c r="AC5" s="192">
        <v>0</v>
      </c>
      <c r="AD5" s="192">
        <v>0</v>
      </c>
      <c r="AE5" s="192">
        <v>0</v>
      </c>
      <c r="AF5" s="193">
        <v>163844.40999999997</v>
      </c>
      <c r="AH5">
        <v>0</v>
      </c>
      <c r="AI5" s="180"/>
      <c r="AK5" s="180">
        <v>0</v>
      </c>
      <c r="AL5" s="194">
        <v>0</v>
      </c>
      <c r="AO5" s="180"/>
      <c r="AQ5" s="180"/>
      <c r="AR5" s="178"/>
    </row>
    <row r="6" spans="1:44" hidden="1" x14ac:dyDescent="0.25">
      <c r="A6" t="s">
        <v>531</v>
      </c>
      <c r="B6" t="s">
        <v>526</v>
      </c>
      <c r="C6" t="s">
        <v>527</v>
      </c>
      <c r="D6" t="s">
        <v>532</v>
      </c>
      <c r="E6" t="s">
        <v>426</v>
      </c>
      <c r="I6" s="219">
        <f t="shared" si="0"/>
        <v>0</v>
      </c>
      <c r="J6" s="219">
        <f t="shared" si="1"/>
        <v>0</v>
      </c>
      <c r="K6" s="219">
        <f t="shared" si="2"/>
        <v>0</v>
      </c>
      <c r="L6" s="232">
        <f t="shared" si="3"/>
        <v>29118.399999999994</v>
      </c>
      <c r="M6" s="219">
        <f t="shared" si="4"/>
        <v>0</v>
      </c>
      <c r="N6" s="219">
        <f t="shared" si="5"/>
        <v>0</v>
      </c>
      <c r="O6" s="219">
        <f t="shared" si="6"/>
        <v>0</v>
      </c>
      <c r="P6" s="219">
        <f t="shared" si="7"/>
        <v>0</v>
      </c>
      <c r="Q6" s="219"/>
      <c r="R6" s="190">
        <v>0</v>
      </c>
      <c r="S6" s="190">
        <v>0</v>
      </c>
      <c r="T6" s="190">
        <v>0</v>
      </c>
      <c r="U6" s="180">
        <v>0</v>
      </c>
      <c r="V6" s="180">
        <v>0</v>
      </c>
      <c r="X6" s="191">
        <v>0</v>
      </c>
      <c r="Y6" s="192">
        <v>0</v>
      </c>
      <c r="Z6" s="180">
        <v>0</v>
      </c>
      <c r="AA6" s="180">
        <v>0</v>
      </c>
      <c r="AB6" s="180">
        <v>0</v>
      </c>
      <c r="AC6" s="180">
        <v>0</v>
      </c>
      <c r="AD6" s="180">
        <v>0</v>
      </c>
      <c r="AE6" s="180">
        <v>29118.399999999994</v>
      </c>
      <c r="AF6" s="269">
        <v>0</v>
      </c>
      <c r="AH6">
        <v>0</v>
      </c>
      <c r="AI6" s="180"/>
      <c r="AK6" s="180">
        <v>0</v>
      </c>
      <c r="AL6" s="194">
        <v>0</v>
      </c>
      <c r="AO6" s="180"/>
      <c r="AQ6" s="180"/>
      <c r="AR6" s="178"/>
    </row>
    <row r="7" spans="1:44" hidden="1" x14ac:dyDescent="0.25">
      <c r="A7" t="s">
        <v>533</v>
      </c>
      <c r="B7" t="s">
        <v>526</v>
      </c>
      <c r="C7" t="s">
        <v>527</v>
      </c>
      <c r="D7" t="s">
        <v>532</v>
      </c>
      <c r="E7" t="s">
        <v>426</v>
      </c>
      <c r="I7" s="219">
        <f t="shared" si="0"/>
        <v>0</v>
      </c>
      <c r="J7" s="219">
        <f t="shared" si="1"/>
        <v>0</v>
      </c>
      <c r="K7" s="219">
        <f t="shared" si="2"/>
        <v>0</v>
      </c>
      <c r="L7" s="232">
        <f t="shared" si="3"/>
        <v>1899221.75</v>
      </c>
      <c r="M7" s="219">
        <f t="shared" si="4"/>
        <v>0</v>
      </c>
      <c r="N7" s="219">
        <f t="shared" si="5"/>
        <v>0</v>
      </c>
      <c r="O7" s="219">
        <f t="shared" si="6"/>
        <v>0</v>
      </c>
      <c r="P7" s="219">
        <f t="shared" si="7"/>
        <v>0</v>
      </c>
      <c r="Q7" s="219"/>
      <c r="R7" s="190">
        <v>0</v>
      </c>
      <c r="S7" s="190">
        <v>0</v>
      </c>
      <c r="T7" s="190">
        <v>0</v>
      </c>
      <c r="U7" s="180">
        <v>0</v>
      </c>
      <c r="V7" s="180">
        <v>0</v>
      </c>
      <c r="X7" s="191">
        <v>0</v>
      </c>
      <c r="Y7" s="192">
        <v>0</v>
      </c>
      <c r="Z7" s="180">
        <v>0</v>
      </c>
      <c r="AA7" s="180">
        <v>0</v>
      </c>
      <c r="AB7" s="180">
        <v>0</v>
      </c>
      <c r="AC7" s="180">
        <v>0</v>
      </c>
      <c r="AD7" s="180">
        <v>0</v>
      </c>
      <c r="AE7" s="180">
        <v>0</v>
      </c>
      <c r="AF7" s="269">
        <v>1899221.75</v>
      </c>
      <c r="AH7">
        <v>0</v>
      </c>
      <c r="AI7" s="180"/>
      <c r="AK7" s="180">
        <v>0</v>
      </c>
      <c r="AL7" s="194">
        <v>0</v>
      </c>
      <c r="AO7" s="180"/>
      <c r="AQ7" s="180"/>
      <c r="AR7" s="178"/>
    </row>
    <row r="8" spans="1:44" hidden="1" x14ac:dyDescent="0.25">
      <c r="A8" t="s">
        <v>534</v>
      </c>
      <c r="B8" t="s">
        <v>526</v>
      </c>
      <c r="C8" t="s">
        <v>527</v>
      </c>
      <c r="D8" t="s">
        <v>532</v>
      </c>
      <c r="E8" t="s">
        <v>426</v>
      </c>
      <c r="I8" s="219">
        <f t="shared" si="0"/>
        <v>0</v>
      </c>
      <c r="J8" s="219">
        <f t="shared" si="1"/>
        <v>0</v>
      </c>
      <c r="K8" s="219">
        <f t="shared" si="2"/>
        <v>0</v>
      </c>
      <c r="L8" s="232">
        <f t="shared" si="3"/>
        <v>152530.80999999997</v>
      </c>
      <c r="M8" s="219">
        <f t="shared" si="4"/>
        <v>0</v>
      </c>
      <c r="N8" s="219">
        <f t="shared" si="5"/>
        <v>0</v>
      </c>
      <c r="O8" s="219">
        <f t="shared" si="6"/>
        <v>0</v>
      </c>
      <c r="P8" s="219">
        <f t="shared" si="7"/>
        <v>0</v>
      </c>
      <c r="Q8" s="219"/>
      <c r="R8" s="190">
        <v>0</v>
      </c>
      <c r="S8" s="190">
        <v>0</v>
      </c>
      <c r="T8" s="190">
        <v>0</v>
      </c>
      <c r="U8" s="180">
        <v>0</v>
      </c>
      <c r="V8" s="180">
        <v>0</v>
      </c>
      <c r="X8" s="191">
        <v>0</v>
      </c>
      <c r="Y8" s="192">
        <v>0</v>
      </c>
      <c r="Z8" s="180">
        <v>0</v>
      </c>
      <c r="AA8" s="180">
        <v>0</v>
      </c>
      <c r="AB8" s="180">
        <v>0</v>
      </c>
      <c r="AC8" s="180">
        <v>0</v>
      </c>
      <c r="AD8" s="180">
        <v>0</v>
      </c>
      <c r="AE8" s="180">
        <v>0</v>
      </c>
      <c r="AF8" s="269">
        <v>152530.80999999997</v>
      </c>
      <c r="AH8">
        <v>0</v>
      </c>
      <c r="AI8" s="180"/>
      <c r="AK8" s="180">
        <v>0</v>
      </c>
      <c r="AL8" s="194">
        <v>0</v>
      </c>
      <c r="AO8" s="180"/>
      <c r="AQ8" s="180"/>
      <c r="AR8" s="178"/>
    </row>
    <row r="9" spans="1:44" hidden="1" x14ac:dyDescent="0.25">
      <c r="A9" t="s">
        <v>534</v>
      </c>
      <c r="B9" t="s">
        <v>526</v>
      </c>
      <c r="C9" t="s">
        <v>527</v>
      </c>
      <c r="D9" t="s">
        <v>528</v>
      </c>
      <c r="E9" t="s">
        <v>423</v>
      </c>
      <c r="F9">
        <v>1</v>
      </c>
      <c r="G9">
        <v>1</v>
      </c>
      <c r="I9" s="219">
        <f t="shared" si="0"/>
        <v>248808684.2100001</v>
      </c>
      <c r="J9" s="219">
        <f t="shared" si="1"/>
        <v>1833537.3800000001</v>
      </c>
      <c r="K9" s="219">
        <f t="shared" si="2"/>
        <v>0</v>
      </c>
      <c r="L9" s="232">
        <f t="shared" si="3"/>
        <v>270601609.64999998</v>
      </c>
      <c r="M9" s="219">
        <f t="shared" si="4"/>
        <v>0</v>
      </c>
      <c r="N9" s="219">
        <f t="shared" si="5"/>
        <v>0</v>
      </c>
      <c r="O9" s="219">
        <f t="shared" si="6"/>
        <v>0</v>
      </c>
      <c r="P9" s="219">
        <f t="shared" si="7"/>
        <v>0</v>
      </c>
      <c r="Q9" s="219"/>
      <c r="R9" s="190">
        <v>0</v>
      </c>
      <c r="S9" s="190">
        <v>0</v>
      </c>
      <c r="T9" s="190">
        <v>1833537.3800000001</v>
      </c>
      <c r="U9" s="180">
        <v>0</v>
      </c>
      <c r="V9" s="180">
        <v>248808684.2100001</v>
      </c>
      <c r="X9" s="191">
        <v>0</v>
      </c>
      <c r="Y9" s="192">
        <v>0</v>
      </c>
      <c r="Z9" s="192">
        <v>0</v>
      </c>
      <c r="AA9" s="192">
        <v>0</v>
      </c>
      <c r="AB9" s="192">
        <v>21138983.989999995</v>
      </c>
      <c r="AC9" s="192">
        <v>8989394.3900000006</v>
      </c>
      <c r="AD9" s="192">
        <v>0</v>
      </c>
      <c r="AE9" s="192">
        <v>72940423.49999997</v>
      </c>
      <c r="AF9" s="193">
        <v>167532807.77000001</v>
      </c>
      <c r="AH9">
        <v>0</v>
      </c>
      <c r="AI9" s="180"/>
      <c r="AK9" s="180">
        <v>0</v>
      </c>
      <c r="AL9" s="194">
        <v>0</v>
      </c>
      <c r="AO9" s="180"/>
      <c r="AQ9" s="180"/>
      <c r="AR9" s="178"/>
    </row>
    <row r="10" spans="1:44" hidden="1" x14ac:dyDescent="0.25">
      <c r="A10" t="s">
        <v>533</v>
      </c>
      <c r="B10" t="s">
        <v>526</v>
      </c>
      <c r="C10" t="s">
        <v>527</v>
      </c>
      <c r="D10" t="s">
        <v>535</v>
      </c>
      <c r="E10" t="s">
        <v>426</v>
      </c>
      <c r="F10">
        <v>1</v>
      </c>
      <c r="I10" s="219">
        <f t="shared" si="0"/>
        <v>0</v>
      </c>
      <c r="J10" s="219">
        <f t="shared" si="1"/>
        <v>14108514.950000038</v>
      </c>
      <c r="K10" s="219">
        <f t="shared" si="2"/>
        <v>26769822.289999992</v>
      </c>
      <c r="L10" s="232">
        <f t="shared" si="3"/>
        <v>19226500.279999997</v>
      </c>
      <c r="M10" s="219">
        <f t="shared" si="4"/>
        <v>0</v>
      </c>
      <c r="N10" s="219">
        <f t="shared" si="5"/>
        <v>0</v>
      </c>
      <c r="O10" s="219">
        <f t="shared" si="6"/>
        <v>0</v>
      </c>
      <c r="P10" s="219">
        <f t="shared" si="7"/>
        <v>0</v>
      </c>
      <c r="Q10" s="219"/>
      <c r="R10" s="195">
        <v>0</v>
      </c>
      <c r="S10" s="195">
        <v>0</v>
      </c>
      <c r="T10" s="195">
        <v>715825.47</v>
      </c>
      <c r="U10" s="194">
        <v>0</v>
      </c>
      <c r="V10" s="194">
        <v>0</v>
      </c>
      <c r="X10" s="196">
        <v>0</v>
      </c>
      <c r="Y10" s="197">
        <v>0</v>
      </c>
      <c r="Z10" s="197">
        <v>13392689.480000038</v>
      </c>
      <c r="AA10" s="197">
        <v>26769822.289999992</v>
      </c>
      <c r="AB10" s="197">
        <v>54215.92</v>
      </c>
      <c r="AC10" s="197">
        <v>2933110.3699999987</v>
      </c>
      <c r="AD10" s="197">
        <v>393499.19</v>
      </c>
      <c r="AE10" s="197">
        <v>705521.0399999998</v>
      </c>
      <c r="AF10" s="198">
        <v>15140153.76</v>
      </c>
      <c r="AH10">
        <v>0</v>
      </c>
      <c r="AI10" s="194"/>
      <c r="AK10" s="194">
        <v>0</v>
      </c>
      <c r="AL10" s="194">
        <v>0</v>
      </c>
      <c r="AO10" s="194"/>
      <c r="AQ10" s="194"/>
      <c r="AR10" s="178"/>
    </row>
    <row r="11" spans="1:44" hidden="1" x14ac:dyDescent="0.25">
      <c r="A11" t="s">
        <v>536</v>
      </c>
      <c r="B11" t="s">
        <v>526</v>
      </c>
      <c r="C11" t="s">
        <v>529</v>
      </c>
      <c r="D11" t="s">
        <v>537</v>
      </c>
      <c r="E11" t="s">
        <v>538</v>
      </c>
      <c r="F11">
        <v>1</v>
      </c>
      <c r="I11" s="219">
        <f t="shared" si="0"/>
        <v>455626091.64999998</v>
      </c>
      <c r="J11" s="219">
        <f t="shared" si="1"/>
        <v>240569215.74000001</v>
      </c>
      <c r="K11" s="219">
        <f t="shared" si="2"/>
        <v>130862903.00999998</v>
      </c>
      <c r="L11" s="232">
        <f t="shared" si="3"/>
        <v>352208206.12</v>
      </c>
      <c r="M11" s="219">
        <f t="shared" si="4"/>
        <v>0</v>
      </c>
      <c r="N11" s="219">
        <f t="shared" si="5"/>
        <v>0</v>
      </c>
      <c r="O11" s="219">
        <f t="shared" si="6"/>
        <v>398605680.44700003</v>
      </c>
      <c r="P11" s="219">
        <f t="shared" si="7"/>
        <v>0</v>
      </c>
      <c r="Q11" s="219"/>
      <c r="R11" s="195">
        <v>157953206.75000003</v>
      </c>
      <c r="S11" s="195">
        <v>297672884.89999998</v>
      </c>
      <c r="T11" s="195">
        <v>0</v>
      </c>
      <c r="U11" s="194">
        <v>0</v>
      </c>
      <c r="V11" s="194">
        <v>0</v>
      </c>
      <c r="X11" s="196">
        <v>32130992.899999991</v>
      </c>
      <c r="Y11" s="197">
        <v>208438222.84000003</v>
      </c>
      <c r="Z11" s="197">
        <v>0</v>
      </c>
      <c r="AA11" s="197">
        <v>130862903.00999998</v>
      </c>
      <c r="AB11" s="197">
        <v>160869953.44000009</v>
      </c>
      <c r="AC11" s="197">
        <v>123373222.61999996</v>
      </c>
      <c r="AD11" s="197">
        <v>0</v>
      </c>
      <c r="AE11" s="197">
        <v>67965030.059999958</v>
      </c>
      <c r="AF11" s="198">
        <v>0</v>
      </c>
      <c r="AG11" s="194"/>
      <c r="AH11">
        <v>0</v>
      </c>
      <c r="AI11" s="194"/>
      <c r="AK11" s="194">
        <v>0</v>
      </c>
      <c r="AL11" s="194">
        <v>398605680.44700003</v>
      </c>
      <c r="AO11" s="194"/>
      <c r="AQ11" s="194"/>
      <c r="AR11" s="178"/>
    </row>
    <row r="12" spans="1:44" s="194" customFormat="1" hidden="1" x14ac:dyDescent="0.25">
      <c r="A12" t="s">
        <v>539</v>
      </c>
      <c r="B12" t="s">
        <v>526</v>
      </c>
      <c r="C12" t="s">
        <v>529</v>
      </c>
      <c r="D12" t="s">
        <v>530</v>
      </c>
      <c r="E12" t="s">
        <v>351</v>
      </c>
      <c r="F12"/>
      <c r="G12"/>
      <c r="H12"/>
      <c r="I12" s="219">
        <f t="shared" si="0"/>
        <v>0</v>
      </c>
      <c r="J12" s="219">
        <f t="shared" si="1"/>
        <v>5204.96</v>
      </c>
      <c r="K12" s="219">
        <f t="shared" si="2"/>
        <v>0</v>
      </c>
      <c r="L12" s="232">
        <f t="shared" si="3"/>
        <v>0</v>
      </c>
      <c r="M12" s="219">
        <f t="shared" si="4"/>
        <v>0</v>
      </c>
      <c r="N12" s="219">
        <f t="shared" si="5"/>
        <v>0</v>
      </c>
      <c r="O12" s="219">
        <f t="shared" si="6"/>
        <v>0</v>
      </c>
      <c r="P12" s="219">
        <f t="shared" si="7"/>
        <v>0</v>
      </c>
      <c r="Q12" s="219"/>
      <c r="R12" s="190">
        <v>0</v>
      </c>
      <c r="S12" s="190">
        <v>0</v>
      </c>
      <c r="T12" s="190">
        <v>0</v>
      </c>
      <c r="U12" s="180">
        <v>0</v>
      </c>
      <c r="V12" s="180">
        <v>0</v>
      </c>
      <c r="W12"/>
      <c r="X12" s="191">
        <v>5204.96</v>
      </c>
      <c r="Y12" s="192">
        <v>0</v>
      </c>
      <c r="Z12" s="192">
        <v>0</v>
      </c>
      <c r="AA12" s="192">
        <v>0</v>
      </c>
      <c r="AB12" s="192">
        <v>0</v>
      </c>
      <c r="AC12" s="192">
        <v>0</v>
      </c>
      <c r="AD12" s="192">
        <v>0</v>
      </c>
      <c r="AE12" s="192">
        <v>0</v>
      </c>
      <c r="AF12" s="193">
        <v>0</v>
      </c>
      <c r="AG12"/>
      <c r="AH12">
        <v>0</v>
      </c>
      <c r="AI12" s="180"/>
      <c r="AK12" s="180">
        <v>0</v>
      </c>
      <c r="AL12" s="194">
        <v>0</v>
      </c>
      <c r="AM12"/>
      <c r="AN12"/>
      <c r="AO12" s="180"/>
      <c r="AP12"/>
      <c r="AQ12" s="180"/>
      <c r="AR12" s="178"/>
    </row>
    <row r="13" spans="1:44" s="194" customFormat="1" hidden="1" x14ac:dyDescent="0.25">
      <c r="A13" t="s">
        <v>539</v>
      </c>
      <c r="B13" t="s">
        <v>526</v>
      </c>
      <c r="C13" t="s">
        <v>529</v>
      </c>
      <c r="D13" t="s">
        <v>540</v>
      </c>
      <c r="E13" t="s">
        <v>351</v>
      </c>
      <c r="F13"/>
      <c r="G13"/>
      <c r="H13"/>
      <c r="I13" s="219">
        <f t="shared" si="0"/>
        <v>0</v>
      </c>
      <c r="J13" s="219">
        <f t="shared" si="1"/>
        <v>3642683.0799999996</v>
      </c>
      <c r="K13" s="219">
        <f t="shared" si="2"/>
        <v>33326363.230000008</v>
      </c>
      <c r="L13" s="232">
        <f t="shared" si="3"/>
        <v>43984312.290000007</v>
      </c>
      <c r="M13" s="219">
        <f t="shared" si="4"/>
        <v>0</v>
      </c>
      <c r="N13" s="219">
        <f t="shared" si="5"/>
        <v>0</v>
      </c>
      <c r="O13" s="219">
        <f t="shared" si="6"/>
        <v>0</v>
      </c>
      <c r="P13" s="219">
        <f t="shared" si="7"/>
        <v>0</v>
      </c>
      <c r="Q13" s="219"/>
      <c r="R13" s="190">
        <v>0</v>
      </c>
      <c r="S13" s="190">
        <v>0</v>
      </c>
      <c r="T13" s="190">
        <v>3642683.0799999996</v>
      </c>
      <c r="U13" s="180">
        <v>0</v>
      </c>
      <c r="V13" s="180">
        <v>0</v>
      </c>
      <c r="W13"/>
      <c r="X13" s="191">
        <v>0</v>
      </c>
      <c r="Y13" s="192">
        <v>0</v>
      </c>
      <c r="Z13" s="192">
        <v>0</v>
      </c>
      <c r="AA13" s="192">
        <v>33326363.230000008</v>
      </c>
      <c r="AB13" s="192">
        <v>31259059.450000007</v>
      </c>
      <c r="AC13" s="192">
        <v>1861477.1000000015</v>
      </c>
      <c r="AD13" s="192">
        <v>0</v>
      </c>
      <c r="AE13" s="192">
        <v>6508356.5799999945</v>
      </c>
      <c r="AF13" s="193">
        <v>4355419.16</v>
      </c>
      <c r="AG13"/>
      <c r="AH13">
        <v>0</v>
      </c>
      <c r="AI13" s="180"/>
      <c r="AK13" s="180">
        <v>0</v>
      </c>
      <c r="AL13" s="194">
        <v>0</v>
      </c>
      <c r="AM13"/>
      <c r="AN13"/>
      <c r="AO13" s="180"/>
      <c r="AP13"/>
      <c r="AQ13" s="180"/>
      <c r="AR13" s="178"/>
    </row>
    <row r="14" spans="1:44" s="194" customFormat="1" hidden="1" x14ac:dyDescent="0.25">
      <c r="A14" t="s">
        <v>541</v>
      </c>
      <c r="B14" t="s">
        <v>526</v>
      </c>
      <c r="C14" t="s">
        <v>527</v>
      </c>
      <c r="D14" t="s">
        <v>528</v>
      </c>
      <c r="E14" t="s">
        <v>429</v>
      </c>
      <c r="F14">
        <v>1</v>
      </c>
      <c r="G14"/>
      <c r="H14"/>
      <c r="I14" s="219">
        <f t="shared" si="0"/>
        <v>0</v>
      </c>
      <c r="J14" s="219">
        <f t="shared" si="1"/>
        <v>497928.87999999995</v>
      </c>
      <c r="K14" s="219">
        <f t="shared" si="2"/>
        <v>0</v>
      </c>
      <c r="L14" s="232">
        <f t="shared" si="3"/>
        <v>56459824.24000001</v>
      </c>
      <c r="M14" s="219">
        <f t="shared" si="4"/>
        <v>0</v>
      </c>
      <c r="N14" s="219">
        <f t="shared" si="5"/>
        <v>0</v>
      </c>
      <c r="O14" s="219">
        <f t="shared" si="6"/>
        <v>0</v>
      </c>
      <c r="P14" s="219">
        <f t="shared" si="7"/>
        <v>0</v>
      </c>
      <c r="Q14" s="219"/>
      <c r="R14" s="190">
        <v>0</v>
      </c>
      <c r="S14" s="190">
        <v>0</v>
      </c>
      <c r="T14" s="190">
        <v>497928.87999999995</v>
      </c>
      <c r="U14" s="180">
        <v>0</v>
      </c>
      <c r="V14" s="180">
        <v>0</v>
      </c>
      <c r="W14"/>
      <c r="X14" s="191">
        <v>0</v>
      </c>
      <c r="Y14" s="192">
        <v>0</v>
      </c>
      <c r="Z14" s="192">
        <v>0</v>
      </c>
      <c r="AA14" s="192">
        <v>0</v>
      </c>
      <c r="AB14" s="192">
        <v>12766857.32</v>
      </c>
      <c r="AC14" s="192">
        <v>3340101.2799999989</v>
      </c>
      <c r="AD14" s="192">
        <v>0</v>
      </c>
      <c r="AE14" s="192">
        <v>18481056.06000001</v>
      </c>
      <c r="AF14" s="193">
        <v>21871809.579999998</v>
      </c>
      <c r="AG14"/>
      <c r="AH14">
        <v>0</v>
      </c>
      <c r="AI14" s="180"/>
      <c r="AK14" s="180">
        <v>0</v>
      </c>
      <c r="AL14" s="194">
        <v>0</v>
      </c>
      <c r="AM14"/>
      <c r="AN14"/>
      <c r="AO14" s="180"/>
      <c r="AP14"/>
      <c r="AQ14" s="180"/>
      <c r="AR14" s="178"/>
    </row>
    <row r="15" spans="1:44" s="194" customFormat="1" hidden="1" x14ac:dyDescent="0.25">
      <c r="A15" t="s">
        <v>542</v>
      </c>
      <c r="B15" t="s">
        <v>526</v>
      </c>
      <c r="C15" t="s">
        <v>527</v>
      </c>
      <c r="D15" t="s">
        <v>532</v>
      </c>
      <c r="E15" t="s">
        <v>426</v>
      </c>
      <c r="F15"/>
      <c r="G15"/>
      <c r="H15"/>
      <c r="I15" s="219">
        <f t="shared" si="0"/>
        <v>0</v>
      </c>
      <c r="J15" s="219">
        <f t="shared" si="1"/>
        <v>0</v>
      </c>
      <c r="K15" s="219">
        <f t="shared" si="2"/>
        <v>132750834.23999995</v>
      </c>
      <c r="L15" s="232">
        <f t="shared" si="3"/>
        <v>0</v>
      </c>
      <c r="M15" s="219">
        <f t="shared" si="4"/>
        <v>0</v>
      </c>
      <c r="N15" s="219">
        <f t="shared" si="5"/>
        <v>0</v>
      </c>
      <c r="O15" s="219">
        <f t="shared" si="6"/>
        <v>0</v>
      </c>
      <c r="P15" s="219">
        <f t="shared" si="7"/>
        <v>0</v>
      </c>
      <c r="Q15" s="219"/>
      <c r="R15" s="190">
        <v>0</v>
      </c>
      <c r="S15" s="190">
        <v>0</v>
      </c>
      <c r="T15" s="190">
        <v>0</v>
      </c>
      <c r="U15" s="180">
        <v>0</v>
      </c>
      <c r="V15" s="180">
        <v>0</v>
      </c>
      <c r="W15"/>
      <c r="X15" s="191">
        <v>0</v>
      </c>
      <c r="Y15" s="192">
        <v>0</v>
      </c>
      <c r="Z15" s="180">
        <v>0</v>
      </c>
      <c r="AA15" s="180">
        <v>132750834.23999995</v>
      </c>
      <c r="AB15" s="180">
        <v>0</v>
      </c>
      <c r="AC15" s="180">
        <v>0</v>
      </c>
      <c r="AD15" s="180">
        <v>0</v>
      </c>
      <c r="AE15" s="180">
        <v>0</v>
      </c>
      <c r="AF15" s="269">
        <v>0</v>
      </c>
      <c r="AG15"/>
      <c r="AH15">
        <v>0</v>
      </c>
      <c r="AI15" s="180"/>
      <c r="AK15" s="180">
        <v>0</v>
      </c>
      <c r="AL15" s="194">
        <v>0</v>
      </c>
      <c r="AM15"/>
      <c r="AN15"/>
      <c r="AO15" s="180"/>
      <c r="AP15"/>
      <c r="AQ15" s="180"/>
      <c r="AR15" s="178"/>
    </row>
    <row r="16" spans="1:44" s="194" customFormat="1" hidden="1" x14ac:dyDescent="0.25">
      <c r="A16" t="s">
        <v>542</v>
      </c>
      <c r="B16" t="s">
        <v>526</v>
      </c>
      <c r="C16" t="s">
        <v>527</v>
      </c>
      <c r="D16" t="s">
        <v>535</v>
      </c>
      <c r="E16" t="s">
        <v>426</v>
      </c>
      <c r="F16"/>
      <c r="G16"/>
      <c r="H16"/>
      <c r="I16" s="219">
        <f t="shared" si="0"/>
        <v>0</v>
      </c>
      <c r="J16" s="219">
        <f t="shared" si="1"/>
        <v>217936.43</v>
      </c>
      <c r="K16" s="219">
        <f t="shared" si="2"/>
        <v>199150953.43999991</v>
      </c>
      <c r="L16" s="232">
        <f t="shared" si="3"/>
        <v>25826029.060000006</v>
      </c>
      <c r="M16" s="219">
        <f t="shared" si="4"/>
        <v>0</v>
      </c>
      <c r="N16" s="219">
        <f t="shared" si="5"/>
        <v>0</v>
      </c>
      <c r="O16" s="219">
        <f t="shared" si="6"/>
        <v>0</v>
      </c>
      <c r="P16" s="219">
        <f t="shared" si="7"/>
        <v>0</v>
      </c>
      <c r="Q16" s="219"/>
      <c r="R16" s="190">
        <v>0</v>
      </c>
      <c r="S16" s="190">
        <v>0</v>
      </c>
      <c r="T16" s="190">
        <v>217936.43</v>
      </c>
      <c r="U16" s="180">
        <v>0</v>
      </c>
      <c r="V16" s="180">
        <v>0</v>
      </c>
      <c r="W16"/>
      <c r="X16" s="191">
        <v>0</v>
      </c>
      <c r="Y16" s="192">
        <v>0</v>
      </c>
      <c r="Z16" s="192">
        <v>0</v>
      </c>
      <c r="AA16" s="192">
        <v>199150953.43999991</v>
      </c>
      <c r="AB16" s="192">
        <v>4737852.46</v>
      </c>
      <c r="AC16" s="192">
        <v>7110226.0100000044</v>
      </c>
      <c r="AD16" s="192">
        <v>0</v>
      </c>
      <c r="AE16" s="192">
        <v>3895503.6500000008</v>
      </c>
      <c r="AF16" s="193">
        <v>10082446.940000001</v>
      </c>
      <c r="AG16"/>
      <c r="AH16">
        <v>0</v>
      </c>
      <c r="AI16" s="180"/>
      <c r="AK16" s="180">
        <v>0</v>
      </c>
      <c r="AL16" s="194">
        <v>0</v>
      </c>
      <c r="AM16"/>
      <c r="AN16"/>
      <c r="AO16" s="180"/>
      <c r="AP16"/>
      <c r="AQ16" s="180"/>
      <c r="AR16" s="178"/>
    </row>
    <row r="17" spans="1:44" s="194" customFormat="1" hidden="1" x14ac:dyDescent="0.25">
      <c r="A17" t="s">
        <v>543</v>
      </c>
      <c r="B17" t="s">
        <v>526</v>
      </c>
      <c r="C17" t="s">
        <v>529</v>
      </c>
      <c r="D17" t="s">
        <v>530</v>
      </c>
      <c r="E17" t="s">
        <v>351</v>
      </c>
      <c r="F17"/>
      <c r="G17"/>
      <c r="H17"/>
      <c r="I17" s="219">
        <f t="shared" si="0"/>
        <v>0</v>
      </c>
      <c r="J17" s="219">
        <f t="shared" si="1"/>
        <v>3967429.6400000006</v>
      </c>
      <c r="K17" s="219">
        <f t="shared" si="2"/>
        <v>0</v>
      </c>
      <c r="L17" s="232">
        <f t="shared" si="3"/>
        <v>16454309.859999999</v>
      </c>
      <c r="M17" s="219">
        <f t="shared" si="4"/>
        <v>0</v>
      </c>
      <c r="N17" s="219">
        <f t="shared" si="5"/>
        <v>0</v>
      </c>
      <c r="O17" s="219">
        <f t="shared" si="6"/>
        <v>0</v>
      </c>
      <c r="P17" s="219">
        <f t="shared" si="7"/>
        <v>0</v>
      </c>
      <c r="Q17" s="219"/>
      <c r="R17" s="190">
        <v>0</v>
      </c>
      <c r="S17" s="190">
        <v>0</v>
      </c>
      <c r="T17" s="190">
        <v>0</v>
      </c>
      <c r="U17" s="180">
        <v>0</v>
      </c>
      <c r="V17" s="180">
        <v>0</v>
      </c>
      <c r="W17"/>
      <c r="X17" s="191">
        <v>0</v>
      </c>
      <c r="Y17" s="192">
        <v>3967429.6400000006</v>
      </c>
      <c r="Z17" s="192">
        <v>0</v>
      </c>
      <c r="AA17" s="192">
        <v>0</v>
      </c>
      <c r="AB17" s="192">
        <v>6679026.9800000014</v>
      </c>
      <c r="AC17" s="192">
        <v>3095355.8499999987</v>
      </c>
      <c r="AD17" s="192">
        <v>170571.09000000003</v>
      </c>
      <c r="AE17" s="192">
        <v>3718944.3999999994</v>
      </c>
      <c r="AF17" s="193">
        <v>2790411.54</v>
      </c>
      <c r="AG17"/>
      <c r="AH17">
        <v>0</v>
      </c>
      <c r="AI17" s="180"/>
      <c r="AK17" s="180">
        <v>0</v>
      </c>
      <c r="AL17" s="194">
        <v>0</v>
      </c>
      <c r="AM17"/>
      <c r="AN17"/>
      <c r="AO17" s="180"/>
      <c r="AP17"/>
      <c r="AQ17" s="180"/>
      <c r="AR17" s="178"/>
    </row>
    <row r="18" spans="1:44" s="194" customFormat="1" hidden="1" x14ac:dyDescent="0.25">
      <c r="A18" t="s">
        <v>543</v>
      </c>
      <c r="B18" t="s">
        <v>526</v>
      </c>
      <c r="C18" t="s">
        <v>529</v>
      </c>
      <c r="D18" t="s">
        <v>540</v>
      </c>
      <c r="E18" t="s">
        <v>351</v>
      </c>
      <c r="F18"/>
      <c r="G18"/>
      <c r="H18"/>
      <c r="I18" s="219">
        <f t="shared" si="0"/>
        <v>0</v>
      </c>
      <c r="J18" s="219">
        <f t="shared" si="1"/>
        <v>14267249.269999998</v>
      </c>
      <c r="K18" s="219">
        <f t="shared" si="2"/>
        <v>577223.67999999993</v>
      </c>
      <c r="L18" s="232">
        <f t="shared" si="3"/>
        <v>52068124.899999984</v>
      </c>
      <c r="M18" s="219">
        <f t="shared" si="4"/>
        <v>0</v>
      </c>
      <c r="N18" s="219">
        <f t="shared" si="5"/>
        <v>0</v>
      </c>
      <c r="O18" s="219">
        <f t="shared" si="6"/>
        <v>14550900</v>
      </c>
      <c r="P18" s="219">
        <f t="shared" si="7"/>
        <v>0</v>
      </c>
      <c r="Q18" s="219"/>
      <c r="R18" s="190">
        <v>0</v>
      </c>
      <c r="S18" s="190">
        <v>0</v>
      </c>
      <c r="T18" s="190">
        <v>8843623.5499999989</v>
      </c>
      <c r="U18" s="180">
        <v>5423625.7199999988</v>
      </c>
      <c r="V18" s="180">
        <v>0</v>
      </c>
      <c r="W18"/>
      <c r="X18" s="191">
        <v>0</v>
      </c>
      <c r="Y18" s="192">
        <v>0</v>
      </c>
      <c r="Z18" s="192">
        <v>0</v>
      </c>
      <c r="AA18" s="192">
        <v>577223.67999999993</v>
      </c>
      <c r="AB18" s="192">
        <v>5970005.3599999985</v>
      </c>
      <c r="AC18" s="192">
        <v>12196472.760000004</v>
      </c>
      <c r="AD18" s="192">
        <v>0</v>
      </c>
      <c r="AE18" s="192">
        <v>12394475.329999981</v>
      </c>
      <c r="AF18" s="193">
        <v>21507171.450000003</v>
      </c>
      <c r="AG18"/>
      <c r="AH18">
        <v>0</v>
      </c>
      <c r="AI18" s="180"/>
      <c r="AK18" s="180">
        <v>0</v>
      </c>
      <c r="AL18" s="194">
        <v>14550900</v>
      </c>
      <c r="AM18"/>
      <c r="AN18"/>
      <c r="AO18" s="180"/>
      <c r="AP18"/>
      <c r="AQ18" s="180"/>
      <c r="AR18" s="178"/>
    </row>
    <row r="19" spans="1:44" s="194" customFormat="1" hidden="1" x14ac:dyDescent="0.25">
      <c r="A19" t="s">
        <v>543</v>
      </c>
      <c r="B19" t="s">
        <v>526</v>
      </c>
      <c r="C19" t="s">
        <v>529</v>
      </c>
      <c r="D19" t="s">
        <v>544</v>
      </c>
      <c r="E19" t="s">
        <v>351</v>
      </c>
      <c r="F19"/>
      <c r="G19"/>
      <c r="H19"/>
      <c r="I19" s="219">
        <f t="shared" si="0"/>
        <v>164492870.23000002</v>
      </c>
      <c r="J19" s="219">
        <f t="shared" si="1"/>
        <v>0</v>
      </c>
      <c r="K19" s="219">
        <f t="shared" si="2"/>
        <v>0</v>
      </c>
      <c r="L19" s="232">
        <f t="shared" si="3"/>
        <v>1102.44</v>
      </c>
      <c r="M19" s="219">
        <f t="shared" si="4"/>
        <v>0</v>
      </c>
      <c r="N19" s="219">
        <f t="shared" si="5"/>
        <v>0</v>
      </c>
      <c r="O19" s="219">
        <f t="shared" si="6"/>
        <v>0</v>
      </c>
      <c r="P19" s="219">
        <f t="shared" si="7"/>
        <v>0</v>
      </c>
      <c r="Q19" s="219"/>
      <c r="R19" s="190">
        <v>0</v>
      </c>
      <c r="S19" s="190">
        <v>0</v>
      </c>
      <c r="T19" s="190">
        <v>0</v>
      </c>
      <c r="U19" s="180">
        <v>0</v>
      </c>
      <c r="V19" s="180">
        <v>164492870.23000002</v>
      </c>
      <c r="W19"/>
      <c r="X19" s="191">
        <v>0</v>
      </c>
      <c r="Y19" s="192">
        <v>0</v>
      </c>
      <c r="Z19" s="192">
        <v>0</v>
      </c>
      <c r="AA19" s="192">
        <v>0</v>
      </c>
      <c r="AB19" s="192">
        <v>0</v>
      </c>
      <c r="AC19" s="192">
        <v>0</v>
      </c>
      <c r="AD19" s="192">
        <v>0</v>
      </c>
      <c r="AE19" s="192">
        <v>1102.44</v>
      </c>
      <c r="AF19" s="193">
        <v>0</v>
      </c>
      <c r="AG19"/>
      <c r="AH19">
        <v>0</v>
      </c>
      <c r="AI19" s="180"/>
      <c r="AK19" s="180">
        <v>0</v>
      </c>
      <c r="AL19" s="194">
        <v>0</v>
      </c>
      <c r="AM19"/>
      <c r="AN19"/>
      <c r="AO19" s="180"/>
      <c r="AP19"/>
      <c r="AQ19" s="180"/>
      <c r="AR19" s="178"/>
    </row>
    <row r="20" spans="1:44" s="194" customFormat="1" x14ac:dyDescent="0.25">
      <c r="A20" t="s">
        <v>545</v>
      </c>
      <c r="B20" t="s">
        <v>526</v>
      </c>
      <c r="C20" t="s">
        <v>527</v>
      </c>
      <c r="D20" t="s">
        <v>532</v>
      </c>
      <c r="E20" t="s">
        <v>426</v>
      </c>
      <c r="F20"/>
      <c r="G20"/>
      <c r="H20"/>
      <c r="I20" s="219">
        <f t="shared" si="0"/>
        <v>0</v>
      </c>
      <c r="J20" s="219">
        <f t="shared" si="1"/>
        <v>0</v>
      </c>
      <c r="K20" s="219">
        <f t="shared" si="2"/>
        <v>0</v>
      </c>
      <c r="L20" s="232">
        <f t="shared" si="3"/>
        <v>226.72</v>
      </c>
      <c r="M20" s="219">
        <f t="shared" si="4"/>
        <v>0</v>
      </c>
      <c r="N20" s="219">
        <f t="shared" si="5"/>
        <v>0</v>
      </c>
      <c r="O20" s="219">
        <f t="shared" si="6"/>
        <v>0</v>
      </c>
      <c r="P20" s="219">
        <f t="shared" si="7"/>
        <v>0</v>
      </c>
      <c r="Q20" s="219"/>
      <c r="R20" s="190">
        <v>0</v>
      </c>
      <c r="S20" s="190">
        <v>0</v>
      </c>
      <c r="T20" s="190">
        <v>0</v>
      </c>
      <c r="U20" s="180">
        <v>0</v>
      </c>
      <c r="V20" s="180">
        <v>0</v>
      </c>
      <c r="W20"/>
      <c r="X20" s="191">
        <v>0</v>
      </c>
      <c r="Y20" s="192">
        <v>0</v>
      </c>
      <c r="Z20" s="180"/>
      <c r="AA20" s="180">
        <v>0</v>
      </c>
      <c r="AB20" s="180">
        <v>0</v>
      </c>
      <c r="AC20" s="180">
        <v>0</v>
      </c>
      <c r="AD20" s="180">
        <v>226.72</v>
      </c>
      <c r="AE20" s="180">
        <v>0</v>
      </c>
      <c r="AF20" s="269">
        <v>0</v>
      </c>
      <c r="AG20"/>
      <c r="AH20">
        <v>0</v>
      </c>
      <c r="AI20" s="180"/>
      <c r="AK20" s="180">
        <v>0</v>
      </c>
      <c r="AL20" s="194">
        <v>0</v>
      </c>
      <c r="AM20"/>
      <c r="AN20"/>
      <c r="AO20" s="180"/>
      <c r="AP20"/>
      <c r="AQ20" s="180"/>
      <c r="AR20" s="178"/>
    </row>
    <row r="21" spans="1:44" s="194" customFormat="1" x14ac:dyDescent="0.25">
      <c r="A21" t="s">
        <v>545</v>
      </c>
      <c r="B21" t="s">
        <v>526</v>
      </c>
      <c r="C21" t="s">
        <v>527</v>
      </c>
      <c r="D21" t="s">
        <v>535</v>
      </c>
      <c r="E21" t="s">
        <v>426</v>
      </c>
      <c r="F21"/>
      <c r="G21"/>
      <c r="H21"/>
      <c r="I21" s="219">
        <f t="shared" si="0"/>
        <v>0</v>
      </c>
      <c r="J21" s="219">
        <f t="shared" si="1"/>
        <v>7225392.2900000028</v>
      </c>
      <c r="K21" s="219">
        <f t="shared" si="2"/>
        <v>0</v>
      </c>
      <c r="L21" s="232">
        <f t="shared" si="3"/>
        <v>18155.52</v>
      </c>
      <c r="M21" s="219">
        <f t="shared" si="4"/>
        <v>0</v>
      </c>
      <c r="N21" s="219">
        <f t="shared" si="5"/>
        <v>0</v>
      </c>
      <c r="O21" s="219">
        <f t="shared" si="6"/>
        <v>0</v>
      </c>
      <c r="P21" s="219">
        <f t="shared" si="7"/>
        <v>0</v>
      </c>
      <c r="Q21" s="219"/>
      <c r="R21" s="195">
        <v>0</v>
      </c>
      <c r="S21" s="195">
        <v>0</v>
      </c>
      <c r="T21" s="195">
        <v>0</v>
      </c>
      <c r="U21" s="194">
        <v>0</v>
      </c>
      <c r="V21" s="194">
        <v>0</v>
      </c>
      <c r="W21"/>
      <c r="X21" s="196">
        <v>0</v>
      </c>
      <c r="Y21" s="197">
        <v>0</v>
      </c>
      <c r="Z21" s="197">
        <v>7225392.2900000028</v>
      </c>
      <c r="AA21" s="197">
        <v>0</v>
      </c>
      <c r="AB21" s="197">
        <v>0</v>
      </c>
      <c r="AC21" s="197">
        <v>0</v>
      </c>
      <c r="AD21" s="197">
        <v>18155.52</v>
      </c>
      <c r="AE21" s="197">
        <v>0</v>
      </c>
      <c r="AF21" s="198">
        <v>0</v>
      </c>
      <c r="AG21"/>
      <c r="AH21">
        <v>0</v>
      </c>
      <c r="AK21" s="194">
        <v>0</v>
      </c>
      <c r="AL21" s="194">
        <v>0</v>
      </c>
      <c r="AM21"/>
      <c r="AN21"/>
      <c r="AP21"/>
      <c r="AR21" s="178"/>
    </row>
    <row r="22" spans="1:44" s="194" customFormat="1" x14ac:dyDescent="0.25">
      <c r="A22" t="s">
        <v>545</v>
      </c>
      <c r="B22" t="s">
        <v>526</v>
      </c>
      <c r="C22" t="s">
        <v>529</v>
      </c>
      <c r="D22" t="s">
        <v>544</v>
      </c>
      <c r="E22" t="s">
        <v>351</v>
      </c>
      <c r="F22"/>
      <c r="G22"/>
      <c r="H22"/>
      <c r="I22" s="219">
        <f t="shared" si="0"/>
        <v>0</v>
      </c>
      <c r="J22" s="219">
        <f t="shared" si="1"/>
        <v>0</v>
      </c>
      <c r="K22" s="219">
        <f t="shared" si="2"/>
        <v>2886118.4000000004</v>
      </c>
      <c r="L22" s="232">
        <f t="shared" si="3"/>
        <v>0</v>
      </c>
      <c r="M22" s="219">
        <f t="shared" si="4"/>
        <v>0</v>
      </c>
      <c r="N22" s="219">
        <f t="shared" si="5"/>
        <v>0</v>
      </c>
      <c r="O22" s="219">
        <f t="shared" si="6"/>
        <v>0</v>
      </c>
      <c r="P22" s="219">
        <f t="shared" si="7"/>
        <v>0</v>
      </c>
      <c r="Q22" s="219"/>
      <c r="R22" s="190">
        <v>0</v>
      </c>
      <c r="S22" s="190">
        <v>0</v>
      </c>
      <c r="T22" s="190">
        <v>0</v>
      </c>
      <c r="U22" s="180">
        <v>0</v>
      </c>
      <c r="V22" s="180">
        <v>0</v>
      </c>
      <c r="W22"/>
      <c r="X22" s="191">
        <v>0</v>
      </c>
      <c r="Y22" s="192">
        <v>0</v>
      </c>
      <c r="Z22" s="192">
        <v>0</v>
      </c>
      <c r="AA22" s="192">
        <v>2886118.4000000004</v>
      </c>
      <c r="AB22" s="192">
        <v>0</v>
      </c>
      <c r="AC22" s="192">
        <v>0</v>
      </c>
      <c r="AD22" s="192">
        <v>0</v>
      </c>
      <c r="AE22" s="192">
        <v>0</v>
      </c>
      <c r="AF22" s="193">
        <v>0</v>
      </c>
      <c r="AG22"/>
      <c r="AH22">
        <v>0</v>
      </c>
      <c r="AI22" s="180"/>
      <c r="AK22" s="180">
        <v>0</v>
      </c>
      <c r="AL22" s="194">
        <v>0</v>
      </c>
      <c r="AM22"/>
      <c r="AN22"/>
      <c r="AO22" s="180"/>
      <c r="AP22"/>
      <c r="AQ22" s="180"/>
      <c r="AR22" s="178"/>
    </row>
    <row r="23" spans="1:44" s="194" customFormat="1" x14ac:dyDescent="0.25">
      <c r="A23" t="s">
        <v>545</v>
      </c>
      <c r="B23" t="s">
        <v>526</v>
      </c>
      <c r="C23" t="s">
        <v>527</v>
      </c>
      <c r="D23" t="s">
        <v>532</v>
      </c>
      <c r="E23" t="s">
        <v>426</v>
      </c>
      <c r="F23"/>
      <c r="G23"/>
      <c r="H23"/>
      <c r="I23" s="219">
        <f t="shared" si="0"/>
        <v>0</v>
      </c>
      <c r="J23" s="219">
        <f t="shared" si="1"/>
        <v>0</v>
      </c>
      <c r="K23" s="219">
        <f t="shared" si="2"/>
        <v>0</v>
      </c>
      <c r="L23" s="232">
        <f t="shared" si="3"/>
        <v>2602.48</v>
      </c>
      <c r="M23" s="219">
        <f t="shared" si="4"/>
        <v>0</v>
      </c>
      <c r="N23" s="219">
        <f t="shared" si="5"/>
        <v>0</v>
      </c>
      <c r="O23" s="219">
        <f t="shared" si="6"/>
        <v>0</v>
      </c>
      <c r="P23" s="219">
        <f t="shared" si="7"/>
        <v>0</v>
      </c>
      <c r="Q23" s="219"/>
      <c r="R23" s="190">
        <v>0</v>
      </c>
      <c r="S23" s="190">
        <v>0</v>
      </c>
      <c r="T23" s="190">
        <v>0</v>
      </c>
      <c r="U23" s="180">
        <v>0</v>
      </c>
      <c r="V23" s="180">
        <v>0</v>
      </c>
      <c r="W23"/>
      <c r="X23" s="191">
        <v>0</v>
      </c>
      <c r="Y23" s="192">
        <v>0</v>
      </c>
      <c r="Z23" s="180"/>
      <c r="AA23" s="180">
        <v>0</v>
      </c>
      <c r="AB23" s="180">
        <v>0</v>
      </c>
      <c r="AC23" s="180">
        <v>0</v>
      </c>
      <c r="AD23" s="180">
        <v>0</v>
      </c>
      <c r="AE23" s="180">
        <v>2602.48</v>
      </c>
      <c r="AF23" s="269">
        <v>0</v>
      </c>
      <c r="AG23"/>
      <c r="AH23">
        <v>0</v>
      </c>
      <c r="AI23" s="180"/>
      <c r="AK23" s="180">
        <v>0</v>
      </c>
      <c r="AL23" s="194">
        <v>0</v>
      </c>
      <c r="AM23"/>
      <c r="AN23"/>
      <c r="AO23" s="180"/>
      <c r="AP23"/>
      <c r="AQ23" s="180"/>
      <c r="AR23" s="178"/>
    </row>
    <row r="24" spans="1:44" s="194" customFormat="1" x14ac:dyDescent="0.25">
      <c r="A24" t="s">
        <v>545</v>
      </c>
      <c r="B24" t="s">
        <v>526</v>
      </c>
      <c r="C24" t="s">
        <v>527</v>
      </c>
      <c r="D24" t="s">
        <v>535</v>
      </c>
      <c r="E24" t="s">
        <v>426</v>
      </c>
      <c r="F24"/>
      <c r="G24"/>
      <c r="H24"/>
      <c r="I24" s="219">
        <f t="shared" si="0"/>
        <v>0</v>
      </c>
      <c r="J24" s="219">
        <f t="shared" si="1"/>
        <v>0</v>
      </c>
      <c r="K24" s="219">
        <f t="shared" si="2"/>
        <v>2602.48</v>
      </c>
      <c r="L24" s="232">
        <f t="shared" si="3"/>
        <v>21753.73</v>
      </c>
      <c r="M24" s="219">
        <f t="shared" si="4"/>
        <v>0</v>
      </c>
      <c r="N24" s="219">
        <f t="shared" si="5"/>
        <v>0</v>
      </c>
      <c r="O24" s="219">
        <f t="shared" si="6"/>
        <v>0</v>
      </c>
      <c r="P24" s="219">
        <f t="shared" si="7"/>
        <v>0</v>
      </c>
      <c r="Q24" s="219"/>
      <c r="R24" s="190">
        <v>0</v>
      </c>
      <c r="S24" s="190">
        <v>0</v>
      </c>
      <c r="T24" s="190">
        <v>0</v>
      </c>
      <c r="U24" s="180">
        <v>0</v>
      </c>
      <c r="V24" s="180">
        <v>0</v>
      </c>
      <c r="W24"/>
      <c r="X24" s="191">
        <v>0</v>
      </c>
      <c r="Y24" s="192">
        <v>0</v>
      </c>
      <c r="Z24" s="192">
        <v>0</v>
      </c>
      <c r="AA24" s="192">
        <v>2602.48</v>
      </c>
      <c r="AB24" s="192">
        <v>1836.38</v>
      </c>
      <c r="AC24" s="192">
        <v>16131.84</v>
      </c>
      <c r="AD24" s="192">
        <v>0</v>
      </c>
      <c r="AE24" s="192">
        <v>3785.5099999999998</v>
      </c>
      <c r="AF24" s="193">
        <v>0</v>
      </c>
      <c r="AG24"/>
      <c r="AH24">
        <v>0</v>
      </c>
      <c r="AI24" s="180"/>
      <c r="AK24" s="180">
        <v>0</v>
      </c>
      <c r="AL24" s="194">
        <v>0</v>
      </c>
      <c r="AM24"/>
      <c r="AN24"/>
      <c r="AO24" s="180"/>
      <c r="AP24"/>
      <c r="AQ24" s="180"/>
      <c r="AR24" s="178"/>
    </row>
    <row r="25" spans="1:44" s="194" customFormat="1" hidden="1" x14ac:dyDescent="0.25">
      <c r="A25" t="s">
        <v>546</v>
      </c>
      <c r="B25" t="s">
        <v>526</v>
      </c>
      <c r="C25" t="s">
        <v>529</v>
      </c>
      <c r="D25" t="s">
        <v>530</v>
      </c>
      <c r="E25" t="s">
        <v>351</v>
      </c>
      <c r="F25"/>
      <c r="G25"/>
      <c r="H25"/>
      <c r="I25" s="219">
        <f t="shared" si="0"/>
        <v>0</v>
      </c>
      <c r="J25" s="219">
        <f t="shared" si="1"/>
        <v>0</v>
      </c>
      <c r="K25" s="219">
        <f t="shared" si="2"/>
        <v>577223.67999999993</v>
      </c>
      <c r="L25" s="232">
        <f t="shared" si="3"/>
        <v>0</v>
      </c>
      <c r="M25" s="219">
        <f t="shared" si="4"/>
        <v>0</v>
      </c>
      <c r="N25" s="219">
        <f t="shared" si="5"/>
        <v>0</v>
      </c>
      <c r="O25" s="219">
        <f t="shared" si="6"/>
        <v>0</v>
      </c>
      <c r="P25" s="219">
        <f t="shared" si="7"/>
        <v>0</v>
      </c>
      <c r="Q25" s="219"/>
      <c r="R25" s="190">
        <v>0</v>
      </c>
      <c r="S25" s="190">
        <v>0</v>
      </c>
      <c r="T25" s="190">
        <v>0</v>
      </c>
      <c r="U25" s="180">
        <v>0</v>
      </c>
      <c r="V25" s="180">
        <v>0</v>
      </c>
      <c r="W25"/>
      <c r="X25" s="191">
        <v>0</v>
      </c>
      <c r="Y25" s="192">
        <v>0</v>
      </c>
      <c r="Z25" s="192">
        <v>0</v>
      </c>
      <c r="AA25" s="192">
        <v>577223.67999999993</v>
      </c>
      <c r="AB25" s="192">
        <v>0</v>
      </c>
      <c r="AC25" s="192">
        <v>0</v>
      </c>
      <c r="AD25" s="192">
        <v>0</v>
      </c>
      <c r="AE25" s="192">
        <v>0</v>
      </c>
      <c r="AF25" s="193">
        <v>0</v>
      </c>
      <c r="AG25"/>
      <c r="AH25">
        <v>0</v>
      </c>
      <c r="AI25" s="180"/>
      <c r="AK25" s="180">
        <v>0</v>
      </c>
      <c r="AL25" s="194">
        <v>0</v>
      </c>
      <c r="AM25"/>
      <c r="AN25"/>
      <c r="AO25" s="180"/>
      <c r="AP25"/>
      <c r="AQ25" s="180"/>
      <c r="AR25" s="178"/>
    </row>
    <row r="26" spans="1:44" s="194" customFormat="1" hidden="1" x14ac:dyDescent="0.25">
      <c r="A26" t="s">
        <v>546</v>
      </c>
      <c r="B26" t="s">
        <v>526</v>
      </c>
      <c r="C26" t="s">
        <v>529</v>
      </c>
      <c r="D26" t="s">
        <v>544</v>
      </c>
      <c r="E26" t="s">
        <v>351</v>
      </c>
      <c r="F26"/>
      <c r="G26"/>
      <c r="H26"/>
      <c r="I26" s="219">
        <f t="shared" si="0"/>
        <v>0</v>
      </c>
      <c r="J26" s="219">
        <f t="shared" si="1"/>
        <v>0</v>
      </c>
      <c r="K26" s="219">
        <f t="shared" si="2"/>
        <v>5772236.169999999</v>
      </c>
      <c r="L26" s="232">
        <f t="shared" si="3"/>
        <v>0</v>
      </c>
      <c r="M26" s="219">
        <f t="shared" si="4"/>
        <v>0</v>
      </c>
      <c r="N26" s="219">
        <f t="shared" si="5"/>
        <v>0</v>
      </c>
      <c r="O26" s="219">
        <f t="shared" si="6"/>
        <v>0</v>
      </c>
      <c r="P26" s="219">
        <f t="shared" si="7"/>
        <v>0</v>
      </c>
      <c r="Q26" s="219"/>
      <c r="R26" s="190">
        <v>0</v>
      </c>
      <c r="S26" s="190">
        <v>0</v>
      </c>
      <c r="T26" s="190">
        <v>0</v>
      </c>
      <c r="U26" s="180">
        <v>0</v>
      </c>
      <c r="V26" s="180">
        <v>0</v>
      </c>
      <c r="W26"/>
      <c r="X26" s="191">
        <v>0</v>
      </c>
      <c r="Y26" s="192">
        <v>0</v>
      </c>
      <c r="Z26" s="192">
        <v>0</v>
      </c>
      <c r="AA26" s="192">
        <v>5772236.169999999</v>
      </c>
      <c r="AB26" s="192">
        <v>0</v>
      </c>
      <c r="AC26" s="192">
        <v>0</v>
      </c>
      <c r="AD26" s="192">
        <v>0</v>
      </c>
      <c r="AE26" s="192">
        <v>0</v>
      </c>
      <c r="AF26" s="193">
        <v>0</v>
      </c>
      <c r="AG26"/>
      <c r="AH26">
        <v>0</v>
      </c>
      <c r="AI26" s="180"/>
      <c r="AK26" s="180">
        <v>0</v>
      </c>
      <c r="AL26" s="194">
        <v>0</v>
      </c>
      <c r="AM26"/>
      <c r="AN26"/>
      <c r="AO26" s="180"/>
      <c r="AP26"/>
      <c r="AQ26" s="180"/>
      <c r="AR26" s="178"/>
    </row>
    <row r="27" spans="1:44" s="194" customFormat="1" hidden="1" x14ac:dyDescent="0.25">
      <c r="A27" t="s">
        <v>547</v>
      </c>
      <c r="B27" t="s">
        <v>526</v>
      </c>
      <c r="C27" t="s">
        <v>529</v>
      </c>
      <c r="D27" t="s">
        <v>530</v>
      </c>
      <c r="E27" t="s">
        <v>351</v>
      </c>
      <c r="F27"/>
      <c r="G27"/>
      <c r="H27"/>
      <c r="I27" s="219">
        <f t="shared" si="0"/>
        <v>0</v>
      </c>
      <c r="J27" s="219">
        <f t="shared" si="1"/>
        <v>2148542.7700000005</v>
      </c>
      <c r="K27" s="219">
        <f t="shared" si="2"/>
        <v>0</v>
      </c>
      <c r="L27" s="232">
        <f t="shared" si="3"/>
        <v>20448323.419999998</v>
      </c>
      <c r="M27" s="219">
        <f t="shared" si="4"/>
        <v>0</v>
      </c>
      <c r="N27" s="219">
        <f t="shared" si="5"/>
        <v>0</v>
      </c>
      <c r="O27" s="219">
        <f t="shared" si="6"/>
        <v>1119300</v>
      </c>
      <c r="P27" s="219">
        <f t="shared" si="7"/>
        <v>0</v>
      </c>
      <c r="Q27" s="219"/>
      <c r="R27" s="190">
        <v>0</v>
      </c>
      <c r="S27" s="190">
        <v>0</v>
      </c>
      <c r="T27" s="190">
        <v>2126298.5900000003</v>
      </c>
      <c r="U27" s="180">
        <v>0</v>
      </c>
      <c r="V27" s="180">
        <v>0</v>
      </c>
      <c r="W27"/>
      <c r="X27" s="191">
        <v>22244.18</v>
      </c>
      <c r="Y27" s="192">
        <v>0</v>
      </c>
      <c r="Z27" s="192">
        <v>0</v>
      </c>
      <c r="AA27" s="192">
        <v>0</v>
      </c>
      <c r="AB27" s="192">
        <v>2292256.4500000002</v>
      </c>
      <c r="AC27" s="192">
        <v>9002093.4400000013</v>
      </c>
      <c r="AD27" s="192">
        <v>0</v>
      </c>
      <c r="AE27" s="192">
        <v>4839809.5299999965</v>
      </c>
      <c r="AF27" s="193">
        <v>4314164</v>
      </c>
      <c r="AG27"/>
      <c r="AH27">
        <v>0</v>
      </c>
      <c r="AI27" s="180"/>
      <c r="AK27" s="180">
        <v>0</v>
      </c>
      <c r="AL27" s="194">
        <v>1119300</v>
      </c>
      <c r="AM27"/>
      <c r="AN27"/>
      <c r="AO27" s="180"/>
      <c r="AP27"/>
      <c r="AQ27" s="180"/>
      <c r="AR27" s="178"/>
    </row>
    <row r="28" spans="1:44" s="194" customFormat="1" hidden="1" x14ac:dyDescent="0.25">
      <c r="A28" t="s">
        <v>548</v>
      </c>
      <c r="B28" t="s">
        <v>526</v>
      </c>
      <c r="C28" t="s">
        <v>527</v>
      </c>
      <c r="D28" t="s">
        <v>528</v>
      </c>
      <c r="E28" t="s">
        <v>423</v>
      </c>
      <c r="F28"/>
      <c r="G28"/>
      <c r="H28"/>
      <c r="I28" s="219">
        <f t="shared" si="0"/>
        <v>0</v>
      </c>
      <c r="J28" s="219">
        <f t="shared" si="1"/>
        <v>0</v>
      </c>
      <c r="K28" s="219">
        <f t="shared" si="2"/>
        <v>0</v>
      </c>
      <c r="L28" s="232">
        <f t="shared" si="3"/>
        <v>5930871.1500000004</v>
      </c>
      <c r="M28" s="219">
        <f t="shared" si="4"/>
        <v>0</v>
      </c>
      <c r="N28" s="219">
        <f t="shared" si="5"/>
        <v>0</v>
      </c>
      <c r="O28" s="219">
        <f t="shared" si="6"/>
        <v>0</v>
      </c>
      <c r="P28" s="219">
        <f t="shared" si="7"/>
        <v>0</v>
      </c>
      <c r="Q28" s="219"/>
      <c r="R28" s="190">
        <v>0</v>
      </c>
      <c r="S28" s="190">
        <v>0</v>
      </c>
      <c r="T28" s="190">
        <v>0</v>
      </c>
      <c r="U28" s="180">
        <v>0</v>
      </c>
      <c r="V28" s="180">
        <v>0</v>
      </c>
      <c r="W28"/>
      <c r="X28" s="191">
        <v>0</v>
      </c>
      <c r="Y28" s="192">
        <v>0</v>
      </c>
      <c r="Z28" s="192">
        <v>0</v>
      </c>
      <c r="AA28" s="192">
        <v>0</v>
      </c>
      <c r="AB28" s="192">
        <v>4934210.29</v>
      </c>
      <c r="AC28" s="192">
        <v>996660.8600000001</v>
      </c>
      <c r="AD28" s="192">
        <v>0</v>
      </c>
      <c r="AE28" s="192">
        <v>0</v>
      </c>
      <c r="AF28" s="193">
        <v>0</v>
      </c>
      <c r="AG28"/>
      <c r="AH28">
        <v>0</v>
      </c>
      <c r="AI28" s="180"/>
      <c r="AK28" s="180">
        <v>0</v>
      </c>
      <c r="AL28" s="194">
        <v>0</v>
      </c>
      <c r="AM28"/>
      <c r="AN28"/>
      <c r="AO28" s="180"/>
      <c r="AP28"/>
      <c r="AQ28" s="180"/>
      <c r="AR28" s="178"/>
    </row>
    <row r="29" spans="1:44" s="194" customFormat="1" hidden="1" x14ac:dyDescent="0.25">
      <c r="A29" t="s">
        <v>548</v>
      </c>
      <c r="B29" t="s">
        <v>526</v>
      </c>
      <c r="C29" t="s">
        <v>527</v>
      </c>
      <c r="D29" t="s">
        <v>528</v>
      </c>
      <c r="E29" t="s">
        <v>429</v>
      </c>
      <c r="F29"/>
      <c r="G29"/>
      <c r="H29"/>
      <c r="I29" s="219">
        <f t="shared" si="0"/>
        <v>0</v>
      </c>
      <c r="J29" s="219">
        <f t="shared" si="1"/>
        <v>0</v>
      </c>
      <c r="K29" s="219">
        <f t="shared" si="2"/>
        <v>154394419.58000001</v>
      </c>
      <c r="L29" s="232">
        <f t="shared" si="3"/>
        <v>11272.92</v>
      </c>
      <c r="M29" s="219">
        <f t="shared" si="4"/>
        <v>0</v>
      </c>
      <c r="N29" s="219">
        <f t="shared" si="5"/>
        <v>0</v>
      </c>
      <c r="O29" s="219">
        <f t="shared" si="6"/>
        <v>0</v>
      </c>
      <c r="P29" s="219">
        <f t="shared" si="7"/>
        <v>0</v>
      </c>
      <c r="Q29" s="219"/>
      <c r="R29" s="190">
        <v>0</v>
      </c>
      <c r="S29" s="190">
        <v>0</v>
      </c>
      <c r="T29" s="190">
        <v>0</v>
      </c>
      <c r="U29" s="180">
        <v>0</v>
      </c>
      <c r="V29" s="180">
        <v>0</v>
      </c>
      <c r="W29"/>
      <c r="X29" s="191">
        <v>0</v>
      </c>
      <c r="Y29" s="192">
        <v>0</v>
      </c>
      <c r="Z29" s="192">
        <v>0</v>
      </c>
      <c r="AA29" s="192">
        <v>154394419.58000001</v>
      </c>
      <c r="AB29" s="192">
        <v>0</v>
      </c>
      <c r="AC29" s="192">
        <v>0</v>
      </c>
      <c r="AD29" s="192">
        <v>0</v>
      </c>
      <c r="AE29" s="192">
        <v>11272.92</v>
      </c>
      <c r="AF29" s="193">
        <v>0</v>
      </c>
      <c r="AG29"/>
      <c r="AH29">
        <v>0</v>
      </c>
      <c r="AI29" s="180"/>
      <c r="AK29" s="180">
        <v>0</v>
      </c>
      <c r="AL29" s="194">
        <v>0</v>
      </c>
      <c r="AM29"/>
      <c r="AN29"/>
      <c r="AO29" s="180"/>
      <c r="AP29"/>
      <c r="AQ29" s="180"/>
      <c r="AR29" s="178"/>
    </row>
    <row r="30" spans="1:44" s="194" customFormat="1" hidden="1" x14ac:dyDescent="0.25">
      <c r="A30" t="s">
        <v>549</v>
      </c>
      <c r="B30" t="s">
        <v>526</v>
      </c>
      <c r="C30" t="s">
        <v>529</v>
      </c>
      <c r="D30" t="s">
        <v>530</v>
      </c>
      <c r="E30" t="s">
        <v>351</v>
      </c>
      <c r="F30"/>
      <c r="G30"/>
      <c r="H30"/>
      <c r="I30" s="219">
        <f t="shared" si="0"/>
        <v>0</v>
      </c>
      <c r="J30" s="219">
        <f t="shared" si="1"/>
        <v>58695919.390000023</v>
      </c>
      <c r="K30" s="219">
        <f t="shared" si="2"/>
        <v>3463342.0800000001</v>
      </c>
      <c r="L30" s="232">
        <f t="shared" si="3"/>
        <v>50107053.129999988</v>
      </c>
      <c r="M30" s="219">
        <f t="shared" si="4"/>
        <v>0</v>
      </c>
      <c r="N30" s="219">
        <f t="shared" si="5"/>
        <v>0</v>
      </c>
      <c r="O30" s="219">
        <f t="shared" si="6"/>
        <v>0</v>
      </c>
      <c r="P30" s="219">
        <f t="shared" si="7"/>
        <v>0</v>
      </c>
      <c r="Q30" s="219"/>
      <c r="R30" s="190">
        <v>0</v>
      </c>
      <c r="S30" s="190">
        <v>0</v>
      </c>
      <c r="T30" s="190">
        <v>2711752.3</v>
      </c>
      <c r="U30" s="180">
        <v>0</v>
      </c>
      <c r="V30" s="180">
        <v>0</v>
      </c>
      <c r="W30"/>
      <c r="X30" s="191">
        <v>0</v>
      </c>
      <c r="Y30" s="192">
        <v>55984167.090000026</v>
      </c>
      <c r="Z30" s="192">
        <v>0</v>
      </c>
      <c r="AA30" s="192">
        <v>3463342.0800000001</v>
      </c>
      <c r="AB30" s="192">
        <v>31181225.699999992</v>
      </c>
      <c r="AC30" s="192">
        <v>6572897.5600000015</v>
      </c>
      <c r="AD30" s="192">
        <v>0</v>
      </c>
      <c r="AE30" s="192">
        <v>7074711.4099999983</v>
      </c>
      <c r="AF30" s="193">
        <v>5278218.46</v>
      </c>
      <c r="AG30"/>
      <c r="AH30">
        <v>0</v>
      </c>
      <c r="AI30" s="180"/>
      <c r="AK30" s="180">
        <v>0</v>
      </c>
      <c r="AL30" s="194">
        <v>0</v>
      </c>
      <c r="AM30"/>
      <c r="AN30"/>
      <c r="AO30" s="180"/>
      <c r="AP30"/>
      <c r="AQ30" s="180"/>
      <c r="AR30" s="178"/>
    </row>
    <row r="31" spans="1:44" s="194" customFormat="1" hidden="1" x14ac:dyDescent="0.25">
      <c r="A31" t="s">
        <v>546</v>
      </c>
      <c r="B31" t="s">
        <v>526</v>
      </c>
      <c r="C31" t="s">
        <v>527</v>
      </c>
      <c r="D31" t="s">
        <v>532</v>
      </c>
      <c r="E31" t="s">
        <v>426</v>
      </c>
      <c r="F31"/>
      <c r="G31"/>
      <c r="H31"/>
      <c r="I31" s="219">
        <f t="shared" si="0"/>
        <v>0</v>
      </c>
      <c r="J31" s="219">
        <f t="shared" si="1"/>
        <v>0</v>
      </c>
      <c r="K31" s="219">
        <f t="shared" si="2"/>
        <v>1706.04</v>
      </c>
      <c r="L31" s="232">
        <f t="shared" si="3"/>
        <v>0</v>
      </c>
      <c r="M31" s="219">
        <f t="shared" si="4"/>
        <v>0</v>
      </c>
      <c r="N31" s="219">
        <f t="shared" si="5"/>
        <v>0</v>
      </c>
      <c r="O31" s="219">
        <f t="shared" si="6"/>
        <v>0</v>
      </c>
      <c r="P31" s="219">
        <f t="shared" si="7"/>
        <v>0</v>
      </c>
      <c r="Q31" s="219"/>
      <c r="R31" s="190">
        <v>0</v>
      </c>
      <c r="S31" s="190">
        <v>0</v>
      </c>
      <c r="T31" s="190">
        <v>0</v>
      </c>
      <c r="U31" s="180">
        <v>0</v>
      </c>
      <c r="V31" s="180">
        <v>0</v>
      </c>
      <c r="W31"/>
      <c r="X31" s="191">
        <v>0</v>
      </c>
      <c r="Y31" s="192">
        <v>0</v>
      </c>
      <c r="Z31" s="180">
        <v>0</v>
      </c>
      <c r="AA31" s="180">
        <v>1706.04</v>
      </c>
      <c r="AB31" s="180">
        <v>0</v>
      </c>
      <c r="AC31" s="180">
        <v>0</v>
      </c>
      <c r="AD31" s="180">
        <v>0</v>
      </c>
      <c r="AE31" s="180">
        <v>0</v>
      </c>
      <c r="AF31" s="269">
        <v>0</v>
      </c>
      <c r="AG31"/>
      <c r="AH31">
        <v>0</v>
      </c>
      <c r="AI31" s="180"/>
      <c r="AK31" s="180">
        <v>0</v>
      </c>
      <c r="AL31" s="194">
        <v>0</v>
      </c>
      <c r="AM31"/>
      <c r="AN31"/>
      <c r="AO31" s="180"/>
      <c r="AP31"/>
      <c r="AQ31" s="180"/>
      <c r="AR31" s="178"/>
    </row>
    <row r="32" spans="1:44" s="194" customFormat="1" hidden="1" x14ac:dyDescent="0.25">
      <c r="A32" t="s">
        <v>546</v>
      </c>
      <c r="B32" t="s">
        <v>526</v>
      </c>
      <c r="C32" t="s">
        <v>529</v>
      </c>
      <c r="D32" t="s">
        <v>544</v>
      </c>
      <c r="E32" t="s">
        <v>351</v>
      </c>
      <c r="F32"/>
      <c r="G32"/>
      <c r="H32"/>
      <c r="I32" s="219">
        <f t="shared" si="0"/>
        <v>0</v>
      </c>
      <c r="J32" s="219">
        <f t="shared" si="1"/>
        <v>0</v>
      </c>
      <c r="K32" s="219">
        <f t="shared" si="2"/>
        <v>0</v>
      </c>
      <c r="L32" s="232">
        <f t="shared" si="3"/>
        <v>0</v>
      </c>
      <c r="M32" s="219">
        <f t="shared" si="4"/>
        <v>0</v>
      </c>
      <c r="N32" s="219">
        <f t="shared" si="5"/>
        <v>0</v>
      </c>
      <c r="O32" s="219">
        <f t="shared" si="6"/>
        <v>0</v>
      </c>
      <c r="P32" s="219">
        <f t="shared" si="7"/>
        <v>0</v>
      </c>
      <c r="Q32" s="219"/>
      <c r="R32" s="190">
        <v>0</v>
      </c>
      <c r="S32" s="190">
        <v>0</v>
      </c>
      <c r="T32" s="190"/>
      <c r="U32" s="180"/>
      <c r="V32" s="180"/>
      <c r="W32"/>
      <c r="X32" s="191"/>
      <c r="Y32" s="192"/>
      <c r="Z32" s="192"/>
      <c r="AA32" s="192"/>
      <c r="AB32" s="192"/>
      <c r="AC32" s="192"/>
      <c r="AD32" s="192"/>
      <c r="AE32" s="192"/>
      <c r="AF32" s="193"/>
      <c r="AG32"/>
      <c r="AH32">
        <v>0</v>
      </c>
      <c r="AI32" s="180"/>
      <c r="AK32" s="180">
        <v>0</v>
      </c>
      <c r="AL32" s="194">
        <v>0</v>
      </c>
      <c r="AM32"/>
      <c r="AN32"/>
      <c r="AO32" s="180"/>
      <c r="AP32"/>
      <c r="AQ32" s="180"/>
      <c r="AR32" s="178"/>
    </row>
    <row r="33" spans="1:44" s="194" customFormat="1" hidden="1" x14ac:dyDescent="0.25">
      <c r="A33" t="s">
        <v>346</v>
      </c>
      <c r="B33" t="s">
        <v>526</v>
      </c>
      <c r="C33" t="s">
        <v>529</v>
      </c>
      <c r="D33" t="s">
        <v>530</v>
      </c>
      <c r="E33" t="s">
        <v>351</v>
      </c>
      <c r="F33">
        <v>1</v>
      </c>
      <c r="G33"/>
      <c r="H33"/>
      <c r="I33" s="219">
        <f t="shared" si="0"/>
        <v>0</v>
      </c>
      <c r="J33" s="219">
        <f t="shared" si="1"/>
        <v>32393444.969999995</v>
      </c>
      <c r="K33" s="219">
        <f t="shared" si="2"/>
        <v>933137.57000000007</v>
      </c>
      <c r="L33" s="232">
        <f t="shared" si="3"/>
        <v>38392610.00999999</v>
      </c>
      <c r="M33" s="219">
        <f t="shared" si="4"/>
        <v>0</v>
      </c>
      <c r="N33" s="219">
        <f t="shared" si="5"/>
        <v>0</v>
      </c>
      <c r="O33" s="219">
        <f t="shared" si="6"/>
        <v>66047800</v>
      </c>
      <c r="P33" s="219">
        <f t="shared" si="7"/>
        <v>0</v>
      </c>
      <c r="Q33" s="219"/>
      <c r="R33" s="190">
        <v>0</v>
      </c>
      <c r="S33" s="190">
        <v>0</v>
      </c>
      <c r="T33" s="190">
        <v>0</v>
      </c>
      <c r="U33" s="180">
        <v>32080224.779999994</v>
      </c>
      <c r="V33" s="180">
        <v>0</v>
      </c>
      <c r="W33"/>
      <c r="X33" s="191">
        <v>0</v>
      </c>
      <c r="Y33" s="192">
        <v>313220.19000000006</v>
      </c>
      <c r="Z33" s="192">
        <v>0</v>
      </c>
      <c r="AA33" s="192">
        <v>933137.57000000007</v>
      </c>
      <c r="AB33" s="192">
        <v>21520326.659999985</v>
      </c>
      <c r="AC33" s="192">
        <v>5807571.3700000048</v>
      </c>
      <c r="AD33" s="192">
        <v>298736.48</v>
      </c>
      <c r="AE33" s="192">
        <v>2604484.7500000033</v>
      </c>
      <c r="AF33" s="193">
        <v>8161490.7499999991</v>
      </c>
      <c r="AG33"/>
      <c r="AH33">
        <v>0</v>
      </c>
      <c r="AI33" s="180"/>
      <c r="AK33" s="180">
        <v>0</v>
      </c>
      <c r="AL33" s="194">
        <v>66047800</v>
      </c>
      <c r="AM33"/>
      <c r="AN33"/>
      <c r="AO33" s="180"/>
      <c r="AP33"/>
      <c r="AQ33" s="180"/>
      <c r="AR33" s="178"/>
    </row>
    <row r="34" spans="1:44" s="194" customFormat="1" hidden="1" x14ac:dyDescent="0.25">
      <c r="A34" t="s">
        <v>346</v>
      </c>
      <c r="B34" t="s">
        <v>526</v>
      </c>
      <c r="C34" t="s">
        <v>529</v>
      </c>
      <c r="D34" t="s">
        <v>540</v>
      </c>
      <c r="E34" t="s">
        <v>351</v>
      </c>
      <c r="F34">
        <v>1</v>
      </c>
      <c r="G34"/>
      <c r="H34"/>
      <c r="I34" s="219">
        <f t="shared" si="0"/>
        <v>0</v>
      </c>
      <c r="J34" s="219">
        <f t="shared" si="1"/>
        <v>296693840.26999998</v>
      </c>
      <c r="K34" s="219">
        <f t="shared" si="2"/>
        <v>52911435.689999998</v>
      </c>
      <c r="L34" s="232">
        <f t="shared" si="3"/>
        <v>58847600.110000007</v>
      </c>
      <c r="M34" s="219">
        <f t="shared" si="4"/>
        <v>0</v>
      </c>
      <c r="N34" s="219">
        <f t="shared" si="5"/>
        <v>0</v>
      </c>
      <c r="O34" s="219">
        <f t="shared" si="6"/>
        <v>11475100</v>
      </c>
      <c r="P34" s="219">
        <f t="shared" si="7"/>
        <v>0</v>
      </c>
      <c r="Q34" s="219"/>
      <c r="R34" s="195">
        <v>0</v>
      </c>
      <c r="S34" s="195">
        <v>0</v>
      </c>
      <c r="T34" s="195">
        <v>7408200.6200000001</v>
      </c>
      <c r="U34" s="194">
        <v>2181375.5599999996</v>
      </c>
      <c r="V34" s="194">
        <v>0</v>
      </c>
      <c r="W34"/>
      <c r="X34" s="196">
        <v>0</v>
      </c>
      <c r="Y34" s="197">
        <v>287104264.08999997</v>
      </c>
      <c r="Z34" s="197">
        <v>0</v>
      </c>
      <c r="AA34" s="197">
        <v>52911435.689999998</v>
      </c>
      <c r="AB34" s="197">
        <v>15202566.340000002</v>
      </c>
      <c r="AC34" s="197">
        <v>16819915.75999999</v>
      </c>
      <c r="AD34" s="197">
        <v>4956390.84</v>
      </c>
      <c r="AE34" s="197">
        <v>12128769.540000005</v>
      </c>
      <c r="AF34" s="198">
        <v>9739957.6300000008</v>
      </c>
      <c r="AG34"/>
      <c r="AH34">
        <v>0</v>
      </c>
      <c r="AK34" s="194">
        <v>0</v>
      </c>
      <c r="AL34" s="194">
        <v>11475100</v>
      </c>
      <c r="AM34"/>
      <c r="AN34"/>
      <c r="AP34"/>
      <c r="AR34" s="178"/>
    </row>
    <row r="35" spans="1:44" s="194" customFormat="1" hidden="1" x14ac:dyDescent="0.25">
      <c r="A35" t="s">
        <v>346</v>
      </c>
      <c r="B35" t="s">
        <v>526</v>
      </c>
      <c r="C35" t="s">
        <v>529</v>
      </c>
      <c r="D35" t="s">
        <v>544</v>
      </c>
      <c r="E35" t="s">
        <v>351</v>
      </c>
      <c r="F35">
        <v>1</v>
      </c>
      <c r="G35">
        <v>1</v>
      </c>
      <c r="H35"/>
      <c r="I35" s="219">
        <f t="shared" si="0"/>
        <v>386058892.07000017</v>
      </c>
      <c r="J35" s="219">
        <f t="shared" si="1"/>
        <v>20589477.049999982</v>
      </c>
      <c r="K35" s="219">
        <f t="shared" si="2"/>
        <v>0</v>
      </c>
      <c r="L35" s="232">
        <f t="shared" si="3"/>
        <v>0</v>
      </c>
      <c r="M35" s="219">
        <f t="shared" si="4"/>
        <v>0</v>
      </c>
      <c r="N35" s="219">
        <f t="shared" si="5"/>
        <v>0</v>
      </c>
      <c r="O35" s="219">
        <f t="shared" si="6"/>
        <v>41486900</v>
      </c>
      <c r="P35" s="219">
        <f t="shared" si="7"/>
        <v>0</v>
      </c>
      <c r="Q35" s="219"/>
      <c r="R35" s="195">
        <v>0</v>
      </c>
      <c r="S35" s="195">
        <v>0</v>
      </c>
      <c r="T35" s="195">
        <v>0</v>
      </c>
      <c r="U35" s="194">
        <v>20589477.049999982</v>
      </c>
      <c r="V35" s="194">
        <v>386058892.07000017</v>
      </c>
      <c r="W35"/>
      <c r="X35" s="196"/>
      <c r="Y35" s="197"/>
      <c r="Z35" s="197"/>
      <c r="AA35" s="197"/>
      <c r="AB35" s="197"/>
      <c r="AC35" s="197"/>
      <c r="AD35" s="197"/>
      <c r="AE35" s="197"/>
      <c r="AF35" s="198"/>
      <c r="AG35"/>
      <c r="AH35">
        <v>0</v>
      </c>
      <c r="AK35" s="194">
        <v>0</v>
      </c>
      <c r="AL35" s="194">
        <v>41486900</v>
      </c>
      <c r="AM35"/>
      <c r="AN35"/>
      <c r="AP35"/>
      <c r="AR35" s="178"/>
    </row>
    <row r="36" spans="1:44" s="194" customFormat="1" hidden="1" x14ac:dyDescent="0.25">
      <c r="A36" t="s">
        <v>531</v>
      </c>
      <c r="B36" t="s">
        <v>526</v>
      </c>
      <c r="C36" t="s">
        <v>527</v>
      </c>
      <c r="D36" t="s">
        <v>532</v>
      </c>
      <c r="E36" t="s">
        <v>426</v>
      </c>
      <c r="F36"/>
      <c r="G36"/>
      <c r="H36"/>
      <c r="I36" s="219">
        <f t="shared" si="0"/>
        <v>0</v>
      </c>
      <c r="J36" s="219">
        <f t="shared" si="1"/>
        <v>0</v>
      </c>
      <c r="K36" s="219">
        <f t="shared" si="2"/>
        <v>291668161.47000003</v>
      </c>
      <c r="L36" s="232">
        <f t="shared" si="3"/>
        <v>2953223.4999999995</v>
      </c>
      <c r="M36" s="219">
        <f t="shared" si="4"/>
        <v>0</v>
      </c>
      <c r="N36" s="219">
        <f t="shared" si="5"/>
        <v>0</v>
      </c>
      <c r="O36" s="219">
        <f t="shared" si="6"/>
        <v>0</v>
      </c>
      <c r="P36" s="219">
        <f t="shared" si="7"/>
        <v>0</v>
      </c>
      <c r="Q36" s="219"/>
      <c r="R36" s="190">
        <v>0</v>
      </c>
      <c r="S36" s="190">
        <v>0</v>
      </c>
      <c r="T36" s="190">
        <v>0</v>
      </c>
      <c r="U36" s="180">
        <v>0</v>
      </c>
      <c r="V36" s="180">
        <v>0</v>
      </c>
      <c r="W36"/>
      <c r="X36" s="191">
        <v>0</v>
      </c>
      <c r="Y36" s="192">
        <v>0</v>
      </c>
      <c r="Z36" s="180">
        <v>0</v>
      </c>
      <c r="AA36" s="180">
        <v>291668161.47000003</v>
      </c>
      <c r="AB36" s="180">
        <v>1770631.5299999996</v>
      </c>
      <c r="AC36" s="180">
        <v>1182591.97</v>
      </c>
      <c r="AD36" s="180">
        <v>0</v>
      </c>
      <c r="AE36" s="180"/>
      <c r="AF36" s="269"/>
      <c r="AG36"/>
      <c r="AH36">
        <v>0</v>
      </c>
      <c r="AI36" s="180"/>
      <c r="AK36" s="180">
        <v>0</v>
      </c>
      <c r="AL36" s="194">
        <v>0</v>
      </c>
      <c r="AM36"/>
      <c r="AN36"/>
      <c r="AO36" s="180"/>
      <c r="AP36"/>
      <c r="AQ36" s="180"/>
      <c r="AR36" s="178"/>
    </row>
    <row r="37" spans="1:44" s="194" customFormat="1" x14ac:dyDescent="0.25">
      <c r="A37" t="s">
        <v>545</v>
      </c>
      <c r="B37" t="s">
        <v>526</v>
      </c>
      <c r="C37" t="s">
        <v>527</v>
      </c>
      <c r="D37" t="s">
        <v>535</v>
      </c>
      <c r="E37" t="s">
        <v>426</v>
      </c>
      <c r="F37"/>
      <c r="G37"/>
      <c r="H37" t="s">
        <v>377</v>
      </c>
      <c r="I37" s="219">
        <f t="shared" si="0"/>
        <v>0</v>
      </c>
      <c r="J37" s="219">
        <f t="shared" si="1"/>
        <v>372200.5</v>
      </c>
      <c r="K37" s="219">
        <f t="shared" si="2"/>
        <v>57536.499999999993</v>
      </c>
      <c r="L37" s="232">
        <f t="shared" si="3"/>
        <v>91160814.329999998</v>
      </c>
      <c r="M37" s="219">
        <f t="shared" si="4"/>
        <v>0</v>
      </c>
      <c r="N37" s="219">
        <f t="shared" si="5"/>
        <v>0</v>
      </c>
      <c r="O37" s="219">
        <f t="shared" si="6"/>
        <v>0</v>
      </c>
      <c r="P37" s="219">
        <f t="shared" si="7"/>
        <v>0</v>
      </c>
      <c r="Q37" s="219"/>
      <c r="R37" s="195">
        <v>0</v>
      </c>
      <c r="S37" s="195">
        <v>0</v>
      </c>
      <c r="T37" s="195">
        <v>372200.5</v>
      </c>
      <c r="U37" s="194">
        <v>0</v>
      </c>
      <c r="V37" s="194">
        <v>0</v>
      </c>
      <c r="W37"/>
      <c r="X37" s="196">
        <v>0</v>
      </c>
      <c r="Y37" s="197">
        <v>0</v>
      </c>
      <c r="Z37" s="197">
        <v>0</v>
      </c>
      <c r="AA37" s="197">
        <v>57536.499999999993</v>
      </c>
      <c r="AB37" s="197">
        <v>1551255.2400000002</v>
      </c>
      <c r="AC37" s="197">
        <v>359545.38</v>
      </c>
      <c r="AD37" s="197">
        <v>0</v>
      </c>
      <c r="AE37" s="197">
        <v>6502202.7199999979</v>
      </c>
      <c r="AF37" s="198">
        <v>82747810.989999995</v>
      </c>
      <c r="AG37"/>
      <c r="AK37" s="194">
        <v>0</v>
      </c>
      <c r="AL37" s="194">
        <v>0</v>
      </c>
      <c r="AM37"/>
      <c r="AN37"/>
      <c r="AP37"/>
      <c r="AR37" s="178"/>
    </row>
    <row r="38" spans="1:44" s="194" customFormat="1" x14ac:dyDescent="0.25">
      <c r="A38" t="s">
        <v>545</v>
      </c>
      <c r="B38" t="s">
        <v>526</v>
      </c>
      <c r="C38" t="s">
        <v>529</v>
      </c>
      <c r="D38" t="s">
        <v>540</v>
      </c>
      <c r="E38" t="s">
        <v>351</v>
      </c>
      <c r="F38"/>
      <c r="G38"/>
      <c r="H38"/>
      <c r="I38" s="219">
        <f t="shared" si="0"/>
        <v>0</v>
      </c>
      <c r="J38" s="219">
        <f t="shared" si="1"/>
        <v>4078128.26</v>
      </c>
      <c r="K38" s="219">
        <f t="shared" si="2"/>
        <v>17222382.179999996</v>
      </c>
      <c r="L38" s="232">
        <f t="shared" si="3"/>
        <v>231481.23</v>
      </c>
      <c r="M38" s="219">
        <f t="shared" si="4"/>
        <v>0</v>
      </c>
      <c r="N38" s="219">
        <f t="shared" si="5"/>
        <v>0</v>
      </c>
      <c r="O38" s="219">
        <f t="shared" si="6"/>
        <v>0</v>
      </c>
      <c r="P38" s="219">
        <f t="shared" si="7"/>
        <v>0</v>
      </c>
      <c r="Q38" s="219"/>
      <c r="R38" s="190">
        <v>0</v>
      </c>
      <c r="S38" s="190">
        <v>0</v>
      </c>
      <c r="T38" s="190">
        <v>0</v>
      </c>
      <c r="U38" s="180">
        <v>0</v>
      </c>
      <c r="V38" s="180">
        <v>0</v>
      </c>
      <c r="W38"/>
      <c r="X38" s="191">
        <v>0</v>
      </c>
      <c r="Y38" s="192">
        <v>4078128.26</v>
      </c>
      <c r="Z38" s="192">
        <v>0</v>
      </c>
      <c r="AA38" s="192">
        <v>17222382.179999996</v>
      </c>
      <c r="AB38" s="192">
        <v>193304.51</v>
      </c>
      <c r="AC38" s="192">
        <v>38176.720000000001</v>
      </c>
      <c r="AD38" s="192">
        <v>0</v>
      </c>
      <c r="AE38" s="192">
        <v>0</v>
      </c>
      <c r="AF38" s="193">
        <v>0</v>
      </c>
      <c r="AG38"/>
      <c r="AH38">
        <v>0</v>
      </c>
      <c r="AI38" s="180"/>
      <c r="AK38" s="180">
        <v>0</v>
      </c>
      <c r="AL38" s="194">
        <v>0</v>
      </c>
      <c r="AM38"/>
      <c r="AN38"/>
      <c r="AO38" s="180"/>
      <c r="AP38"/>
      <c r="AQ38" s="180"/>
      <c r="AR38" s="178"/>
    </row>
    <row r="39" spans="1:44" s="194" customFormat="1" hidden="1" x14ac:dyDescent="0.25">
      <c r="A39" t="s">
        <v>417</v>
      </c>
      <c r="B39" t="s">
        <v>526</v>
      </c>
      <c r="C39" t="s">
        <v>527</v>
      </c>
      <c r="D39" t="s">
        <v>528</v>
      </c>
      <c r="E39" t="s">
        <v>429</v>
      </c>
      <c r="F39"/>
      <c r="G39"/>
      <c r="H39"/>
      <c r="I39" s="219">
        <f t="shared" si="0"/>
        <v>0</v>
      </c>
      <c r="J39" s="219">
        <f t="shared" si="1"/>
        <v>0</v>
      </c>
      <c r="K39" s="219">
        <f t="shared" si="2"/>
        <v>0</v>
      </c>
      <c r="L39" s="232">
        <f t="shared" si="3"/>
        <v>350170504.11000001</v>
      </c>
      <c r="M39" s="219">
        <f t="shared" si="4"/>
        <v>0</v>
      </c>
      <c r="N39" s="219">
        <f t="shared" si="5"/>
        <v>0</v>
      </c>
      <c r="O39" s="219">
        <f t="shared" si="6"/>
        <v>0</v>
      </c>
      <c r="P39" s="219">
        <f t="shared" si="7"/>
        <v>0</v>
      </c>
      <c r="Q39" s="219"/>
      <c r="R39" s="190">
        <v>0</v>
      </c>
      <c r="S39" s="190">
        <v>0</v>
      </c>
      <c r="T39" s="190">
        <v>0</v>
      </c>
      <c r="U39" s="180">
        <v>0</v>
      </c>
      <c r="V39" s="180">
        <v>0</v>
      </c>
      <c r="W39"/>
      <c r="X39" s="191">
        <v>0</v>
      </c>
      <c r="Y39" s="192">
        <v>0</v>
      </c>
      <c r="Z39" s="192">
        <v>0</v>
      </c>
      <c r="AA39" s="192">
        <v>0</v>
      </c>
      <c r="AB39" s="192">
        <v>444084.55000000005</v>
      </c>
      <c r="AC39" s="192">
        <v>6179097.5899999999</v>
      </c>
      <c r="AD39" s="192">
        <v>0</v>
      </c>
      <c r="AE39" s="192">
        <v>3264769.54</v>
      </c>
      <c r="AF39" s="193">
        <v>340282552.43000001</v>
      </c>
      <c r="AG39"/>
      <c r="AH39">
        <v>0</v>
      </c>
      <c r="AI39" s="180"/>
      <c r="AK39" s="180">
        <v>0</v>
      </c>
      <c r="AL39" s="194">
        <v>0</v>
      </c>
      <c r="AM39"/>
      <c r="AN39"/>
      <c r="AO39" s="180"/>
      <c r="AP39"/>
      <c r="AQ39" s="180"/>
      <c r="AR39" s="178"/>
    </row>
    <row r="40" spans="1:44" hidden="1" x14ac:dyDescent="0.25">
      <c r="A40" t="s">
        <v>550</v>
      </c>
      <c r="B40" t="s">
        <v>526</v>
      </c>
      <c r="C40" t="s">
        <v>527</v>
      </c>
      <c r="D40" t="s">
        <v>528</v>
      </c>
      <c r="E40" t="s">
        <v>429</v>
      </c>
      <c r="I40" s="219">
        <f t="shared" si="0"/>
        <v>0</v>
      </c>
      <c r="J40" s="219">
        <f t="shared" si="1"/>
        <v>0</v>
      </c>
      <c r="K40" s="219">
        <f t="shared" si="2"/>
        <v>0</v>
      </c>
      <c r="L40" s="232">
        <f t="shared" si="3"/>
        <v>72525.900000000009</v>
      </c>
      <c r="M40" s="219">
        <f t="shared" si="4"/>
        <v>0</v>
      </c>
      <c r="N40" s="219">
        <f t="shared" si="5"/>
        <v>0</v>
      </c>
      <c r="O40" s="219">
        <f t="shared" si="6"/>
        <v>0</v>
      </c>
      <c r="P40" s="219">
        <f t="shared" si="7"/>
        <v>0</v>
      </c>
      <c r="Q40" s="219"/>
      <c r="R40" s="190">
        <v>0</v>
      </c>
      <c r="S40" s="190">
        <v>0</v>
      </c>
      <c r="T40" s="190">
        <v>0</v>
      </c>
      <c r="U40" s="180">
        <v>0</v>
      </c>
      <c r="V40" s="180">
        <v>0</v>
      </c>
      <c r="X40" s="191">
        <v>0</v>
      </c>
      <c r="Y40" s="192">
        <v>0</v>
      </c>
      <c r="Z40" s="192">
        <v>0</v>
      </c>
      <c r="AA40" s="192">
        <v>0</v>
      </c>
      <c r="AB40" s="192">
        <v>0</v>
      </c>
      <c r="AC40" s="192">
        <v>0</v>
      </c>
      <c r="AD40" s="192">
        <v>0</v>
      </c>
      <c r="AE40" s="192">
        <v>72525.900000000009</v>
      </c>
      <c r="AF40" s="193">
        <v>0</v>
      </c>
      <c r="AH40">
        <v>0</v>
      </c>
      <c r="AI40" s="180"/>
      <c r="AK40" s="180">
        <v>0</v>
      </c>
      <c r="AL40" s="194">
        <v>0</v>
      </c>
      <c r="AO40" s="180"/>
      <c r="AQ40" s="180"/>
      <c r="AR40" s="178"/>
    </row>
    <row r="41" spans="1:44" hidden="1" x14ac:dyDescent="0.25">
      <c r="A41" t="s">
        <v>551</v>
      </c>
      <c r="B41" t="s">
        <v>526</v>
      </c>
      <c r="C41" t="s">
        <v>527</v>
      </c>
      <c r="D41" t="s">
        <v>532</v>
      </c>
      <c r="E41" t="s">
        <v>426</v>
      </c>
      <c r="I41" s="219">
        <f t="shared" si="0"/>
        <v>0</v>
      </c>
      <c r="J41" s="219">
        <f t="shared" si="1"/>
        <v>0</v>
      </c>
      <c r="K41" s="219">
        <f t="shared" si="2"/>
        <v>2267890.4699999997</v>
      </c>
      <c r="L41" s="232">
        <f t="shared" si="3"/>
        <v>0</v>
      </c>
      <c r="M41" s="219">
        <f t="shared" si="4"/>
        <v>0</v>
      </c>
      <c r="N41" s="219">
        <f t="shared" si="5"/>
        <v>0</v>
      </c>
      <c r="O41" s="219">
        <f t="shared" si="6"/>
        <v>0</v>
      </c>
      <c r="P41" s="219">
        <f t="shared" si="7"/>
        <v>0</v>
      </c>
      <c r="Q41" s="219"/>
      <c r="R41" s="190">
        <v>0</v>
      </c>
      <c r="S41" s="190">
        <v>0</v>
      </c>
      <c r="T41" s="190">
        <v>0</v>
      </c>
      <c r="U41" s="180">
        <v>0</v>
      </c>
      <c r="V41" s="180">
        <v>0</v>
      </c>
      <c r="X41" s="191">
        <v>0</v>
      </c>
      <c r="Y41" s="192">
        <v>0</v>
      </c>
      <c r="Z41" s="180">
        <v>0</v>
      </c>
      <c r="AA41" s="180">
        <v>2267890.4699999997</v>
      </c>
      <c r="AB41" s="180">
        <v>0</v>
      </c>
      <c r="AC41" s="180">
        <v>0</v>
      </c>
      <c r="AD41" s="180">
        <v>0</v>
      </c>
      <c r="AE41" s="180">
        <v>0</v>
      </c>
      <c r="AF41" s="269">
        <v>0</v>
      </c>
      <c r="AH41">
        <v>0</v>
      </c>
      <c r="AI41" s="180"/>
      <c r="AK41" s="180">
        <v>0</v>
      </c>
      <c r="AL41" s="194">
        <v>0</v>
      </c>
      <c r="AO41" s="180"/>
      <c r="AQ41" s="180"/>
      <c r="AR41" s="178"/>
    </row>
    <row r="42" spans="1:44" hidden="1" x14ac:dyDescent="0.25">
      <c r="A42" t="s">
        <v>551</v>
      </c>
      <c r="B42" t="s">
        <v>526</v>
      </c>
      <c r="C42" t="s">
        <v>527</v>
      </c>
      <c r="D42" t="s">
        <v>535</v>
      </c>
      <c r="E42" t="s">
        <v>426</v>
      </c>
      <c r="I42" s="219">
        <f t="shared" si="0"/>
        <v>0</v>
      </c>
      <c r="J42" s="219">
        <f t="shared" si="1"/>
        <v>1319912.03</v>
      </c>
      <c r="K42" s="219">
        <f t="shared" si="2"/>
        <v>0</v>
      </c>
      <c r="L42" s="232">
        <f t="shared" si="3"/>
        <v>26874644.050000004</v>
      </c>
      <c r="M42" s="219">
        <f t="shared" si="4"/>
        <v>0</v>
      </c>
      <c r="N42" s="219">
        <f t="shared" si="5"/>
        <v>0</v>
      </c>
      <c r="O42" s="219">
        <f t="shared" si="6"/>
        <v>0</v>
      </c>
      <c r="P42" s="219">
        <f t="shared" si="7"/>
        <v>0</v>
      </c>
      <c r="Q42" s="219"/>
      <c r="R42" s="195">
        <v>0</v>
      </c>
      <c r="S42" s="195">
        <v>0</v>
      </c>
      <c r="T42" s="195">
        <v>1319912.03</v>
      </c>
      <c r="U42" s="194">
        <v>0</v>
      </c>
      <c r="V42" s="194">
        <v>0</v>
      </c>
      <c r="X42" s="196">
        <v>0</v>
      </c>
      <c r="Y42" s="197">
        <v>0</v>
      </c>
      <c r="Z42" s="197">
        <v>0</v>
      </c>
      <c r="AA42" s="197">
        <v>0</v>
      </c>
      <c r="AB42" s="197">
        <v>4238369.4399999985</v>
      </c>
      <c r="AC42" s="197">
        <v>6529418.2500000047</v>
      </c>
      <c r="AD42" s="197">
        <v>0</v>
      </c>
      <c r="AE42" s="197">
        <v>3415503.9399999985</v>
      </c>
      <c r="AF42" s="198">
        <v>12691352.42</v>
      </c>
      <c r="AH42">
        <v>0</v>
      </c>
      <c r="AI42" s="194"/>
      <c r="AK42" s="194">
        <v>0</v>
      </c>
      <c r="AL42" s="194">
        <v>0</v>
      </c>
      <c r="AO42" s="194"/>
      <c r="AQ42" s="194"/>
      <c r="AR42" s="178"/>
    </row>
    <row r="43" spans="1:44" hidden="1" x14ac:dyDescent="0.25">
      <c r="A43" t="s">
        <v>525</v>
      </c>
      <c r="B43" t="s">
        <v>526</v>
      </c>
      <c r="C43" t="s">
        <v>552</v>
      </c>
      <c r="D43" t="s">
        <v>553</v>
      </c>
      <c r="H43" t="s">
        <v>377</v>
      </c>
      <c r="I43" s="219">
        <f t="shared" si="0"/>
        <v>0</v>
      </c>
      <c r="J43" s="219">
        <f t="shared" si="1"/>
        <v>0</v>
      </c>
      <c r="K43" s="219">
        <f t="shared" si="2"/>
        <v>0</v>
      </c>
      <c r="L43" s="232">
        <f t="shared" si="3"/>
        <v>0</v>
      </c>
      <c r="M43" s="219">
        <f t="shared" si="4"/>
        <v>836729573.17709005</v>
      </c>
      <c r="N43" s="219">
        <f t="shared" si="5"/>
        <v>0</v>
      </c>
      <c r="O43" s="219">
        <f t="shared" si="6"/>
        <v>473767979.99310005</v>
      </c>
      <c r="P43" s="219">
        <f t="shared" si="7"/>
        <v>797692429.12999988</v>
      </c>
      <c r="Q43" s="219"/>
      <c r="R43" s="190">
        <v>0</v>
      </c>
      <c r="S43" s="190">
        <v>0</v>
      </c>
      <c r="T43" s="190">
        <v>0</v>
      </c>
      <c r="U43" s="180">
        <v>0</v>
      </c>
      <c r="V43" s="180">
        <v>0</v>
      </c>
      <c r="AG43" s="194">
        <v>247305072.95999762</v>
      </c>
      <c r="AH43" s="194">
        <v>503783834.83709246</v>
      </c>
      <c r="AI43" s="194">
        <v>85640665.380000025</v>
      </c>
      <c r="AK43" s="180">
        <v>0</v>
      </c>
      <c r="AL43" s="194">
        <v>473767979.99310005</v>
      </c>
      <c r="AO43" s="180"/>
      <c r="AQ43" s="180">
        <v>797692429.12999988</v>
      </c>
      <c r="AR43" s="178"/>
    </row>
    <row r="44" spans="1:44" hidden="1" x14ac:dyDescent="0.25">
      <c r="A44" t="s">
        <v>534</v>
      </c>
      <c r="B44" t="s">
        <v>526</v>
      </c>
      <c r="C44" t="s">
        <v>552</v>
      </c>
      <c r="D44" t="s">
        <v>554</v>
      </c>
      <c r="H44" t="s">
        <v>377</v>
      </c>
      <c r="I44" s="219">
        <f t="shared" si="0"/>
        <v>0</v>
      </c>
      <c r="J44" s="219">
        <f t="shared" si="1"/>
        <v>0</v>
      </c>
      <c r="K44" s="219">
        <f t="shared" si="2"/>
        <v>0</v>
      </c>
      <c r="L44" s="232">
        <f t="shared" si="3"/>
        <v>0</v>
      </c>
      <c r="M44" s="219">
        <f t="shared" si="4"/>
        <v>875989074.51481271</v>
      </c>
      <c r="N44" s="219">
        <f t="shared" si="5"/>
        <v>0</v>
      </c>
      <c r="O44" s="219">
        <f t="shared" si="6"/>
        <v>464654798.07890016</v>
      </c>
      <c r="P44" s="219">
        <f t="shared" si="7"/>
        <v>0</v>
      </c>
      <c r="Q44" s="219"/>
      <c r="R44" s="190">
        <v>0</v>
      </c>
      <c r="S44" s="190">
        <v>0</v>
      </c>
      <c r="T44" s="190">
        <v>0</v>
      </c>
      <c r="U44" s="180">
        <v>0</v>
      </c>
      <c r="V44" s="180">
        <v>0</v>
      </c>
      <c r="AG44" s="180">
        <v>335000188.86999112</v>
      </c>
      <c r="AH44" s="192">
        <v>452467116.17482156</v>
      </c>
      <c r="AI44" s="180">
        <v>88521769.470000029</v>
      </c>
      <c r="AK44" s="180">
        <v>0</v>
      </c>
      <c r="AL44" s="194">
        <v>464654798.07890016</v>
      </c>
      <c r="AO44" s="180"/>
      <c r="AQ44" s="180"/>
      <c r="AR44" s="178"/>
    </row>
    <row r="45" spans="1:44" hidden="1" x14ac:dyDescent="0.25">
      <c r="A45" t="s">
        <v>533</v>
      </c>
      <c r="B45" t="s">
        <v>526</v>
      </c>
      <c r="C45" t="s">
        <v>552</v>
      </c>
      <c r="D45" t="s">
        <v>553</v>
      </c>
      <c r="H45" t="s">
        <v>377</v>
      </c>
      <c r="I45" s="219">
        <f t="shared" si="0"/>
        <v>0</v>
      </c>
      <c r="J45" s="219">
        <f t="shared" si="1"/>
        <v>0</v>
      </c>
      <c r="K45" s="219">
        <f t="shared" si="2"/>
        <v>0</v>
      </c>
      <c r="L45" s="232">
        <f t="shared" si="3"/>
        <v>0</v>
      </c>
      <c r="M45" s="219">
        <f t="shared" si="4"/>
        <v>972681258.01652825</v>
      </c>
      <c r="N45" s="219">
        <f t="shared" si="5"/>
        <v>0</v>
      </c>
      <c r="O45" s="219">
        <f t="shared" si="6"/>
        <v>0</v>
      </c>
      <c r="P45" s="219">
        <f t="shared" si="7"/>
        <v>441584308.78997934</v>
      </c>
      <c r="Q45" s="219"/>
      <c r="R45" s="190">
        <v>0</v>
      </c>
      <c r="S45" s="190">
        <v>0</v>
      </c>
      <c r="T45" s="190">
        <v>0</v>
      </c>
      <c r="U45" s="180">
        <v>0</v>
      </c>
      <c r="V45" s="180">
        <v>0</v>
      </c>
      <c r="AG45" s="180">
        <v>327858052.19999248</v>
      </c>
      <c r="AH45" s="192">
        <v>464562158.48653579</v>
      </c>
      <c r="AI45" s="180">
        <v>180261047.33000004</v>
      </c>
      <c r="AJ45" s="194">
        <v>94815880.11999999</v>
      </c>
      <c r="AK45" s="180">
        <v>0</v>
      </c>
      <c r="AL45" s="194">
        <v>0</v>
      </c>
      <c r="AO45" s="180"/>
      <c r="AQ45" s="180">
        <v>441584308.78997934</v>
      </c>
      <c r="AR45" s="178"/>
    </row>
    <row r="46" spans="1:44" hidden="1" x14ac:dyDescent="0.25">
      <c r="A46" t="s">
        <v>542</v>
      </c>
      <c r="B46" t="s">
        <v>526</v>
      </c>
      <c r="C46" t="s">
        <v>552</v>
      </c>
      <c r="D46" t="s">
        <v>555</v>
      </c>
      <c r="H46" t="s">
        <v>377</v>
      </c>
      <c r="I46" s="219">
        <f t="shared" si="0"/>
        <v>0</v>
      </c>
      <c r="J46" s="219">
        <f t="shared" si="1"/>
        <v>0</v>
      </c>
      <c r="K46" s="219">
        <f t="shared" si="2"/>
        <v>0</v>
      </c>
      <c r="L46" s="232">
        <f t="shared" si="3"/>
        <v>0</v>
      </c>
      <c r="M46" s="219">
        <f t="shared" si="4"/>
        <v>411849664.02079684</v>
      </c>
      <c r="N46" s="219">
        <f t="shared" si="5"/>
        <v>0</v>
      </c>
      <c r="O46" s="219">
        <f t="shared" si="6"/>
        <v>201456929.39970002</v>
      </c>
      <c r="P46" s="219">
        <f t="shared" si="7"/>
        <v>0</v>
      </c>
      <c r="Q46" s="219"/>
      <c r="R46" s="190">
        <v>0</v>
      </c>
      <c r="S46" s="190">
        <v>0</v>
      </c>
      <c r="T46" s="190">
        <v>0</v>
      </c>
      <c r="U46" s="180">
        <v>0</v>
      </c>
      <c r="V46" s="180">
        <v>0</v>
      </c>
      <c r="AG46" s="180">
        <v>168158943.18000051</v>
      </c>
      <c r="AH46" s="192">
        <v>189751569.22079641</v>
      </c>
      <c r="AI46" s="180">
        <v>53939151.619999968</v>
      </c>
      <c r="AJ46" s="194">
        <v>44545705.969999999</v>
      </c>
      <c r="AK46" s="180">
        <v>0</v>
      </c>
      <c r="AL46" s="194">
        <v>201456929.39970002</v>
      </c>
      <c r="AO46" s="180"/>
      <c r="AQ46" s="180"/>
      <c r="AR46" s="178"/>
    </row>
    <row r="47" spans="1:44" hidden="1" x14ac:dyDescent="0.25">
      <c r="A47" t="s">
        <v>543</v>
      </c>
      <c r="B47" t="s">
        <v>526</v>
      </c>
      <c r="C47" t="s">
        <v>556</v>
      </c>
      <c r="D47" t="s">
        <v>557</v>
      </c>
      <c r="H47" t="s">
        <v>377</v>
      </c>
      <c r="I47" s="219">
        <f t="shared" si="0"/>
        <v>0</v>
      </c>
      <c r="J47" s="219">
        <f t="shared" si="1"/>
        <v>0</v>
      </c>
      <c r="K47" s="219">
        <f t="shared" si="2"/>
        <v>0</v>
      </c>
      <c r="L47" s="232">
        <f t="shared" si="3"/>
        <v>0</v>
      </c>
      <c r="M47" s="219">
        <f t="shared" si="4"/>
        <v>888852025.48993647</v>
      </c>
      <c r="N47" s="219">
        <f t="shared" si="5"/>
        <v>0</v>
      </c>
      <c r="O47" s="219">
        <f t="shared" si="6"/>
        <v>543043386.05659974</v>
      </c>
      <c r="P47" s="219">
        <f t="shared" si="7"/>
        <v>6981487904.4999857</v>
      </c>
      <c r="Q47" s="219"/>
      <c r="R47" s="190">
        <v>0</v>
      </c>
      <c r="S47" s="190">
        <v>0</v>
      </c>
      <c r="T47" s="190">
        <v>0</v>
      </c>
      <c r="U47" s="180">
        <v>0</v>
      </c>
      <c r="V47" s="180">
        <v>0</v>
      </c>
      <c r="AG47" s="180">
        <v>861184868.71993637</v>
      </c>
      <c r="AH47" s="192">
        <v>0</v>
      </c>
      <c r="AI47" s="180">
        <v>27667156.770000115</v>
      </c>
      <c r="AK47" s="180">
        <v>0</v>
      </c>
      <c r="AL47" s="194">
        <v>543043386.05659974</v>
      </c>
      <c r="AO47" s="180">
        <v>6303087651.7899857</v>
      </c>
      <c r="AQ47" s="180">
        <v>678400252.71000004</v>
      </c>
      <c r="AR47" s="178"/>
    </row>
    <row r="48" spans="1:44" hidden="1" x14ac:dyDescent="0.25">
      <c r="A48" t="s">
        <v>543</v>
      </c>
      <c r="B48" t="s">
        <v>526</v>
      </c>
      <c r="C48" t="s">
        <v>556</v>
      </c>
      <c r="D48" t="s">
        <v>558</v>
      </c>
      <c r="H48" t="s">
        <v>377</v>
      </c>
      <c r="I48" s="219">
        <f t="shared" si="0"/>
        <v>0</v>
      </c>
      <c r="J48" s="219">
        <f t="shared" si="1"/>
        <v>0</v>
      </c>
      <c r="K48" s="219">
        <f t="shared" si="2"/>
        <v>0</v>
      </c>
      <c r="L48" s="232">
        <f t="shared" si="3"/>
        <v>0</v>
      </c>
      <c r="M48" s="219">
        <f t="shared" si="4"/>
        <v>667890310.36386871</v>
      </c>
      <c r="N48" s="219">
        <f t="shared" si="5"/>
        <v>1006884.1399999999</v>
      </c>
      <c r="O48" s="219">
        <f t="shared" si="6"/>
        <v>567872517.65789998</v>
      </c>
      <c r="P48" s="219">
        <f t="shared" si="7"/>
        <v>1812890091.9499843</v>
      </c>
      <c r="Q48" s="219"/>
      <c r="R48" s="190">
        <v>0</v>
      </c>
      <c r="S48" s="190">
        <v>0</v>
      </c>
      <c r="T48" s="190">
        <v>0</v>
      </c>
      <c r="U48" s="180">
        <v>0</v>
      </c>
      <c r="V48" s="180">
        <v>0</v>
      </c>
      <c r="AG48" s="180">
        <v>171392421.51000053</v>
      </c>
      <c r="AH48" s="192">
        <v>168647758.31386948</v>
      </c>
      <c r="AI48" s="180">
        <v>327850130.53999865</v>
      </c>
      <c r="AK48" s="180">
        <v>1006884.1399999999</v>
      </c>
      <c r="AL48" s="194">
        <v>567872517.65789998</v>
      </c>
      <c r="AO48" s="180"/>
      <c r="AQ48" s="180">
        <v>1812890091.9499843</v>
      </c>
      <c r="AR48" s="178"/>
    </row>
    <row r="49" spans="1:44" hidden="1" x14ac:dyDescent="0.25">
      <c r="A49" t="s">
        <v>547</v>
      </c>
      <c r="B49" t="s">
        <v>526</v>
      </c>
      <c r="C49" t="s">
        <v>552</v>
      </c>
      <c r="D49" t="s">
        <v>553</v>
      </c>
      <c r="H49" t="s">
        <v>377</v>
      </c>
      <c r="I49" s="219">
        <f t="shared" si="0"/>
        <v>0</v>
      </c>
      <c r="J49" s="219">
        <f t="shared" si="1"/>
        <v>0</v>
      </c>
      <c r="K49" s="219">
        <f t="shared" si="2"/>
        <v>0</v>
      </c>
      <c r="L49" s="232">
        <f t="shared" si="3"/>
        <v>0</v>
      </c>
      <c r="M49" s="219">
        <f t="shared" si="4"/>
        <v>689776942.79219866</v>
      </c>
      <c r="N49" s="219">
        <f t="shared" si="5"/>
        <v>0</v>
      </c>
      <c r="O49" s="219">
        <f t="shared" si="6"/>
        <v>534932683.48779994</v>
      </c>
      <c r="P49" s="219">
        <f t="shared" si="7"/>
        <v>0</v>
      </c>
      <c r="Q49" s="219"/>
      <c r="R49" s="190">
        <v>0</v>
      </c>
      <c r="S49" s="190">
        <v>0</v>
      </c>
      <c r="T49" s="190">
        <v>0</v>
      </c>
      <c r="U49" s="180">
        <v>0</v>
      </c>
      <c r="V49" s="180">
        <v>0</v>
      </c>
      <c r="AG49" s="180">
        <v>272076777.15999776</v>
      </c>
      <c r="AH49" s="192">
        <v>325771274.38220084</v>
      </c>
      <c r="AI49" s="180">
        <v>91928891.25</v>
      </c>
      <c r="AK49" s="180">
        <v>0</v>
      </c>
      <c r="AL49" s="194">
        <v>534932683.48779994</v>
      </c>
      <c r="AO49" s="180"/>
      <c r="AQ49" s="180"/>
      <c r="AR49" s="178"/>
    </row>
    <row r="50" spans="1:44" hidden="1" x14ac:dyDescent="0.25">
      <c r="A50" t="s">
        <v>547</v>
      </c>
      <c r="B50" t="s">
        <v>526</v>
      </c>
      <c r="C50" t="s">
        <v>556</v>
      </c>
      <c r="D50" t="s">
        <v>557</v>
      </c>
      <c r="H50" t="s">
        <v>377</v>
      </c>
      <c r="I50" s="219">
        <f t="shared" si="0"/>
        <v>0</v>
      </c>
      <c r="J50" s="219">
        <f t="shared" si="1"/>
        <v>0</v>
      </c>
      <c r="K50" s="219">
        <f t="shared" si="2"/>
        <v>0</v>
      </c>
      <c r="L50" s="232">
        <f t="shared" si="3"/>
        <v>0</v>
      </c>
      <c r="M50" s="219">
        <f t="shared" si="4"/>
        <v>0</v>
      </c>
      <c r="N50" s="219">
        <f t="shared" si="5"/>
        <v>0</v>
      </c>
      <c r="O50" s="219">
        <f t="shared" si="6"/>
        <v>1785014.0099999998</v>
      </c>
      <c r="P50" s="219">
        <f t="shared" si="7"/>
        <v>0</v>
      </c>
      <c r="Q50" s="219"/>
      <c r="R50" s="190">
        <v>0</v>
      </c>
      <c r="S50" s="190">
        <v>0</v>
      </c>
      <c r="T50" s="190">
        <v>0</v>
      </c>
      <c r="U50" s="180">
        <v>0</v>
      </c>
      <c r="V50" s="180">
        <v>0</v>
      </c>
      <c r="AG50" s="180">
        <v>0</v>
      </c>
      <c r="AH50" s="192">
        <v>0</v>
      </c>
      <c r="AI50" s="180"/>
      <c r="AK50" s="180">
        <v>0</v>
      </c>
      <c r="AL50" s="194">
        <v>1785014.0099999998</v>
      </c>
      <c r="AO50" s="180"/>
      <c r="AQ50" s="180"/>
      <c r="AR50" s="178"/>
    </row>
    <row r="51" spans="1:44" hidden="1" x14ac:dyDescent="0.25">
      <c r="A51" t="s">
        <v>549</v>
      </c>
      <c r="B51" t="s">
        <v>526</v>
      </c>
      <c r="C51" t="s">
        <v>556</v>
      </c>
      <c r="D51" t="s">
        <v>558</v>
      </c>
      <c r="H51" t="s">
        <v>377</v>
      </c>
      <c r="I51" s="219">
        <f t="shared" si="0"/>
        <v>0</v>
      </c>
      <c r="J51" s="219">
        <f t="shared" si="1"/>
        <v>0</v>
      </c>
      <c r="K51" s="219">
        <f t="shared" si="2"/>
        <v>0</v>
      </c>
      <c r="L51" s="232">
        <f t="shared" si="3"/>
        <v>0</v>
      </c>
      <c r="M51" s="219">
        <f t="shared" si="4"/>
        <v>802225334.26869702</v>
      </c>
      <c r="N51" s="219">
        <f t="shared" si="5"/>
        <v>0</v>
      </c>
      <c r="O51" s="219">
        <f t="shared" si="6"/>
        <v>607576306.9467001</v>
      </c>
      <c r="P51" s="219">
        <f t="shared" si="7"/>
        <v>0</v>
      </c>
      <c r="Q51" s="219"/>
      <c r="R51" s="190">
        <v>0</v>
      </c>
      <c r="S51" s="190">
        <v>0</v>
      </c>
      <c r="T51" s="190">
        <v>0</v>
      </c>
      <c r="U51" s="180">
        <v>0</v>
      </c>
      <c r="V51" s="180">
        <v>0</v>
      </c>
      <c r="AG51" s="180">
        <v>263014630.07999805</v>
      </c>
      <c r="AH51" s="192">
        <v>381032146.97869897</v>
      </c>
      <c r="AI51" s="180">
        <v>158178557.2100001</v>
      </c>
      <c r="AK51" s="180">
        <v>0</v>
      </c>
      <c r="AL51" s="194">
        <v>607576306.9467001</v>
      </c>
      <c r="AO51" s="180"/>
      <c r="AQ51" s="180"/>
      <c r="AR51" s="178"/>
    </row>
    <row r="52" spans="1:44" hidden="1" x14ac:dyDescent="0.25">
      <c r="A52" t="s">
        <v>546</v>
      </c>
      <c r="B52" t="s">
        <v>526</v>
      </c>
      <c r="C52" t="s">
        <v>556</v>
      </c>
      <c r="D52" t="s">
        <v>558</v>
      </c>
      <c r="H52" t="s">
        <v>377</v>
      </c>
      <c r="I52" s="219">
        <f t="shared" si="0"/>
        <v>0</v>
      </c>
      <c r="J52" s="219">
        <f t="shared" si="1"/>
        <v>0</v>
      </c>
      <c r="K52" s="219">
        <f t="shared" si="2"/>
        <v>0</v>
      </c>
      <c r="L52" s="232">
        <f t="shared" si="3"/>
        <v>0</v>
      </c>
      <c r="M52" s="219">
        <f t="shared" si="4"/>
        <v>797723901.73658943</v>
      </c>
      <c r="N52" s="219">
        <f t="shared" si="5"/>
        <v>0</v>
      </c>
      <c r="O52" s="219">
        <f t="shared" si="6"/>
        <v>489575548.97810006</v>
      </c>
      <c r="P52" s="219">
        <f t="shared" si="7"/>
        <v>0</v>
      </c>
      <c r="Q52" s="219"/>
      <c r="R52" s="190">
        <v>0</v>
      </c>
      <c r="S52" s="190">
        <v>0</v>
      </c>
      <c r="T52" s="190">
        <v>0</v>
      </c>
      <c r="U52" s="180">
        <v>0</v>
      </c>
      <c r="V52" s="180">
        <v>0</v>
      </c>
      <c r="AG52" s="180">
        <v>318947610.75999486</v>
      </c>
      <c r="AH52" s="192">
        <v>413642670.97659457</v>
      </c>
      <c r="AI52" s="180">
        <v>65133619.999999963</v>
      </c>
      <c r="AK52" s="180">
        <v>0</v>
      </c>
      <c r="AL52" s="194">
        <v>489575548.97810006</v>
      </c>
      <c r="AO52" s="180"/>
      <c r="AQ52" s="180"/>
      <c r="AR52" s="178"/>
    </row>
    <row r="53" spans="1:44" hidden="1" x14ac:dyDescent="0.25">
      <c r="A53" t="s">
        <v>539</v>
      </c>
      <c r="B53" t="s">
        <v>526</v>
      </c>
      <c r="C53" t="s">
        <v>552</v>
      </c>
      <c r="D53" t="s">
        <v>554</v>
      </c>
      <c r="H53" t="s">
        <v>377</v>
      </c>
      <c r="I53" s="219">
        <f t="shared" si="0"/>
        <v>0</v>
      </c>
      <c r="J53" s="219">
        <f t="shared" si="1"/>
        <v>0</v>
      </c>
      <c r="K53" s="219">
        <f t="shared" si="2"/>
        <v>0</v>
      </c>
      <c r="L53" s="232">
        <f t="shared" si="3"/>
        <v>0</v>
      </c>
      <c r="M53" s="219">
        <f t="shared" si="4"/>
        <v>655412059.29759574</v>
      </c>
      <c r="N53" s="219">
        <f t="shared" si="5"/>
        <v>0</v>
      </c>
      <c r="O53" s="219">
        <f t="shared" si="6"/>
        <v>371177128.75099981</v>
      </c>
      <c r="P53" s="219">
        <f t="shared" si="7"/>
        <v>0</v>
      </c>
      <c r="Q53" s="219"/>
      <c r="R53" s="190">
        <v>0</v>
      </c>
      <c r="S53" s="190">
        <v>0</v>
      </c>
      <c r="T53" s="190">
        <v>0</v>
      </c>
      <c r="U53" s="180">
        <v>0</v>
      </c>
      <c r="V53" s="180">
        <v>0</v>
      </c>
      <c r="AG53" s="180">
        <v>243106637.13999912</v>
      </c>
      <c r="AH53" s="192">
        <v>349866227.91759664</v>
      </c>
      <c r="AI53" s="180">
        <v>62439194.240000017</v>
      </c>
      <c r="AK53" s="180">
        <v>0</v>
      </c>
      <c r="AL53" s="194">
        <v>371177128.75099981</v>
      </c>
      <c r="AO53" s="180"/>
      <c r="AQ53" s="180"/>
      <c r="AR53" s="178"/>
    </row>
    <row r="54" spans="1:44" hidden="1" x14ac:dyDescent="0.25">
      <c r="A54" t="s">
        <v>541</v>
      </c>
      <c r="B54" t="s">
        <v>526</v>
      </c>
      <c r="C54" t="s">
        <v>552</v>
      </c>
      <c r="D54" t="s">
        <v>554</v>
      </c>
      <c r="H54" t="s">
        <v>377</v>
      </c>
      <c r="I54" s="219">
        <f t="shared" si="0"/>
        <v>0</v>
      </c>
      <c r="J54" s="219">
        <f t="shared" si="1"/>
        <v>0</v>
      </c>
      <c r="K54" s="219">
        <f t="shared" si="2"/>
        <v>0</v>
      </c>
      <c r="L54" s="232">
        <f t="shared" si="3"/>
        <v>0</v>
      </c>
      <c r="M54" s="219">
        <f t="shared" si="4"/>
        <v>658081627.3988291</v>
      </c>
      <c r="N54" s="219">
        <f t="shared" si="5"/>
        <v>0</v>
      </c>
      <c r="O54" s="219">
        <f t="shared" si="6"/>
        <v>340990386.10000014</v>
      </c>
      <c r="P54" s="219">
        <f t="shared" si="7"/>
        <v>0</v>
      </c>
      <c r="Q54" s="219"/>
      <c r="R54" s="190">
        <v>0</v>
      </c>
      <c r="S54" s="190">
        <v>0</v>
      </c>
      <c r="T54" s="190">
        <v>0</v>
      </c>
      <c r="U54" s="180">
        <v>0</v>
      </c>
      <c r="V54" s="180">
        <v>0</v>
      </c>
      <c r="AG54" s="180">
        <v>198526735.4500002</v>
      </c>
      <c r="AH54" s="192">
        <v>420186509.03882891</v>
      </c>
      <c r="AI54" s="180">
        <v>39368382.909999989</v>
      </c>
      <c r="AK54" s="180">
        <v>0</v>
      </c>
      <c r="AL54" s="194">
        <v>340990386.10000014</v>
      </c>
      <c r="AO54" s="180"/>
      <c r="AP54" s="180"/>
      <c r="AQ54" s="180"/>
      <c r="AR54" s="178"/>
    </row>
    <row r="55" spans="1:44" hidden="1" x14ac:dyDescent="0.25">
      <c r="A55" t="s">
        <v>346</v>
      </c>
      <c r="B55" t="s">
        <v>526</v>
      </c>
      <c r="C55" t="s">
        <v>556</v>
      </c>
      <c r="D55" t="s">
        <v>557</v>
      </c>
      <c r="H55" t="s">
        <v>377</v>
      </c>
      <c r="I55" s="219">
        <f t="shared" si="0"/>
        <v>0</v>
      </c>
      <c r="J55" s="219">
        <f t="shared" si="1"/>
        <v>0</v>
      </c>
      <c r="K55" s="219">
        <f t="shared" si="2"/>
        <v>0</v>
      </c>
      <c r="L55" s="232">
        <f t="shared" si="3"/>
        <v>0</v>
      </c>
      <c r="M55" s="219">
        <f t="shared" si="4"/>
        <v>1348240045.9498818</v>
      </c>
      <c r="N55" s="219">
        <f t="shared" si="5"/>
        <v>0</v>
      </c>
      <c r="O55" s="219">
        <f t="shared" si="6"/>
        <v>1256610687.3800988</v>
      </c>
      <c r="P55" s="219">
        <f t="shared" si="7"/>
        <v>0</v>
      </c>
      <c r="Q55" s="219"/>
      <c r="R55" s="190">
        <v>0</v>
      </c>
      <c r="S55" s="190">
        <v>0</v>
      </c>
      <c r="T55" s="190">
        <v>0</v>
      </c>
      <c r="U55" s="180">
        <v>0</v>
      </c>
      <c r="V55" s="180">
        <v>0</v>
      </c>
      <c r="AG55" s="180">
        <v>1125179209.9998896</v>
      </c>
      <c r="AH55" s="192">
        <v>0</v>
      </c>
      <c r="AI55" s="180">
        <v>223060835.94999215</v>
      </c>
      <c r="AK55" s="180">
        <v>0</v>
      </c>
      <c r="AL55" s="194">
        <v>1256610687.3800988</v>
      </c>
      <c r="AO55" s="180"/>
      <c r="AQ55" s="180"/>
      <c r="AR55" s="178"/>
    </row>
    <row r="56" spans="1:44" hidden="1" x14ac:dyDescent="0.25">
      <c r="A56" t="s">
        <v>531</v>
      </c>
      <c r="B56" t="s">
        <v>526</v>
      </c>
      <c r="C56" t="s">
        <v>552</v>
      </c>
      <c r="D56" t="s">
        <v>559</v>
      </c>
      <c r="H56" t="s">
        <v>377</v>
      </c>
      <c r="I56" s="219">
        <f t="shared" si="0"/>
        <v>0</v>
      </c>
      <c r="J56" s="219">
        <f t="shared" si="1"/>
        <v>0</v>
      </c>
      <c r="K56" s="219">
        <f t="shared" si="2"/>
        <v>0</v>
      </c>
      <c r="L56" s="232">
        <f t="shared" si="3"/>
        <v>0</v>
      </c>
      <c r="M56" s="219">
        <f t="shared" si="4"/>
        <v>1052771590.1537045</v>
      </c>
      <c r="N56" s="219">
        <f t="shared" si="5"/>
        <v>0</v>
      </c>
      <c r="O56" s="219">
        <f t="shared" si="6"/>
        <v>638591919.81389999</v>
      </c>
      <c r="P56" s="219">
        <f t="shared" si="7"/>
        <v>0</v>
      </c>
      <c r="Q56" s="219"/>
      <c r="R56" s="190">
        <v>0</v>
      </c>
      <c r="S56" s="190">
        <v>0</v>
      </c>
      <c r="T56" s="190">
        <v>0</v>
      </c>
      <c r="U56" s="180">
        <v>0</v>
      </c>
      <c r="V56" s="180">
        <v>0</v>
      </c>
      <c r="AG56" s="180">
        <v>371076146.47998959</v>
      </c>
      <c r="AH56" s="192">
        <v>482310646.0837146</v>
      </c>
      <c r="AI56" s="180">
        <v>199384797.59000024</v>
      </c>
      <c r="AK56" s="180">
        <v>0</v>
      </c>
      <c r="AL56" s="194">
        <v>638591919.81389999</v>
      </c>
      <c r="AO56" s="180"/>
      <c r="AQ56" s="180"/>
      <c r="AR56" s="178"/>
    </row>
    <row r="57" spans="1:44" x14ac:dyDescent="0.25">
      <c r="A57" t="s">
        <v>545</v>
      </c>
      <c r="B57" t="s">
        <v>526</v>
      </c>
      <c r="C57" t="s">
        <v>552</v>
      </c>
      <c r="D57" t="s">
        <v>559</v>
      </c>
      <c r="H57" t="s">
        <v>377</v>
      </c>
      <c r="I57" s="219">
        <f t="shared" si="0"/>
        <v>0</v>
      </c>
      <c r="J57" s="219">
        <f t="shared" si="1"/>
        <v>0</v>
      </c>
      <c r="K57" s="219">
        <f t="shared" si="2"/>
        <v>0</v>
      </c>
      <c r="L57" s="232">
        <f t="shared" si="3"/>
        <v>0</v>
      </c>
      <c r="M57" s="219">
        <f t="shared" si="4"/>
        <v>1510694794.0663226</v>
      </c>
      <c r="N57" s="219">
        <f t="shared" si="5"/>
        <v>0</v>
      </c>
      <c r="O57" s="219">
        <f t="shared" si="6"/>
        <v>970857482.53520048</v>
      </c>
      <c r="P57" s="219">
        <f t="shared" si="7"/>
        <v>0</v>
      </c>
      <c r="Q57" s="219"/>
      <c r="R57" s="190">
        <v>0</v>
      </c>
      <c r="S57" s="190">
        <v>0</v>
      </c>
      <c r="T57" s="190">
        <v>0</v>
      </c>
      <c r="U57" s="180">
        <v>0</v>
      </c>
      <c r="V57" s="180">
        <v>0</v>
      </c>
      <c r="AG57" s="194">
        <v>657559626.91997981</v>
      </c>
      <c r="AH57" s="197">
        <v>578638019.38634253</v>
      </c>
      <c r="AI57" s="194">
        <v>274497147.76000029</v>
      </c>
      <c r="AJ57" s="194">
        <v>110649503.47999999</v>
      </c>
      <c r="AK57" s="180">
        <v>0</v>
      </c>
      <c r="AL57" s="194">
        <v>970857482.53520048</v>
      </c>
      <c r="AO57" s="180"/>
      <c r="AQ57" s="180"/>
      <c r="AR57" s="178"/>
    </row>
    <row r="58" spans="1:44" hidden="1" x14ac:dyDescent="0.25">
      <c r="A58" t="s">
        <v>551</v>
      </c>
      <c r="B58" t="s">
        <v>526</v>
      </c>
      <c r="C58" t="s">
        <v>552</v>
      </c>
      <c r="D58" t="s">
        <v>555</v>
      </c>
      <c r="H58" t="s">
        <v>377</v>
      </c>
      <c r="I58" s="219">
        <f t="shared" si="0"/>
        <v>0</v>
      </c>
      <c r="J58" s="219">
        <f t="shared" si="1"/>
        <v>0</v>
      </c>
      <c r="K58" s="219">
        <f t="shared" si="2"/>
        <v>0</v>
      </c>
      <c r="L58" s="232">
        <f t="shared" si="3"/>
        <v>0</v>
      </c>
      <c r="M58" s="219">
        <f t="shared" si="4"/>
        <v>1516920046.1571732</v>
      </c>
      <c r="N58" s="219">
        <f t="shared" si="5"/>
        <v>27130505.840957616</v>
      </c>
      <c r="O58" s="219">
        <f t="shared" si="6"/>
        <v>1097746765.7857997</v>
      </c>
      <c r="P58" s="219">
        <f t="shared" si="7"/>
        <v>0</v>
      </c>
      <c r="Q58" s="219"/>
      <c r="R58" s="190">
        <v>0</v>
      </c>
      <c r="S58" s="190">
        <v>0</v>
      </c>
      <c r="T58" s="190">
        <v>0</v>
      </c>
      <c r="U58" s="180">
        <v>0</v>
      </c>
      <c r="V58" s="180">
        <v>0</v>
      </c>
      <c r="AG58" s="194">
        <v>512599553.58997375</v>
      </c>
      <c r="AH58" s="197">
        <v>574209887.24720383</v>
      </c>
      <c r="AI58" s="194">
        <v>430110605.31999576</v>
      </c>
      <c r="AJ58" s="194">
        <v>87805182.109999955</v>
      </c>
      <c r="AK58" s="180">
        <v>27130505.840957616</v>
      </c>
      <c r="AL58" s="194">
        <v>1097746765.7857997</v>
      </c>
      <c r="AO58" s="180"/>
      <c r="AQ58" s="180"/>
      <c r="AR58" s="178"/>
    </row>
    <row r="59" spans="1:44" hidden="1" x14ac:dyDescent="0.25">
      <c r="A59" t="s">
        <v>543</v>
      </c>
      <c r="B59" t="s">
        <v>526</v>
      </c>
      <c r="C59" t="s">
        <v>556</v>
      </c>
      <c r="D59" t="s">
        <v>560</v>
      </c>
      <c r="H59" t="s">
        <v>377</v>
      </c>
      <c r="I59" s="219">
        <f t="shared" si="0"/>
        <v>0</v>
      </c>
      <c r="J59" s="219">
        <f t="shared" si="1"/>
        <v>0</v>
      </c>
      <c r="K59" s="219">
        <f t="shared" si="2"/>
        <v>0</v>
      </c>
      <c r="L59" s="232">
        <f t="shared" si="3"/>
        <v>0</v>
      </c>
      <c r="M59" s="219">
        <f t="shared" si="4"/>
        <v>1047083677.2343158</v>
      </c>
      <c r="N59" s="219">
        <f t="shared" si="5"/>
        <v>0</v>
      </c>
      <c r="O59" s="219">
        <f t="shared" si="6"/>
        <v>561781057.31280017</v>
      </c>
      <c r="P59" s="219">
        <f t="shared" si="7"/>
        <v>7861104101.8997154</v>
      </c>
      <c r="Q59" s="219"/>
      <c r="R59" s="190">
        <v>0</v>
      </c>
      <c r="S59" s="190">
        <v>0</v>
      </c>
      <c r="T59" s="190">
        <v>0</v>
      </c>
      <c r="U59" s="180">
        <v>0</v>
      </c>
      <c r="V59" s="180">
        <v>0</v>
      </c>
      <c r="AH59" s="192">
        <v>713715427.75432146</v>
      </c>
      <c r="AI59" s="180">
        <v>333368249.4799943</v>
      </c>
      <c r="AK59" s="180">
        <v>0</v>
      </c>
      <c r="AL59" s="194">
        <v>561781057.31280017</v>
      </c>
      <c r="AO59" s="180"/>
      <c r="AP59" s="180">
        <v>6719346137.1697178</v>
      </c>
      <c r="AQ59" s="180">
        <v>1141757964.7299979</v>
      </c>
      <c r="AR59" s="178"/>
    </row>
    <row r="60" spans="1:44" hidden="1" x14ac:dyDescent="0.25">
      <c r="A60" t="s">
        <v>346</v>
      </c>
      <c r="B60" t="s">
        <v>526</v>
      </c>
      <c r="C60" t="s">
        <v>556</v>
      </c>
      <c r="D60" t="s">
        <v>560</v>
      </c>
      <c r="H60" t="s">
        <v>377</v>
      </c>
      <c r="I60" s="219">
        <f t="shared" si="0"/>
        <v>0</v>
      </c>
      <c r="J60" s="219">
        <f t="shared" si="1"/>
        <v>0</v>
      </c>
      <c r="K60" s="219">
        <f t="shared" si="2"/>
        <v>0</v>
      </c>
      <c r="L60" s="232">
        <f t="shared" si="3"/>
        <v>0</v>
      </c>
      <c r="M60" s="219">
        <f t="shared" si="4"/>
        <v>1198289819.5309277</v>
      </c>
      <c r="N60" s="219">
        <f t="shared" si="5"/>
        <v>0</v>
      </c>
      <c r="O60" s="219">
        <f t="shared" si="6"/>
        <v>705518663.33519995</v>
      </c>
      <c r="P60" s="219">
        <f t="shared" si="7"/>
        <v>0</v>
      </c>
      <c r="Q60" s="219"/>
      <c r="R60" s="190">
        <v>0</v>
      </c>
      <c r="S60" s="190">
        <v>0</v>
      </c>
      <c r="T60" s="190">
        <v>0</v>
      </c>
      <c r="U60" s="180">
        <v>0</v>
      </c>
      <c r="V60" s="180">
        <v>0</v>
      </c>
      <c r="AH60" s="192">
        <v>681205009.59095716</v>
      </c>
      <c r="AI60" s="180">
        <v>517084809.93997043</v>
      </c>
      <c r="AK60" s="180">
        <v>0</v>
      </c>
      <c r="AL60" s="194">
        <v>705518663.33519995</v>
      </c>
      <c r="AO60" s="180"/>
      <c r="AP60" s="200"/>
      <c r="AQ60" s="180"/>
      <c r="AR60" s="178"/>
    </row>
    <row r="61" spans="1:44" x14ac:dyDescent="0.25">
      <c r="A61" t="s">
        <v>545</v>
      </c>
      <c r="B61" t="s">
        <v>526</v>
      </c>
      <c r="C61" t="s">
        <v>552</v>
      </c>
      <c r="D61" t="s">
        <v>555</v>
      </c>
      <c r="H61" t="s">
        <v>377</v>
      </c>
      <c r="I61" s="219">
        <f t="shared" si="0"/>
        <v>0</v>
      </c>
      <c r="J61" s="219">
        <f t="shared" si="1"/>
        <v>0</v>
      </c>
      <c r="K61" s="219">
        <f t="shared" si="2"/>
        <v>0</v>
      </c>
      <c r="L61" s="232">
        <f t="shared" si="3"/>
        <v>0</v>
      </c>
      <c r="M61" s="219">
        <f t="shared" si="4"/>
        <v>38543446.49000001</v>
      </c>
      <c r="N61" s="219">
        <f t="shared" si="5"/>
        <v>0</v>
      </c>
      <c r="O61" s="219">
        <f t="shared" si="6"/>
        <v>0</v>
      </c>
      <c r="P61" s="219">
        <f t="shared" si="7"/>
        <v>0</v>
      </c>
      <c r="Q61" s="219"/>
      <c r="R61" s="195">
        <v>0</v>
      </c>
      <c r="S61" s="195">
        <v>0</v>
      </c>
      <c r="T61" s="195">
        <v>0</v>
      </c>
      <c r="U61" s="194">
        <v>0</v>
      </c>
      <c r="V61" s="194">
        <v>0</v>
      </c>
      <c r="AH61" s="197">
        <v>19555880.780000001</v>
      </c>
      <c r="AI61" s="194">
        <v>18987565.710000012</v>
      </c>
      <c r="AK61" s="194">
        <v>0</v>
      </c>
      <c r="AL61" s="194">
        <v>0</v>
      </c>
      <c r="AO61" s="194"/>
      <c r="AQ61" s="194"/>
      <c r="AR61" s="178"/>
    </row>
    <row r="62" spans="1:44" hidden="1" x14ac:dyDescent="0.25">
      <c r="A62" t="s">
        <v>346</v>
      </c>
      <c r="B62" t="s">
        <v>526</v>
      </c>
      <c r="C62" t="s">
        <v>556</v>
      </c>
      <c r="D62" t="s">
        <v>558</v>
      </c>
      <c r="H62" t="s">
        <v>377</v>
      </c>
      <c r="I62" s="219">
        <f t="shared" si="0"/>
        <v>0</v>
      </c>
      <c r="J62" s="219">
        <f t="shared" si="1"/>
        <v>0</v>
      </c>
      <c r="K62" s="219">
        <f t="shared" si="2"/>
        <v>0</v>
      </c>
      <c r="L62" s="232">
        <f t="shared" si="3"/>
        <v>0</v>
      </c>
      <c r="M62" s="219">
        <f t="shared" si="4"/>
        <v>1069481198.1399873</v>
      </c>
      <c r="N62" s="219">
        <f t="shared" si="5"/>
        <v>2013768.2799999998</v>
      </c>
      <c r="O62" s="219">
        <f t="shared" si="6"/>
        <v>886176641.00030017</v>
      </c>
      <c r="P62" s="219">
        <f t="shared" si="7"/>
        <v>0</v>
      </c>
      <c r="Q62" s="219"/>
      <c r="R62" s="190">
        <v>0</v>
      </c>
      <c r="S62" s="190">
        <v>0</v>
      </c>
      <c r="T62" s="190">
        <v>0</v>
      </c>
      <c r="U62" s="180">
        <v>0</v>
      </c>
      <c r="V62" s="180">
        <v>0</v>
      </c>
      <c r="AH62">
        <v>0</v>
      </c>
      <c r="AI62" s="180">
        <v>1069481198.1399873</v>
      </c>
      <c r="AK62" s="180">
        <v>2013768.2799999998</v>
      </c>
      <c r="AL62" s="194">
        <v>886176641.00030017</v>
      </c>
      <c r="AO62" s="180"/>
      <c r="AQ62" s="180"/>
      <c r="AR62" s="178"/>
    </row>
    <row r="63" spans="1:44" hidden="1" x14ac:dyDescent="0.25">
      <c r="A63" t="s">
        <v>533</v>
      </c>
      <c r="B63" t="s">
        <v>526</v>
      </c>
      <c r="C63" t="s">
        <v>552</v>
      </c>
      <c r="D63" t="s">
        <v>559</v>
      </c>
      <c r="I63" s="219">
        <f t="shared" si="0"/>
        <v>0</v>
      </c>
      <c r="J63" s="219">
        <f t="shared" si="1"/>
        <v>0</v>
      </c>
      <c r="K63" s="219">
        <f t="shared" si="2"/>
        <v>0</v>
      </c>
      <c r="L63" s="232">
        <f t="shared" si="3"/>
        <v>0</v>
      </c>
      <c r="M63" s="219">
        <f t="shared" si="4"/>
        <v>0</v>
      </c>
      <c r="N63" s="219">
        <f t="shared" si="5"/>
        <v>0</v>
      </c>
      <c r="O63" s="219">
        <f t="shared" si="6"/>
        <v>0</v>
      </c>
      <c r="P63" s="219">
        <f t="shared" si="7"/>
        <v>0</v>
      </c>
      <c r="Q63" s="219"/>
      <c r="R63" s="190">
        <v>0</v>
      </c>
      <c r="S63" s="190">
        <v>0</v>
      </c>
      <c r="T63" s="190">
        <v>0</v>
      </c>
      <c r="U63" s="180">
        <v>0</v>
      </c>
      <c r="V63" s="180">
        <v>0</v>
      </c>
      <c r="AH63">
        <v>0</v>
      </c>
      <c r="AK63" s="180">
        <v>0</v>
      </c>
      <c r="AL63" s="194">
        <v>0</v>
      </c>
      <c r="AO63" s="180"/>
      <c r="AQ63" s="180"/>
      <c r="AR63" s="178"/>
    </row>
    <row r="64" spans="1:44" hidden="1" x14ac:dyDescent="0.25">
      <c r="A64" t="s">
        <v>534</v>
      </c>
      <c r="B64" t="s">
        <v>526</v>
      </c>
      <c r="C64" t="s">
        <v>527</v>
      </c>
      <c r="D64" t="s">
        <v>528</v>
      </c>
      <c r="I64" s="219">
        <f t="shared" si="0"/>
        <v>16316055.810000001</v>
      </c>
      <c r="J64" s="219">
        <f t="shared" si="1"/>
        <v>0</v>
      </c>
      <c r="K64" s="219">
        <f t="shared" si="2"/>
        <v>0</v>
      </c>
      <c r="L64" s="232">
        <f t="shared" si="3"/>
        <v>0</v>
      </c>
      <c r="M64" s="219">
        <f t="shared" si="4"/>
        <v>0</v>
      </c>
      <c r="N64" s="219">
        <f t="shared" si="5"/>
        <v>0</v>
      </c>
      <c r="O64" s="219">
        <f t="shared" si="6"/>
        <v>0</v>
      </c>
      <c r="P64" s="219">
        <f t="shared" si="7"/>
        <v>0</v>
      </c>
      <c r="Q64" s="219"/>
      <c r="R64" s="190">
        <v>0</v>
      </c>
      <c r="S64" s="190">
        <v>0</v>
      </c>
      <c r="T64" s="190">
        <v>0</v>
      </c>
      <c r="U64" s="180">
        <v>0</v>
      </c>
      <c r="V64" s="180">
        <v>16316055.810000001</v>
      </c>
      <c r="AH64">
        <v>0</v>
      </c>
      <c r="AJ64" s="194">
        <v>7677667.8400000026</v>
      </c>
      <c r="AK64" s="180">
        <v>0</v>
      </c>
      <c r="AL64" s="194">
        <v>0</v>
      </c>
      <c r="AO64" s="180"/>
      <c r="AQ64" s="180"/>
      <c r="AR64" s="178"/>
    </row>
    <row r="65" spans="1:44" hidden="1" x14ac:dyDescent="0.25">
      <c r="A65" t="s">
        <v>551</v>
      </c>
      <c r="B65" t="s">
        <v>526</v>
      </c>
      <c r="C65" t="s">
        <v>527</v>
      </c>
      <c r="D65" t="s">
        <v>528</v>
      </c>
      <c r="I65" s="219">
        <f t="shared" si="0"/>
        <v>27312790.859999999</v>
      </c>
      <c r="J65" s="219">
        <f t="shared" si="1"/>
        <v>0</v>
      </c>
      <c r="K65" s="219">
        <f t="shared" si="2"/>
        <v>0</v>
      </c>
      <c r="L65" s="232">
        <f t="shared" si="3"/>
        <v>0</v>
      </c>
      <c r="M65" s="219">
        <f t="shared" si="4"/>
        <v>0</v>
      </c>
      <c r="N65" s="219">
        <f t="shared" si="5"/>
        <v>0</v>
      </c>
      <c r="O65" s="219">
        <f t="shared" si="6"/>
        <v>0</v>
      </c>
      <c r="P65" s="219">
        <f t="shared" si="7"/>
        <v>0</v>
      </c>
      <c r="Q65" s="219"/>
      <c r="R65" s="190">
        <v>0</v>
      </c>
      <c r="S65" s="190">
        <v>0</v>
      </c>
      <c r="T65" s="190">
        <v>0</v>
      </c>
      <c r="U65" s="180">
        <v>0</v>
      </c>
      <c r="V65" s="180">
        <v>27312790.859999999</v>
      </c>
      <c r="AH65">
        <v>0</v>
      </c>
      <c r="AK65" s="180">
        <v>0</v>
      </c>
      <c r="AL65" s="194">
        <v>0</v>
      </c>
      <c r="AO65" s="180"/>
      <c r="AQ65" s="180"/>
      <c r="AR65" s="178"/>
    </row>
    <row r="66" spans="1:44" hidden="1" x14ac:dyDescent="0.25">
      <c r="A66" t="s">
        <v>547</v>
      </c>
      <c r="B66" t="s">
        <v>526</v>
      </c>
      <c r="C66" t="s">
        <v>529</v>
      </c>
      <c r="D66" t="s">
        <v>544</v>
      </c>
      <c r="E66" t="s">
        <v>351</v>
      </c>
      <c r="I66" s="219">
        <f t="shared" si="0"/>
        <v>0</v>
      </c>
      <c r="J66" s="219">
        <f t="shared" si="1"/>
        <v>1456400.8099999996</v>
      </c>
      <c r="K66" s="219">
        <f t="shared" si="2"/>
        <v>0</v>
      </c>
      <c r="L66" s="232">
        <f t="shared" si="3"/>
        <v>0</v>
      </c>
      <c r="M66" s="219">
        <f t="shared" si="4"/>
        <v>0</v>
      </c>
      <c r="N66" s="219">
        <f t="shared" si="5"/>
        <v>0</v>
      </c>
      <c r="O66" s="219">
        <f t="shared" si="6"/>
        <v>0</v>
      </c>
      <c r="P66" s="219">
        <f t="shared" si="7"/>
        <v>0</v>
      </c>
      <c r="Q66" s="219"/>
      <c r="R66" s="179">
        <v>0</v>
      </c>
      <c r="S66" s="179">
        <v>0</v>
      </c>
      <c r="T66" s="179">
        <v>0</v>
      </c>
      <c r="U66" s="179">
        <v>1456400.8099999996</v>
      </c>
      <c r="V66" s="179">
        <v>0</v>
      </c>
      <c r="X66"/>
      <c r="AF66"/>
      <c r="AH66">
        <v>0</v>
      </c>
      <c r="AJ66" s="270"/>
      <c r="AK66" s="179">
        <v>0</v>
      </c>
      <c r="AL66" s="194">
        <v>0</v>
      </c>
      <c r="AO66" s="179"/>
      <c r="AQ66" s="179"/>
      <c r="AR66" s="178"/>
    </row>
    <row r="67" spans="1:44" s="201" customFormat="1" hidden="1" x14ac:dyDescent="0.25">
      <c r="A67" s="201" t="s">
        <v>533</v>
      </c>
      <c r="B67" s="201" t="s">
        <v>526</v>
      </c>
      <c r="C67" s="201" t="s">
        <v>552</v>
      </c>
      <c r="D67" s="201" t="s">
        <v>555</v>
      </c>
      <c r="H67" t="s">
        <v>377</v>
      </c>
      <c r="I67" s="219">
        <f t="shared" si="0"/>
        <v>0</v>
      </c>
      <c r="J67" s="219">
        <f t="shared" si="1"/>
        <v>0</v>
      </c>
      <c r="K67" s="219">
        <f t="shared" si="2"/>
        <v>0</v>
      </c>
      <c r="L67" s="232">
        <f t="shared" si="3"/>
        <v>0</v>
      </c>
      <c r="M67" s="219">
        <f t="shared" si="4"/>
        <v>0</v>
      </c>
      <c r="N67" s="219">
        <f t="shared" si="5"/>
        <v>0</v>
      </c>
      <c r="O67" s="219">
        <f t="shared" si="6"/>
        <v>668377808.25270033</v>
      </c>
      <c r="P67" s="219">
        <f t="shared" si="7"/>
        <v>0</v>
      </c>
      <c r="Q67" s="219"/>
      <c r="R67" s="203"/>
      <c r="X67" s="203"/>
      <c r="Z67" s="202"/>
      <c r="AA67" s="202"/>
      <c r="AB67" s="202"/>
      <c r="AC67" s="202"/>
      <c r="AD67" s="202"/>
      <c r="AE67" s="202"/>
      <c r="AF67" s="271"/>
      <c r="AJ67" s="204"/>
      <c r="AL67" s="194">
        <v>668377808.25270033</v>
      </c>
    </row>
    <row r="68" spans="1:44" hidden="1" x14ac:dyDescent="0.25">
      <c r="I68" s="219">
        <f t="shared" si="0"/>
        <v>0</v>
      </c>
      <c r="J68" s="219">
        <f t="shared" si="1"/>
        <v>0</v>
      </c>
      <c r="K68" s="219">
        <f t="shared" si="2"/>
        <v>0</v>
      </c>
      <c r="L68" s="232">
        <f t="shared" si="3"/>
        <v>0</v>
      </c>
      <c r="M68" s="219">
        <f t="shared" si="4"/>
        <v>0</v>
      </c>
      <c r="N68" s="219">
        <f t="shared" si="5"/>
        <v>0</v>
      </c>
      <c r="O68" s="219">
        <f t="shared" si="6"/>
        <v>0</v>
      </c>
      <c r="P68" s="219">
        <f t="shared" si="7"/>
        <v>0</v>
      </c>
      <c r="Q68" s="219"/>
      <c r="Z68" s="180"/>
      <c r="AA68" s="180"/>
      <c r="AB68" s="180"/>
      <c r="AC68" s="180"/>
      <c r="AD68" s="180"/>
      <c r="AE68" s="180"/>
      <c r="AF68" s="269"/>
    </row>
    <row r="69" spans="1:44" hidden="1" x14ac:dyDescent="0.25">
      <c r="I69" s="219">
        <f t="shared" ref="I69:I118" si="8">SUM(R69:S69,V69:W69)</f>
        <v>0</v>
      </c>
      <c r="J69" s="219">
        <f t="shared" ref="J69:J118" si="9">SUM(T69:U69,X69:Z69)</f>
        <v>0</v>
      </c>
      <c r="K69" s="219">
        <f t="shared" ref="K69:K118" si="10">AA69</f>
        <v>0</v>
      </c>
      <c r="L69" s="232">
        <f t="shared" ref="L69:L118" si="11">SUM(AB69:AF69)</f>
        <v>0</v>
      </c>
      <c r="M69" s="219">
        <f t="shared" ref="M69:M118" si="12">SUM(AG69:AI69)</f>
        <v>0</v>
      </c>
      <c r="N69" s="219">
        <f t="shared" ref="N69:N118" si="13">AK69</f>
        <v>0</v>
      </c>
      <c r="O69" s="219">
        <f t="shared" ref="O69:O118" si="14">AL69</f>
        <v>0</v>
      </c>
      <c r="P69" s="219">
        <f t="shared" ref="P69:P118" si="15">SUM(AO69:AQ69)</f>
        <v>0</v>
      </c>
      <c r="Q69" s="219"/>
    </row>
    <row r="70" spans="1:44" hidden="1" x14ac:dyDescent="0.25">
      <c r="I70" s="219">
        <f t="shared" si="8"/>
        <v>0</v>
      </c>
      <c r="J70" s="219">
        <f t="shared" si="9"/>
        <v>0</v>
      </c>
      <c r="K70" s="219">
        <f t="shared" si="10"/>
        <v>0</v>
      </c>
      <c r="L70" s="232">
        <f t="shared" si="11"/>
        <v>0</v>
      </c>
      <c r="M70" s="219">
        <f t="shared" si="12"/>
        <v>0</v>
      </c>
      <c r="N70" s="219">
        <f t="shared" si="13"/>
        <v>0</v>
      </c>
      <c r="O70" s="219">
        <f t="shared" si="14"/>
        <v>0</v>
      </c>
      <c r="P70" s="219">
        <f t="shared" si="15"/>
        <v>0</v>
      </c>
      <c r="Q70" s="219"/>
    </row>
    <row r="71" spans="1:44" hidden="1" x14ac:dyDescent="0.25">
      <c r="I71" s="219">
        <f t="shared" si="8"/>
        <v>0</v>
      </c>
      <c r="J71" s="219">
        <f t="shared" si="9"/>
        <v>0</v>
      </c>
      <c r="K71" s="219">
        <f t="shared" si="10"/>
        <v>0</v>
      </c>
      <c r="L71" s="232">
        <f t="shared" si="11"/>
        <v>0</v>
      </c>
      <c r="M71" s="219">
        <f t="shared" si="12"/>
        <v>0</v>
      </c>
      <c r="N71" s="219">
        <f t="shared" si="13"/>
        <v>0</v>
      </c>
      <c r="O71" s="219">
        <f t="shared" si="14"/>
        <v>0</v>
      </c>
      <c r="P71" s="219">
        <f t="shared" si="15"/>
        <v>0</v>
      </c>
      <c r="Q71" s="219"/>
    </row>
    <row r="72" spans="1:44" hidden="1" x14ac:dyDescent="0.25">
      <c r="I72" s="219">
        <f t="shared" si="8"/>
        <v>0</v>
      </c>
      <c r="J72" s="219">
        <f t="shared" si="9"/>
        <v>0</v>
      </c>
      <c r="K72" s="219">
        <f t="shared" si="10"/>
        <v>0</v>
      </c>
      <c r="L72" s="232">
        <f t="shared" si="11"/>
        <v>0</v>
      </c>
      <c r="M72" s="219">
        <f t="shared" si="12"/>
        <v>0</v>
      </c>
      <c r="N72" s="219">
        <f t="shared" si="13"/>
        <v>0</v>
      </c>
      <c r="O72" s="219">
        <f t="shared" si="14"/>
        <v>0</v>
      </c>
      <c r="P72" s="219">
        <f t="shared" si="15"/>
        <v>0</v>
      </c>
      <c r="Q72" s="219"/>
    </row>
    <row r="73" spans="1:44" hidden="1" x14ac:dyDescent="0.25">
      <c r="I73" s="219">
        <f t="shared" si="8"/>
        <v>0</v>
      </c>
      <c r="J73" s="219">
        <f t="shared" si="9"/>
        <v>0</v>
      </c>
      <c r="K73" s="219">
        <f t="shared" si="10"/>
        <v>0</v>
      </c>
      <c r="L73" s="232">
        <f t="shared" si="11"/>
        <v>0</v>
      </c>
      <c r="M73" s="219">
        <f t="shared" si="12"/>
        <v>0</v>
      </c>
      <c r="N73" s="219">
        <f t="shared" si="13"/>
        <v>0</v>
      </c>
      <c r="O73" s="219">
        <f t="shared" si="14"/>
        <v>0</v>
      </c>
      <c r="P73" s="219">
        <f t="shared" si="15"/>
        <v>0</v>
      </c>
      <c r="Q73" s="219"/>
    </row>
    <row r="74" spans="1:44" hidden="1" x14ac:dyDescent="0.25">
      <c r="I74" s="219">
        <f t="shared" si="8"/>
        <v>0</v>
      </c>
      <c r="J74" s="219">
        <f t="shared" si="9"/>
        <v>0</v>
      </c>
      <c r="K74" s="219">
        <f t="shared" si="10"/>
        <v>0</v>
      </c>
      <c r="L74" s="232">
        <f t="shared" si="11"/>
        <v>0</v>
      </c>
      <c r="M74" s="219">
        <f t="shared" si="12"/>
        <v>0</v>
      </c>
      <c r="N74" s="219">
        <f t="shared" si="13"/>
        <v>0</v>
      </c>
      <c r="O74" s="219">
        <f t="shared" si="14"/>
        <v>0</v>
      </c>
      <c r="P74" s="219">
        <f t="shared" si="15"/>
        <v>0</v>
      </c>
      <c r="Q74" s="219"/>
    </row>
    <row r="75" spans="1:44" hidden="1" x14ac:dyDescent="0.25">
      <c r="I75" s="219">
        <f t="shared" si="8"/>
        <v>0</v>
      </c>
      <c r="J75" s="219">
        <f t="shared" si="9"/>
        <v>0</v>
      </c>
      <c r="K75" s="219">
        <f t="shared" si="10"/>
        <v>0</v>
      </c>
      <c r="L75" s="232">
        <f t="shared" si="11"/>
        <v>0</v>
      </c>
      <c r="M75" s="219">
        <f t="shared" si="12"/>
        <v>0</v>
      </c>
      <c r="N75" s="219">
        <f t="shared" si="13"/>
        <v>0</v>
      </c>
      <c r="O75" s="219">
        <f t="shared" si="14"/>
        <v>0</v>
      </c>
      <c r="P75" s="219">
        <f t="shared" si="15"/>
        <v>0</v>
      </c>
      <c r="Q75" s="219"/>
    </row>
    <row r="76" spans="1:44" hidden="1" x14ac:dyDescent="0.25">
      <c r="I76" s="219">
        <f t="shared" si="8"/>
        <v>0</v>
      </c>
      <c r="J76" s="219">
        <f t="shared" si="9"/>
        <v>0</v>
      </c>
      <c r="K76" s="219">
        <f t="shared" si="10"/>
        <v>0</v>
      </c>
      <c r="L76" s="232">
        <f t="shared" si="11"/>
        <v>0</v>
      </c>
      <c r="M76" s="219">
        <f t="shared" si="12"/>
        <v>0</v>
      </c>
      <c r="N76" s="219">
        <f t="shared" si="13"/>
        <v>0</v>
      </c>
      <c r="O76" s="219">
        <f t="shared" si="14"/>
        <v>0</v>
      </c>
      <c r="P76" s="219">
        <f t="shared" si="15"/>
        <v>0</v>
      </c>
      <c r="Q76" s="219"/>
    </row>
    <row r="77" spans="1:44" hidden="1" x14ac:dyDescent="0.25">
      <c r="I77" s="219">
        <f t="shared" si="8"/>
        <v>0</v>
      </c>
      <c r="J77" s="219">
        <f t="shared" si="9"/>
        <v>0</v>
      </c>
      <c r="K77" s="219">
        <f t="shared" si="10"/>
        <v>0</v>
      </c>
      <c r="L77" s="232">
        <f t="shared" si="11"/>
        <v>0</v>
      </c>
      <c r="M77" s="219">
        <f t="shared" si="12"/>
        <v>0</v>
      </c>
      <c r="N77" s="219">
        <f t="shared" si="13"/>
        <v>0</v>
      </c>
      <c r="O77" s="219">
        <f t="shared" si="14"/>
        <v>0</v>
      </c>
      <c r="P77" s="219">
        <f t="shared" si="15"/>
        <v>0</v>
      </c>
      <c r="Q77" s="219"/>
    </row>
    <row r="78" spans="1:44" hidden="1" x14ac:dyDescent="0.25">
      <c r="I78" s="219">
        <f t="shared" si="8"/>
        <v>0</v>
      </c>
      <c r="J78" s="219">
        <f t="shared" si="9"/>
        <v>0</v>
      </c>
      <c r="K78" s="219">
        <f t="shared" si="10"/>
        <v>0</v>
      </c>
      <c r="L78" s="232">
        <f t="shared" si="11"/>
        <v>0</v>
      </c>
      <c r="M78" s="219">
        <f t="shared" si="12"/>
        <v>0</v>
      </c>
      <c r="N78" s="219">
        <f t="shared" si="13"/>
        <v>0</v>
      </c>
      <c r="O78" s="219">
        <f t="shared" si="14"/>
        <v>0</v>
      </c>
      <c r="P78" s="219">
        <f t="shared" si="15"/>
        <v>0</v>
      </c>
      <c r="Q78" s="219"/>
    </row>
    <row r="79" spans="1:44" hidden="1" x14ac:dyDescent="0.25">
      <c r="I79" s="219">
        <f t="shared" si="8"/>
        <v>0</v>
      </c>
      <c r="J79" s="219">
        <f t="shared" si="9"/>
        <v>0</v>
      </c>
      <c r="K79" s="219">
        <f t="shared" si="10"/>
        <v>0</v>
      </c>
      <c r="L79" s="232">
        <f t="shared" si="11"/>
        <v>0</v>
      </c>
      <c r="M79" s="219">
        <f t="shared" si="12"/>
        <v>0</v>
      </c>
      <c r="N79" s="219">
        <f t="shared" si="13"/>
        <v>0</v>
      </c>
      <c r="O79" s="219">
        <f t="shared" si="14"/>
        <v>0</v>
      </c>
      <c r="P79" s="219">
        <f t="shared" si="15"/>
        <v>0</v>
      </c>
      <c r="Q79" s="219"/>
    </row>
    <row r="80" spans="1:44" hidden="1" x14ac:dyDescent="0.25">
      <c r="I80" s="219">
        <f t="shared" si="8"/>
        <v>0</v>
      </c>
      <c r="J80" s="219">
        <f t="shared" si="9"/>
        <v>0</v>
      </c>
      <c r="K80" s="219">
        <f t="shared" si="10"/>
        <v>0</v>
      </c>
      <c r="L80" s="232">
        <f t="shared" si="11"/>
        <v>0</v>
      </c>
      <c r="M80" s="219">
        <f t="shared" si="12"/>
        <v>0</v>
      </c>
      <c r="N80" s="219">
        <f t="shared" si="13"/>
        <v>0</v>
      </c>
      <c r="O80" s="219">
        <f t="shared" si="14"/>
        <v>0</v>
      </c>
      <c r="P80" s="219">
        <f t="shared" si="15"/>
        <v>0</v>
      </c>
      <c r="Q80" s="219"/>
    </row>
    <row r="81" spans="9:17" hidden="1" x14ac:dyDescent="0.25">
      <c r="I81" s="219">
        <f t="shared" si="8"/>
        <v>0</v>
      </c>
      <c r="J81" s="219">
        <f t="shared" si="9"/>
        <v>0</v>
      </c>
      <c r="K81" s="219">
        <f t="shared" si="10"/>
        <v>0</v>
      </c>
      <c r="L81" s="232">
        <f t="shared" si="11"/>
        <v>0</v>
      </c>
      <c r="M81" s="219">
        <f t="shared" si="12"/>
        <v>0</v>
      </c>
      <c r="N81" s="219">
        <f t="shared" si="13"/>
        <v>0</v>
      </c>
      <c r="O81" s="219">
        <f t="shared" si="14"/>
        <v>0</v>
      </c>
      <c r="P81" s="219">
        <f t="shared" si="15"/>
        <v>0</v>
      </c>
      <c r="Q81" s="219"/>
    </row>
    <row r="82" spans="9:17" hidden="1" x14ac:dyDescent="0.25">
      <c r="I82" s="219">
        <f t="shared" si="8"/>
        <v>0</v>
      </c>
      <c r="J82" s="219">
        <f t="shared" si="9"/>
        <v>0</v>
      </c>
      <c r="K82" s="219">
        <f t="shared" si="10"/>
        <v>0</v>
      </c>
      <c r="L82" s="232">
        <f t="shared" si="11"/>
        <v>0</v>
      </c>
      <c r="M82" s="219">
        <f t="shared" si="12"/>
        <v>0</v>
      </c>
      <c r="N82" s="219">
        <f t="shared" si="13"/>
        <v>0</v>
      </c>
      <c r="O82" s="219">
        <f t="shared" si="14"/>
        <v>0</v>
      </c>
      <c r="P82" s="219">
        <f t="shared" si="15"/>
        <v>0</v>
      </c>
      <c r="Q82" s="219"/>
    </row>
    <row r="83" spans="9:17" hidden="1" x14ac:dyDescent="0.25">
      <c r="I83" s="219">
        <f t="shared" si="8"/>
        <v>0</v>
      </c>
      <c r="J83" s="219">
        <f t="shared" si="9"/>
        <v>0</v>
      </c>
      <c r="K83" s="219">
        <f t="shared" si="10"/>
        <v>0</v>
      </c>
      <c r="L83" s="232">
        <f t="shared" si="11"/>
        <v>0</v>
      </c>
      <c r="M83" s="219">
        <f t="shared" si="12"/>
        <v>0</v>
      </c>
      <c r="N83" s="219">
        <f t="shared" si="13"/>
        <v>0</v>
      </c>
      <c r="O83" s="219">
        <f t="shared" si="14"/>
        <v>0</v>
      </c>
      <c r="P83" s="219">
        <f t="shared" si="15"/>
        <v>0</v>
      </c>
      <c r="Q83" s="219"/>
    </row>
    <row r="84" spans="9:17" hidden="1" x14ac:dyDescent="0.25">
      <c r="I84" s="219">
        <f t="shared" si="8"/>
        <v>0</v>
      </c>
      <c r="J84" s="219">
        <f t="shared" si="9"/>
        <v>0</v>
      </c>
      <c r="K84" s="219">
        <f t="shared" si="10"/>
        <v>0</v>
      </c>
      <c r="L84" s="232">
        <f t="shared" si="11"/>
        <v>0</v>
      </c>
      <c r="M84" s="219">
        <f t="shared" si="12"/>
        <v>0</v>
      </c>
      <c r="N84" s="219">
        <f t="shared" si="13"/>
        <v>0</v>
      </c>
      <c r="O84" s="219">
        <f t="shared" si="14"/>
        <v>0</v>
      </c>
      <c r="P84" s="219">
        <f t="shared" si="15"/>
        <v>0</v>
      </c>
      <c r="Q84" s="219"/>
    </row>
    <row r="85" spans="9:17" hidden="1" x14ac:dyDescent="0.25">
      <c r="I85" s="219">
        <f t="shared" si="8"/>
        <v>0</v>
      </c>
      <c r="J85" s="219">
        <f t="shared" si="9"/>
        <v>0</v>
      </c>
      <c r="K85" s="219">
        <f t="shared" si="10"/>
        <v>0</v>
      </c>
      <c r="L85" s="232">
        <f t="shared" si="11"/>
        <v>0</v>
      </c>
      <c r="M85" s="219">
        <f t="shared" si="12"/>
        <v>0</v>
      </c>
      <c r="N85" s="219">
        <f t="shared" si="13"/>
        <v>0</v>
      </c>
      <c r="O85" s="219">
        <f t="shared" si="14"/>
        <v>0</v>
      </c>
      <c r="P85" s="219">
        <f t="shared" si="15"/>
        <v>0</v>
      </c>
      <c r="Q85" s="219"/>
    </row>
    <row r="86" spans="9:17" hidden="1" x14ac:dyDescent="0.25">
      <c r="I86" s="219">
        <f t="shared" si="8"/>
        <v>0</v>
      </c>
      <c r="J86" s="219">
        <f t="shared" si="9"/>
        <v>0</v>
      </c>
      <c r="K86" s="219">
        <f t="shared" si="10"/>
        <v>0</v>
      </c>
      <c r="L86" s="232">
        <f t="shared" si="11"/>
        <v>0</v>
      </c>
      <c r="M86" s="219">
        <f t="shared" si="12"/>
        <v>0</v>
      </c>
      <c r="N86" s="219">
        <f t="shared" si="13"/>
        <v>0</v>
      </c>
      <c r="O86" s="219">
        <f t="shared" si="14"/>
        <v>0</v>
      </c>
      <c r="P86" s="219">
        <f t="shared" si="15"/>
        <v>0</v>
      </c>
      <c r="Q86" s="219"/>
    </row>
    <row r="87" spans="9:17" hidden="1" x14ac:dyDescent="0.25">
      <c r="I87" s="219">
        <f t="shared" si="8"/>
        <v>0</v>
      </c>
      <c r="J87" s="219">
        <f t="shared" si="9"/>
        <v>0</v>
      </c>
      <c r="K87" s="219">
        <f t="shared" si="10"/>
        <v>0</v>
      </c>
      <c r="L87" s="232">
        <f t="shared" si="11"/>
        <v>0</v>
      </c>
      <c r="M87" s="219">
        <f t="shared" si="12"/>
        <v>0</v>
      </c>
      <c r="N87" s="219">
        <f t="shared" si="13"/>
        <v>0</v>
      </c>
      <c r="O87" s="219">
        <f t="shared" si="14"/>
        <v>0</v>
      </c>
      <c r="P87" s="219">
        <f t="shared" si="15"/>
        <v>0</v>
      </c>
      <c r="Q87" s="219"/>
    </row>
    <row r="88" spans="9:17" hidden="1" x14ac:dyDescent="0.25">
      <c r="I88" s="219">
        <f t="shared" si="8"/>
        <v>0</v>
      </c>
      <c r="J88" s="219">
        <f t="shared" si="9"/>
        <v>0</v>
      </c>
      <c r="K88" s="219">
        <f t="shared" si="10"/>
        <v>0</v>
      </c>
      <c r="L88" s="232">
        <f t="shared" si="11"/>
        <v>0</v>
      </c>
      <c r="M88" s="219">
        <f t="shared" si="12"/>
        <v>0</v>
      </c>
      <c r="N88" s="219">
        <f t="shared" si="13"/>
        <v>0</v>
      </c>
      <c r="O88" s="219">
        <f t="shared" si="14"/>
        <v>0</v>
      </c>
      <c r="P88" s="219">
        <f t="shared" si="15"/>
        <v>0</v>
      </c>
      <c r="Q88" s="219"/>
    </row>
    <row r="89" spans="9:17" hidden="1" x14ac:dyDescent="0.25">
      <c r="I89" s="219">
        <f t="shared" si="8"/>
        <v>0</v>
      </c>
      <c r="J89" s="219">
        <f t="shared" si="9"/>
        <v>0</v>
      </c>
      <c r="K89" s="219">
        <f t="shared" si="10"/>
        <v>0</v>
      </c>
      <c r="L89" s="232">
        <f t="shared" si="11"/>
        <v>0</v>
      </c>
      <c r="M89" s="219">
        <f t="shared" si="12"/>
        <v>0</v>
      </c>
      <c r="N89" s="219">
        <f t="shared" si="13"/>
        <v>0</v>
      </c>
      <c r="O89" s="219">
        <f t="shared" si="14"/>
        <v>0</v>
      </c>
      <c r="P89" s="219">
        <f t="shared" si="15"/>
        <v>0</v>
      </c>
      <c r="Q89" s="219"/>
    </row>
    <row r="90" spans="9:17" hidden="1" x14ac:dyDescent="0.25">
      <c r="I90" s="219">
        <f t="shared" si="8"/>
        <v>0</v>
      </c>
      <c r="J90" s="219">
        <f t="shared" si="9"/>
        <v>0</v>
      </c>
      <c r="K90" s="219">
        <f t="shared" si="10"/>
        <v>0</v>
      </c>
      <c r="L90" s="232">
        <f t="shared" si="11"/>
        <v>0</v>
      </c>
      <c r="M90" s="219">
        <f t="shared" si="12"/>
        <v>0</v>
      </c>
      <c r="N90" s="219">
        <f t="shared" si="13"/>
        <v>0</v>
      </c>
      <c r="O90" s="219">
        <f t="shared" si="14"/>
        <v>0</v>
      </c>
      <c r="P90" s="219">
        <f t="shared" si="15"/>
        <v>0</v>
      </c>
      <c r="Q90" s="219"/>
    </row>
    <row r="91" spans="9:17" hidden="1" x14ac:dyDescent="0.25">
      <c r="I91" s="219">
        <f t="shared" si="8"/>
        <v>0</v>
      </c>
      <c r="J91" s="219">
        <f t="shared" si="9"/>
        <v>0</v>
      </c>
      <c r="K91" s="219">
        <f t="shared" si="10"/>
        <v>0</v>
      </c>
      <c r="L91" s="232">
        <f t="shared" si="11"/>
        <v>0</v>
      </c>
      <c r="M91" s="219">
        <f t="shared" si="12"/>
        <v>0</v>
      </c>
      <c r="N91" s="219">
        <f t="shared" si="13"/>
        <v>0</v>
      </c>
      <c r="O91" s="219">
        <f t="shared" si="14"/>
        <v>0</v>
      </c>
      <c r="P91" s="219">
        <f t="shared" si="15"/>
        <v>0</v>
      </c>
      <c r="Q91" s="219"/>
    </row>
    <row r="92" spans="9:17" hidden="1" x14ac:dyDescent="0.25">
      <c r="I92" s="219">
        <f t="shared" si="8"/>
        <v>0</v>
      </c>
      <c r="J92" s="219">
        <f t="shared" si="9"/>
        <v>0</v>
      </c>
      <c r="K92" s="219">
        <f t="shared" si="10"/>
        <v>0</v>
      </c>
      <c r="L92" s="232">
        <f t="shared" si="11"/>
        <v>0</v>
      </c>
      <c r="M92" s="219">
        <f t="shared" si="12"/>
        <v>0</v>
      </c>
      <c r="N92" s="219">
        <f t="shared" si="13"/>
        <v>0</v>
      </c>
      <c r="O92" s="219">
        <f t="shared" si="14"/>
        <v>0</v>
      </c>
      <c r="P92" s="219">
        <f t="shared" si="15"/>
        <v>0</v>
      </c>
      <c r="Q92" s="219"/>
    </row>
    <row r="93" spans="9:17" hidden="1" x14ac:dyDescent="0.25">
      <c r="I93" s="219">
        <f t="shared" si="8"/>
        <v>0</v>
      </c>
      <c r="J93" s="219">
        <f t="shared" si="9"/>
        <v>0</v>
      </c>
      <c r="K93" s="219">
        <f t="shared" si="10"/>
        <v>0</v>
      </c>
      <c r="L93" s="232">
        <f t="shared" si="11"/>
        <v>0</v>
      </c>
      <c r="M93" s="219">
        <f t="shared" si="12"/>
        <v>0</v>
      </c>
      <c r="N93" s="219">
        <f t="shared" si="13"/>
        <v>0</v>
      </c>
      <c r="O93" s="219">
        <f t="shared" si="14"/>
        <v>0</v>
      </c>
      <c r="P93" s="219">
        <f t="shared" si="15"/>
        <v>0</v>
      </c>
      <c r="Q93" s="219"/>
    </row>
    <row r="94" spans="9:17" hidden="1" x14ac:dyDescent="0.25">
      <c r="I94" s="219">
        <f t="shared" si="8"/>
        <v>0</v>
      </c>
      <c r="J94" s="219">
        <f t="shared" si="9"/>
        <v>0</v>
      </c>
      <c r="K94" s="219">
        <f t="shared" si="10"/>
        <v>0</v>
      </c>
      <c r="L94" s="232">
        <f t="shared" si="11"/>
        <v>0</v>
      </c>
      <c r="M94" s="219">
        <f t="shared" si="12"/>
        <v>0</v>
      </c>
      <c r="N94" s="219">
        <f t="shared" si="13"/>
        <v>0</v>
      </c>
      <c r="O94" s="219">
        <f t="shared" si="14"/>
        <v>0</v>
      </c>
      <c r="P94" s="219">
        <f t="shared" si="15"/>
        <v>0</v>
      </c>
      <c r="Q94" s="219"/>
    </row>
    <row r="95" spans="9:17" hidden="1" x14ac:dyDescent="0.25">
      <c r="I95" s="219">
        <f t="shared" si="8"/>
        <v>0</v>
      </c>
      <c r="J95" s="219">
        <f t="shared" si="9"/>
        <v>0</v>
      </c>
      <c r="K95" s="219">
        <f t="shared" si="10"/>
        <v>0</v>
      </c>
      <c r="L95" s="232">
        <f t="shared" si="11"/>
        <v>0</v>
      </c>
      <c r="M95" s="219">
        <f t="shared" si="12"/>
        <v>0</v>
      </c>
      <c r="N95" s="219">
        <f t="shared" si="13"/>
        <v>0</v>
      </c>
      <c r="O95" s="219">
        <f t="shared" si="14"/>
        <v>0</v>
      </c>
      <c r="P95" s="219">
        <f t="shared" si="15"/>
        <v>0</v>
      </c>
      <c r="Q95" s="219"/>
    </row>
    <row r="96" spans="9:17" hidden="1" x14ac:dyDescent="0.25">
      <c r="I96" s="219">
        <f t="shared" si="8"/>
        <v>0</v>
      </c>
      <c r="J96" s="219">
        <f t="shared" si="9"/>
        <v>0</v>
      </c>
      <c r="K96" s="219">
        <f t="shared" si="10"/>
        <v>0</v>
      </c>
      <c r="L96" s="232">
        <f t="shared" si="11"/>
        <v>0</v>
      </c>
      <c r="M96" s="219">
        <f t="shared" si="12"/>
        <v>0</v>
      </c>
      <c r="N96" s="219">
        <f t="shared" si="13"/>
        <v>0</v>
      </c>
      <c r="O96" s="219">
        <f t="shared" si="14"/>
        <v>0</v>
      </c>
      <c r="P96" s="219">
        <f t="shared" si="15"/>
        <v>0</v>
      </c>
      <c r="Q96" s="219"/>
    </row>
    <row r="97" spans="9:17" hidden="1" x14ac:dyDescent="0.25">
      <c r="I97" s="219">
        <f t="shared" si="8"/>
        <v>0</v>
      </c>
      <c r="J97" s="219">
        <f t="shared" si="9"/>
        <v>0</v>
      </c>
      <c r="K97" s="219">
        <f t="shared" si="10"/>
        <v>0</v>
      </c>
      <c r="L97" s="232">
        <f t="shared" si="11"/>
        <v>0</v>
      </c>
      <c r="M97" s="219">
        <f t="shared" si="12"/>
        <v>0</v>
      </c>
      <c r="N97" s="219">
        <f t="shared" si="13"/>
        <v>0</v>
      </c>
      <c r="O97" s="219">
        <f t="shared" si="14"/>
        <v>0</v>
      </c>
      <c r="P97" s="219">
        <f t="shared" si="15"/>
        <v>0</v>
      </c>
      <c r="Q97" s="219"/>
    </row>
    <row r="98" spans="9:17" hidden="1" x14ac:dyDescent="0.25">
      <c r="I98" s="219">
        <f t="shared" si="8"/>
        <v>0</v>
      </c>
      <c r="J98" s="219">
        <f t="shared" si="9"/>
        <v>0</v>
      </c>
      <c r="K98" s="219">
        <f t="shared" si="10"/>
        <v>0</v>
      </c>
      <c r="L98" s="232">
        <f t="shared" si="11"/>
        <v>0</v>
      </c>
      <c r="M98" s="219">
        <f t="shared" si="12"/>
        <v>0</v>
      </c>
      <c r="N98" s="219">
        <f t="shared" si="13"/>
        <v>0</v>
      </c>
      <c r="O98" s="219">
        <f t="shared" si="14"/>
        <v>0</v>
      </c>
      <c r="P98" s="219">
        <f t="shared" si="15"/>
        <v>0</v>
      </c>
      <c r="Q98" s="219"/>
    </row>
    <row r="99" spans="9:17" hidden="1" x14ac:dyDescent="0.25">
      <c r="I99" s="219">
        <f t="shared" si="8"/>
        <v>0</v>
      </c>
      <c r="J99" s="219">
        <f t="shared" si="9"/>
        <v>0</v>
      </c>
      <c r="K99" s="219">
        <f t="shared" si="10"/>
        <v>0</v>
      </c>
      <c r="L99" s="232">
        <f t="shared" si="11"/>
        <v>0</v>
      </c>
      <c r="M99" s="219">
        <f t="shared" si="12"/>
        <v>0</v>
      </c>
      <c r="N99" s="219">
        <f t="shared" si="13"/>
        <v>0</v>
      </c>
      <c r="O99" s="219">
        <f t="shared" si="14"/>
        <v>0</v>
      </c>
      <c r="P99" s="219">
        <f t="shared" si="15"/>
        <v>0</v>
      </c>
      <c r="Q99" s="219"/>
    </row>
    <row r="100" spans="9:17" hidden="1" x14ac:dyDescent="0.25">
      <c r="I100" s="219">
        <f t="shared" si="8"/>
        <v>0</v>
      </c>
      <c r="J100" s="219">
        <f t="shared" si="9"/>
        <v>0</v>
      </c>
      <c r="K100" s="219">
        <f t="shared" si="10"/>
        <v>0</v>
      </c>
      <c r="L100" s="232">
        <f t="shared" si="11"/>
        <v>0</v>
      </c>
      <c r="M100" s="219">
        <f t="shared" si="12"/>
        <v>0</v>
      </c>
      <c r="N100" s="219">
        <f t="shared" si="13"/>
        <v>0</v>
      </c>
      <c r="O100" s="219">
        <f t="shared" si="14"/>
        <v>0</v>
      </c>
      <c r="P100" s="219">
        <f t="shared" si="15"/>
        <v>0</v>
      </c>
      <c r="Q100" s="219"/>
    </row>
    <row r="101" spans="9:17" hidden="1" x14ac:dyDescent="0.25">
      <c r="I101" s="219">
        <f t="shared" si="8"/>
        <v>0</v>
      </c>
      <c r="J101" s="219">
        <f t="shared" si="9"/>
        <v>0</v>
      </c>
      <c r="K101" s="219">
        <f t="shared" si="10"/>
        <v>0</v>
      </c>
      <c r="L101" s="232">
        <f t="shared" si="11"/>
        <v>0</v>
      </c>
      <c r="M101" s="219">
        <f t="shared" si="12"/>
        <v>0</v>
      </c>
      <c r="N101" s="219">
        <f t="shared" si="13"/>
        <v>0</v>
      </c>
      <c r="O101" s="219">
        <f t="shared" si="14"/>
        <v>0</v>
      </c>
      <c r="P101" s="219">
        <f t="shared" si="15"/>
        <v>0</v>
      </c>
      <c r="Q101" s="219"/>
    </row>
    <row r="102" spans="9:17" hidden="1" x14ac:dyDescent="0.25">
      <c r="I102" s="219">
        <f t="shared" si="8"/>
        <v>0</v>
      </c>
      <c r="J102" s="219">
        <f t="shared" si="9"/>
        <v>0</v>
      </c>
      <c r="K102" s="219">
        <f t="shared" si="10"/>
        <v>0</v>
      </c>
      <c r="L102" s="232">
        <f t="shared" si="11"/>
        <v>0</v>
      </c>
      <c r="M102" s="219">
        <f t="shared" si="12"/>
        <v>0</v>
      </c>
      <c r="N102" s="219">
        <f t="shared" si="13"/>
        <v>0</v>
      </c>
      <c r="O102" s="219">
        <f t="shared" si="14"/>
        <v>0</v>
      </c>
      <c r="P102" s="219">
        <f t="shared" si="15"/>
        <v>0</v>
      </c>
      <c r="Q102" s="219"/>
    </row>
    <row r="103" spans="9:17" hidden="1" x14ac:dyDescent="0.25">
      <c r="I103" s="219">
        <f t="shared" si="8"/>
        <v>0</v>
      </c>
      <c r="J103" s="219">
        <f t="shared" si="9"/>
        <v>0</v>
      </c>
      <c r="K103" s="219">
        <f t="shared" si="10"/>
        <v>0</v>
      </c>
      <c r="L103" s="232">
        <f t="shared" si="11"/>
        <v>0</v>
      </c>
      <c r="M103" s="219">
        <f t="shared" si="12"/>
        <v>0</v>
      </c>
      <c r="N103" s="219">
        <f t="shared" si="13"/>
        <v>0</v>
      </c>
      <c r="O103" s="219">
        <f t="shared" si="14"/>
        <v>0</v>
      </c>
      <c r="P103" s="219">
        <f t="shared" si="15"/>
        <v>0</v>
      </c>
      <c r="Q103" s="219"/>
    </row>
    <row r="104" spans="9:17" hidden="1" x14ac:dyDescent="0.25">
      <c r="I104" s="219">
        <f t="shared" si="8"/>
        <v>0</v>
      </c>
      <c r="J104" s="219">
        <f t="shared" si="9"/>
        <v>0</v>
      </c>
      <c r="K104" s="219">
        <f t="shared" si="10"/>
        <v>0</v>
      </c>
      <c r="L104" s="232">
        <f t="shared" si="11"/>
        <v>0</v>
      </c>
      <c r="M104" s="219">
        <f t="shared" si="12"/>
        <v>0</v>
      </c>
      <c r="N104" s="219">
        <f t="shared" si="13"/>
        <v>0</v>
      </c>
      <c r="O104" s="219">
        <f t="shared" si="14"/>
        <v>0</v>
      </c>
      <c r="P104" s="219">
        <f t="shared" si="15"/>
        <v>0</v>
      </c>
      <c r="Q104" s="219"/>
    </row>
    <row r="105" spans="9:17" hidden="1" x14ac:dyDescent="0.25">
      <c r="I105" s="219">
        <f t="shared" si="8"/>
        <v>0</v>
      </c>
      <c r="J105" s="219">
        <f t="shared" si="9"/>
        <v>0</v>
      </c>
      <c r="K105" s="219">
        <f t="shared" si="10"/>
        <v>0</v>
      </c>
      <c r="L105" s="232">
        <f t="shared" si="11"/>
        <v>0</v>
      </c>
      <c r="M105" s="219">
        <f t="shared" si="12"/>
        <v>0</v>
      </c>
      <c r="N105" s="219">
        <f t="shared" si="13"/>
        <v>0</v>
      </c>
      <c r="O105" s="219">
        <f t="shared" si="14"/>
        <v>0</v>
      </c>
      <c r="P105" s="219">
        <f t="shared" si="15"/>
        <v>0</v>
      </c>
      <c r="Q105" s="219"/>
    </row>
    <row r="106" spans="9:17" hidden="1" x14ac:dyDescent="0.25">
      <c r="I106" s="219">
        <f t="shared" si="8"/>
        <v>0</v>
      </c>
      <c r="J106" s="219">
        <f t="shared" si="9"/>
        <v>0</v>
      </c>
      <c r="K106" s="219">
        <f t="shared" si="10"/>
        <v>0</v>
      </c>
      <c r="L106" s="232">
        <f t="shared" si="11"/>
        <v>0</v>
      </c>
      <c r="M106" s="219">
        <f t="shared" si="12"/>
        <v>0</v>
      </c>
      <c r="N106" s="219">
        <f t="shared" si="13"/>
        <v>0</v>
      </c>
      <c r="O106" s="219">
        <f t="shared" si="14"/>
        <v>0</v>
      </c>
      <c r="P106" s="219">
        <f t="shared" si="15"/>
        <v>0</v>
      </c>
      <c r="Q106" s="219"/>
    </row>
    <row r="107" spans="9:17" hidden="1" x14ac:dyDescent="0.25">
      <c r="I107" s="219">
        <f t="shared" si="8"/>
        <v>0</v>
      </c>
      <c r="J107" s="219">
        <f t="shared" si="9"/>
        <v>0</v>
      </c>
      <c r="K107" s="219">
        <f t="shared" si="10"/>
        <v>0</v>
      </c>
      <c r="L107" s="232">
        <f t="shared" si="11"/>
        <v>0</v>
      </c>
      <c r="M107" s="219">
        <f t="shared" si="12"/>
        <v>0</v>
      </c>
      <c r="N107" s="219">
        <f t="shared" si="13"/>
        <v>0</v>
      </c>
      <c r="O107" s="219">
        <f t="shared" si="14"/>
        <v>0</v>
      </c>
      <c r="P107" s="219">
        <f t="shared" si="15"/>
        <v>0</v>
      </c>
      <c r="Q107" s="219"/>
    </row>
    <row r="108" spans="9:17" hidden="1" x14ac:dyDescent="0.25">
      <c r="I108" s="219">
        <f t="shared" si="8"/>
        <v>0</v>
      </c>
      <c r="J108" s="219">
        <f t="shared" si="9"/>
        <v>0</v>
      </c>
      <c r="K108" s="219">
        <f t="shared" si="10"/>
        <v>0</v>
      </c>
      <c r="L108" s="232">
        <f t="shared" si="11"/>
        <v>0</v>
      </c>
      <c r="M108" s="219">
        <f t="shared" si="12"/>
        <v>0</v>
      </c>
      <c r="N108" s="219">
        <f t="shared" si="13"/>
        <v>0</v>
      </c>
      <c r="O108" s="219">
        <f t="shared" si="14"/>
        <v>0</v>
      </c>
      <c r="P108" s="219">
        <f t="shared" si="15"/>
        <v>0</v>
      </c>
      <c r="Q108" s="219"/>
    </row>
    <row r="109" spans="9:17" hidden="1" x14ac:dyDescent="0.25">
      <c r="I109" s="219">
        <f t="shared" si="8"/>
        <v>0</v>
      </c>
      <c r="J109" s="219">
        <f t="shared" si="9"/>
        <v>0</v>
      </c>
      <c r="K109" s="219">
        <f t="shared" si="10"/>
        <v>0</v>
      </c>
      <c r="L109" s="232">
        <f t="shared" si="11"/>
        <v>0</v>
      </c>
      <c r="M109" s="219">
        <f t="shared" si="12"/>
        <v>0</v>
      </c>
      <c r="N109" s="219">
        <f t="shared" si="13"/>
        <v>0</v>
      </c>
      <c r="O109" s="219">
        <f t="shared" si="14"/>
        <v>0</v>
      </c>
      <c r="P109" s="219">
        <f t="shared" si="15"/>
        <v>0</v>
      </c>
      <c r="Q109" s="219"/>
    </row>
    <row r="110" spans="9:17" hidden="1" x14ac:dyDescent="0.25">
      <c r="I110" s="219">
        <f t="shared" si="8"/>
        <v>0</v>
      </c>
      <c r="J110" s="219">
        <f t="shared" si="9"/>
        <v>0</v>
      </c>
      <c r="K110" s="219">
        <f t="shared" si="10"/>
        <v>0</v>
      </c>
      <c r="L110" s="232">
        <f t="shared" si="11"/>
        <v>0</v>
      </c>
      <c r="M110" s="219">
        <f t="shared" si="12"/>
        <v>0</v>
      </c>
      <c r="N110" s="219">
        <f t="shared" si="13"/>
        <v>0</v>
      </c>
      <c r="O110" s="219">
        <f t="shared" si="14"/>
        <v>0</v>
      </c>
      <c r="P110" s="219">
        <f t="shared" si="15"/>
        <v>0</v>
      </c>
      <c r="Q110" s="219"/>
    </row>
    <row r="111" spans="9:17" hidden="1" x14ac:dyDescent="0.25">
      <c r="I111" s="219">
        <f t="shared" si="8"/>
        <v>0</v>
      </c>
      <c r="J111" s="219">
        <f t="shared" si="9"/>
        <v>0</v>
      </c>
      <c r="K111" s="219">
        <f t="shared" si="10"/>
        <v>0</v>
      </c>
      <c r="L111" s="232">
        <f t="shared" si="11"/>
        <v>0</v>
      </c>
      <c r="M111" s="219">
        <f t="shared" si="12"/>
        <v>0</v>
      </c>
      <c r="N111" s="219">
        <f t="shared" si="13"/>
        <v>0</v>
      </c>
      <c r="O111" s="219">
        <f t="shared" si="14"/>
        <v>0</v>
      </c>
      <c r="P111" s="219">
        <f t="shared" si="15"/>
        <v>0</v>
      </c>
      <c r="Q111" s="219"/>
    </row>
    <row r="112" spans="9:17" hidden="1" x14ac:dyDescent="0.25">
      <c r="I112" s="219">
        <f t="shared" si="8"/>
        <v>0</v>
      </c>
      <c r="J112" s="219">
        <f t="shared" si="9"/>
        <v>0</v>
      </c>
      <c r="K112" s="219">
        <f t="shared" si="10"/>
        <v>0</v>
      </c>
      <c r="L112" s="232">
        <f t="shared" si="11"/>
        <v>0</v>
      </c>
      <c r="M112" s="219">
        <f t="shared" si="12"/>
        <v>0</v>
      </c>
      <c r="N112" s="219">
        <f t="shared" si="13"/>
        <v>0</v>
      </c>
      <c r="O112" s="219">
        <f t="shared" si="14"/>
        <v>0</v>
      </c>
      <c r="P112" s="219">
        <f t="shared" si="15"/>
        <v>0</v>
      </c>
      <c r="Q112" s="219"/>
    </row>
    <row r="113" spans="9:17" hidden="1" x14ac:dyDescent="0.25">
      <c r="I113" s="219">
        <f t="shared" si="8"/>
        <v>0</v>
      </c>
      <c r="J113" s="219">
        <f t="shared" si="9"/>
        <v>0</v>
      </c>
      <c r="K113" s="219">
        <f t="shared" si="10"/>
        <v>0</v>
      </c>
      <c r="L113" s="232">
        <f t="shared" si="11"/>
        <v>0</v>
      </c>
      <c r="M113" s="219">
        <f t="shared" si="12"/>
        <v>0</v>
      </c>
      <c r="N113" s="219">
        <f t="shared" si="13"/>
        <v>0</v>
      </c>
      <c r="O113" s="219">
        <f t="shared" si="14"/>
        <v>0</v>
      </c>
      <c r="P113" s="219">
        <f t="shared" si="15"/>
        <v>0</v>
      </c>
      <c r="Q113" s="219"/>
    </row>
    <row r="114" spans="9:17" hidden="1" x14ac:dyDescent="0.25">
      <c r="I114" s="219">
        <f t="shared" si="8"/>
        <v>0</v>
      </c>
      <c r="J114" s="219">
        <f t="shared" si="9"/>
        <v>0</v>
      </c>
      <c r="K114" s="219">
        <f t="shared" si="10"/>
        <v>0</v>
      </c>
      <c r="L114" s="232">
        <f t="shared" si="11"/>
        <v>0</v>
      </c>
      <c r="M114" s="219">
        <f t="shared" si="12"/>
        <v>0</v>
      </c>
      <c r="N114" s="219">
        <f t="shared" si="13"/>
        <v>0</v>
      </c>
      <c r="O114" s="219">
        <f t="shared" si="14"/>
        <v>0</v>
      </c>
      <c r="P114" s="219">
        <f t="shared" si="15"/>
        <v>0</v>
      </c>
      <c r="Q114" s="219"/>
    </row>
    <row r="115" spans="9:17" hidden="1" x14ac:dyDescent="0.25">
      <c r="I115" s="219">
        <f t="shared" si="8"/>
        <v>0</v>
      </c>
      <c r="J115" s="219">
        <f t="shared" si="9"/>
        <v>0</v>
      </c>
      <c r="K115" s="219">
        <f t="shared" si="10"/>
        <v>0</v>
      </c>
      <c r="L115" s="232">
        <f t="shared" si="11"/>
        <v>0</v>
      </c>
      <c r="M115" s="219">
        <f t="shared" si="12"/>
        <v>0</v>
      </c>
      <c r="N115" s="219">
        <f t="shared" si="13"/>
        <v>0</v>
      </c>
      <c r="O115" s="219">
        <f t="shared" si="14"/>
        <v>0</v>
      </c>
      <c r="P115" s="219">
        <f t="shared" si="15"/>
        <v>0</v>
      </c>
      <c r="Q115" s="219"/>
    </row>
    <row r="116" spans="9:17" hidden="1" x14ac:dyDescent="0.25">
      <c r="I116" s="219">
        <f t="shared" si="8"/>
        <v>0</v>
      </c>
      <c r="J116" s="219">
        <f t="shared" si="9"/>
        <v>0</v>
      </c>
      <c r="K116" s="219">
        <f t="shared" si="10"/>
        <v>0</v>
      </c>
      <c r="L116" s="232">
        <f t="shared" si="11"/>
        <v>0</v>
      </c>
      <c r="M116" s="219">
        <f t="shared" si="12"/>
        <v>0</v>
      </c>
      <c r="N116" s="219">
        <f t="shared" si="13"/>
        <v>0</v>
      </c>
      <c r="O116" s="219">
        <f t="shared" si="14"/>
        <v>0</v>
      </c>
      <c r="P116" s="219">
        <f t="shared" si="15"/>
        <v>0</v>
      </c>
      <c r="Q116" s="219"/>
    </row>
    <row r="117" spans="9:17" hidden="1" x14ac:dyDescent="0.25">
      <c r="I117" s="219">
        <f t="shared" si="8"/>
        <v>0</v>
      </c>
      <c r="J117" s="219">
        <f t="shared" si="9"/>
        <v>0</v>
      </c>
      <c r="K117" s="219">
        <f t="shared" si="10"/>
        <v>0</v>
      </c>
      <c r="L117" s="232">
        <f t="shared" si="11"/>
        <v>0</v>
      </c>
      <c r="M117" s="219">
        <f t="shared" si="12"/>
        <v>0</v>
      </c>
      <c r="N117" s="219">
        <f t="shared" si="13"/>
        <v>0</v>
      </c>
      <c r="O117" s="219">
        <f t="shared" si="14"/>
        <v>0</v>
      </c>
      <c r="P117" s="219">
        <f t="shared" si="15"/>
        <v>0</v>
      </c>
      <c r="Q117" s="219"/>
    </row>
    <row r="118" spans="9:17" hidden="1" x14ac:dyDescent="0.25">
      <c r="I118" s="219">
        <f t="shared" si="8"/>
        <v>0</v>
      </c>
      <c r="J118" s="219">
        <f t="shared" si="9"/>
        <v>0</v>
      </c>
      <c r="K118" s="219">
        <f t="shared" si="10"/>
        <v>0</v>
      </c>
      <c r="L118" s="232">
        <f t="shared" si="11"/>
        <v>0</v>
      </c>
      <c r="M118" s="219">
        <f t="shared" si="12"/>
        <v>0</v>
      </c>
      <c r="N118" s="219">
        <f t="shared" si="13"/>
        <v>0</v>
      </c>
      <c r="O118" s="219">
        <f t="shared" si="14"/>
        <v>0</v>
      </c>
      <c r="P118" s="219">
        <f t="shared" si="15"/>
        <v>0</v>
      </c>
      <c r="Q118" s="219"/>
    </row>
    <row r="119" spans="9:17" hidden="1" x14ac:dyDescent="0.25">
      <c r="I119" s="219">
        <f t="shared" ref="I119:I132" si="16">SUM(R119:S119)</f>
        <v>0</v>
      </c>
      <c r="J119" s="219">
        <f t="shared" ref="J119:J132" si="17">SUM(T119:V119)</f>
        <v>0</v>
      </c>
      <c r="K119" s="219">
        <f t="shared" ref="K119:K132" si="18">W119</f>
        <v>0</v>
      </c>
      <c r="L119" s="232">
        <f t="shared" ref="L119:L132" si="19">SUM(X119:AB119)</f>
        <v>0</v>
      </c>
      <c r="M119" s="219">
        <f t="shared" ref="M119:M132" si="20">SUM(AC119:AE119)</f>
        <v>0</v>
      </c>
      <c r="N119" s="219">
        <f t="shared" ref="N119:O123" si="21">AG119</f>
        <v>0</v>
      </c>
      <c r="O119" s="219">
        <f t="shared" si="21"/>
        <v>0</v>
      </c>
      <c r="P119" s="219">
        <f t="shared" ref="P119:P132" si="22">SUM(AK119:AM119)</f>
        <v>0</v>
      </c>
      <c r="Q119" s="219"/>
    </row>
    <row r="120" spans="9:17" hidden="1" x14ac:dyDescent="0.25">
      <c r="I120" s="219">
        <f t="shared" si="16"/>
        <v>0</v>
      </c>
      <c r="J120" s="219">
        <f t="shared" si="17"/>
        <v>0</v>
      </c>
      <c r="K120" s="219">
        <f t="shared" si="18"/>
        <v>0</v>
      </c>
      <c r="L120" s="232">
        <f t="shared" si="19"/>
        <v>0</v>
      </c>
      <c r="M120" s="219">
        <f t="shared" si="20"/>
        <v>0</v>
      </c>
      <c r="N120" s="219">
        <f t="shared" si="21"/>
        <v>0</v>
      </c>
      <c r="O120" s="219">
        <f t="shared" si="21"/>
        <v>0</v>
      </c>
      <c r="P120" s="219">
        <f t="shared" si="22"/>
        <v>0</v>
      </c>
      <c r="Q120" s="219"/>
    </row>
    <row r="121" spans="9:17" hidden="1" x14ac:dyDescent="0.25">
      <c r="I121" s="219">
        <f t="shared" si="16"/>
        <v>0</v>
      </c>
      <c r="J121" s="219">
        <f t="shared" si="17"/>
        <v>0</v>
      </c>
      <c r="K121" s="219">
        <f t="shared" si="18"/>
        <v>0</v>
      </c>
      <c r="L121" s="232">
        <f t="shared" si="19"/>
        <v>0</v>
      </c>
      <c r="M121" s="219">
        <f t="shared" si="20"/>
        <v>0</v>
      </c>
      <c r="N121" s="219">
        <f t="shared" si="21"/>
        <v>0</v>
      </c>
      <c r="O121" s="219">
        <f t="shared" si="21"/>
        <v>0</v>
      </c>
      <c r="P121" s="219">
        <f t="shared" si="22"/>
        <v>0</v>
      </c>
      <c r="Q121" s="219"/>
    </row>
    <row r="122" spans="9:17" hidden="1" x14ac:dyDescent="0.25">
      <c r="I122" s="219">
        <f t="shared" si="16"/>
        <v>0</v>
      </c>
      <c r="J122" s="219">
        <f t="shared" si="17"/>
        <v>0</v>
      </c>
      <c r="K122" s="219">
        <f t="shared" si="18"/>
        <v>0</v>
      </c>
      <c r="L122" s="232">
        <f t="shared" si="19"/>
        <v>0</v>
      </c>
      <c r="M122" s="219">
        <f t="shared" si="20"/>
        <v>0</v>
      </c>
      <c r="N122" s="219">
        <f t="shared" si="21"/>
        <v>0</v>
      </c>
      <c r="O122" s="219">
        <f t="shared" si="21"/>
        <v>0</v>
      </c>
      <c r="P122" s="219">
        <f t="shared" si="22"/>
        <v>0</v>
      </c>
      <c r="Q122" s="219"/>
    </row>
    <row r="123" spans="9:17" hidden="1" x14ac:dyDescent="0.25">
      <c r="I123" s="219">
        <f t="shared" si="16"/>
        <v>0</v>
      </c>
      <c r="J123" s="219">
        <f t="shared" si="17"/>
        <v>0</v>
      </c>
      <c r="K123" s="219">
        <f t="shared" si="18"/>
        <v>0</v>
      </c>
      <c r="L123" s="232">
        <f t="shared" si="19"/>
        <v>0</v>
      </c>
      <c r="M123" s="219">
        <f t="shared" si="20"/>
        <v>0</v>
      </c>
      <c r="N123" s="219">
        <f t="shared" si="21"/>
        <v>0</v>
      </c>
      <c r="O123" s="219">
        <f t="shared" si="21"/>
        <v>0</v>
      </c>
      <c r="P123" s="219">
        <f t="shared" si="22"/>
        <v>0</v>
      </c>
      <c r="Q123" s="219"/>
    </row>
    <row r="124" spans="9:17" hidden="1" x14ac:dyDescent="0.25">
      <c r="I124" s="219">
        <f t="shared" si="16"/>
        <v>0</v>
      </c>
      <c r="J124" s="219">
        <f t="shared" si="17"/>
        <v>0</v>
      </c>
      <c r="K124" s="219">
        <f t="shared" si="18"/>
        <v>0</v>
      </c>
      <c r="L124" s="232">
        <f t="shared" si="19"/>
        <v>0</v>
      </c>
      <c r="M124" s="219">
        <f t="shared" si="20"/>
        <v>0</v>
      </c>
      <c r="N124" s="219">
        <f t="shared" ref="N124:O187" si="23">AG124</f>
        <v>0</v>
      </c>
      <c r="O124" s="219">
        <f t="shared" si="23"/>
        <v>0</v>
      </c>
      <c r="P124" s="219">
        <f t="shared" si="22"/>
        <v>0</v>
      </c>
      <c r="Q124" s="219"/>
    </row>
    <row r="125" spans="9:17" hidden="1" x14ac:dyDescent="0.25">
      <c r="I125" s="219">
        <f t="shared" si="16"/>
        <v>0</v>
      </c>
      <c r="J125" s="219">
        <f t="shared" si="17"/>
        <v>0</v>
      </c>
      <c r="K125" s="219">
        <f t="shared" si="18"/>
        <v>0</v>
      </c>
      <c r="L125" s="232">
        <f t="shared" si="19"/>
        <v>0</v>
      </c>
      <c r="M125" s="219">
        <f t="shared" si="20"/>
        <v>0</v>
      </c>
      <c r="N125" s="219">
        <f t="shared" si="23"/>
        <v>0</v>
      </c>
      <c r="O125" s="219">
        <f t="shared" si="23"/>
        <v>0</v>
      </c>
      <c r="P125" s="219">
        <f t="shared" si="22"/>
        <v>0</v>
      </c>
      <c r="Q125" s="219"/>
    </row>
    <row r="126" spans="9:17" hidden="1" x14ac:dyDescent="0.25">
      <c r="I126" s="219">
        <f t="shared" si="16"/>
        <v>0</v>
      </c>
      <c r="J126" s="219">
        <f t="shared" si="17"/>
        <v>0</v>
      </c>
      <c r="K126" s="219">
        <f t="shared" si="18"/>
        <v>0</v>
      </c>
      <c r="L126" s="232">
        <f t="shared" si="19"/>
        <v>0</v>
      </c>
      <c r="M126" s="219">
        <f t="shared" si="20"/>
        <v>0</v>
      </c>
      <c r="N126" s="219">
        <f t="shared" si="23"/>
        <v>0</v>
      </c>
      <c r="O126" s="219">
        <f t="shared" si="23"/>
        <v>0</v>
      </c>
      <c r="P126" s="219">
        <f t="shared" si="22"/>
        <v>0</v>
      </c>
      <c r="Q126" s="219"/>
    </row>
    <row r="127" spans="9:17" hidden="1" x14ac:dyDescent="0.25">
      <c r="I127" s="219">
        <f t="shared" si="16"/>
        <v>0</v>
      </c>
      <c r="J127" s="219">
        <f t="shared" si="17"/>
        <v>0</v>
      </c>
      <c r="K127" s="219">
        <f t="shared" si="18"/>
        <v>0</v>
      </c>
      <c r="L127" s="232">
        <f t="shared" si="19"/>
        <v>0</v>
      </c>
      <c r="M127" s="219">
        <f t="shared" si="20"/>
        <v>0</v>
      </c>
      <c r="N127" s="219">
        <f t="shared" si="23"/>
        <v>0</v>
      </c>
      <c r="O127" s="219">
        <f t="shared" si="23"/>
        <v>0</v>
      </c>
      <c r="P127" s="219">
        <f t="shared" si="22"/>
        <v>0</v>
      </c>
      <c r="Q127" s="219"/>
    </row>
    <row r="128" spans="9:17" hidden="1" x14ac:dyDescent="0.25">
      <c r="I128" s="219">
        <f t="shared" si="16"/>
        <v>0</v>
      </c>
      <c r="J128" s="219">
        <f t="shared" si="17"/>
        <v>0</v>
      </c>
      <c r="K128" s="219">
        <f t="shared" si="18"/>
        <v>0</v>
      </c>
      <c r="L128" s="232">
        <f t="shared" si="19"/>
        <v>0</v>
      </c>
      <c r="M128" s="219">
        <f t="shared" si="20"/>
        <v>0</v>
      </c>
      <c r="N128" s="219">
        <f t="shared" si="23"/>
        <v>0</v>
      </c>
      <c r="O128" s="219">
        <f t="shared" si="23"/>
        <v>0</v>
      </c>
      <c r="P128" s="219">
        <f t="shared" si="22"/>
        <v>0</v>
      </c>
      <c r="Q128" s="219"/>
    </row>
    <row r="129" spans="9:17" hidden="1" x14ac:dyDescent="0.25">
      <c r="I129" s="219">
        <f t="shared" si="16"/>
        <v>0</v>
      </c>
      <c r="J129" s="219">
        <f t="shared" si="17"/>
        <v>0</v>
      </c>
      <c r="K129" s="219">
        <f t="shared" si="18"/>
        <v>0</v>
      </c>
      <c r="L129" s="232">
        <f t="shared" si="19"/>
        <v>0</v>
      </c>
      <c r="M129" s="219">
        <f t="shared" si="20"/>
        <v>0</v>
      </c>
      <c r="N129" s="219">
        <f t="shared" si="23"/>
        <v>0</v>
      </c>
      <c r="O129" s="219">
        <f t="shared" si="23"/>
        <v>0</v>
      </c>
      <c r="P129" s="219">
        <f t="shared" si="22"/>
        <v>0</v>
      </c>
      <c r="Q129" s="219"/>
    </row>
    <row r="130" spans="9:17" hidden="1" x14ac:dyDescent="0.25">
      <c r="I130" s="219">
        <f t="shared" si="16"/>
        <v>0</v>
      </c>
      <c r="J130" s="219">
        <f t="shared" si="17"/>
        <v>0</v>
      </c>
      <c r="K130" s="219">
        <f t="shared" si="18"/>
        <v>0</v>
      </c>
      <c r="L130" s="232">
        <f t="shared" si="19"/>
        <v>0</v>
      </c>
      <c r="M130" s="219">
        <f t="shared" si="20"/>
        <v>0</v>
      </c>
      <c r="N130" s="219">
        <f t="shared" si="23"/>
        <v>0</v>
      </c>
      <c r="O130" s="219">
        <f t="shared" si="23"/>
        <v>0</v>
      </c>
      <c r="P130" s="219">
        <f t="shared" si="22"/>
        <v>0</v>
      </c>
      <c r="Q130" s="219"/>
    </row>
    <row r="131" spans="9:17" hidden="1" x14ac:dyDescent="0.25">
      <c r="I131" s="219">
        <f t="shared" si="16"/>
        <v>0</v>
      </c>
      <c r="J131" s="219">
        <f t="shared" si="17"/>
        <v>0</v>
      </c>
      <c r="K131" s="219">
        <f t="shared" si="18"/>
        <v>0</v>
      </c>
      <c r="L131" s="232">
        <f t="shared" si="19"/>
        <v>0</v>
      </c>
      <c r="M131" s="219">
        <f t="shared" si="20"/>
        <v>0</v>
      </c>
      <c r="N131" s="219">
        <f t="shared" si="23"/>
        <v>0</v>
      </c>
      <c r="O131" s="219">
        <f t="shared" si="23"/>
        <v>0</v>
      </c>
      <c r="P131" s="219">
        <f t="shared" si="22"/>
        <v>0</v>
      </c>
      <c r="Q131" s="219"/>
    </row>
    <row r="132" spans="9:17" hidden="1" x14ac:dyDescent="0.25">
      <c r="I132" s="219">
        <f t="shared" si="16"/>
        <v>0</v>
      </c>
      <c r="J132" s="219">
        <f t="shared" si="17"/>
        <v>0</v>
      </c>
      <c r="K132" s="219">
        <f t="shared" si="18"/>
        <v>0</v>
      </c>
      <c r="L132" s="232">
        <f t="shared" si="19"/>
        <v>0</v>
      </c>
      <c r="M132" s="219">
        <f t="shared" si="20"/>
        <v>0</v>
      </c>
      <c r="N132" s="219">
        <f t="shared" si="23"/>
        <v>0</v>
      </c>
      <c r="O132" s="219">
        <f t="shared" si="23"/>
        <v>0</v>
      </c>
      <c r="P132" s="219">
        <f t="shared" si="22"/>
        <v>0</v>
      </c>
      <c r="Q132" s="219"/>
    </row>
    <row r="133" spans="9:17" hidden="1" x14ac:dyDescent="0.25">
      <c r="I133" s="219">
        <f t="shared" ref="I133:I196" si="24">SUM(R133:S133)</f>
        <v>0</v>
      </c>
      <c r="J133" s="219">
        <f t="shared" ref="J133:J196" si="25">SUM(T133:V133)</f>
        <v>0</v>
      </c>
      <c r="K133" s="219">
        <f t="shared" ref="K133:K196" si="26">W133</f>
        <v>0</v>
      </c>
      <c r="L133" s="232">
        <f t="shared" ref="L133:L196" si="27">SUM(X133:AB133)</f>
        <v>0</v>
      </c>
      <c r="M133" s="219">
        <f t="shared" ref="M133:M196" si="28">SUM(AC133:AE133)</f>
        <v>0</v>
      </c>
      <c r="N133" s="219">
        <f t="shared" si="23"/>
        <v>0</v>
      </c>
      <c r="O133" s="219">
        <f t="shared" si="23"/>
        <v>0</v>
      </c>
      <c r="P133" s="219">
        <f t="shared" ref="P133:P196" si="29">SUM(AK133:AM133)</f>
        <v>0</v>
      </c>
      <c r="Q133" s="219"/>
    </row>
    <row r="134" spans="9:17" hidden="1" x14ac:dyDescent="0.25">
      <c r="I134" s="219">
        <f t="shared" si="24"/>
        <v>0</v>
      </c>
      <c r="J134" s="219">
        <f t="shared" si="25"/>
        <v>0</v>
      </c>
      <c r="K134" s="219">
        <f t="shared" si="26"/>
        <v>0</v>
      </c>
      <c r="L134" s="232">
        <f t="shared" si="27"/>
        <v>0</v>
      </c>
      <c r="M134" s="219">
        <f t="shared" si="28"/>
        <v>0</v>
      </c>
      <c r="N134" s="219">
        <f t="shared" si="23"/>
        <v>0</v>
      </c>
      <c r="O134" s="219">
        <f t="shared" si="23"/>
        <v>0</v>
      </c>
      <c r="P134" s="219">
        <f t="shared" si="29"/>
        <v>0</v>
      </c>
      <c r="Q134" s="219"/>
    </row>
    <row r="135" spans="9:17" hidden="1" x14ac:dyDescent="0.25">
      <c r="I135" s="219">
        <f t="shared" si="24"/>
        <v>0</v>
      </c>
      <c r="J135" s="219">
        <f t="shared" si="25"/>
        <v>0</v>
      </c>
      <c r="K135" s="219">
        <f t="shared" si="26"/>
        <v>0</v>
      </c>
      <c r="L135" s="232">
        <f t="shared" si="27"/>
        <v>0</v>
      </c>
      <c r="M135" s="219">
        <f t="shared" si="28"/>
        <v>0</v>
      </c>
      <c r="N135" s="219">
        <f t="shared" si="23"/>
        <v>0</v>
      </c>
      <c r="O135" s="219">
        <f t="shared" si="23"/>
        <v>0</v>
      </c>
      <c r="P135" s="219">
        <f t="shared" si="29"/>
        <v>0</v>
      </c>
      <c r="Q135" s="219"/>
    </row>
    <row r="136" spans="9:17" hidden="1" x14ac:dyDescent="0.25">
      <c r="I136" s="219">
        <f t="shared" si="24"/>
        <v>0</v>
      </c>
      <c r="J136" s="219">
        <f t="shared" si="25"/>
        <v>0</v>
      </c>
      <c r="K136" s="219">
        <f t="shared" si="26"/>
        <v>0</v>
      </c>
      <c r="L136" s="232">
        <f t="shared" si="27"/>
        <v>0</v>
      </c>
      <c r="M136" s="219">
        <f t="shared" si="28"/>
        <v>0</v>
      </c>
      <c r="N136" s="219">
        <f t="shared" si="23"/>
        <v>0</v>
      </c>
      <c r="O136" s="219">
        <f t="shared" si="23"/>
        <v>0</v>
      </c>
      <c r="P136" s="219">
        <f t="shared" si="29"/>
        <v>0</v>
      </c>
      <c r="Q136" s="219"/>
    </row>
    <row r="137" spans="9:17" hidden="1" x14ac:dyDescent="0.25">
      <c r="I137" s="219">
        <f t="shared" si="24"/>
        <v>0</v>
      </c>
      <c r="J137" s="219">
        <f t="shared" si="25"/>
        <v>0</v>
      </c>
      <c r="K137" s="219">
        <f t="shared" si="26"/>
        <v>0</v>
      </c>
      <c r="L137" s="232">
        <f t="shared" si="27"/>
        <v>0</v>
      </c>
      <c r="M137" s="219">
        <f t="shared" si="28"/>
        <v>0</v>
      </c>
      <c r="N137" s="219">
        <f t="shared" si="23"/>
        <v>0</v>
      </c>
      <c r="O137" s="219">
        <f t="shared" si="23"/>
        <v>0</v>
      </c>
      <c r="P137" s="219">
        <f t="shared" si="29"/>
        <v>0</v>
      </c>
      <c r="Q137" s="219"/>
    </row>
    <row r="138" spans="9:17" hidden="1" x14ac:dyDescent="0.25">
      <c r="I138" s="219">
        <f t="shared" si="24"/>
        <v>0</v>
      </c>
      <c r="J138" s="219">
        <f t="shared" si="25"/>
        <v>0</v>
      </c>
      <c r="K138" s="219">
        <f t="shared" si="26"/>
        <v>0</v>
      </c>
      <c r="L138" s="232">
        <f t="shared" si="27"/>
        <v>0</v>
      </c>
      <c r="M138" s="219">
        <f t="shared" si="28"/>
        <v>0</v>
      </c>
      <c r="N138" s="219">
        <f t="shared" si="23"/>
        <v>0</v>
      </c>
      <c r="O138" s="219">
        <f t="shared" si="23"/>
        <v>0</v>
      </c>
      <c r="P138" s="219">
        <f t="shared" si="29"/>
        <v>0</v>
      </c>
      <c r="Q138" s="219"/>
    </row>
    <row r="139" spans="9:17" hidden="1" x14ac:dyDescent="0.25">
      <c r="I139" s="219">
        <f t="shared" si="24"/>
        <v>0</v>
      </c>
      <c r="J139" s="219">
        <f t="shared" si="25"/>
        <v>0</v>
      </c>
      <c r="K139" s="219">
        <f t="shared" si="26"/>
        <v>0</v>
      </c>
      <c r="L139" s="232">
        <f t="shared" si="27"/>
        <v>0</v>
      </c>
      <c r="M139" s="219">
        <f t="shared" si="28"/>
        <v>0</v>
      </c>
      <c r="N139" s="219">
        <f t="shared" si="23"/>
        <v>0</v>
      </c>
      <c r="O139" s="219">
        <f t="shared" si="23"/>
        <v>0</v>
      </c>
      <c r="P139" s="219">
        <f t="shared" si="29"/>
        <v>0</v>
      </c>
      <c r="Q139" s="219"/>
    </row>
    <row r="140" spans="9:17" hidden="1" x14ac:dyDescent="0.25">
      <c r="I140" s="219">
        <f t="shared" si="24"/>
        <v>0</v>
      </c>
      <c r="J140" s="219">
        <f t="shared" si="25"/>
        <v>0</v>
      </c>
      <c r="K140" s="219">
        <f t="shared" si="26"/>
        <v>0</v>
      </c>
      <c r="L140" s="232">
        <f t="shared" si="27"/>
        <v>0</v>
      </c>
      <c r="M140" s="219">
        <f t="shared" si="28"/>
        <v>0</v>
      </c>
      <c r="N140" s="219">
        <f t="shared" si="23"/>
        <v>0</v>
      </c>
      <c r="O140" s="219">
        <f t="shared" si="23"/>
        <v>0</v>
      </c>
      <c r="P140" s="219">
        <f t="shared" si="29"/>
        <v>0</v>
      </c>
      <c r="Q140" s="219"/>
    </row>
    <row r="141" spans="9:17" hidden="1" x14ac:dyDescent="0.25">
      <c r="I141" s="219">
        <f t="shared" si="24"/>
        <v>0</v>
      </c>
      <c r="J141" s="219">
        <f t="shared" si="25"/>
        <v>0</v>
      </c>
      <c r="K141" s="219">
        <f t="shared" si="26"/>
        <v>0</v>
      </c>
      <c r="L141" s="232">
        <f t="shared" si="27"/>
        <v>0</v>
      </c>
      <c r="M141" s="219">
        <f t="shared" si="28"/>
        <v>0</v>
      </c>
      <c r="N141" s="219">
        <f t="shared" si="23"/>
        <v>0</v>
      </c>
      <c r="O141" s="219">
        <f t="shared" si="23"/>
        <v>0</v>
      </c>
      <c r="P141" s="219">
        <f t="shared" si="29"/>
        <v>0</v>
      </c>
      <c r="Q141" s="219"/>
    </row>
    <row r="142" spans="9:17" hidden="1" x14ac:dyDescent="0.25">
      <c r="I142" s="219">
        <f t="shared" si="24"/>
        <v>0</v>
      </c>
      <c r="J142" s="219">
        <f t="shared" si="25"/>
        <v>0</v>
      </c>
      <c r="K142" s="219">
        <f t="shared" si="26"/>
        <v>0</v>
      </c>
      <c r="L142" s="232">
        <f t="shared" si="27"/>
        <v>0</v>
      </c>
      <c r="M142" s="219">
        <f t="shared" si="28"/>
        <v>0</v>
      </c>
      <c r="N142" s="219">
        <f t="shared" si="23"/>
        <v>0</v>
      </c>
      <c r="O142" s="219">
        <f t="shared" si="23"/>
        <v>0</v>
      </c>
      <c r="P142" s="219">
        <f t="shared" si="29"/>
        <v>0</v>
      </c>
      <c r="Q142" s="219"/>
    </row>
    <row r="143" spans="9:17" hidden="1" x14ac:dyDescent="0.25">
      <c r="I143" s="219">
        <f t="shared" si="24"/>
        <v>0</v>
      </c>
      <c r="J143" s="219">
        <f t="shared" si="25"/>
        <v>0</v>
      </c>
      <c r="K143" s="219">
        <f t="shared" si="26"/>
        <v>0</v>
      </c>
      <c r="L143" s="232">
        <f t="shared" si="27"/>
        <v>0</v>
      </c>
      <c r="M143" s="219">
        <f t="shared" si="28"/>
        <v>0</v>
      </c>
      <c r="N143" s="219">
        <f t="shared" si="23"/>
        <v>0</v>
      </c>
      <c r="O143" s="219">
        <f t="shared" si="23"/>
        <v>0</v>
      </c>
      <c r="P143" s="219">
        <f t="shared" si="29"/>
        <v>0</v>
      </c>
      <c r="Q143" s="219"/>
    </row>
    <row r="144" spans="9:17" hidden="1" x14ac:dyDescent="0.25">
      <c r="I144" s="219">
        <f t="shared" si="24"/>
        <v>0</v>
      </c>
      <c r="J144" s="219">
        <f t="shared" si="25"/>
        <v>0</v>
      </c>
      <c r="K144" s="219">
        <f t="shared" si="26"/>
        <v>0</v>
      </c>
      <c r="L144" s="232">
        <f t="shared" si="27"/>
        <v>0</v>
      </c>
      <c r="M144" s="219">
        <f t="shared" si="28"/>
        <v>0</v>
      </c>
      <c r="N144" s="219">
        <f t="shared" si="23"/>
        <v>0</v>
      </c>
      <c r="O144" s="219">
        <f t="shared" si="23"/>
        <v>0</v>
      </c>
      <c r="P144" s="219">
        <f t="shared" si="29"/>
        <v>0</v>
      </c>
      <c r="Q144" s="219"/>
    </row>
    <row r="145" spans="9:17" hidden="1" x14ac:dyDescent="0.25">
      <c r="I145" s="219">
        <f t="shared" si="24"/>
        <v>0</v>
      </c>
      <c r="J145" s="219">
        <f t="shared" si="25"/>
        <v>0</v>
      </c>
      <c r="K145" s="219">
        <f t="shared" si="26"/>
        <v>0</v>
      </c>
      <c r="L145" s="232">
        <f t="shared" si="27"/>
        <v>0</v>
      </c>
      <c r="M145" s="219">
        <f t="shared" si="28"/>
        <v>0</v>
      </c>
      <c r="N145" s="219">
        <f t="shared" si="23"/>
        <v>0</v>
      </c>
      <c r="O145" s="219">
        <f t="shared" si="23"/>
        <v>0</v>
      </c>
      <c r="P145" s="219">
        <f t="shared" si="29"/>
        <v>0</v>
      </c>
      <c r="Q145" s="219"/>
    </row>
    <row r="146" spans="9:17" hidden="1" x14ac:dyDescent="0.25">
      <c r="I146" s="219">
        <f t="shared" si="24"/>
        <v>0</v>
      </c>
      <c r="J146" s="219">
        <f t="shared" si="25"/>
        <v>0</v>
      </c>
      <c r="K146" s="219">
        <f t="shared" si="26"/>
        <v>0</v>
      </c>
      <c r="L146" s="232">
        <f t="shared" si="27"/>
        <v>0</v>
      </c>
      <c r="M146" s="219">
        <f t="shared" si="28"/>
        <v>0</v>
      </c>
      <c r="N146" s="219">
        <f t="shared" si="23"/>
        <v>0</v>
      </c>
      <c r="O146" s="219">
        <f t="shared" si="23"/>
        <v>0</v>
      </c>
      <c r="P146" s="219">
        <f t="shared" si="29"/>
        <v>0</v>
      </c>
      <c r="Q146" s="219"/>
    </row>
    <row r="147" spans="9:17" hidden="1" x14ac:dyDescent="0.25">
      <c r="I147" s="219">
        <f t="shared" si="24"/>
        <v>0</v>
      </c>
      <c r="J147" s="219">
        <f t="shared" si="25"/>
        <v>0</v>
      </c>
      <c r="K147" s="219">
        <f t="shared" si="26"/>
        <v>0</v>
      </c>
      <c r="L147" s="232">
        <f t="shared" si="27"/>
        <v>0</v>
      </c>
      <c r="M147" s="219">
        <f t="shared" si="28"/>
        <v>0</v>
      </c>
      <c r="N147" s="219">
        <f t="shared" si="23"/>
        <v>0</v>
      </c>
      <c r="O147" s="219">
        <f t="shared" si="23"/>
        <v>0</v>
      </c>
      <c r="P147" s="219">
        <f t="shared" si="29"/>
        <v>0</v>
      </c>
      <c r="Q147" s="219"/>
    </row>
    <row r="148" spans="9:17" hidden="1" x14ac:dyDescent="0.25">
      <c r="I148" s="219">
        <f t="shared" si="24"/>
        <v>0</v>
      </c>
      <c r="J148" s="219">
        <f t="shared" si="25"/>
        <v>0</v>
      </c>
      <c r="K148" s="219">
        <f t="shared" si="26"/>
        <v>0</v>
      </c>
      <c r="L148" s="232">
        <f t="shared" si="27"/>
        <v>0</v>
      </c>
      <c r="M148" s="219">
        <f t="shared" si="28"/>
        <v>0</v>
      </c>
      <c r="N148" s="219">
        <f t="shared" si="23"/>
        <v>0</v>
      </c>
      <c r="O148" s="219">
        <f t="shared" si="23"/>
        <v>0</v>
      </c>
      <c r="P148" s="219">
        <f t="shared" si="29"/>
        <v>0</v>
      </c>
      <c r="Q148" s="219"/>
    </row>
    <row r="149" spans="9:17" hidden="1" x14ac:dyDescent="0.25">
      <c r="I149" s="219">
        <f t="shared" si="24"/>
        <v>0</v>
      </c>
      <c r="J149" s="219">
        <f t="shared" si="25"/>
        <v>0</v>
      </c>
      <c r="K149" s="219">
        <f t="shared" si="26"/>
        <v>0</v>
      </c>
      <c r="L149" s="232">
        <f t="shared" si="27"/>
        <v>0</v>
      </c>
      <c r="M149" s="219">
        <f t="shared" si="28"/>
        <v>0</v>
      </c>
      <c r="N149" s="219">
        <f t="shared" si="23"/>
        <v>0</v>
      </c>
      <c r="O149" s="219">
        <f t="shared" si="23"/>
        <v>0</v>
      </c>
      <c r="P149" s="219">
        <f t="shared" si="29"/>
        <v>0</v>
      </c>
      <c r="Q149" s="219"/>
    </row>
    <row r="150" spans="9:17" hidden="1" x14ac:dyDescent="0.25">
      <c r="I150" s="219">
        <f t="shared" si="24"/>
        <v>0</v>
      </c>
      <c r="J150" s="219">
        <f t="shared" si="25"/>
        <v>0</v>
      </c>
      <c r="K150" s="219">
        <f t="shared" si="26"/>
        <v>0</v>
      </c>
      <c r="L150" s="232">
        <f t="shared" si="27"/>
        <v>0</v>
      </c>
      <c r="M150" s="219">
        <f t="shared" si="28"/>
        <v>0</v>
      </c>
      <c r="N150" s="219">
        <f t="shared" si="23"/>
        <v>0</v>
      </c>
      <c r="O150" s="219">
        <f t="shared" si="23"/>
        <v>0</v>
      </c>
      <c r="P150" s="219">
        <f t="shared" si="29"/>
        <v>0</v>
      </c>
      <c r="Q150" s="219"/>
    </row>
    <row r="151" spans="9:17" hidden="1" x14ac:dyDescent="0.25">
      <c r="I151" s="219">
        <f t="shared" si="24"/>
        <v>0</v>
      </c>
      <c r="J151" s="219">
        <f t="shared" si="25"/>
        <v>0</v>
      </c>
      <c r="K151" s="219">
        <f t="shared" si="26"/>
        <v>0</v>
      </c>
      <c r="L151" s="232">
        <f t="shared" si="27"/>
        <v>0</v>
      </c>
      <c r="M151" s="219">
        <f t="shared" si="28"/>
        <v>0</v>
      </c>
      <c r="N151" s="219">
        <f t="shared" si="23"/>
        <v>0</v>
      </c>
      <c r="O151" s="219">
        <f t="shared" si="23"/>
        <v>0</v>
      </c>
      <c r="P151" s="219">
        <f t="shared" si="29"/>
        <v>0</v>
      </c>
      <c r="Q151" s="219"/>
    </row>
    <row r="152" spans="9:17" hidden="1" x14ac:dyDescent="0.25">
      <c r="I152" s="219">
        <f t="shared" si="24"/>
        <v>0</v>
      </c>
      <c r="J152" s="219">
        <f t="shared" si="25"/>
        <v>0</v>
      </c>
      <c r="K152" s="219">
        <f t="shared" si="26"/>
        <v>0</v>
      </c>
      <c r="L152" s="232">
        <f t="shared" si="27"/>
        <v>0</v>
      </c>
      <c r="M152" s="219">
        <f t="shared" si="28"/>
        <v>0</v>
      </c>
      <c r="N152" s="219">
        <f t="shared" si="23"/>
        <v>0</v>
      </c>
      <c r="O152" s="219">
        <f t="shared" si="23"/>
        <v>0</v>
      </c>
      <c r="P152" s="219">
        <f t="shared" si="29"/>
        <v>0</v>
      </c>
      <c r="Q152" s="219"/>
    </row>
    <row r="153" spans="9:17" hidden="1" x14ac:dyDescent="0.25">
      <c r="I153" s="219">
        <f t="shared" si="24"/>
        <v>0</v>
      </c>
      <c r="J153" s="219">
        <f t="shared" si="25"/>
        <v>0</v>
      </c>
      <c r="K153" s="219">
        <f t="shared" si="26"/>
        <v>0</v>
      </c>
      <c r="L153" s="232">
        <f t="shared" si="27"/>
        <v>0</v>
      </c>
      <c r="M153" s="219">
        <f t="shared" si="28"/>
        <v>0</v>
      </c>
      <c r="N153" s="219">
        <f t="shared" si="23"/>
        <v>0</v>
      </c>
      <c r="O153" s="219">
        <f t="shared" si="23"/>
        <v>0</v>
      </c>
      <c r="P153" s="219">
        <f t="shared" si="29"/>
        <v>0</v>
      </c>
      <c r="Q153" s="219"/>
    </row>
    <row r="154" spans="9:17" hidden="1" x14ac:dyDescent="0.25">
      <c r="I154" s="219">
        <f t="shared" si="24"/>
        <v>0</v>
      </c>
      <c r="J154" s="219">
        <f t="shared" si="25"/>
        <v>0</v>
      </c>
      <c r="K154" s="219">
        <f t="shared" si="26"/>
        <v>0</v>
      </c>
      <c r="L154" s="232">
        <f t="shared" si="27"/>
        <v>0</v>
      </c>
      <c r="M154" s="219">
        <f t="shared" si="28"/>
        <v>0</v>
      </c>
      <c r="N154" s="219">
        <f t="shared" si="23"/>
        <v>0</v>
      </c>
      <c r="O154" s="219">
        <f t="shared" si="23"/>
        <v>0</v>
      </c>
      <c r="P154" s="219">
        <f t="shared" si="29"/>
        <v>0</v>
      </c>
      <c r="Q154" s="219"/>
    </row>
    <row r="155" spans="9:17" hidden="1" x14ac:dyDescent="0.25">
      <c r="I155" s="219">
        <f t="shared" si="24"/>
        <v>0</v>
      </c>
      <c r="J155" s="219">
        <f t="shared" si="25"/>
        <v>0</v>
      </c>
      <c r="K155" s="219">
        <f t="shared" si="26"/>
        <v>0</v>
      </c>
      <c r="L155" s="232">
        <f t="shared" si="27"/>
        <v>0</v>
      </c>
      <c r="M155" s="219">
        <f t="shared" si="28"/>
        <v>0</v>
      </c>
      <c r="N155" s="219">
        <f t="shared" si="23"/>
        <v>0</v>
      </c>
      <c r="O155" s="219">
        <f t="shared" si="23"/>
        <v>0</v>
      </c>
      <c r="P155" s="219">
        <f t="shared" si="29"/>
        <v>0</v>
      </c>
      <c r="Q155" s="219"/>
    </row>
    <row r="156" spans="9:17" hidden="1" x14ac:dyDescent="0.25">
      <c r="I156" s="219">
        <f t="shared" si="24"/>
        <v>0</v>
      </c>
      <c r="J156" s="219">
        <f t="shared" si="25"/>
        <v>0</v>
      </c>
      <c r="K156" s="219">
        <f t="shared" si="26"/>
        <v>0</v>
      </c>
      <c r="L156" s="232">
        <f t="shared" si="27"/>
        <v>0</v>
      </c>
      <c r="M156" s="219">
        <f t="shared" si="28"/>
        <v>0</v>
      </c>
      <c r="N156" s="219">
        <f t="shared" si="23"/>
        <v>0</v>
      </c>
      <c r="O156" s="219">
        <f t="shared" si="23"/>
        <v>0</v>
      </c>
      <c r="P156" s="219">
        <f t="shared" si="29"/>
        <v>0</v>
      </c>
      <c r="Q156" s="219"/>
    </row>
    <row r="157" spans="9:17" hidden="1" x14ac:dyDescent="0.25">
      <c r="I157" s="219">
        <f t="shared" si="24"/>
        <v>0</v>
      </c>
      <c r="J157" s="219">
        <f t="shared" si="25"/>
        <v>0</v>
      </c>
      <c r="K157" s="219">
        <f t="shared" si="26"/>
        <v>0</v>
      </c>
      <c r="L157" s="232">
        <f t="shared" si="27"/>
        <v>0</v>
      </c>
      <c r="M157" s="219">
        <f t="shared" si="28"/>
        <v>0</v>
      </c>
      <c r="N157" s="219">
        <f t="shared" si="23"/>
        <v>0</v>
      </c>
      <c r="O157" s="219">
        <f t="shared" si="23"/>
        <v>0</v>
      </c>
      <c r="P157" s="219">
        <f t="shared" si="29"/>
        <v>0</v>
      </c>
      <c r="Q157" s="219"/>
    </row>
    <row r="158" spans="9:17" hidden="1" x14ac:dyDescent="0.25">
      <c r="I158" s="219">
        <f t="shared" si="24"/>
        <v>0</v>
      </c>
      <c r="J158" s="219">
        <f t="shared" si="25"/>
        <v>0</v>
      </c>
      <c r="K158" s="219">
        <f t="shared" si="26"/>
        <v>0</v>
      </c>
      <c r="L158" s="232">
        <f t="shared" si="27"/>
        <v>0</v>
      </c>
      <c r="M158" s="219">
        <f t="shared" si="28"/>
        <v>0</v>
      </c>
      <c r="N158" s="219">
        <f t="shared" si="23"/>
        <v>0</v>
      </c>
      <c r="O158" s="219">
        <f t="shared" si="23"/>
        <v>0</v>
      </c>
      <c r="P158" s="219">
        <f t="shared" si="29"/>
        <v>0</v>
      </c>
      <c r="Q158" s="219"/>
    </row>
    <row r="159" spans="9:17" hidden="1" x14ac:dyDescent="0.25">
      <c r="I159" s="219">
        <f t="shared" si="24"/>
        <v>0</v>
      </c>
      <c r="J159" s="219">
        <f t="shared" si="25"/>
        <v>0</v>
      </c>
      <c r="K159" s="219">
        <f t="shared" si="26"/>
        <v>0</v>
      </c>
      <c r="L159" s="232">
        <f t="shared" si="27"/>
        <v>0</v>
      </c>
      <c r="M159" s="219">
        <f t="shared" si="28"/>
        <v>0</v>
      </c>
      <c r="N159" s="219">
        <f t="shared" si="23"/>
        <v>0</v>
      </c>
      <c r="O159" s="219">
        <f t="shared" si="23"/>
        <v>0</v>
      </c>
      <c r="P159" s="219">
        <f t="shared" si="29"/>
        <v>0</v>
      </c>
      <c r="Q159" s="219"/>
    </row>
    <row r="160" spans="9:17" hidden="1" x14ac:dyDescent="0.25">
      <c r="I160" s="219">
        <f t="shared" si="24"/>
        <v>0</v>
      </c>
      <c r="J160" s="219">
        <f t="shared" si="25"/>
        <v>0</v>
      </c>
      <c r="K160" s="219">
        <f t="shared" si="26"/>
        <v>0</v>
      </c>
      <c r="L160" s="232">
        <f t="shared" si="27"/>
        <v>0</v>
      </c>
      <c r="M160" s="219">
        <f t="shared" si="28"/>
        <v>0</v>
      </c>
      <c r="N160" s="219">
        <f t="shared" si="23"/>
        <v>0</v>
      </c>
      <c r="O160" s="219">
        <f t="shared" si="23"/>
        <v>0</v>
      </c>
      <c r="P160" s="219">
        <f t="shared" si="29"/>
        <v>0</v>
      </c>
      <c r="Q160" s="219"/>
    </row>
    <row r="161" spans="9:17" hidden="1" x14ac:dyDescent="0.25">
      <c r="I161" s="219">
        <f t="shared" si="24"/>
        <v>0</v>
      </c>
      <c r="J161" s="219">
        <f t="shared" si="25"/>
        <v>0</v>
      </c>
      <c r="K161" s="219">
        <f t="shared" si="26"/>
        <v>0</v>
      </c>
      <c r="L161" s="232">
        <f t="shared" si="27"/>
        <v>0</v>
      </c>
      <c r="M161" s="219">
        <f t="shared" si="28"/>
        <v>0</v>
      </c>
      <c r="N161" s="219">
        <f t="shared" si="23"/>
        <v>0</v>
      </c>
      <c r="O161" s="219">
        <f t="shared" si="23"/>
        <v>0</v>
      </c>
      <c r="P161" s="219">
        <f t="shared" si="29"/>
        <v>0</v>
      </c>
      <c r="Q161" s="219"/>
    </row>
    <row r="162" spans="9:17" hidden="1" x14ac:dyDescent="0.25">
      <c r="I162" s="219">
        <f t="shared" si="24"/>
        <v>0</v>
      </c>
      <c r="J162" s="219">
        <f t="shared" si="25"/>
        <v>0</v>
      </c>
      <c r="K162" s="219">
        <f t="shared" si="26"/>
        <v>0</v>
      </c>
      <c r="L162" s="232">
        <f t="shared" si="27"/>
        <v>0</v>
      </c>
      <c r="M162" s="219">
        <f t="shared" si="28"/>
        <v>0</v>
      </c>
      <c r="N162" s="219">
        <f t="shared" si="23"/>
        <v>0</v>
      </c>
      <c r="O162" s="219">
        <f t="shared" si="23"/>
        <v>0</v>
      </c>
      <c r="P162" s="219">
        <f t="shared" si="29"/>
        <v>0</v>
      </c>
      <c r="Q162" s="219"/>
    </row>
    <row r="163" spans="9:17" hidden="1" x14ac:dyDescent="0.25">
      <c r="I163" s="219">
        <f t="shared" si="24"/>
        <v>0</v>
      </c>
      <c r="J163" s="219">
        <f t="shared" si="25"/>
        <v>0</v>
      </c>
      <c r="K163" s="219">
        <f t="shared" si="26"/>
        <v>0</v>
      </c>
      <c r="L163" s="232">
        <f t="shared" si="27"/>
        <v>0</v>
      </c>
      <c r="M163" s="219">
        <f t="shared" si="28"/>
        <v>0</v>
      </c>
      <c r="N163" s="219">
        <f t="shared" si="23"/>
        <v>0</v>
      </c>
      <c r="O163" s="219">
        <f t="shared" si="23"/>
        <v>0</v>
      </c>
      <c r="P163" s="219">
        <f t="shared" si="29"/>
        <v>0</v>
      </c>
      <c r="Q163" s="219"/>
    </row>
    <row r="164" spans="9:17" hidden="1" x14ac:dyDescent="0.25">
      <c r="I164" s="219">
        <f t="shared" si="24"/>
        <v>0</v>
      </c>
      <c r="J164" s="219">
        <f t="shared" si="25"/>
        <v>0</v>
      </c>
      <c r="K164" s="219">
        <f t="shared" si="26"/>
        <v>0</v>
      </c>
      <c r="L164" s="232">
        <f t="shared" si="27"/>
        <v>0</v>
      </c>
      <c r="M164" s="219">
        <f t="shared" si="28"/>
        <v>0</v>
      </c>
      <c r="N164" s="219">
        <f t="shared" si="23"/>
        <v>0</v>
      </c>
      <c r="O164" s="219">
        <f t="shared" si="23"/>
        <v>0</v>
      </c>
      <c r="P164" s="219">
        <f t="shared" si="29"/>
        <v>0</v>
      </c>
      <c r="Q164" s="219"/>
    </row>
    <row r="165" spans="9:17" hidden="1" x14ac:dyDescent="0.25">
      <c r="I165" s="219">
        <f t="shared" si="24"/>
        <v>0</v>
      </c>
      <c r="J165" s="219">
        <f t="shared" si="25"/>
        <v>0</v>
      </c>
      <c r="K165" s="219">
        <f t="shared" si="26"/>
        <v>0</v>
      </c>
      <c r="L165" s="232">
        <f t="shared" si="27"/>
        <v>0</v>
      </c>
      <c r="M165" s="219">
        <f t="shared" si="28"/>
        <v>0</v>
      </c>
      <c r="N165" s="219">
        <f t="shared" si="23"/>
        <v>0</v>
      </c>
      <c r="O165" s="219">
        <f t="shared" si="23"/>
        <v>0</v>
      </c>
      <c r="P165" s="219">
        <f t="shared" si="29"/>
        <v>0</v>
      </c>
      <c r="Q165" s="219"/>
    </row>
    <row r="166" spans="9:17" hidden="1" x14ac:dyDescent="0.25">
      <c r="I166" s="219">
        <f t="shared" si="24"/>
        <v>0</v>
      </c>
      <c r="J166" s="219">
        <f t="shared" si="25"/>
        <v>0</v>
      </c>
      <c r="K166" s="219">
        <f t="shared" si="26"/>
        <v>0</v>
      </c>
      <c r="L166" s="232">
        <f t="shared" si="27"/>
        <v>0</v>
      </c>
      <c r="M166" s="219">
        <f t="shared" si="28"/>
        <v>0</v>
      </c>
      <c r="N166" s="219">
        <f t="shared" si="23"/>
        <v>0</v>
      </c>
      <c r="O166" s="219">
        <f t="shared" si="23"/>
        <v>0</v>
      </c>
      <c r="P166" s="219">
        <f t="shared" si="29"/>
        <v>0</v>
      </c>
      <c r="Q166" s="219"/>
    </row>
    <row r="167" spans="9:17" hidden="1" x14ac:dyDescent="0.25">
      <c r="I167" s="219">
        <f t="shared" si="24"/>
        <v>0</v>
      </c>
      <c r="J167" s="219">
        <f t="shared" si="25"/>
        <v>0</v>
      </c>
      <c r="K167" s="219">
        <f t="shared" si="26"/>
        <v>0</v>
      </c>
      <c r="L167" s="232">
        <f t="shared" si="27"/>
        <v>0</v>
      </c>
      <c r="M167" s="219">
        <f t="shared" si="28"/>
        <v>0</v>
      </c>
      <c r="N167" s="219">
        <f t="shared" si="23"/>
        <v>0</v>
      </c>
      <c r="O167" s="219">
        <f t="shared" si="23"/>
        <v>0</v>
      </c>
      <c r="P167" s="219">
        <f t="shared" si="29"/>
        <v>0</v>
      </c>
      <c r="Q167" s="219"/>
    </row>
    <row r="168" spans="9:17" hidden="1" x14ac:dyDescent="0.25">
      <c r="I168" s="219">
        <f t="shared" si="24"/>
        <v>0</v>
      </c>
      <c r="J168" s="219">
        <f t="shared" si="25"/>
        <v>0</v>
      </c>
      <c r="K168" s="219">
        <f t="shared" si="26"/>
        <v>0</v>
      </c>
      <c r="L168" s="232">
        <f t="shared" si="27"/>
        <v>0</v>
      </c>
      <c r="M168" s="219">
        <f t="shared" si="28"/>
        <v>0</v>
      </c>
      <c r="N168" s="219">
        <f t="shared" si="23"/>
        <v>0</v>
      </c>
      <c r="O168" s="219">
        <f t="shared" si="23"/>
        <v>0</v>
      </c>
      <c r="P168" s="219">
        <f t="shared" si="29"/>
        <v>0</v>
      </c>
      <c r="Q168" s="219"/>
    </row>
    <row r="169" spans="9:17" hidden="1" x14ac:dyDescent="0.25">
      <c r="I169" s="219">
        <f t="shared" si="24"/>
        <v>0</v>
      </c>
      <c r="J169" s="219">
        <f t="shared" si="25"/>
        <v>0</v>
      </c>
      <c r="K169" s="219">
        <f t="shared" si="26"/>
        <v>0</v>
      </c>
      <c r="L169" s="232">
        <f t="shared" si="27"/>
        <v>0</v>
      </c>
      <c r="M169" s="219">
        <f t="shared" si="28"/>
        <v>0</v>
      </c>
      <c r="N169" s="219">
        <f t="shared" si="23"/>
        <v>0</v>
      </c>
      <c r="O169" s="219">
        <f t="shared" si="23"/>
        <v>0</v>
      </c>
      <c r="P169" s="219">
        <f t="shared" si="29"/>
        <v>0</v>
      </c>
      <c r="Q169" s="219"/>
    </row>
    <row r="170" spans="9:17" hidden="1" x14ac:dyDescent="0.25">
      <c r="I170" s="219">
        <f t="shared" si="24"/>
        <v>0</v>
      </c>
      <c r="J170" s="219">
        <f t="shared" si="25"/>
        <v>0</v>
      </c>
      <c r="K170" s="219">
        <f t="shared" si="26"/>
        <v>0</v>
      </c>
      <c r="L170" s="232">
        <f t="shared" si="27"/>
        <v>0</v>
      </c>
      <c r="M170" s="219">
        <f t="shared" si="28"/>
        <v>0</v>
      </c>
      <c r="N170" s="219">
        <f t="shared" si="23"/>
        <v>0</v>
      </c>
      <c r="O170" s="219">
        <f t="shared" si="23"/>
        <v>0</v>
      </c>
      <c r="P170" s="219">
        <f t="shared" si="29"/>
        <v>0</v>
      </c>
      <c r="Q170" s="219"/>
    </row>
    <row r="171" spans="9:17" hidden="1" x14ac:dyDescent="0.25">
      <c r="I171" s="219">
        <f t="shared" si="24"/>
        <v>0</v>
      </c>
      <c r="J171" s="219">
        <f t="shared" si="25"/>
        <v>0</v>
      </c>
      <c r="K171" s="219">
        <f t="shared" si="26"/>
        <v>0</v>
      </c>
      <c r="L171" s="232">
        <f t="shared" si="27"/>
        <v>0</v>
      </c>
      <c r="M171" s="219">
        <f t="shared" si="28"/>
        <v>0</v>
      </c>
      <c r="N171" s="219">
        <f t="shared" si="23"/>
        <v>0</v>
      </c>
      <c r="O171" s="219">
        <f t="shared" si="23"/>
        <v>0</v>
      </c>
      <c r="P171" s="219">
        <f t="shared" si="29"/>
        <v>0</v>
      </c>
      <c r="Q171" s="219"/>
    </row>
    <row r="172" spans="9:17" hidden="1" x14ac:dyDescent="0.25">
      <c r="I172" s="219">
        <f t="shared" si="24"/>
        <v>0</v>
      </c>
      <c r="J172" s="219">
        <f t="shared" si="25"/>
        <v>0</v>
      </c>
      <c r="K172" s="219">
        <f t="shared" si="26"/>
        <v>0</v>
      </c>
      <c r="L172" s="232">
        <f t="shared" si="27"/>
        <v>0</v>
      </c>
      <c r="M172" s="219">
        <f t="shared" si="28"/>
        <v>0</v>
      </c>
      <c r="N172" s="219">
        <f t="shared" si="23"/>
        <v>0</v>
      </c>
      <c r="O172" s="219">
        <f t="shared" si="23"/>
        <v>0</v>
      </c>
      <c r="P172" s="219">
        <f t="shared" si="29"/>
        <v>0</v>
      </c>
      <c r="Q172" s="219"/>
    </row>
    <row r="173" spans="9:17" hidden="1" x14ac:dyDescent="0.25">
      <c r="I173" s="219">
        <f t="shared" si="24"/>
        <v>0</v>
      </c>
      <c r="J173" s="219">
        <f t="shared" si="25"/>
        <v>0</v>
      </c>
      <c r="K173" s="219">
        <f t="shared" si="26"/>
        <v>0</v>
      </c>
      <c r="L173" s="232">
        <f t="shared" si="27"/>
        <v>0</v>
      </c>
      <c r="M173" s="219">
        <f t="shared" si="28"/>
        <v>0</v>
      </c>
      <c r="N173" s="219">
        <f t="shared" si="23"/>
        <v>0</v>
      </c>
      <c r="O173" s="219">
        <f t="shared" si="23"/>
        <v>0</v>
      </c>
      <c r="P173" s="219">
        <f t="shared" si="29"/>
        <v>0</v>
      </c>
      <c r="Q173" s="219"/>
    </row>
    <row r="174" spans="9:17" hidden="1" x14ac:dyDescent="0.25">
      <c r="I174" s="219">
        <f t="shared" si="24"/>
        <v>0</v>
      </c>
      <c r="J174" s="219">
        <f t="shared" si="25"/>
        <v>0</v>
      </c>
      <c r="K174" s="219">
        <f t="shared" si="26"/>
        <v>0</v>
      </c>
      <c r="L174" s="232">
        <f t="shared" si="27"/>
        <v>0</v>
      </c>
      <c r="M174" s="219">
        <f t="shared" si="28"/>
        <v>0</v>
      </c>
      <c r="N174" s="219">
        <f t="shared" si="23"/>
        <v>0</v>
      </c>
      <c r="O174" s="219">
        <f t="shared" si="23"/>
        <v>0</v>
      </c>
      <c r="P174" s="219">
        <f t="shared" si="29"/>
        <v>0</v>
      </c>
      <c r="Q174" s="219"/>
    </row>
    <row r="175" spans="9:17" hidden="1" x14ac:dyDescent="0.25">
      <c r="I175" s="219">
        <f t="shared" si="24"/>
        <v>0</v>
      </c>
      <c r="J175" s="219">
        <f t="shared" si="25"/>
        <v>0</v>
      </c>
      <c r="K175" s="219">
        <f t="shared" si="26"/>
        <v>0</v>
      </c>
      <c r="L175" s="232">
        <f t="shared" si="27"/>
        <v>0</v>
      </c>
      <c r="M175" s="219">
        <f t="shared" si="28"/>
        <v>0</v>
      </c>
      <c r="N175" s="219">
        <f t="shared" si="23"/>
        <v>0</v>
      </c>
      <c r="O175" s="219">
        <f t="shared" si="23"/>
        <v>0</v>
      </c>
      <c r="P175" s="219">
        <f t="shared" si="29"/>
        <v>0</v>
      </c>
      <c r="Q175" s="219"/>
    </row>
    <row r="176" spans="9:17" hidden="1" x14ac:dyDescent="0.25">
      <c r="I176" s="219">
        <f t="shared" si="24"/>
        <v>0</v>
      </c>
      <c r="J176" s="219">
        <f t="shared" si="25"/>
        <v>0</v>
      </c>
      <c r="K176" s="219">
        <f t="shared" si="26"/>
        <v>0</v>
      </c>
      <c r="L176" s="232">
        <f t="shared" si="27"/>
        <v>0</v>
      </c>
      <c r="M176" s="219">
        <f t="shared" si="28"/>
        <v>0</v>
      </c>
      <c r="N176" s="219">
        <f t="shared" si="23"/>
        <v>0</v>
      </c>
      <c r="O176" s="219">
        <f t="shared" si="23"/>
        <v>0</v>
      </c>
      <c r="P176" s="219">
        <f t="shared" si="29"/>
        <v>0</v>
      </c>
      <c r="Q176" s="219"/>
    </row>
    <row r="177" spans="9:17" hidden="1" x14ac:dyDescent="0.25">
      <c r="I177" s="219">
        <f t="shared" si="24"/>
        <v>0</v>
      </c>
      <c r="J177" s="219">
        <f t="shared" si="25"/>
        <v>0</v>
      </c>
      <c r="K177" s="219">
        <f t="shared" si="26"/>
        <v>0</v>
      </c>
      <c r="L177" s="232">
        <f t="shared" si="27"/>
        <v>0</v>
      </c>
      <c r="M177" s="219">
        <f t="shared" si="28"/>
        <v>0</v>
      </c>
      <c r="N177" s="219">
        <f t="shared" si="23"/>
        <v>0</v>
      </c>
      <c r="O177" s="219">
        <f t="shared" si="23"/>
        <v>0</v>
      </c>
      <c r="P177" s="219">
        <f t="shared" si="29"/>
        <v>0</v>
      </c>
      <c r="Q177" s="219"/>
    </row>
    <row r="178" spans="9:17" hidden="1" x14ac:dyDescent="0.25">
      <c r="I178" s="219">
        <f t="shared" si="24"/>
        <v>0</v>
      </c>
      <c r="J178" s="219">
        <f t="shared" si="25"/>
        <v>0</v>
      </c>
      <c r="K178" s="219">
        <f t="shared" si="26"/>
        <v>0</v>
      </c>
      <c r="L178" s="232">
        <f t="shared" si="27"/>
        <v>0</v>
      </c>
      <c r="M178" s="219">
        <f t="shared" si="28"/>
        <v>0</v>
      </c>
      <c r="N178" s="219">
        <f t="shared" si="23"/>
        <v>0</v>
      </c>
      <c r="O178" s="219">
        <f t="shared" si="23"/>
        <v>0</v>
      </c>
      <c r="P178" s="219">
        <f t="shared" si="29"/>
        <v>0</v>
      </c>
      <c r="Q178" s="219"/>
    </row>
    <row r="179" spans="9:17" hidden="1" x14ac:dyDescent="0.25">
      <c r="I179" s="219">
        <f t="shared" si="24"/>
        <v>0</v>
      </c>
      <c r="J179" s="219">
        <f t="shared" si="25"/>
        <v>0</v>
      </c>
      <c r="K179" s="219">
        <f t="shared" si="26"/>
        <v>0</v>
      </c>
      <c r="L179" s="232">
        <f t="shared" si="27"/>
        <v>0</v>
      </c>
      <c r="M179" s="219">
        <f t="shared" si="28"/>
        <v>0</v>
      </c>
      <c r="N179" s="219">
        <f t="shared" si="23"/>
        <v>0</v>
      </c>
      <c r="O179" s="219">
        <f t="shared" si="23"/>
        <v>0</v>
      </c>
      <c r="P179" s="219">
        <f t="shared" si="29"/>
        <v>0</v>
      </c>
      <c r="Q179" s="219"/>
    </row>
    <row r="180" spans="9:17" hidden="1" x14ac:dyDescent="0.25">
      <c r="I180" s="219">
        <f t="shared" si="24"/>
        <v>0</v>
      </c>
      <c r="J180" s="219">
        <f t="shared" si="25"/>
        <v>0</v>
      </c>
      <c r="K180" s="219">
        <f t="shared" si="26"/>
        <v>0</v>
      </c>
      <c r="L180" s="232">
        <f t="shared" si="27"/>
        <v>0</v>
      </c>
      <c r="M180" s="219">
        <f t="shared" si="28"/>
        <v>0</v>
      </c>
      <c r="N180" s="219">
        <f t="shared" si="23"/>
        <v>0</v>
      </c>
      <c r="O180" s="219">
        <f t="shared" si="23"/>
        <v>0</v>
      </c>
      <c r="P180" s="219">
        <f t="shared" si="29"/>
        <v>0</v>
      </c>
      <c r="Q180" s="219"/>
    </row>
    <row r="181" spans="9:17" hidden="1" x14ac:dyDescent="0.25">
      <c r="I181" s="219">
        <f t="shared" si="24"/>
        <v>0</v>
      </c>
      <c r="J181" s="219">
        <f t="shared" si="25"/>
        <v>0</v>
      </c>
      <c r="K181" s="219">
        <f t="shared" si="26"/>
        <v>0</v>
      </c>
      <c r="L181" s="232">
        <f t="shared" si="27"/>
        <v>0</v>
      </c>
      <c r="M181" s="219">
        <f t="shared" si="28"/>
        <v>0</v>
      </c>
      <c r="N181" s="219">
        <f t="shared" si="23"/>
        <v>0</v>
      </c>
      <c r="O181" s="219">
        <f t="shared" si="23"/>
        <v>0</v>
      </c>
      <c r="P181" s="219">
        <f t="shared" si="29"/>
        <v>0</v>
      </c>
      <c r="Q181" s="219"/>
    </row>
    <row r="182" spans="9:17" hidden="1" x14ac:dyDescent="0.25">
      <c r="I182" s="219">
        <f t="shared" si="24"/>
        <v>0</v>
      </c>
      <c r="J182" s="219">
        <f t="shared" si="25"/>
        <v>0</v>
      </c>
      <c r="K182" s="219">
        <f t="shared" si="26"/>
        <v>0</v>
      </c>
      <c r="L182" s="232">
        <f t="shared" si="27"/>
        <v>0</v>
      </c>
      <c r="M182" s="219">
        <f t="shared" si="28"/>
        <v>0</v>
      </c>
      <c r="N182" s="219">
        <f t="shared" si="23"/>
        <v>0</v>
      </c>
      <c r="O182" s="219">
        <f t="shared" si="23"/>
        <v>0</v>
      </c>
      <c r="P182" s="219">
        <f t="shared" si="29"/>
        <v>0</v>
      </c>
      <c r="Q182" s="219"/>
    </row>
    <row r="183" spans="9:17" hidden="1" x14ac:dyDescent="0.25">
      <c r="I183" s="219">
        <f t="shared" si="24"/>
        <v>0</v>
      </c>
      <c r="J183" s="219">
        <f t="shared" si="25"/>
        <v>0</v>
      </c>
      <c r="K183" s="219">
        <f t="shared" si="26"/>
        <v>0</v>
      </c>
      <c r="L183" s="232">
        <f t="shared" si="27"/>
        <v>0</v>
      </c>
      <c r="M183" s="219">
        <f t="shared" si="28"/>
        <v>0</v>
      </c>
      <c r="N183" s="219">
        <f t="shared" si="23"/>
        <v>0</v>
      </c>
      <c r="O183" s="219">
        <f t="shared" si="23"/>
        <v>0</v>
      </c>
      <c r="P183" s="219">
        <f t="shared" si="29"/>
        <v>0</v>
      </c>
      <c r="Q183" s="219"/>
    </row>
    <row r="184" spans="9:17" hidden="1" x14ac:dyDescent="0.25">
      <c r="I184" s="219">
        <f t="shared" si="24"/>
        <v>0</v>
      </c>
      <c r="J184" s="219">
        <f t="shared" si="25"/>
        <v>0</v>
      </c>
      <c r="K184" s="219">
        <f t="shared" si="26"/>
        <v>0</v>
      </c>
      <c r="L184" s="232">
        <f t="shared" si="27"/>
        <v>0</v>
      </c>
      <c r="M184" s="219">
        <f t="shared" si="28"/>
        <v>0</v>
      </c>
      <c r="N184" s="219">
        <f t="shared" si="23"/>
        <v>0</v>
      </c>
      <c r="O184" s="219">
        <f t="shared" si="23"/>
        <v>0</v>
      </c>
      <c r="P184" s="219">
        <f t="shared" si="29"/>
        <v>0</v>
      </c>
      <c r="Q184" s="219"/>
    </row>
    <row r="185" spans="9:17" hidden="1" x14ac:dyDescent="0.25">
      <c r="I185" s="219">
        <f t="shared" si="24"/>
        <v>0</v>
      </c>
      <c r="J185" s="219">
        <f t="shared" si="25"/>
        <v>0</v>
      </c>
      <c r="K185" s="219">
        <f t="shared" si="26"/>
        <v>0</v>
      </c>
      <c r="L185" s="232">
        <f t="shared" si="27"/>
        <v>0</v>
      </c>
      <c r="M185" s="219">
        <f t="shared" si="28"/>
        <v>0</v>
      </c>
      <c r="N185" s="219">
        <f t="shared" si="23"/>
        <v>0</v>
      </c>
      <c r="O185" s="219">
        <f t="shared" si="23"/>
        <v>0</v>
      </c>
      <c r="P185" s="219">
        <f t="shared" si="29"/>
        <v>0</v>
      </c>
      <c r="Q185" s="219"/>
    </row>
    <row r="186" spans="9:17" hidden="1" x14ac:dyDescent="0.25">
      <c r="I186" s="219">
        <f t="shared" si="24"/>
        <v>0</v>
      </c>
      <c r="J186" s="219">
        <f t="shared" si="25"/>
        <v>0</v>
      </c>
      <c r="K186" s="219">
        <f t="shared" si="26"/>
        <v>0</v>
      </c>
      <c r="L186" s="232">
        <f t="shared" si="27"/>
        <v>0</v>
      </c>
      <c r="M186" s="219">
        <f t="shared" si="28"/>
        <v>0</v>
      </c>
      <c r="N186" s="219">
        <f t="shared" si="23"/>
        <v>0</v>
      </c>
      <c r="O186" s="219">
        <f t="shared" si="23"/>
        <v>0</v>
      </c>
      <c r="P186" s="219">
        <f t="shared" si="29"/>
        <v>0</v>
      </c>
      <c r="Q186" s="219"/>
    </row>
    <row r="187" spans="9:17" hidden="1" x14ac:dyDescent="0.25">
      <c r="I187" s="219">
        <f t="shared" si="24"/>
        <v>0</v>
      </c>
      <c r="J187" s="219">
        <f t="shared" si="25"/>
        <v>0</v>
      </c>
      <c r="K187" s="219">
        <f t="shared" si="26"/>
        <v>0</v>
      </c>
      <c r="L187" s="232">
        <f t="shared" si="27"/>
        <v>0</v>
      </c>
      <c r="M187" s="219">
        <f t="shared" si="28"/>
        <v>0</v>
      </c>
      <c r="N187" s="219">
        <f t="shared" si="23"/>
        <v>0</v>
      </c>
      <c r="O187" s="219">
        <f t="shared" si="23"/>
        <v>0</v>
      </c>
      <c r="P187" s="219">
        <f t="shared" si="29"/>
        <v>0</v>
      </c>
      <c r="Q187" s="219"/>
    </row>
    <row r="188" spans="9:17" hidden="1" x14ac:dyDescent="0.25">
      <c r="I188" s="219">
        <f t="shared" si="24"/>
        <v>0</v>
      </c>
      <c r="J188" s="219">
        <f t="shared" si="25"/>
        <v>0</v>
      </c>
      <c r="K188" s="219">
        <f t="shared" si="26"/>
        <v>0</v>
      </c>
      <c r="L188" s="232">
        <f t="shared" si="27"/>
        <v>0</v>
      </c>
      <c r="M188" s="219">
        <f t="shared" si="28"/>
        <v>0</v>
      </c>
      <c r="N188" s="219">
        <f t="shared" ref="N188:O251" si="30">AG188</f>
        <v>0</v>
      </c>
      <c r="O188" s="219">
        <f t="shared" si="30"/>
        <v>0</v>
      </c>
      <c r="P188" s="219">
        <f t="shared" si="29"/>
        <v>0</v>
      </c>
      <c r="Q188" s="219"/>
    </row>
    <row r="189" spans="9:17" hidden="1" x14ac:dyDescent="0.25">
      <c r="I189" s="219">
        <f t="shared" si="24"/>
        <v>0</v>
      </c>
      <c r="J189" s="219">
        <f t="shared" si="25"/>
        <v>0</v>
      </c>
      <c r="K189" s="219">
        <f t="shared" si="26"/>
        <v>0</v>
      </c>
      <c r="L189" s="232">
        <f t="shared" si="27"/>
        <v>0</v>
      </c>
      <c r="M189" s="219">
        <f t="shared" si="28"/>
        <v>0</v>
      </c>
      <c r="N189" s="219">
        <f t="shared" si="30"/>
        <v>0</v>
      </c>
      <c r="O189" s="219">
        <f t="shared" si="30"/>
        <v>0</v>
      </c>
      <c r="P189" s="219">
        <f t="shared" si="29"/>
        <v>0</v>
      </c>
      <c r="Q189" s="219"/>
    </row>
    <row r="190" spans="9:17" hidden="1" x14ac:dyDescent="0.25">
      <c r="I190" s="219">
        <f t="shared" si="24"/>
        <v>0</v>
      </c>
      <c r="J190" s="219">
        <f t="shared" si="25"/>
        <v>0</v>
      </c>
      <c r="K190" s="219">
        <f t="shared" si="26"/>
        <v>0</v>
      </c>
      <c r="L190" s="232">
        <f t="shared" si="27"/>
        <v>0</v>
      </c>
      <c r="M190" s="219">
        <f t="shared" si="28"/>
        <v>0</v>
      </c>
      <c r="N190" s="219">
        <f t="shared" si="30"/>
        <v>0</v>
      </c>
      <c r="O190" s="219">
        <f t="shared" si="30"/>
        <v>0</v>
      </c>
      <c r="P190" s="219">
        <f t="shared" si="29"/>
        <v>0</v>
      </c>
      <c r="Q190" s="219"/>
    </row>
    <row r="191" spans="9:17" hidden="1" x14ac:dyDescent="0.25">
      <c r="I191" s="219">
        <f t="shared" si="24"/>
        <v>0</v>
      </c>
      <c r="J191" s="219">
        <f t="shared" si="25"/>
        <v>0</v>
      </c>
      <c r="K191" s="219">
        <f t="shared" si="26"/>
        <v>0</v>
      </c>
      <c r="L191" s="232">
        <f t="shared" si="27"/>
        <v>0</v>
      </c>
      <c r="M191" s="219">
        <f t="shared" si="28"/>
        <v>0</v>
      </c>
      <c r="N191" s="219">
        <f t="shared" si="30"/>
        <v>0</v>
      </c>
      <c r="O191" s="219">
        <f t="shared" si="30"/>
        <v>0</v>
      </c>
      <c r="P191" s="219">
        <f t="shared" si="29"/>
        <v>0</v>
      </c>
      <c r="Q191" s="219"/>
    </row>
    <row r="192" spans="9:17" hidden="1" x14ac:dyDescent="0.25">
      <c r="I192" s="219">
        <f t="shared" si="24"/>
        <v>0</v>
      </c>
      <c r="J192" s="219">
        <f t="shared" si="25"/>
        <v>0</v>
      </c>
      <c r="K192" s="219">
        <f t="shared" si="26"/>
        <v>0</v>
      </c>
      <c r="L192" s="232">
        <f t="shared" si="27"/>
        <v>0</v>
      </c>
      <c r="M192" s="219">
        <f t="shared" si="28"/>
        <v>0</v>
      </c>
      <c r="N192" s="219">
        <f t="shared" si="30"/>
        <v>0</v>
      </c>
      <c r="O192" s="219">
        <f t="shared" si="30"/>
        <v>0</v>
      </c>
      <c r="P192" s="219">
        <f t="shared" si="29"/>
        <v>0</v>
      </c>
      <c r="Q192" s="219"/>
    </row>
    <row r="193" spans="9:17" hidden="1" x14ac:dyDescent="0.25">
      <c r="I193" s="219">
        <f t="shared" si="24"/>
        <v>0</v>
      </c>
      <c r="J193" s="219">
        <f t="shared" si="25"/>
        <v>0</v>
      </c>
      <c r="K193" s="219">
        <f t="shared" si="26"/>
        <v>0</v>
      </c>
      <c r="L193" s="232">
        <f t="shared" si="27"/>
        <v>0</v>
      </c>
      <c r="M193" s="219">
        <f t="shared" si="28"/>
        <v>0</v>
      </c>
      <c r="N193" s="219">
        <f t="shared" si="30"/>
        <v>0</v>
      </c>
      <c r="O193" s="219">
        <f t="shared" si="30"/>
        <v>0</v>
      </c>
      <c r="P193" s="219">
        <f t="shared" si="29"/>
        <v>0</v>
      </c>
      <c r="Q193" s="219"/>
    </row>
    <row r="194" spans="9:17" hidden="1" x14ac:dyDescent="0.25">
      <c r="I194" s="219">
        <f t="shared" si="24"/>
        <v>0</v>
      </c>
      <c r="J194" s="219">
        <f t="shared" si="25"/>
        <v>0</v>
      </c>
      <c r="K194" s="219">
        <f t="shared" si="26"/>
        <v>0</v>
      </c>
      <c r="L194" s="232">
        <f t="shared" si="27"/>
        <v>0</v>
      </c>
      <c r="M194" s="219">
        <f t="shared" si="28"/>
        <v>0</v>
      </c>
      <c r="N194" s="219">
        <f t="shared" si="30"/>
        <v>0</v>
      </c>
      <c r="O194" s="219">
        <f t="shared" si="30"/>
        <v>0</v>
      </c>
      <c r="P194" s="219">
        <f t="shared" si="29"/>
        <v>0</v>
      </c>
      <c r="Q194" s="219"/>
    </row>
    <row r="195" spans="9:17" hidden="1" x14ac:dyDescent="0.25">
      <c r="I195" s="219">
        <f t="shared" si="24"/>
        <v>0</v>
      </c>
      <c r="J195" s="219">
        <f t="shared" si="25"/>
        <v>0</v>
      </c>
      <c r="K195" s="219">
        <f t="shared" si="26"/>
        <v>0</v>
      </c>
      <c r="L195" s="232">
        <f t="shared" si="27"/>
        <v>0</v>
      </c>
      <c r="M195" s="219">
        <f t="shared" si="28"/>
        <v>0</v>
      </c>
      <c r="N195" s="219">
        <f t="shared" si="30"/>
        <v>0</v>
      </c>
      <c r="O195" s="219">
        <f t="shared" si="30"/>
        <v>0</v>
      </c>
      <c r="P195" s="219">
        <f t="shared" si="29"/>
        <v>0</v>
      </c>
      <c r="Q195" s="219"/>
    </row>
    <row r="196" spans="9:17" hidden="1" x14ac:dyDescent="0.25">
      <c r="I196" s="219">
        <f t="shared" si="24"/>
        <v>0</v>
      </c>
      <c r="J196" s="219">
        <f t="shared" si="25"/>
        <v>0</v>
      </c>
      <c r="K196" s="219">
        <f t="shared" si="26"/>
        <v>0</v>
      </c>
      <c r="L196" s="232">
        <f t="shared" si="27"/>
        <v>0</v>
      </c>
      <c r="M196" s="219">
        <f t="shared" si="28"/>
        <v>0</v>
      </c>
      <c r="N196" s="219">
        <f t="shared" si="30"/>
        <v>0</v>
      </c>
      <c r="O196" s="219">
        <f t="shared" si="30"/>
        <v>0</v>
      </c>
      <c r="P196" s="219">
        <f t="shared" si="29"/>
        <v>0</v>
      </c>
      <c r="Q196" s="219"/>
    </row>
    <row r="197" spans="9:17" hidden="1" x14ac:dyDescent="0.25">
      <c r="I197" s="219">
        <f t="shared" ref="I197:I260" si="31">SUM(R197:S197)</f>
        <v>0</v>
      </c>
      <c r="J197" s="219">
        <f t="shared" ref="J197:J260" si="32">SUM(T197:V197)</f>
        <v>0</v>
      </c>
      <c r="K197" s="219">
        <f t="shared" ref="K197:K260" si="33">W197</f>
        <v>0</v>
      </c>
      <c r="L197" s="232">
        <f t="shared" ref="L197:L260" si="34">SUM(X197:AB197)</f>
        <v>0</v>
      </c>
      <c r="M197" s="219">
        <f t="shared" ref="M197:M260" si="35">SUM(AC197:AE197)</f>
        <v>0</v>
      </c>
      <c r="N197" s="219">
        <f t="shared" si="30"/>
        <v>0</v>
      </c>
      <c r="O197" s="219">
        <f t="shared" si="30"/>
        <v>0</v>
      </c>
      <c r="P197" s="219">
        <f t="shared" ref="P197:P260" si="36">SUM(AK197:AM197)</f>
        <v>0</v>
      </c>
      <c r="Q197" s="219"/>
    </row>
    <row r="198" spans="9:17" hidden="1" x14ac:dyDescent="0.25">
      <c r="I198" s="219">
        <f t="shared" si="31"/>
        <v>0</v>
      </c>
      <c r="J198" s="219">
        <f t="shared" si="32"/>
        <v>0</v>
      </c>
      <c r="K198" s="219">
        <f t="shared" si="33"/>
        <v>0</v>
      </c>
      <c r="L198" s="232">
        <f t="shared" si="34"/>
        <v>0</v>
      </c>
      <c r="M198" s="219">
        <f t="shared" si="35"/>
        <v>0</v>
      </c>
      <c r="N198" s="219">
        <f t="shared" si="30"/>
        <v>0</v>
      </c>
      <c r="O198" s="219">
        <f t="shared" si="30"/>
        <v>0</v>
      </c>
      <c r="P198" s="219">
        <f t="shared" si="36"/>
        <v>0</v>
      </c>
      <c r="Q198" s="219"/>
    </row>
    <row r="199" spans="9:17" hidden="1" x14ac:dyDescent="0.25">
      <c r="I199" s="219">
        <f t="shared" si="31"/>
        <v>0</v>
      </c>
      <c r="J199" s="219">
        <f t="shared" si="32"/>
        <v>0</v>
      </c>
      <c r="K199" s="219">
        <f t="shared" si="33"/>
        <v>0</v>
      </c>
      <c r="L199" s="232">
        <f t="shared" si="34"/>
        <v>0</v>
      </c>
      <c r="M199" s="219">
        <f t="shared" si="35"/>
        <v>0</v>
      </c>
      <c r="N199" s="219">
        <f t="shared" si="30"/>
        <v>0</v>
      </c>
      <c r="O199" s="219">
        <f t="shared" si="30"/>
        <v>0</v>
      </c>
      <c r="P199" s="219">
        <f t="shared" si="36"/>
        <v>0</v>
      </c>
      <c r="Q199" s="219"/>
    </row>
    <row r="200" spans="9:17" hidden="1" x14ac:dyDescent="0.25">
      <c r="I200" s="219">
        <f t="shared" si="31"/>
        <v>0</v>
      </c>
      <c r="J200" s="219">
        <f t="shared" si="32"/>
        <v>0</v>
      </c>
      <c r="K200" s="219">
        <f t="shared" si="33"/>
        <v>0</v>
      </c>
      <c r="L200" s="232">
        <f t="shared" si="34"/>
        <v>0</v>
      </c>
      <c r="M200" s="219">
        <f t="shared" si="35"/>
        <v>0</v>
      </c>
      <c r="N200" s="219">
        <f t="shared" si="30"/>
        <v>0</v>
      </c>
      <c r="O200" s="219">
        <f t="shared" si="30"/>
        <v>0</v>
      </c>
      <c r="P200" s="219">
        <f t="shared" si="36"/>
        <v>0</v>
      </c>
      <c r="Q200" s="219"/>
    </row>
    <row r="201" spans="9:17" hidden="1" x14ac:dyDescent="0.25">
      <c r="I201" s="219">
        <f t="shared" si="31"/>
        <v>0</v>
      </c>
      <c r="J201" s="219">
        <f t="shared" si="32"/>
        <v>0</v>
      </c>
      <c r="K201" s="219">
        <f t="shared" si="33"/>
        <v>0</v>
      </c>
      <c r="L201" s="232">
        <f t="shared" si="34"/>
        <v>0</v>
      </c>
      <c r="M201" s="219">
        <f t="shared" si="35"/>
        <v>0</v>
      </c>
      <c r="N201" s="219">
        <f t="shared" si="30"/>
        <v>0</v>
      </c>
      <c r="O201" s="219">
        <f t="shared" si="30"/>
        <v>0</v>
      </c>
      <c r="P201" s="219">
        <f t="shared" si="36"/>
        <v>0</v>
      </c>
      <c r="Q201" s="219"/>
    </row>
    <row r="202" spans="9:17" hidden="1" x14ac:dyDescent="0.25">
      <c r="I202" s="219">
        <f t="shared" si="31"/>
        <v>0</v>
      </c>
      <c r="J202" s="219">
        <f t="shared" si="32"/>
        <v>0</v>
      </c>
      <c r="K202" s="219">
        <f t="shared" si="33"/>
        <v>0</v>
      </c>
      <c r="L202" s="232">
        <f t="shared" si="34"/>
        <v>0</v>
      </c>
      <c r="M202" s="219">
        <f t="shared" si="35"/>
        <v>0</v>
      </c>
      <c r="N202" s="219">
        <f t="shared" si="30"/>
        <v>0</v>
      </c>
      <c r="O202" s="219">
        <f t="shared" si="30"/>
        <v>0</v>
      </c>
      <c r="P202" s="219">
        <f t="shared" si="36"/>
        <v>0</v>
      </c>
      <c r="Q202" s="219"/>
    </row>
    <row r="203" spans="9:17" hidden="1" x14ac:dyDescent="0.25">
      <c r="I203" s="219">
        <f t="shared" si="31"/>
        <v>0</v>
      </c>
      <c r="J203" s="219">
        <f t="shared" si="32"/>
        <v>0</v>
      </c>
      <c r="K203" s="219">
        <f t="shared" si="33"/>
        <v>0</v>
      </c>
      <c r="L203" s="232">
        <f t="shared" si="34"/>
        <v>0</v>
      </c>
      <c r="M203" s="219">
        <f t="shared" si="35"/>
        <v>0</v>
      </c>
      <c r="N203" s="219">
        <f t="shared" si="30"/>
        <v>0</v>
      </c>
      <c r="O203" s="219">
        <f t="shared" si="30"/>
        <v>0</v>
      </c>
      <c r="P203" s="219">
        <f t="shared" si="36"/>
        <v>0</v>
      </c>
      <c r="Q203" s="219"/>
    </row>
    <row r="204" spans="9:17" hidden="1" x14ac:dyDescent="0.25">
      <c r="I204" s="219">
        <f t="shared" si="31"/>
        <v>0</v>
      </c>
      <c r="J204" s="219">
        <f t="shared" si="32"/>
        <v>0</v>
      </c>
      <c r="K204" s="219">
        <f t="shared" si="33"/>
        <v>0</v>
      </c>
      <c r="L204" s="232">
        <f t="shared" si="34"/>
        <v>0</v>
      </c>
      <c r="M204" s="219">
        <f t="shared" si="35"/>
        <v>0</v>
      </c>
      <c r="N204" s="219">
        <f t="shared" si="30"/>
        <v>0</v>
      </c>
      <c r="O204" s="219">
        <f t="shared" si="30"/>
        <v>0</v>
      </c>
      <c r="P204" s="219">
        <f t="shared" si="36"/>
        <v>0</v>
      </c>
      <c r="Q204" s="219"/>
    </row>
    <row r="205" spans="9:17" hidden="1" x14ac:dyDescent="0.25">
      <c r="I205" s="219">
        <f t="shared" si="31"/>
        <v>0</v>
      </c>
      <c r="J205" s="219">
        <f t="shared" si="32"/>
        <v>0</v>
      </c>
      <c r="K205" s="219">
        <f t="shared" si="33"/>
        <v>0</v>
      </c>
      <c r="L205" s="232">
        <f t="shared" si="34"/>
        <v>0</v>
      </c>
      <c r="M205" s="219">
        <f t="shared" si="35"/>
        <v>0</v>
      </c>
      <c r="N205" s="219">
        <f t="shared" si="30"/>
        <v>0</v>
      </c>
      <c r="O205" s="219">
        <f t="shared" si="30"/>
        <v>0</v>
      </c>
      <c r="P205" s="219">
        <f t="shared" si="36"/>
        <v>0</v>
      </c>
      <c r="Q205" s="219"/>
    </row>
    <row r="206" spans="9:17" hidden="1" x14ac:dyDescent="0.25">
      <c r="I206" s="219">
        <f t="shared" si="31"/>
        <v>0</v>
      </c>
      <c r="J206" s="219">
        <f t="shared" si="32"/>
        <v>0</v>
      </c>
      <c r="K206" s="219">
        <f t="shared" si="33"/>
        <v>0</v>
      </c>
      <c r="L206" s="232">
        <f t="shared" si="34"/>
        <v>0</v>
      </c>
      <c r="M206" s="219">
        <f t="shared" si="35"/>
        <v>0</v>
      </c>
      <c r="N206" s="219">
        <f t="shared" si="30"/>
        <v>0</v>
      </c>
      <c r="O206" s="219">
        <f t="shared" si="30"/>
        <v>0</v>
      </c>
      <c r="P206" s="219">
        <f t="shared" si="36"/>
        <v>0</v>
      </c>
      <c r="Q206" s="219"/>
    </row>
    <row r="207" spans="9:17" hidden="1" x14ac:dyDescent="0.25">
      <c r="I207" s="219">
        <f t="shared" si="31"/>
        <v>0</v>
      </c>
      <c r="J207" s="219">
        <f t="shared" si="32"/>
        <v>0</v>
      </c>
      <c r="K207" s="219">
        <f t="shared" si="33"/>
        <v>0</v>
      </c>
      <c r="L207" s="232">
        <f t="shared" si="34"/>
        <v>0</v>
      </c>
      <c r="M207" s="219">
        <f t="shared" si="35"/>
        <v>0</v>
      </c>
      <c r="N207" s="219">
        <f t="shared" si="30"/>
        <v>0</v>
      </c>
      <c r="O207" s="219">
        <f t="shared" si="30"/>
        <v>0</v>
      </c>
      <c r="P207" s="219">
        <f t="shared" si="36"/>
        <v>0</v>
      </c>
      <c r="Q207" s="219"/>
    </row>
    <row r="208" spans="9:17" hidden="1" x14ac:dyDescent="0.25">
      <c r="I208" s="219">
        <f t="shared" si="31"/>
        <v>0</v>
      </c>
      <c r="J208" s="219">
        <f t="shared" si="32"/>
        <v>0</v>
      </c>
      <c r="K208" s="219">
        <f t="shared" si="33"/>
        <v>0</v>
      </c>
      <c r="L208" s="232">
        <f t="shared" si="34"/>
        <v>0</v>
      </c>
      <c r="M208" s="219">
        <f t="shared" si="35"/>
        <v>0</v>
      </c>
      <c r="N208" s="219">
        <f t="shared" si="30"/>
        <v>0</v>
      </c>
      <c r="O208" s="219">
        <f t="shared" si="30"/>
        <v>0</v>
      </c>
      <c r="P208" s="219">
        <f t="shared" si="36"/>
        <v>0</v>
      </c>
      <c r="Q208" s="219"/>
    </row>
    <row r="209" spans="9:17" hidden="1" x14ac:dyDescent="0.25">
      <c r="I209" s="219">
        <f t="shared" si="31"/>
        <v>0</v>
      </c>
      <c r="J209" s="219">
        <f t="shared" si="32"/>
        <v>0</v>
      </c>
      <c r="K209" s="219">
        <f t="shared" si="33"/>
        <v>0</v>
      </c>
      <c r="L209" s="232">
        <f t="shared" si="34"/>
        <v>0</v>
      </c>
      <c r="M209" s="219">
        <f t="shared" si="35"/>
        <v>0</v>
      </c>
      <c r="N209" s="219">
        <f t="shared" si="30"/>
        <v>0</v>
      </c>
      <c r="O209" s="219">
        <f t="shared" si="30"/>
        <v>0</v>
      </c>
      <c r="P209" s="219">
        <f t="shared" si="36"/>
        <v>0</v>
      </c>
      <c r="Q209" s="219"/>
    </row>
    <row r="210" spans="9:17" hidden="1" x14ac:dyDescent="0.25">
      <c r="I210" s="219">
        <f t="shared" si="31"/>
        <v>0</v>
      </c>
      <c r="J210" s="219">
        <f t="shared" si="32"/>
        <v>0</v>
      </c>
      <c r="K210" s="219">
        <f t="shared" si="33"/>
        <v>0</v>
      </c>
      <c r="L210" s="232">
        <f t="shared" si="34"/>
        <v>0</v>
      </c>
      <c r="M210" s="219">
        <f t="shared" si="35"/>
        <v>0</v>
      </c>
      <c r="N210" s="219">
        <f t="shared" si="30"/>
        <v>0</v>
      </c>
      <c r="O210" s="219">
        <f t="shared" si="30"/>
        <v>0</v>
      </c>
      <c r="P210" s="219">
        <f t="shared" si="36"/>
        <v>0</v>
      </c>
      <c r="Q210" s="219"/>
    </row>
    <row r="211" spans="9:17" hidden="1" x14ac:dyDescent="0.25">
      <c r="I211" s="219">
        <f t="shared" si="31"/>
        <v>0</v>
      </c>
      <c r="J211" s="219">
        <f t="shared" si="32"/>
        <v>0</v>
      </c>
      <c r="K211" s="219">
        <f t="shared" si="33"/>
        <v>0</v>
      </c>
      <c r="L211" s="232">
        <f t="shared" si="34"/>
        <v>0</v>
      </c>
      <c r="M211" s="219">
        <f t="shared" si="35"/>
        <v>0</v>
      </c>
      <c r="N211" s="219">
        <f t="shared" si="30"/>
        <v>0</v>
      </c>
      <c r="O211" s="219">
        <f t="shared" si="30"/>
        <v>0</v>
      </c>
      <c r="P211" s="219">
        <f t="shared" si="36"/>
        <v>0</v>
      </c>
      <c r="Q211" s="219"/>
    </row>
    <row r="212" spans="9:17" hidden="1" x14ac:dyDescent="0.25">
      <c r="I212" s="219">
        <f t="shared" si="31"/>
        <v>0</v>
      </c>
      <c r="J212" s="219">
        <f t="shared" si="32"/>
        <v>0</v>
      </c>
      <c r="K212" s="219">
        <f t="shared" si="33"/>
        <v>0</v>
      </c>
      <c r="L212" s="232">
        <f t="shared" si="34"/>
        <v>0</v>
      </c>
      <c r="M212" s="219">
        <f t="shared" si="35"/>
        <v>0</v>
      </c>
      <c r="N212" s="219">
        <f t="shared" si="30"/>
        <v>0</v>
      </c>
      <c r="O212" s="219">
        <f t="shared" si="30"/>
        <v>0</v>
      </c>
      <c r="P212" s="219">
        <f t="shared" si="36"/>
        <v>0</v>
      </c>
      <c r="Q212" s="219"/>
    </row>
    <row r="213" spans="9:17" hidden="1" x14ac:dyDescent="0.25">
      <c r="I213" s="219">
        <f t="shared" si="31"/>
        <v>0</v>
      </c>
      <c r="J213" s="219">
        <f t="shared" si="32"/>
        <v>0</v>
      </c>
      <c r="K213" s="219">
        <f t="shared" si="33"/>
        <v>0</v>
      </c>
      <c r="L213" s="232">
        <f t="shared" si="34"/>
        <v>0</v>
      </c>
      <c r="M213" s="219">
        <f t="shared" si="35"/>
        <v>0</v>
      </c>
      <c r="N213" s="219">
        <f t="shared" si="30"/>
        <v>0</v>
      </c>
      <c r="O213" s="219">
        <f t="shared" si="30"/>
        <v>0</v>
      </c>
      <c r="P213" s="219">
        <f t="shared" si="36"/>
        <v>0</v>
      </c>
      <c r="Q213" s="219"/>
    </row>
    <row r="214" spans="9:17" hidden="1" x14ac:dyDescent="0.25">
      <c r="I214" s="219">
        <f t="shared" si="31"/>
        <v>0</v>
      </c>
      <c r="J214" s="219">
        <f t="shared" si="32"/>
        <v>0</v>
      </c>
      <c r="K214" s="219">
        <f t="shared" si="33"/>
        <v>0</v>
      </c>
      <c r="L214" s="232">
        <f t="shared" si="34"/>
        <v>0</v>
      </c>
      <c r="M214" s="219">
        <f t="shared" si="35"/>
        <v>0</v>
      </c>
      <c r="N214" s="219">
        <f t="shared" si="30"/>
        <v>0</v>
      </c>
      <c r="O214" s="219">
        <f t="shared" si="30"/>
        <v>0</v>
      </c>
      <c r="P214" s="219">
        <f t="shared" si="36"/>
        <v>0</v>
      </c>
      <c r="Q214" s="219"/>
    </row>
    <row r="215" spans="9:17" hidden="1" x14ac:dyDescent="0.25">
      <c r="I215" s="219">
        <f t="shared" si="31"/>
        <v>0</v>
      </c>
      <c r="J215" s="219">
        <f t="shared" si="32"/>
        <v>0</v>
      </c>
      <c r="K215" s="219">
        <f t="shared" si="33"/>
        <v>0</v>
      </c>
      <c r="L215" s="232">
        <f t="shared" si="34"/>
        <v>0</v>
      </c>
      <c r="M215" s="219">
        <f t="shared" si="35"/>
        <v>0</v>
      </c>
      <c r="N215" s="219">
        <f t="shared" si="30"/>
        <v>0</v>
      </c>
      <c r="O215" s="219">
        <f t="shared" si="30"/>
        <v>0</v>
      </c>
      <c r="P215" s="219">
        <f t="shared" si="36"/>
        <v>0</v>
      </c>
      <c r="Q215" s="219"/>
    </row>
    <row r="216" spans="9:17" hidden="1" x14ac:dyDescent="0.25">
      <c r="I216" s="219">
        <f t="shared" si="31"/>
        <v>0</v>
      </c>
      <c r="J216" s="219">
        <f t="shared" si="32"/>
        <v>0</v>
      </c>
      <c r="K216" s="219">
        <f t="shared" si="33"/>
        <v>0</v>
      </c>
      <c r="L216" s="232">
        <f t="shared" si="34"/>
        <v>0</v>
      </c>
      <c r="M216" s="219">
        <f t="shared" si="35"/>
        <v>0</v>
      </c>
      <c r="N216" s="219">
        <f t="shared" si="30"/>
        <v>0</v>
      </c>
      <c r="O216" s="219">
        <f t="shared" si="30"/>
        <v>0</v>
      </c>
      <c r="P216" s="219">
        <f t="shared" si="36"/>
        <v>0</v>
      </c>
      <c r="Q216" s="219"/>
    </row>
    <row r="217" spans="9:17" hidden="1" x14ac:dyDescent="0.25">
      <c r="I217" s="219">
        <f t="shared" si="31"/>
        <v>0</v>
      </c>
      <c r="J217" s="219">
        <f t="shared" si="32"/>
        <v>0</v>
      </c>
      <c r="K217" s="219">
        <f t="shared" si="33"/>
        <v>0</v>
      </c>
      <c r="L217" s="232">
        <f t="shared" si="34"/>
        <v>0</v>
      </c>
      <c r="M217" s="219">
        <f t="shared" si="35"/>
        <v>0</v>
      </c>
      <c r="N217" s="219">
        <f t="shared" si="30"/>
        <v>0</v>
      </c>
      <c r="O217" s="219">
        <f t="shared" si="30"/>
        <v>0</v>
      </c>
      <c r="P217" s="219">
        <f t="shared" si="36"/>
        <v>0</v>
      </c>
      <c r="Q217" s="219"/>
    </row>
    <row r="218" spans="9:17" hidden="1" x14ac:dyDescent="0.25">
      <c r="I218" s="219">
        <f t="shared" si="31"/>
        <v>0</v>
      </c>
      <c r="J218" s="219">
        <f t="shared" si="32"/>
        <v>0</v>
      </c>
      <c r="K218" s="219">
        <f t="shared" si="33"/>
        <v>0</v>
      </c>
      <c r="L218" s="232">
        <f t="shared" si="34"/>
        <v>0</v>
      </c>
      <c r="M218" s="219">
        <f t="shared" si="35"/>
        <v>0</v>
      </c>
      <c r="N218" s="219">
        <f t="shared" si="30"/>
        <v>0</v>
      </c>
      <c r="O218" s="219">
        <f t="shared" si="30"/>
        <v>0</v>
      </c>
      <c r="P218" s="219">
        <f t="shared" si="36"/>
        <v>0</v>
      </c>
      <c r="Q218" s="219"/>
    </row>
    <row r="219" spans="9:17" hidden="1" x14ac:dyDescent="0.25">
      <c r="I219" s="219">
        <f t="shared" si="31"/>
        <v>0</v>
      </c>
      <c r="J219" s="219">
        <f t="shared" si="32"/>
        <v>0</v>
      </c>
      <c r="K219" s="219">
        <f t="shared" si="33"/>
        <v>0</v>
      </c>
      <c r="L219" s="232">
        <f t="shared" si="34"/>
        <v>0</v>
      </c>
      <c r="M219" s="219">
        <f t="shared" si="35"/>
        <v>0</v>
      </c>
      <c r="N219" s="219">
        <f t="shared" si="30"/>
        <v>0</v>
      </c>
      <c r="O219" s="219">
        <f t="shared" si="30"/>
        <v>0</v>
      </c>
      <c r="P219" s="219">
        <f t="shared" si="36"/>
        <v>0</v>
      </c>
      <c r="Q219" s="219"/>
    </row>
    <row r="220" spans="9:17" hidden="1" x14ac:dyDescent="0.25">
      <c r="I220" s="219">
        <f t="shared" si="31"/>
        <v>0</v>
      </c>
      <c r="J220" s="219">
        <f t="shared" si="32"/>
        <v>0</v>
      </c>
      <c r="K220" s="219">
        <f t="shared" si="33"/>
        <v>0</v>
      </c>
      <c r="L220" s="232">
        <f t="shared" si="34"/>
        <v>0</v>
      </c>
      <c r="M220" s="219">
        <f t="shared" si="35"/>
        <v>0</v>
      </c>
      <c r="N220" s="219">
        <f t="shared" si="30"/>
        <v>0</v>
      </c>
      <c r="O220" s="219">
        <f t="shared" si="30"/>
        <v>0</v>
      </c>
      <c r="P220" s="219">
        <f t="shared" si="36"/>
        <v>0</v>
      </c>
      <c r="Q220" s="219"/>
    </row>
    <row r="221" spans="9:17" hidden="1" x14ac:dyDescent="0.25">
      <c r="I221" s="219">
        <f t="shared" si="31"/>
        <v>0</v>
      </c>
      <c r="J221" s="219">
        <f t="shared" si="32"/>
        <v>0</v>
      </c>
      <c r="K221" s="219">
        <f t="shared" si="33"/>
        <v>0</v>
      </c>
      <c r="L221" s="232">
        <f t="shared" si="34"/>
        <v>0</v>
      </c>
      <c r="M221" s="219">
        <f t="shared" si="35"/>
        <v>0</v>
      </c>
      <c r="N221" s="219">
        <f t="shared" si="30"/>
        <v>0</v>
      </c>
      <c r="O221" s="219">
        <f t="shared" si="30"/>
        <v>0</v>
      </c>
      <c r="P221" s="219">
        <f t="shared" si="36"/>
        <v>0</v>
      </c>
      <c r="Q221" s="219"/>
    </row>
    <row r="222" spans="9:17" hidden="1" x14ac:dyDescent="0.25">
      <c r="I222" s="219">
        <f t="shared" si="31"/>
        <v>0</v>
      </c>
      <c r="J222" s="219">
        <f t="shared" si="32"/>
        <v>0</v>
      </c>
      <c r="K222" s="219">
        <f t="shared" si="33"/>
        <v>0</v>
      </c>
      <c r="L222" s="232">
        <f t="shared" si="34"/>
        <v>0</v>
      </c>
      <c r="M222" s="219">
        <f t="shared" si="35"/>
        <v>0</v>
      </c>
      <c r="N222" s="219">
        <f t="shared" si="30"/>
        <v>0</v>
      </c>
      <c r="O222" s="219">
        <f t="shared" si="30"/>
        <v>0</v>
      </c>
      <c r="P222" s="219">
        <f t="shared" si="36"/>
        <v>0</v>
      </c>
      <c r="Q222" s="219"/>
    </row>
    <row r="223" spans="9:17" hidden="1" x14ac:dyDescent="0.25">
      <c r="I223" s="219">
        <f t="shared" si="31"/>
        <v>0</v>
      </c>
      <c r="J223" s="219">
        <f t="shared" si="32"/>
        <v>0</v>
      </c>
      <c r="K223" s="219">
        <f t="shared" si="33"/>
        <v>0</v>
      </c>
      <c r="L223" s="232">
        <f t="shared" si="34"/>
        <v>0</v>
      </c>
      <c r="M223" s="219">
        <f t="shared" si="35"/>
        <v>0</v>
      </c>
      <c r="N223" s="219">
        <f t="shared" si="30"/>
        <v>0</v>
      </c>
      <c r="O223" s="219">
        <f t="shared" si="30"/>
        <v>0</v>
      </c>
      <c r="P223" s="219">
        <f t="shared" si="36"/>
        <v>0</v>
      </c>
      <c r="Q223" s="219"/>
    </row>
    <row r="224" spans="9:17" hidden="1" x14ac:dyDescent="0.25">
      <c r="I224" s="219">
        <f t="shared" si="31"/>
        <v>0</v>
      </c>
      <c r="J224" s="219">
        <f t="shared" si="32"/>
        <v>0</v>
      </c>
      <c r="K224" s="219">
        <f t="shared" si="33"/>
        <v>0</v>
      </c>
      <c r="L224" s="232">
        <f t="shared" si="34"/>
        <v>0</v>
      </c>
      <c r="M224" s="219">
        <f t="shared" si="35"/>
        <v>0</v>
      </c>
      <c r="N224" s="219">
        <f t="shared" si="30"/>
        <v>0</v>
      </c>
      <c r="O224" s="219">
        <f t="shared" si="30"/>
        <v>0</v>
      </c>
      <c r="P224" s="219">
        <f t="shared" si="36"/>
        <v>0</v>
      </c>
      <c r="Q224" s="219"/>
    </row>
    <row r="225" spans="9:17" hidden="1" x14ac:dyDescent="0.25">
      <c r="I225" s="219">
        <f t="shared" si="31"/>
        <v>0</v>
      </c>
      <c r="J225" s="219">
        <f t="shared" si="32"/>
        <v>0</v>
      </c>
      <c r="K225" s="219">
        <f t="shared" si="33"/>
        <v>0</v>
      </c>
      <c r="L225" s="232">
        <f t="shared" si="34"/>
        <v>0</v>
      </c>
      <c r="M225" s="219">
        <f t="shared" si="35"/>
        <v>0</v>
      </c>
      <c r="N225" s="219">
        <f t="shared" si="30"/>
        <v>0</v>
      </c>
      <c r="O225" s="219">
        <f t="shared" si="30"/>
        <v>0</v>
      </c>
      <c r="P225" s="219">
        <f t="shared" si="36"/>
        <v>0</v>
      </c>
      <c r="Q225" s="219"/>
    </row>
    <row r="226" spans="9:17" hidden="1" x14ac:dyDescent="0.25">
      <c r="I226" s="219">
        <f t="shared" si="31"/>
        <v>0</v>
      </c>
      <c r="J226" s="219">
        <f t="shared" si="32"/>
        <v>0</v>
      </c>
      <c r="K226" s="219">
        <f t="shared" si="33"/>
        <v>0</v>
      </c>
      <c r="L226" s="232">
        <f t="shared" si="34"/>
        <v>0</v>
      </c>
      <c r="M226" s="219">
        <f t="shared" si="35"/>
        <v>0</v>
      </c>
      <c r="N226" s="219">
        <f t="shared" si="30"/>
        <v>0</v>
      </c>
      <c r="O226" s="219">
        <f t="shared" si="30"/>
        <v>0</v>
      </c>
      <c r="P226" s="219">
        <f t="shared" si="36"/>
        <v>0</v>
      </c>
      <c r="Q226" s="219"/>
    </row>
    <row r="227" spans="9:17" hidden="1" x14ac:dyDescent="0.25">
      <c r="I227" s="219">
        <f t="shared" si="31"/>
        <v>0</v>
      </c>
      <c r="J227" s="219">
        <f t="shared" si="32"/>
        <v>0</v>
      </c>
      <c r="K227" s="219">
        <f t="shared" si="33"/>
        <v>0</v>
      </c>
      <c r="L227" s="232">
        <f t="shared" si="34"/>
        <v>0</v>
      </c>
      <c r="M227" s="219">
        <f t="shared" si="35"/>
        <v>0</v>
      </c>
      <c r="N227" s="219">
        <f t="shared" si="30"/>
        <v>0</v>
      </c>
      <c r="O227" s="219">
        <f t="shared" si="30"/>
        <v>0</v>
      </c>
      <c r="P227" s="219">
        <f t="shared" si="36"/>
        <v>0</v>
      </c>
      <c r="Q227" s="219"/>
    </row>
    <row r="228" spans="9:17" hidden="1" x14ac:dyDescent="0.25">
      <c r="I228" s="219">
        <f t="shared" si="31"/>
        <v>0</v>
      </c>
      <c r="J228" s="219">
        <f t="shared" si="32"/>
        <v>0</v>
      </c>
      <c r="K228" s="219">
        <f t="shared" si="33"/>
        <v>0</v>
      </c>
      <c r="L228" s="232">
        <f t="shared" si="34"/>
        <v>0</v>
      </c>
      <c r="M228" s="219">
        <f t="shared" si="35"/>
        <v>0</v>
      </c>
      <c r="N228" s="219">
        <f t="shared" si="30"/>
        <v>0</v>
      </c>
      <c r="O228" s="219">
        <f t="shared" si="30"/>
        <v>0</v>
      </c>
      <c r="P228" s="219">
        <f t="shared" si="36"/>
        <v>0</v>
      </c>
      <c r="Q228" s="219"/>
    </row>
    <row r="229" spans="9:17" hidden="1" x14ac:dyDescent="0.25">
      <c r="I229" s="219">
        <f t="shared" si="31"/>
        <v>0</v>
      </c>
      <c r="J229" s="219">
        <f t="shared" si="32"/>
        <v>0</v>
      </c>
      <c r="K229" s="219">
        <f t="shared" si="33"/>
        <v>0</v>
      </c>
      <c r="L229" s="232">
        <f t="shared" si="34"/>
        <v>0</v>
      </c>
      <c r="M229" s="219">
        <f t="shared" si="35"/>
        <v>0</v>
      </c>
      <c r="N229" s="219">
        <f t="shared" si="30"/>
        <v>0</v>
      </c>
      <c r="O229" s="219">
        <f t="shared" si="30"/>
        <v>0</v>
      </c>
      <c r="P229" s="219">
        <f t="shared" si="36"/>
        <v>0</v>
      </c>
      <c r="Q229" s="219"/>
    </row>
    <row r="230" spans="9:17" hidden="1" x14ac:dyDescent="0.25">
      <c r="I230" s="219">
        <f t="shared" si="31"/>
        <v>0</v>
      </c>
      <c r="J230" s="219">
        <f t="shared" si="32"/>
        <v>0</v>
      </c>
      <c r="K230" s="219">
        <f t="shared" si="33"/>
        <v>0</v>
      </c>
      <c r="L230" s="232">
        <f t="shared" si="34"/>
        <v>0</v>
      </c>
      <c r="M230" s="219">
        <f t="shared" si="35"/>
        <v>0</v>
      </c>
      <c r="N230" s="219">
        <f t="shared" si="30"/>
        <v>0</v>
      </c>
      <c r="O230" s="219">
        <f t="shared" si="30"/>
        <v>0</v>
      </c>
      <c r="P230" s="219">
        <f t="shared" si="36"/>
        <v>0</v>
      </c>
      <c r="Q230" s="219"/>
    </row>
    <row r="231" spans="9:17" hidden="1" x14ac:dyDescent="0.25">
      <c r="I231" s="219">
        <f t="shared" si="31"/>
        <v>0</v>
      </c>
      <c r="J231" s="219">
        <f t="shared" si="32"/>
        <v>0</v>
      </c>
      <c r="K231" s="219">
        <f t="shared" si="33"/>
        <v>0</v>
      </c>
      <c r="L231" s="232">
        <f t="shared" si="34"/>
        <v>0</v>
      </c>
      <c r="M231" s="219">
        <f t="shared" si="35"/>
        <v>0</v>
      </c>
      <c r="N231" s="219">
        <f t="shared" si="30"/>
        <v>0</v>
      </c>
      <c r="O231" s="219">
        <f t="shared" si="30"/>
        <v>0</v>
      </c>
      <c r="P231" s="219">
        <f t="shared" si="36"/>
        <v>0</v>
      </c>
      <c r="Q231" s="219"/>
    </row>
    <row r="232" spans="9:17" hidden="1" x14ac:dyDescent="0.25">
      <c r="I232" s="219">
        <f t="shared" si="31"/>
        <v>0</v>
      </c>
      <c r="J232" s="219">
        <f t="shared" si="32"/>
        <v>0</v>
      </c>
      <c r="K232" s="219">
        <f t="shared" si="33"/>
        <v>0</v>
      </c>
      <c r="L232" s="232">
        <f t="shared" si="34"/>
        <v>0</v>
      </c>
      <c r="M232" s="219">
        <f t="shared" si="35"/>
        <v>0</v>
      </c>
      <c r="N232" s="219">
        <f t="shared" si="30"/>
        <v>0</v>
      </c>
      <c r="O232" s="219">
        <f t="shared" si="30"/>
        <v>0</v>
      </c>
      <c r="P232" s="219">
        <f t="shared" si="36"/>
        <v>0</v>
      </c>
      <c r="Q232" s="219"/>
    </row>
    <row r="233" spans="9:17" hidden="1" x14ac:dyDescent="0.25">
      <c r="I233" s="219">
        <f t="shared" si="31"/>
        <v>0</v>
      </c>
      <c r="J233" s="219">
        <f t="shared" si="32"/>
        <v>0</v>
      </c>
      <c r="K233" s="219">
        <f t="shared" si="33"/>
        <v>0</v>
      </c>
      <c r="L233" s="232">
        <f t="shared" si="34"/>
        <v>0</v>
      </c>
      <c r="M233" s="219">
        <f t="shared" si="35"/>
        <v>0</v>
      </c>
      <c r="N233" s="219">
        <f t="shared" si="30"/>
        <v>0</v>
      </c>
      <c r="O233" s="219">
        <f t="shared" si="30"/>
        <v>0</v>
      </c>
      <c r="P233" s="219">
        <f t="shared" si="36"/>
        <v>0</v>
      </c>
      <c r="Q233" s="219"/>
    </row>
    <row r="234" spans="9:17" hidden="1" x14ac:dyDescent="0.25">
      <c r="I234" s="219">
        <f t="shared" si="31"/>
        <v>0</v>
      </c>
      <c r="J234" s="219">
        <f t="shared" si="32"/>
        <v>0</v>
      </c>
      <c r="K234" s="219">
        <f t="shared" si="33"/>
        <v>0</v>
      </c>
      <c r="L234" s="232">
        <f t="shared" si="34"/>
        <v>0</v>
      </c>
      <c r="M234" s="219">
        <f t="shared" si="35"/>
        <v>0</v>
      </c>
      <c r="N234" s="219">
        <f t="shared" si="30"/>
        <v>0</v>
      </c>
      <c r="O234" s="219">
        <f t="shared" si="30"/>
        <v>0</v>
      </c>
      <c r="P234" s="219">
        <f t="shared" si="36"/>
        <v>0</v>
      </c>
      <c r="Q234" s="219">
        <f t="shared" ref="Q234:Q268" si="37">AN234</f>
        <v>0</v>
      </c>
    </row>
    <row r="235" spans="9:17" hidden="1" x14ac:dyDescent="0.25">
      <c r="I235" s="219">
        <f t="shared" si="31"/>
        <v>0</v>
      </c>
      <c r="J235" s="219">
        <f t="shared" si="32"/>
        <v>0</v>
      </c>
      <c r="K235" s="219">
        <f t="shared" si="33"/>
        <v>0</v>
      </c>
      <c r="L235" s="232">
        <f t="shared" si="34"/>
        <v>0</v>
      </c>
      <c r="M235" s="219">
        <f t="shared" si="35"/>
        <v>0</v>
      </c>
      <c r="N235" s="219">
        <f t="shared" si="30"/>
        <v>0</v>
      </c>
      <c r="O235" s="219">
        <f t="shared" si="30"/>
        <v>0</v>
      </c>
      <c r="P235" s="219">
        <f t="shared" si="36"/>
        <v>0</v>
      </c>
      <c r="Q235" s="219">
        <f t="shared" si="37"/>
        <v>0</v>
      </c>
    </row>
    <row r="236" spans="9:17" hidden="1" x14ac:dyDescent="0.25">
      <c r="I236" s="219">
        <f t="shared" si="31"/>
        <v>0</v>
      </c>
      <c r="J236" s="219">
        <f t="shared" si="32"/>
        <v>0</v>
      </c>
      <c r="K236" s="219">
        <f t="shared" si="33"/>
        <v>0</v>
      </c>
      <c r="L236" s="232">
        <f t="shared" si="34"/>
        <v>0</v>
      </c>
      <c r="M236" s="219">
        <f t="shared" si="35"/>
        <v>0</v>
      </c>
      <c r="N236" s="219">
        <f t="shared" si="30"/>
        <v>0</v>
      </c>
      <c r="O236" s="219">
        <f t="shared" si="30"/>
        <v>0</v>
      </c>
      <c r="P236" s="219">
        <f t="shared" si="36"/>
        <v>0</v>
      </c>
      <c r="Q236" s="219">
        <f t="shared" si="37"/>
        <v>0</v>
      </c>
    </row>
    <row r="237" spans="9:17" hidden="1" x14ac:dyDescent="0.25">
      <c r="I237" s="219">
        <f t="shared" si="31"/>
        <v>0</v>
      </c>
      <c r="J237" s="219">
        <f t="shared" si="32"/>
        <v>0</v>
      </c>
      <c r="K237" s="219">
        <f t="shared" si="33"/>
        <v>0</v>
      </c>
      <c r="L237" s="232">
        <f t="shared" si="34"/>
        <v>0</v>
      </c>
      <c r="M237" s="219">
        <f t="shared" si="35"/>
        <v>0</v>
      </c>
      <c r="N237" s="219">
        <f t="shared" si="30"/>
        <v>0</v>
      </c>
      <c r="O237" s="219">
        <f t="shared" si="30"/>
        <v>0</v>
      </c>
      <c r="P237" s="219">
        <f t="shared" si="36"/>
        <v>0</v>
      </c>
      <c r="Q237" s="219">
        <f t="shared" si="37"/>
        <v>0</v>
      </c>
    </row>
    <row r="238" spans="9:17" hidden="1" x14ac:dyDescent="0.25">
      <c r="I238" s="219">
        <f t="shared" si="31"/>
        <v>0</v>
      </c>
      <c r="J238" s="219">
        <f t="shared" si="32"/>
        <v>0</v>
      </c>
      <c r="K238" s="219">
        <f t="shared" si="33"/>
        <v>0</v>
      </c>
      <c r="L238" s="232">
        <f t="shared" si="34"/>
        <v>0</v>
      </c>
      <c r="M238" s="219">
        <f t="shared" si="35"/>
        <v>0</v>
      </c>
      <c r="N238" s="219">
        <f t="shared" si="30"/>
        <v>0</v>
      </c>
      <c r="O238" s="219">
        <f t="shared" si="30"/>
        <v>0</v>
      </c>
      <c r="P238" s="219">
        <f t="shared" si="36"/>
        <v>0</v>
      </c>
      <c r="Q238" s="219">
        <f t="shared" si="37"/>
        <v>0</v>
      </c>
    </row>
    <row r="239" spans="9:17" hidden="1" x14ac:dyDescent="0.25">
      <c r="I239" s="219">
        <f t="shared" si="31"/>
        <v>0</v>
      </c>
      <c r="J239" s="219">
        <f t="shared" si="32"/>
        <v>0</v>
      </c>
      <c r="K239" s="219">
        <f t="shared" si="33"/>
        <v>0</v>
      </c>
      <c r="L239" s="232">
        <f t="shared" si="34"/>
        <v>0</v>
      </c>
      <c r="M239" s="219">
        <f t="shared" si="35"/>
        <v>0</v>
      </c>
      <c r="N239" s="219">
        <f t="shared" si="30"/>
        <v>0</v>
      </c>
      <c r="O239" s="219">
        <f t="shared" si="30"/>
        <v>0</v>
      </c>
      <c r="P239" s="219">
        <f t="shared" si="36"/>
        <v>0</v>
      </c>
      <c r="Q239" s="219">
        <f t="shared" si="37"/>
        <v>0</v>
      </c>
    </row>
    <row r="240" spans="9:17" hidden="1" x14ac:dyDescent="0.25">
      <c r="I240" s="219">
        <f t="shared" si="31"/>
        <v>0</v>
      </c>
      <c r="J240" s="219">
        <f t="shared" si="32"/>
        <v>0</v>
      </c>
      <c r="K240" s="219">
        <f t="shared" si="33"/>
        <v>0</v>
      </c>
      <c r="L240" s="232">
        <f t="shared" si="34"/>
        <v>0</v>
      </c>
      <c r="M240" s="219">
        <f t="shared" si="35"/>
        <v>0</v>
      </c>
      <c r="N240" s="219">
        <f t="shared" si="30"/>
        <v>0</v>
      </c>
      <c r="O240" s="219">
        <f t="shared" si="30"/>
        <v>0</v>
      </c>
      <c r="P240" s="219">
        <f t="shared" si="36"/>
        <v>0</v>
      </c>
      <c r="Q240" s="219">
        <f t="shared" si="37"/>
        <v>0</v>
      </c>
    </row>
    <row r="241" spans="9:17" hidden="1" x14ac:dyDescent="0.25">
      <c r="I241" s="219">
        <f t="shared" si="31"/>
        <v>0</v>
      </c>
      <c r="J241" s="219">
        <f t="shared" si="32"/>
        <v>0</v>
      </c>
      <c r="K241" s="219">
        <f t="shared" si="33"/>
        <v>0</v>
      </c>
      <c r="L241" s="232">
        <f t="shared" si="34"/>
        <v>0</v>
      </c>
      <c r="M241" s="219">
        <f t="shared" si="35"/>
        <v>0</v>
      </c>
      <c r="N241" s="219">
        <f t="shared" si="30"/>
        <v>0</v>
      </c>
      <c r="O241" s="219">
        <f t="shared" si="30"/>
        <v>0</v>
      </c>
      <c r="P241" s="219">
        <f t="shared" si="36"/>
        <v>0</v>
      </c>
      <c r="Q241" s="219">
        <f t="shared" si="37"/>
        <v>0</v>
      </c>
    </row>
    <row r="242" spans="9:17" hidden="1" x14ac:dyDescent="0.25">
      <c r="I242" s="219">
        <f t="shared" si="31"/>
        <v>0</v>
      </c>
      <c r="J242" s="219">
        <f t="shared" si="32"/>
        <v>0</v>
      </c>
      <c r="K242" s="219">
        <f t="shared" si="33"/>
        <v>0</v>
      </c>
      <c r="L242" s="232">
        <f t="shared" si="34"/>
        <v>0</v>
      </c>
      <c r="M242" s="219">
        <f t="shared" si="35"/>
        <v>0</v>
      </c>
      <c r="N242" s="219">
        <f t="shared" si="30"/>
        <v>0</v>
      </c>
      <c r="O242" s="219">
        <f t="shared" si="30"/>
        <v>0</v>
      </c>
      <c r="P242" s="219">
        <f t="shared" si="36"/>
        <v>0</v>
      </c>
      <c r="Q242" s="219">
        <f t="shared" si="37"/>
        <v>0</v>
      </c>
    </row>
    <row r="243" spans="9:17" hidden="1" x14ac:dyDescent="0.25">
      <c r="I243" s="219">
        <f t="shared" si="31"/>
        <v>0</v>
      </c>
      <c r="J243" s="219">
        <f t="shared" si="32"/>
        <v>0</v>
      </c>
      <c r="K243" s="219">
        <f t="shared" si="33"/>
        <v>0</v>
      </c>
      <c r="L243" s="232">
        <f t="shared" si="34"/>
        <v>0</v>
      </c>
      <c r="M243" s="219">
        <f t="shared" si="35"/>
        <v>0</v>
      </c>
      <c r="N243" s="219">
        <f t="shared" si="30"/>
        <v>0</v>
      </c>
      <c r="O243" s="219">
        <f t="shared" si="30"/>
        <v>0</v>
      </c>
      <c r="P243" s="219">
        <f t="shared" si="36"/>
        <v>0</v>
      </c>
      <c r="Q243" s="219">
        <f t="shared" si="37"/>
        <v>0</v>
      </c>
    </row>
    <row r="244" spans="9:17" hidden="1" x14ac:dyDescent="0.25">
      <c r="I244" s="219">
        <f t="shared" si="31"/>
        <v>0</v>
      </c>
      <c r="J244" s="219">
        <f t="shared" si="32"/>
        <v>0</v>
      </c>
      <c r="K244" s="219">
        <f t="shared" si="33"/>
        <v>0</v>
      </c>
      <c r="L244" s="232">
        <f t="shared" si="34"/>
        <v>0</v>
      </c>
      <c r="M244" s="219">
        <f t="shared" si="35"/>
        <v>0</v>
      </c>
      <c r="N244" s="219">
        <f t="shared" si="30"/>
        <v>0</v>
      </c>
      <c r="O244" s="219">
        <f t="shared" si="30"/>
        <v>0</v>
      </c>
      <c r="P244" s="219">
        <f t="shared" si="36"/>
        <v>0</v>
      </c>
      <c r="Q244" s="219">
        <f t="shared" si="37"/>
        <v>0</v>
      </c>
    </row>
    <row r="245" spans="9:17" hidden="1" x14ac:dyDescent="0.25">
      <c r="I245" s="219">
        <f t="shared" si="31"/>
        <v>0</v>
      </c>
      <c r="J245" s="219">
        <f t="shared" si="32"/>
        <v>0</v>
      </c>
      <c r="K245" s="219">
        <f t="shared" si="33"/>
        <v>0</v>
      </c>
      <c r="L245" s="232">
        <f t="shared" si="34"/>
        <v>0</v>
      </c>
      <c r="M245" s="219">
        <f t="shared" si="35"/>
        <v>0</v>
      </c>
      <c r="N245" s="219">
        <f t="shared" si="30"/>
        <v>0</v>
      </c>
      <c r="O245" s="219">
        <f t="shared" si="30"/>
        <v>0</v>
      </c>
      <c r="P245" s="219">
        <f t="shared" si="36"/>
        <v>0</v>
      </c>
      <c r="Q245" s="219">
        <f t="shared" si="37"/>
        <v>0</v>
      </c>
    </row>
    <row r="246" spans="9:17" hidden="1" x14ac:dyDescent="0.25">
      <c r="I246" s="219">
        <f t="shared" si="31"/>
        <v>0</v>
      </c>
      <c r="J246" s="219">
        <f t="shared" si="32"/>
        <v>0</v>
      </c>
      <c r="K246" s="219">
        <f t="shared" si="33"/>
        <v>0</v>
      </c>
      <c r="L246" s="232">
        <f t="shared" si="34"/>
        <v>0</v>
      </c>
      <c r="M246" s="219">
        <f t="shared" si="35"/>
        <v>0</v>
      </c>
      <c r="N246" s="219">
        <f t="shared" si="30"/>
        <v>0</v>
      </c>
      <c r="O246" s="219">
        <f t="shared" si="30"/>
        <v>0</v>
      </c>
      <c r="P246" s="219">
        <f t="shared" si="36"/>
        <v>0</v>
      </c>
      <c r="Q246" s="219">
        <f t="shared" si="37"/>
        <v>0</v>
      </c>
    </row>
    <row r="247" spans="9:17" hidden="1" x14ac:dyDescent="0.25">
      <c r="I247" s="219">
        <f t="shared" si="31"/>
        <v>0</v>
      </c>
      <c r="J247" s="219">
        <f t="shared" si="32"/>
        <v>0</v>
      </c>
      <c r="K247" s="219">
        <f t="shared" si="33"/>
        <v>0</v>
      </c>
      <c r="L247" s="232">
        <f t="shared" si="34"/>
        <v>0</v>
      </c>
      <c r="M247" s="219">
        <f t="shared" si="35"/>
        <v>0</v>
      </c>
      <c r="N247" s="219">
        <f t="shared" si="30"/>
        <v>0</v>
      </c>
      <c r="O247" s="219">
        <f t="shared" si="30"/>
        <v>0</v>
      </c>
      <c r="P247" s="219">
        <f t="shared" si="36"/>
        <v>0</v>
      </c>
      <c r="Q247" s="219">
        <f t="shared" si="37"/>
        <v>0</v>
      </c>
    </row>
    <row r="248" spans="9:17" hidden="1" x14ac:dyDescent="0.25">
      <c r="I248" s="219">
        <f t="shared" si="31"/>
        <v>0</v>
      </c>
      <c r="J248" s="219">
        <f t="shared" si="32"/>
        <v>0</v>
      </c>
      <c r="K248" s="219">
        <f t="shared" si="33"/>
        <v>0</v>
      </c>
      <c r="L248" s="232">
        <f t="shared" si="34"/>
        <v>0</v>
      </c>
      <c r="M248" s="219">
        <f t="shared" si="35"/>
        <v>0</v>
      </c>
      <c r="N248" s="219">
        <f t="shared" si="30"/>
        <v>0</v>
      </c>
      <c r="O248" s="219">
        <f t="shared" si="30"/>
        <v>0</v>
      </c>
      <c r="P248" s="219">
        <f t="shared" si="36"/>
        <v>0</v>
      </c>
      <c r="Q248" s="219">
        <f t="shared" si="37"/>
        <v>0</v>
      </c>
    </row>
    <row r="249" spans="9:17" hidden="1" x14ac:dyDescent="0.25">
      <c r="I249" s="219">
        <f t="shared" si="31"/>
        <v>0</v>
      </c>
      <c r="J249" s="219">
        <f t="shared" si="32"/>
        <v>0</v>
      </c>
      <c r="K249" s="219">
        <f t="shared" si="33"/>
        <v>0</v>
      </c>
      <c r="L249" s="232">
        <f t="shared" si="34"/>
        <v>0</v>
      </c>
      <c r="M249" s="219">
        <f t="shared" si="35"/>
        <v>0</v>
      </c>
      <c r="N249" s="219">
        <f t="shared" si="30"/>
        <v>0</v>
      </c>
      <c r="O249" s="219">
        <f t="shared" si="30"/>
        <v>0</v>
      </c>
      <c r="P249" s="219">
        <f t="shared" si="36"/>
        <v>0</v>
      </c>
      <c r="Q249" s="219">
        <f t="shared" si="37"/>
        <v>0</v>
      </c>
    </row>
    <row r="250" spans="9:17" hidden="1" x14ac:dyDescent="0.25">
      <c r="I250" s="219">
        <f t="shared" si="31"/>
        <v>0</v>
      </c>
      <c r="J250" s="219">
        <f t="shared" si="32"/>
        <v>0</v>
      </c>
      <c r="K250" s="219">
        <f t="shared" si="33"/>
        <v>0</v>
      </c>
      <c r="L250" s="232">
        <f t="shared" si="34"/>
        <v>0</v>
      </c>
      <c r="M250" s="219">
        <f t="shared" si="35"/>
        <v>0</v>
      </c>
      <c r="N250" s="219">
        <f t="shared" si="30"/>
        <v>0</v>
      </c>
      <c r="O250" s="219">
        <f t="shared" si="30"/>
        <v>0</v>
      </c>
      <c r="P250" s="219">
        <f t="shared" si="36"/>
        <v>0</v>
      </c>
      <c r="Q250" s="219">
        <f t="shared" si="37"/>
        <v>0</v>
      </c>
    </row>
    <row r="251" spans="9:17" hidden="1" x14ac:dyDescent="0.25">
      <c r="I251" s="219">
        <f t="shared" si="31"/>
        <v>0</v>
      </c>
      <c r="J251" s="219">
        <f t="shared" si="32"/>
        <v>0</v>
      </c>
      <c r="K251" s="219">
        <f t="shared" si="33"/>
        <v>0</v>
      </c>
      <c r="L251" s="232">
        <f t="shared" si="34"/>
        <v>0</v>
      </c>
      <c r="M251" s="219">
        <f t="shared" si="35"/>
        <v>0</v>
      </c>
      <c r="N251" s="219">
        <f t="shared" si="30"/>
        <v>0</v>
      </c>
      <c r="O251" s="219">
        <f t="shared" si="30"/>
        <v>0</v>
      </c>
      <c r="P251" s="219">
        <f t="shared" si="36"/>
        <v>0</v>
      </c>
      <c r="Q251" s="219">
        <f t="shared" si="37"/>
        <v>0</v>
      </c>
    </row>
    <row r="252" spans="9:17" hidden="1" x14ac:dyDescent="0.25">
      <c r="I252" s="219">
        <f t="shared" si="31"/>
        <v>0</v>
      </c>
      <c r="J252" s="219">
        <f t="shared" si="32"/>
        <v>0</v>
      </c>
      <c r="K252" s="219">
        <f t="shared" si="33"/>
        <v>0</v>
      </c>
      <c r="L252" s="232">
        <f t="shared" si="34"/>
        <v>0</v>
      </c>
      <c r="M252" s="219">
        <f t="shared" si="35"/>
        <v>0</v>
      </c>
      <c r="N252" s="219">
        <f t="shared" ref="N252:O268" si="38">AG252</f>
        <v>0</v>
      </c>
      <c r="O252" s="219">
        <f t="shared" si="38"/>
        <v>0</v>
      </c>
      <c r="P252" s="219">
        <f t="shared" si="36"/>
        <v>0</v>
      </c>
      <c r="Q252" s="219">
        <f t="shared" si="37"/>
        <v>0</v>
      </c>
    </row>
    <row r="253" spans="9:17" hidden="1" x14ac:dyDescent="0.25">
      <c r="I253" s="219">
        <f t="shared" si="31"/>
        <v>0</v>
      </c>
      <c r="J253" s="219">
        <f t="shared" si="32"/>
        <v>0</v>
      </c>
      <c r="K253" s="219">
        <f t="shared" si="33"/>
        <v>0</v>
      </c>
      <c r="L253" s="232">
        <f t="shared" si="34"/>
        <v>0</v>
      </c>
      <c r="M253" s="219">
        <f t="shared" si="35"/>
        <v>0</v>
      </c>
      <c r="N253" s="219">
        <f t="shared" si="38"/>
        <v>0</v>
      </c>
      <c r="O253" s="219">
        <f t="shared" si="38"/>
        <v>0</v>
      </c>
      <c r="P253" s="219">
        <f t="shared" si="36"/>
        <v>0</v>
      </c>
      <c r="Q253" s="219">
        <f t="shared" si="37"/>
        <v>0</v>
      </c>
    </row>
    <row r="254" spans="9:17" hidden="1" x14ac:dyDescent="0.25">
      <c r="I254" s="219">
        <f t="shared" si="31"/>
        <v>0</v>
      </c>
      <c r="J254" s="219">
        <f t="shared" si="32"/>
        <v>0</v>
      </c>
      <c r="K254" s="219">
        <f t="shared" si="33"/>
        <v>0</v>
      </c>
      <c r="L254" s="232">
        <f t="shared" si="34"/>
        <v>0</v>
      </c>
      <c r="M254" s="219">
        <f t="shared" si="35"/>
        <v>0</v>
      </c>
      <c r="N254" s="219">
        <f t="shared" si="38"/>
        <v>0</v>
      </c>
      <c r="O254" s="219">
        <f t="shared" si="38"/>
        <v>0</v>
      </c>
      <c r="P254" s="219">
        <f t="shared" si="36"/>
        <v>0</v>
      </c>
      <c r="Q254" s="219">
        <f t="shared" si="37"/>
        <v>0</v>
      </c>
    </row>
    <row r="255" spans="9:17" hidden="1" x14ac:dyDescent="0.25">
      <c r="I255" s="219">
        <f t="shared" si="31"/>
        <v>0</v>
      </c>
      <c r="J255" s="219">
        <f t="shared" si="32"/>
        <v>0</v>
      </c>
      <c r="K255" s="219">
        <f t="shared" si="33"/>
        <v>0</v>
      </c>
      <c r="L255" s="232">
        <f t="shared" si="34"/>
        <v>0</v>
      </c>
      <c r="M255" s="219">
        <f t="shared" si="35"/>
        <v>0</v>
      </c>
      <c r="N255" s="219">
        <f t="shared" si="38"/>
        <v>0</v>
      </c>
      <c r="O255" s="219">
        <f t="shared" si="38"/>
        <v>0</v>
      </c>
      <c r="P255" s="219">
        <f t="shared" si="36"/>
        <v>0</v>
      </c>
      <c r="Q255" s="219">
        <f t="shared" si="37"/>
        <v>0</v>
      </c>
    </row>
    <row r="256" spans="9:17" hidden="1" x14ac:dyDescent="0.25">
      <c r="I256" s="219">
        <f t="shared" si="31"/>
        <v>0</v>
      </c>
      <c r="J256" s="219">
        <f t="shared" si="32"/>
        <v>0</v>
      </c>
      <c r="K256" s="219">
        <f t="shared" si="33"/>
        <v>0</v>
      </c>
      <c r="L256" s="232">
        <f t="shared" si="34"/>
        <v>0</v>
      </c>
      <c r="M256" s="219">
        <f t="shared" si="35"/>
        <v>0</v>
      </c>
      <c r="N256" s="219">
        <f t="shared" si="38"/>
        <v>0</v>
      </c>
      <c r="O256" s="219">
        <f t="shared" si="38"/>
        <v>0</v>
      </c>
      <c r="P256" s="219">
        <f t="shared" si="36"/>
        <v>0</v>
      </c>
      <c r="Q256" s="219">
        <f t="shared" si="37"/>
        <v>0</v>
      </c>
    </row>
    <row r="257" spans="9:17" hidden="1" x14ac:dyDescent="0.25">
      <c r="I257" s="219">
        <f t="shared" si="31"/>
        <v>0</v>
      </c>
      <c r="J257" s="219">
        <f t="shared" si="32"/>
        <v>0</v>
      </c>
      <c r="K257" s="219">
        <f t="shared" si="33"/>
        <v>0</v>
      </c>
      <c r="L257" s="232">
        <f t="shared" si="34"/>
        <v>0</v>
      </c>
      <c r="M257" s="219">
        <f t="shared" si="35"/>
        <v>0</v>
      </c>
      <c r="N257" s="219">
        <f t="shared" si="38"/>
        <v>0</v>
      </c>
      <c r="O257" s="219">
        <f t="shared" si="38"/>
        <v>0</v>
      </c>
      <c r="P257" s="219">
        <f t="shared" si="36"/>
        <v>0</v>
      </c>
      <c r="Q257" s="219">
        <f t="shared" si="37"/>
        <v>0</v>
      </c>
    </row>
    <row r="258" spans="9:17" hidden="1" x14ac:dyDescent="0.25">
      <c r="I258" s="219">
        <f t="shared" si="31"/>
        <v>0</v>
      </c>
      <c r="J258" s="219">
        <f t="shared" si="32"/>
        <v>0</v>
      </c>
      <c r="K258" s="219">
        <f t="shared" si="33"/>
        <v>0</v>
      </c>
      <c r="L258" s="232">
        <f t="shared" si="34"/>
        <v>0</v>
      </c>
      <c r="M258" s="219">
        <f t="shared" si="35"/>
        <v>0</v>
      </c>
      <c r="N258" s="219">
        <f t="shared" si="38"/>
        <v>0</v>
      </c>
      <c r="O258" s="219">
        <f t="shared" si="38"/>
        <v>0</v>
      </c>
      <c r="P258" s="219">
        <f t="shared" si="36"/>
        <v>0</v>
      </c>
      <c r="Q258" s="219">
        <f t="shared" si="37"/>
        <v>0</v>
      </c>
    </row>
    <row r="259" spans="9:17" hidden="1" x14ac:dyDescent="0.25">
      <c r="I259" s="219">
        <f t="shared" si="31"/>
        <v>0</v>
      </c>
      <c r="J259" s="219">
        <f t="shared" si="32"/>
        <v>0</v>
      </c>
      <c r="K259" s="219">
        <f t="shared" si="33"/>
        <v>0</v>
      </c>
      <c r="L259" s="232">
        <f t="shared" si="34"/>
        <v>0</v>
      </c>
      <c r="M259" s="219">
        <f t="shared" si="35"/>
        <v>0</v>
      </c>
      <c r="N259" s="219">
        <f t="shared" si="38"/>
        <v>0</v>
      </c>
      <c r="O259" s="219">
        <f t="shared" si="38"/>
        <v>0</v>
      </c>
      <c r="P259" s="219">
        <f t="shared" si="36"/>
        <v>0</v>
      </c>
      <c r="Q259" s="219">
        <f t="shared" si="37"/>
        <v>0</v>
      </c>
    </row>
    <row r="260" spans="9:17" hidden="1" x14ac:dyDescent="0.25">
      <c r="I260" s="219">
        <f t="shared" si="31"/>
        <v>0</v>
      </c>
      <c r="J260" s="219">
        <f t="shared" si="32"/>
        <v>0</v>
      </c>
      <c r="K260" s="219">
        <f t="shared" si="33"/>
        <v>0</v>
      </c>
      <c r="L260" s="232">
        <f t="shared" si="34"/>
        <v>0</v>
      </c>
      <c r="M260" s="219">
        <f t="shared" si="35"/>
        <v>0</v>
      </c>
      <c r="N260" s="219">
        <f t="shared" si="38"/>
        <v>0</v>
      </c>
      <c r="O260" s="219">
        <f t="shared" si="38"/>
        <v>0</v>
      </c>
      <c r="P260" s="219">
        <f t="shared" si="36"/>
        <v>0</v>
      </c>
      <c r="Q260" s="219">
        <f t="shared" si="37"/>
        <v>0</v>
      </c>
    </row>
    <row r="261" spans="9:17" hidden="1" x14ac:dyDescent="0.25">
      <c r="I261" s="219">
        <f t="shared" ref="I261:I268" si="39">SUM(R261:S261)</f>
        <v>0</v>
      </c>
      <c r="J261" s="219">
        <f t="shared" ref="J261:J268" si="40">SUM(T261:V261)</f>
        <v>0</v>
      </c>
      <c r="K261" s="219">
        <f t="shared" ref="K261:K268" si="41">W261</f>
        <v>0</v>
      </c>
      <c r="L261" s="232">
        <f t="shared" ref="L261:L268" si="42">SUM(X261:AB261)</f>
        <v>0</v>
      </c>
      <c r="M261" s="219">
        <f t="shared" ref="M261:M268" si="43">SUM(AC261:AE261)</f>
        <v>0</v>
      </c>
      <c r="N261" s="219">
        <f t="shared" si="38"/>
        <v>0</v>
      </c>
      <c r="O261" s="219">
        <f t="shared" si="38"/>
        <v>0</v>
      </c>
      <c r="P261" s="219">
        <f t="shared" ref="P261:P268" si="44">SUM(AK261:AM261)</f>
        <v>0</v>
      </c>
      <c r="Q261" s="219">
        <f t="shared" si="37"/>
        <v>0</v>
      </c>
    </row>
    <row r="262" spans="9:17" hidden="1" x14ac:dyDescent="0.25">
      <c r="I262" s="219">
        <f t="shared" si="39"/>
        <v>0</v>
      </c>
      <c r="J262" s="219">
        <f t="shared" si="40"/>
        <v>0</v>
      </c>
      <c r="K262" s="219">
        <f t="shared" si="41"/>
        <v>0</v>
      </c>
      <c r="L262" s="232">
        <f t="shared" si="42"/>
        <v>0</v>
      </c>
      <c r="M262" s="219">
        <f t="shared" si="43"/>
        <v>0</v>
      </c>
      <c r="N262" s="219">
        <f t="shared" si="38"/>
        <v>0</v>
      </c>
      <c r="O262" s="219">
        <f t="shared" si="38"/>
        <v>0</v>
      </c>
      <c r="P262" s="219">
        <f t="shared" si="44"/>
        <v>0</v>
      </c>
      <c r="Q262" s="219">
        <f t="shared" si="37"/>
        <v>0</v>
      </c>
    </row>
    <row r="263" spans="9:17" hidden="1" x14ac:dyDescent="0.25">
      <c r="I263" s="219">
        <f t="shared" si="39"/>
        <v>0</v>
      </c>
      <c r="J263" s="219">
        <f t="shared" si="40"/>
        <v>0</v>
      </c>
      <c r="K263" s="219">
        <f t="shared" si="41"/>
        <v>0</v>
      </c>
      <c r="L263" s="232">
        <f t="shared" si="42"/>
        <v>0</v>
      </c>
      <c r="M263" s="219">
        <f t="shared" si="43"/>
        <v>0</v>
      </c>
      <c r="N263" s="219">
        <f t="shared" si="38"/>
        <v>0</v>
      </c>
      <c r="O263" s="219">
        <f t="shared" si="38"/>
        <v>0</v>
      </c>
      <c r="P263" s="219">
        <f t="shared" si="44"/>
        <v>0</v>
      </c>
      <c r="Q263" s="219">
        <f t="shared" si="37"/>
        <v>0</v>
      </c>
    </row>
    <row r="264" spans="9:17" hidden="1" x14ac:dyDescent="0.25">
      <c r="I264" s="219">
        <f t="shared" si="39"/>
        <v>0</v>
      </c>
      <c r="J264" s="219">
        <f t="shared" si="40"/>
        <v>0</v>
      </c>
      <c r="K264" s="219">
        <f t="shared" si="41"/>
        <v>0</v>
      </c>
      <c r="L264" s="232">
        <f t="shared" si="42"/>
        <v>0</v>
      </c>
      <c r="M264" s="219">
        <f t="shared" si="43"/>
        <v>0</v>
      </c>
      <c r="N264" s="219">
        <f t="shared" si="38"/>
        <v>0</v>
      </c>
      <c r="O264" s="219">
        <f t="shared" si="38"/>
        <v>0</v>
      </c>
      <c r="P264" s="219">
        <f t="shared" si="44"/>
        <v>0</v>
      </c>
      <c r="Q264" s="219">
        <f t="shared" si="37"/>
        <v>0</v>
      </c>
    </row>
    <row r="265" spans="9:17" hidden="1" x14ac:dyDescent="0.25">
      <c r="I265" s="219">
        <f t="shared" si="39"/>
        <v>0</v>
      </c>
      <c r="J265" s="219">
        <f t="shared" si="40"/>
        <v>0</v>
      </c>
      <c r="K265" s="219">
        <f t="shared" si="41"/>
        <v>0</v>
      </c>
      <c r="L265" s="232">
        <f t="shared" si="42"/>
        <v>0</v>
      </c>
      <c r="M265" s="219">
        <f t="shared" si="43"/>
        <v>0</v>
      </c>
      <c r="N265" s="219">
        <f t="shared" si="38"/>
        <v>0</v>
      </c>
      <c r="O265" s="219">
        <f t="shared" si="38"/>
        <v>0</v>
      </c>
      <c r="P265" s="219">
        <f t="shared" si="44"/>
        <v>0</v>
      </c>
      <c r="Q265" s="219">
        <f t="shared" si="37"/>
        <v>0</v>
      </c>
    </row>
    <row r="266" spans="9:17" hidden="1" x14ac:dyDescent="0.25">
      <c r="I266" s="219">
        <f t="shared" si="39"/>
        <v>0</v>
      </c>
      <c r="J266" s="219">
        <f t="shared" si="40"/>
        <v>0</v>
      </c>
      <c r="K266" s="219">
        <f t="shared" si="41"/>
        <v>0</v>
      </c>
      <c r="L266" s="232">
        <f t="shared" si="42"/>
        <v>0</v>
      </c>
      <c r="M266" s="219">
        <f t="shared" si="43"/>
        <v>0</v>
      </c>
      <c r="N266" s="219">
        <f t="shared" si="38"/>
        <v>0</v>
      </c>
      <c r="O266" s="219">
        <f t="shared" si="38"/>
        <v>0</v>
      </c>
      <c r="P266" s="219">
        <f t="shared" si="44"/>
        <v>0</v>
      </c>
      <c r="Q266" s="219">
        <f t="shared" si="37"/>
        <v>0</v>
      </c>
    </row>
    <row r="267" spans="9:17" hidden="1" x14ac:dyDescent="0.25">
      <c r="I267" s="219">
        <f t="shared" si="39"/>
        <v>0</v>
      </c>
      <c r="J267" s="219">
        <f t="shared" si="40"/>
        <v>0</v>
      </c>
      <c r="K267" s="219">
        <f t="shared" si="41"/>
        <v>0</v>
      </c>
      <c r="L267" s="232">
        <f t="shared" si="42"/>
        <v>0</v>
      </c>
      <c r="M267" s="219">
        <f t="shared" si="43"/>
        <v>0</v>
      </c>
      <c r="N267" s="219">
        <f t="shared" si="38"/>
        <v>0</v>
      </c>
      <c r="O267" s="219">
        <f t="shared" si="38"/>
        <v>0</v>
      </c>
      <c r="P267" s="219">
        <f t="shared" si="44"/>
        <v>0</v>
      </c>
      <c r="Q267" s="219">
        <f t="shared" si="37"/>
        <v>0</v>
      </c>
    </row>
    <row r="268" spans="9:17" hidden="1" x14ac:dyDescent="0.25">
      <c r="I268" s="219">
        <f t="shared" si="39"/>
        <v>0</v>
      </c>
      <c r="J268" s="219">
        <f t="shared" si="40"/>
        <v>0</v>
      </c>
      <c r="K268" s="219">
        <f t="shared" si="41"/>
        <v>0</v>
      </c>
      <c r="L268" s="232">
        <f t="shared" si="42"/>
        <v>0</v>
      </c>
      <c r="M268" s="219">
        <f t="shared" si="43"/>
        <v>0</v>
      </c>
      <c r="N268" s="219">
        <f t="shared" si="38"/>
        <v>0</v>
      </c>
      <c r="O268" s="219">
        <f t="shared" si="38"/>
        <v>0</v>
      </c>
      <c r="P268" s="219">
        <f t="shared" si="44"/>
        <v>0</v>
      </c>
      <c r="Q268" s="219">
        <f t="shared" si="37"/>
        <v>0</v>
      </c>
    </row>
  </sheetData>
  <autoFilter ref="A3:AQ268" xr:uid="{F4E271B0-9BC6-43A9-829F-67EBEF38B757}">
    <filterColumn colId="0">
      <filters>
        <filter val="Тверская область"/>
      </filters>
    </filterColumn>
  </autoFilter>
  <mergeCells count="7">
    <mergeCell ref="J2:L2"/>
    <mergeCell ref="M2:Q2"/>
    <mergeCell ref="V1:AF1"/>
    <mergeCell ref="AG1:AQ1"/>
    <mergeCell ref="R2:W2"/>
    <mergeCell ref="AG2:AN2"/>
    <mergeCell ref="AO2:AQ2"/>
  </mergeCells>
  <conditionalFormatting sqref="R4:AQ4 R5:AK66 AM5:AQ66 AL5:AL67">
    <cfRule type="expression" dxfId="0" priority="1">
      <formula>$D4=$D$1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7BC1-AB84-4C97-A7A0-E851126C3CB4}">
  <sheetPr filterMode="1">
    <tabColor rgb="FF92D050"/>
  </sheetPr>
  <dimension ref="A1:AN268"/>
  <sheetViews>
    <sheetView zoomScale="93" zoomScaleNormal="60" workbookViewId="0">
      <selection activeCell="O18" sqref="O18"/>
    </sheetView>
  </sheetViews>
  <sheetFormatPr defaultRowHeight="15" x14ac:dyDescent="0.25"/>
  <cols>
    <col min="1" max="1" width="17.5703125" style="215" customWidth="1"/>
    <col min="2" max="2" width="8.140625" customWidth="1"/>
    <col min="3" max="3" width="25.5703125" customWidth="1"/>
    <col min="4" max="4" width="37.85546875" bestFit="1" customWidth="1"/>
    <col min="5" max="5" width="24.85546875" bestFit="1" customWidth="1"/>
    <col min="9" max="9" width="13.140625" bestFit="1" customWidth="1"/>
    <col min="10" max="10" width="18.7109375" bestFit="1" customWidth="1"/>
    <col min="11" max="11" width="20.7109375" bestFit="1" customWidth="1"/>
    <col min="12" max="12" width="21.28515625" bestFit="1" customWidth="1"/>
    <col min="13" max="13" width="25.42578125" bestFit="1" customWidth="1"/>
    <col min="14" max="14" width="25.140625" bestFit="1" customWidth="1"/>
    <col min="15" max="15" width="23.28515625" bestFit="1" customWidth="1"/>
    <col min="16" max="16" width="18.28515625" bestFit="1" customWidth="1"/>
    <col min="17" max="17" width="19.28515625" bestFit="1" customWidth="1"/>
    <col min="18" max="18" width="14.85546875" bestFit="1" customWidth="1"/>
    <col min="19" max="23" width="12.140625" bestFit="1" customWidth="1"/>
    <col min="24" max="26" width="11.140625" bestFit="1" customWidth="1"/>
    <col min="27" max="30" width="13.85546875" bestFit="1" customWidth="1"/>
    <col min="31" max="33" width="12.140625" bestFit="1" customWidth="1"/>
    <col min="34" max="34" width="13.85546875" bestFit="1" customWidth="1"/>
    <col min="35" max="35" width="8.42578125" bestFit="1" customWidth="1"/>
    <col min="36" max="36" width="7" bestFit="1" customWidth="1"/>
    <col min="37" max="39" width="13.85546875" bestFit="1" customWidth="1"/>
    <col min="40" max="40" width="11.140625" bestFit="1" customWidth="1"/>
  </cols>
  <sheetData>
    <row r="1" spans="1:40" ht="15" customHeight="1" thickBot="1" x14ac:dyDescent="0.3">
      <c r="A1" s="454" t="s">
        <v>182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504" t="s">
        <v>184</v>
      </c>
      <c r="S1" s="508"/>
      <c r="T1" s="508"/>
      <c r="U1" s="508"/>
      <c r="V1" s="508"/>
      <c r="W1" s="508"/>
      <c r="X1" s="508"/>
      <c r="Y1" s="508"/>
      <c r="Z1" s="508"/>
      <c r="AA1" s="508"/>
      <c r="AB1" s="509"/>
      <c r="AC1" s="504" t="s">
        <v>185</v>
      </c>
      <c r="AD1" s="508"/>
      <c r="AE1" s="508"/>
      <c r="AF1" s="508"/>
      <c r="AG1" s="508"/>
      <c r="AH1" s="508"/>
      <c r="AI1" s="508"/>
      <c r="AJ1" s="508"/>
      <c r="AK1" s="508"/>
      <c r="AL1" s="508"/>
      <c r="AM1" s="509"/>
    </row>
    <row r="2" spans="1:40" ht="45.75" thickBot="1" x14ac:dyDescent="0.3">
      <c r="A2" s="455"/>
      <c r="B2" s="3"/>
      <c r="C2" s="3"/>
      <c r="D2" s="3"/>
      <c r="E2" s="3"/>
      <c r="F2" s="3"/>
      <c r="G2" s="3"/>
      <c r="H2" s="3"/>
      <c r="I2" s="13" t="s">
        <v>290</v>
      </c>
      <c r="J2" s="490" t="s">
        <v>291</v>
      </c>
      <c r="K2" s="490"/>
      <c r="L2" s="490"/>
      <c r="M2" s="490" t="s">
        <v>292</v>
      </c>
      <c r="N2" s="490"/>
      <c r="O2" s="490"/>
      <c r="P2" s="490"/>
      <c r="Q2" s="491"/>
      <c r="R2" s="505" t="s">
        <v>186</v>
      </c>
      <c r="S2" s="511"/>
      <c r="T2" s="4" t="s">
        <v>187</v>
      </c>
      <c r="U2" s="3" t="s">
        <v>187</v>
      </c>
      <c r="V2" s="5" t="s">
        <v>187</v>
      </c>
      <c r="W2" s="3" t="s">
        <v>188</v>
      </c>
      <c r="X2" s="3" t="s">
        <v>188</v>
      </c>
      <c r="Y2" s="3" t="s">
        <v>188</v>
      </c>
      <c r="Z2" s="3" t="s">
        <v>188</v>
      </c>
      <c r="AA2" s="3" t="s">
        <v>188</v>
      </c>
      <c r="AB2" s="5" t="s">
        <v>188</v>
      </c>
      <c r="AC2" s="505" t="s">
        <v>189</v>
      </c>
      <c r="AD2" s="512"/>
      <c r="AE2" s="512"/>
      <c r="AF2" s="512"/>
      <c r="AG2" s="512"/>
      <c r="AH2" s="512"/>
      <c r="AI2" s="512"/>
      <c r="AJ2" s="511"/>
      <c r="AK2" s="505" t="s">
        <v>293</v>
      </c>
      <c r="AL2" s="512"/>
      <c r="AM2" s="511"/>
    </row>
    <row r="3" spans="1:40" ht="60" x14ac:dyDescent="0.25">
      <c r="A3" s="456" t="s">
        <v>190</v>
      </c>
      <c r="B3" s="205" t="s">
        <v>191</v>
      </c>
      <c r="C3" s="205" t="s">
        <v>192</v>
      </c>
      <c r="D3" s="206" t="s">
        <v>193</v>
      </c>
      <c r="E3" s="207" t="s">
        <v>194</v>
      </c>
      <c r="F3" s="206" t="s">
        <v>195</v>
      </c>
      <c r="G3" s="208" t="s">
        <v>196</v>
      </c>
      <c r="H3" s="209" t="s">
        <v>197</v>
      </c>
      <c r="I3" s="231" t="s">
        <v>290</v>
      </c>
      <c r="J3" s="231" t="s">
        <v>294</v>
      </c>
      <c r="K3" s="231" t="s">
        <v>295</v>
      </c>
      <c r="L3" s="231" t="s">
        <v>296</v>
      </c>
      <c r="M3" s="231" t="s">
        <v>297</v>
      </c>
      <c r="N3" s="231" t="s">
        <v>298</v>
      </c>
      <c r="O3" s="231" t="s">
        <v>299</v>
      </c>
      <c r="P3" s="231" t="s">
        <v>300</v>
      </c>
      <c r="Q3" s="231" t="s">
        <v>301</v>
      </c>
      <c r="R3" s="210" t="s">
        <v>302</v>
      </c>
      <c r="S3" s="206" t="s">
        <v>303</v>
      </c>
      <c r="T3" s="210" t="s">
        <v>304</v>
      </c>
      <c r="U3" s="205" t="s">
        <v>305</v>
      </c>
      <c r="V3" s="206" t="s">
        <v>201</v>
      </c>
      <c r="W3" s="205" t="s">
        <v>202</v>
      </c>
      <c r="X3" s="205" t="s">
        <v>204</v>
      </c>
      <c r="Y3" s="205" t="s">
        <v>205</v>
      </c>
      <c r="Z3" s="205" t="s">
        <v>206</v>
      </c>
      <c r="AA3" s="205" t="s">
        <v>207</v>
      </c>
      <c r="AB3" s="206" t="s">
        <v>208</v>
      </c>
      <c r="AC3" s="210" t="s">
        <v>306</v>
      </c>
      <c r="AD3" s="205" t="s">
        <v>307</v>
      </c>
      <c r="AE3" s="205" t="s">
        <v>308</v>
      </c>
      <c r="AF3" s="205" t="s">
        <v>309</v>
      </c>
      <c r="AG3" s="211" t="s">
        <v>310</v>
      </c>
      <c r="AH3" s="212" t="s">
        <v>311</v>
      </c>
      <c r="AI3" s="212" t="s">
        <v>312</v>
      </c>
      <c r="AJ3" s="213" t="s">
        <v>313</v>
      </c>
      <c r="AK3" s="212" t="s">
        <v>306</v>
      </c>
      <c r="AL3" s="211" t="s">
        <v>307</v>
      </c>
      <c r="AM3" s="213" t="s">
        <v>314</v>
      </c>
      <c r="AN3" s="214" t="s">
        <v>334</v>
      </c>
    </row>
    <row r="4" spans="1:40" hidden="1" x14ac:dyDescent="0.25">
      <c r="A4" s="457" t="s">
        <v>111</v>
      </c>
      <c r="B4" s="131" t="s">
        <v>386</v>
      </c>
      <c r="C4" s="131" t="s">
        <v>387</v>
      </c>
      <c r="D4" s="131" t="s">
        <v>388</v>
      </c>
      <c r="E4" s="131" t="s">
        <v>389</v>
      </c>
      <c r="F4" s="216">
        <v>1</v>
      </c>
      <c r="G4" s="216">
        <v>1</v>
      </c>
      <c r="H4" s="131" t="s">
        <v>343</v>
      </c>
      <c r="I4" s="219">
        <f>SUM(R4:S4)</f>
        <v>0</v>
      </c>
      <c r="J4" s="219">
        <f>SUM(T4:V4)</f>
        <v>273375212.92999798</v>
      </c>
      <c r="K4" s="219">
        <f>W4</f>
        <v>1308584.48</v>
      </c>
      <c r="L4" s="232">
        <f>SUM(X4:AB4)</f>
        <v>27757720.270000011</v>
      </c>
      <c r="M4" s="219">
        <f>SUM(AC4:AE4)</f>
        <v>295869483.78616917</v>
      </c>
      <c r="N4" s="219">
        <f>AG4</f>
        <v>0</v>
      </c>
      <c r="O4" s="219">
        <f>AH4</f>
        <v>136896493.58840001</v>
      </c>
      <c r="P4" s="219">
        <f>SUM(AK4:AM4)</f>
        <v>0</v>
      </c>
      <c r="Q4" s="219">
        <f>AN4</f>
        <v>18010939.100000001</v>
      </c>
      <c r="R4" s="217"/>
      <c r="S4" s="217"/>
      <c r="T4" s="218">
        <v>273375212.92999798</v>
      </c>
      <c r="U4" s="217"/>
      <c r="V4" s="217"/>
      <c r="W4" s="219">
        <v>1308584.48</v>
      </c>
      <c r="X4" s="217">
        <v>835674.26999999979</v>
      </c>
      <c r="Y4" s="219">
        <v>1117437.0899999994</v>
      </c>
      <c r="Z4" s="217"/>
      <c r="AA4" s="217">
        <v>12997548.62000001</v>
      </c>
      <c r="AB4" s="217">
        <v>12807060.290000001</v>
      </c>
      <c r="AC4" s="218">
        <v>137212028.23000035</v>
      </c>
      <c r="AD4" s="218">
        <v>147326576.93616879</v>
      </c>
      <c r="AE4" s="218">
        <v>11330878.619999999</v>
      </c>
      <c r="AF4" s="218">
        <v>20719960.789999995</v>
      </c>
      <c r="AG4" s="131"/>
      <c r="AH4" s="220">
        <v>136896493.58840001</v>
      </c>
      <c r="AI4" s="131"/>
      <c r="AJ4" s="131"/>
      <c r="AK4" s="131"/>
      <c r="AL4" s="217"/>
      <c r="AM4" s="131"/>
      <c r="AN4" s="218">
        <v>18010939.100000001</v>
      </c>
    </row>
    <row r="5" spans="1:40" hidden="1" x14ac:dyDescent="0.25">
      <c r="A5" s="457" t="s">
        <v>108</v>
      </c>
      <c r="B5" s="131" t="s">
        <v>386</v>
      </c>
      <c r="C5" s="131" t="s">
        <v>390</v>
      </c>
      <c r="D5" s="131" t="s">
        <v>391</v>
      </c>
      <c r="E5" s="131" t="s">
        <v>389</v>
      </c>
      <c r="F5" s="216">
        <v>1</v>
      </c>
      <c r="G5" s="216"/>
      <c r="H5" s="131"/>
      <c r="I5" s="219">
        <f t="shared" ref="I5:I68" si="0">SUM(R5:S5)</f>
        <v>0</v>
      </c>
      <c r="J5" s="219">
        <f t="shared" ref="J5:J68" si="1">SUM(T5:V5)</f>
        <v>410425.87</v>
      </c>
      <c r="K5" s="219">
        <f t="shared" ref="K5:K68" si="2">W5</f>
        <v>4796203.9399999995</v>
      </c>
      <c r="L5" s="232">
        <f t="shared" ref="L5:L68" si="3">SUM(X5:AB5)</f>
        <v>7264198.879999999</v>
      </c>
      <c r="M5" s="219">
        <f t="shared" ref="M5:M68" si="4">SUM(AC5:AE5)</f>
        <v>0</v>
      </c>
      <c r="N5" s="219">
        <f t="shared" ref="N5:N68" si="5">AG5</f>
        <v>0</v>
      </c>
      <c r="O5" s="219">
        <f t="shared" ref="O5:O68" si="6">AH5</f>
        <v>0</v>
      </c>
      <c r="P5" s="219">
        <f t="shared" ref="P5:P68" si="7">SUM(AK5:AM5)</f>
        <v>0</v>
      </c>
      <c r="Q5" s="219">
        <f t="shared" ref="Q5:Q68" si="8">AN5</f>
        <v>271516.5</v>
      </c>
      <c r="R5" s="218"/>
      <c r="S5" s="218"/>
      <c r="T5" s="218"/>
      <c r="U5" s="218">
        <v>410425.87</v>
      </c>
      <c r="V5" s="218"/>
      <c r="W5" s="218">
        <v>4796203.9399999995</v>
      </c>
      <c r="X5" s="218">
        <v>5893471.6199999992</v>
      </c>
      <c r="Y5" s="218">
        <v>615334.52999999991</v>
      </c>
      <c r="Z5" s="218"/>
      <c r="AA5" s="218">
        <v>755392.72999999986</v>
      </c>
      <c r="AB5" s="218"/>
      <c r="AC5" s="218">
        <v>0</v>
      </c>
      <c r="AD5" s="218">
        <v>0</v>
      </c>
      <c r="AE5" s="218">
        <v>0</v>
      </c>
      <c r="AF5" s="218"/>
      <c r="AG5" s="131"/>
      <c r="AH5" s="220"/>
      <c r="AI5" s="131"/>
      <c r="AJ5" s="131"/>
      <c r="AK5" s="219"/>
      <c r="AL5" s="219"/>
      <c r="AM5" s="131"/>
      <c r="AN5" s="218">
        <v>271516.5</v>
      </c>
    </row>
    <row r="6" spans="1:40" hidden="1" x14ac:dyDescent="0.25">
      <c r="A6" s="457" t="s">
        <v>350</v>
      </c>
      <c r="B6" s="131" t="s">
        <v>386</v>
      </c>
      <c r="C6" s="131" t="s">
        <v>390</v>
      </c>
      <c r="D6" s="131" t="s">
        <v>392</v>
      </c>
      <c r="E6" s="131" t="s">
        <v>389</v>
      </c>
      <c r="F6" s="216"/>
      <c r="G6" s="216"/>
      <c r="H6" s="131"/>
      <c r="I6" s="219">
        <f t="shared" si="0"/>
        <v>0</v>
      </c>
      <c r="J6" s="219">
        <f t="shared" si="1"/>
        <v>500000000</v>
      </c>
      <c r="K6" s="219">
        <f t="shared" si="2"/>
        <v>0</v>
      </c>
      <c r="L6" s="232">
        <f t="shared" si="3"/>
        <v>0</v>
      </c>
      <c r="M6" s="219">
        <f t="shared" si="4"/>
        <v>0</v>
      </c>
      <c r="N6" s="219">
        <f t="shared" si="5"/>
        <v>0</v>
      </c>
      <c r="O6" s="219">
        <f t="shared" si="6"/>
        <v>0</v>
      </c>
      <c r="P6" s="219">
        <f t="shared" si="7"/>
        <v>0</v>
      </c>
      <c r="Q6" s="219">
        <f t="shared" si="8"/>
        <v>0</v>
      </c>
      <c r="R6" s="218"/>
      <c r="S6" s="218"/>
      <c r="T6" s="221">
        <v>500000000</v>
      </c>
      <c r="U6" s="218"/>
      <c r="V6" s="218"/>
      <c r="W6" s="218"/>
      <c r="X6" s="218"/>
      <c r="Y6" s="218"/>
      <c r="Z6" s="218"/>
      <c r="AA6" s="218"/>
      <c r="AB6" s="218"/>
      <c r="AC6" s="218">
        <v>0</v>
      </c>
      <c r="AD6" s="218">
        <v>0</v>
      </c>
      <c r="AE6" s="218">
        <v>0</v>
      </c>
      <c r="AF6" s="131"/>
      <c r="AG6" s="131"/>
      <c r="AH6" s="220"/>
      <c r="AI6" s="131"/>
      <c r="AJ6" s="131"/>
      <c r="AK6" s="131"/>
      <c r="AL6" s="131"/>
      <c r="AM6" s="131"/>
      <c r="AN6" s="218"/>
    </row>
    <row r="7" spans="1:40" hidden="1" x14ac:dyDescent="0.25">
      <c r="A7" s="457" t="s">
        <v>108</v>
      </c>
      <c r="B7" s="131" t="s">
        <v>386</v>
      </c>
      <c r="C7" s="131" t="s">
        <v>390</v>
      </c>
      <c r="D7" s="131" t="s">
        <v>393</v>
      </c>
      <c r="E7" s="131" t="s">
        <v>394</v>
      </c>
      <c r="F7" s="216"/>
      <c r="G7" s="216"/>
      <c r="H7" s="131"/>
      <c r="I7" s="219">
        <f t="shared" si="0"/>
        <v>0</v>
      </c>
      <c r="J7" s="219">
        <f t="shared" si="1"/>
        <v>0</v>
      </c>
      <c r="K7" s="219">
        <f t="shared" si="2"/>
        <v>6859376.6300000027</v>
      </c>
      <c r="L7" s="232">
        <f t="shared" si="3"/>
        <v>1600855.32</v>
      </c>
      <c r="M7" s="219">
        <f t="shared" si="4"/>
        <v>0</v>
      </c>
      <c r="N7" s="219">
        <f t="shared" si="5"/>
        <v>0</v>
      </c>
      <c r="O7" s="219">
        <f t="shared" si="6"/>
        <v>0</v>
      </c>
      <c r="P7" s="219">
        <f t="shared" si="7"/>
        <v>0</v>
      </c>
      <c r="Q7" s="219">
        <f t="shared" si="8"/>
        <v>98073.75</v>
      </c>
      <c r="R7" s="218"/>
      <c r="S7" s="218"/>
      <c r="T7" s="218"/>
      <c r="U7" s="218"/>
      <c r="V7" s="218"/>
      <c r="W7" s="218">
        <v>6859376.6300000027</v>
      </c>
      <c r="X7" s="218">
        <v>338286.39</v>
      </c>
      <c r="Y7" s="218">
        <v>43879.85</v>
      </c>
      <c r="Z7" s="218"/>
      <c r="AA7" s="218">
        <v>1095379.25</v>
      </c>
      <c r="AB7" s="218">
        <v>123309.83</v>
      </c>
      <c r="AC7" s="218">
        <v>0</v>
      </c>
      <c r="AD7" s="218">
        <v>0</v>
      </c>
      <c r="AE7" s="218">
        <v>0</v>
      </c>
      <c r="AF7" s="131"/>
      <c r="AG7" s="131"/>
      <c r="AH7" s="220"/>
      <c r="AI7" s="131"/>
      <c r="AJ7" s="131"/>
      <c r="AK7" s="131"/>
      <c r="AL7" s="131"/>
      <c r="AM7" s="131"/>
      <c r="AN7" s="218">
        <v>98073.75</v>
      </c>
    </row>
    <row r="8" spans="1:40" hidden="1" x14ac:dyDescent="0.25">
      <c r="A8" s="457" t="s">
        <v>120</v>
      </c>
      <c r="B8" s="131" t="s">
        <v>386</v>
      </c>
      <c r="C8" s="131" t="s">
        <v>395</v>
      </c>
      <c r="D8" s="131" t="s">
        <v>396</v>
      </c>
      <c r="E8" s="131" t="s">
        <v>397</v>
      </c>
      <c r="F8" s="216">
        <v>1</v>
      </c>
      <c r="G8" s="216">
        <v>1</v>
      </c>
      <c r="H8" s="131" t="s">
        <v>343</v>
      </c>
      <c r="I8" s="219">
        <f t="shared" si="0"/>
        <v>0</v>
      </c>
      <c r="J8" s="219">
        <f t="shared" si="1"/>
        <v>11696539.060000004</v>
      </c>
      <c r="K8" s="219">
        <f t="shared" si="2"/>
        <v>0</v>
      </c>
      <c r="L8" s="232">
        <f t="shared" si="3"/>
        <v>55325264.270000003</v>
      </c>
      <c r="M8" s="219">
        <f t="shared" si="4"/>
        <v>1077378891.5505776</v>
      </c>
      <c r="N8" s="219">
        <f t="shared" si="5"/>
        <v>212080190.04999906</v>
      </c>
      <c r="O8" s="219">
        <f t="shared" si="6"/>
        <v>748324785.27690029</v>
      </c>
      <c r="P8" s="219">
        <f t="shared" si="7"/>
        <v>0</v>
      </c>
      <c r="Q8" s="219">
        <f t="shared" si="8"/>
        <v>21870426.049999997</v>
      </c>
      <c r="R8" s="218"/>
      <c r="S8" s="218"/>
      <c r="T8" s="218"/>
      <c r="U8" s="218">
        <v>982481.92999999982</v>
      </c>
      <c r="V8" s="218">
        <v>10714057.130000005</v>
      </c>
      <c r="W8" s="218"/>
      <c r="X8" s="218">
        <v>6962677.3600000003</v>
      </c>
      <c r="Y8" s="219">
        <v>7058491.3600000013</v>
      </c>
      <c r="Z8" s="218"/>
      <c r="AA8" s="218">
        <v>15080036.960000003</v>
      </c>
      <c r="AB8" s="219">
        <v>26224058.589999996</v>
      </c>
      <c r="AC8" s="219">
        <v>316578068.54999369</v>
      </c>
      <c r="AD8" s="219">
        <v>542792093.10058415</v>
      </c>
      <c r="AE8" s="219">
        <v>218008729.89999986</v>
      </c>
      <c r="AF8" s="219">
        <v>57242106.320000052</v>
      </c>
      <c r="AG8" s="219">
        <v>212080190.04999906</v>
      </c>
      <c r="AH8" s="220">
        <v>748324785.27690029</v>
      </c>
      <c r="AI8" s="131"/>
      <c r="AJ8" s="131"/>
      <c r="AK8" s="131"/>
      <c r="AL8" s="218"/>
      <c r="AM8" s="131"/>
      <c r="AN8" s="218">
        <v>21870426.049999997</v>
      </c>
    </row>
    <row r="9" spans="1:40" x14ac:dyDescent="0.25">
      <c r="A9" s="457" t="s">
        <v>107</v>
      </c>
      <c r="B9" s="131" t="s">
        <v>386</v>
      </c>
      <c r="C9" s="131" t="s">
        <v>387</v>
      </c>
      <c r="D9" s="131" t="s">
        <v>398</v>
      </c>
      <c r="E9" s="131" t="s">
        <v>389</v>
      </c>
      <c r="F9" s="216">
        <v>4</v>
      </c>
      <c r="G9" s="216">
        <v>2</v>
      </c>
      <c r="H9" s="131"/>
      <c r="I9" s="219">
        <f t="shared" si="0"/>
        <v>743484501.85000026</v>
      </c>
      <c r="J9" s="219">
        <f t="shared" si="1"/>
        <v>0</v>
      </c>
      <c r="K9" s="219">
        <f t="shared" si="2"/>
        <v>17632294.399999999</v>
      </c>
      <c r="L9" s="232">
        <f t="shared" si="3"/>
        <v>11623141.609999999</v>
      </c>
      <c r="M9" s="219">
        <f t="shared" si="4"/>
        <v>0</v>
      </c>
      <c r="N9" s="219">
        <f t="shared" si="5"/>
        <v>0</v>
      </c>
      <c r="O9" s="219">
        <f t="shared" si="6"/>
        <v>0</v>
      </c>
      <c r="P9" s="219">
        <f t="shared" si="7"/>
        <v>0</v>
      </c>
      <c r="Q9" s="219">
        <f t="shared" si="8"/>
        <v>1288855.8400000001</v>
      </c>
      <c r="R9" s="222">
        <v>743484501.85000026</v>
      </c>
      <c r="S9" s="131"/>
      <c r="T9" s="218"/>
      <c r="U9" s="218"/>
      <c r="V9" s="218"/>
      <c r="W9" s="218">
        <v>17632294.399999999</v>
      </c>
      <c r="X9" s="218">
        <v>103918.67000000001</v>
      </c>
      <c r="Y9" s="218">
        <v>2047973.79</v>
      </c>
      <c r="Z9" s="218"/>
      <c r="AA9" s="218">
        <v>7153921.8599999985</v>
      </c>
      <c r="AB9" s="218">
        <v>2317327.29</v>
      </c>
      <c r="AC9" s="218"/>
      <c r="AD9" s="218"/>
      <c r="AE9" s="218"/>
      <c r="AF9" s="131"/>
      <c r="AG9" s="131"/>
      <c r="AH9" s="220"/>
      <c r="AI9" s="131"/>
      <c r="AJ9" s="131"/>
      <c r="AK9" s="131"/>
      <c r="AL9" s="131"/>
      <c r="AM9" s="131"/>
      <c r="AN9" s="218">
        <v>1288855.8400000001</v>
      </c>
    </row>
    <row r="10" spans="1:40" hidden="1" x14ac:dyDescent="0.25">
      <c r="A10" s="457" t="s">
        <v>350</v>
      </c>
      <c r="B10" s="131" t="s">
        <v>386</v>
      </c>
      <c r="C10" s="131" t="s">
        <v>399</v>
      </c>
      <c r="D10" s="131" t="s">
        <v>400</v>
      </c>
      <c r="E10" s="131"/>
      <c r="F10" s="216"/>
      <c r="G10" s="216"/>
      <c r="H10" s="131" t="s">
        <v>343</v>
      </c>
      <c r="I10" s="219">
        <f t="shared" si="0"/>
        <v>0</v>
      </c>
      <c r="J10" s="219">
        <f t="shared" si="1"/>
        <v>0</v>
      </c>
      <c r="K10" s="219">
        <f t="shared" si="2"/>
        <v>0</v>
      </c>
      <c r="L10" s="232">
        <f t="shared" si="3"/>
        <v>0</v>
      </c>
      <c r="M10" s="219">
        <f t="shared" si="4"/>
        <v>58644616.523887977</v>
      </c>
      <c r="N10" s="219">
        <f t="shared" si="5"/>
        <v>0</v>
      </c>
      <c r="O10" s="219">
        <f t="shared" si="6"/>
        <v>0</v>
      </c>
      <c r="P10" s="219">
        <f t="shared" si="7"/>
        <v>0</v>
      </c>
      <c r="Q10" s="219">
        <f t="shared" si="8"/>
        <v>0</v>
      </c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>
        <v>27020753.650000017</v>
      </c>
      <c r="AD10" s="218">
        <v>29209677.343887962</v>
      </c>
      <c r="AE10" s="218">
        <v>2414185.5299999993</v>
      </c>
      <c r="AF10" s="218">
        <v>6984523.4099999983</v>
      </c>
      <c r="AG10" s="131"/>
      <c r="AH10" s="220"/>
      <c r="AI10" s="131"/>
      <c r="AJ10" s="131"/>
      <c r="AK10" s="131"/>
      <c r="AL10" s="218"/>
      <c r="AM10" s="131"/>
      <c r="AN10" s="218"/>
    </row>
    <row r="11" spans="1:40" hidden="1" x14ac:dyDescent="0.25">
      <c r="A11" s="457" t="s">
        <v>93</v>
      </c>
      <c r="B11" s="131" t="s">
        <v>386</v>
      </c>
      <c r="C11" s="131" t="s">
        <v>399</v>
      </c>
      <c r="D11" s="131" t="s">
        <v>400</v>
      </c>
      <c r="E11" s="131"/>
      <c r="F11" s="216"/>
      <c r="G11" s="216"/>
      <c r="H11" s="131" t="s">
        <v>343</v>
      </c>
      <c r="I11" s="219">
        <f t="shared" si="0"/>
        <v>0</v>
      </c>
      <c r="J11" s="219">
        <f t="shared" si="1"/>
        <v>0</v>
      </c>
      <c r="K11" s="219">
        <f t="shared" si="2"/>
        <v>0</v>
      </c>
      <c r="L11" s="232">
        <f t="shared" si="3"/>
        <v>0</v>
      </c>
      <c r="M11" s="219">
        <f t="shared" si="4"/>
        <v>2477576350.1662774</v>
      </c>
      <c r="N11" s="219">
        <f t="shared" si="5"/>
        <v>0</v>
      </c>
      <c r="O11" s="219">
        <f t="shared" si="6"/>
        <v>1259436385.0236988</v>
      </c>
      <c r="P11" s="219">
        <f t="shared" si="7"/>
        <v>218761180.7299979</v>
      </c>
      <c r="Q11" s="219">
        <f t="shared" si="8"/>
        <v>0</v>
      </c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>
        <v>1141366425.4998622</v>
      </c>
      <c r="AD11" s="218">
        <v>831773064.71641517</v>
      </c>
      <c r="AE11" s="218">
        <v>504436859.94999987</v>
      </c>
      <c r="AF11" s="218">
        <v>103954394.68999988</v>
      </c>
      <c r="AG11" s="131"/>
      <c r="AH11" s="220">
        <v>1259436385.0236988</v>
      </c>
      <c r="AI11" s="131"/>
      <c r="AJ11" s="131"/>
      <c r="AK11" s="131"/>
      <c r="AL11" s="218"/>
      <c r="AM11" s="218">
        <v>218761180.7299979</v>
      </c>
      <c r="AN11" s="218"/>
    </row>
    <row r="12" spans="1:40" hidden="1" x14ac:dyDescent="0.25">
      <c r="A12" s="457" t="s">
        <v>103</v>
      </c>
      <c r="B12" s="131" t="s">
        <v>386</v>
      </c>
      <c r="C12" s="131" t="s">
        <v>401</v>
      </c>
      <c r="D12" s="131" t="s">
        <v>402</v>
      </c>
      <c r="E12" s="131"/>
      <c r="F12" s="216"/>
      <c r="G12" s="216"/>
      <c r="H12" s="131" t="s">
        <v>343</v>
      </c>
      <c r="I12" s="219">
        <f t="shared" si="0"/>
        <v>0</v>
      </c>
      <c r="J12" s="219">
        <f t="shared" si="1"/>
        <v>0</v>
      </c>
      <c r="K12" s="219">
        <f t="shared" si="2"/>
        <v>0</v>
      </c>
      <c r="L12" s="232">
        <f t="shared" si="3"/>
        <v>0</v>
      </c>
      <c r="M12" s="219">
        <f t="shared" si="4"/>
        <v>2326531547.897965</v>
      </c>
      <c r="N12" s="219">
        <f t="shared" si="5"/>
        <v>0</v>
      </c>
      <c r="O12" s="219">
        <f t="shared" si="6"/>
        <v>1270221008.9855001</v>
      </c>
      <c r="P12" s="219">
        <f t="shared" si="7"/>
        <v>1003918901.3799986</v>
      </c>
      <c r="Q12" s="219">
        <f t="shared" si="8"/>
        <v>0</v>
      </c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>
        <v>990493865.12990296</v>
      </c>
      <c r="AD12" s="218">
        <v>986810307.13806188</v>
      </c>
      <c r="AE12" s="218">
        <v>349227375.63</v>
      </c>
      <c r="AF12" s="218">
        <v>328556107.32999998</v>
      </c>
      <c r="AG12" s="131"/>
      <c r="AH12" s="220">
        <v>1270221008.9855001</v>
      </c>
      <c r="AI12" s="131"/>
      <c r="AJ12" s="131"/>
      <c r="AK12" s="131"/>
      <c r="AL12" s="218"/>
      <c r="AM12" s="218">
        <v>1003918901.3799986</v>
      </c>
      <c r="AN12" s="218"/>
    </row>
    <row r="13" spans="1:40" hidden="1" x14ac:dyDescent="0.25">
      <c r="A13" s="457" t="s">
        <v>118</v>
      </c>
      <c r="B13" s="131" t="s">
        <v>386</v>
      </c>
      <c r="C13" s="131" t="s">
        <v>401</v>
      </c>
      <c r="D13" s="131" t="s">
        <v>403</v>
      </c>
      <c r="E13" s="131"/>
      <c r="F13" s="216"/>
      <c r="G13" s="216"/>
      <c r="H13" s="131" t="s">
        <v>343</v>
      </c>
      <c r="I13" s="219">
        <f t="shared" si="0"/>
        <v>0</v>
      </c>
      <c r="J13" s="219">
        <f t="shared" si="1"/>
        <v>0</v>
      </c>
      <c r="K13" s="219">
        <f t="shared" si="2"/>
        <v>0</v>
      </c>
      <c r="L13" s="232">
        <f t="shared" si="3"/>
        <v>0</v>
      </c>
      <c r="M13" s="219">
        <f t="shared" si="4"/>
        <v>1556732899.31043</v>
      </c>
      <c r="N13" s="219">
        <f t="shared" si="5"/>
        <v>0</v>
      </c>
      <c r="O13" s="219">
        <f t="shared" si="6"/>
        <v>809693097.54320014</v>
      </c>
      <c r="P13" s="219">
        <f t="shared" si="7"/>
        <v>5201309809</v>
      </c>
      <c r="Q13" s="219">
        <f t="shared" si="8"/>
        <v>0</v>
      </c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>
        <v>1332240701.0504341</v>
      </c>
      <c r="AE13" s="218">
        <v>224492198.25999594</v>
      </c>
      <c r="AF13" s="218"/>
      <c r="AG13" s="131"/>
      <c r="AH13" s="220">
        <v>809693097.54320014</v>
      </c>
      <c r="AI13" s="131"/>
      <c r="AJ13" s="131"/>
      <c r="AK13" s="131"/>
      <c r="AL13" s="218">
        <v>5201309809</v>
      </c>
      <c r="AM13" s="131"/>
      <c r="AN13" s="218"/>
    </row>
    <row r="14" spans="1:40" hidden="1" x14ac:dyDescent="0.25">
      <c r="A14" s="457" t="s">
        <v>118</v>
      </c>
      <c r="B14" s="131" t="s">
        <v>386</v>
      </c>
      <c r="C14" s="131" t="s">
        <v>401</v>
      </c>
      <c r="D14" s="131" t="s">
        <v>404</v>
      </c>
      <c r="E14" s="131"/>
      <c r="F14" s="216"/>
      <c r="G14" s="216"/>
      <c r="H14" s="131" t="s">
        <v>343</v>
      </c>
      <c r="I14" s="219">
        <f t="shared" si="0"/>
        <v>0</v>
      </c>
      <c r="J14" s="219">
        <f t="shared" si="1"/>
        <v>0</v>
      </c>
      <c r="K14" s="219">
        <f t="shared" si="2"/>
        <v>0</v>
      </c>
      <c r="L14" s="232">
        <f t="shared" si="3"/>
        <v>0</v>
      </c>
      <c r="M14" s="219">
        <f t="shared" si="4"/>
        <v>1431955621.1198773</v>
      </c>
      <c r="N14" s="219">
        <f t="shared" si="5"/>
        <v>0</v>
      </c>
      <c r="O14" s="219">
        <f t="shared" si="6"/>
        <v>854540439.37340009</v>
      </c>
      <c r="P14" s="219">
        <f t="shared" si="7"/>
        <v>7842292527.5393858</v>
      </c>
      <c r="Q14" s="219">
        <f t="shared" si="8"/>
        <v>0</v>
      </c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>
        <v>1166451633.7498777</v>
      </c>
      <c r="AD14" s="218"/>
      <c r="AE14" s="218">
        <v>265503987.36999959</v>
      </c>
      <c r="AF14" s="218">
        <v>326003918.7500006</v>
      </c>
      <c r="AG14" s="131"/>
      <c r="AH14" s="220">
        <v>854540439.37340009</v>
      </c>
      <c r="AI14" s="131"/>
      <c r="AJ14" s="131"/>
      <c r="AK14" s="219">
        <v>7842292527.5393858</v>
      </c>
      <c r="AL14" s="131"/>
      <c r="AM14" s="131"/>
      <c r="AN14" s="218"/>
    </row>
    <row r="15" spans="1:40" hidden="1" x14ac:dyDescent="0.25">
      <c r="A15" s="457" t="s">
        <v>102</v>
      </c>
      <c r="B15" s="131" t="s">
        <v>386</v>
      </c>
      <c r="C15" s="131" t="s">
        <v>401</v>
      </c>
      <c r="D15" s="131" t="s">
        <v>405</v>
      </c>
      <c r="E15" s="131"/>
      <c r="F15" s="216"/>
      <c r="G15" s="216"/>
      <c r="H15" s="131" t="s">
        <v>343</v>
      </c>
      <c r="I15" s="219">
        <f t="shared" si="0"/>
        <v>0</v>
      </c>
      <c r="J15" s="219">
        <f t="shared" si="1"/>
        <v>0</v>
      </c>
      <c r="K15" s="219">
        <f t="shared" si="2"/>
        <v>0</v>
      </c>
      <c r="L15" s="232">
        <f t="shared" si="3"/>
        <v>0</v>
      </c>
      <c r="M15" s="219">
        <f t="shared" si="4"/>
        <v>1955446764.2040288</v>
      </c>
      <c r="N15" s="219">
        <f t="shared" si="5"/>
        <v>0</v>
      </c>
      <c r="O15" s="219">
        <f t="shared" si="6"/>
        <v>1106109946.8952</v>
      </c>
      <c r="P15" s="219">
        <f t="shared" si="7"/>
        <v>261530577.7100001</v>
      </c>
      <c r="Q15" s="219">
        <f t="shared" si="8"/>
        <v>0</v>
      </c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>
        <v>838802233.07993758</v>
      </c>
      <c r="AD15" s="218">
        <v>913387783.6940912</v>
      </c>
      <c r="AE15" s="218">
        <v>203256747.4300001</v>
      </c>
      <c r="AF15" s="218">
        <v>246464331.04999992</v>
      </c>
      <c r="AG15" s="131"/>
      <c r="AH15" s="220">
        <v>1106109946.8952</v>
      </c>
      <c r="AI15" s="131"/>
      <c r="AJ15" s="131"/>
      <c r="AK15" s="131"/>
      <c r="AL15" s="218"/>
      <c r="AM15" s="218">
        <v>261530577.7100001</v>
      </c>
      <c r="AN15" s="218"/>
    </row>
    <row r="16" spans="1:40" hidden="1" x14ac:dyDescent="0.25">
      <c r="A16" s="457" t="s">
        <v>385</v>
      </c>
      <c r="B16" s="131" t="s">
        <v>386</v>
      </c>
      <c r="C16" s="131" t="s">
        <v>401</v>
      </c>
      <c r="D16" s="131" t="s">
        <v>405</v>
      </c>
      <c r="E16" s="131"/>
      <c r="F16" s="216"/>
      <c r="G16" s="216"/>
      <c r="H16" s="131" t="s">
        <v>343</v>
      </c>
      <c r="I16" s="219">
        <f t="shared" si="0"/>
        <v>0</v>
      </c>
      <c r="J16" s="219">
        <f t="shared" si="1"/>
        <v>0</v>
      </c>
      <c r="K16" s="219">
        <f t="shared" si="2"/>
        <v>0</v>
      </c>
      <c r="L16" s="232">
        <f t="shared" si="3"/>
        <v>0</v>
      </c>
      <c r="M16" s="219">
        <f t="shared" si="4"/>
        <v>1088667452.0411131</v>
      </c>
      <c r="N16" s="219">
        <f t="shared" si="5"/>
        <v>0</v>
      </c>
      <c r="O16" s="219">
        <f t="shared" si="6"/>
        <v>753558814.78799975</v>
      </c>
      <c r="P16" s="219">
        <f t="shared" si="7"/>
        <v>0</v>
      </c>
      <c r="Q16" s="219">
        <f t="shared" si="8"/>
        <v>0</v>
      </c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>
        <v>392455042.56998897</v>
      </c>
      <c r="AD16" s="218">
        <v>549114312.73112428</v>
      </c>
      <c r="AE16" s="218">
        <v>147098096.73999995</v>
      </c>
      <c r="AF16" s="218">
        <v>54032832.670000046</v>
      </c>
      <c r="AG16" s="131"/>
      <c r="AH16" s="220">
        <v>753558814.78799975</v>
      </c>
      <c r="AI16" s="131"/>
      <c r="AJ16" s="131"/>
      <c r="AK16" s="131"/>
      <c r="AL16" s="218"/>
      <c r="AM16" s="131"/>
      <c r="AN16" s="218"/>
    </row>
    <row r="17" spans="1:40" hidden="1" x14ac:dyDescent="0.25">
      <c r="A17" s="457" t="s">
        <v>105</v>
      </c>
      <c r="B17" s="131" t="s">
        <v>386</v>
      </c>
      <c r="C17" s="131" t="s">
        <v>399</v>
      </c>
      <c r="D17" s="131" t="s">
        <v>406</v>
      </c>
      <c r="E17" s="131"/>
      <c r="F17" s="216"/>
      <c r="G17" s="216"/>
      <c r="H17" s="131" t="s">
        <v>343</v>
      </c>
      <c r="I17" s="219">
        <f t="shared" si="0"/>
        <v>0</v>
      </c>
      <c r="J17" s="219">
        <f t="shared" si="1"/>
        <v>0</v>
      </c>
      <c r="K17" s="219">
        <f t="shared" si="2"/>
        <v>0</v>
      </c>
      <c r="L17" s="232">
        <f t="shared" si="3"/>
        <v>0</v>
      </c>
      <c r="M17" s="219">
        <f t="shared" si="4"/>
        <v>2532698383.7220397</v>
      </c>
      <c r="N17" s="219">
        <f t="shared" si="5"/>
        <v>0</v>
      </c>
      <c r="O17" s="219">
        <f t="shared" si="6"/>
        <v>1635326902.4612002</v>
      </c>
      <c r="P17" s="219">
        <f t="shared" si="7"/>
        <v>3581306822</v>
      </c>
      <c r="Q17" s="219">
        <f t="shared" si="8"/>
        <v>0</v>
      </c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>
        <v>1091173958.9998991</v>
      </c>
      <c r="AD17" s="218">
        <v>988480924.16214061</v>
      </c>
      <c r="AE17" s="218">
        <v>453043500.55999988</v>
      </c>
      <c r="AF17" s="218">
        <v>125267081.45000002</v>
      </c>
      <c r="AG17" s="131"/>
      <c r="AH17" s="220">
        <v>1635326902.4612002</v>
      </c>
      <c r="AI17" s="131"/>
      <c r="AJ17" s="131"/>
      <c r="AK17" s="131"/>
      <c r="AL17" s="218">
        <v>3581306822</v>
      </c>
      <c r="AM17" s="131"/>
      <c r="AN17" s="218"/>
    </row>
    <row r="18" spans="1:40" x14ac:dyDescent="0.25">
      <c r="A18" s="457" t="s">
        <v>107</v>
      </c>
      <c r="B18" s="131" t="s">
        <v>386</v>
      </c>
      <c r="C18" s="131" t="s">
        <v>399</v>
      </c>
      <c r="D18" s="131" t="s">
        <v>406</v>
      </c>
      <c r="E18" s="131"/>
      <c r="F18" s="216"/>
      <c r="G18" s="216"/>
      <c r="H18" s="131" t="s">
        <v>343</v>
      </c>
      <c r="I18" s="219">
        <f t="shared" si="0"/>
        <v>0</v>
      </c>
      <c r="J18" s="219">
        <f t="shared" si="1"/>
        <v>0</v>
      </c>
      <c r="K18" s="219">
        <f t="shared" si="2"/>
        <v>0</v>
      </c>
      <c r="L18" s="232">
        <f t="shared" si="3"/>
        <v>0</v>
      </c>
      <c r="M18" s="219">
        <f t="shared" si="4"/>
        <v>737844954.10071135</v>
      </c>
      <c r="N18" s="219">
        <f t="shared" si="5"/>
        <v>0</v>
      </c>
      <c r="O18" s="219">
        <f t="shared" si="6"/>
        <v>473242568.68590033</v>
      </c>
      <c r="P18" s="219">
        <f t="shared" si="7"/>
        <v>0</v>
      </c>
      <c r="Q18" s="219">
        <f t="shared" si="8"/>
        <v>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>
        <v>260453537.58999491</v>
      </c>
      <c r="AD18" s="218">
        <v>381298146.37071645</v>
      </c>
      <c r="AE18" s="218">
        <v>96093270.139999986</v>
      </c>
      <c r="AF18" s="218">
        <v>34517008.459999993</v>
      </c>
      <c r="AG18" s="131"/>
      <c r="AH18" s="220">
        <v>473242568.68590033</v>
      </c>
      <c r="AI18" s="131"/>
      <c r="AJ18" s="131"/>
      <c r="AK18" s="131"/>
      <c r="AL18" s="218"/>
      <c r="AM18" s="131"/>
      <c r="AN18" s="218"/>
    </row>
    <row r="19" spans="1:40" hidden="1" x14ac:dyDescent="0.25">
      <c r="A19" s="457" t="s">
        <v>353</v>
      </c>
      <c r="B19" s="131" t="s">
        <v>386</v>
      </c>
      <c r="C19" s="131" t="s">
        <v>399</v>
      </c>
      <c r="D19" s="131" t="s">
        <v>407</v>
      </c>
      <c r="E19" s="131"/>
      <c r="F19" s="216"/>
      <c r="G19" s="216"/>
      <c r="H19" s="457" t="s">
        <v>377</v>
      </c>
      <c r="I19" s="219">
        <f t="shared" si="0"/>
        <v>0</v>
      </c>
      <c r="J19" s="219">
        <f t="shared" si="1"/>
        <v>0</v>
      </c>
      <c r="K19" s="219">
        <f t="shared" si="2"/>
        <v>0</v>
      </c>
      <c r="L19" s="232">
        <f t="shared" si="3"/>
        <v>0</v>
      </c>
      <c r="M19" s="219">
        <f t="shared" si="4"/>
        <v>1734424295.8827801</v>
      </c>
      <c r="N19" s="219">
        <f t="shared" si="5"/>
        <v>0</v>
      </c>
      <c r="O19" s="219">
        <f t="shared" si="6"/>
        <v>911492076.11280048</v>
      </c>
      <c r="P19" s="219">
        <f t="shared" si="7"/>
        <v>236932645.48000008</v>
      </c>
      <c r="Q19" s="219">
        <f t="shared" si="8"/>
        <v>0</v>
      </c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>
        <v>672417054.23994601</v>
      </c>
      <c r="AD19" s="218">
        <v>789949837.49283385</v>
      </c>
      <c r="AE19" s="218">
        <v>272057404.15000021</v>
      </c>
      <c r="AF19" s="218">
        <v>198265251.02000004</v>
      </c>
      <c r="AG19" s="131"/>
      <c r="AH19" s="220">
        <v>911492076.11280048</v>
      </c>
      <c r="AI19" s="131"/>
      <c r="AJ19" s="131"/>
      <c r="AK19" s="131"/>
      <c r="AL19" s="218"/>
      <c r="AM19" s="218">
        <v>236932645.48000008</v>
      </c>
      <c r="AN19" s="218"/>
    </row>
    <row r="20" spans="1:40" hidden="1" x14ac:dyDescent="0.25">
      <c r="A20" s="457" t="s">
        <v>108</v>
      </c>
      <c r="B20" s="131" t="s">
        <v>386</v>
      </c>
      <c r="C20" s="131" t="s">
        <v>399</v>
      </c>
      <c r="D20" s="131" t="s">
        <v>408</v>
      </c>
      <c r="E20" s="131" t="s">
        <v>389</v>
      </c>
      <c r="F20" s="216">
        <v>1</v>
      </c>
      <c r="G20" s="216"/>
      <c r="H20" s="131" t="s">
        <v>343</v>
      </c>
      <c r="I20" s="219">
        <f t="shared" si="0"/>
        <v>0</v>
      </c>
      <c r="J20" s="219">
        <f t="shared" si="1"/>
        <v>14118688.039999999</v>
      </c>
      <c r="K20" s="219">
        <f t="shared" si="2"/>
        <v>47082491.349999994</v>
      </c>
      <c r="L20" s="232">
        <f t="shared" si="3"/>
        <v>21770737.020000003</v>
      </c>
      <c r="M20" s="219">
        <f t="shared" si="4"/>
        <v>1195807959.6473541</v>
      </c>
      <c r="N20" s="219">
        <f t="shared" si="5"/>
        <v>0</v>
      </c>
      <c r="O20" s="219">
        <f t="shared" si="6"/>
        <v>627491536.84229958</v>
      </c>
      <c r="P20" s="219">
        <f t="shared" si="7"/>
        <v>1541010962</v>
      </c>
      <c r="Q20" s="219">
        <f t="shared" si="8"/>
        <v>1997857.99</v>
      </c>
      <c r="R20" s="218"/>
      <c r="S20" s="218"/>
      <c r="T20" s="218"/>
      <c r="U20" s="218">
        <v>14118688.039999999</v>
      </c>
      <c r="V20" s="218"/>
      <c r="W20" s="218">
        <v>47082491.349999994</v>
      </c>
      <c r="X20" s="218">
        <v>647885.27000000118</v>
      </c>
      <c r="Y20" s="218">
        <v>1061796.5900000001</v>
      </c>
      <c r="Z20" s="218">
        <v>4871.45</v>
      </c>
      <c r="AA20" s="218">
        <v>8168258.8400000045</v>
      </c>
      <c r="AB20" s="219">
        <v>11887924.869999999</v>
      </c>
      <c r="AC20" s="218">
        <v>454925539.60998368</v>
      </c>
      <c r="AD20" s="218">
        <v>560595172.06737065</v>
      </c>
      <c r="AE20" s="218">
        <v>180287247.96999991</v>
      </c>
      <c r="AF20" s="218">
        <v>5243222.2500000009</v>
      </c>
      <c r="AG20" s="131"/>
      <c r="AH20" s="220">
        <v>627491536.84229958</v>
      </c>
      <c r="AI20" s="131"/>
      <c r="AJ20" s="131"/>
      <c r="AK20" s="131"/>
      <c r="AL20" s="218"/>
      <c r="AM20" s="218">
        <v>1541010962</v>
      </c>
      <c r="AN20" s="218">
        <v>1997857.99</v>
      </c>
    </row>
    <row r="21" spans="1:40" hidden="1" x14ac:dyDescent="0.25">
      <c r="A21" s="457" t="s">
        <v>353</v>
      </c>
      <c r="B21" s="131" t="s">
        <v>386</v>
      </c>
      <c r="C21" s="131" t="s">
        <v>390</v>
      </c>
      <c r="D21" s="131" t="s">
        <v>393</v>
      </c>
      <c r="E21" s="131" t="s">
        <v>394</v>
      </c>
      <c r="F21" s="216">
        <v>1</v>
      </c>
      <c r="G21" s="216">
        <v>1</v>
      </c>
      <c r="H21" s="131"/>
      <c r="I21" s="219">
        <f t="shared" si="0"/>
        <v>0</v>
      </c>
      <c r="J21" s="219">
        <f t="shared" si="1"/>
        <v>6797469.4299999997</v>
      </c>
      <c r="K21" s="219">
        <f t="shared" si="2"/>
        <v>68919637.749999896</v>
      </c>
      <c r="L21" s="232">
        <f t="shared" si="3"/>
        <v>60424031.840000011</v>
      </c>
      <c r="M21" s="219">
        <f t="shared" si="4"/>
        <v>0</v>
      </c>
      <c r="N21" s="219">
        <f t="shared" si="5"/>
        <v>255081129.14000046</v>
      </c>
      <c r="O21" s="219">
        <f t="shared" si="6"/>
        <v>119395924.48810005</v>
      </c>
      <c r="P21" s="219">
        <f t="shared" si="7"/>
        <v>0</v>
      </c>
      <c r="Q21" s="219">
        <f t="shared" si="8"/>
        <v>16290350.629999997</v>
      </c>
      <c r="R21" s="131"/>
      <c r="S21" s="218"/>
      <c r="T21" s="218"/>
      <c r="U21" s="218">
        <v>569227.75999999989</v>
      </c>
      <c r="V21" s="219">
        <v>6228241.6699999999</v>
      </c>
      <c r="W21" s="218">
        <v>68919637.749999896</v>
      </c>
      <c r="X21" s="218">
        <v>17877144.160000015</v>
      </c>
      <c r="Y21" s="219">
        <v>13160033.290000005</v>
      </c>
      <c r="Z21" s="218"/>
      <c r="AA21" s="218">
        <v>20344478.109999992</v>
      </c>
      <c r="AB21" s="218">
        <v>9042376.2800000012</v>
      </c>
      <c r="AC21" s="131"/>
      <c r="AD21" s="131"/>
      <c r="AE21" s="131"/>
      <c r="AF21" s="131"/>
      <c r="AG21" s="219">
        <v>255081129.14000046</v>
      </c>
      <c r="AH21" s="219">
        <v>119395924.48810005</v>
      </c>
      <c r="AI21" s="131"/>
      <c r="AJ21" s="131"/>
      <c r="AK21" s="131"/>
      <c r="AL21" s="131"/>
      <c r="AM21" s="131"/>
      <c r="AN21" s="218">
        <v>16290350.629999997</v>
      </c>
    </row>
    <row r="22" spans="1:40" hidden="1" x14ac:dyDescent="0.25">
      <c r="A22" s="457" t="s">
        <v>102</v>
      </c>
      <c r="B22" s="131" t="s">
        <v>386</v>
      </c>
      <c r="C22" s="131" t="s">
        <v>390</v>
      </c>
      <c r="D22" s="131" t="s">
        <v>409</v>
      </c>
      <c r="E22" s="131" t="s">
        <v>389</v>
      </c>
      <c r="F22" s="216">
        <v>1</v>
      </c>
      <c r="G22" s="216">
        <v>2</v>
      </c>
      <c r="H22" s="131"/>
      <c r="I22" s="219">
        <f t="shared" si="0"/>
        <v>0</v>
      </c>
      <c r="J22" s="219">
        <f t="shared" si="1"/>
        <v>17566407.939999998</v>
      </c>
      <c r="K22" s="219">
        <f t="shared" si="2"/>
        <v>38383692.549999997</v>
      </c>
      <c r="L22" s="232">
        <f t="shared" si="3"/>
        <v>155048074.95999986</v>
      </c>
      <c r="M22" s="219">
        <f t="shared" si="4"/>
        <v>0</v>
      </c>
      <c r="N22" s="219">
        <f t="shared" si="5"/>
        <v>399077386.26000172</v>
      </c>
      <c r="O22" s="219">
        <f t="shared" si="6"/>
        <v>129383535.6268</v>
      </c>
      <c r="P22" s="219">
        <f t="shared" si="7"/>
        <v>0</v>
      </c>
      <c r="Q22" s="219">
        <f t="shared" si="8"/>
        <v>36021878.199999981</v>
      </c>
      <c r="R22" s="218"/>
      <c r="S22" s="218"/>
      <c r="T22" s="218"/>
      <c r="U22" s="218">
        <v>17566407.939999998</v>
      </c>
      <c r="V22" s="218"/>
      <c r="W22" s="218">
        <v>38383692.549999997</v>
      </c>
      <c r="X22" s="218">
        <v>21673751.88000001</v>
      </c>
      <c r="Y22" s="219">
        <v>29747148.459999949</v>
      </c>
      <c r="Z22" s="218">
        <v>11965924.900000002</v>
      </c>
      <c r="AA22" s="218">
        <v>23003410.749999933</v>
      </c>
      <c r="AB22" s="219">
        <v>68657838.969999969</v>
      </c>
      <c r="AC22" s="131"/>
      <c r="AD22" s="131"/>
      <c r="AE22" s="131"/>
      <c r="AF22" s="131"/>
      <c r="AG22" s="219">
        <v>399077386.26000172</v>
      </c>
      <c r="AH22" s="219">
        <v>129383535.6268</v>
      </c>
      <c r="AI22" s="131"/>
      <c r="AJ22" s="131"/>
      <c r="AK22" s="131"/>
      <c r="AL22" s="131"/>
      <c r="AM22" s="131"/>
      <c r="AN22" s="218">
        <v>36021878.199999981</v>
      </c>
    </row>
    <row r="23" spans="1:40" hidden="1" x14ac:dyDescent="0.25">
      <c r="A23" s="457" t="s">
        <v>102</v>
      </c>
      <c r="B23" s="131" t="s">
        <v>386</v>
      </c>
      <c r="C23" s="131" t="s">
        <v>395</v>
      </c>
      <c r="D23" s="131" t="s">
        <v>410</v>
      </c>
      <c r="E23" s="131" t="s">
        <v>360</v>
      </c>
      <c r="F23" s="216"/>
      <c r="G23" s="216"/>
      <c r="H23" s="131"/>
      <c r="I23" s="219">
        <f t="shared" si="0"/>
        <v>0</v>
      </c>
      <c r="J23" s="219">
        <f t="shared" si="1"/>
        <v>876061.97</v>
      </c>
      <c r="K23" s="219">
        <f t="shared" si="2"/>
        <v>0</v>
      </c>
      <c r="L23" s="232">
        <f t="shared" si="3"/>
        <v>0</v>
      </c>
      <c r="M23" s="219">
        <f t="shared" si="4"/>
        <v>0</v>
      </c>
      <c r="N23" s="219">
        <f t="shared" si="5"/>
        <v>0</v>
      </c>
      <c r="O23" s="219">
        <f t="shared" si="6"/>
        <v>0</v>
      </c>
      <c r="P23" s="219">
        <f t="shared" si="7"/>
        <v>0</v>
      </c>
      <c r="Q23" s="219">
        <f t="shared" si="8"/>
        <v>0</v>
      </c>
      <c r="R23" s="218"/>
      <c r="S23" s="218"/>
      <c r="T23" s="218"/>
      <c r="U23" s="218">
        <v>876061.97</v>
      </c>
      <c r="V23" s="218"/>
      <c r="W23" s="218"/>
      <c r="X23" s="218"/>
      <c r="Y23" s="218"/>
      <c r="Z23" s="218"/>
      <c r="AA23" s="218"/>
      <c r="AB23" s="218"/>
      <c r="AC23" s="131"/>
      <c r="AD23" s="131"/>
      <c r="AE23" s="131"/>
      <c r="AF23" s="131"/>
      <c r="AG23" s="219"/>
      <c r="AH23" s="131"/>
      <c r="AI23" s="131"/>
      <c r="AJ23" s="131"/>
      <c r="AK23" s="131"/>
      <c r="AL23" s="131"/>
      <c r="AM23" s="131"/>
      <c r="AN23" s="218"/>
    </row>
    <row r="24" spans="1:40" hidden="1" x14ac:dyDescent="0.25">
      <c r="A24" s="457" t="s">
        <v>105</v>
      </c>
      <c r="B24" s="131" t="s">
        <v>386</v>
      </c>
      <c r="C24" s="131" t="s">
        <v>390</v>
      </c>
      <c r="D24" s="131" t="s">
        <v>391</v>
      </c>
      <c r="E24" s="131" t="s">
        <v>389</v>
      </c>
      <c r="F24" s="216">
        <v>1</v>
      </c>
      <c r="G24" s="216"/>
      <c r="H24" s="131"/>
      <c r="I24" s="219">
        <f t="shared" si="0"/>
        <v>0</v>
      </c>
      <c r="J24" s="219">
        <f t="shared" si="1"/>
        <v>11012437.9</v>
      </c>
      <c r="K24" s="219">
        <f t="shared" si="2"/>
        <v>218337576.42999807</v>
      </c>
      <c r="L24" s="232">
        <f t="shared" si="3"/>
        <v>101476809.00999995</v>
      </c>
      <c r="M24" s="219">
        <f t="shared" si="4"/>
        <v>0</v>
      </c>
      <c r="N24" s="219">
        <f t="shared" si="5"/>
        <v>0</v>
      </c>
      <c r="O24" s="219">
        <f t="shared" si="6"/>
        <v>0</v>
      </c>
      <c r="P24" s="219">
        <f t="shared" si="7"/>
        <v>0</v>
      </c>
      <c r="Q24" s="219">
        <f t="shared" si="8"/>
        <v>6582960</v>
      </c>
      <c r="R24" s="218"/>
      <c r="S24" s="218"/>
      <c r="T24" s="218"/>
      <c r="U24" s="218">
        <v>10984382.9</v>
      </c>
      <c r="V24" s="218">
        <v>28055</v>
      </c>
      <c r="W24" s="218">
        <v>218337576.42999807</v>
      </c>
      <c r="X24" s="218">
        <v>9741290.9899999723</v>
      </c>
      <c r="Y24" s="219">
        <v>25603094.559999984</v>
      </c>
      <c r="Z24" s="218"/>
      <c r="AA24" s="218">
        <v>13049117.839999998</v>
      </c>
      <c r="AB24" s="219">
        <v>53083305.619999997</v>
      </c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218">
        <v>6582960</v>
      </c>
    </row>
    <row r="25" spans="1:40" hidden="1" x14ac:dyDescent="0.25">
      <c r="A25" s="457" t="s">
        <v>105</v>
      </c>
      <c r="B25" s="131" t="s">
        <v>386</v>
      </c>
      <c r="C25" s="131" t="s">
        <v>390</v>
      </c>
      <c r="D25" s="131" t="s">
        <v>393</v>
      </c>
      <c r="E25" s="131" t="s">
        <v>394</v>
      </c>
      <c r="F25" s="216"/>
      <c r="G25" s="216"/>
      <c r="H25" s="131"/>
      <c r="I25" s="219">
        <f t="shared" si="0"/>
        <v>0</v>
      </c>
      <c r="J25" s="219">
        <f t="shared" si="1"/>
        <v>0</v>
      </c>
      <c r="K25" s="219">
        <f t="shared" si="2"/>
        <v>778536.94</v>
      </c>
      <c r="L25" s="232">
        <f t="shared" si="3"/>
        <v>0</v>
      </c>
      <c r="M25" s="219">
        <f t="shared" si="4"/>
        <v>0</v>
      </c>
      <c r="N25" s="219">
        <f t="shared" si="5"/>
        <v>0</v>
      </c>
      <c r="O25" s="219">
        <f t="shared" si="6"/>
        <v>0</v>
      </c>
      <c r="P25" s="219">
        <f t="shared" si="7"/>
        <v>0</v>
      </c>
      <c r="Q25" s="219">
        <f t="shared" si="8"/>
        <v>293012.60000000003</v>
      </c>
      <c r="R25" s="218"/>
      <c r="S25" s="218"/>
      <c r="T25" s="218"/>
      <c r="U25" s="218"/>
      <c r="V25" s="218"/>
      <c r="W25" s="218">
        <v>778536.94</v>
      </c>
      <c r="X25" s="218"/>
      <c r="Y25" s="218"/>
      <c r="Z25" s="218"/>
      <c r="AA25" s="218"/>
      <c r="AB25" s="218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218">
        <v>293012.60000000003</v>
      </c>
    </row>
    <row r="26" spans="1:40" hidden="1" x14ac:dyDescent="0.25">
      <c r="A26" s="457" t="s">
        <v>118</v>
      </c>
      <c r="B26" s="131" t="s">
        <v>386</v>
      </c>
      <c r="C26" s="131" t="s">
        <v>387</v>
      </c>
      <c r="D26" s="131" t="s">
        <v>411</v>
      </c>
      <c r="E26" s="131" t="s">
        <v>360</v>
      </c>
      <c r="F26" s="216"/>
      <c r="G26" s="216">
        <v>1</v>
      </c>
      <c r="H26" s="131"/>
      <c r="I26" s="219">
        <f t="shared" si="0"/>
        <v>0</v>
      </c>
      <c r="J26" s="219">
        <f t="shared" si="1"/>
        <v>0</v>
      </c>
      <c r="K26" s="219">
        <f t="shared" si="2"/>
        <v>26279873.48</v>
      </c>
      <c r="L26" s="232">
        <f t="shared" si="3"/>
        <v>18050152.199999999</v>
      </c>
      <c r="M26" s="219">
        <f t="shared" si="4"/>
        <v>0</v>
      </c>
      <c r="N26" s="219">
        <f t="shared" si="5"/>
        <v>745246078.51999485</v>
      </c>
      <c r="O26" s="219">
        <f t="shared" si="6"/>
        <v>0</v>
      </c>
      <c r="P26" s="219">
        <f t="shared" si="7"/>
        <v>0</v>
      </c>
      <c r="Q26" s="219">
        <f t="shared" si="8"/>
        <v>63038286.849999949</v>
      </c>
      <c r="R26" s="218"/>
      <c r="S26" s="218"/>
      <c r="T26" s="218"/>
      <c r="U26" s="218"/>
      <c r="V26" s="218"/>
      <c r="W26" s="218">
        <v>26279873.48</v>
      </c>
      <c r="X26" s="218">
        <v>18050152.199999999</v>
      </c>
      <c r="Y26" s="218"/>
      <c r="Z26" s="218"/>
      <c r="AA26" s="218"/>
      <c r="AB26" s="218"/>
      <c r="AC26" s="218"/>
      <c r="AD26" s="218"/>
      <c r="AE26" s="218"/>
      <c r="AF26" s="218"/>
      <c r="AG26" s="219">
        <v>745246078.51999485</v>
      </c>
      <c r="AH26" s="131"/>
      <c r="AI26" s="131"/>
      <c r="AJ26" s="131"/>
      <c r="AK26" s="131"/>
      <c r="AL26" s="131"/>
      <c r="AM26" s="131"/>
      <c r="AN26" s="218">
        <v>63038286.849999949</v>
      </c>
    </row>
    <row r="27" spans="1:40" hidden="1" x14ac:dyDescent="0.25">
      <c r="A27" s="457" t="s">
        <v>118</v>
      </c>
      <c r="B27" s="131" t="s">
        <v>386</v>
      </c>
      <c r="C27" s="131" t="s">
        <v>387</v>
      </c>
      <c r="D27" s="131" t="s">
        <v>412</v>
      </c>
      <c r="E27" s="131" t="s">
        <v>360</v>
      </c>
      <c r="F27" s="216">
        <v>2</v>
      </c>
      <c r="G27" s="216"/>
      <c r="H27" s="131"/>
      <c r="I27" s="219">
        <f t="shared" si="0"/>
        <v>323366528.169999</v>
      </c>
      <c r="J27" s="219">
        <f t="shared" si="1"/>
        <v>0</v>
      </c>
      <c r="K27" s="219">
        <f t="shared" si="2"/>
        <v>0</v>
      </c>
      <c r="L27" s="232">
        <f t="shared" si="3"/>
        <v>0</v>
      </c>
      <c r="M27" s="219">
        <f t="shared" si="4"/>
        <v>0</v>
      </c>
      <c r="N27" s="219">
        <f t="shared" si="5"/>
        <v>260328241.31999904</v>
      </c>
      <c r="O27" s="219">
        <f t="shared" si="6"/>
        <v>260328241.31999904</v>
      </c>
      <c r="P27" s="219">
        <f t="shared" si="7"/>
        <v>0</v>
      </c>
      <c r="Q27" s="219">
        <f t="shared" si="8"/>
        <v>0</v>
      </c>
      <c r="R27" s="222">
        <v>63038286.849999949</v>
      </c>
      <c r="S27" s="218">
        <v>260328241.31999904</v>
      </c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9">
        <v>260328241.31999904</v>
      </c>
      <c r="AH27" s="218">
        <v>260328241.31999904</v>
      </c>
      <c r="AI27" s="131"/>
      <c r="AJ27" s="131"/>
      <c r="AK27" s="131"/>
      <c r="AL27" s="131"/>
      <c r="AM27" s="131"/>
      <c r="AN27" s="218"/>
    </row>
    <row r="28" spans="1:40" hidden="1" x14ac:dyDescent="0.25">
      <c r="A28" s="457" t="s">
        <v>118</v>
      </c>
      <c r="B28" s="131" t="s">
        <v>386</v>
      </c>
      <c r="C28" s="131" t="s">
        <v>395</v>
      </c>
      <c r="D28" s="131" t="s">
        <v>410</v>
      </c>
      <c r="E28" s="131" t="s">
        <v>360</v>
      </c>
      <c r="F28" s="216">
        <v>1</v>
      </c>
      <c r="G28" s="216"/>
      <c r="H28" s="131"/>
      <c r="I28" s="219">
        <f t="shared" si="0"/>
        <v>0</v>
      </c>
      <c r="J28" s="219">
        <f t="shared" si="1"/>
        <v>512675533.57000101</v>
      </c>
      <c r="K28" s="219">
        <f t="shared" si="2"/>
        <v>3863402.85</v>
      </c>
      <c r="L28" s="232">
        <f t="shared" si="3"/>
        <v>312364324.05999964</v>
      </c>
      <c r="M28" s="219">
        <f t="shared" si="4"/>
        <v>0</v>
      </c>
      <c r="N28" s="219">
        <f t="shared" si="5"/>
        <v>0</v>
      </c>
      <c r="O28" s="219">
        <f t="shared" si="6"/>
        <v>0</v>
      </c>
      <c r="P28" s="219">
        <f t="shared" si="7"/>
        <v>0</v>
      </c>
      <c r="Q28" s="219">
        <f t="shared" si="8"/>
        <v>0</v>
      </c>
      <c r="R28" s="218"/>
      <c r="S28" s="218"/>
      <c r="T28" s="218"/>
      <c r="U28" s="218">
        <v>253033509.6100001</v>
      </c>
      <c r="V28" s="218">
        <v>259642023.96000093</v>
      </c>
      <c r="W28" s="218">
        <v>3863402.85</v>
      </c>
      <c r="X28" s="218">
        <v>90651433.769999504</v>
      </c>
      <c r="Y28" s="219">
        <v>92876571.19000043</v>
      </c>
      <c r="Z28" s="218">
        <v>57155602.799999982</v>
      </c>
      <c r="AA28" s="218">
        <v>39544255.579999804</v>
      </c>
      <c r="AB28" s="218">
        <v>32136460.719999984</v>
      </c>
      <c r="AC28" s="218"/>
      <c r="AD28" s="218"/>
      <c r="AE28" s="218"/>
      <c r="AF28" s="218"/>
      <c r="AG28" s="131"/>
      <c r="AH28" s="131"/>
      <c r="AI28" s="131"/>
      <c r="AJ28" s="131"/>
      <c r="AK28" s="131"/>
      <c r="AL28" s="131"/>
      <c r="AM28" s="131"/>
      <c r="AN28" s="218"/>
    </row>
    <row r="29" spans="1:40" hidden="1" x14ac:dyDescent="0.25">
      <c r="A29" s="457" t="s">
        <v>118</v>
      </c>
      <c r="B29" s="131" t="s">
        <v>386</v>
      </c>
      <c r="C29" s="131" t="s">
        <v>390</v>
      </c>
      <c r="D29" s="131" t="s">
        <v>409</v>
      </c>
      <c r="E29" s="131" t="s">
        <v>389</v>
      </c>
      <c r="F29" s="216"/>
      <c r="G29" s="216"/>
      <c r="H29" s="131"/>
      <c r="I29" s="219">
        <f t="shared" si="0"/>
        <v>0</v>
      </c>
      <c r="J29" s="219">
        <f t="shared" si="1"/>
        <v>0</v>
      </c>
      <c r="K29" s="219">
        <f t="shared" si="2"/>
        <v>6631434.7199999923</v>
      </c>
      <c r="L29" s="232">
        <f t="shared" si="3"/>
        <v>0</v>
      </c>
      <c r="M29" s="219">
        <f t="shared" si="4"/>
        <v>0</v>
      </c>
      <c r="N29" s="219">
        <f t="shared" si="5"/>
        <v>0</v>
      </c>
      <c r="O29" s="219">
        <f t="shared" si="6"/>
        <v>0</v>
      </c>
      <c r="P29" s="219">
        <f t="shared" si="7"/>
        <v>0</v>
      </c>
      <c r="Q29" s="219">
        <f t="shared" si="8"/>
        <v>0</v>
      </c>
      <c r="R29" s="218"/>
      <c r="S29" s="218"/>
      <c r="T29" s="218"/>
      <c r="U29" s="218"/>
      <c r="V29" s="218"/>
      <c r="W29" s="218">
        <v>6631434.7199999923</v>
      </c>
      <c r="X29" s="218"/>
      <c r="Y29" s="218"/>
      <c r="Z29" s="218"/>
      <c r="AA29" s="218"/>
      <c r="AB29" s="218"/>
      <c r="AC29" s="218"/>
      <c r="AD29" s="218"/>
      <c r="AE29" s="218"/>
      <c r="AF29" s="218"/>
      <c r="AG29" s="131"/>
      <c r="AH29" s="131"/>
      <c r="AI29" s="131"/>
      <c r="AJ29" s="131"/>
      <c r="AK29" s="131"/>
      <c r="AL29" s="131"/>
      <c r="AM29" s="131"/>
      <c r="AN29" s="218"/>
    </row>
    <row r="30" spans="1:40" hidden="1" x14ac:dyDescent="0.25">
      <c r="A30" s="457" t="s">
        <v>118</v>
      </c>
      <c r="B30" s="131" t="s">
        <v>386</v>
      </c>
      <c r="C30" s="131" t="s">
        <v>395</v>
      </c>
      <c r="D30" s="131" t="s">
        <v>396</v>
      </c>
      <c r="E30" s="131" t="s">
        <v>397</v>
      </c>
      <c r="F30" s="216"/>
      <c r="G30" s="216"/>
      <c r="H30" s="131"/>
      <c r="I30" s="219">
        <f t="shared" si="0"/>
        <v>0</v>
      </c>
      <c r="J30" s="219">
        <f t="shared" si="1"/>
        <v>0</v>
      </c>
      <c r="K30" s="219">
        <f t="shared" si="2"/>
        <v>0</v>
      </c>
      <c r="L30" s="232">
        <f t="shared" si="3"/>
        <v>6961655.1200000001</v>
      </c>
      <c r="M30" s="219">
        <f t="shared" si="4"/>
        <v>0</v>
      </c>
      <c r="N30" s="219">
        <f t="shared" si="5"/>
        <v>0</v>
      </c>
      <c r="O30" s="219">
        <f t="shared" si="6"/>
        <v>0</v>
      </c>
      <c r="P30" s="219">
        <f t="shared" si="7"/>
        <v>0</v>
      </c>
      <c r="Q30" s="219">
        <f t="shared" si="8"/>
        <v>0</v>
      </c>
      <c r="R30" s="218"/>
      <c r="S30" s="218"/>
      <c r="T30" s="218"/>
      <c r="U30" s="218"/>
      <c r="V30" s="218"/>
      <c r="W30" s="218"/>
      <c r="X30" s="218">
        <v>396913.57999999996</v>
      </c>
      <c r="Y30" s="218">
        <v>1941769.1499999997</v>
      </c>
      <c r="Z30" s="218"/>
      <c r="AA30" s="218">
        <v>2629094.6</v>
      </c>
      <c r="AB30" s="218">
        <v>1993877.79</v>
      </c>
      <c r="AC30" s="218"/>
      <c r="AD30" s="218"/>
      <c r="AE30" s="218"/>
      <c r="AF30" s="218"/>
      <c r="AG30" s="131"/>
      <c r="AH30" s="131"/>
      <c r="AI30" s="131"/>
      <c r="AJ30" s="131"/>
      <c r="AK30" s="131"/>
      <c r="AL30" s="131"/>
      <c r="AM30" s="131"/>
      <c r="AN30" s="218"/>
    </row>
    <row r="31" spans="1:40" hidden="1" x14ac:dyDescent="0.25">
      <c r="A31" s="457" t="s">
        <v>93</v>
      </c>
      <c r="B31" s="131" t="s">
        <v>386</v>
      </c>
      <c r="C31" s="131" t="s">
        <v>390</v>
      </c>
      <c r="D31" s="131" t="s">
        <v>409</v>
      </c>
      <c r="E31" s="131" t="s">
        <v>389</v>
      </c>
      <c r="F31" s="216"/>
      <c r="G31" s="216"/>
      <c r="H31" s="131"/>
      <c r="I31" s="219">
        <f t="shared" si="0"/>
        <v>0</v>
      </c>
      <c r="J31" s="219">
        <f t="shared" si="1"/>
        <v>0</v>
      </c>
      <c r="K31" s="219">
        <f t="shared" si="2"/>
        <v>0</v>
      </c>
      <c r="L31" s="232">
        <f t="shared" si="3"/>
        <v>727126.16999999993</v>
      </c>
      <c r="M31" s="219">
        <f t="shared" si="4"/>
        <v>0</v>
      </c>
      <c r="N31" s="219">
        <f t="shared" si="5"/>
        <v>0</v>
      </c>
      <c r="O31" s="219">
        <f t="shared" si="6"/>
        <v>0</v>
      </c>
      <c r="P31" s="219">
        <f t="shared" si="7"/>
        <v>0</v>
      </c>
      <c r="Q31" s="219">
        <f t="shared" si="8"/>
        <v>0</v>
      </c>
      <c r="R31" s="218"/>
      <c r="S31" s="218"/>
      <c r="T31" s="218"/>
      <c r="U31" s="218"/>
      <c r="V31" s="218"/>
      <c r="W31" s="218"/>
      <c r="X31" s="218">
        <v>400351.99000000005</v>
      </c>
      <c r="Y31" s="218">
        <v>64095.290000000008</v>
      </c>
      <c r="Z31" s="218"/>
      <c r="AA31" s="218">
        <v>262678.88999999996</v>
      </c>
      <c r="AB31" s="218"/>
      <c r="AC31" s="218"/>
      <c r="AD31" s="218"/>
      <c r="AE31" s="218"/>
      <c r="AF31" s="218"/>
      <c r="AG31" s="131"/>
      <c r="AH31" s="131"/>
      <c r="AI31" s="131"/>
      <c r="AJ31" s="131"/>
      <c r="AK31" s="131"/>
      <c r="AL31" s="131"/>
      <c r="AM31" s="131"/>
      <c r="AN31" s="218"/>
    </row>
    <row r="32" spans="1:40" hidden="1" x14ac:dyDescent="0.25">
      <c r="A32" s="457" t="s">
        <v>93</v>
      </c>
      <c r="B32" s="131" t="s">
        <v>386</v>
      </c>
      <c r="C32" s="131" t="s">
        <v>390</v>
      </c>
      <c r="D32" s="131" t="s">
        <v>392</v>
      </c>
      <c r="E32" s="131" t="s">
        <v>389</v>
      </c>
      <c r="F32" s="216">
        <v>1</v>
      </c>
      <c r="G32" s="216"/>
      <c r="H32" s="131"/>
      <c r="I32" s="219">
        <f t="shared" si="0"/>
        <v>0</v>
      </c>
      <c r="J32" s="219">
        <f t="shared" si="1"/>
        <v>37867925.61999999</v>
      </c>
      <c r="K32" s="219">
        <f t="shared" si="2"/>
        <v>48991654.930000298</v>
      </c>
      <c r="L32" s="232">
        <f t="shared" si="3"/>
        <v>83731236.620000064</v>
      </c>
      <c r="M32" s="219">
        <f t="shared" si="4"/>
        <v>0</v>
      </c>
      <c r="N32" s="219">
        <f t="shared" si="5"/>
        <v>9452726.7900000159</v>
      </c>
      <c r="O32" s="219">
        <f t="shared" si="6"/>
        <v>0</v>
      </c>
      <c r="P32" s="219">
        <f t="shared" si="7"/>
        <v>0</v>
      </c>
      <c r="Q32" s="219">
        <f t="shared" si="8"/>
        <v>292274.43</v>
      </c>
      <c r="R32" s="218"/>
      <c r="S32" s="218"/>
      <c r="T32" s="218"/>
      <c r="U32" s="218"/>
      <c r="V32" s="219">
        <v>37867925.61999999</v>
      </c>
      <c r="W32" s="218">
        <v>48991654.930000298</v>
      </c>
      <c r="X32" s="218">
        <v>54545111.550000042</v>
      </c>
      <c r="Y32" s="218">
        <v>6388021.1600000057</v>
      </c>
      <c r="Z32" s="218">
        <v>7488422.9399999995</v>
      </c>
      <c r="AA32" s="218">
        <v>9612000.6600000188</v>
      </c>
      <c r="AB32" s="219">
        <v>5697680.3099999996</v>
      </c>
      <c r="AC32" s="131"/>
      <c r="AD32" s="131"/>
      <c r="AE32" s="131"/>
      <c r="AF32" s="131"/>
      <c r="AG32" s="222">
        <v>9452726.7900000159</v>
      </c>
      <c r="AH32" s="219"/>
      <c r="AI32" s="131"/>
      <c r="AJ32" s="131"/>
      <c r="AK32" s="131"/>
      <c r="AL32" s="131"/>
      <c r="AM32" s="131"/>
      <c r="AN32" s="218">
        <v>292274.43</v>
      </c>
    </row>
    <row r="33" spans="1:40" hidden="1" x14ac:dyDescent="0.25">
      <c r="A33" s="458" t="s">
        <v>133</v>
      </c>
      <c r="B33" s="131" t="s">
        <v>386</v>
      </c>
      <c r="C33" s="131" t="s">
        <v>395</v>
      </c>
      <c r="D33" s="131" t="s">
        <v>413</v>
      </c>
      <c r="E33" s="131" t="s">
        <v>397</v>
      </c>
      <c r="F33" s="216"/>
      <c r="G33" s="216">
        <v>1</v>
      </c>
      <c r="H33" s="131"/>
      <c r="I33" s="219">
        <f t="shared" si="0"/>
        <v>0</v>
      </c>
      <c r="J33" s="219">
        <f t="shared" si="1"/>
        <v>0</v>
      </c>
      <c r="K33" s="219">
        <f t="shared" si="2"/>
        <v>0</v>
      </c>
      <c r="L33" s="232">
        <f t="shared" si="3"/>
        <v>867862.86999999988</v>
      </c>
      <c r="M33" s="219">
        <f t="shared" si="4"/>
        <v>0</v>
      </c>
      <c r="N33" s="219">
        <f t="shared" si="5"/>
        <v>9452726.7899999991</v>
      </c>
      <c r="O33" s="219">
        <f t="shared" si="6"/>
        <v>0</v>
      </c>
      <c r="P33" s="219">
        <f t="shared" si="7"/>
        <v>0</v>
      </c>
      <c r="Q33" s="219">
        <f t="shared" si="8"/>
        <v>0</v>
      </c>
      <c r="R33" s="218"/>
      <c r="S33" s="218"/>
      <c r="T33" s="218"/>
      <c r="U33" s="218"/>
      <c r="V33" s="218"/>
      <c r="W33" s="218"/>
      <c r="X33" s="218">
        <v>298420.86</v>
      </c>
      <c r="Y33" s="218">
        <v>114375.18000000001</v>
      </c>
      <c r="Z33" s="218"/>
      <c r="AA33" s="218">
        <v>455066.8299999999</v>
      </c>
      <c r="AB33" s="218"/>
      <c r="AC33" s="131"/>
      <c r="AD33" s="131"/>
      <c r="AE33" s="131"/>
      <c r="AF33" s="131"/>
      <c r="AG33" s="219">
        <v>9452726.7899999991</v>
      </c>
      <c r="AH33" s="131"/>
      <c r="AI33" s="131"/>
      <c r="AJ33" s="131"/>
      <c r="AK33" s="131"/>
      <c r="AL33" s="131"/>
      <c r="AM33" s="131"/>
      <c r="AN33" s="218"/>
    </row>
    <row r="34" spans="1:40" hidden="1" x14ac:dyDescent="0.25">
      <c r="A34" s="457" t="s">
        <v>120</v>
      </c>
      <c r="B34" s="131" t="s">
        <v>386</v>
      </c>
      <c r="C34" s="131" t="s">
        <v>395</v>
      </c>
      <c r="D34" s="131" t="s">
        <v>410</v>
      </c>
      <c r="E34" s="131" t="s">
        <v>360</v>
      </c>
      <c r="F34" s="216"/>
      <c r="G34" s="216"/>
      <c r="H34" s="131"/>
      <c r="I34" s="219">
        <f t="shared" si="0"/>
        <v>0</v>
      </c>
      <c r="J34" s="219">
        <f t="shared" si="1"/>
        <v>0</v>
      </c>
      <c r="K34" s="219">
        <f t="shared" si="2"/>
        <v>1036658.8200000001</v>
      </c>
      <c r="L34" s="232">
        <f t="shared" si="3"/>
        <v>0</v>
      </c>
      <c r="M34" s="219">
        <f t="shared" si="4"/>
        <v>0</v>
      </c>
      <c r="N34" s="219">
        <f t="shared" si="5"/>
        <v>0</v>
      </c>
      <c r="O34" s="219">
        <f t="shared" si="6"/>
        <v>0</v>
      </c>
      <c r="P34" s="219">
        <f t="shared" si="7"/>
        <v>0</v>
      </c>
      <c r="Q34" s="219">
        <f t="shared" si="8"/>
        <v>0</v>
      </c>
      <c r="R34" s="218"/>
      <c r="S34" s="218"/>
      <c r="T34" s="218"/>
      <c r="U34" s="218"/>
      <c r="V34" s="218"/>
      <c r="W34" s="218">
        <v>1036658.8200000001</v>
      </c>
      <c r="X34" s="218"/>
      <c r="Y34" s="218"/>
      <c r="Z34" s="218"/>
      <c r="AA34" s="218"/>
      <c r="AB34" s="218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218"/>
    </row>
    <row r="35" spans="1:40" hidden="1" x14ac:dyDescent="0.25">
      <c r="A35" s="457" t="s">
        <v>120</v>
      </c>
      <c r="B35" s="131" t="s">
        <v>386</v>
      </c>
      <c r="C35" s="131" t="s">
        <v>387</v>
      </c>
      <c r="D35" s="131" t="s">
        <v>388</v>
      </c>
      <c r="E35" s="131" t="s">
        <v>389</v>
      </c>
      <c r="F35" s="216"/>
      <c r="G35" s="216"/>
      <c r="H35" s="131"/>
      <c r="I35" s="219">
        <f t="shared" si="0"/>
        <v>0</v>
      </c>
      <c r="J35" s="219">
        <f t="shared" si="1"/>
        <v>21095811.210000005</v>
      </c>
      <c r="K35" s="219">
        <f t="shared" si="2"/>
        <v>0</v>
      </c>
      <c r="L35" s="232">
        <f t="shared" si="3"/>
        <v>0</v>
      </c>
      <c r="M35" s="219">
        <f t="shared" si="4"/>
        <v>0</v>
      </c>
      <c r="N35" s="219">
        <f t="shared" si="5"/>
        <v>0</v>
      </c>
      <c r="O35" s="219">
        <f t="shared" si="6"/>
        <v>0</v>
      </c>
      <c r="P35" s="219">
        <f t="shared" si="7"/>
        <v>0</v>
      </c>
      <c r="Q35" s="219">
        <f t="shared" si="8"/>
        <v>0</v>
      </c>
      <c r="R35" s="218"/>
      <c r="S35" s="218"/>
      <c r="T35" s="218">
        <v>21095811.210000005</v>
      </c>
      <c r="U35" s="218"/>
      <c r="V35" s="218"/>
      <c r="W35" s="218"/>
      <c r="X35" s="218"/>
      <c r="Y35" s="218"/>
      <c r="Z35" s="218"/>
      <c r="AA35" s="218"/>
      <c r="AB35" s="218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218"/>
    </row>
    <row r="36" spans="1:40" hidden="1" x14ac:dyDescent="0.25">
      <c r="A36" s="457" t="s">
        <v>385</v>
      </c>
      <c r="B36" s="131" t="s">
        <v>386</v>
      </c>
      <c r="C36" s="131" t="s">
        <v>390</v>
      </c>
      <c r="D36" s="131" t="s">
        <v>409</v>
      </c>
      <c r="E36" s="131" t="s">
        <v>389</v>
      </c>
      <c r="F36" s="216">
        <v>1</v>
      </c>
      <c r="G36" s="216"/>
      <c r="H36" s="131"/>
      <c r="I36" s="219">
        <f t="shared" si="0"/>
        <v>0</v>
      </c>
      <c r="J36" s="219">
        <f t="shared" si="1"/>
        <v>0</v>
      </c>
      <c r="K36" s="219">
        <f t="shared" si="2"/>
        <v>3709919.7600000007</v>
      </c>
      <c r="L36" s="232">
        <f t="shared" si="3"/>
        <v>61572551.459999993</v>
      </c>
      <c r="M36" s="219">
        <f t="shared" si="4"/>
        <v>0</v>
      </c>
      <c r="N36" s="219">
        <f t="shared" si="5"/>
        <v>33039185.340000033</v>
      </c>
      <c r="O36" s="219">
        <f t="shared" si="6"/>
        <v>6893112.2441999996</v>
      </c>
      <c r="P36" s="219">
        <f t="shared" si="7"/>
        <v>0</v>
      </c>
      <c r="Q36" s="219">
        <f t="shared" si="8"/>
        <v>669466</v>
      </c>
      <c r="R36" s="218"/>
      <c r="S36" s="218"/>
      <c r="T36" s="218"/>
      <c r="U36" s="218"/>
      <c r="V36" s="218"/>
      <c r="W36" s="218">
        <v>3709919.7600000007</v>
      </c>
      <c r="X36" s="218">
        <v>26603039.640000001</v>
      </c>
      <c r="Y36" s="218">
        <v>8664182.8400000017</v>
      </c>
      <c r="Z36" s="218"/>
      <c r="AA36" s="218">
        <v>11507647.299999991</v>
      </c>
      <c r="AB36" s="218">
        <v>14797681.680000002</v>
      </c>
      <c r="AC36" s="131"/>
      <c r="AD36" s="131"/>
      <c r="AE36" s="131"/>
      <c r="AF36" s="131"/>
      <c r="AG36" s="219">
        <v>33039185.340000033</v>
      </c>
      <c r="AH36" s="219">
        <v>6893112.2441999996</v>
      </c>
      <c r="AI36" s="131"/>
      <c r="AJ36" s="131"/>
      <c r="AK36" s="131"/>
      <c r="AL36" s="131"/>
      <c r="AM36" s="131"/>
      <c r="AN36" s="218">
        <v>669466</v>
      </c>
    </row>
    <row r="37" spans="1:40" hidden="1" x14ac:dyDescent="0.25">
      <c r="A37" s="457" t="s">
        <v>385</v>
      </c>
      <c r="B37" s="131" t="s">
        <v>386</v>
      </c>
      <c r="C37" s="131" t="s">
        <v>390</v>
      </c>
      <c r="D37" s="131" t="s">
        <v>393</v>
      </c>
      <c r="E37" s="131" t="s">
        <v>394</v>
      </c>
      <c r="F37" s="216"/>
      <c r="G37" s="216"/>
      <c r="H37" s="131"/>
      <c r="I37" s="219">
        <f t="shared" si="0"/>
        <v>0</v>
      </c>
      <c r="J37" s="219">
        <f t="shared" si="1"/>
        <v>0</v>
      </c>
      <c r="K37" s="219">
        <f t="shared" si="2"/>
        <v>0</v>
      </c>
      <c r="L37" s="232">
        <f t="shared" si="3"/>
        <v>363411.85</v>
      </c>
      <c r="M37" s="219">
        <f t="shared" si="4"/>
        <v>0</v>
      </c>
      <c r="N37" s="219">
        <f t="shared" si="5"/>
        <v>0</v>
      </c>
      <c r="O37" s="219">
        <f t="shared" si="6"/>
        <v>0</v>
      </c>
      <c r="P37" s="219">
        <f t="shared" si="7"/>
        <v>0</v>
      </c>
      <c r="Q37" s="219">
        <f t="shared" si="8"/>
        <v>0</v>
      </c>
      <c r="R37" s="218"/>
      <c r="S37" s="218"/>
      <c r="T37" s="218"/>
      <c r="U37" s="218"/>
      <c r="V37" s="218"/>
      <c r="W37" s="218"/>
      <c r="X37" s="218"/>
      <c r="Y37" s="218"/>
      <c r="Z37" s="218"/>
      <c r="AA37" s="218">
        <v>363411.85</v>
      </c>
      <c r="AB37" s="218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218"/>
    </row>
    <row r="38" spans="1:40" hidden="1" x14ac:dyDescent="0.25">
      <c r="A38" s="457" t="s">
        <v>347</v>
      </c>
      <c r="B38" s="131" t="s">
        <v>386</v>
      </c>
      <c r="C38" s="131" t="s">
        <v>395</v>
      </c>
      <c r="D38" s="131" t="s">
        <v>413</v>
      </c>
      <c r="E38" s="131" t="s">
        <v>397</v>
      </c>
      <c r="F38" s="216">
        <v>1</v>
      </c>
      <c r="G38" s="216">
        <v>1</v>
      </c>
      <c r="H38" s="131" t="s">
        <v>343</v>
      </c>
      <c r="I38" s="219">
        <f t="shared" si="0"/>
        <v>0</v>
      </c>
      <c r="J38" s="219">
        <f t="shared" si="1"/>
        <v>8722385.4600000009</v>
      </c>
      <c r="K38" s="219">
        <f t="shared" si="2"/>
        <v>656791.19999999995</v>
      </c>
      <c r="L38" s="232">
        <f t="shared" si="3"/>
        <v>58926900.209999993</v>
      </c>
      <c r="M38" s="219">
        <f t="shared" si="4"/>
        <v>1000058232.5383745</v>
      </c>
      <c r="N38" s="219">
        <f t="shared" si="5"/>
        <v>173307347.28000036</v>
      </c>
      <c r="O38" s="219">
        <f t="shared" si="6"/>
        <v>601796653.87660027</v>
      </c>
      <c r="P38" s="219">
        <f t="shared" si="7"/>
        <v>99474719.699999988</v>
      </c>
      <c r="Q38" s="219">
        <f t="shared" si="8"/>
        <v>0</v>
      </c>
      <c r="R38" s="218"/>
      <c r="S38" s="218"/>
      <c r="T38" s="218"/>
      <c r="U38" s="218"/>
      <c r="V38" s="218">
        <v>8722385.4600000009</v>
      </c>
      <c r="W38" s="218">
        <v>656791.19999999995</v>
      </c>
      <c r="X38" s="218">
        <v>9954086.370000001</v>
      </c>
      <c r="Y38" s="218">
        <v>33486048.119999997</v>
      </c>
      <c r="Z38" s="218"/>
      <c r="AA38" s="218">
        <v>6365058.8499999996</v>
      </c>
      <c r="AB38" s="218">
        <v>9121706.870000001</v>
      </c>
      <c r="AC38" s="218">
        <v>267169299.61999798</v>
      </c>
      <c r="AD38" s="218">
        <v>595335059.91837656</v>
      </c>
      <c r="AE38" s="218">
        <v>137553873</v>
      </c>
      <c r="AF38" s="218">
        <v>0</v>
      </c>
      <c r="AG38" s="219">
        <v>173307347.28000036</v>
      </c>
      <c r="AH38" s="218">
        <v>601796653.87660027</v>
      </c>
      <c r="AI38" s="131"/>
      <c r="AJ38" s="131"/>
      <c r="AK38" s="131"/>
      <c r="AL38" s="131"/>
      <c r="AM38" s="218">
        <v>99474719.699999988</v>
      </c>
      <c r="AN38" s="218"/>
    </row>
    <row r="39" spans="1:40" hidden="1" x14ac:dyDescent="0.25">
      <c r="A39" s="457" t="s">
        <v>103</v>
      </c>
      <c r="B39" s="131" t="s">
        <v>386</v>
      </c>
      <c r="C39" s="131" t="s">
        <v>387</v>
      </c>
      <c r="D39" s="131" t="s">
        <v>411</v>
      </c>
      <c r="E39" s="131" t="s">
        <v>360</v>
      </c>
      <c r="F39" s="216"/>
      <c r="G39" s="216"/>
      <c r="H39" s="131"/>
      <c r="I39" s="219">
        <f t="shared" si="0"/>
        <v>0</v>
      </c>
      <c r="J39" s="219">
        <f t="shared" si="1"/>
        <v>0</v>
      </c>
      <c r="K39" s="219">
        <f t="shared" si="2"/>
        <v>77805536.48999998</v>
      </c>
      <c r="L39" s="232">
        <f t="shared" si="3"/>
        <v>0</v>
      </c>
      <c r="M39" s="219">
        <f t="shared" si="4"/>
        <v>0</v>
      </c>
      <c r="N39" s="219">
        <f t="shared" si="5"/>
        <v>0</v>
      </c>
      <c r="O39" s="219">
        <f t="shared" si="6"/>
        <v>0</v>
      </c>
      <c r="P39" s="219">
        <f t="shared" si="7"/>
        <v>0</v>
      </c>
      <c r="Q39" s="219">
        <f t="shared" si="8"/>
        <v>0</v>
      </c>
      <c r="R39" s="218"/>
      <c r="S39" s="218"/>
      <c r="T39" s="218"/>
      <c r="U39" s="218"/>
      <c r="V39" s="218"/>
      <c r="W39" s="223">
        <v>77805536.48999998</v>
      </c>
      <c r="X39" s="218"/>
      <c r="Y39" s="218"/>
      <c r="Z39" s="218"/>
      <c r="AA39" s="218"/>
      <c r="AB39" s="218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218"/>
    </row>
    <row r="40" spans="1:40" hidden="1" x14ac:dyDescent="0.25">
      <c r="A40" s="457" t="s">
        <v>103</v>
      </c>
      <c r="B40" s="131" t="s">
        <v>386</v>
      </c>
      <c r="C40" s="131" t="s">
        <v>390</v>
      </c>
      <c r="D40" s="131" t="s">
        <v>414</v>
      </c>
      <c r="E40" s="131" t="s">
        <v>389</v>
      </c>
      <c r="F40" s="216">
        <v>1</v>
      </c>
      <c r="G40" s="216">
        <v>1</v>
      </c>
      <c r="H40" s="131"/>
      <c r="I40" s="219">
        <f t="shared" si="0"/>
        <v>0</v>
      </c>
      <c r="J40" s="219">
        <f t="shared" si="1"/>
        <v>5248127.7100000009</v>
      </c>
      <c r="K40" s="219">
        <f t="shared" si="2"/>
        <v>2517076.71</v>
      </c>
      <c r="L40" s="232">
        <f t="shared" si="3"/>
        <v>101239778.97</v>
      </c>
      <c r="M40" s="219">
        <f t="shared" si="4"/>
        <v>0</v>
      </c>
      <c r="N40" s="219">
        <f t="shared" si="5"/>
        <v>249482271.56000093</v>
      </c>
      <c r="O40" s="219">
        <f t="shared" si="6"/>
        <v>92206844.813199982</v>
      </c>
      <c r="P40" s="219">
        <f t="shared" si="7"/>
        <v>0</v>
      </c>
      <c r="Q40" s="219">
        <f t="shared" si="8"/>
        <v>59178799.899999954</v>
      </c>
      <c r="R40" s="218"/>
      <c r="S40" s="218"/>
      <c r="T40" s="218">
        <v>4583787.8000000007</v>
      </c>
      <c r="U40" s="218">
        <v>664339.91000000038</v>
      </c>
      <c r="V40" s="218"/>
      <c r="W40" s="218">
        <v>2517076.71</v>
      </c>
      <c r="X40" s="218">
        <v>41145119.170000061</v>
      </c>
      <c r="Y40" s="219">
        <v>59960387.319999933</v>
      </c>
      <c r="Z40" s="218">
        <v>134272.48000000001</v>
      </c>
      <c r="AA40" s="218" t="s">
        <v>415</v>
      </c>
      <c r="AB40" s="218" t="s">
        <v>416</v>
      </c>
      <c r="AC40" s="131"/>
      <c r="AD40" s="131"/>
      <c r="AE40" s="131"/>
      <c r="AF40" s="131"/>
      <c r="AG40" s="219">
        <v>249482271.56000093</v>
      </c>
      <c r="AH40" s="219">
        <v>92206844.813199982</v>
      </c>
      <c r="AI40" s="131"/>
      <c r="AJ40" s="131"/>
      <c r="AK40" s="131"/>
      <c r="AL40" s="131"/>
      <c r="AM40" s="131"/>
      <c r="AN40" s="218">
        <v>59178799.899999954</v>
      </c>
    </row>
    <row r="41" spans="1:40" hidden="1" x14ac:dyDescent="0.25">
      <c r="A41" s="457" t="s">
        <v>103</v>
      </c>
      <c r="B41" s="131" t="s">
        <v>386</v>
      </c>
      <c r="C41" s="131" t="s">
        <v>395</v>
      </c>
      <c r="D41" s="131" t="s">
        <v>410</v>
      </c>
      <c r="E41" s="131" t="s">
        <v>360</v>
      </c>
      <c r="F41" s="216"/>
      <c r="G41" s="216"/>
      <c r="H41" s="131"/>
      <c r="I41" s="219">
        <f t="shared" si="0"/>
        <v>0</v>
      </c>
      <c r="J41" s="219">
        <f t="shared" si="1"/>
        <v>0</v>
      </c>
      <c r="K41" s="219">
        <f t="shared" si="2"/>
        <v>2257325.5700000003</v>
      </c>
      <c r="L41" s="232">
        <f t="shared" si="3"/>
        <v>1243551.72</v>
      </c>
      <c r="M41" s="219">
        <f t="shared" si="4"/>
        <v>0</v>
      </c>
      <c r="N41" s="219">
        <f t="shared" si="5"/>
        <v>0</v>
      </c>
      <c r="O41" s="219">
        <f t="shared" si="6"/>
        <v>0</v>
      </c>
      <c r="P41" s="219">
        <f t="shared" si="7"/>
        <v>0</v>
      </c>
      <c r="Q41" s="219">
        <f t="shared" si="8"/>
        <v>0</v>
      </c>
      <c r="R41" s="218"/>
      <c r="S41" s="218"/>
      <c r="T41" s="218"/>
      <c r="U41" s="218"/>
      <c r="V41" s="218"/>
      <c r="W41" s="218">
        <v>2257325.5700000003</v>
      </c>
      <c r="X41" s="218">
        <v>1224636.3599999999</v>
      </c>
      <c r="Y41" s="218">
        <v>18915.36</v>
      </c>
      <c r="Z41" s="218"/>
      <c r="AA41" s="218"/>
      <c r="AB41" s="218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218"/>
    </row>
    <row r="42" spans="1:40" hidden="1" x14ac:dyDescent="0.25">
      <c r="A42" s="457" t="s">
        <v>103</v>
      </c>
      <c r="B42" s="131" t="s">
        <v>386</v>
      </c>
      <c r="C42" s="131" t="s">
        <v>390</v>
      </c>
      <c r="D42" s="131" t="s">
        <v>393</v>
      </c>
      <c r="E42" s="131" t="s">
        <v>394</v>
      </c>
      <c r="F42" s="216"/>
      <c r="G42" s="216"/>
      <c r="H42" s="131"/>
      <c r="I42" s="219">
        <f t="shared" si="0"/>
        <v>0</v>
      </c>
      <c r="J42" s="219">
        <f t="shared" si="1"/>
        <v>0</v>
      </c>
      <c r="K42" s="219">
        <f t="shared" si="2"/>
        <v>0</v>
      </c>
      <c r="L42" s="232">
        <f t="shared" si="3"/>
        <v>1593870.07</v>
      </c>
      <c r="M42" s="219">
        <f t="shared" si="4"/>
        <v>0</v>
      </c>
      <c r="N42" s="219">
        <f t="shared" si="5"/>
        <v>0</v>
      </c>
      <c r="O42" s="219">
        <f t="shared" si="6"/>
        <v>0</v>
      </c>
      <c r="P42" s="219">
        <f t="shared" si="7"/>
        <v>0</v>
      </c>
      <c r="Q42" s="219">
        <f t="shared" si="8"/>
        <v>0</v>
      </c>
      <c r="R42" s="218"/>
      <c r="S42" s="218"/>
      <c r="T42" s="218"/>
      <c r="U42" s="218"/>
      <c r="V42" s="218"/>
      <c r="W42" s="218"/>
      <c r="X42" s="218"/>
      <c r="Y42" s="218">
        <v>156790.96</v>
      </c>
      <c r="Z42" s="218"/>
      <c r="AA42" s="218">
        <v>1437079.11</v>
      </c>
      <c r="AB42" s="218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218"/>
    </row>
    <row r="43" spans="1:40" hidden="1" x14ac:dyDescent="0.25">
      <c r="A43" s="457" t="s">
        <v>417</v>
      </c>
      <c r="B43" s="131" t="s">
        <v>386</v>
      </c>
      <c r="C43" s="131" t="s">
        <v>395</v>
      </c>
      <c r="D43" s="131" t="s">
        <v>413</v>
      </c>
      <c r="E43" s="131" t="s">
        <v>397</v>
      </c>
      <c r="F43" s="216"/>
      <c r="G43" s="216">
        <v>1</v>
      </c>
      <c r="H43" s="131" t="s">
        <v>343</v>
      </c>
      <c r="I43" s="219">
        <f t="shared" si="0"/>
        <v>0</v>
      </c>
      <c r="J43" s="219">
        <f t="shared" si="1"/>
        <v>0</v>
      </c>
      <c r="K43" s="219">
        <f t="shared" si="2"/>
        <v>0</v>
      </c>
      <c r="L43" s="232">
        <f t="shared" si="3"/>
        <v>10032609.34</v>
      </c>
      <c r="M43" s="219">
        <f t="shared" si="4"/>
        <v>166575782.33000067</v>
      </c>
      <c r="N43" s="219">
        <f t="shared" si="5"/>
        <v>69327183.080000117</v>
      </c>
      <c r="O43" s="219">
        <f t="shared" si="6"/>
        <v>23181716.654200006</v>
      </c>
      <c r="P43" s="219">
        <f t="shared" si="7"/>
        <v>0</v>
      </c>
      <c r="Q43" s="219">
        <f t="shared" si="8"/>
        <v>3859752.72</v>
      </c>
      <c r="R43" s="218"/>
      <c r="S43" s="218"/>
      <c r="T43" s="218"/>
      <c r="U43" s="218"/>
      <c r="V43" s="218"/>
      <c r="W43" s="218"/>
      <c r="X43" s="218">
        <v>666222.65999999992</v>
      </c>
      <c r="Y43" s="219">
        <v>8706096.9299999997</v>
      </c>
      <c r="Z43" s="218"/>
      <c r="AA43" s="218">
        <v>544918.50999999989</v>
      </c>
      <c r="AB43" s="218">
        <v>115371.24</v>
      </c>
      <c r="AC43" s="218">
        <v>55421510.720000334</v>
      </c>
      <c r="AD43" s="218">
        <v>97091470.610000327</v>
      </c>
      <c r="AE43" s="218">
        <v>14062801</v>
      </c>
      <c r="AF43" s="218">
        <v>0</v>
      </c>
      <c r="AG43" s="218">
        <v>69327183.080000117</v>
      </c>
      <c r="AH43" s="218">
        <v>23181716.654200006</v>
      </c>
      <c r="AI43" s="131"/>
      <c r="AJ43" s="131"/>
      <c r="AK43" s="131"/>
      <c r="AL43" s="131"/>
      <c r="AM43" s="131"/>
      <c r="AN43" s="218">
        <v>3859752.72</v>
      </c>
    </row>
    <row r="44" spans="1:40" hidden="1" x14ac:dyDescent="0.25">
      <c r="A44" s="457" t="s">
        <v>418</v>
      </c>
      <c r="B44" s="224" t="s">
        <v>386</v>
      </c>
      <c r="C44" s="224" t="s">
        <v>387</v>
      </c>
      <c r="D44" s="131" t="s">
        <v>412</v>
      </c>
      <c r="E44" s="131" t="s">
        <v>419</v>
      </c>
      <c r="F44" s="216"/>
      <c r="G44" s="216"/>
      <c r="H44" s="131"/>
      <c r="I44" s="219">
        <f t="shared" si="0"/>
        <v>835821.95</v>
      </c>
      <c r="J44" s="219">
        <f t="shared" si="1"/>
        <v>0</v>
      </c>
      <c r="K44" s="219">
        <f t="shared" si="2"/>
        <v>0</v>
      </c>
      <c r="L44" s="232">
        <f t="shared" si="3"/>
        <v>0</v>
      </c>
      <c r="M44" s="219">
        <f t="shared" si="4"/>
        <v>0</v>
      </c>
      <c r="N44" s="219">
        <f t="shared" si="5"/>
        <v>0</v>
      </c>
      <c r="O44" s="219">
        <f t="shared" si="6"/>
        <v>0</v>
      </c>
      <c r="P44" s="219">
        <f t="shared" si="7"/>
        <v>0</v>
      </c>
      <c r="Q44" s="219">
        <f t="shared" si="8"/>
        <v>0</v>
      </c>
      <c r="R44" s="222">
        <v>835821.95</v>
      </c>
      <c r="S44" s="218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</row>
    <row r="45" spans="1:40" hidden="1" x14ac:dyDescent="0.25">
      <c r="A45" s="457" t="s">
        <v>418</v>
      </c>
      <c r="B45" s="224" t="s">
        <v>386</v>
      </c>
      <c r="C45" s="224" t="s">
        <v>387</v>
      </c>
      <c r="D45" s="131" t="s">
        <v>412</v>
      </c>
      <c r="E45" s="131" t="s">
        <v>355</v>
      </c>
      <c r="F45" s="216"/>
      <c r="G45" s="216"/>
      <c r="H45" s="131"/>
      <c r="I45" s="219">
        <f t="shared" si="0"/>
        <v>836011.14999999991</v>
      </c>
      <c r="J45" s="219">
        <f t="shared" si="1"/>
        <v>0</v>
      </c>
      <c r="K45" s="219">
        <f t="shared" si="2"/>
        <v>0</v>
      </c>
      <c r="L45" s="232">
        <f t="shared" si="3"/>
        <v>0</v>
      </c>
      <c r="M45" s="219">
        <f t="shared" si="4"/>
        <v>0</v>
      </c>
      <c r="N45" s="219">
        <f t="shared" si="5"/>
        <v>0</v>
      </c>
      <c r="O45" s="219">
        <f t="shared" si="6"/>
        <v>0</v>
      </c>
      <c r="P45" s="219">
        <f t="shared" si="7"/>
        <v>0</v>
      </c>
      <c r="Q45" s="219">
        <f t="shared" si="8"/>
        <v>0</v>
      </c>
      <c r="R45" s="222">
        <v>836011.14999999991</v>
      </c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131"/>
    </row>
    <row r="46" spans="1:40" hidden="1" x14ac:dyDescent="0.25">
      <c r="A46" s="457" t="s">
        <v>418</v>
      </c>
      <c r="B46" s="224" t="s">
        <v>386</v>
      </c>
      <c r="C46" s="224" t="s">
        <v>387</v>
      </c>
      <c r="D46" s="131" t="s">
        <v>412</v>
      </c>
      <c r="E46" s="131" t="s">
        <v>389</v>
      </c>
      <c r="F46" s="216"/>
      <c r="G46" s="216"/>
      <c r="H46" s="131"/>
      <c r="I46" s="219">
        <f t="shared" si="0"/>
        <v>228590.15</v>
      </c>
      <c r="J46" s="219">
        <f t="shared" si="1"/>
        <v>0</v>
      </c>
      <c r="K46" s="219">
        <f t="shared" si="2"/>
        <v>0</v>
      </c>
      <c r="L46" s="232">
        <f t="shared" si="3"/>
        <v>0</v>
      </c>
      <c r="M46" s="219">
        <f t="shared" si="4"/>
        <v>0</v>
      </c>
      <c r="N46" s="219">
        <f t="shared" si="5"/>
        <v>0</v>
      </c>
      <c r="O46" s="219">
        <f t="shared" si="6"/>
        <v>0</v>
      </c>
      <c r="P46" s="219">
        <f t="shared" si="7"/>
        <v>0</v>
      </c>
      <c r="Q46" s="219">
        <f t="shared" si="8"/>
        <v>0</v>
      </c>
      <c r="R46" s="222">
        <v>228590.15</v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</row>
    <row r="47" spans="1:40" hidden="1" x14ac:dyDescent="0.25">
      <c r="A47" s="457" t="s">
        <v>418</v>
      </c>
      <c r="B47" s="224" t="s">
        <v>386</v>
      </c>
      <c r="C47" s="224" t="s">
        <v>387</v>
      </c>
      <c r="D47" s="131" t="s">
        <v>412</v>
      </c>
      <c r="E47" s="131" t="s">
        <v>389</v>
      </c>
      <c r="F47" s="216"/>
      <c r="G47" s="216"/>
      <c r="H47" s="131"/>
      <c r="I47" s="219">
        <f t="shared" si="0"/>
        <v>688143.6</v>
      </c>
      <c r="J47" s="219">
        <f t="shared" si="1"/>
        <v>0</v>
      </c>
      <c r="K47" s="219">
        <f t="shared" si="2"/>
        <v>0</v>
      </c>
      <c r="L47" s="232">
        <f t="shared" si="3"/>
        <v>0</v>
      </c>
      <c r="M47" s="219">
        <f t="shared" si="4"/>
        <v>0</v>
      </c>
      <c r="N47" s="219">
        <f t="shared" si="5"/>
        <v>0</v>
      </c>
      <c r="O47" s="219">
        <f t="shared" si="6"/>
        <v>0</v>
      </c>
      <c r="P47" s="219">
        <f t="shared" si="7"/>
        <v>0</v>
      </c>
      <c r="Q47" s="219">
        <f t="shared" si="8"/>
        <v>0</v>
      </c>
      <c r="R47" s="222">
        <v>688143.6</v>
      </c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226"/>
      <c r="AH47" s="131"/>
      <c r="AI47" s="131"/>
      <c r="AJ47" s="131"/>
      <c r="AK47" s="131"/>
      <c r="AL47" s="131"/>
      <c r="AM47" s="131"/>
      <c r="AN47" s="131"/>
    </row>
    <row r="48" spans="1:40" hidden="1" x14ac:dyDescent="0.25">
      <c r="A48" s="457" t="s">
        <v>174</v>
      </c>
      <c r="B48" s="224" t="s">
        <v>386</v>
      </c>
      <c r="C48" s="224" t="s">
        <v>387</v>
      </c>
      <c r="D48" s="131" t="s">
        <v>412</v>
      </c>
      <c r="E48" s="131" t="s">
        <v>419</v>
      </c>
      <c r="F48" s="216"/>
      <c r="G48" s="216"/>
      <c r="H48" s="131"/>
      <c r="I48" s="219">
        <f t="shared" si="0"/>
        <v>44163988.919999994</v>
      </c>
      <c r="J48" s="219">
        <f t="shared" si="1"/>
        <v>0</v>
      </c>
      <c r="K48" s="219">
        <f t="shared" si="2"/>
        <v>0</v>
      </c>
      <c r="L48" s="232">
        <f t="shared" si="3"/>
        <v>0</v>
      </c>
      <c r="M48" s="219">
        <f t="shared" si="4"/>
        <v>0</v>
      </c>
      <c r="N48" s="219">
        <f t="shared" si="5"/>
        <v>0</v>
      </c>
      <c r="O48" s="219">
        <f t="shared" si="6"/>
        <v>0</v>
      </c>
      <c r="P48" s="219">
        <f t="shared" si="7"/>
        <v>0</v>
      </c>
      <c r="Q48" s="219">
        <f t="shared" si="8"/>
        <v>0</v>
      </c>
      <c r="R48" s="222">
        <v>44163988.919999994</v>
      </c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</row>
    <row r="49" spans="1:40" hidden="1" x14ac:dyDescent="0.25">
      <c r="A49" s="457" t="s">
        <v>174</v>
      </c>
      <c r="B49" s="224" t="s">
        <v>386</v>
      </c>
      <c r="C49" s="224" t="s">
        <v>387</v>
      </c>
      <c r="D49" s="131" t="s">
        <v>412</v>
      </c>
      <c r="E49" s="131" t="s">
        <v>389</v>
      </c>
      <c r="F49" s="216"/>
      <c r="G49" s="216"/>
      <c r="H49" s="131"/>
      <c r="I49" s="219">
        <f t="shared" si="0"/>
        <v>4002531.09</v>
      </c>
      <c r="J49" s="219">
        <f t="shared" si="1"/>
        <v>0</v>
      </c>
      <c r="K49" s="219">
        <f t="shared" si="2"/>
        <v>0</v>
      </c>
      <c r="L49" s="232">
        <f t="shared" si="3"/>
        <v>0</v>
      </c>
      <c r="M49" s="219">
        <f t="shared" si="4"/>
        <v>0</v>
      </c>
      <c r="N49" s="219">
        <f t="shared" si="5"/>
        <v>0</v>
      </c>
      <c r="O49" s="219">
        <f t="shared" si="6"/>
        <v>0</v>
      </c>
      <c r="P49" s="219">
        <f t="shared" si="7"/>
        <v>0</v>
      </c>
      <c r="Q49" s="219">
        <f t="shared" si="8"/>
        <v>0</v>
      </c>
      <c r="R49" s="222">
        <v>4002531.09</v>
      </c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131"/>
      <c r="AF49" s="131"/>
      <c r="AG49" s="131"/>
      <c r="AH49" s="227"/>
      <c r="AI49" s="227"/>
      <c r="AJ49" s="227"/>
      <c r="AK49" s="227"/>
      <c r="AL49" s="227"/>
      <c r="AM49" s="227"/>
      <c r="AN49" s="131"/>
    </row>
    <row r="50" spans="1:40" hidden="1" x14ac:dyDescent="0.25">
      <c r="A50" s="457" t="s">
        <v>420</v>
      </c>
      <c r="B50" s="224" t="s">
        <v>386</v>
      </c>
      <c r="C50" s="224" t="s">
        <v>387</v>
      </c>
      <c r="D50" s="131" t="s">
        <v>412</v>
      </c>
      <c r="E50" s="131" t="s">
        <v>355</v>
      </c>
      <c r="F50" s="216"/>
      <c r="G50" s="216"/>
      <c r="H50" s="131"/>
      <c r="I50" s="219">
        <f t="shared" si="0"/>
        <v>3046694.5799999996</v>
      </c>
      <c r="J50" s="219">
        <f t="shared" si="1"/>
        <v>0</v>
      </c>
      <c r="K50" s="219">
        <f t="shared" si="2"/>
        <v>0</v>
      </c>
      <c r="L50" s="232">
        <f t="shared" si="3"/>
        <v>0</v>
      </c>
      <c r="M50" s="219">
        <f t="shared" si="4"/>
        <v>0</v>
      </c>
      <c r="N50" s="219">
        <f t="shared" si="5"/>
        <v>0</v>
      </c>
      <c r="O50" s="219">
        <f t="shared" si="6"/>
        <v>0</v>
      </c>
      <c r="P50" s="219">
        <f t="shared" si="7"/>
        <v>0</v>
      </c>
      <c r="Q50" s="219">
        <f t="shared" si="8"/>
        <v>0</v>
      </c>
      <c r="R50" s="222">
        <v>3046694.5799999996</v>
      </c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131"/>
      <c r="AF50" s="131"/>
      <c r="AG50" s="131"/>
      <c r="AH50" s="218"/>
      <c r="AI50" s="218"/>
      <c r="AJ50" s="218"/>
      <c r="AK50" s="218"/>
      <c r="AL50" s="218"/>
      <c r="AM50" s="218"/>
      <c r="AN50" s="131"/>
    </row>
    <row r="51" spans="1:40" hidden="1" x14ac:dyDescent="0.25">
      <c r="A51" s="457" t="s">
        <v>420</v>
      </c>
      <c r="B51" s="224" t="s">
        <v>386</v>
      </c>
      <c r="C51" s="224" t="s">
        <v>387</v>
      </c>
      <c r="D51" s="131" t="s">
        <v>412</v>
      </c>
      <c r="E51" s="131" t="s">
        <v>389</v>
      </c>
      <c r="F51" s="216"/>
      <c r="G51" s="216"/>
      <c r="H51" s="131"/>
      <c r="I51" s="219">
        <f t="shared" si="0"/>
        <v>2125019.96</v>
      </c>
      <c r="J51" s="219">
        <f t="shared" si="1"/>
        <v>0</v>
      </c>
      <c r="K51" s="219">
        <f t="shared" si="2"/>
        <v>0</v>
      </c>
      <c r="L51" s="232">
        <f t="shared" si="3"/>
        <v>0</v>
      </c>
      <c r="M51" s="219">
        <f t="shared" si="4"/>
        <v>0</v>
      </c>
      <c r="N51" s="219">
        <f t="shared" si="5"/>
        <v>0</v>
      </c>
      <c r="O51" s="219">
        <f t="shared" si="6"/>
        <v>0</v>
      </c>
      <c r="P51" s="219">
        <f t="shared" si="7"/>
        <v>0</v>
      </c>
      <c r="Q51" s="219">
        <f t="shared" si="8"/>
        <v>0</v>
      </c>
      <c r="R51" s="222">
        <v>2125019.96</v>
      </c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131"/>
    </row>
    <row r="52" spans="1:40" hidden="1" x14ac:dyDescent="0.25">
      <c r="A52" s="457" t="s">
        <v>383</v>
      </c>
      <c r="B52" s="224" t="s">
        <v>386</v>
      </c>
      <c r="C52" s="224" t="s">
        <v>387</v>
      </c>
      <c r="D52" s="131" t="s">
        <v>412</v>
      </c>
      <c r="E52" s="131" t="s">
        <v>355</v>
      </c>
      <c r="F52" s="216"/>
      <c r="G52" s="216"/>
      <c r="H52" s="131"/>
      <c r="I52" s="219">
        <f t="shared" si="0"/>
        <v>12307302.329999996</v>
      </c>
      <c r="J52" s="219">
        <f t="shared" si="1"/>
        <v>0</v>
      </c>
      <c r="K52" s="219">
        <f t="shared" si="2"/>
        <v>0</v>
      </c>
      <c r="L52" s="232">
        <f t="shared" si="3"/>
        <v>0</v>
      </c>
      <c r="M52" s="219">
        <f t="shared" si="4"/>
        <v>0</v>
      </c>
      <c r="N52" s="219">
        <f t="shared" si="5"/>
        <v>0</v>
      </c>
      <c r="O52" s="219">
        <f t="shared" si="6"/>
        <v>0</v>
      </c>
      <c r="P52" s="219">
        <f t="shared" si="7"/>
        <v>0</v>
      </c>
      <c r="Q52" s="219">
        <f t="shared" si="8"/>
        <v>0</v>
      </c>
      <c r="R52" s="222">
        <v>12307302.329999996</v>
      </c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131"/>
    </row>
    <row r="53" spans="1:40" hidden="1" x14ac:dyDescent="0.25">
      <c r="A53" s="457" t="s">
        <v>383</v>
      </c>
      <c r="B53" s="224" t="s">
        <v>386</v>
      </c>
      <c r="C53" s="224" t="s">
        <v>387</v>
      </c>
      <c r="D53" s="131" t="s">
        <v>412</v>
      </c>
      <c r="E53" s="131" t="s">
        <v>389</v>
      </c>
      <c r="F53" s="216"/>
      <c r="G53" s="216"/>
      <c r="H53" s="131"/>
      <c r="I53" s="219">
        <f t="shared" si="0"/>
        <v>9498768.2299999986</v>
      </c>
      <c r="J53" s="219">
        <f t="shared" si="1"/>
        <v>0</v>
      </c>
      <c r="K53" s="219">
        <f t="shared" si="2"/>
        <v>0</v>
      </c>
      <c r="L53" s="232">
        <f t="shared" si="3"/>
        <v>0</v>
      </c>
      <c r="M53" s="219">
        <f t="shared" si="4"/>
        <v>0</v>
      </c>
      <c r="N53" s="219">
        <f t="shared" si="5"/>
        <v>0</v>
      </c>
      <c r="O53" s="219">
        <f t="shared" si="6"/>
        <v>0</v>
      </c>
      <c r="P53" s="219">
        <f t="shared" si="7"/>
        <v>0</v>
      </c>
      <c r="Q53" s="219">
        <f t="shared" si="8"/>
        <v>0</v>
      </c>
      <c r="R53" s="222">
        <v>9498768.2299999986</v>
      </c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131"/>
    </row>
    <row r="54" spans="1:40" hidden="1" x14ac:dyDescent="0.25">
      <c r="A54" s="457" t="s">
        <v>81</v>
      </c>
      <c r="B54" s="224" t="s">
        <v>386</v>
      </c>
      <c r="C54" s="224" t="s">
        <v>387</v>
      </c>
      <c r="D54" s="131" t="s">
        <v>412</v>
      </c>
      <c r="E54" s="131" t="s">
        <v>421</v>
      </c>
      <c r="F54" s="216"/>
      <c r="G54" s="216"/>
      <c r="H54" s="131"/>
      <c r="I54" s="219">
        <f t="shared" si="0"/>
        <v>1850809.5699999998</v>
      </c>
      <c r="J54" s="219">
        <f t="shared" si="1"/>
        <v>0</v>
      </c>
      <c r="K54" s="219">
        <f t="shared" si="2"/>
        <v>0</v>
      </c>
      <c r="L54" s="232">
        <f t="shared" si="3"/>
        <v>0</v>
      </c>
      <c r="M54" s="219">
        <f t="shared" si="4"/>
        <v>0</v>
      </c>
      <c r="N54" s="219">
        <f t="shared" si="5"/>
        <v>0</v>
      </c>
      <c r="O54" s="219">
        <f t="shared" si="6"/>
        <v>0</v>
      </c>
      <c r="P54" s="219">
        <f t="shared" si="7"/>
        <v>0</v>
      </c>
      <c r="Q54" s="219">
        <f t="shared" si="8"/>
        <v>0</v>
      </c>
      <c r="R54" s="222">
        <v>1850809.5699999998</v>
      </c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131"/>
    </row>
    <row r="55" spans="1:40" hidden="1" x14ac:dyDescent="0.25">
      <c r="A55" s="457" t="s">
        <v>50</v>
      </c>
      <c r="B55" s="224" t="s">
        <v>386</v>
      </c>
      <c r="C55" s="224" t="s">
        <v>387</v>
      </c>
      <c r="D55" s="131" t="s">
        <v>412</v>
      </c>
      <c r="E55" s="131" t="s">
        <v>422</v>
      </c>
      <c r="F55" s="216"/>
      <c r="G55" s="216"/>
      <c r="H55" s="131"/>
      <c r="I55" s="219">
        <f t="shared" si="0"/>
        <v>3916673.8</v>
      </c>
      <c r="J55" s="219">
        <f t="shared" si="1"/>
        <v>0</v>
      </c>
      <c r="K55" s="219">
        <f t="shared" si="2"/>
        <v>0</v>
      </c>
      <c r="L55" s="232">
        <f t="shared" si="3"/>
        <v>0</v>
      </c>
      <c r="M55" s="219">
        <f t="shared" si="4"/>
        <v>0</v>
      </c>
      <c r="N55" s="219">
        <f t="shared" si="5"/>
        <v>0</v>
      </c>
      <c r="O55" s="219">
        <f t="shared" si="6"/>
        <v>0</v>
      </c>
      <c r="P55" s="219">
        <f t="shared" si="7"/>
        <v>0</v>
      </c>
      <c r="Q55" s="219">
        <f t="shared" si="8"/>
        <v>0</v>
      </c>
      <c r="R55" s="222">
        <v>3916673.8</v>
      </c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131"/>
    </row>
    <row r="56" spans="1:40" hidden="1" x14ac:dyDescent="0.25">
      <c r="A56" s="457" t="s">
        <v>50</v>
      </c>
      <c r="B56" s="224" t="s">
        <v>386</v>
      </c>
      <c r="C56" s="224" t="s">
        <v>387</v>
      </c>
      <c r="D56" s="131" t="s">
        <v>412</v>
      </c>
      <c r="E56" s="131" t="s">
        <v>423</v>
      </c>
      <c r="F56" s="216"/>
      <c r="G56" s="216"/>
      <c r="H56" s="131"/>
      <c r="I56" s="219">
        <f t="shared" si="0"/>
        <v>2292216.67</v>
      </c>
      <c r="J56" s="219">
        <f t="shared" si="1"/>
        <v>0</v>
      </c>
      <c r="K56" s="219">
        <f t="shared" si="2"/>
        <v>0</v>
      </c>
      <c r="L56" s="232">
        <f t="shared" si="3"/>
        <v>0</v>
      </c>
      <c r="M56" s="219">
        <f t="shared" si="4"/>
        <v>0</v>
      </c>
      <c r="N56" s="219">
        <f t="shared" si="5"/>
        <v>0</v>
      </c>
      <c r="O56" s="219">
        <f t="shared" si="6"/>
        <v>0</v>
      </c>
      <c r="P56" s="219">
        <f t="shared" si="7"/>
        <v>0</v>
      </c>
      <c r="Q56" s="219">
        <f t="shared" si="8"/>
        <v>0</v>
      </c>
      <c r="R56" s="222">
        <v>2292216.67</v>
      </c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131"/>
    </row>
    <row r="57" spans="1:40" hidden="1" x14ac:dyDescent="0.25">
      <c r="A57" s="457" t="s">
        <v>166</v>
      </c>
      <c r="B57" s="224" t="s">
        <v>386</v>
      </c>
      <c r="C57" s="224" t="s">
        <v>387</v>
      </c>
      <c r="D57" s="131" t="s">
        <v>412</v>
      </c>
      <c r="E57" s="131" t="s">
        <v>389</v>
      </c>
      <c r="F57" s="216"/>
      <c r="G57" s="216"/>
      <c r="H57" s="131"/>
      <c r="I57" s="219">
        <f t="shared" si="0"/>
        <v>1669261.7300000004</v>
      </c>
      <c r="J57" s="219">
        <f t="shared" si="1"/>
        <v>0</v>
      </c>
      <c r="K57" s="219">
        <f t="shared" si="2"/>
        <v>0</v>
      </c>
      <c r="L57" s="232">
        <f t="shared" si="3"/>
        <v>0</v>
      </c>
      <c r="M57" s="219">
        <f t="shared" si="4"/>
        <v>0</v>
      </c>
      <c r="N57" s="219">
        <f t="shared" si="5"/>
        <v>0</v>
      </c>
      <c r="O57" s="219">
        <f t="shared" si="6"/>
        <v>0</v>
      </c>
      <c r="P57" s="219">
        <f t="shared" si="7"/>
        <v>0</v>
      </c>
      <c r="Q57" s="219">
        <f t="shared" si="8"/>
        <v>0</v>
      </c>
      <c r="R57" s="222">
        <v>1669261.7300000004</v>
      </c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131"/>
    </row>
    <row r="58" spans="1:40" hidden="1" x14ac:dyDescent="0.25">
      <c r="A58" s="457" t="s">
        <v>353</v>
      </c>
      <c r="B58" s="224" t="s">
        <v>386</v>
      </c>
      <c r="C58" s="224" t="s">
        <v>387</v>
      </c>
      <c r="D58" s="131" t="s">
        <v>412</v>
      </c>
      <c r="E58" s="131" t="s">
        <v>394</v>
      </c>
      <c r="F58" s="216"/>
      <c r="G58" s="216"/>
      <c r="H58" s="131"/>
      <c r="I58" s="219">
        <f t="shared" si="0"/>
        <v>16290350.629999995</v>
      </c>
      <c r="J58" s="219">
        <f t="shared" si="1"/>
        <v>0</v>
      </c>
      <c r="K58" s="219">
        <f t="shared" si="2"/>
        <v>0</v>
      </c>
      <c r="L58" s="232">
        <f t="shared" si="3"/>
        <v>0</v>
      </c>
      <c r="M58" s="219">
        <f t="shared" si="4"/>
        <v>0</v>
      </c>
      <c r="N58" s="219">
        <f t="shared" si="5"/>
        <v>0</v>
      </c>
      <c r="O58" s="219">
        <f t="shared" si="6"/>
        <v>0</v>
      </c>
      <c r="P58" s="219">
        <f t="shared" si="7"/>
        <v>0</v>
      </c>
      <c r="Q58" s="219">
        <f t="shared" si="8"/>
        <v>0</v>
      </c>
      <c r="R58" s="222">
        <v>16290350.629999995</v>
      </c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131"/>
    </row>
    <row r="59" spans="1:40" hidden="1" x14ac:dyDescent="0.25">
      <c r="A59" s="457" t="s">
        <v>341</v>
      </c>
      <c r="B59" s="224" t="s">
        <v>386</v>
      </c>
      <c r="C59" s="224" t="s">
        <v>387</v>
      </c>
      <c r="D59" s="131" t="s">
        <v>412</v>
      </c>
      <c r="E59" s="131" t="s">
        <v>389</v>
      </c>
      <c r="F59" s="216"/>
      <c r="G59" s="216"/>
      <c r="H59" s="131"/>
      <c r="I59" s="219">
        <f t="shared" si="0"/>
        <v>13742490.699999999</v>
      </c>
      <c r="J59" s="219">
        <f t="shared" si="1"/>
        <v>0</v>
      </c>
      <c r="K59" s="219">
        <f t="shared" si="2"/>
        <v>0</v>
      </c>
      <c r="L59" s="232">
        <f t="shared" si="3"/>
        <v>0</v>
      </c>
      <c r="M59" s="219">
        <f t="shared" si="4"/>
        <v>0</v>
      </c>
      <c r="N59" s="219">
        <f t="shared" si="5"/>
        <v>0</v>
      </c>
      <c r="O59" s="219">
        <f t="shared" si="6"/>
        <v>0</v>
      </c>
      <c r="P59" s="219">
        <f t="shared" si="7"/>
        <v>0</v>
      </c>
      <c r="Q59" s="219">
        <f t="shared" si="8"/>
        <v>0</v>
      </c>
      <c r="R59" s="222">
        <v>13742490.699999999</v>
      </c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131"/>
    </row>
    <row r="60" spans="1:40" hidden="1" x14ac:dyDescent="0.25">
      <c r="A60" s="457" t="s">
        <v>141</v>
      </c>
      <c r="B60" s="224" t="s">
        <v>386</v>
      </c>
      <c r="C60" s="224" t="s">
        <v>387</v>
      </c>
      <c r="D60" s="131" t="s">
        <v>412</v>
      </c>
      <c r="E60" s="131" t="s">
        <v>389</v>
      </c>
      <c r="F60" s="216"/>
      <c r="G60" s="216"/>
      <c r="H60" s="131"/>
      <c r="I60" s="219">
        <f t="shared" si="0"/>
        <v>8182930.8999999994</v>
      </c>
      <c r="J60" s="219">
        <f t="shared" si="1"/>
        <v>0</v>
      </c>
      <c r="K60" s="219">
        <f t="shared" si="2"/>
        <v>0</v>
      </c>
      <c r="L60" s="232">
        <f t="shared" si="3"/>
        <v>0</v>
      </c>
      <c r="M60" s="219">
        <f t="shared" si="4"/>
        <v>0</v>
      </c>
      <c r="N60" s="219">
        <f t="shared" si="5"/>
        <v>0</v>
      </c>
      <c r="O60" s="219">
        <f t="shared" si="6"/>
        <v>0</v>
      </c>
      <c r="P60" s="219">
        <f t="shared" si="7"/>
        <v>0</v>
      </c>
      <c r="Q60" s="219">
        <f t="shared" si="8"/>
        <v>0</v>
      </c>
      <c r="R60" s="222">
        <v>8182930.8999999994</v>
      </c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131"/>
    </row>
    <row r="61" spans="1:40" hidden="1" x14ac:dyDescent="0.25">
      <c r="A61" s="457" t="s">
        <v>87</v>
      </c>
      <c r="B61" s="224" t="s">
        <v>386</v>
      </c>
      <c r="C61" s="224" t="s">
        <v>387</v>
      </c>
      <c r="D61" s="131" t="s">
        <v>412</v>
      </c>
      <c r="E61" s="131" t="s">
        <v>424</v>
      </c>
      <c r="F61" s="216"/>
      <c r="G61" s="216"/>
      <c r="H61" s="131"/>
      <c r="I61" s="219">
        <f t="shared" si="0"/>
        <v>1212322.8800000001</v>
      </c>
      <c r="J61" s="219">
        <f t="shared" si="1"/>
        <v>0</v>
      </c>
      <c r="K61" s="219">
        <f t="shared" si="2"/>
        <v>0</v>
      </c>
      <c r="L61" s="232">
        <f t="shared" si="3"/>
        <v>0</v>
      </c>
      <c r="M61" s="219">
        <f t="shared" si="4"/>
        <v>0</v>
      </c>
      <c r="N61" s="219">
        <f t="shared" si="5"/>
        <v>0</v>
      </c>
      <c r="O61" s="219">
        <f t="shared" si="6"/>
        <v>0</v>
      </c>
      <c r="P61" s="219">
        <f t="shared" si="7"/>
        <v>0</v>
      </c>
      <c r="Q61" s="219">
        <f t="shared" si="8"/>
        <v>0</v>
      </c>
      <c r="R61" s="222">
        <v>1212322.8800000001</v>
      </c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131"/>
    </row>
    <row r="62" spans="1:40" hidden="1" x14ac:dyDescent="0.25">
      <c r="A62" s="457" t="s">
        <v>155</v>
      </c>
      <c r="B62" s="224" t="s">
        <v>386</v>
      </c>
      <c r="C62" s="224" t="s">
        <v>387</v>
      </c>
      <c r="D62" s="131" t="s">
        <v>412</v>
      </c>
      <c r="E62" s="131" t="s">
        <v>389</v>
      </c>
      <c r="F62" s="216"/>
      <c r="G62" s="216"/>
      <c r="H62" s="131"/>
      <c r="I62" s="219">
        <f t="shared" si="0"/>
        <v>3727231.73</v>
      </c>
      <c r="J62" s="219">
        <f t="shared" si="1"/>
        <v>0</v>
      </c>
      <c r="K62" s="219">
        <f t="shared" si="2"/>
        <v>0</v>
      </c>
      <c r="L62" s="232">
        <f t="shared" si="3"/>
        <v>0</v>
      </c>
      <c r="M62" s="219">
        <f t="shared" si="4"/>
        <v>0</v>
      </c>
      <c r="N62" s="219">
        <f t="shared" si="5"/>
        <v>0</v>
      </c>
      <c r="O62" s="219">
        <f t="shared" si="6"/>
        <v>0</v>
      </c>
      <c r="P62" s="219">
        <f t="shared" si="7"/>
        <v>0</v>
      </c>
      <c r="Q62" s="219">
        <f t="shared" si="8"/>
        <v>0</v>
      </c>
      <c r="R62" s="222">
        <v>3727231.73</v>
      </c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131"/>
    </row>
    <row r="63" spans="1:40" hidden="1" x14ac:dyDescent="0.25">
      <c r="A63" s="457" t="s">
        <v>48</v>
      </c>
      <c r="B63" s="224" t="s">
        <v>386</v>
      </c>
      <c r="C63" s="224" t="s">
        <v>387</v>
      </c>
      <c r="D63" s="131" t="s">
        <v>412</v>
      </c>
      <c r="E63" s="131" t="s">
        <v>422</v>
      </c>
      <c r="F63" s="216"/>
      <c r="G63" s="216"/>
      <c r="H63" s="131"/>
      <c r="I63" s="219">
        <f t="shared" si="0"/>
        <v>1282400.56</v>
      </c>
      <c r="J63" s="219">
        <f t="shared" si="1"/>
        <v>0</v>
      </c>
      <c r="K63" s="219">
        <f t="shared" si="2"/>
        <v>0</v>
      </c>
      <c r="L63" s="232">
        <f t="shared" si="3"/>
        <v>0</v>
      </c>
      <c r="M63" s="219">
        <f t="shared" si="4"/>
        <v>0</v>
      </c>
      <c r="N63" s="219">
        <f t="shared" si="5"/>
        <v>0</v>
      </c>
      <c r="O63" s="219">
        <f t="shared" si="6"/>
        <v>0</v>
      </c>
      <c r="P63" s="219">
        <f t="shared" si="7"/>
        <v>0</v>
      </c>
      <c r="Q63" s="219">
        <f t="shared" si="8"/>
        <v>0</v>
      </c>
      <c r="R63" s="222">
        <v>1282400.56</v>
      </c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131"/>
    </row>
    <row r="64" spans="1:40" hidden="1" x14ac:dyDescent="0.25">
      <c r="A64" s="457" t="s">
        <v>48</v>
      </c>
      <c r="B64" s="224" t="s">
        <v>386</v>
      </c>
      <c r="C64" s="224" t="s">
        <v>387</v>
      </c>
      <c r="D64" s="131" t="s">
        <v>412</v>
      </c>
      <c r="E64" s="131" t="s">
        <v>423</v>
      </c>
      <c r="F64" s="216"/>
      <c r="G64" s="216"/>
      <c r="H64" s="131"/>
      <c r="I64" s="219">
        <f t="shared" si="0"/>
        <v>551136.82000000007</v>
      </c>
      <c r="J64" s="219">
        <f t="shared" si="1"/>
        <v>0</v>
      </c>
      <c r="K64" s="219">
        <f t="shared" si="2"/>
        <v>0</v>
      </c>
      <c r="L64" s="232">
        <f t="shared" si="3"/>
        <v>0</v>
      </c>
      <c r="M64" s="219">
        <f t="shared" si="4"/>
        <v>0</v>
      </c>
      <c r="N64" s="219">
        <f t="shared" si="5"/>
        <v>0</v>
      </c>
      <c r="O64" s="219">
        <f t="shared" si="6"/>
        <v>0</v>
      </c>
      <c r="P64" s="219">
        <f t="shared" si="7"/>
        <v>0</v>
      </c>
      <c r="Q64" s="219">
        <f t="shared" si="8"/>
        <v>0</v>
      </c>
      <c r="R64" s="222">
        <v>551136.82000000007</v>
      </c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131"/>
    </row>
    <row r="65" spans="1:40" hidden="1" x14ac:dyDescent="0.25">
      <c r="A65" s="457" t="s">
        <v>148</v>
      </c>
      <c r="B65" s="224" t="s">
        <v>386</v>
      </c>
      <c r="C65" s="224" t="s">
        <v>387</v>
      </c>
      <c r="D65" s="131" t="s">
        <v>412</v>
      </c>
      <c r="E65" s="131" t="s">
        <v>389</v>
      </c>
      <c r="F65" s="216"/>
      <c r="G65" s="216"/>
      <c r="H65" s="131"/>
      <c r="I65" s="219">
        <f t="shared" si="0"/>
        <v>526862.52</v>
      </c>
      <c r="J65" s="219">
        <f t="shared" si="1"/>
        <v>0</v>
      </c>
      <c r="K65" s="219">
        <f t="shared" si="2"/>
        <v>0</v>
      </c>
      <c r="L65" s="232">
        <f t="shared" si="3"/>
        <v>0</v>
      </c>
      <c r="M65" s="219">
        <f t="shared" si="4"/>
        <v>0</v>
      </c>
      <c r="N65" s="219">
        <f t="shared" si="5"/>
        <v>0</v>
      </c>
      <c r="O65" s="219">
        <f t="shared" si="6"/>
        <v>0</v>
      </c>
      <c r="P65" s="219">
        <f t="shared" si="7"/>
        <v>0</v>
      </c>
      <c r="Q65" s="219">
        <f t="shared" si="8"/>
        <v>0</v>
      </c>
      <c r="R65" s="222">
        <v>526862.52</v>
      </c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131"/>
    </row>
    <row r="66" spans="1:40" hidden="1" x14ac:dyDescent="0.25">
      <c r="A66" s="457" t="s">
        <v>425</v>
      </c>
      <c r="B66" s="224" t="s">
        <v>386</v>
      </c>
      <c r="C66" s="224" t="s">
        <v>387</v>
      </c>
      <c r="D66" s="131" t="s">
        <v>412</v>
      </c>
      <c r="E66" s="131" t="s">
        <v>424</v>
      </c>
      <c r="F66" s="216"/>
      <c r="G66" s="216"/>
      <c r="H66" s="131"/>
      <c r="I66" s="219">
        <f t="shared" si="0"/>
        <v>6645557.3500000015</v>
      </c>
      <c r="J66" s="219">
        <f t="shared" si="1"/>
        <v>0</v>
      </c>
      <c r="K66" s="219">
        <f t="shared" si="2"/>
        <v>0</v>
      </c>
      <c r="L66" s="232">
        <f t="shared" si="3"/>
        <v>0</v>
      </c>
      <c r="M66" s="219">
        <f t="shared" si="4"/>
        <v>0</v>
      </c>
      <c r="N66" s="219">
        <f t="shared" si="5"/>
        <v>0</v>
      </c>
      <c r="O66" s="219">
        <f t="shared" si="6"/>
        <v>0</v>
      </c>
      <c r="P66" s="219">
        <f t="shared" si="7"/>
        <v>0</v>
      </c>
      <c r="Q66" s="219">
        <f t="shared" si="8"/>
        <v>0</v>
      </c>
      <c r="R66" s="222">
        <v>6645557.3500000015</v>
      </c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131"/>
    </row>
    <row r="67" spans="1:40" hidden="1" x14ac:dyDescent="0.25">
      <c r="A67" s="457" t="s">
        <v>56</v>
      </c>
      <c r="B67" s="224" t="s">
        <v>386</v>
      </c>
      <c r="C67" s="224" t="s">
        <v>387</v>
      </c>
      <c r="D67" s="131" t="s">
        <v>412</v>
      </c>
      <c r="E67" s="131" t="s">
        <v>426</v>
      </c>
      <c r="F67" s="228"/>
      <c r="G67" s="228"/>
      <c r="H67" s="229"/>
      <c r="I67" s="219">
        <f t="shared" si="0"/>
        <v>715825.47</v>
      </c>
      <c r="J67" s="219">
        <f t="shared" si="1"/>
        <v>0</v>
      </c>
      <c r="K67" s="219">
        <f t="shared" si="2"/>
        <v>0</v>
      </c>
      <c r="L67" s="232">
        <f t="shared" si="3"/>
        <v>0</v>
      </c>
      <c r="M67" s="219">
        <f t="shared" si="4"/>
        <v>0</v>
      </c>
      <c r="N67" s="219">
        <f t="shared" si="5"/>
        <v>0</v>
      </c>
      <c r="O67" s="219">
        <f t="shared" si="6"/>
        <v>0</v>
      </c>
      <c r="P67" s="219">
        <f t="shared" si="7"/>
        <v>0</v>
      </c>
      <c r="Q67" s="219">
        <f t="shared" si="8"/>
        <v>0</v>
      </c>
      <c r="R67" s="222">
        <v>715825.47</v>
      </c>
      <c r="S67" s="229"/>
      <c r="T67" s="229"/>
      <c r="U67" s="229"/>
      <c r="V67" s="229"/>
      <c r="W67" s="229"/>
      <c r="X67" s="229"/>
      <c r="Y67" s="229"/>
      <c r="Z67" s="229"/>
      <c r="AA67" s="229"/>
      <c r="AB67" s="229"/>
      <c r="AC67" s="229"/>
      <c r="AD67" s="229"/>
      <c r="AE67" s="229"/>
      <c r="AF67" s="229"/>
      <c r="AG67" s="229"/>
      <c r="AH67" s="229"/>
      <c r="AI67" s="229"/>
      <c r="AJ67" s="229"/>
      <c r="AK67" s="229"/>
      <c r="AL67" s="229"/>
      <c r="AM67" s="229"/>
      <c r="AN67" s="229"/>
    </row>
    <row r="68" spans="1:40" hidden="1" x14ac:dyDescent="0.25">
      <c r="A68" s="457" t="s">
        <v>90</v>
      </c>
      <c r="B68" s="224" t="s">
        <v>386</v>
      </c>
      <c r="C68" s="224" t="s">
        <v>387</v>
      </c>
      <c r="D68" s="131" t="s">
        <v>412</v>
      </c>
      <c r="E68" s="131" t="s">
        <v>424</v>
      </c>
      <c r="F68" s="216"/>
      <c r="G68" s="216"/>
      <c r="H68" s="131"/>
      <c r="I68" s="219">
        <f t="shared" si="0"/>
        <v>2816299.63</v>
      </c>
      <c r="J68" s="219">
        <f t="shared" si="1"/>
        <v>0</v>
      </c>
      <c r="K68" s="219">
        <f t="shared" si="2"/>
        <v>0</v>
      </c>
      <c r="L68" s="232">
        <f t="shared" si="3"/>
        <v>0</v>
      </c>
      <c r="M68" s="219">
        <f t="shared" si="4"/>
        <v>0</v>
      </c>
      <c r="N68" s="219">
        <f t="shared" si="5"/>
        <v>0</v>
      </c>
      <c r="O68" s="219">
        <f t="shared" si="6"/>
        <v>0</v>
      </c>
      <c r="P68" s="219">
        <f t="shared" si="7"/>
        <v>0</v>
      </c>
      <c r="Q68" s="219">
        <f t="shared" si="8"/>
        <v>0</v>
      </c>
      <c r="R68" s="222">
        <v>2816299.63</v>
      </c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131"/>
    </row>
    <row r="69" spans="1:40" hidden="1" x14ac:dyDescent="0.25">
      <c r="A69" s="457" t="s">
        <v>20</v>
      </c>
      <c r="B69" s="224" t="s">
        <v>386</v>
      </c>
      <c r="C69" s="224" t="s">
        <v>387</v>
      </c>
      <c r="D69" s="131" t="s">
        <v>412</v>
      </c>
      <c r="E69" s="131" t="s">
        <v>389</v>
      </c>
      <c r="F69" s="216"/>
      <c r="G69" s="216"/>
      <c r="H69" s="131"/>
      <c r="I69" s="219">
        <f t="shared" ref="I69:I132" si="9">SUM(R69:S69)</f>
        <v>1402526.35</v>
      </c>
      <c r="J69" s="219">
        <f t="shared" ref="J69:J132" si="10">SUM(T69:V69)</f>
        <v>0</v>
      </c>
      <c r="K69" s="219">
        <f t="shared" ref="K69:K132" si="11">W69</f>
        <v>0</v>
      </c>
      <c r="L69" s="232">
        <f t="shared" ref="L69:L132" si="12">SUM(X69:AB69)</f>
        <v>0</v>
      </c>
      <c r="M69" s="219">
        <f t="shared" ref="M69:M132" si="13">SUM(AC69:AE69)</f>
        <v>0</v>
      </c>
      <c r="N69" s="219">
        <f t="shared" ref="N69:N132" si="14">AG69</f>
        <v>0</v>
      </c>
      <c r="O69" s="219">
        <f t="shared" ref="O69:O132" si="15">AH69</f>
        <v>0</v>
      </c>
      <c r="P69" s="219">
        <f t="shared" ref="P69:P132" si="16">SUM(AK69:AM69)</f>
        <v>0</v>
      </c>
      <c r="Q69" s="219">
        <f t="shared" ref="Q69:Q132" si="17">AN69</f>
        <v>0</v>
      </c>
      <c r="R69" s="222">
        <v>1402526.35</v>
      </c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131"/>
    </row>
    <row r="70" spans="1:40" hidden="1" x14ac:dyDescent="0.25">
      <c r="A70" s="457" t="s">
        <v>427</v>
      </c>
      <c r="B70" s="224" t="s">
        <v>386</v>
      </c>
      <c r="C70" s="224" t="s">
        <v>387</v>
      </c>
      <c r="D70" s="131" t="s">
        <v>412</v>
      </c>
      <c r="E70" s="131" t="s">
        <v>421</v>
      </c>
      <c r="F70" s="216"/>
      <c r="G70" s="216"/>
      <c r="H70" s="131"/>
      <c r="I70" s="219">
        <f t="shared" si="9"/>
        <v>342333.51999999996</v>
      </c>
      <c r="J70" s="219">
        <f t="shared" si="10"/>
        <v>0</v>
      </c>
      <c r="K70" s="219">
        <f t="shared" si="11"/>
        <v>0</v>
      </c>
      <c r="L70" s="232">
        <f t="shared" si="12"/>
        <v>0</v>
      </c>
      <c r="M70" s="219">
        <f t="shared" si="13"/>
        <v>0</v>
      </c>
      <c r="N70" s="219">
        <f t="shared" si="14"/>
        <v>0</v>
      </c>
      <c r="O70" s="219">
        <f t="shared" si="15"/>
        <v>0</v>
      </c>
      <c r="P70" s="219">
        <f t="shared" si="16"/>
        <v>0</v>
      </c>
      <c r="Q70" s="219">
        <f t="shared" si="17"/>
        <v>0</v>
      </c>
      <c r="R70" s="222">
        <v>342333.51999999996</v>
      </c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131"/>
    </row>
    <row r="71" spans="1:40" hidden="1" x14ac:dyDescent="0.25">
      <c r="A71" s="457" t="s">
        <v>37</v>
      </c>
      <c r="B71" s="224" t="s">
        <v>386</v>
      </c>
      <c r="C71" s="224" t="s">
        <v>387</v>
      </c>
      <c r="D71" s="131" t="s">
        <v>412</v>
      </c>
      <c r="E71" s="131" t="s">
        <v>351</v>
      </c>
      <c r="F71" s="216"/>
      <c r="G71" s="216"/>
      <c r="H71" s="131"/>
      <c r="I71" s="219">
        <f t="shared" si="9"/>
        <v>3642683.080000001</v>
      </c>
      <c r="J71" s="219">
        <f t="shared" si="10"/>
        <v>0</v>
      </c>
      <c r="K71" s="219">
        <f t="shared" si="11"/>
        <v>0</v>
      </c>
      <c r="L71" s="232">
        <f t="shared" si="12"/>
        <v>0</v>
      </c>
      <c r="M71" s="219">
        <f t="shared" si="13"/>
        <v>0</v>
      </c>
      <c r="N71" s="219">
        <f t="shared" si="14"/>
        <v>0</v>
      </c>
      <c r="O71" s="219">
        <f t="shared" si="15"/>
        <v>0</v>
      </c>
      <c r="P71" s="219">
        <f t="shared" si="16"/>
        <v>0</v>
      </c>
      <c r="Q71" s="219">
        <f t="shared" si="17"/>
        <v>0</v>
      </c>
      <c r="R71" s="222">
        <v>3642683.080000001</v>
      </c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</row>
    <row r="72" spans="1:40" hidden="1" x14ac:dyDescent="0.25">
      <c r="A72" s="457" t="s">
        <v>344</v>
      </c>
      <c r="B72" s="224" t="s">
        <v>386</v>
      </c>
      <c r="C72" s="224" t="s">
        <v>387</v>
      </c>
      <c r="D72" s="131" t="s">
        <v>412</v>
      </c>
      <c r="E72" s="131" t="s">
        <v>428</v>
      </c>
      <c r="F72" s="216"/>
      <c r="G72" s="216"/>
      <c r="H72" s="131"/>
      <c r="I72" s="219">
        <f t="shared" si="9"/>
        <v>16476732.709999997</v>
      </c>
      <c r="J72" s="219">
        <f t="shared" si="10"/>
        <v>0</v>
      </c>
      <c r="K72" s="219">
        <f t="shared" si="11"/>
        <v>0</v>
      </c>
      <c r="L72" s="232">
        <f t="shared" si="12"/>
        <v>0</v>
      </c>
      <c r="M72" s="219">
        <f t="shared" si="13"/>
        <v>0</v>
      </c>
      <c r="N72" s="219">
        <f t="shared" si="14"/>
        <v>0</v>
      </c>
      <c r="O72" s="219">
        <f t="shared" si="15"/>
        <v>0</v>
      </c>
      <c r="P72" s="219">
        <f t="shared" si="16"/>
        <v>0</v>
      </c>
      <c r="Q72" s="219">
        <f t="shared" si="17"/>
        <v>0</v>
      </c>
      <c r="R72" s="222">
        <v>16476732.709999997</v>
      </c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</row>
    <row r="73" spans="1:40" hidden="1" x14ac:dyDescent="0.25">
      <c r="A73" s="457" t="s">
        <v>25</v>
      </c>
      <c r="B73" s="224" t="s">
        <v>386</v>
      </c>
      <c r="C73" s="224" t="s">
        <v>387</v>
      </c>
      <c r="D73" s="131" t="s">
        <v>412</v>
      </c>
      <c r="E73" s="131" t="s">
        <v>389</v>
      </c>
      <c r="F73" s="216"/>
      <c r="G73" s="216"/>
      <c r="H73" s="131"/>
      <c r="I73" s="219">
        <f t="shared" si="9"/>
        <v>1067159.2200000002</v>
      </c>
      <c r="J73" s="219">
        <f t="shared" si="10"/>
        <v>0</v>
      </c>
      <c r="K73" s="219">
        <f t="shared" si="11"/>
        <v>0</v>
      </c>
      <c r="L73" s="232">
        <f t="shared" si="12"/>
        <v>0</v>
      </c>
      <c r="M73" s="219">
        <f t="shared" si="13"/>
        <v>0</v>
      </c>
      <c r="N73" s="219">
        <f t="shared" si="14"/>
        <v>0</v>
      </c>
      <c r="O73" s="219">
        <f t="shared" si="15"/>
        <v>0</v>
      </c>
      <c r="P73" s="219">
        <f t="shared" si="16"/>
        <v>0</v>
      </c>
      <c r="Q73" s="219">
        <f t="shared" si="17"/>
        <v>0</v>
      </c>
      <c r="R73" s="222">
        <v>1067159.2200000002</v>
      </c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</row>
    <row r="74" spans="1:40" hidden="1" x14ac:dyDescent="0.25">
      <c r="A74" s="457" t="s">
        <v>42</v>
      </c>
      <c r="B74" s="224" t="s">
        <v>386</v>
      </c>
      <c r="C74" s="224" t="s">
        <v>387</v>
      </c>
      <c r="D74" s="131" t="s">
        <v>412</v>
      </c>
      <c r="E74" s="131" t="s">
        <v>429</v>
      </c>
      <c r="F74" s="216"/>
      <c r="G74" s="216"/>
      <c r="H74" s="131"/>
      <c r="I74" s="219">
        <f t="shared" si="9"/>
        <v>497928.88</v>
      </c>
      <c r="J74" s="219">
        <f t="shared" si="10"/>
        <v>0</v>
      </c>
      <c r="K74" s="219">
        <f t="shared" si="11"/>
        <v>0</v>
      </c>
      <c r="L74" s="232">
        <f t="shared" si="12"/>
        <v>0</v>
      </c>
      <c r="M74" s="219">
        <f t="shared" si="13"/>
        <v>0</v>
      </c>
      <c r="N74" s="219">
        <f t="shared" si="14"/>
        <v>0</v>
      </c>
      <c r="O74" s="219">
        <f t="shared" si="15"/>
        <v>0</v>
      </c>
      <c r="P74" s="219">
        <f t="shared" si="16"/>
        <v>0</v>
      </c>
      <c r="Q74" s="219">
        <f t="shared" si="17"/>
        <v>0</v>
      </c>
      <c r="R74" s="222">
        <v>497928.88</v>
      </c>
      <c r="S74" s="225"/>
      <c r="T74" s="225"/>
      <c r="U74" s="225"/>
      <c r="V74" s="225"/>
      <c r="W74" s="225"/>
      <c r="X74" s="225"/>
      <c r="Y74" s="225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  <c r="AJ74" s="225"/>
      <c r="AK74" s="225"/>
      <c r="AL74" s="225"/>
      <c r="AM74" s="225"/>
      <c r="AN74" s="131"/>
    </row>
    <row r="75" spans="1:40" hidden="1" x14ac:dyDescent="0.25">
      <c r="A75" s="457" t="s">
        <v>54</v>
      </c>
      <c r="B75" s="224" t="s">
        <v>386</v>
      </c>
      <c r="C75" s="224" t="s">
        <v>387</v>
      </c>
      <c r="D75" s="131" t="s">
        <v>412</v>
      </c>
      <c r="E75" s="131" t="s">
        <v>426</v>
      </c>
      <c r="F75" s="216"/>
      <c r="G75" s="216"/>
      <c r="H75" s="131"/>
      <c r="I75" s="219">
        <f t="shared" si="9"/>
        <v>217936.43</v>
      </c>
      <c r="J75" s="219">
        <f t="shared" si="10"/>
        <v>0</v>
      </c>
      <c r="K75" s="219">
        <f t="shared" si="11"/>
        <v>0</v>
      </c>
      <c r="L75" s="232">
        <f t="shared" si="12"/>
        <v>0</v>
      </c>
      <c r="M75" s="219">
        <f t="shared" si="13"/>
        <v>0</v>
      </c>
      <c r="N75" s="219">
        <f t="shared" si="14"/>
        <v>0</v>
      </c>
      <c r="O75" s="219">
        <f t="shared" si="15"/>
        <v>0</v>
      </c>
      <c r="P75" s="219">
        <f t="shared" si="16"/>
        <v>0</v>
      </c>
      <c r="Q75" s="219">
        <f t="shared" si="17"/>
        <v>0</v>
      </c>
      <c r="R75" s="222">
        <v>217936.43</v>
      </c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</row>
    <row r="76" spans="1:40" hidden="1" x14ac:dyDescent="0.25">
      <c r="A76" s="457" t="s">
        <v>173</v>
      </c>
      <c r="B76" s="224" t="s">
        <v>386</v>
      </c>
      <c r="C76" s="224" t="s">
        <v>387</v>
      </c>
      <c r="D76" s="131" t="s">
        <v>412</v>
      </c>
      <c r="E76" s="131" t="s">
        <v>419</v>
      </c>
      <c r="F76" s="216"/>
      <c r="G76" s="216"/>
      <c r="H76" s="131"/>
      <c r="I76" s="219">
        <f t="shared" si="9"/>
        <v>18206006.04000001</v>
      </c>
      <c r="J76" s="219">
        <f t="shared" si="10"/>
        <v>0</v>
      </c>
      <c r="K76" s="219">
        <f t="shared" si="11"/>
        <v>0</v>
      </c>
      <c r="L76" s="232">
        <f t="shared" si="12"/>
        <v>0</v>
      </c>
      <c r="M76" s="219">
        <f t="shared" si="13"/>
        <v>0</v>
      </c>
      <c r="N76" s="219">
        <f t="shared" si="14"/>
        <v>0</v>
      </c>
      <c r="O76" s="219">
        <f t="shared" si="15"/>
        <v>0</v>
      </c>
      <c r="P76" s="219">
        <f t="shared" si="16"/>
        <v>0</v>
      </c>
      <c r="Q76" s="219">
        <f t="shared" si="17"/>
        <v>0</v>
      </c>
      <c r="R76" s="222">
        <v>18206006.04000001</v>
      </c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</row>
    <row r="77" spans="1:40" hidden="1" x14ac:dyDescent="0.25">
      <c r="A77" s="457" t="s">
        <v>173</v>
      </c>
      <c r="B77" s="224" t="s">
        <v>386</v>
      </c>
      <c r="C77" s="224" t="s">
        <v>387</v>
      </c>
      <c r="D77" s="131" t="s">
        <v>412</v>
      </c>
      <c r="E77" s="131" t="s">
        <v>389</v>
      </c>
      <c r="F77" s="216"/>
      <c r="G77" s="216"/>
      <c r="H77" s="131"/>
      <c r="I77" s="219">
        <f t="shared" si="9"/>
        <v>22305574.450000003</v>
      </c>
      <c r="J77" s="219">
        <f t="shared" si="10"/>
        <v>0</v>
      </c>
      <c r="K77" s="219">
        <f t="shared" si="11"/>
        <v>0</v>
      </c>
      <c r="L77" s="232">
        <f t="shared" si="12"/>
        <v>0</v>
      </c>
      <c r="M77" s="219">
        <f t="shared" si="13"/>
        <v>0</v>
      </c>
      <c r="N77" s="219">
        <f t="shared" si="14"/>
        <v>0</v>
      </c>
      <c r="O77" s="219">
        <f t="shared" si="15"/>
        <v>0</v>
      </c>
      <c r="P77" s="219">
        <f t="shared" si="16"/>
        <v>0</v>
      </c>
      <c r="Q77" s="219">
        <f t="shared" si="17"/>
        <v>0</v>
      </c>
      <c r="R77" s="222">
        <v>22305574.450000003</v>
      </c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</row>
    <row r="78" spans="1:40" hidden="1" x14ac:dyDescent="0.25">
      <c r="A78" s="457" t="s">
        <v>180</v>
      </c>
      <c r="B78" s="224" t="s">
        <v>386</v>
      </c>
      <c r="C78" s="224" t="s">
        <v>387</v>
      </c>
      <c r="D78" s="131" t="s">
        <v>412</v>
      </c>
      <c r="E78" s="131" t="s">
        <v>419</v>
      </c>
      <c r="F78" s="216"/>
      <c r="G78" s="216"/>
      <c r="H78" s="131"/>
      <c r="I78" s="219">
        <f t="shared" si="9"/>
        <v>148303293.16999984</v>
      </c>
      <c r="J78" s="219">
        <f t="shared" si="10"/>
        <v>0</v>
      </c>
      <c r="K78" s="219">
        <f t="shared" si="11"/>
        <v>0</v>
      </c>
      <c r="L78" s="232">
        <f t="shared" si="12"/>
        <v>0</v>
      </c>
      <c r="M78" s="219">
        <f t="shared" si="13"/>
        <v>0</v>
      </c>
      <c r="N78" s="219">
        <f t="shared" si="14"/>
        <v>0</v>
      </c>
      <c r="O78" s="219">
        <f t="shared" si="15"/>
        <v>0</v>
      </c>
      <c r="P78" s="219">
        <f t="shared" si="16"/>
        <v>0</v>
      </c>
      <c r="Q78" s="219">
        <f t="shared" si="17"/>
        <v>0</v>
      </c>
      <c r="R78" s="222">
        <v>148303293.16999984</v>
      </c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</row>
    <row r="79" spans="1:40" hidden="1" x14ac:dyDescent="0.25">
      <c r="A79" s="457" t="s">
        <v>111</v>
      </c>
      <c r="B79" s="224" t="s">
        <v>386</v>
      </c>
      <c r="C79" s="224" t="s">
        <v>387</v>
      </c>
      <c r="D79" s="131" t="s">
        <v>412</v>
      </c>
      <c r="E79" s="131" t="s">
        <v>360</v>
      </c>
      <c r="F79" s="216"/>
      <c r="G79" s="216"/>
      <c r="H79" s="131"/>
      <c r="I79" s="219">
        <f t="shared" si="9"/>
        <v>18010939.100000005</v>
      </c>
      <c r="J79" s="219">
        <f t="shared" si="10"/>
        <v>0</v>
      </c>
      <c r="K79" s="219">
        <f t="shared" si="11"/>
        <v>0</v>
      </c>
      <c r="L79" s="232">
        <f t="shared" si="12"/>
        <v>0</v>
      </c>
      <c r="M79" s="219">
        <f t="shared" si="13"/>
        <v>0</v>
      </c>
      <c r="N79" s="219">
        <f t="shared" si="14"/>
        <v>0</v>
      </c>
      <c r="O79" s="219">
        <f t="shared" si="15"/>
        <v>0</v>
      </c>
      <c r="P79" s="219">
        <f t="shared" si="16"/>
        <v>0</v>
      </c>
      <c r="Q79" s="219">
        <f t="shared" si="17"/>
        <v>0</v>
      </c>
      <c r="R79" s="222">
        <v>18010939.100000005</v>
      </c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</row>
    <row r="80" spans="1:40" hidden="1" x14ac:dyDescent="0.25">
      <c r="A80" s="457" t="s">
        <v>345</v>
      </c>
      <c r="B80" s="224" t="s">
        <v>386</v>
      </c>
      <c r="C80" s="224" t="s">
        <v>387</v>
      </c>
      <c r="D80" s="131" t="s">
        <v>412</v>
      </c>
      <c r="E80" s="131" t="s">
        <v>351</v>
      </c>
      <c r="F80" s="216"/>
      <c r="G80" s="216"/>
      <c r="H80" s="131"/>
      <c r="I80" s="219">
        <f t="shared" si="9"/>
        <v>8843623.5500000007</v>
      </c>
      <c r="J80" s="219">
        <f t="shared" si="10"/>
        <v>0</v>
      </c>
      <c r="K80" s="219">
        <f t="shared" si="11"/>
        <v>0</v>
      </c>
      <c r="L80" s="232">
        <f t="shared" si="12"/>
        <v>0</v>
      </c>
      <c r="M80" s="219">
        <f t="shared" si="13"/>
        <v>0</v>
      </c>
      <c r="N80" s="219">
        <f t="shared" si="14"/>
        <v>0</v>
      </c>
      <c r="O80" s="219">
        <f t="shared" si="15"/>
        <v>0</v>
      </c>
      <c r="P80" s="219">
        <f t="shared" si="16"/>
        <v>0</v>
      </c>
      <c r="Q80" s="219">
        <f t="shared" si="17"/>
        <v>0</v>
      </c>
      <c r="R80" s="222">
        <v>8843623.5500000007</v>
      </c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</row>
    <row r="81" spans="1:40" hidden="1" x14ac:dyDescent="0.25">
      <c r="A81" s="457" t="s">
        <v>150</v>
      </c>
      <c r="B81" s="224" t="s">
        <v>386</v>
      </c>
      <c r="C81" s="224" t="s">
        <v>387</v>
      </c>
      <c r="D81" s="131" t="s">
        <v>412</v>
      </c>
      <c r="E81" s="131" t="s">
        <v>389</v>
      </c>
      <c r="F81" s="216"/>
      <c r="G81" s="216"/>
      <c r="H81" s="131"/>
      <c r="I81" s="219">
        <f t="shared" si="9"/>
        <v>4388912.41</v>
      </c>
      <c r="J81" s="219">
        <f t="shared" si="10"/>
        <v>0</v>
      </c>
      <c r="K81" s="219">
        <f t="shared" si="11"/>
        <v>0</v>
      </c>
      <c r="L81" s="232">
        <f t="shared" si="12"/>
        <v>0</v>
      </c>
      <c r="M81" s="219">
        <f t="shared" si="13"/>
        <v>0</v>
      </c>
      <c r="N81" s="219">
        <f t="shared" si="14"/>
        <v>0</v>
      </c>
      <c r="O81" s="219">
        <f t="shared" si="15"/>
        <v>0</v>
      </c>
      <c r="P81" s="219">
        <f t="shared" si="16"/>
        <v>0</v>
      </c>
      <c r="Q81" s="219">
        <f t="shared" si="17"/>
        <v>0</v>
      </c>
      <c r="R81" s="222">
        <v>4388912.41</v>
      </c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</row>
    <row r="82" spans="1:40" hidden="1" x14ac:dyDescent="0.25">
      <c r="A82" s="457" t="s">
        <v>333</v>
      </c>
      <c r="B82" s="224" t="s">
        <v>386</v>
      </c>
      <c r="C82" s="224" t="s">
        <v>387</v>
      </c>
      <c r="D82" s="131" t="s">
        <v>412</v>
      </c>
      <c r="E82" s="131" t="s">
        <v>389</v>
      </c>
      <c r="F82" s="216"/>
      <c r="G82" s="216"/>
      <c r="H82" s="131"/>
      <c r="I82" s="219">
        <f t="shared" si="9"/>
        <v>16865038.440000001</v>
      </c>
      <c r="J82" s="219">
        <f t="shared" si="10"/>
        <v>0</v>
      </c>
      <c r="K82" s="219">
        <f t="shared" si="11"/>
        <v>0</v>
      </c>
      <c r="L82" s="232">
        <f t="shared" si="12"/>
        <v>0</v>
      </c>
      <c r="M82" s="219">
        <f t="shared" si="13"/>
        <v>0</v>
      </c>
      <c r="N82" s="219">
        <f t="shared" si="14"/>
        <v>0</v>
      </c>
      <c r="O82" s="219">
        <f t="shared" si="15"/>
        <v>0</v>
      </c>
      <c r="P82" s="219">
        <f t="shared" si="16"/>
        <v>0</v>
      </c>
      <c r="Q82" s="219">
        <f t="shared" si="17"/>
        <v>0</v>
      </c>
      <c r="R82" s="222">
        <v>16865038.440000001</v>
      </c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</row>
    <row r="83" spans="1:40" hidden="1" x14ac:dyDescent="0.25">
      <c r="A83" s="457" t="s">
        <v>35</v>
      </c>
      <c r="B83" s="224" t="s">
        <v>386</v>
      </c>
      <c r="C83" s="224" t="s">
        <v>387</v>
      </c>
      <c r="D83" s="131" t="s">
        <v>412</v>
      </c>
      <c r="E83" s="131" t="s">
        <v>351</v>
      </c>
      <c r="F83" s="216"/>
      <c r="G83" s="216"/>
      <c r="H83" s="131"/>
      <c r="I83" s="219">
        <f t="shared" si="9"/>
        <v>2126298.59</v>
      </c>
      <c r="J83" s="219">
        <f t="shared" si="10"/>
        <v>0</v>
      </c>
      <c r="K83" s="219">
        <f t="shared" si="11"/>
        <v>0</v>
      </c>
      <c r="L83" s="232">
        <f t="shared" si="12"/>
        <v>0</v>
      </c>
      <c r="M83" s="219">
        <f t="shared" si="13"/>
        <v>0</v>
      </c>
      <c r="N83" s="219">
        <f t="shared" si="14"/>
        <v>0</v>
      </c>
      <c r="O83" s="219">
        <f t="shared" si="15"/>
        <v>0</v>
      </c>
      <c r="P83" s="219">
        <f t="shared" si="16"/>
        <v>0</v>
      </c>
      <c r="Q83" s="219">
        <f t="shared" si="17"/>
        <v>0</v>
      </c>
      <c r="R83" s="222">
        <v>2126298.59</v>
      </c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</row>
    <row r="84" spans="1:40" hidden="1" x14ac:dyDescent="0.25">
      <c r="A84" s="457" t="s">
        <v>36</v>
      </c>
      <c r="B84" s="224" t="s">
        <v>386</v>
      </c>
      <c r="C84" s="224" t="s">
        <v>387</v>
      </c>
      <c r="D84" s="131" t="s">
        <v>412</v>
      </c>
      <c r="E84" s="131" t="s">
        <v>351</v>
      </c>
      <c r="F84" s="216"/>
      <c r="G84" s="216"/>
      <c r="H84" s="131"/>
      <c r="I84" s="219">
        <f t="shared" si="9"/>
        <v>2711752.3</v>
      </c>
      <c r="J84" s="219">
        <f t="shared" si="10"/>
        <v>0</v>
      </c>
      <c r="K84" s="219">
        <f t="shared" si="11"/>
        <v>0</v>
      </c>
      <c r="L84" s="232">
        <f t="shared" si="12"/>
        <v>0</v>
      </c>
      <c r="M84" s="219">
        <f t="shared" si="13"/>
        <v>0</v>
      </c>
      <c r="N84" s="219">
        <f t="shared" si="14"/>
        <v>0</v>
      </c>
      <c r="O84" s="219">
        <f t="shared" si="15"/>
        <v>0</v>
      </c>
      <c r="P84" s="219">
        <f t="shared" si="16"/>
        <v>0</v>
      </c>
      <c r="Q84" s="219">
        <f t="shared" si="17"/>
        <v>0</v>
      </c>
      <c r="R84" s="222">
        <v>2711752.3</v>
      </c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</row>
    <row r="85" spans="1:40" hidden="1" x14ac:dyDescent="0.25">
      <c r="A85" s="457" t="s">
        <v>127</v>
      </c>
      <c r="B85" s="224" t="s">
        <v>386</v>
      </c>
      <c r="C85" s="224" t="s">
        <v>387</v>
      </c>
      <c r="D85" s="131" t="s">
        <v>412</v>
      </c>
      <c r="E85" s="131" t="s">
        <v>355</v>
      </c>
      <c r="F85" s="216"/>
      <c r="G85" s="216"/>
      <c r="H85" s="131"/>
      <c r="I85" s="219">
        <f t="shared" si="9"/>
        <v>6187042.1399999997</v>
      </c>
      <c r="J85" s="219">
        <f t="shared" si="10"/>
        <v>0</v>
      </c>
      <c r="K85" s="219">
        <f t="shared" si="11"/>
        <v>0</v>
      </c>
      <c r="L85" s="232">
        <f t="shared" si="12"/>
        <v>0</v>
      </c>
      <c r="M85" s="219">
        <f t="shared" si="13"/>
        <v>0</v>
      </c>
      <c r="N85" s="219">
        <f t="shared" si="14"/>
        <v>0</v>
      </c>
      <c r="O85" s="219">
        <f t="shared" si="15"/>
        <v>0</v>
      </c>
      <c r="P85" s="219">
        <f t="shared" si="16"/>
        <v>0</v>
      </c>
      <c r="Q85" s="219">
        <f t="shared" si="17"/>
        <v>0</v>
      </c>
      <c r="R85" s="222">
        <v>6187042.1399999997</v>
      </c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</row>
    <row r="86" spans="1:40" hidden="1" x14ac:dyDescent="0.25">
      <c r="A86" s="457" t="s">
        <v>127</v>
      </c>
      <c r="B86" s="224" t="s">
        <v>386</v>
      </c>
      <c r="C86" s="224" t="s">
        <v>387</v>
      </c>
      <c r="D86" s="131" t="s">
        <v>412</v>
      </c>
      <c r="E86" s="131" t="s">
        <v>389</v>
      </c>
      <c r="F86" s="216"/>
      <c r="G86" s="216"/>
      <c r="H86" s="131"/>
      <c r="I86" s="219">
        <f t="shared" si="9"/>
        <v>6168560.4500000011</v>
      </c>
      <c r="J86" s="219">
        <f t="shared" si="10"/>
        <v>0</v>
      </c>
      <c r="K86" s="219">
        <f t="shared" si="11"/>
        <v>0</v>
      </c>
      <c r="L86" s="232">
        <f t="shared" si="12"/>
        <v>0</v>
      </c>
      <c r="M86" s="219">
        <f t="shared" si="13"/>
        <v>0</v>
      </c>
      <c r="N86" s="219">
        <f t="shared" si="14"/>
        <v>0</v>
      </c>
      <c r="O86" s="219">
        <f t="shared" si="15"/>
        <v>0</v>
      </c>
      <c r="P86" s="219">
        <f t="shared" si="16"/>
        <v>0</v>
      </c>
      <c r="Q86" s="219">
        <f t="shared" si="17"/>
        <v>0</v>
      </c>
      <c r="R86" s="222">
        <v>6168560.4500000011</v>
      </c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</row>
    <row r="87" spans="1:40" hidden="1" x14ac:dyDescent="0.25">
      <c r="A87" s="457" t="s">
        <v>123</v>
      </c>
      <c r="B87" s="224" t="s">
        <v>386</v>
      </c>
      <c r="C87" s="224" t="s">
        <v>387</v>
      </c>
      <c r="D87" s="131" t="s">
        <v>412</v>
      </c>
      <c r="E87" s="131" t="s">
        <v>430</v>
      </c>
      <c r="F87" s="216"/>
      <c r="G87" s="216"/>
      <c r="H87" s="131"/>
      <c r="I87" s="219">
        <f t="shared" si="9"/>
        <v>13379034.709999999</v>
      </c>
      <c r="J87" s="219">
        <f t="shared" si="10"/>
        <v>0</v>
      </c>
      <c r="K87" s="219">
        <f t="shared" si="11"/>
        <v>0</v>
      </c>
      <c r="L87" s="232">
        <f t="shared" si="12"/>
        <v>0</v>
      </c>
      <c r="M87" s="219">
        <f t="shared" si="13"/>
        <v>0</v>
      </c>
      <c r="N87" s="219">
        <f t="shared" si="14"/>
        <v>0</v>
      </c>
      <c r="O87" s="219">
        <f t="shared" si="15"/>
        <v>0</v>
      </c>
      <c r="P87" s="219">
        <f t="shared" si="16"/>
        <v>0</v>
      </c>
      <c r="Q87" s="219">
        <f t="shared" si="17"/>
        <v>0</v>
      </c>
      <c r="R87" s="222">
        <v>13379034.709999999</v>
      </c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</row>
    <row r="88" spans="1:40" hidden="1" x14ac:dyDescent="0.25">
      <c r="A88" s="457" t="s">
        <v>108</v>
      </c>
      <c r="B88" s="224" t="s">
        <v>386</v>
      </c>
      <c r="C88" s="224" t="s">
        <v>387</v>
      </c>
      <c r="D88" s="131" t="s">
        <v>412</v>
      </c>
      <c r="E88" s="131" t="s">
        <v>389</v>
      </c>
      <c r="F88" s="216"/>
      <c r="G88" s="216"/>
      <c r="H88" s="131"/>
      <c r="I88" s="219">
        <f t="shared" si="9"/>
        <v>2367448.2399999998</v>
      </c>
      <c r="J88" s="219">
        <f t="shared" si="10"/>
        <v>0</v>
      </c>
      <c r="K88" s="219">
        <f t="shared" si="11"/>
        <v>0</v>
      </c>
      <c r="L88" s="232">
        <f t="shared" si="12"/>
        <v>0</v>
      </c>
      <c r="M88" s="219">
        <f t="shared" si="13"/>
        <v>0</v>
      </c>
      <c r="N88" s="219">
        <f t="shared" si="14"/>
        <v>0</v>
      </c>
      <c r="O88" s="219">
        <f t="shared" si="15"/>
        <v>0</v>
      </c>
      <c r="P88" s="219">
        <f t="shared" si="16"/>
        <v>0</v>
      </c>
      <c r="Q88" s="219">
        <f t="shared" si="17"/>
        <v>0</v>
      </c>
      <c r="R88" s="222">
        <v>2367448.2399999998</v>
      </c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</row>
    <row r="89" spans="1:40" hidden="1" x14ac:dyDescent="0.25">
      <c r="A89" s="457" t="s">
        <v>145</v>
      </c>
      <c r="B89" s="224" t="s">
        <v>386</v>
      </c>
      <c r="C89" s="224" t="s">
        <v>387</v>
      </c>
      <c r="D89" s="131" t="s">
        <v>412</v>
      </c>
      <c r="E89" s="131" t="s">
        <v>389</v>
      </c>
      <c r="F89" s="216"/>
      <c r="G89" s="216"/>
      <c r="H89" s="131"/>
      <c r="I89" s="219">
        <f t="shared" si="9"/>
        <v>66978.100000000006</v>
      </c>
      <c r="J89" s="219">
        <f t="shared" si="10"/>
        <v>0</v>
      </c>
      <c r="K89" s="219">
        <f t="shared" si="11"/>
        <v>0</v>
      </c>
      <c r="L89" s="232">
        <f t="shared" si="12"/>
        <v>0</v>
      </c>
      <c r="M89" s="219">
        <f t="shared" si="13"/>
        <v>0</v>
      </c>
      <c r="N89" s="219">
        <f t="shared" si="14"/>
        <v>0</v>
      </c>
      <c r="O89" s="219">
        <f t="shared" si="15"/>
        <v>0</v>
      </c>
      <c r="P89" s="219">
        <f t="shared" si="16"/>
        <v>0</v>
      </c>
      <c r="Q89" s="219">
        <f t="shared" si="17"/>
        <v>0</v>
      </c>
      <c r="R89" s="222">
        <v>66978.100000000006</v>
      </c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</row>
    <row r="90" spans="1:40" hidden="1" x14ac:dyDescent="0.25">
      <c r="A90" s="457" t="s">
        <v>152</v>
      </c>
      <c r="B90" s="224" t="s">
        <v>386</v>
      </c>
      <c r="C90" s="224" t="s">
        <v>387</v>
      </c>
      <c r="D90" s="131" t="s">
        <v>412</v>
      </c>
      <c r="E90" s="131" t="s">
        <v>389</v>
      </c>
      <c r="F90" s="216"/>
      <c r="G90" s="216"/>
      <c r="H90" s="131"/>
      <c r="I90" s="219">
        <f t="shared" si="9"/>
        <v>1620898.1300000001</v>
      </c>
      <c r="J90" s="219">
        <f t="shared" si="10"/>
        <v>0</v>
      </c>
      <c r="K90" s="219">
        <f t="shared" si="11"/>
        <v>0</v>
      </c>
      <c r="L90" s="232">
        <f t="shared" si="12"/>
        <v>0</v>
      </c>
      <c r="M90" s="219">
        <f t="shared" si="13"/>
        <v>0</v>
      </c>
      <c r="N90" s="219">
        <f t="shared" si="14"/>
        <v>0</v>
      </c>
      <c r="O90" s="219">
        <f t="shared" si="15"/>
        <v>0</v>
      </c>
      <c r="P90" s="219">
        <f t="shared" si="16"/>
        <v>0</v>
      </c>
      <c r="Q90" s="219">
        <f t="shared" si="17"/>
        <v>0</v>
      </c>
      <c r="R90" s="222">
        <v>1620898.1300000001</v>
      </c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</row>
    <row r="91" spans="1:40" hidden="1" x14ac:dyDescent="0.25">
      <c r="A91" s="457" t="s">
        <v>102</v>
      </c>
      <c r="B91" s="224" t="s">
        <v>386</v>
      </c>
      <c r="C91" s="224" t="s">
        <v>387</v>
      </c>
      <c r="D91" s="131" t="s">
        <v>412</v>
      </c>
      <c r="E91" s="131" t="s">
        <v>360</v>
      </c>
      <c r="F91" s="216"/>
      <c r="G91" s="216"/>
      <c r="H91" s="131"/>
      <c r="I91" s="219">
        <f t="shared" si="9"/>
        <v>36021878.200000018</v>
      </c>
      <c r="J91" s="219">
        <f t="shared" si="10"/>
        <v>0</v>
      </c>
      <c r="K91" s="219">
        <f t="shared" si="11"/>
        <v>0</v>
      </c>
      <c r="L91" s="232">
        <f t="shared" si="12"/>
        <v>0</v>
      </c>
      <c r="M91" s="219">
        <f t="shared" si="13"/>
        <v>0</v>
      </c>
      <c r="N91" s="219">
        <f t="shared" si="14"/>
        <v>0</v>
      </c>
      <c r="O91" s="219">
        <f t="shared" si="15"/>
        <v>0</v>
      </c>
      <c r="P91" s="219">
        <f t="shared" si="16"/>
        <v>0</v>
      </c>
      <c r="Q91" s="219">
        <f t="shared" si="17"/>
        <v>0</v>
      </c>
      <c r="R91" s="222">
        <v>36021878.200000018</v>
      </c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</row>
    <row r="92" spans="1:40" hidden="1" x14ac:dyDescent="0.25">
      <c r="A92" s="457" t="s">
        <v>431</v>
      </c>
      <c r="B92" s="224" t="s">
        <v>386</v>
      </c>
      <c r="C92" s="224" t="s">
        <v>387</v>
      </c>
      <c r="D92" s="131" t="s">
        <v>412</v>
      </c>
      <c r="E92" s="131" t="s">
        <v>421</v>
      </c>
      <c r="F92" s="216"/>
      <c r="G92" s="216"/>
      <c r="H92" s="131"/>
      <c r="I92" s="219">
        <f t="shared" si="9"/>
        <v>132631.12</v>
      </c>
      <c r="J92" s="219">
        <f t="shared" si="10"/>
        <v>0</v>
      </c>
      <c r="K92" s="219">
        <f t="shared" si="11"/>
        <v>0</v>
      </c>
      <c r="L92" s="232">
        <f t="shared" si="12"/>
        <v>0</v>
      </c>
      <c r="M92" s="219">
        <f t="shared" si="13"/>
        <v>0</v>
      </c>
      <c r="N92" s="219">
        <f t="shared" si="14"/>
        <v>0</v>
      </c>
      <c r="O92" s="219">
        <f t="shared" si="15"/>
        <v>0</v>
      </c>
      <c r="P92" s="219">
        <f t="shared" si="16"/>
        <v>0</v>
      </c>
      <c r="Q92" s="219">
        <f t="shared" si="17"/>
        <v>0</v>
      </c>
      <c r="R92" s="222">
        <v>132631.12</v>
      </c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</row>
    <row r="93" spans="1:40" hidden="1" x14ac:dyDescent="0.25">
      <c r="A93" s="457" t="s">
        <v>38</v>
      </c>
      <c r="B93" s="224" t="s">
        <v>386</v>
      </c>
      <c r="C93" s="224" t="s">
        <v>387</v>
      </c>
      <c r="D93" s="131" t="s">
        <v>412</v>
      </c>
      <c r="E93" s="131" t="s">
        <v>351</v>
      </c>
      <c r="F93" s="216"/>
      <c r="G93" s="216"/>
      <c r="H93" s="131"/>
      <c r="I93" s="219">
        <f t="shared" si="9"/>
        <v>7241718.1199999992</v>
      </c>
      <c r="J93" s="219">
        <f t="shared" si="10"/>
        <v>0</v>
      </c>
      <c r="K93" s="219">
        <f t="shared" si="11"/>
        <v>0</v>
      </c>
      <c r="L93" s="232">
        <f t="shared" si="12"/>
        <v>0</v>
      </c>
      <c r="M93" s="219">
        <f t="shared" si="13"/>
        <v>0</v>
      </c>
      <c r="N93" s="219">
        <f t="shared" si="14"/>
        <v>0</v>
      </c>
      <c r="O93" s="219">
        <f t="shared" si="15"/>
        <v>0</v>
      </c>
      <c r="P93" s="219">
        <f t="shared" si="16"/>
        <v>0</v>
      </c>
      <c r="Q93" s="219">
        <f t="shared" si="17"/>
        <v>0</v>
      </c>
      <c r="R93" s="222">
        <v>7241718.1199999992</v>
      </c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</row>
    <row r="94" spans="1:40" hidden="1" x14ac:dyDescent="0.25">
      <c r="A94" s="457" t="s">
        <v>156</v>
      </c>
      <c r="B94" s="224" t="s">
        <v>386</v>
      </c>
      <c r="C94" s="224" t="s">
        <v>387</v>
      </c>
      <c r="D94" s="131" t="s">
        <v>412</v>
      </c>
      <c r="E94" s="131" t="s">
        <v>354</v>
      </c>
      <c r="F94" s="216"/>
      <c r="G94" s="216"/>
      <c r="H94" s="131"/>
      <c r="I94" s="219">
        <f t="shared" si="9"/>
        <v>2537846.2700000005</v>
      </c>
      <c r="J94" s="219">
        <f t="shared" si="10"/>
        <v>0</v>
      </c>
      <c r="K94" s="219">
        <f t="shared" si="11"/>
        <v>0</v>
      </c>
      <c r="L94" s="232">
        <f t="shared" si="12"/>
        <v>0</v>
      </c>
      <c r="M94" s="219">
        <f t="shared" si="13"/>
        <v>0</v>
      </c>
      <c r="N94" s="219">
        <f t="shared" si="14"/>
        <v>0</v>
      </c>
      <c r="O94" s="219">
        <f t="shared" si="15"/>
        <v>0</v>
      </c>
      <c r="P94" s="219">
        <f t="shared" si="16"/>
        <v>0</v>
      </c>
      <c r="Q94" s="219">
        <f t="shared" si="17"/>
        <v>0</v>
      </c>
      <c r="R94" s="222">
        <v>2537846.2700000005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</row>
    <row r="95" spans="1:40" hidden="1" x14ac:dyDescent="0.25">
      <c r="A95" s="457" t="s">
        <v>18</v>
      </c>
      <c r="B95" s="224" t="s">
        <v>386</v>
      </c>
      <c r="C95" s="224" t="s">
        <v>387</v>
      </c>
      <c r="D95" s="131" t="s">
        <v>412</v>
      </c>
      <c r="E95" s="131" t="s">
        <v>389</v>
      </c>
      <c r="F95" s="216"/>
      <c r="G95" s="216"/>
      <c r="H95" s="131"/>
      <c r="I95" s="219">
        <f t="shared" si="9"/>
        <v>1761030.05</v>
      </c>
      <c r="J95" s="219">
        <f t="shared" si="10"/>
        <v>0</v>
      </c>
      <c r="K95" s="219">
        <f t="shared" si="11"/>
        <v>0</v>
      </c>
      <c r="L95" s="232">
        <f t="shared" si="12"/>
        <v>0</v>
      </c>
      <c r="M95" s="219">
        <f t="shared" si="13"/>
        <v>0</v>
      </c>
      <c r="N95" s="219">
        <f t="shared" si="14"/>
        <v>0</v>
      </c>
      <c r="O95" s="219">
        <f t="shared" si="15"/>
        <v>0</v>
      </c>
      <c r="P95" s="219">
        <f t="shared" si="16"/>
        <v>0</v>
      </c>
      <c r="Q95" s="219">
        <f t="shared" si="17"/>
        <v>0</v>
      </c>
      <c r="R95" s="222">
        <v>1761030.05</v>
      </c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</row>
    <row r="96" spans="1:40" hidden="1" x14ac:dyDescent="0.25">
      <c r="A96" s="457" t="s">
        <v>105</v>
      </c>
      <c r="B96" s="224" t="s">
        <v>386</v>
      </c>
      <c r="C96" s="224" t="s">
        <v>387</v>
      </c>
      <c r="D96" s="131" t="s">
        <v>412</v>
      </c>
      <c r="E96" s="131" t="s">
        <v>389</v>
      </c>
      <c r="F96" s="216"/>
      <c r="G96" s="216"/>
      <c r="H96" s="131"/>
      <c r="I96" s="219">
        <f t="shared" si="9"/>
        <v>6875972.790000001</v>
      </c>
      <c r="J96" s="219">
        <f t="shared" si="10"/>
        <v>0</v>
      </c>
      <c r="K96" s="219">
        <f t="shared" si="11"/>
        <v>0</v>
      </c>
      <c r="L96" s="232">
        <f t="shared" si="12"/>
        <v>0</v>
      </c>
      <c r="M96" s="219">
        <f t="shared" si="13"/>
        <v>0</v>
      </c>
      <c r="N96" s="219">
        <f t="shared" si="14"/>
        <v>0</v>
      </c>
      <c r="O96" s="219">
        <f t="shared" si="15"/>
        <v>0</v>
      </c>
      <c r="P96" s="219">
        <f t="shared" si="16"/>
        <v>0</v>
      </c>
      <c r="Q96" s="219">
        <f t="shared" si="17"/>
        <v>0</v>
      </c>
      <c r="R96" s="222">
        <v>6875972.790000001</v>
      </c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</row>
    <row r="97" spans="1:40" hidden="1" x14ac:dyDescent="0.25">
      <c r="A97" s="457" t="s">
        <v>346</v>
      </c>
      <c r="B97" s="224" t="s">
        <v>386</v>
      </c>
      <c r="C97" s="224" t="s">
        <v>387</v>
      </c>
      <c r="D97" s="131" t="s">
        <v>412</v>
      </c>
      <c r="E97" s="131" t="s">
        <v>351</v>
      </c>
      <c r="F97" s="216"/>
      <c r="G97" s="216"/>
      <c r="H97" s="131"/>
      <c r="I97" s="219">
        <f t="shared" si="9"/>
        <v>166482.5</v>
      </c>
      <c r="J97" s="219">
        <f t="shared" si="10"/>
        <v>0</v>
      </c>
      <c r="K97" s="219">
        <f t="shared" si="11"/>
        <v>0</v>
      </c>
      <c r="L97" s="232">
        <f t="shared" si="12"/>
        <v>0</v>
      </c>
      <c r="M97" s="219">
        <f t="shared" si="13"/>
        <v>0</v>
      </c>
      <c r="N97" s="219">
        <f t="shared" si="14"/>
        <v>0</v>
      </c>
      <c r="O97" s="219">
        <f t="shared" si="15"/>
        <v>0</v>
      </c>
      <c r="P97" s="219">
        <f t="shared" si="16"/>
        <v>0</v>
      </c>
      <c r="Q97" s="219">
        <f t="shared" si="17"/>
        <v>0</v>
      </c>
      <c r="R97" s="222">
        <v>166482.5</v>
      </c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</row>
    <row r="98" spans="1:40" hidden="1" x14ac:dyDescent="0.25">
      <c r="A98" s="457" t="s">
        <v>154</v>
      </c>
      <c r="B98" s="224" t="s">
        <v>386</v>
      </c>
      <c r="C98" s="224" t="s">
        <v>387</v>
      </c>
      <c r="D98" s="131" t="s">
        <v>412</v>
      </c>
      <c r="E98" s="131" t="s">
        <v>389</v>
      </c>
      <c r="F98" s="216"/>
      <c r="G98" s="216"/>
      <c r="H98" s="131"/>
      <c r="I98" s="219">
        <f t="shared" si="9"/>
        <v>923748.45000000019</v>
      </c>
      <c r="J98" s="219">
        <f t="shared" si="10"/>
        <v>0</v>
      </c>
      <c r="K98" s="219">
        <f t="shared" si="11"/>
        <v>0</v>
      </c>
      <c r="L98" s="232">
        <f t="shared" si="12"/>
        <v>0</v>
      </c>
      <c r="M98" s="219">
        <f t="shared" si="13"/>
        <v>0</v>
      </c>
      <c r="N98" s="219">
        <f t="shared" si="14"/>
        <v>0</v>
      </c>
      <c r="O98" s="219">
        <f t="shared" si="15"/>
        <v>0</v>
      </c>
      <c r="P98" s="219">
        <f t="shared" si="16"/>
        <v>0</v>
      </c>
      <c r="Q98" s="219">
        <f t="shared" si="17"/>
        <v>0</v>
      </c>
      <c r="R98" s="222">
        <v>923748.45000000019</v>
      </c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</row>
    <row r="99" spans="1:40" hidden="1" x14ac:dyDescent="0.25">
      <c r="A99" s="457" t="s">
        <v>65</v>
      </c>
      <c r="B99" s="224" t="s">
        <v>386</v>
      </c>
      <c r="C99" s="224" t="s">
        <v>387</v>
      </c>
      <c r="D99" s="131" t="s">
        <v>412</v>
      </c>
      <c r="E99" s="131" t="s">
        <v>421</v>
      </c>
      <c r="F99" s="216"/>
      <c r="G99" s="216"/>
      <c r="H99" s="131"/>
      <c r="I99" s="219">
        <f t="shared" si="9"/>
        <v>915171.79</v>
      </c>
      <c r="J99" s="219">
        <f t="shared" si="10"/>
        <v>0</v>
      </c>
      <c r="K99" s="219">
        <f t="shared" si="11"/>
        <v>0</v>
      </c>
      <c r="L99" s="232">
        <f t="shared" si="12"/>
        <v>0</v>
      </c>
      <c r="M99" s="219">
        <f t="shared" si="13"/>
        <v>0</v>
      </c>
      <c r="N99" s="219">
        <f t="shared" si="14"/>
        <v>0</v>
      </c>
      <c r="O99" s="219">
        <f t="shared" si="15"/>
        <v>0</v>
      </c>
      <c r="P99" s="219">
        <f t="shared" si="16"/>
        <v>0</v>
      </c>
      <c r="Q99" s="219">
        <f t="shared" si="17"/>
        <v>0</v>
      </c>
      <c r="R99" s="222">
        <v>915171.79</v>
      </c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</row>
    <row r="100" spans="1:40" hidden="1" x14ac:dyDescent="0.25">
      <c r="A100" s="457" t="s">
        <v>432</v>
      </c>
      <c r="B100" s="224" t="s">
        <v>386</v>
      </c>
      <c r="C100" s="224" t="s">
        <v>387</v>
      </c>
      <c r="D100" s="131" t="s">
        <v>412</v>
      </c>
      <c r="E100" s="131" t="s">
        <v>419</v>
      </c>
      <c r="F100" s="216"/>
      <c r="G100" s="216"/>
      <c r="H100" s="131"/>
      <c r="I100" s="219">
        <f t="shared" si="9"/>
        <v>24173379.469999999</v>
      </c>
      <c r="J100" s="219">
        <f t="shared" si="10"/>
        <v>0</v>
      </c>
      <c r="K100" s="219">
        <f t="shared" si="11"/>
        <v>0</v>
      </c>
      <c r="L100" s="232">
        <f t="shared" si="12"/>
        <v>0</v>
      </c>
      <c r="M100" s="219">
        <f t="shared" si="13"/>
        <v>0</v>
      </c>
      <c r="N100" s="219">
        <f t="shared" si="14"/>
        <v>0</v>
      </c>
      <c r="O100" s="219">
        <f t="shared" si="15"/>
        <v>0</v>
      </c>
      <c r="P100" s="219">
        <f t="shared" si="16"/>
        <v>0</v>
      </c>
      <c r="Q100" s="219">
        <f t="shared" si="17"/>
        <v>0</v>
      </c>
      <c r="R100" s="222">
        <v>24173379.469999999</v>
      </c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</row>
    <row r="101" spans="1:40" hidden="1" x14ac:dyDescent="0.25">
      <c r="A101" s="457" t="s">
        <v>160</v>
      </c>
      <c r="B101" s="224" t="s">
        <v>386</v>
      </c>
      <c r="C101" s="224" t="s">
        <v>387</v>
      </c>
      <c r="D101" s="131" t="s">
        <v>412</v>
      </c>
      <c r="E101" s="131" t="s">
        <v>389</v>
      </c>
      <c r="F101" s="216"/>
      <c r="G101" s="216"/>
      <c r="H101" s="131"/>
      <c r="I101" s="219">
        <f t="shared" si="9"/>
        <v>3460921.04</v>
      </c>
      <c r="J101" s="219">
        <f t="shared" si="10"/>
        <v>0</v>
      </c>
      <c r="K101" s="219">
        <f t="shared" si="11"/>
        <v>0</v>
      </c>
      <c r="L101" s="232">
        <f t="shared" si="12"/>
        <v>0</v>
      </c>
      <c r="M101" s="219">
        <f t="shared" si="13"/>
        <v>0</v>
      </c>
      <c r="N101" s="219">
        <f t="shared" si="14"/>
        <v>0</v>
      </c>
      <c r="O101" s="219">
        <f t="shared" si="15"/>
        <v>0</v>
      </c>
      <c r="P101" s="219">
        <f t="shared" si="16"/>
        <v>0</v>
      </c>
      <c r="Q101" s="219">
        <f t="shared" si="17"/>
        <v>0</v>
      </c>
      <c r="R101" s="222">
        <v>3460921.04</v>
      </c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</row>
    <row r="102" spans="1:40" hidden="1" x14ac:dyDescent="0.25">
      <c r="A102" s="457" t="s">
        <v>151</v>
      </c>
      <c r="B102" s="224" t="s">
        <v>386</v>
      </c>
      <c r="C102" s="224" t="s">
        <v>387</v>
      </c>
      <c r="D102" s="131" t="s">
        <v>412</v>
      </c>
      <c r="E102" s="131" t="s">
        <v>389</v>
      </c>
      <c r="F102" s="216"/>
      <c r="G102" s="216"/>
      <c r="H102" s="131"/>
      <c r="I102" s="219">
        <f t="shared" si="9"/>
        <v>3728265.5200000005</v>
      </c>
      <c r="J102" s="219">
        <f t="shared" si="10"/>
        <v>0</v>
      </c>
      <c r="K102" s="219">
        <f t="shared" si="11"/>
        <v>0</v>
      </c>
      <c r="L102" s="232">
        <f t="shared" si="12"/>
        <v>0</v>
      </c>
      <c r="M102" s="219">
        <f t="shared" si="13"/>
        <v>0</v>
      </c>
      <c r="N102" s="219">
        <f t="shared" si="14"/>
        <v>0</v>
      </c>
      <c r="O102" s="219">
        <f t="shared" si="15"/>
        <v>0</v>
      </c>
      <c r="P102" s="219">
        <f t="shared" si="16"/>
        <v>0</v>
      </c>
      <c r="Q102" s="219">
        <f t="shared" si="17"/>
        <v>0</v>
      </c>
      <c r="R102" s="222">
        <v>3728265.5200000005</v>
      </c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</row>
    <row r="103" spans="1:40" hidden="1" x14ac:dyDescent="0.25">
      <c r="A103" s="457" t="s">
        <v>93</v>
      </c>
      <c r="B103" s="224" t="s">
        <v>386</v>
      </c>
      <c r="C103" s="224" t="s">
        <v>387</v>
      </c>
      <c r="D103" s="131" t="s">
        <v>412</v>
      </c>
      <c r="E103" s="131" t="s">
        <v>389</v>
      </c>
      <c r="F103" s="216"/>
      <c r="G103" s="216"/>
      <c r="H103" s="131"/>
      <c r="I103" s="219">
        <f t="shared" si="9"/>
        <v>292274.43</v>
      </c>
      <c r="J103" s="219">
        <f t="shared" si="10"/>
        <v>0</v>
      </c>
      <c r="K103" s="219">
        <f t="shared" si="11"/>
        <v>0</v>
      </c>
      <c r="L103" s="232">
        <f t="shared" si="12"/>
        <v>0</v>
      </c>
      <c r="M103" s="219">
        <f t="shared" si="13"/>
        <v>0</v>
      </c>
      <c r="N103" s="219">
        <f t="shared" si="14"/>
        <v>0</v>
      </c>
      <c r="O103" s="219">
        <f t="shared" si="15"/>
        <v>0</v>
      </c>
      <c r="P103" s="219">
        <f t="shared" si="16"/>
        <v>0</v>
      </c>
      <c r="Q103" s="219">
        <f t="shared" si="17"/>
        <v>0</v>
      </c>
      <c r="R103" s="222">
        <v>292274.43</v>
      </c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</row>
    <row r="104" spans="1:40" hidden="1" x14ac:dyDescent="0.25">
      <c r="A104" s="457" t="s">
        <v>55</v>
      </c>
      <c r="B104" s="224" t="s">
        <v>386</v>
      </c>
      <c r="C104" s="224" t="s">
        <v>387</v>
      </c>
      <c r="D104" s="131" t="s">
        <v>412</v>
      </c>
      <c r="E104" s="131" t="s">
        <v>426</v>
      </c>
      <c r="F104" s="216"/>
      <c r="G104" s="216"/>
      <c r="H104" s="131"/>
      <c r="I104" s="219">
        <f t="shared" si="9"/>
        <v>372200.5</v>
      </c>
      <c r="J104" s="219">
        <f t="shared" si="10"/>
        <v>0</v>
      </c>
      <c r="K104" s="219">
        <f t="shared" si="11"/>
        <v>0</v>
      </c>
      <c r="L104" s="232">
        <f t="shared" si="12"/>
        <v>0</v>
      </c>
      <c r="M104" s="219">
        <f t="shared" si="13"/>
        <v>0</v>
      </c>
      <c r="N104" s="219">
        <f t="shared" si="14"/>
        <v>0</v>
      </c>
      <c r="O104" s="219">
        <f t="shared" si="15"/>
        <v>0</v>
      </c>
      <c r="P104" s="219">
        <f t="shared" si="16"/>
        <v>0</v>
      </c>
      <c r="Q104" s="219">
        <f t="shared" si="17"/>
        <v>0</v>
      </c>
      <c r="R104" s="222">
        <v>372200.5</v>
      </c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</row>
    <row r="105" spans="1:40" hidden="1" x14ac:dyDescent="0.25">
      <c r="A105" s="457" t="s">
        <v>133</v>
      </c>
      <c r="B105" s="224" t="s">
        <v>386</v>
      </c>
      <c r="C105" s="224" t="s">
        <v>387</v>
      </c>
      <c r="D105" s="131" t="s">
        <v>412</v>
      </c>
      <c r="E105" s="131" t="s">
        <v>428</v>
      </c>
      <c r="F105" s="216"/>
      <c r="G105" s="216"/>
      <c r="H105" s="131"/>
      <c r="I105" s="219">
        <f t="shared" si="9"/>
        <v>5559329.3000000007</v>
      </c>
      <c r="J105" s="219">
        <f t="shared" si="10"/>
        <v>0</v>
      </c>
      <c r="K105" s="219">
        <f t="shared" si="11"/>
        <v>0</v>
      </c>
      <c r="L105" s="232">
        <f t="shared" si="12"/>
        <v>0</v>
      </c>
      <c r="M105" s="219">
        <f t="shared" si="13"/>
        <v>0</v>
      </c>
      <c r="N105" s="219">
        <f t="shared" si="14"/>
        <v>0</v>
      </c>
      <c r="O105" s="219">
        <f t="shared" si="15"/>
        <v>0</v>
      </c>
      <c r="P105" s="219">
        <f t="shared" si="16"/>
        <v>0</v>
      </c>
      <c r="Q105" s="219">
        <f t="shared" si="17"/>
        <v>0</v>
      </c>
      <c r="R105" s="222">
        <v>5559329.3000000007</v>
      </c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</row>
    <row r="106" spans="1:40" hidden="1" x14ac:dyDescent="0.25">
      <c r="A106" s="457" t="s">
        <v>17</v>
      </c>
      <c r="B106" s="224" t="s">
        <v>386</v>
      </c>
      <c r="C106" s="224" t="s">
        <v>387</v>
      </c>
      <c r="D106" s="131" t="s">
        <v>412</v>
      </c>
      <c r="E106" s="131" t="s">
        <v>389</v>
      </c>
      <c r="F106" s="216"/>
      <c r="G106" s="216"/>
      <c r="H106" s="131"/>
      <c r="I106" s="219">
        <f t="shared" si="9"/>
        <v>1871079.9999999998</v>
      </c>
      <c r="J106" s="219">
        <f t="shared" si="10"/>
        <v>0</v>
      </c>
      <c r="K106" s="219">
        <f t="shared" si="11"/>
        <v>0</v>
      </c>
      <c r="L106" s="232">
        <f t="shared" si="12"/>
        <v>0</v>
      </c>
      <c r="M106" s="219">
        <f t="shared" si="13"/>
        <v>0</v>
      </c>
      <c r="N106" s="219">
        <f t="shared" si="14"/>
        <v>0</v>
      </c>
      <c r="O106" s="219">
        <f t="shared" si="15"/>
        <v>0</v>
      </c>
      <c r="P106" s="219">
        <f t="shared" si="16"/>
        <v>0</v>
      </c>
      <c r="Q106" s="219">
        <f t="shared" si="17"/>
        <v>0</v>
      </c>
      <c r="R106" s="222">
        <v>1871079.9999999998</v>
      </c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</row>
    <row r="107" spans="1:40" hidden="1" x14ac:dyDescent="0.25">
      <c r="A107" s="457" t="s">
        <v>120</v>
      </c>
      <c r="B107" s="224" t="s">
        <v>386</v>
      </c>
      <c r="C107" s="224" t="s">
        <v>387</v>
      </c>
      <c r="D107" s="131" t="s">
        <v>412</v>
      </c>
      <c r="E107" s="131" t="s">
        <v>360</v>
      </c>
      <c r="F107" s="216"/>
      <c r="G107" s="216"/>
      <c r="H107" s="131"/>
      <c r="I107" s="219">
        <f t="shared" si="9"/>
        <v>21870426.050000016</v>
      </c>
      <c r="J107" s="219">
        <f t="shared" si="10"/>
        <v>0</v>
      </c>
      <c r="K107" s="219">
        <f t="shared" si="11"/>
        <v>0</v>
      </c>
      <c r="L107" s="232">
        <f t="shared" si="12"/>
        <v>0</v>
      </c>
      <c r="M107" s="219">
        <f t="shared" si="13"/>
        <v>0</v>
      </c>
      <c r="N107" s="219">
        <f t="shared" si="14"/>
        <v>0</v>
      </c>
      <c r="O107" s="219">
        <f t="shared" si="15"/>
        <v>0</v>
      </c>
      <c r="P107" s="219">
        <f t="shared" si="16"/>
        <v>0</v>
      </c>
      <c r="Q107" s="219">
        <f t="shared" si="17"/>
        <v>0</v>
      </c>
      <c r="R107" s="222">
        <v>21870426.050000016</v>
      </c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</row>
    <row r="108" spans="1:40" hidden="1" x14ac:dyDescent="0.25">
      <c r="A108" s="457" t="s">
        <v>385</v>
      </c>
      <c r="B108" s="224" t="s">
        <v>386</v>
      </c>
      <c r="C108" s="224" t="s">
        <v>387</v>
      </c>
      <c r="D108" s="131" t="s">
        <v>412</v>
      </c>
      <c r="E108" s="131" t="s">
        <v>389</v>
      </c>
      <c r="F108" s="216"/>
      <c r="G108" s="216"/>
      <c r="H108" s="131"/>
      <c r="I108" s="219">
        <f t="shared" si="9"/>
        <v>669465.87</v>
      </c>
      <c r="J108" s="219">
        <f t="shared" si="10"/>
        <v>0</v>
      </c>
      <c r="K108" s="219">
        <f t="shared" si="11"/>
        <v>0</v>
      </c>
      <c r="L108" s="232">
        <f t="shared" si="12"/>
        <v>0</v>
      </c>
      <c r="M108" s="219">
        <f t="shared" si="13"/>
        <v>0</v>
      </c>
      <c r="N108" s="219">
        <f t="shared" si="14"/>
        <v>0</v>
      </c>
      <c r="O108" s="219">
        <f t="shared" si="15"/>
        <v>0</v>
      </c>
      <c r="P108" s="219">
        <f t="shared" si="16"/>
        <v>0</v>
      </c>
      <c r="Q108" s="219">
        <f t="shared" si="17"/>
        <v>0</v>
      </c>
      <c r="R108" s="222">
        <v>669465.87</v>
      </c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</row>
    <row r="109" spans="1:40" hidden="1" x14ac:dyDescent="0.25">
      <c r="A109" s="457" t="s">
        <v>103</v>
      </c>
      <c r="B109" s="224" t="s">
        <v>386</v>
      </c>
      <c r="C109" s="224" t="s">
        <v>387</v>
      </c>
      <c r="D109" s="131" t="s">
        <v>412</v>
      </c>
      <c r="E109" s="131" t="s">
        <v>360</v>
      </c>
      <c r="F109" s="216"/>
      <c r="G109" s="216"/>
      <c r="H109" s="131"/>
      <c r="I109" s="219">
        <f t="shared" si="9"/>
        <v>59178799.899999708</v>
      </c>
      <c r="J109" s="219">
        <f t="shared" si="10"/>
        <v>0</v>
      </c>
      <c r="K109" s="219">
        <f t="shared" si="11"/>
        <v>0</v>
      </c>
      <c r="L109" s="232">
        <f t="shared" si="12"/>
        <v>0</v>
      </c>
      <c r="M109" s="219">
        <f t="shared" si="13"/>
        <v>0</v>
      </c>
      <c r="N109" s="219">
        <f t="shared" si="14"/>
        <v>0</v>
      </c>
      <c r="O109" s="219">
        <f t="shared" si="15"/>
        <v>0</v>
      </c>
      <c r="P109" s="219">
        <f t="shared" si="16"/>
        <v>0</v>
      </c>
      <c r="Q109" s="219">
        <f t="shared" si="17"/>
        <v>0</v>
      </c>
      <c r="R109" s="222">
        <v>59178799.899999708</v>
      </c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</row>
    <row r="110" spans="1:40" hidden="1" x14ac:dyDescent="0.25">
      <c r="A110" s="457" t="s">
        <v>336</v>
      </c>
      <c r="B110" s="224" t="s">
        <v>386</v>
      </c>
      <c r="C110" s="224" t="s">
        <v>387</v>
      </c>
      <c r="D110" s="131" t="s">
        <v>412</v>
      </c>
      <c r="E110" s="131" t="s">
        <v>389</v>
      </c>
      <c r="F110" s="216"/>
      <c r="G110" s="216"/>
      <c r="H110" s="131"/>
      <c r="I110" s="219">
        <f t="shared" si="9"/>
        <v>221696.62000000002</v>
      </c>
      <c r="J110" s="219">
        <f t="shared" si="10"/>
        <v>0</v>
      </c>
      <c r="K110" s="219">
        <f t="shared" si="11"/>
        <v>0</v>
      </c>
      <c r="L110" s="232">
        <f t="shared" si="12"/>
        <v>0</v>
      </c>
      <c r="M110" s="219">
        <f t="shared" si="13"/>
        <v>0</v>
      </c>
      <c r="N110" s="219">
        <f t="shared" si="14"/>
        <v>0</v>
      </c>
      <c r="O110" s="219">
        <f t="shared" si="15"/>
        <v>0</v>
      </c>
      <c r="P110" s="219">
        <f t="shared" si="16"/>
        <v>0</v>
      </c>
      <c r="Q110" s="219">
        <f t="shared" si="17"/>
        <v>0</v>
      </c>
      <c r="R110" s="222">
        <v>221696.62000000002</v>
      </c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</row>
    <row r="111" spans="1:40" hidden="1" x14ac:dyDescent="0.25">
      <c r="A111" s="457" t="s">
        <v>417</v>
      </c>
      <c r="B111" s="224" t="s">
        <v>386</v>
      </c>
      <c r="C111" s="224" t="s">
        <v>387</v>
      </c>
      <c r="D111" s="131" t="s">
        <v>412</v>
      </c>
      <c r="E111" s="131" t="s">
        <v>360</v>
      </c>
      <c r="F111" s="216"/>
      <c r="G111" s="216"/>
      <c r="H111" s="131"/>
      <c r="I111" s="219">
        <f t="shared" si="9"/>
        <v>3859752.7199999997</v>
      </c>
      <c r="J111" s="219">
        <f t="shared" si="10"/>
        <v>0</v>
      </c>
      <c r="K111" s="219">
        <f t="shared" si="11"/>
        <v>0</v>
      </c>
      <c r="L111" s="232">
        <f t="shared" si="12"/>
        <v>0</v>
      </c>
      <c r="M111" s="219">
        <f t="shared" si="13"/>
        <v>0</v>
      </c>
      <c r="N111" s="219">
        <f t="shared" si="14"/>
        <v>0</v>
      </c>
      <c r="O111" s="219">
        <f t="shared" si="15"/>
        <v>0</v>
      </c>
      <c r="P111" s="219">
        <f t="shared" si="16"/>
        <v>0</v>
      </c>
      <c r="Q111" s="219">
        <f t="shared" si="17"/>
        <v>0</v>
      </c>
      <c r="R111" s="222">
        <v>3859752.7199999997</v>
      </c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</row>
    <row r="112" spans="1:40" hidden="1" x14ac:dyDescent="0.25">
      <c r="A112" s="457" t="s">
        <v>51</v>
      </c>
      <c r="B112" s="224" t="s">
        <v>386</v>
      </c>
      <c r="C112" s="224" t="s">
        <v>387</v>
      </c>
      <c r="D112" s="131" t="s">
        <v>412</v>
      </c>
      <c r="E112" s="131" t="s">
        <v>426</v>
      </c>
      <c r="F112" s="216"/>
      <c r="G112" s="216"/>
      <c r="H112" s="131"/>
      <c r="I112" s="219">
        <f t="shared" si="9"/>
        <v>1319912.0300000003</v>
      </c>
      <c r="J112" s="219">
        <f t="shared" si="10"/>
        <v>0</v>
      </c>
      <c r="K112" s="219">
        <f t="shared" si="11"/>
        <v>0</v>
      </c>
      <c r="L112" s="232">
        <f t="shared" si="12"/>
        <v>0</v>
      </c>
      <c r="M112" s="219">
        <f t="shared" si="13"/>
        <v>0</v>
      </c>
      <c r="N112" s="219">
        <f t="shared" si="14"/>
        <v>0</v>
      </c>
      <c r="O112" s="219">
        <f t="shared" si="15"/>
        <v>0</v>
      </c>
      <c r="P112" s="219">
        <f t="shared" si="16"/>
        <v>0</v>
      </c>
      <c r="Q112" s="219">
        <f t="shared" si="17"/>
        <v>0</v>
      </c>
      <c r="R112" s="222">
        <v>1319912.0300000003</v>
      </c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</row>
    <row r="113" spans="1:40" hidden="1" x14ac:dyDescent="0.25">
      <c r="A113" s="457" t="s">
        <v>433</v>
      </c>
      <c r="B113" s="224" t="s">
        <v>386</v>
      </c>
      <c r="C113" s="224" t="s">
        <v>387</v>
      </c>
      <c r="D113" s="131" t="s">
        <v>398</v>
      </c>
      <c r="E113" s="131" t="s">
        <v>389</v>
      </c>
      <c r="F113" s="216"/>
      <c r="G113" s="216"/>
      <c r="H113" s="131"/>
      <c r="I113" s="219">
        <f t="shared" si="9"/>
        <v>18991406.05999998</v>
      </c>
      <c r="J113" s="219">
        <f t="shared" si="10"/>
        <v>0</v>
      </c>
      <c r="K113" s="219">
        <f t="shared" si="11"/>
        <v>0</v>
      </c>
      <c r="L113" s="232">
        <f t="shared" si="12"/>
        <v>0</v>
      </c>
      <c r="M113" s="219">
        <f t="shared" si="13"/>
        <v>0</v>
      </c>
      <c r="N113" s="219">
        <f t="shared" si="14"/>
        <v>0</v>
      </c>
      <c r="O113" s="219">
        <f t="shared" si="15"/>
        <v>0</v>
      </c>
      <c r="P113" s="219">
        <f t="shared" si="16"/>
        <v>0</v>
      </c>
      <c r="Q113" s="219">
        <f t="shared" si="17"/>
        <v>0</v>
      </c>
      <c r="R113" s="222">
        <v>18991406.05999998</v>
      </c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</row>
    <row r="114" spans="1:40" hidden="1" x14ac:dyDescent="0.25">
      <c r="A114" s="457"/>
      <c r="B114" s="224" t="s">
        <v>386</v>
      </c>
      <c r="C114" s="224" t="s">
        <v>387</v>
      </c>
      <c r="D114" s="131" t="s">
        <v>398</v>
      </c>
      <c r="E114" s="131" t="s">
        <v>389</v>
      </c>
      <c r="F114" s="216"/>
      <c r="G114" s="216"/>
      <c r="H114" s="131"/>
      <c r="I114" s="219">
        <f t="shared" si="9"/>
        <v>1221334.9700000002</v>
      </c>
      <c r="J114" s="219">
        <f t="shared" si="10"/>
        <v>0</v>
      </c>
      <c r="K114" s="219">
        <f t="shared" si="11"/>
        <v>0</v>
      </c>
      <c r="L114" s="232">
        <f t="shared" si="12"/>
        <v>0</v>
      </c>
      <c r="M114" s="219">
        <f t="shared" si="13"/>
        <v>0</v>
      </c>
      <c r="N114" s="219">
        <f t="shared" si="14"/>
        <v>0</v>
      </c>
      <c r="O114" s="219">
        <f t="shared" si="15"/>
        <v>0</v>
      </c>
      <c r="P114" s="219">
        <f t="shared" si="16"/>
        <v>0</v>
      </c>
      <c r="Q114" s="219">
        <f t="shared" si="17"/>
        <v>0</v>
      </c>
      <c r="R114" s="222">
        <v>1221334.9700000002</v>
      </c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</row>
    <row r="115" spans="1:40" hidden="1" x14ac:dyDescent="0.25">
      <c r="A115" s="457" t="s">
        <v>174</v>
      </c>
      <c r="B115" s="224" t="s">
        <v>386</v>
      </c>
      <c r="C115" s="224" t="s">
        <v>387</v>
      </c>
      <c r="D115" s="131" t="s">
        <v>398</v>
      </c>
      <c r="E115" s="131" t="s">
        <v>389</v>
      </c>
      <c r="F115" s="216"/>
      <c r="G115" s="216"/>
      <c r="H115" s="131"/>
      <c r="I115" s="219">
        <f t="shared" si="9"/>
        <v>90879464.680000007</v>
      </c>
      <c r="J115" s="219">
        <f t="shared" si="10"/>
        <v>0</v>
      </c>
      <c r="K115" s="219">
        <f t="shared" si="11"/>
        <v>0</v>
      </c>
      <c r="L115" s="232">
        <f t="shared" si="12"/>
        <v>0</v>
      </c>
      <c r="M115" s="219">
        <f t="shared" si="13"/>
        <v>0</v>
      </c>
      <c r="N115" s="219">
        <f t="shared" si="14"/>
        <v>0</v>
      </c>
      <c r="O115" s="219">
        <f t="shared" si="15"/>
        <v>0</v>
      </c>
      <c r="P115" s="219">
        <f t="shared" si="16"/>
        <v>0</v>
      </c>
      <c r="Q115" s="219">
        <f t="shared" si="17"/>
        <v>0</v>
      </c>
      <c r="R115" s="222">
        <v>90879464.680000007</v>
      </c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</row>
    <row r="116" spans="1:40" hidden="1" x14ac:dyDescent="0.25">
      <c r="A116" s="457" t="s">
        <v>166</v>
      </c>
      <c r="B116" s="224" t="s">
        <v>386</v>
      </c>
      <c r="C116" s="224" t="s">
        <v>387</v>
      </c>
      <c r="D116" s="131" t="s">
        <v>398</v>
      </c>
      <c r="E116" s="131" t="s">
        <v>389</v>
      </c>
      <c r="F116" s="216"/>
      <c r="G116" s="216"/>
      <c r="H116" s="131"/>
      <c r="I116" s="219">
        <f t="shared" si="9"/>
        <v>10828622.959999999</v>
      </c>
      <c r="J116" s="219">
        <f t="shared" si="10"/>
        <v>0</v>
      </c>
      <c r="K116" s="219">
        <f t="shared" si="11"/>
        <v>0</v>
      </c>
      <c r="L116" s="232">
        <f t="shared" si="12"/>
        <v>0</v>
      </c>
      <c r="M116" s="219">
        <f t="shared" si="13"/>
        <v>0</v>
      </c>
      <c r="N116" s="219">
        <f t="shared" si="14"/>
        <v>0</v>
      </c>
      <c r="O116" s="219">
        <f t="shared" si="15"/>
        <v>0</v>
      </c>
      <c r="P116" s="219">
        <f t="shared" si="16"/>
        <v>0</v>
      </c>
      <c r="Q116" s="219">
        <f t="shared" si="17"/>
        <v>0</v>
      </c>
      <c r="R116" s="222">
        <v>10828622.959999999</v>
      </c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</row>
    <row r="117" spans="1:40" hidden="1" x14ac:dyDescent="0.25">
      <c r="A117" s="457" t="s">
        <v>353</v>
      </c>
      <c r="B117" s="224" t="s">
        <v>386</v>
      </c>
      <c r="C117" s="224" t="s">
        <v>387</v>
      </c>
      <c r="D117" s="131" t="s">
        <v>398</v>
      </c>
      <c r="E117" s="131" t="s">
        <v>389</v>
      </c>
      <c r="F117" s="216"/>
      <c r="G117" s="216"/>
      <c r="H117" s="131"/>
      <c r="I117" s="219">
        <f t="shared" si="9"/>
        <v>56096761.779999882</v>
      </c>
      <c r="J117" s="219">
        <f t="shared" si="10"/>
        <v>0</v>
      </c>
      <c r="K117" s="219">
        <f t="shared" si="11"/>
        <v>0</v>
      </c>
      <c r="L117" s="232">
        <f t="shared" si="12"/>
        <v>0</v>
      </c>
      <c r="M117" s="219">
        <f t="shared" si="13"/>
        <v>0</v>
      </c>
      <c r="N117" s="219">
        <f t="shared" si="14"/>
        <v>0</v>
      </c>
      <c r="O117" s="219">
        <f t="shared" si="15"/>
        <v>0</v>
      </c>
      <c r="P117" s="219">
        <f t="shared" si="16"/>
        <v>0</v>
      </c>
      <c r="Q117" s="219">
        <f t="shared" si="17"/>
        <v>0</v>
      </c>
      <c r="R117" s="222">
        <v>56096761.779999882</v>
      </c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</row>
    <row r="118" spans="1:40" hidden="1" x14ac:dyDescent="0.25">
      <c r="A118" s="457" t="s">
        <v>341</v>
      </c>
      <c r="B118" s="224" t="s">
        <v>386</v>
      </c>
      <c r="C118" s="224" t="s">
        <v>387</v>
      </c>
      <c r="D118" s="131" t="s">
        <v>398</v>
      </c>
      <c r="E118" s="131" t="s">
        <v>389</v>
      </c>
      <c r="F118" s="216"/>
      <c r="G118" s="216"/>
      <c r="H118" s="131"/>
      <c r="I118" s="219">
        <f t="shared" si="9"/>
        <v>42349125.859999932</v>
      </c>
      <c r="J118" s="219">
        <f t="shared" si="10"/>
        <v>0</v>
      </c>
      <c r="K118" s="219">
        <f t="shared" si="11"/>
        <v>0</v>
      </c>
      <c r="L118" s="232">
        <f t="shared" si="12"/>
        <v>0</v>
      </c>
      <c r="M118" s="219">
        <f t="shared" si="13"/>
        <v>0</v>
      </c>
      <c r="N118" s="219">
        <f t="shared" si="14"/>
        <v>0</v>
      </c>
      <c r="O118" s="219">
        <f t="shared" si="15"/>
        <v>0</v>
      </c>
      <c r="P118" s="219">
        <f t="shared" si="16"/>
        <v>0</v>
      </c>
      <c r="Q118" s="219">
        <f t="shared" si="17"/>
        <v>0</v>
      </c>
      <c r="R118" s="222">
        <v>42349125.859999932</v>
      </c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</row>
    <row r="119" spans="1:40" hidden="1" x14ac:dyDescent="0.25">
      <c r="A119" s="457" t="s">
        <v>141</v>
      </c>
      <c r="B119" s="224" t="s">
        <v>386</v>
      </c>
      <c r="C119" s="224" t="s">
        <v>387</v>
      </c>
      <c r="D119" s="131" t="s">
        <v>398</v>
      </c>
      <c r="E119" s="131" t="s">
        <v>389</v>
      </c>
      <c r="F119" s="216"/>
      <c r="G119" s="216"/>
      <c r="H119" s="131"/>
      <c r="I119" s="219">
        <f t="shared" si="9"/>
        <v>12460186.710000001</v>
      </c>
      <c r="J119" s="219">
        <f t="shared" si="10"/>
        <v>0</v>
      </c>
      <c r="K119" s="219">
        <f t="shared" si="11"/>
        <v>0</v>
      </c>
      <c r="L119" s="232">
        <f t="shared" si="12"/>
        <v>0</v>
      </c>
      <c r="M119" s="219">
        <f t="shared" si="13"/>
        <v>0</v>
      </c>
      <c r="N119" s="219">
        <f t="shared" si="14"/>
        <v>0</v>
      </c>
      <c r="O119" s="219">
        <f t="shared" si="15"/>
        <v>0</v>
      </c>
      <c r="P119" s="219">
        <f t="shared" si="16"/>
        <v>0</v>
      </c>
      <c r="Q119" s="219">
        <f t="shared" si="17"/>
        <v>0</v>
      </c>
      <c r="R119" s="222">
        <v>12460186.710000001</v>
      </c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</row>
    <row r="120" spans="1:40" hidden="1" x14ac:dyDescent="0.25">
      <c r="A120" s="457" t="s">
        <v>22</v>
      </c>
      <c r="B120" s="224" t="s">
        <v>386</v>
      </c>
      <c r="C120" s="224" t="s">
        <v>387</v>
      </c>
      <c r="D120" s="131" t="s">
        <v>398</v>
      </c>
      <c r="E120" s="131" t="s">
        <v>389</v>
      </c>
      <c r="F120" s="216"/>
      <c r="G120" s="216"/>
      <c r="H120" s="131"/>
      <c r="I120" s="219">
        <f t="shared" si="9"/>
        <v>1513833.15</v>
      </c>
      <c r="J120" s="219">
        <f t="shared" si="10"/>
        <v>0</v>
      </c>
      <c r="K120" s="219">
        <f t="shared" si="11"/>
        <v>0</v>
      </c>
      <c r="L120" s="232">
        <f t="shared" si="12"/>
        <v>0</v>
      </c>
      <c r="M120" s="219">
        <f t="shared" si="13"/>
        <v>0</v>
      </c>
      <c r="N120" s="219">
        <f t="shared" si="14"/>
        <v>0</v>
      </c>
      <c r="O120" s="219">
        <f t="shared" si="15"/>
        <v>0</v>
      </c>
      <c r="P120" s="219">
        <f t="shared" si="16"/>
        <v>0</v>
      </c>
      <c r="Q120" s="219">
        <f t="shared" si="17"/>
        <v>0</v>
      </c>
      <c r="R120" s="222">
        <v>1513833.15</v>
      </c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</row>
    <row r="121" spans="1:40" hidden="1" x14ac:dyDescent="0.25">
      <c r="A121" s="457" t="s">
        <v>155</v>
      </c>
      <c r="B121" s="224" t="s">
        <v>386</v>
      </c>
      <c r="C121" s="224" t="s">
        <v>387</v>
      </c>
      <c r="D121" s="131" t="s">
        <v>398</v>
      </c>
      <c r="E121" s="131" t="s">
        <v>389</v>
      </c>
      <c r="F121" s="216"/>
      <c r="G121" s="216"/>
      <c r="H121" s="131"/>
      <c r="I121" s="219">
        <f t="shared" si="9"/>
        <v>242485214.69000125</v>
      </c>
      <c r="J121" s="219">
        <f t="shared" si="10"/>
        <v>0</v>
      </c>
      <c r="K121" s="219">
        <f t="shared" si="11"/>
        <v>0</v>
      </c>
      <c r="L121" s="232">
        <f t="shared" si="12"/>
        <v>0</v>
      </c>
      <c r="M121" s="219">
        <f t="shared" si="13"/>
        <v>0</v>
      </c>
      <c r="N121" s="219">
        <f t="shared" si="14"/>
        <v>0</v>
      </c>
      <c r="O121" s="219">
        <f t="shared" si="15"/>
        <v>0</v>
      </c>
      <c r="P121" s="219">
        <f t="shared" si="16"/>
        <v>0</v>
      </c>
      <c r="Q121" s="219">
        <f t="shared" si="17"/>
        <v>0</v>
      </c>
      <c r="R121" s="222">
        <v>242485214.69000125</v>
      </c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</row>
    <row r="122" spans="1:40" hidden="1" x14ac:dyDescent="0.25">
      <c r="A122" s="457" t="s">
        <v>148</v>
      </c>
      <c r="B122" s="224" t="s">
        <v>386</v>
      </c>
      <c r="C122" s="224" t="s">
        <v>387</v>
      </c>
      <c r="D122" s="131" t="s">
        <v>398</v>
      </c>
      <c r="E122" s="131" t="s">
        <v>389</v>
      </c>
      <c r="F122" s="216"/>
      <c r="G122" s="216"/>
      <c r="H122" s="131"/>
      <c r="I122" s="219">
        <f t="shared" si="9"/>
        <v>130075043.88000013</v>
      </c>
      <c r="J122" s="219">
        <f t="shared" si="10"/>
        <v>0</v>
      </c>
      <c r="K122" s="219">
        <f t="shared" si="11"/>
        <v>0</v>
      </c>
      <c r="L122" s="232">
        <f t="shared" si="12"/>
        <v>0</v>
      </c>
      <c r="M122" s="219">
        <f t="shared" si="13"/>
        <v>0</v>
      </c>
      <c r="N122" s="219">
        <f t="shared" si="14"/>
        <v>0</v>
      </c>
      <c r="O122" s="219">
        <f t="shared" si="15"/>
        <v>0</v>
      </c>
      <c r="P122" s="219">
        <f t="shared" si="16"/>
        <v>0</v>
      </c>
      <c r="Q122" s="219">
        <f t="shared" si="17"/>
        <v>0</v>
      </c>
      <c r="R122" s="222">
        <v>130075043.88000013</v>
      </c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</row>
    <row r="123" spans="1:40" hidden="1" x14ac:dyDescent="0.25">
      <c r="A123" s="457" t="s">
        <v>434</v>
      </c>
      <c r="B123" s="224" t="s">
        <v>386</v>
      </c>
      <c r="C123" s="224" t="s">
        <v>387</v>
      </c>
      <c r="D123" s="131" t="s">
        <v>398</v>
      </c>
      <c r="E123" s="131" t="s">
        <v>389</v>
      </c>
      <c r="F123" s="216"/>
      <c r="G123" s="216"/>
      <c r="H123" s="131"/>
      <c r="I123" s="219">
        <f t="shared" si="9"/>
        <v>8317598.129999999</v>
      </c>
      <c r="J123" s="219">
        <f t="shared" si="10"/>
        <v>0</v>
      </c>
      <c r="K123" s="219">
        <f t="shared" si="11"/>
        <v>0</v>
      </c>
      <c r="L123" s="232">
        <f t="shared" si="12"/>
        <v>0</v>
      </c>
      <c r="M123" s="219">
        <f t="shared" si="13"/>
        <v>0</v>
      </c>
      <c r="N123" s="219">
        <f t="shared" si="14"/>
        <v>0</v>
      </c>
      <c r="O123" s="219">
        <f t="shared" si="15"/>
        <v>0</v>
      </c>
      <c r="P123" s="219">
        <f t="shared" si="16"/>
        <v>0</v>
      </c>
      <c r="Q123" s="219">
        <f t="shared" si="17"/>
        <v>0</v>
      </c>
      <c r="R123" s="222">
        <v>8317598.129999999</v>
      </c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</row>
    <row r="124" spans="1:40" hidden="1" x14ac:dyDescent="0.25">
      <c r="A124" s="457" t="s">
        <v>20</v>
      </c>
      <c r="B124" s="224" t="s">
        <v>386</v>
      </c>
      <c r="C124" s="224" t="s">
        <v>387</v>
      </c>
      <c r="D124" s="131" t="s">
        <v>398</v>
      </c>
      <c r="E124" s="131" t="s">
        <v>389</v>
      </c>
      <c r="F124" s="216"/>
      <c r="G124" s="216"/>
      <c r="H124" s="131"/>
      <c r="I124" s="219">
        <f t="shared" si="9"/>
        <v>19951807.690000013</v>
      </c>
      <c r="J124" s="219">
        <f t="shared" si="10"/>
        <v>0</v>
      </c>
      <c r="K124" s="219">
        <f t="shared" si="11"/>
        <v>0</v>
      </c>
      <c r="L124" s="232">
        <f t="shared" si="12"/>
        <v>0</v>
      </c>
      <c r="M124" s="219">
        <f t="shared" si="13"/>
        <v>0</v>
      </c>
      <c r="N124" s="219">
        <f t="shared" si="14"/>
        <v>0</v>
      </c>
      <c r="O124" s="219">
        <f t="shared" si="15"/>
        <v>0</v>
      </c>
      <c r="P124" s="219">
        <f t="shared" si="16"/>
        <v>0</v>
      </c>
      <c r="Q124" s="219">
        <f t="shared" si="17"/>
        <v>0</v>
      </c>
      <c r="R124" s="222">
        <v>19951807.690000013</v>
      </c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</row>
    <row r="125" spans="1:40" hidden="1" x14ac:dyDescent="0.25">
      <c r="A125" s="457" t="s">
        <v>25</v>
      </c>
      <c r="B125" s="224" t="s">
        <v>386</v>
      </c>
      <c r="C125" s="224" t="s">
        <v>387</v>
      </c>
      <c r="D125" s="131" t="s">
        <v>398</v>
      </c>
      <c r="E125" s="131" t="s">
        <v>389</v>
      </c>
      <c r="F125" s="216"/>
      <c r="G125" s="216"/>
      <c r="H125" s="131"/>
      <c r="I125" s="219">
        <f t="shared" si="9"/>
        <v>3514936.0200000005</v>
      </c>
      <c r="J125" s="219">
        <f t="shared" si="10"/>
        <v>0</v>
      </c>
      <c r="K125" s="219">
        <f t="shared" si="11"/>
        <v>0</v>
      </c>
      <c r="L125" s="232">
        <f t="shared" si="12"/>
        <v>0</v>
      </c>
      <c r="M125" s="219">
        <f t="shared" si="13"/>
        <v>0</v>
      </c>
      <c r="N125" s="219">
        <f t="shared" si="14"/>
        <v>0</v>
      </c>
      <c r="O125" s="219">
        <f t="shared" si="15"/>
        <v>0</v>
      </c>
      <c r="P125" s="219">
        <f t="shared" si="16"/>
        <v>0</v>
      </c>
      <c r="Q125" s="219">
        <f t="shared" si="17"/>
        <v>0</v>
      </c>
      <c r="R125" s="222">
        <v>3514936.0200000005</v>
      </c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</row>
    <row r="126" spans="1:40" hidden="1" x14ac:dyDescent="0.25">
      <c r="A126" s="457" t="s">
        <v>173</v>
      </c>
      <c r="B126" s="224" t="s">
        <v>386</v>
      </c>
      <c r="C126" s="224" t="s">
        <v>387</v>
      </c>
      <c r="D126" s="131" t="s">
        <v>398</v>
      </c>
      <c r="E126" s="131" t="s">
        <v>389</v>
      </c>
      <c r="F126" s="216"/>
      <c r="G126" s="216"/>
      <c r="H126" s="131"/>
      <c r="I126" s="219">
        <f t="shared" si="9"/>
        <v>579441303.72000396</v>
      </c>
      <c r="J126" s="219">
        <f t="shared" si="10"/>
        <v>0</v>
      </c>
      <c r="K126" s="219">
        <f t="shared" si="11"/>
        <v>0</v>
      </c>
      <c r="L126" s="232">
        <f t="shared" si="12"/>
        <v>0</v>
      </c>
      <c r="M126" s="219">
        <f t="shared" si="13"/>
        <v>0</v>
      </c>
      <c r="N126" s="219">
        <f t="shared" si="14"/>
        <v>0</v>
      </c>
      <c r="O126" s="219">
        <f t="shared" si="15"/>
        <v>0</v>
      </c>
      <c r="P126" s="219">
        <f t="shared" si="16"/>
        <v>0</v>
      </c>
      <c r="Q126" s="219">
        <f t="shared" si="17"/>
        <v>0</v>
      </c>
      <c r="R126" s="222">
        <v>579441303.72000396</v>
      </c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</row>
    <row r="127" spans="1:40" hidden="1" x14ac:dyDescent="0.25">
      <c r="A127" s="457" t="s">
        <v>180</v>
      </c>
      <c r="B127" s="224" t="s">
        <v>386</v>
      </c>
      <c r="C127" s="224" t="s">
        <v>387</v>
      </c>
      <c r="D127" s="131" t="s">
        <v>398</v>
      </c>
      <c r="E127" s="131" t="s">
        <v>389</v>
      </c>
      <c r="F127" s="216"/>
      <c r="G127" s="216"/>
      <c r="H127" s="131"/>
      <c r="I127" s="219">
        <f t="shared" si="9"/>
        <v>170025769.98000044</v>
      </c>
      <c r="J127" s="219">
        <f t="shared" si="10"/>
        <v>0</v>
      </c>
      <c r="K127" s="219">
        <f t="shared" si="11"/>
        <v>0</v>
      </c>
      <c r="L127" s="232">
        <f t="shared" si="12"/>
        <v>0</v>
      </c>
      <c r="M127" s="219">
        <f t="shared" si="13"/>
        <v>0</v>
      </c>
      <c r="N127" s="219">
        <f t="shared" si="14"/>
        <v>0</v>
      </c>
      <c r="O127" s="219">
        <f t="shared" si="15"/>
        <v>0</v>
      </c>
      <c r="P127" s="219">
        <f t="shared" si="16"/>
        <v>0</v>
      </c>
      <c r="Q127" s="219">
        <f t="shared" si="17"/>
        <v>0</v>
      </c>
      <c r="R127" s="222">
        <v>170025769.98000044</v>
      </c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</row>
    <row r="128" spans="1:40" hidden="1" x14ac:dyDescent="0.25">
      <c r="A128" s="457" t="s">
        <v>146</v>
      </c>
      <c r="B128" s="224" t="s">
        <v>386</v>
      </c>
      <c r="C128" s="224" t="s">
        <v>387</v>
      </c>
      <c r="D128" s="131" t="s">
        <v>398</v>
      </c>
      <c r="E128" s="131" t="s">
        <v>389</v>
      </c>
      <c r="F128" s="216"/>
      <c r="G128" s="216"/>
      <c r="H128" s="131"/>
      <c r="I128" s="219">
        <f t="shared" si="9"/>
        <v>60282489.34999986</v>
      </c>
      <c r="J128" s="219">
        <f t="shared" si="10"/>
        <v>0</v>
      </c>
      <c r="K128" s="219">
        <f t="shared" si="11"/>
        <v>0</v>
      </c>
      <c r="L128" s="232">
        <f t="shared" si="12"/>
        <v>0</v>
      </c>
      <c r="M128" s="219">
        <f t="shared" si="13"/>
        <v>0</v>
      </c>
      <c r="N128" s="219">
        <f t="shared" si="14"/>
        <v>0</v>
      </c>
      <c r="O128" s="219">
        <f t="shared" si="15"/>
        <v>0</v>
      </c>
      <c r="P128" s="219">
        <f t="shared" si="16"/>
        <v>0</v>
      </c>
      <c r="Q128" s="219">
        <f t="shared" si="17"/>
        <v>0</v>
      </c>
      <c r="R128" s="222">
        <v>60282489.34999986</v>
      </c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</row>
    <row r="129" spans="1:40" hidden="1" x14ac:dyDescent="0.25">
      <c r="A129" s="457" t="s">
        <v>150</v>
      </c>
      <c r="B129" s="224" t="s">
        <v>386</v>
      </c>
      <c r="C129" s="224" t="s">
        <v>387</v>
      </c>
      <c r="D129" s="131" t="s">
        <v>398</v>
      </c>
      <c r="E129" s="131" t="s">
        <v>389</v>
      </c>
      <c r="F129" s="216"/>
      <c r="G129" s="216"/>
      <c r="H129" s="131"/>
      <c r="I129" s="219">
        <f t="shared" si="9"/>
        <v>103135696.96999992</v>
      </c>
      <c r="J129" s="219">
        <f t="shared" si="10"/>
        <v>0</v>
      </c>
      <c r="K129" s="219">
        <f t="shared" si="11"/>
        <v>0</v>
      </c>
      <c r="L129" s="232">
        <f t="shared" si="12"/>
        <v>0</v>
      </c>
      <c r="M129" s="219">
        <f t="shared" si="13"/>
        <v>0</v>
      </c>
      <c r="N129" s="219">
        <f t="shared" si="14"/>
        <v>0</v>
      </c>
      <c r="O129" s="219">
        <f t="shared" si="15"/>
        <v>0</v>
      </c>
      <c r="P129" s="219">
        <f t="shared" si="16"/>
        <v>0</v>
      </c>
      <c r="Q129" s="219">
        <f t="shared" si="17"/>
        <v>0</v>
      </c>
      <c r="R129" s="222">
        <v>103135696.96999992</v>
      </c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</row>
    <row r="130" spans="1:40" hidden="1" x14ac:dyDescent="0.25">
      <c r="A130" s="457" t="s">
        <v>350</v>
      </c>
      <c r="B130" s="224" t="s">
        <v>386</v>
      </c>
      <c r="C130" s="224" t="s">
        <v>387</v>
      </c>
      <c r="D130" s="131" t="s">
        <v>398</v>
      </c>
      <c r="E130" s="131" t="s">
        <v>389</v>
      </c>
      <c r="F130" s="216"/>
      <c r="G130" s="216"/>
      <c r="H130" s="131"/>
      <c r="I130" s="219">
        <f t="shared" si="9"/>
        <v>21394608.250000011</v>
      </c>
      <c r="J130" s="219">
        <f t="shared" si="10"/>
        <v>0</v>
      </c>
      <c r="K130" s="219">
        <f t="shared" si="11"/>
        <v>0</v>
      </c>
      <c r="L130" s="232">
        <f t="shared" si="12"/>
        <v>0</v>
      </c>
      <c r="M130" s="219">
        <f t="shared" si="13"/>
        <v>0</v>
      </c>
      <c r="N130" s="219">
        <f t="shared" si="14"/>
        <v>0</v>
      </c>
      <c r="O130" s="219">
        <f t="shared" si="15"/>
        <v>0</v>
      </c>
      <c r="P130" s="219">
        <f t="shared" si="16"/>
        <v>0</v>
      </c>
      <c r="Q130" s="219">
        <f t="shared" si="17"/>
        <v>0</v>
      </c>
      <c r="R130" s="222">
        <v>21394608.250000011</v>
      </c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</row>
    <row r="131" spans="1:40" hidden="1" x14ac:dyDescent="0.25">
      <c r="A131" s="457" t="s">
        <v>27</v>
      </c>
      <c r="B131" s="224" t="s">
        <v>386</v>
      </c>
      <c r="C131" s="224" t="s">
        <v>387</v>
      </c>
      <c r="D131" s="131" t="s">
        <v>398</v>
      </c>
      <c r="E131" s="131" t="s">
        <v>389</v>
      </c>
      <c r="F131" s="216"/>
      <c r="G131" s="216"/>
      <c r="H131" s="131"/>
      <c r="I131" s="219">
        <f t="shared" si="9"/>
        <v>20762694.490000002</v>
      </c>
      <c r="J131" s="219">
        <f t="shared" si="10"/>
        <v>0</v>
      </c>
      <c r="K131" s="219">
        <f t="shared" si="11"/>
        <v>0</v>
      </c>
      <c r="L131" s="232">
        <f t="shared" si="12"/>
        <v>0</v>
      </c>
      <c r="M131" s="219">
        <f t="shared" si="13"/>
        <v>0</v>
      </c>
      <c r="N131" s="219">
        <f t="shared" si="14"/>
        <v>0</v>
      </c>
      <c r="O131" s="219">
        <f t="shared" si="15"/>
        <v>0</v>
      </c>
      <c r="P131" s="219">
        <f t="shared" si="16"/>
        <v>0</v>
      </c>
      <c r="Q131" s="219">
        <f t="shared" si="17"/>
        <v>0</v>
      </c>
      <c r="R131" s="222">
        <v>20762694.490000002</v>
      </c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</row>
    <row r="132" spans="1:40" hidden="1" x14ac:dyDescent="0.25">
      <c r="A132" s="457" t="s">
        <v>7</v>
      </c>
      <c r="B132" s="224" t="s">
        <v>386</v>
      </c>
      <c r="C132" s="224" t="s">
        <v>387</v>
      </c>
      <c r="D132" s="131" t="s">
        <v>398</v>
      </c>
      <c r="E132" s="131" t="s">
        <v>389</v>
      </c>
      <c r="F132" s="216"/>
      <c r="G132" s="216"/>
      <c r="H132" s="131"/>
      <c r="I132" s="219">
        <f t="shared" si="9"/>
        <v>5977787.830000001</v>
      </c>
      <c r="J132" s="219">
        <f t="shared" si="10"/>
        <v>0</v>
      </c>
      <c r="K132" s="219">
        <f t="shared" si="11"/>
        <v>0</v>
      </c>
      <c r="L132" s="232">
        <f t="shared" si="12"/>
        <v>0</v>
      </c>
      <c r="M132" s="219">
        <f t="shared" si="13"/>
        <v>0</v>
      </c>
      <c r="N132" s="219">
        <f t="shared" si="14"/>
        <v>0</v>
      </c>
      <c r="O132" s="219">
        <f t="shared" si="15"/>
        <v>0</v>
      </c>
      <c r="P132" s="219">
        <f t="shared" si="16"/>
        <v>0</v>
      </c>
      <c r="Q132" s="219">
        <f t="shared" si="17"/>
        <v>0</v>
      </c>
      <c r="R132" s="222">
        <v>5977787.830000001</v>
      </c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</row>
    <row r="133" spans="1:40" hidden="1" x14ac:dyDescent="0.25">
      <c r="A133" s="457" t="s">
        <v>333</v>
      </c>
      <c r="B133" s="224" t="s">
        <v>386</v>
      </c>
      <c r="C133" s="224" t="s">
        <v>387</v>
      </c>
      <c r="D133" s="131" t="s">
        <v>398</v>
      </c>
      <c r="E133" s="131" t="s">
        <v>389</v>
      </c>
      <c r="F133" s="216"/>
      <c r="G133" s="216"/>
      <c r="H133" s="131"/>
      <c r="I133" s="219">
        <f t="shared" ref="I133:I196" si="18">SUM(R133:S133)</f>
        <v>181352079.10000029</v>
      </c>
      <c r="J133" s="219">
        <f t="shared" ref="J133:J196" si="19">SUM(T133:V133)</f>
        <v>0</v>
      </c>
      <c r="K133" s="219">
        <f t="shared" ref="K133:K196" si="20">W133</f>
        <v>0</v>
      </c>
      <c r="L133" s="232">
        <f t="shared" ref="L133:L196" si="21">SUM(X133:AB133)</f>
        <v>0</v>
      </c>
      <c r="M133" s="219">
        <f t="shared" ref="M133:M196" si="22">SUM(AC133:AE133)</f>
        <v>0</v>
      </c>
      <c r="N133" s="219">
        <f t="shared" ref="N133:N196" si="23">AG133</f>
        <v>0</v>
      </c>
      <c r="O133" s="219">
        <f t="shared" ref="O133:O196" si="24">AH133</f>
        <v>0</v>
      </c>
      <c r="P133" s="219">
        <f t="shared" ref="P133:P196" si="25">SUM(AK133:AM133)</f>
        <v>0</v>
      </c>
      <c r="Q133" s="219">
        <f t="shared" ref="Q133:Q196" si="26">AN133</f>
        <v>0</v>
      </c>
      <c r="R133" s="222">
        <v>181352079.10000029</v>
      </c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</row>
    <row r="134" spans="1:40" hidden="1" x14ac:dyDescent="0.25">
      <c r="A134" s="457" t="s">
        <v>21</v>
      </c>
      <c r="B134" s="224" t="s">
        <v>386</v>
      </c>
      <c r="C134" s="224" t="s">
        <v>387</v>
      </c>
      <c r="D134" s="131" t="s">
        <v>398</v>
      </c>
      <c r="E134" s="131" t="s">
        <v>389</v>
      </c>
      <c r="F134" s="216"/>
      <c r="G134" s="216"/>
      <c r="H134" s="131"/>
      <c r="I134" s="219">
        <f t="shared" si="18"/>
        <v>2442669.94</v>
      </c>
      <c r="J134" s="219">
        <f t="shared" si="19"/>
        <v>0</v>
      </c>
      <c r="K134" s="219">
        <f t="shared" si="20"/>
        <v>0</v>
      </c>
      <c r="L134" s="232">
        <f t="shared" si="21"/>
        <v>0</v>
      </c>
      <c r="M134" s="219">
        <f t="shared" si="22"/>
        <v>0</v>
      </c>
      <c r="N134" s="219">
        <f t="shared" si="23"/>
        <v>0</v>
      </c>
      <c r="O134" s="219">
        <f t="shared" si="24"/>
        <v>0</v>
      </c>
      <c r="P134" s="219">
        <f t="shared" si="25"/>
        <v>0</v>
      </c>
      <c r="Q134" s="219">
        <f t="shared" si="26"/>
        <v>0</v>
      </c>
      <c r="R134" s="222">
        <v>2442669.94</v>
      </c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</row>
    <row r="135" spans="1:40" hidden="1" x14ac:dyDescent="0.25">
      <c r="A135" s="457" t="s">
        <v>108</v>
      </c>
      <c r="B135" s="224" t="s">
        <v>386</v>
      </c>
      <c r="C135" s="224" t="s">
        <v>387</v>
      </c>
      <c r="D135" s="131" t="s">
        <v>398</v>
      </c>
      <c r="E135" s="131" t="s">
        <v>389</v>
      </c>
      <c r="F135" s="216"/>
      <c r="G135" s="216"/>
      <c r="H135" s="131"/>
      <c r="I135" s="219">
        <f t="shared" si="18"/>
        <v>25712040.959999997</v>
      </c>
      <c r="J135" s="219">
        <f t="shared" si="19"/>
        <v>0</v>
      </c>
      <c r="K135" s="219">
        <f t="shared" si="20"/>
        <v>0</v>
      </c>
      <c r="L135" s="232">
        <f t="shared" si="21"/>
        <v>0</v>
      </c>
      <c r="M135" s="219">
        <f t="shared" si="22"/>
        <v>0</v>
      </c>
      <c r="N135" s="219">
        <f t="shared" si="23"/>
        <v>0</v>
      </c>
      <c r="O135" s="219">
        <f t="shared" si="24"/>
        <v>0</v>
      </c>
      <c r="P135" s="219">
        <f t="shared" si="25"/>
        <v>0</v>
      </c>
      <c r="Q135" s="219">
        <f t="shared" si="26"/>
        <v>0</v>
      </c>
      <c r="R135" s="222">
        <v>25712040.959999997</v>
      </c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</row>
    <row r="136" spans="1:40" hidden="1" x14ac:dyDescent="0.25">
      <c r="A136" s="457" t="s">
        <v>145</v>
      </c>
      <c r="B136" s="224" t="s">
        <v>386</v>
      </c>
      <c r="C136" s="224" t="s">
        <v>387</v>
      </c>
      <c r="D136" s="131" t="s">
        <v>398</v>
      </c>
      <c r="E136" s="131" t="s">
        <v>389</v>
      </c>
      <c r="F136" s="216"/>
      <c r="G136" s="216"/>
      <c r="H136" s="131"/>
      <c r="I136" s="219">
        <f t="shared" si="18"/>
        <v>36875949.079999946</v>
      </c>
      <c r="J136" s="219">
        <f t="shared" si="19"/>
        <v>0</v>
      </c>
      <c r="K136" s="219">
        <f t="shared" si="20"/>
        <v>0</v>
      </c>
      <c r="L136" s="232">
        <f t="shared" si="21"/>
        <v>0</v>
      </c>
      <c r="M136" s="219">
        <f t="shared" si="22"/>
        <v>0</v>
      </c>
      <c r="N136" s="219">
        <f t="shared" si="23"/>
        <v>0</v>
      </c>
      <c r="O136" s="219">
        <f t="shared" si="24"/>
        <v>0</v>
      </c>
      <c r="P136" s="219">
        <f t="shared" si="25"/>
        <v>0</v>
      </c>
      <c r="Q136" s="219">
        <f t="shared" si="26"/>
        <v>0</v>
      </c>
      <c r="R136" s="222">
        <v>36875949.079999946</v>
      </c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</row>
    <row r="137" spans="1:40" hidden="1" x14ac:dyDescent="0.25">
      <c r="A137" s="457" t="s">
        <v>152</v>
      </c>
      <c r="B137" s="224" t="s">
        <v>386</v>
      </c>
      <c r="C137" s="224" t="s">
        <v>387</v>
      </c>
      <c r="D137" s="131" t="s">
        <v>398</v>
      </c>
      <c r="E137" s="131" t="s">
        <v>389</v>
      </c>
      <c r="F137" s="216"/>
      <c r="G137" s="216"/>
      <c r="H137" s="131"/>
      <c r="I137" s="219">
        <f t="shared" si="18"/>
        <v>1009222.1000000001</v>
      </c>
      <c r="J137" s="219">
        <f t="shared" si="19"/>
        <v>0</v>
      </c>
      <c r="K137" s="219">
        <f t="shared" si="20"/>
        <v>0</v>
      </c>
      <c r="L137" s="232">
        <f t="shared" si="21"/>
        <v>0</v>
      </c>
      <c r="M137" s="219">
        <f t="shared" si="22"/>
        <v>0</v>
      </c>
      <c r="N137" s="219">
        <f t="shared" si="23"/>
        <v>0</v>
      </c>
      <c r="O137" s="219">
        <f t="shared" si="24"/>
        <v>0</v>
      </c>
      <c r="P137" s="219">
        <f t="shared" si="25"/>
        <v>0</v>
      </c>
      <c r="Q137" s="219">
        <f t="shared" si="26"/>
        <v>0</v>
      </c>
      <c r="R137" s="222">
        <v>1009222.1000000001</v>
      </c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</row>
    <row r="138" spans="1:40" hidden="1" x14ac:dyDescent="0.25">
      <c r="A138" s="457" t="s">
        <v>152</v>
      </c>
      <c r="B138" s="224" t="s">
        <v>386</v>
      </c>
      <c r="C138" s="224" t="s">
        <v>387</v>
      </c>
      <c r="D138" s="131" t="s">
        <v>398</v>
      </c>
      <c r="E138" s="131" t="s">
        <v>389</v>
      </c>
      <c r="F138" s="216"/>
      <c r="G138" s="216"/>
      <c r="H138" s="131"/>
      <c r="I138" s="219">
        <f t="shared" si="18"/>
        <v>14656019.640000004</v>
      </c>
      <c r="J138" s="219">
        <f t="shared" si="19"/>
        <v>0</v>
      </c>
      <c r="K138" s="219">
        <f t="shared" si="20"/>
        <v>0</v>
      </c>
      <c r="L138" s="232">
        <f t="shared" si="21"/>
        <v>0</v>
      </c>
      <c r="M138" s="219">
        <f t="shared" si="22"/>
        <v>0</v>
      </c>
      <c r="N138" s="219">
        <f t="shared" si="23"/>
        <v>0</v>
      </c>
      <c r="O138" s="219">
        <f t="shared" si="24"/>
        <v>0</v>
      </c>
      <c r="P138" s="219">
        <f t="shared" si="25"/>
        <v>0</v>
      </c>
      <c r="Q138" s="219">
        <f t="shared" si="26"/>
        <v>0</v>
      </c>
      <c r="R138" s="222">
        <v>14656019.640000004</v>
      </c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</row>
    <row r="139" spans="1:40" hidden="1" x14ac:dyDescent="0.25">
      <c r="A139" s="457" t="s">
        <v>102</v>
      </c>
      <c r="B139" s="224" t="s">
        <v>386</v>
      </c>
      <c r="C139" s="224" t="s">
        <v>387</v>
      </c>
      <c r="D139" s="131" t="s">
        <v>398</v>
      </c>
      <c r="E139" s="131" t="s">
        <v>389</v>
      </c>
      <c r="F139" s="216"/>
      <c r="G139" s="216"/>
      <c r="H139" s="131"/>
      <c r="I139" s="219">
        <f t="shared" si="18"/>
        <v>7030017.2700000023</v>
      </c>
      <c r="J139" s="219">
        <f t="shared" si="19"/>
        <v>0</v>
      </c>
      <c r="K139" s="219">
        <f t="shared" si="20"/>
        <v>0</v>
      </c>
      <c r="L139" s="232">
        <f t="shared" si="21"/>
        <v>0</v>
      </c>
      <c r="M139" s="219">
        <f t="shared" si="22"/>
        <v>0</v>
      </c>
      <c r="N139" s="219">
        <f t="shared" si="23"/>
        <v>0</v>
      </c>
      <c r="O139" s="219">
        <f t="shared" si="24"/>
        <v>0</v>
      </c>
      <c r="P139" s="219">
        <f t="shared" si="25"/>
        <v>0</v>
      </c>
      <c r="Q139" s="219">
        <f t="shared" si="26"/>
        <v>0</v>
      </c>
      <c r="R139" s="222">
        <v>7030017.2700000023</v>
      </c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</row>
    <row r="140" spans="1:40" hidden="1" x14ac:dyDescent="0.25">
      <c r="A140" s="457" t="s">
        <v>156</v>
      </c>
      <c r="B140" s="224" t="s">
        <v>386</v>
      </c>
      <c r="C140" s="224" t="s">
        <v>387</v>
      </c>
      <c r="D140" s="131" t="s">
        <v>398</v>
      </c>
      <c r="E140" s="131" t="s">
        <v>389</v>
      </c>
      <c r="F140" s="216"/>
      <c r="G140" s="216"/>
      <c r="H140" s="131"/>
      <c r="I140" s="219">
        <f t="shared" si="18"/>
        <v>348384027.26000243</v>
      </c>
      <c r="J140" s="219">
        <f t="shared" si="19"/>
        <v>0</v>
      </c>
      <c r="K140" s="219">
        <f t="shared" si="20"/>
        <v>0</v>
      </c>
      <c r="L140" s="232">
        <f t="shared" si="21"/>
        <v>0</v>
      </c>
      <c r="M140" s="219">
        <f t="shared" si="22"/>
        <v>0</v>
      </c>
      <c r="N140" s="219">
        <f t="shared" si="23"/>
        <v>0</v>
      </c>
      <c r="O140" s="219">
        <f t="shared" si="24"/>
        <v>0</v>
      </c>
      <c r="P140" s="219">
        <f t="shared" si="25"/>
        <v>0</v>
      </c>
      <c r="Q140" s="219">
        <f t="shared" si="26"/>
        <v>0</v>
      </c>
      <c r="R140" s="222">
        <v>348384027.26000243</v>
      </c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</row>
    <row r="141" spans="1:40" hidden="1" x14ac:dyDescent="0.25">
      <c r="A141" s="457" t="s">
        <v>18</v>
      </c>
      <c r="B141" s="224" t="s">
        <v>386</v>
      </c>
      <c r="C141" s="224" t="s">
        <v>387</v>
      </c>
      <c r="D141" s="131" t="s">
        <v>398</v>
      </c>
      <c r="E141" s="131" t="s">
        <v>389</v>
      </c>
      <c r="F141" s="216"/>
      <c r="G141" s="216"/>
      <c r="H141" s="131"/>
      <c r="I141" s="219">
        <f t="shared" si="18"/>
        <v>66260277.17999991</v>
      </c>
      <c r="J141" s="219">
        <f t="shared" si="19"/>
        <v>0</v>
      </c>
      <c r="K141" s="219">
        <f t="shared" si="20"/>
        <v>0</v>
      </c>
      <c r="L141" s="232">
        <f t="shared" si="21"/>
        <v>0</v>
      </c>
      <c r="M141" s="219">
        <f t="shared" si="22"/>
        <v>0</v>
      </c>
      <c r="N141" s="219">
        <f t="shared" si="23"/>
        <v>0</v>
      </c>
      <c r="O141" s="219">
        <f t="shared" si="24"/>
        <v>0</v>
      </c>
      <c r="P141" s="219">
        <f t="shared" si="25"/>
        <v>0</v>
      </c>
      <c r="Q141" s="219">
        <f t="shared" si="26"/>
        <v>0</v>
      </c>
      <c r="R141" s="222">
        <v>66260277.17999991</v>
      </c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</row>
    <row r="142" spans="1:40" hidden="1" x14ac:dyDescent="0.25">
      <c r="A142" s="457" t="s">
        <v>105</v>
      </c>
      <c r="B142" s="224" t="s">
        <v>386</v>
      </c>
      <c r="C142" s="224" t="s">
        <v>387</v>
      </c>
      <c r="D142" s="131" t="s">
        <v>398</v>
      </c>
      <c r="E142" s="131" t="s">
        <v>389</v>
      </c>
      <c r="F142" s="216"/>
      <c r="G142" s="216"/>
      <c r="H142" s="131"/>
      <c r="I142" s="219">
        <f t="shared" si="18"/>
        <v>339032466.54000002</v>
      </c>
      <c r="J142" s="219">
        <f t="shared" si="19"/>
        <v>0</v>
      </c>
      <c r="K142" s="219">
        <f t="shared" si="20"/>
        <v>0</v>
      </c>
      <c r="L142" s="232">
        <f t="shared" si="21"/>
        <v>0</v>
      </c>
      <c r="M142" s="219">
        <f t="shared" si="22"/>
        <v>0</v>
      </c>
      <c r="N142" s="219">
        <f t="shared" si="23"/>
        <v>0</v>
      </c>
      <c r="O142" s="219">
        <f t="shared" si="24"/>
        <v>0</v>
      </c>
      <c r="P142" s="219">
        <f t="shared" si="25"/>
        <v>0</v>
      </c>
      <c r="Q142" s="219">
        <f t="shared" si="26"/>
        <v>0</v>
      </c>
      <c r="R142" s="222">
        <v>339032466.54000002</v>
      </c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</row>
    <row r="143" spans="1:40" hidden="1" x14ac:dyDescent="0.25">
      <c r="A143" s="457" t="s">
        <v>154</v>
      </c>
      <c r="B143" s="224" t="s">
        <v>386</v>
      </c>
      <c r="C143" s="224" t="s">
        <v>387</v>
      </c>
      <c r="D143" s="131" t="s">
        <v>398</v>
      </c>
      <c r="E143" s="131" t="s">
        <v>389</v>
      </c>
      <c r="F143" s="216"/>
      <c r="G143" s="216"/>
      <c r="H143" s="131"/>
      <c r="I143" s="219">
        <f t="shared" si="18"/>
        <v>182776693.56999993</v>
      </c>
      <c r="J143" s="219">
        <f t="shared" si="19"/>
        <v>0</v>
      </c>
      <c r="K143" s="219">
        <f t="shared" si="20"/>
        <v>0</v>
      </c>
      <c r="L143" s="232">
        <f t="shared" si="21"/>
        <v>0</v>
      </c>
      <c r="M143" s="219">
        <f t="shared" si="22"/>
        <v>0</v>
      </c>
      <c r="N143" s="219">
        <f t="shared" si="23"/>
        <v>0</v>
      </c>
      <c r="O143" s="219">
        <f t="shared" si="24"/>
        <v>0</v>
      </c>
      <c r="P143" s="219">
        <f t="shared" si="25"/>
        <v>0</v>
      </c>
      <c r="Q143" s="219">
        <f t="shared" si="26"/>
        <v>0</v>
      </c>
      <c r="R143" s="222">
        <v>182776693.56999993</v>
      </c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</row>
    <row r="144" spans="1:40" hidden="1" x14ac:dyDescent="0.25">
      <c r="A144" s="457" t="s">
        <v>432</v>
      </c>
      <c r="B144" s="224" t="s">
        <v>386</v>
      </c>
      <c r="C144" s="224" t="s">
        <v>387</v>
      </c>
      <c r="D144" s="131" t="s">
        <v>398</v>
      </c>
      <c r="E144" s="131" t="s">
        <v>389</v>
      </c>
      <c r="F144" s="216"/>
      <c r="G144" s="216"/>
      <c r="H144" s="131"/>
      <c r="I144" s="219">
        <f t="shared" si="18"/>
        <v>614114.75</v>
      </c>
      <c r="J144" s="219">
        <f t="shared" si="19"/>
        <v>0</v>
      </c>
      <c r="K144" s="219">
        <f t="shared" si="20"/>
        <v>0</v>
      </c>
      <c r="L144" s="232">
        <f t="shared" si="21"/>
        <v>0</v>
      </c>
      <c r="M144" s="219">
        <f t="shared" si="22"/>
        <v>0</v>
      </c>
      <c r="N144" s="219">
        <f t="shared" si="23"/>
        <v>0</v>
      </c>
      <c r="O144" s="219">
        <f t="shared" si="24"/>
        <v>0</v>
      </c>
      <c r="P144" s="219">
        <f t="shared" si="25"/>
        <v>0</v>
      </c>
      <c r="Q144" s="219">
        <f t="shared" si="26"/>
        <v>0</v>
      </c>
      <c r="R144" s="222">
        <v>614114.75</v>
      </c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</row>
    <row r="145" spans="1:40" hidden="1" x14ac:dyDescent="0.25">
      <c r="A145" s="457" t="s">
        <v>160</v>
      </c>
      <c r="B145" s="224" t="s">
        <v>386</v>
      </c>
      <c r="C145" s="224" t="s">
        <v>387</v>
      </c>
      <c r="D145" s="131" t="s">
        <v>398</v>
      </c>
      <c r="E145" s="131" t="s">
        <v>389</v>
      </c>
      <c r="F145" s="216"/>
      <c r="G145" s="216"/>
      <c r="H145" s="131"/>
      <c r="I145" s="219">
        <f t="shared" si="18"/>
        <v>92721808.929999992</v>
      </c>
      <c r="J145" s="219">
        <f t="shared" si="19"/>
        <v>0</v>
      </c>
      <c r="K145" s="219">
        <f t="shared" si="20"/>
        <v>0</v>
      </c>
      <c r="L145" s="232">
        <f t="shared" si="21"/>
        <v>0</v>
      </c>
      <c r="M145" s="219">
        <f t="shared" si="22"/>
        <v>0</v>
      </c>
      <c r="N145" s="219">
        <f t="shared" si="23"/>
        <v>0</v>
      </c>
      <c r="O145" s="219">
        <f t="shared" si="24"/>
        <v>0</v>
      </c>
      <c r="P145" s="219">
        <f t="shared" si="25"/>
        <v>0</v>
      </c>
      <c r="Q145" s="219">
        <f t="shared" si="26"/>
        <v>0</v>
      </c>
      <c r="R145" s="222">
        <v>92721808.929999992</v>
      </c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</row>
    <row r="146" spans="1:40" hidden="1" x14ac:dyDescent="0.25">
      <c r="A146" s="457" t="s">
        <v>151</v>
      </c>
      <c r="B146" s="224" t="s">
        <v>386</v>
      </c>
      <c r="C146" s="224" t="s">
        <v>387</v>
      </c>
      <c r="D146" s="131" t="s">
        <v>398</v>
      </c>
      <c r="E146" s="131" t="s">
        <v>389</v>
      </c>
      <c r="F146" s="216"/>
      <c r="G146" s="216"/>
      <c r="H146" s="131"/>
      <c r="I146" s="219">
        <f t="shared" si="18"/>
        <v>42349125.859999947</v>
      </c>
      <c r="J146" s="219">
        <f t="shared" si="19"/>
        <v>0</v>
      </c>
      <c r="K146" s="219">
        <f t="shared" si="20"/>
        <v>0</v>
      </c>
      <c r="L146" s="232">
        <f t="shared" si="21"/>
        <v>0</v>
      </c>
      <c r="M146" s="219">
        <f t="shared" si="22"/>
        <v>0</v>
      </c>
      <c r="N146" s="219">
        <f t="shared" si="23"/>
        <v>0</v>
      </c>
      <c r="O146" s="219">
        <f t="shared" si="24"/>
        <v>0</v>
      </c>
      <c r="P146" s="219">
        <f t="shared" si="25"/>
        <v>0</v>
      </c>
      <c r="Q146" s="219">
        <f t="shared" si="26"/>
        <v>0</v>
      </c>
      <c r="R146" s="222">
        <v>42349125.859999947</v>
      </c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</row>
    <row r="147" spans="1:40" hidden="1" x14ac:dyDescent="0.25">
      <c r="A147" s="457" t="s">
        <v>93</v>
      </c>
      <c r="B147" s="224" t="s">
        <v>386</v>
      </c>
      <c r="C147" s="224" t="s">
        <v>387</v>
      </c>
      <c r="D147" s="131" t="s">
        <v>398</v>
      </c>
      <c r="E147" s="131" t="s">
        <v>389</v>
      </c>
      <c r="F147" s="216"/>
      <c r="G147" s="216"/>
      <c r="H147" s="131"/>
      <c r="I147" s="219">
        <f t="shared" si="18"/>
        <v>139760675.00000012</v>
      </c>
      <c r="J147" s="219">
        <f t="shared" si="19"/>
        <v>0</v>
      </c>
      <c r="K147" s="219">
        <f t="shared" si="20"/>
        <v>0</v>
      </c>
      <c r="L147" s="232">
        <f t="shared" si="21"/>
        <v>0</v>
      </c>
      <c r="M147" s="219">
        <f t="shared" si="22"/>
        <v>0</v>
      </c>
      <c r="N147" s="219">
        <f t="shared" si="23"/>
        <v>0</v>
      </c>
      <c r="O147" s="219">
        <f t="shared" si="24"/>
        <v>0</v>
      </c>
      <c r="P147" s="219">
        <f t="shared" si="25"/>
        <v>0</v>
      </c>
      <c r="Q147" s="219">
        <f t="shared" si="26"/>
        <v>0</v>
      </c>
      <c r="R147" s="222">
        <v>139760675.00000012</v>
      </c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</row>
    <row r="148" spans="1:40" hidden="1" x14ac:dyDescent="0.25">
      <c r="A148" s="457" t="s">
        <v>17</v>
      </c>
      <c r="B148" s="224" t="s">
        <v>386</v>
      </c>
      <c r="C148" s="224" t="s">
        <v>387</v>
      </c>
      <c r="D148" s="131" t="s">
        <v>398</v>
      </c>
      <c r="E148" s="131" t="s">
        <v>389</v>
      </c>
      <c r="F148" s="216"/>
      <c r="G148" s="216"/>
      <c r="H148" s="131"/>
      <c r="I148" s="219">
        <f t="shared" si="18"/>
        <v>84690420.809999883</v>
      </c>
      <c r="J148" s="219">
        <f t="shared" si="19"/>
        <v>0</v>
      </c>
      <c r="K148" s="219">
        <f t="shared" si="20"/>
        <v>0</v>
      </c>
      <c r="L148" s="232">
        <f t="shared" si="21"/>
        <v>0</v>
      </c>
      <c r="M148" s="219">
        <f t="shared" si="22"/>
        <v>0</v>
      </c>
      <c r="N148" s="219">
        <f t="shared" si="23"/>
        <v>0</v>
      </c>
      <c r="O148" s="219">
        <f t="shared" si="24"/>
        <v>0</v>
      </c>
      <c r="P148" s="219">
        <f t="shared" si="25"/>
        <v>0</v>
      </c>
      <c r="Q148" s="219">
        <f t="shared" si="26"/>
        <v>0</v>
      </c>
      <c r="R148" s="222">
        <v>84690420.809999883</v>
      </c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</row>
    <row r="149" spans="1:40" hidden="1" x14ac:dyDescent="0.25">
      <c r="A149" s="457" t="s">
        <v>435</v>
      </c>
      <c r="B149" s="224" t="s">
        <v>386</v>
      </c>
      <c r="C149" s="224" t="s">
        <v>387</v>
      </c>
      <c r="D149" s="131" t="s">
        <v>398</v>
      </c>
      <c r="E149" s="131" t="s">
        <v>389</v>
      </c>
      <c r="F149" s="216"/>
      <c r="G149" s="216"/>
      <c r="H149" s="131"/>
      <c r="I149" s="219">
        <f t="shared" si="18"/>
        <v>7703483.379999999</v>
      </c>
      <c r="J149" s="219">
        <f t="shared" si="19"/>
        <v>0</v>
      </c>
      <c r="K149" s="219">
        <f t="shared" si="20"/>
        <v>0</v>
      </c>
      <c r="L149" s="232">
        <f t="shared" si="21"/>
        <v>0</v>
      </c>
      <c r="M149" s="219">
        <f t="shared" si="22"/>
        <v>0</v>
      </c>
      <c r="N149" s="219">
        <f t="shared" si="23"/>
        <v>0</v>
      </c>
      <c r="O149" s="219">
        <f t="shared" si="24"/>
        <v>0</v>
      </c>
      <c r="P149" s="219">
        <f t="shared" si="25"/>
        <v>0</v>
      </c>
      <c r="Q149" s="219">
        <f t="shared" si="26"/>
        <v>0</v>
      </c>
      <c r="R149" s="222">
        <v>7703483.379999999</v>
      </c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</row>
    <row r="150" spans="1:40" hidden="1" x14ac:dyDescent="0.25">
      <c r="A150" s="457" t="s">
        <v>336</v>
      </c>
      <c r="B150" s="224" t="s">
        <v>386</v>
      </c>
      <c r="C150" s="224" t="s">
        <v>387</v>
      </c>
      <c r="D150" s="131" t="s">
        <v>398</v>
      </c>
      <c r="E150" s="131" t="s">
        <v>389</v>
      </c>
      <c r="F150" s="216"/>
      <c r="G150" s="216"/>
      <c r="H150" s="131"/>
      <c r="I150" s="219">
        <f t="shared" si="18"/>
        <v>32976044.18999996</v>
      </c>
      <c r="J150" s="219">
        <f t="shared" si="19"/>
        <v>0</v>
      </c>
      <c r="K150" s="219">
        <f t="shared" si="20"/>
        <v>0</v>
      </c>
      <c r="L150" s="232">
        <f t="shared" si="21"/>
        <v>0</v>
      </c>
      <c r="M150" s="219">
        <f t="shared" si="22"/>
        <v>0</v>
      </c>
      <c r="N150" s="219">
        <f t="shared" si="23"/>
        <v>0</v>
      </c>
      <c r="O150" s="219">
        <f t="shared" si="24"/>
        <v>0</v>
      </c>
      <c r="P150" s="219">
        <f t="shared" si="25"/>
        <v>0</v>
      </c>
      <c r="Q150" s="219">
        <f t="shared" si="26"/>
        <v>0</v>
      </c>
      <c r="R150" s="222">
        <v>32976044.18999996</v>
      </c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</row>
    <row r="151" spans="1:40" hidden="1" x14ac:dyDescent="0.25">
      <c r="A151" s="457" t="s">
        <v>420</v>
      </c>
      <c r="B151" s="131" t="s">
        <v>386</v>
      </c>
      <c r="C151" s="131" t="s">
        <v>387</v>
      </c>
      <c r="D151" s="131" t="s">
        <v>436</v>
      </c>
      <c r="E151" s="131" t="s">
        <v>360</v>
      </c>
      <c r="F151" s="216"/>
      <c r="G151" s="216"/>
      <c r="H151" s="131"/>
      <c r="I151" s="219">
        <f t="shared" si="18"/>
        <v>4386979.9100000029</v>
      </c>
      <c r="J151" s="219">
        <f t="shared" si="19"/>
        <v>0</v>
      </c>
      <c r="K151" s="219">
        <f t="shared" si="20"/>
        <v>0</v>
      </c>
      <c r="L151" s="232">
        <f t="shared" si="21"/>
        <v>0</v>
      </c>
      <c r="M151" s="219">
        <f t="shared" si="22"/>
        <v>0</v>
      </c>
      <c r="N151" s="219">
        <f t="shared" si="23"/>
        <v>0</v>
      </c>
      <c r="O151" s="219">
        <f t="shared" si="24"/>
        <v>0</v>
      </c>
      <c r="P151" s="219">
        <f t="shared" si="25"/>
        <v>0</v>
      </c>
      <c r="Q151" s="219">
        <f t="shared" si="26"/>
        <v>0</v>
      </c>
      <c r="R151" s="222">
        <v>4386979.9100000029</v>
      </c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</row>
    <row r="152" spans="1:40" hidden="1" x14ac:dyDescent="0.25">
      <c r="A152" s="457" t="s">
        <v>383</v>
      </c>
      <c r="B152" s="131" t="s">
        <v>386</v>
      </c>
      <c r="C152" s="131" t="s">
        <v>387</v>
      </c>
      <c r="D152" s="131" t="s">
        <v>436</v>
      </c>
      <c r="E152" s="131" t="s">
        <v>360</v>
      </c>
      <c r="F152" s="216"/>
      <c r="G152" s="216"/>
      <c r="H152" s="131"/>
      <c r="I152" s="219">
        <f t="shared" si="18"/>
        <v>108629205.9599967</v>
      </c>
      <c r="J152" s="219">
        <f t="shared" si="19"/>
        <v>0</v>
      </c>
      <c r="K152" s="219">
        <f t="shared" si="20"/>
        <v>0</v>
      </c>
      <c r="L152" s="232">
        <f t="shared" si="21"/>
        <v>0</v>
      </c>
      <c r="M152" s="219">
        <f t="shared" si="22"/>
        <v>0</v>
      </c>
      <c r="N152" s="219">
        <f t="shared" si="23"/>
        <v>0</v>
      </c>
      <c r="O152" s="219">
        <f t="shared" si="24"/>
        <v>0</v>
      </c>
      <c r="P152" s="219">
        <f t="shared" si="25"/>
        <v>0</v>
      </c>
      <c r="Q152" s="219">
        <f t="shared" si="26"/>
        <v>0</v>
      </c>
      <c r="R152" s="222">
        <v>108629205.9599967</v>
      </c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</row>
    <row r="153" spans="1:40" hidden="1" x14ac:dyDescent="0.25">
      <c r="A153" s="457" t="s">
        <v>353</v>
      </c>
      <c r="B153" s="131" t="s">
        <v>386</v>
      </c>
      <c r="C153" s="131" t="s">
        <v>387</v>
      </c>
      <c r="D153" s="131" t="s">
        <v>436</v>
      </c>
      <c r="E153" s="131" t="s">
        <v>360</v>
      </c>
      <c r="F153" s="216"/>
      <c r="G153" s="216"/>
      <c r="H153" s="131"/>
      <c r="I153" s="219">
        <f t="shared" si="18"/>
        <v>255081129.14003366</v>
      </c>
      <c r="J153" s="219">
        <f t="shared" si="19"/>
        <v>0</v>
      </c>
      <c r="K153" s="219">
        <f t="shared" si="20"/>
        <v>0</v>
      </c>
      <c r="L153" s="232">
        <f t="shared" si="21"/>
        <v>0</v>
      </c>
      <c r="M153" s="219">
        <f t="shared" si="22"/>
        <v>0</v>
      </c>
      <c r="N153" s="219">
        <f t="shared" si="23"/>
        <v>0</v>
      </c>
      <c r="O153" s="219">
        <f t="shared" si="24"/>
        <v>0</v>
      </c>
      <c r="P153" s="219">
        <f t="shared" si="25"/>
        <v>0</v>
      </c>
      <c r="Q153" s="219">
        <f t="shared" si="26"/>
        <v>0</v>
      </c>
      <c r="R153" s="222">
        <v>255081129.14003366</v>
      </c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</row>
    <row r="154" spans="1:40" hidden="1" x14ac:dyDescent="0.25">
      <c r="A154" s="457" t="s">
        <v>155</v>
      </c>
      <c r="B154" s="131" t="s">
        <v>386</v>
      </c>
      <c r="C154" s="131" t="s">
        <v>387</v>
      </c>
      <c r="D154" s="131" t="s">
        <v>436</v>
      </c>
      <c r="E154" s="131" t="s">
        <v>360</v>
      </c>
      <c r="F154" s="216"/>
      <c r="G154" s="216"/>
      <c r="H154" s="131"/>
      <c r="I154" s="219">
        <f t="shared" si="18"/>
        <v>1006884.1400000002</v>
      </c>
      <c r="J154" s="219">
        <f t="shared" si="19"/>
        <v>0</v>
      </c>
      <c r="K154" s="219">
        <f t="shared" si="20"/>
        <v>0</v>
      </c>
      <c r="L154" s="232">
        <f t="shared" si="21"/>
        <v>0</v>
      </c>
      <c r="M154" s="219">
        <f t="shared" si="22"/>
        <v>0</v>
      </c>
      <c r="N154" s="219">
        <f t="shared" si="23"/>
        <v>0</v>
      </c>
      <c r="O154" s="219">
        <f t="shared" si="24"/>
        <v>0</v>
      </c>
      <c r="P154" s="219">
        <f t="shared" si="25"/>
        <v>0</v>
      </c>
      <c r="Q154" s="219">
        <f t="shared" si="26"/>
        <v>0</v>
      </c>
      <c r="R154" s="222">
        <v>1006884.1400000002</v>
      </c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</row>
    <row r="155" spans="1:40" hidden="1" x14ac:dyDescent="0.25">
      <c r="A155" s="457" t="s">
        <v>90</v>
      </c>
      <c r="B155" s="131" t="s">
        <v>386</v>
      </c>
      <c r="C155" s="131" t="s">
        <v>387</v>
      </c>
      <c r="D155" s="131" t="s">
        <v>436</v>
      </c>
      <c r="E155" s="131" t="s">
        <v>360</v>
      </c>
      <c r="F155" s="216"/>
      <c r="G155" s="216"/>
      <c r="H155" s="131"/>
      <c r="I155" s="219">
        <f t="shared" si="18"/>
        <v>1220654.8799999994</v>
      </c>
      <c r="J155" s="219">
        <f t="shared" si="19"/>
        <v>0</v>
      </c>
      <c r="K155" s="219">
        <f t="shared" si="20"/>
        <v>0</v>
      </c>
      <c r="L155" s="232">
        <f t="shared" si="21"/>
        <v>0</v>
      </c>
      <c r="M155" s="219">
        <f t="shared" si="22"/>
        <v>0</v>
      </c>
      <c r="N155" s="219">
        <f t="shared" si="23"/>
        <v>0</v>
      </c>
      <c r="O155" s="219">
        <f t="shared" si="24"/>
        <v>0</v>
      </c>
      <c r="P155" s="219">
        <f t="shared" si="25"/>
        <v>0</v>
      </c>
      <c r="Q155" s="219">
        <f t="shared" si="26"/>
        <v>0</v>
      </c>
      <c r="R155" s="222">
        <v>1220654.8799999994</v>
      </c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</row>
    <row r="156" spans="1:40" hidden="1" x14ac:dyDescent="0.25">
      <c r="A156" s="457" t="s">
        <v>344</v>
      </c>
      <c r="B156" s="131" t="s">
        <v>386</v>
      </c>
      <c r="C156" s="131" t="s">
        <v>387</v>
      </c>
      <c r="D156" s="131" t="s">
        <v>436</v>
      </c>
      <c r="E156" s="131" t="s">
        <v>360</v>
      </c>
      <c r="F156" s="216"/>
      <c r="G156" s="216"/>
      <c r="H156" s="131"/>
      <c r="I156" s="219">
        <f t="shared" si="18"/>
        <v>238713553.10999355</v>
      </c>
      <c r="J156" s="219">
        <f t="shared" si="19"/>
        <v>0</v>
      </c>
      <c r="K156" s="219">
        <f t="shared" si="20"/>
        <v>0</v>
      </c>
      <c r="L156" s="232">
        <f t="shared" si="21"/>
        <v>0</v>
      </c>
      <c r="M156" s="219">
        <f t="shared" si="22"/>
        <v>0</v>
      </c>
      <c r="N156" s="219">
        <f t="shared" si="23"/>
        <v>0</v>
      </c>
      <c r="O156" s="219">
        <f t="shared" si="24"/>
        <v>0</v>
      </c>
      <c r="P156" s="219">
        <f t="shared" si="25"/>
        <v>0</v>
      </c>
      <c r="Q156" s="219">
        <f t="shared" si="26"/>
        <v>0</v>
      </c>
      <c r="R156" s="222">
        <v>238713553.10999355</v>
      </c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</row>
    <row r="157" spans="1:40" hidden="1" x14ac:dyDescent="0.25">
      <c r="A157" s="457" t="s">
        <v>42</v>
      </c>
      <c r="B157" s="131" t="s">
        <v>386</v>
      </c>
      <c r="C157" s="131" t="s">
        <v>387</v>
      </c>
      <c r="D157" s="131" t="s">
        <v>436</v>
      </c>
      <c r="E157" s="131" t="s">
        <v>360</v>
      </c>
      <c r="F157" s="216"/>
      <c r="G157" s="216"/>
      <c r="H157" s="131"/>
      <c r="I157" s="219">
        <f t="shared" si="18"/>
        <v>911585.5900000002</v>
      </c>
      <c r="J157" s="219">
        <f t="shared" si="19"/>
        <v>0</v>
      </c>
      <c r="K157" s="219">
        <f t="shared" si="20"/>
        <v>0</v>
      </c>
      <c r="L157" s="232">
        <f t="shared" si="21"/>
        <v>0</v>
      </c>
      <c r="M157" s="219">
        <f t="shared" si="22"/>
        <v>0</v>
      </c>
      <c r="N157" s="219">
        <f t="shared" si="23"/>
        <v>0</v>
      </c>
      <c r="O157" s="219">
        <f t="shared" si="24"/>
        <v>0</v>
      </c>
      <c r="P157" s="219">
        <f t="shared" si="25"/>
        <v>0</v>
      </c>
      <c r="Q157" s="219">
        <f t="shared" si="26"/>
        <v>0</v>
      </c>
      <c r="R157" s="222">
        <v>911585.5900000002</v>
      </c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</row>
    <row r="158" spans="1:40" hidden="1" x14ac:dyDescent="0.25">
      <c r="A158" s="457" t="s">
        <v>173</v>
      </c>
      <c r="B158" s="131" t="s">
        <v>386</v>
      </c>
      <c r="C158" s="131" t="s">
        <v>387</v>
      </c>
      <c r="D158" s="131" t="s">
        <v>436</v>
      </c>
      <c r="E158" s="131" t="s">
        <v>360</v>
      </c>
      <c r="F158" s="216"/>
      <c r="G158" s="216"/>
      <c r="H158" s="131"/>
      <c r="I158" s="219">
        <f t="shared" si="18"/>
        <v>2132240.4700000016</v>
      </c>
      <c r="J158" s="219">
        <f t="shared" si="19"/>
        <v>0</v>
      </c>
      <c r="K158" s="219">
        <f t="shared" si="20"/>
        <v>0</v>
      </c>
      <c r="L158" s="232">
        <f t="shared" si="21"/>
        <v>0</v>
      </c>
      <c r="M158" s="219">
        <f t="shared" si="22"/>
        <v>0</v>
      </c>
      <c r="N158" s="219">
        <f t="shared" si="23"/>
        <v>0</v>
      </c>
      <c r="O158" s="219">
        <f t="shared" si="24"/>
        <v>0</v>
      </c>
      <c r="P158" s="219">
        <f t="shared" si="25"/>
        <v>0</v>
      </c>
      <c r="Q158" s="219">
        <f t="shared" si="26"/>
        <v>0</v>
      </c>
      <c r="R158" s="222">
        <v>2132240.4700000016</v>
      </c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</row>
    <row r="159" spans="1:40" hidden="1" x14ac:dyDescent="0.25">
      <c r="A159" s="457" t="s">
        <v>135</v>
      </c>
      <c r="B159" s="131" t="s">
        <v>386</v>
      </c>
      <c r="C159" s="131" t="s">
        <v>387</v>
      </c>
      <c r="D159" s="131" t="s">
        <v>436</v>
      </c>
      <c r="E159" s="131" t="s">
        <v>360</v>
      </c>
      <c r="F159" s="216"/>
      <c r="G159" s="216"/>
      <c r="H159" s="131"/>
      <c r="I159" s="219">
        <f t="shared" si="18"/>
        <v>1220654.8799999997</v>
      </c>
      <c r="J159" s="219">
        <f t="shared" si="19"/>
        <v>0</v>
      </c>
      <c r="K159" s="219">
        <f t="shared" si="20"/>
        <v>0</v>
      </c>
      <c r="L159" s="232">
        <f t="shared" si="21"/>
        <v>0</v>
      </c>
      <c r="M159" s="219">
        <f t="shared" si="22"/>
        <v>0</v>
      </c>
      <c r="N159" s="219">
        <f t="shared" si="23"/>
        <v>0</v>
      </c>
      <c r="O159" s="219">
        <f t="shared" si="24"/>
        <v>0</v>
      </c>
      <c r="P159" s="219">
        <f t="shared" si="25"/>
        <v>0</v>
      </c>
      <c r="Q159" s="219">
        <f t="shared" si="26"/>
        <v>0</v>
      </c>
      <c r="R159" s="222">
        <v>1220654.8799999997</v>
      </c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</row>
    <row r="160" spans="1:40" hidden="1" x14ac:dyDescent="0.25">
      <c r="A160" s="457" t="s">
        <v>111</v>
      </c>
      <c r="B160" s="131" t="s">
        <v>386</v>
      </c>
      <c r="C160" s="131" t="s">
        <v>387</v>
      </c>
      <c r="D160" s="131" t="s">
        <v>436</v>
      </c>
      <c r="E160" s="131" t="s">
        <v>360</v>
      </c>
      <c r="F160" s="216"/>
      <c r="G160" s="216"/>
      <c r="H160" s="131"/>
      <c r="I160" s="219">
        <f t="shared" si="18"/>
        <v>62849378.649999693</v>
      </c>
      <c r="J160" s="219">
        <f t="shared" si="19"/>
        <v>0</v>
      </c>
      <c r="K160" s="219">
        <f t="shared" si="20"/>
        <v>0</v>
      </c>
      <c r="L160" s="232">
        <f t="shared" si="21"/>
        <v>0</v>
      </c>
      <c r="M160" s="219">
        <f t="shared" si="22"/>
        <v>0</v>
      </c>
      <c r="N160" s="219">
        <f t="shared" si="23"/>
        <v>62849378.649999693</v>
      </c>
      <c r="O160" s="219">
        <f t="shared" si="24"/>
        <v>0</v>
      </c>
      <c r="P160" s="219">
        <f t="shared" si="25"/>
        <v>0</v>
      </c>
      <c r="Q160" s="219">
        <f t="shared" si="26"/>
        <v>0</v>
      </c>
      <c r="R160" s="222">
        <v>62849378.649999693</v>
      </c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222">
        <v>62849378.649999693</v>
      </c>
      <c r="AH160" s="219"/>
      <c r="AI160" s="131"/>
      <c r="AJ160" s="131"/>
      <c r="AK160" s="131"/>
      <c r="AL160" s="131"/>
      <c r="AM160" s="131"/>
      <c r="AN160" s="131"/>
    </row>
    <row r="161" spans="1:40" hidden="1" x14ac:dyDescent="0.25">
      <c r="A161" s="457" t="s">
        <v>345</v>
      </c>
      <c r="B161" s="131" t="s">
        <v>386</v>
      </c>
      <c r="C161" s="131" t="s">
        <v>387</v>
      </c>
      <c r="D161" s="131" t="s">
        <v>436</v>
      </c>
      <c r="E161" s="131" t="s">
        <v>360</v>
      </c>
      <c r="F161" s="216"/>
      <c r="G161" s="216"/>
      <c r="H161" s="131"/>
      <c r="I161" s="219">
        <f t="shared" si="18"/>
        <v>3592537.7499999967</v>
      </c>
      <c r="J161" s="219">
        <f t="shared" si="19"/>
        <v>0</v>
      </c>
      <c r="K161" s="219">
        <f t="shared" si="20"/>
        <v>0</v>
      </c>
      <c r="L161" s="232">
        <f t="shared" si="21"/>
        <v>0</v>
      </c>
      <c r="M161" s="219">
        <f t="shared" si="22"/>
        <v>0</v>
      </c>
      <c r="N161" s="219">
        <f t="shared" si="23"/>
        <v>0</v>
      </c>
      <c r="O161" s="219">
        <f t="shared" si="24"/>
        <v>0</v>
      </c>
      <c r="P161" s="219">
        <f t="shared" si="25"/>
        <v>0</v>
      </c>
      <c r="Q161" s="219">
        <f t="shared" si="26"/>
        <v>0</v>
      </c>
      <c r="R161" s="222">
        <v>3592537.7499999967</v>
      </c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</row>
    <row r="162" spans="1:40" hidden="1" x14ac:dyDescent="0.25">
      <c r="A162" s="457" t="s">
        <v>333</v>
      </c>
      <c r="B162" s="131" t="s">
        <v>386</v>
      </c>
      <c r="C162" s="131" t="s">
        <v>387</v>
      </c>
      <c r="D162" s="131" t="s">
        <v>436</v>
      </c>
      <c r="E162" s="131" t="s">
        <v>360</v>
      </c>
      <c r="F162" s="216"/>
      <c r="G162" s="216"/>
      <c r="H162" s="131"/>
      <c r="I162" s="219">
        <f t="shared" si="18"/>
        <v>3020652.4200000013</v>
      </c>
      <c r="J162" s="219">
        <f t="shared" si="19"/>
        <v>0</v>
      </c>
      <c r="K162" s="219">
        <f t="shared" si="20"/>
        <v>0</v>
      </c>
      <c r="L162" s="232">
        <f t="shared" si="21"/>
        <v>0</v>
      </c>
      <c r="M162" s="219">
        <f t="shared" si="22"/>
        <v>0</v>
      </c>
      <c r="N162" s="219">
        <f t="shared" si="23"/>
        <v>0</v>
      </c>
      <c r="O162" s="219">
        <f t="shared" si="24"/>
        <v>0</v>
      </c>
      <c r="P162" s="219">
        <f t="shared" si="25"/>
        <v>0</v>
      </c>
      <c r="Q162" s="219">
        <f t="shared" si="26"/>
        <v>0</v>
      </c>
      <c r="R162" s="222">
        <v>3020652.4200000013</v>
      </c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</row>
    <row r="163" spans="1:40" hidden="1" x14ac:dyDescent="0.25">
      <c r="A163" s="457" t="s">
        <v>127</v>
      </c>
      <c r="B163" s="131" t="s">
        <v>386</v>
      </c>
      <c r="C163" s="131" t="s">
        <v>387</v>
      </c>
      <c r="D163" s="131" t="s">
        <v>436</v>
      </c>
      <c r="E163" s="131" t="s">
        <v>360</v>
      </c>
      <c r="F163" s="216"/>
      <c r="G163" s="216"/>
      <c r="H163" s="131"/>
      <c r="I163" s="219">
        <f t="shared" si="18"/>
        <v>300455001.50000781</v>
      </c>
      <c r="J163" s="219">
        <f t="shared" si="19"/>
        <v>0</v>
      </c>
      <c r="K163" s="219">
        <f t="shared" si="20"/>
        <v>0</v>
      </c>
      <c r="L163" s="232">
        <f t="shared" si="21"/>
        <v>0</v>
      </c>
      <c r="M163" s="219">
        <f t="shared" si="22"/>
        <v>0</v>
      </c>
      <c r="N163" s="219">
        <f t="shared" si="23"/>
        <v>0</v>
      </c>
      <c r="O163" s="219">
        <f t="shared" si="24"/>
        <v>0</v>
      </c>
      <c r="P163" s="219">
        <f t="shared" si="25"/>
        <v>0</v>
      </c>
      <c r="Q163" s="219">
        <f t="shared" si="26"/>
        <v>0</v>
      </c>
      <c r="R163" s="222">
        <v>300455001.50000781</v>
      </c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</row>
    <row r="164" spans="1:40" hidden="1" x14ac:dyDescent="0.25">
      <c r="A164" s="457" t="s">
        <v>123</v>
      </c>
      <c r="B164" s="131" t="s">
        <v>386</v>
      </c>
      <c r="C164" s="131" t="s">
        <v>387</v>
      </c>
      <c r="D164" s="131" t="s">
        <v>436</v>
      </c>
      <c r="E164" s="131" t="s">
        <v>360</v>
      </c>
      <c r="F164" s="216"/>
      <c r="G164" s="216"/>
      <c r="H164" s="131"/>
      <c r="I164" s="219">
        <f t="shared" si="18"/>
        <v>1220654.8799999992</v>
      </c>
      <c r="J164" s="219">
        <f t="shared" si="19"/>
        <v>0</v>
      </c>
      <c r="K164" s="219">
        <f t="shared" si="20"/>
        <v>0</v>
      </c>
      <c r="L164" s="232">
        <f t="shared" si="21"/>
        <v>0</v>
      </c>
      <c r="M164" s="219">
        <f t="shared" si="22"/>
        <v>0</v>
      </c>
      <c r="N164" s="219">
        <f t="shared" si="23"/>
        <v>0</v>
      </c>
      <c r="O164" s="219">
        <f t="shared" si="24"/>
        <v>0</v>
      </c>
      <c r="P164" s="219">
        <f t="shared" si="25"/>
        <v>0</v>
      </c>
      <c r="Q164" s="219">
        <f t="shared" si="26"/>
        <v>0</v>
      </c>
      <c r="R164" s="222">
        <v>1220654.8799999992</v>
      </c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</row>
    <row r="165" spans="1:40" hidden="1" x14ac:dyDescent="0.25">
      <c r="A165" s="457" t="s">
        <v>102</v>
      </c>
      <c r="B165" s="131" t="s">
        <v>386</v>
      </c>
      <c r="C165" s="131" t="s">
        <v>387</v>
      </c>
      <c r="D165" s="131" t="s">
        <v>436</v>
      </c>
      <c r="E165" s="131" t="s">
        <v>360</v>
      </c>
      <c r="F165" s="216"/>
      <c r="G165" s="216"/>
      <c r="H165" s="131"/>
      <c r="I165" s="219">
        <f t="shared" si="18"/>
        <v>399077386.25999945</v>
      </c>
      <c r="J165" s="219">
        <f t="shared" si="19"/>
        <v>0</v>
      </c>
      <c r="K165" s="219">
        <f t="shared" si="20"/>
        <v>0</v>
      </c>
      <c r="L165" s="232">
        <f t="shared" si="21"/>
        <v>0</v>
      </c>
      <c r="M165" s="219">
        <f t="shared" si="22"/>
        <v>0</v>
      </c>
      <c r="N165" s="219">
        <f t="shared" si="23"/>
        <v>0</v>
      </c>
      <c r="O165" s="219">
        <f t="shared" si="24"/>
        <v>0</v>
      </c>
      <c r="P165" s="219">
        <f t="shared" si="25"/>
        <v>0</v>
      </c>
      <c r="Q165" s="219">
        <f t="shared" si="26"/>
        <v>0</v>
      </c>
      <c r="R165" s="222">
        <v>399077386.25999945</v>
      </c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</row>
    <row r="166" spans="1:40" hidden="1" x14ac:dyDescent="0.25">
      <c r="A166" s="457" t="s">
        <v>156</v>
      </c>
      <c r="B166" s="131" t="s">
        <v>386</v>
      </c>
      <c r="C166" s="131" t="s">
        <v>387</v>
      </c>
      <c r="D166" s="131" t="s">
        <v>436</v>
      </c>
      <c r="E166" s="131" t="s">
        <v>360</v>
      </c>
      <c r="F166" s="216"/>
      <c r="G166" s="216"/>
      <c r="H166" s="131"/>
      <c r="I166" s="219">
        <f t="shared" si="18"/>
        <v>1006884.1399999999</v>
      </c>
      <c r="J166" s="219">
        <f t="shared" si="19"/>
        <v>0</v>
      </c>
      <c r="K166" s="219">
        <f t="shared" si="20"/>
        <v>0</v>
      </c>
      <c r="L166" s="232">
        <f t="shared" si="21"/>
        <v>0</v>
      </c>
      <c r="M166" s="219">
        <f t="shared" si="22"/>
        <v>0</v>
      </c>
      <c r="N166" s="219">
        <f t="shared" si="23"/>
        <v>0</v>
      </c>
      <c r="O166" s="219">
        <f t="shared" si="24"/>
        <v>0</v>
      </c>
      <c r="P166" s="219">
        <f t="shared" si="25"/>
        <v>0</v>
      </c>
      <c r="Q166" s="219">
        <f t="shared" si="26"/>
        <v>0</v>
      </c>
      <c r="R166" s="222">
        <v>1006884.1399999999</v>
      </c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</row>
    <row r="167" spans="1:40" hidden="1" x14ac:dyDescent="0.25">
      <c r="A167" s="457" t="s">
        <v>346</v>
      </c>
      <c r="B167" s="131" t="s">
        <v>386</v>
      </c>
      <c r="C167" s="131" t="s">
        <v>387</v>
      </c>
      <c r="D167" s="131" t="s">
        <v>436</v>
      </c>
      <c r="E167" s="131" t="s">
        <v>360</v>
      </c>
      <c r="F167" s="216"/>
      <c r="G167" s="216"/>
      <c r="H167" s="131"/>
      <c r="I167" s="219">
        <f t="shared" si="18"/>
        <v>1006884.1400000001</v>
      </c>
      <c r="J167" s="219">
        <f t="shared" si="19"/>
        <v>0</v>
      </c>
      <c r="K167" s="219">
        <f t="shared" si="20"/>
        <v>0</v>
      </c>
      <c r="L167" s="232">
        <f t="shared" si="21"/>
        <v>0</v>
      </c>
      <c r="M167" s="219">
        <f t="shared" si="22"/>
        <v>0</v>
      </c>
      <c r="N167" s="219">
        <f t="shared" si="23"/>
        <v>0</v>
      </c>
      <c r="O167" s="219">
        <f t="shared" si="24"/>
        <v>0</v>
      </c>
      <c r="P167" s="219">
        <f t="shared" si="25"/>
        <v>0</v>
      </c>
      <c r="Q167" s="219">
        <f t="shared" si="26"/>
        <v>0</v>
      </c>
      <c r="R167" s="222">
        <v>1006884.1400000001</v>
      </c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</row>
    <row r="168" spans="1:40" hidden="1" x14ac:dyDescent="0.25">
      <c r="A168" s="457" t="s">
        <v>118</v>
      </c>
      <c r="B168" s="131" t="s">
        <v>386</v>
      </c>
      <c r="C168" s="131" t="s">
        <v>387</v>
      </c>
      <c r="D168" s="131" t="s">
        <v>436</v>
      </c>
      <c r="E168" s="131" t="s">
        <v>360</v>
      </c>
      <c r="F168" s="216">
        <v>1</v>
      </c>
      <c r="G168" s="216">
        <v>1</v>
      </c>
      <c r="H168" s="131" t="s">
        <v>343</v>
      </c>
      <c r="I168" s="219">
        <f t="shared" si="18"/>
        <v>745246078.52010083</v>
      </c>
      <c r="J168" s="219">
        <f t="shared" si="19"/>
        <v>0</v>
      </c>
      <c r="K168" s="219">
        <f t="shared" si="20"/>
        <v>0</v>
      </c>
      <c r="L168" s="232">
        <f t="shared" si="21"/>
        <v>0</v>
      </c>
      <c r="M168" s="219">
        <f t="shared" si="22"/>
        <v>0</v>
      </c>
      <c r="N168" s="219">
        <f t="shared" si="23"/>
        <v>0</v>
      </c>
      <c r="O168" s="219">
        <f t="shared" si="24"/>
        <v>453601227.03999996</v>
      </c>
      <c r="P168" s="219">
        <f t="shared" si="25"/>
        <v>0</v>
      </c>
      <c r="Q168" s="219">
        <f t="shared" si="26"/>
        <v>0</v>
      </c>
      <c r="R168" s="222">
        <v>745246078.52010083</v>
      </c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230">
        <v>453601227.03999996</v>
      </c>
      <c r="AI168" s="131"/>
      <c r="AJ168" s="131"/>
      <c r="AK168" s="131"/>
      <c r="AL168" s="131"/>
      <c r="AM168" s="131"/>
      <c r="AN168" s="131"/>
    </row>
    <row r="169" spans="1:40" hidden="1" x14ac:dyDescent="0.25">
      <c r="A169" s="457" t="s">
        <v>160</v>
      </c>
      <c r="B169" s="131" t="s">
        <v>386</v>
      </c>
      <c r="C169" s="131" t="s">
        <v>387</v>
      </c>
      <c r="D169" s="131" t="s">
        <v>436</v>
      </c>
      <c r="E169" s="131" t="s">
        <v>360</v>
      </c>
      <c r="F169" s="216"/>
      <c r="G169" s="216"/>
      <c r="H169" s="131"/>
      <c r="I169" s="219">
        <f t="shared" si="18"/>
        <v>1006884.1400000001</v>
      </c>
      <c r="J169" s="219">
        <f t="shared" si="19"/>
        <v>0</v>
      </c>
      <c r="K169" s="219">
        <f t="shared" si="20"/>
        <v>0</v>
      </c>
      <c r="L169" s="232">
        <f t="shared" si="21"/>
        <v>0</v>
      </c>
      <c r="M169" s="219">
        <f t="shared" si="22"/>
        <v>0</v>
      </c>
      <c r="N169" s="219">
        <f t="shared" si="23"/>
        <v>0</v>
      </c>
      <c r="O169" s="219">
        <f t="shared" si="24"/>
        <v>0</v>
      </c>
      <c r="P169" s="219">
        <f t="shared" si="25"/>
        <v>0</v>
      </c>
      <c r="Q169" s="219">
        <f t="shared" si="26"/>
        <v>0</v>
      </c>
      <c r="R169" s="222">
        <v>1006884.1400000001</v>
      </c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</row>
    <row r="170" spans="1:40" hidden="1" x14ac:dyDescent="0.25">
      <c r="A170" s="457" t="s">
        <v>93</v>
      </c>
      <c r="B170" s="131" t="s">
        <v>386</v>
      </c>
      <c r="C170" s="131" t="s">
        <v>387</v>
      </c>
      <c r="D170" s="131" t="s">
        <v>436</v>
      </c>
      <c r="E170" s="131" t="s">
        <v>360</v>
      </c>
      <c r="F170" s="216"/>
      <c r="G170" s="216"/>
      <c r="H170" s="131"/>
      <c r="I170" s="219">
        <f t="shared" si="18"/>
        <v>9452726.7900000159</v>
      </c>
      <c r="J170" s="219">
        <f t="shared" si="19"/>
        <v>0</v>
      </c>
      <c r="K170" s="219">
        <f t="shared" si="20"/>
        <v>0</v>
      </c>
      <c r="L170" s="232">
        <f t="shared" si="21"/>
        <v>0</v>
      </c>
      <c r="M170" s="219">
        <f t="shared" si="22"/>
        <v>0</v>
      </c>
      <c r="N170" s="219">
        <f t="shared" si="23"/>
        <v>0</v>
      </c>
      <c r="O170" s="219">
        <f t="shared" si="24"/>
        <v>0</v>
      </c>
      <c r="P170" s="219">
        <f t="shared" si="25"/>
        <v>0</v>
      </c>
      <c r="Q170" s="219">
        <f t="shared" si="26"/>
        <v>0</v>
      </c>
      <c r="R170" s="222">
        <v>9452726.7900000159</v>
      </c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</row>
    <row r="171" spans="1:40" hidden="1" x14ac:dyDescent="0.25">
      <c r="A171" s="457" t="s">
        <v>55</v>
      </c>
      <c r="B171" s="131" t="s">
        <v>386</v>
      </c>
      <c r="C171" s="131" t="s">
        <v>387</v>
      </c>
      <c r="D171" s="131" t="s">
        <v>436</v>
      </c>
      <c r="E171" s="131" t="s">
        <v>360</v>
      </c>
      <c r="F171" s="216"/>
      <c r="G171" s="216"/>
      <c r="H171" s="131"/>
      <c r="I171" s="219">
        <f t="shared" si="18"/>
        <v>1006884.1399999999</v>
      </c>
      <c r="J171" s="219">
        <f t="shared" si="19"/>
        <v>0</v>
      </c>
      <c r="K171" s="219">
        <f t="shared" si="20"/>
        <v>0</v>
      </c>
      <c r="L171" s="232">
        <f t="shared" si="21"/>
        <v>0</v>
      </c>
      <c r="M171" s="219">
        <f t="shared" si="22"/>
        <v>0</v>
      </c>
      <c r="N171" s="219">
        <f t="shared" si="23"/>
        <v>0</v>
      </c>
      <c r="O171" s="219">
        <f t="shared" si="24"/>
        <v>0</v>
      </c>
      <c r="P171" s="219">
        <f t="shared" si="25"/>
        <v>0</v>
      </c>
      <c r="Q171" s="219">
        <f t="shared" si="26"/>
        <v>0</v>
      </c>
      <c r="R171" s="222">
        <v>1006884.1399999999</v>
      </c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</row>
    <row r="172" spans="1:40" hidden="1" x14ac:dyDescent="0.25">
      <c r="A172" s="457" t="s">
        <v>133</v>
      </c>
      <c r="B172" s="131" t="s">
        <v>386</v>
      </c>
      <c r="C172" s="131" t="s">
        <v>387</v>
      </c>
      <c r="D172" s="131" t="s">
        <v>436</v>
      </c>
      <c r="E172" s="131" t="s">
        <v>360</v>
      </c>
      <c r="F172" s="216"/>
      <c r="G172" s="216"/>
      <c r="H172" s="131"/>
      <c r="I172" s="219">
        <f t="shared" si="18"/>
        <v>22106208.609999988</v>
      </c>
      <c r="J172" s="219">
        <f t="shared" si="19"/>
        <v>0</v>
      </c>
      <c r="K172" s="219">
        <f t="shared" si="20"/>
        <v>0</v>
      </c>
      <c r="L172" s="232">
        <f t="shared" si="21"/>
        <v>0</v>
      </c>
      <c r="M172" s="219">
        <f t="shared" si="22"/>
        <v>0</v>
      </c>
      <c r="N172" s="219">
        <f t="shared" si="23"/>
        <v>0</v>
      </c>
      <c r="O172" s="219">
        <f t="shared" si="24"/>
        <v>0</v>
      </c>
      <c r="P172" s="219">
        <f t="shared" si="25"/>
        <v>0</v>
      </c>
      <c r="Q172" s="219">
        <f t="shared" si="26"/>
        <v>0</v>
      </c>
      <c r="R172" s="222">
        <v>22106208.609999988</v>
      </c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</row>
    <row r="173" spans="1:40" hidden="1" x14ac:dyDescent="0.25">
      <c r="A173" s="457" t="s">
        <v>120</v>
      </c>
      <c r="B173" s="131" t="s">
        <v>386</v>
      </c>
      <c r="C173" s="131" t="s">
        <v>387</v>
      </c>
      <c r="D173" s="131" t="s">
        <v>436</v>
      </c>
      <c r="E173" s="131" t="s">
        <v>360</v>
      </c>
      <c r="F173" s="216"/>
      <c r="G173" s="216"/>
      <c r="H173" s="131"/>
      <c r="I173" s="219">
        <f t="shared" si="18"/>
        <v>212080190.05000722</v>
      </c>
      <c r="J173" s="219">
        <f t="shared" si="19"/>
        <v>0</v>
      </c>
      <c r="K173" s="219">
        <f t="shared" si="20"/>
        <v>0</v>
      </c>
      <c r="L173" s="232">
        <f t="shared" si="21"/>
        <v>0</v>
      </c>
      <c r="M173" s="219">
        <f t="shared" si="22"/>
        <v>0</v>
      </c>
      <c r="N173" s="219">
        <f t="shared" si="23"/>
        <v>0</v>
      </c>
      <c r="O173" s="219">
        <f t="shared" si="24"/>
        <v>0</v>
      </c>
      <c r="P173" s="219">
        <f t="shared" si="25"/>
        <v>0</v>
      </c>
      <c r="Q173" s="219">
        <f t="shared" si="26"/>
        <v>0</v>
      </c>
      <c r="R173" s="222">
        <v>212080190.05000722</v>
      </c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</row>
    <row r="174" spans="1:40" hidden="1" x14ac:dyDescent="0.25">
      <c r="A174" s="457" t="s">
        <v>385</v>
      </c>
      <c r="B174" s="131" t="s">
        <v>386</v>
      </c>
      <c r="C174" s="131" t="s">
        <v>387</v>
      </c>
      <c r="D174" s="131" t="s">
        <v>436</v>
      </c>
      <c r="E174" s="131" t="s">
        <v>360</v>
      </c>
      <c r="F174" s="216"/>
      <c r="G174" s="216"/>
      <c r="H174" s="131"/>
      <c r="I174" s="219">
        <f t="shared" si="18"/>
        <v>33039185.340000134</v>
      </c>
      <c r="J174" s="219">
        <f t="shared" si="19"/>
        <v>0</v>
      </c>
      <c r="K174" s="219">
        <f t="shared" si="20"/>
        <v>0</v>
      </c>
      <c r="L174" s="232">
        <f t="shared" si="21"/>
        <v>0</v>
      </c>
      <c r="M174" s="219">
        <f t="shared" si="22"/>
        <v>0</v>
      </c>
      <c r="N174" s="219">
        <f t="shared" si="23"/>
        <v>0</v>
      </c>
      <c r="O174" s="219">
        <f t="shared" si="24"/>
        <v>0</v>
      </c>
      <c r="P174" s="219">
        <f t="shared" si="25"/>
        <v>0</v>
      </c>
      <c r="Q174" s="219">
        <f t="shared" si="26"/>
        <v>0</v>
      </c>
      <c r="R174" s="222">
        <v>33039185.340000134</v>
      </c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</row>
    <row r="175" spans="1:40" hidden="1" x14ac:dyDescent="0.25">
      <c r="A175" s="457" t="s">
        <v>347</v>
      </c>
      <c r="B175" s="131" t="s">
        <v>386</v>
      </c>
      <c r="C175" s="131" t="s">
        <v>387</v>
      </c>
      <c r="D175" s="131" t="s">
        <v>436</v>
      </c>
      <c r="E175" s="131" t="s">
        <v>360</v>
      </c>
      <c r="F175" s="216"/>
      <c r="G175" s="216"/>
      <c r="H175" s="131"/>
      <c r="I175" s="219">
        <f t="shared" si="18"/>
        <v>173307347.28000385</v>
      </c>
      <c r="J175" s="219">
        <f t="shared" si="19"/>
        <v>0</v>
      </c>
      <c r="K175" s="219">
        <f t="shared" si="20"/>
        <v>0</v>
      </c>
      <c r="L175" s="232">
        <f t="shared" si="21"/>
        <v>0</v>
      </c>
      <c r="M175" s="219">
        <f t="shared" si="22"/>
        <v>0</v>
      </c>
      <c r="N175" s="219">
        <f t="shared" si="23"/>
        <v>0</v>
      </c>
      <c r="O175" s="219">
        <f t="shared" si="24"/>
        <v>0</v>
      </c>
      <c r="P175" s="219">
        <f t="shared" si="25"/>
        <v>0</v>
      </c>
      <c r="Q175" s="219">
        <f t="shared" si="26"/>
        <v>0</v>
      </c>
      <c r="R175" s="222">
        <v>173307347.28000385</v>
      </c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</row>
    <row r="176" spans="1:40" hidden="1" x14ac:dyDescent="0.25">
      <c r="A176" s="457" t="s">
        <v>103</v>
      </c>
      <c r="B176" s="131" t="s">
        <v>386</v>
      </c>
      <c r="C176" s="131" t="s">
        <v>387</v>
      </c>
      <c r="D176" s="131" t="s">
        <v>436</v>
      </c>
      <c r="E176" s="131" t="s">
        <v>360</v>
      </c>
      <c r="F176" s="216"/>
      <c r="G176" s="216"/>
      <c r="H176" s="131"/>
      <c r="I176" s="219">
        <f t="shared" si="18"/>
        <v>249482271.56004351</v>
      </c>
      <c r="J176" s="219">
        <f t="shared" si="19"/>
        <v>0</v>
      </c>
      <c r="K176" s="219">
        <f t="shared" si="20"/>
        <v>0</v>
      </c>
      <c r="L176" s="232">
        <f t="shared" si="21"/>
        <v>0</v>
      </c>
      <c r="M176" s="219">
        <f t="shared" si="22"/>
        <v>0</v>
      </c>
      <c r="N176" s="219">
        <f t="shared" si="23"/>
        <v>0</v>
      </c>
      <c r="O176" s="219">
        <f t="shared" si="24"/>
        <v>0</v>
      </c>
      <c r="P176" s="219">
        <f t="shared" si="25"/>
        <v>0</v>
      </c>
      <c r="Q176" s="219">
        <f t="shared" si="26"/>
        <v>0</v>
      </c>
      <c r="R176" s="222">
        <v>249482271.56004351</v>
      </c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</row>
    <row r="177" spans="1:40" hidden="1" x14ac:dyDescent="0.25">
      <c r="A177" s="457" t="s">
        <v>417</v>
      </c>
      <c r="B177" s="131" t="s">
        <v>386</v>
      </c>
      <c r="C177" s="131" t="s">
        <v>387</v>
      </c>
      <c r="D177" s="131" t="s">
        <v>436</v>
      </c>
      <c r="E177" s="131" t="s">
        <v>360</v>
      </c>
      <c r="F177" s="216"/>
      <c r="G177" s="216"/>
      <c r="H177" s="131"/>
      <c r="I177" s="219">
        <f t="shared" si="18"/>
        <v>69327183.080001146</v>
      </c>
      <c r="J177" s="219">
        <f t="shared" si="19"/>
        <v>0</v>
      </c>
      <c r="K177" s="219">
        <f t="shared" si="20"/>
        <v>0</v>
      </c>
      <c r="L177" s="232">
        <f t="shared" si="21"/>
        <v>0</v>
      </c>
      <c r="M177" s="219">
        <f t="shared" si="22"/>
        <v>0</v>
      </c>
      <c r="N177" s="219">
        <f t="shared" si="23"/>
        <v>0</v>
      </c>
      <c r="O177" s="219">
        <f t="shared" si="24"/>
        <v>0</v>
      </c>
      <c r="P177" s="219">
        <f t="shared" si="25"/>
        <v>0</v>
      </c>
      <c r="Q177" s="219">
        <f t="shared" si="26"/>
        <v>0</v>
      </c>
      <c r="R177" s="222">
        <v>69327183.080001146</v>
      </c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</row>
    <row r="178" spans="1:40" hidden="1" x14ac:dyDescent="0.25">
      <c r="A178" s="459"/>
      <c r="I178" s="219">
        <f t="shared" si="18"/>
        <v>0</v>
      </c>
      <c r="J178" s="219">
        <f t="shared" si="19"/>
        <v>0</v>
      </c>
      <c r="K178" s="219">
        <f t="shared" si="20"/>
        <v>0</v>
      </c>
      <c r="L178" s="232">
        <f t="shared" si="21"/>
        <v>0</v>
      </c>
      <c r="M178" s="219">
        <f t="shared" si="22"/>
        <v>0</v>
      </c>
      <c r="N178" s="219">
        <f t="shared" si="23"/>
        <v>0</v>
      </c>
      <c r="O178" s="219">
        <f t="shared" si="24"/>
        <v>0</v>
      </c>
      <c r="P178" s="219">
        <f t="shared" si="25"/>
        <v>0</v>
      </c>
      <c r="Q178" s="219">
        <f t="shared" si="26"/>
        <v>0</v>
      </c>
    </row>
    <row r="179" spans="1:40" hidden="1" x14ac:dyDescent="0.25">
      <c r="A179" s="459"/>
      <c r="I179" s="219">
        <f t="shared" si="18"/>
        <v>0</v>
      </c>
      <c r="J179" s="219">
        <f t="shared" si="19"/>
        <v>0</v>
      </c>
      <c r="K179" s="219">
        <f t="shared" si="20"/>
        <v>0</v>
      </c>
      <c r="L179" s="232">
        <f t="shared" si="21"/>
        <v>0</v>
      </c>
      <c r="M179" s="219">
        <f t="shared" si="22"/>
        <v>0</v>
      </c>
      <c r="N179" s="219">
        <f t="shared" si="23"/>
        <v>0</v>
      </c>
      <c r="O179" s="219">
        <f t="shared" si="24"/>
        <v>0</v>
      </c>
      <c r="P179" s="219">
        <f t="shared" si="25"/>
        <v>0</v>
      </c>
      <c r="Q179" s="219">
        <f t="shared" si="26"/>
        <v>0</v>
      </c>
    </row>
    <row r="180" spans="1:40" hidden="1" x14ac:dyDescent="0.25">
      <c r="A180" s="459"/>
      <c r="I180" s="219">
        <f t="shared" si="18"/>
        <v>0</v>
      </c>
      <c r="J180" s="219">
        <f t="shared" si="19"/>
        <v>0</v>
      </c>
      <c r="K180" s="219">
        <f t="shared" si="20"/>
        <v>0</v>
      </c>
      <c r="L180" s="232">
        <f t="shared" si="21"/>
        <v>0</v>
      </c>
      <c r="M180" s="219">
        <f t="shared" si="22"/>
        <v>0</v>
      </c>
      <c r="N180" s="219">
        <f t="shared" si="23"/>
        <v>0</v>
      </c>
      <c r="O180" s="219">
        <f t="shared" si="24"/>
        <v>0</v>
      </c>
      <c r="P180" s="219">
        <f t="shared" si="25"/>
        <v>0</v>
      </c>
      <c r="Q180" s="219">
        <f t="shared" si="26"/>
        <v>0</v>
      </c>
    </row>
    <row r="181" spans="1:40" hidden="1" x14ac:dyDescent="0.25">
      <c r="A181" s="459"/>
      <c r="I181" s="219">
        <f t="shared" si="18"/>
        <v>0</v>
      </c>
      <c r="J181" s="219">
        <f t="shared" si="19"/>
        <v>0</v>
      </c>
      <c r="K181" s="219">
        <f t="shared" si="20"/>
        <v>0</v>
      </c>
      <c r="L181" s="232">
        <f t="shared" si="21"/>
        <v>0</v>
      </c>
      <c r="M181" s="219">
        <f t="shared" si="22"/>
        <v>0</v>
      </c>
      <c r="N181" s="219">
        <f t="shared" si="23"/>
        <v>0</v>
      </c>
      <c r="O181" s="219">
        <f t="shared" si="24"/>
        <v>0</v>
      </c>
      <c r="P181" s="219">
        <f t="shared" si="25"/>
        <v>0</v>
      </c>
      <c r="Q181" s="219">
        <f t="shared" si="26"/>
        <v>0</v>
      </c>
    </row>
    <row r="182" spans="1:40" hidden="1" x14ac:dyDescent="0.25">
      <c r="A182" s="459"/>
      <c r="I182" s="219">
        <f t="shared" si="18"/>
        <v>0</v>
      </c>
      <c r="J182" s="219">
        <f t="shared" si="19"/>
        <v>0</v>
      </c>
      <c r="K182" s="219">
        <f t="shared" si="20"/>
        <v>0</v>
      </c>
      <c r="L182" s="232">
        <f t="shared" si="21"/>
        <v>0</v>
      </c>
      <c r="M182" s="219">
        <f t="shared" si="22"/>
        <v>0</v>
      </c>
      <c r="N182" s="219">
        <f t="shared" si="23"/>
        <v>0</v>
      </c>
      <c r="O182" s="219">
        <f t="shared" si="24"/>
        <v>0</v>
      </c>
      <c r="P182" s="219">
        <f t="shared" si="25"/>
        <v>0</v>
      </c>
      <c r="Q182" s="219">
        <f t="shared" si="26"/>
        <v>0</v>
      </c>
    </row>
    <row r="183" spans="1:40" hidden="1" x14ac:dyDescent="0.25">
      <c r="A183" s="459"/>
      <c r="I183" s="219">
        <f t="shared" si="18"/>
        <v>0</v>
      </c>
      <c r="J183" s="219">
        <f t="shared" si="19"/>
        <v>0</v>
      </c>
      <c r="K183" s="219">
        <f t="shared" si="20"/>
        <v>0</v>
      </c>
      <c r="L183" s="232">
        <f t="shared" si="21"/>
        <v>0</v>
      </c>
      <c r="M183" s="219">
        <f t="shared" si="22"/>
        <v>0</v>
      </c>
      <c r="N183" s="219">
        <f t="shared" si="23"/>
        <v>0</v>
      </c>
      <c r="O183" s="219">
        <f t="shared" si="24"/>
        <v>0</v>
      </c>
      <c r="P183" s="219">
        <f t="shared" si="25"/>
        <v>0</v>
      </c>
      <c r="Q183" s="219">
        <f t="shared" si="26"/>
        <v>0</v>
      </c>
    </row>
    <row r="184" spans="1:40" hidden="1" x14ac:dyDescent="0.25">
      <c r="A184" s="459"/>
      <c r="I184" s="219">
        <f t="shared" si="18"/>
        <v>0</v>
      </c>
      <c r="J184" s="219">
        <f t="shared" si="19"/>
        <v>0</v>
      </c>
      <c r="K184" s="219">
        <f t="shared" si="20"/>
        <v>0</v>
      </c>
      <c r="L184" s="232">
        <f t="shared" si="21"/>
        <v>0</v>
      </c>
      <c r="M184" s="219">
        <f t="shared" si="22"/>
        <v>0</v>
      </c>
      <c r="N184" s="219">
        <f t="shared" si="23"/>
        <v>0</v>
      </c>
      <c r="O184" s="219">
        <f t="shared" si="24"/>
        <v>0</v>
      </c>
      <c r="P184" s="219">
        <f t="shared" si="25"/>
        <v>0</v>
      </c>
      <c r="Q184" s="219">
        <f t="shared" si="26"/>
        <v>0</v>
      </c>
    </row>
    <row r="185" spans="1:40" hidden="1" x14ac:dyDescent="0.25">
      <c r="A185" s="459"/>
      <c r="I185" s="219">
        <f t="shared" si="18"/>
        <v>0</v>
      </c>
      <c r="J185" s="219">
        <f t="shared" si="19"/>
        <v>0</v>
      </c>
      <c r="K185" s="219">
        <f t="shared" si="20"/>
        <v>0</v>
      </c>
      <c r="L185" s="232">
        <f t="shared" si="21"/>
        <v>0</v>
      </c>
      <c r="M185" s="219">
        <f t="shared" si="22"/>
        <v>0</v>
      </c>
      <c r="N185" s="219">
        <f t="shared" si="23"/>
        <v>0</v>
      </c>
      <c r="O185" s="219">
        <f t="shared" si="24"/>
        <v>0</v>
      </c>
      <c r="P185" s="219">
        <f t="shared" si="25"/>
        <v>0</v>
      </c>
      <c r="Q185" s="219">
        <f t="shared" si="26"/>
        <v>0</v>
      </c>
    </row>
    <row r="186" spans="1:40" hidden="1" x14ac:dyDescent="0.25">
      <c r="A186" s="459"/>
      <c r="I186" s="219">
        <f t="shared" si="18"/>
        <v>0</v>
      </c>
      <c r="J186" s="219">
        <f t="shared" si="19"/>
        <v>0</v>
      </c>
      <c r="K186" s="219">
        <f t="shared" si="20"/>
        <v>0</v>
      </c>
      <c r="L186" s="232">
        <f t="shared" si="21"/>
        <v>0</v>
      </c>
      <c r="M186" s="219">
        <f t="shared" si="22"/>
        <v>0</v>
      </c>
      <c r="N186" s="219">
        <f t="shared" si="23"/>
        <v>0</v>
      </c>
      <c r="O186" s="219">
        <f t="shared" si="24"/>
        <v>0</v>
      </c>
      <c r="P186" s="219">
        <f t="shared" si="25"/>
        <v>0</v>
      </c>
      <c r="Q186" s="219">
        <f t="shared" si="26"/>
        <v>0</v>
      </c>
    </row>
    <row r="187" spans="1:40" hidden="1" x14ac:dyDescent="0.25">
      <c r="A187" s="459"/>
      <c r="I187" s="219">
        <f t="shared" si="18"/>
        <v>0</v>
      </c>
      <c r="J187" s="219">
        <f t="shared" si="19"/>
        <v>0</v>
      </c>
      <c r="K187" s="219">
        <f t="shared" si="20"/>
        <v>0</v>
      </c>
      <c r="L187" s="232">
        <f t="shared" si="21"/>
        <v>0</v>
      </c>
      <c r="M187" s="219">
        <f t="shared" si="22"/>
        <v>0</v>
      </c>
      <c r="N187" s="219">
        <f t="shared" si="23"/>
        <v>0</v>
      </c>
      <c r="O187" s="219">
        <f t="shared" si="24"/>
        <v>0</v>
      </c>
      <c r="P187" s="219">
        <f t="shared" si="25"/>
        <v>0</v>
      </c>
      <c r="Q187" s="219">
        <f t="shared" si="26"/>
        <v>0</v>
      </c>
    </row>
    <row r="188" spans="1:40" hidden="1" x14ac:dyDescent="0.25">
      <c r="A188" s="459"/>
      <c r="I188" s="219">
        <f t="shared" si="18"/>
        <v>0</v>
      </c>
      <c r="J188" s="219">
        <f t="shared" si="19"/>
        <v>0</v>
      </c>
      <c r="K188" s="219">
        <f t="shared" si="20"/>
        <v>0</v>
      </c>
      <c r="L188" s="232">
        <f t="shared" si="21"/>
        <v>0</v>
      </c>
      <c r="M188" s="219">
        <f t="shared" si="22"/>
        <v>0</v>
      </c>
      <c r="N188" s="219">
        <f t="shared" si="23"/>
        <v>0</v>
      </c>
      <c r="O188" s="219">
        <f t="shared" si="24"/>
        <v>0</v>
      </c>
      <c r="P188" s="219">
        <f t="shared" si="25"/>
        <v>0</v>
      </c>
      <c r="Q188" s="219">
        <f t="shared" si="26"/>
        <v>0</v>
      </c>
    </row>
    <row r="189" spans="1:40" hidden="1" x14ac:dyDescent="0.25">
      <c r="A189" s="459"/>
      <c r="I189" s="219">
        <f t="shared" si="18"/>
        <v>0</v>
      </c>
      <c r="J189" s="219">
        <f t="shared" si="19"/>
        <v>0</v>
      </c>
      <c r="K189" s="219">
        <f t="shared" si="20"/>
        <v>0</v>
      </c>
      <c r="L189" s="232">
        <f t="shared" si="21"/>
        <v>0</v>
      </c>
      <c r="M189" s="219">
        <f t="shared" si="22"/>
        <v>0</v>
      </c>
      <c r="N189" s="219">
        <f t="shared" si="23"/>
        <v>0</v>
      </c>
      <c r="O189" s="219">
        <f t="shared" si="24"/>
        <v>0</v>
      </c>
      <c r="P189" s="219">
        <f t="shared" si="25"/>
        <v>0</v>
      </c>
      <c r="Q189" s="219">
        <f t="shared" si="26"/>
        <v>0</v>
      </c>
    </row>
    <row r="190" spans="1:40" hidden="1" x14ac:dyDescent="0.25">
      <c r="A190" s="459"/>
      <c r="I190" s="219">
        <f t="shared" si="18"/>
        <v>0</v>
      </c>
      <c r="J190" s="219">
        <f t="shared" si="19"/>
        <v>0</v>
      </c>
      <c r="K190" s="219">
        <f t="shared" si="20"/>
        <v>0</v>
      </c>
      <c r="L190" s="232">
        <f t="shared" si="21"/>
        <v>0</v>
      </c>
      <c r="M190" s="219">
        <f t="shared" si="22"/>
        <v>0</v>
      </c>
      <c r="N190" s="219">
        <f t="shared" si="23"/>
        <v>0</v>
      </c>
      <c r="O190" s="219">
        <f t="shared" si="24"/>
        <v>0</v>
      </c>
      <c r="P190" s="219">
        <f t="shared" si="25"/>
        <v>0</v>
      </c>
      <c r="Q190" s="219">
        <f t="shared" si="26"/>
        <v>0</v>
      </c>
    </row>
    <row r="191" spans="1:40" hidden="1" x14ac:dyDescent="0.25">
      <c r="A191" s="459"/>
      <c r="I191" s="219">
        <f t="shared" si="18"/>
        <v>0</v>
      </c>
      <c r="J191" s="219">
        <f t="shared" si="19"/>
        <v>0</v>
      </c>
      <c r="K191" s="219">
        <f t="shared" si="20"/>
        <v>0</v>
      </c>
      <c r="L191" s="232">
        <f t="shared" si="21"/>
        <v>0</v>
      </c>
      <c r="M191" s="219">
        <f t="shared" si="22"/>
        <v>0</v>
      </c>
      <c r="N191" s="219">
        <f t="shared" si="23"/>
        <v>0</v>
      </c>
      <c r="O191" s="219">
        <f t="shared" si="24"/>
        <v>0</v>
      </c>
      <c r="P191" s="219">
        <f t="shared" si="25"/>
        <v>0</v>
      </c>
      <c r="Q191" s="219">
        <f t="shared" si="26"/>
        <v>0</v>
      </c>
    </row>
    <row r="192" spans="1:40" hidden="1" x14ac:dyDescent="0.25">
      <c r="A192" s="459"/>
      <c r="I192" s="219">
        <f t="shared" si="18"/>
        <v>0</v>
      </c>
      <c r="J192" s="219">
        <f t="shared" si="19"/>
        <v>0</v>
      </c>
      <c r="K192" s="219">
        <f t="shared" si="20"/>
        <v>0</v>
      </c>
      <c r="L192" s="232">
        <f t="shared" si="21"/>
        <v>0</v>
      </c>
      <c r="M192" s="219">
        <f t="shared" si="22"/>
        <v>0</v>
      </c>
      <c r="N192" s="219">
        <f t="shared" si="23"/>
        <v>0</v>
      </c>
      <c r="O192" s="219">
        <f t="shared" si="24"/>
        <v>0</v>
      </c>
      <c r="P192" s="219">
        <f t="shared" si="25"/>
        <v>0</v>
      </c>
      <c r="Q192" s="219">
        <f t="shared" si="26"/>
        <v>0</v>
      </c>
    </row>
    <row r="193" spans="9:17" hidden="1" x14ac:dyDescent="0.25">
      <c r="I193" s="219">
        <f t="shared" si="18"/>
        <v>0</v>
      </c>
      <c r="J193" s="219">
        <f t="shared" si="19"/>
        <v>0</v>
      </c>
      <c r="K193" s="219">
        <f t="shared" si="20"/>
        <v>0</v>
      </c>
      <c r="L193" s="232">
        <f t="shared" si="21"/>
        <v>0</v>
      </c>
      <c r="M193" s="219">
        <f t="shared" si="22"/>
        <v>0</v>
      </c>
      <c r="N193" s="219">
        <f t="shared" si="23"/>
        <v>0</v>
      </c>
      <c r="O193" s="219">
        <f t="shared" si="24"/>
        <v>0</v>
      </c>
      <c r="P193" s="219">
        <f t="shared" si="25"/>
        <v>0</v>
      </c>
      <c r="Q193" s="219">
        <f t="shared" si="26"/>
        <v>0</v>
      </c>
    </row>
    <row r="194" spans="9:17" hidden="1" x14ac:dyDescent="0.25">
      <c r="I194" s="219">
        <f t="shared" si="18"/>
        <v>0</v>
      </c>
      <c r="J194" s="219">
        <f t="shared" si="19"/>
        <v>0</v>
      </c>
      <c r="K194" s="219">
        <f t="shared" si="20"/>
        <v>0</v>
      </c>
      <c r="L194" s="232">
        <f t="shared" si="21"/>
        <v>0</v>
      </c>
      <c r="M194" s="219">
        <f t="shared" si="22"/>
        <v>0</v>
      </c>
      <c r="N194" s="219">
        <f t="shared" si="23"/>
        <v>0</v>
      </c>
      <c r="O194" s="219">
        <f t="shared" si="24"/>
        <v>0</v>
      </c>
      <c r="P194" s="219">
        <f t="shared" si="25"/>
        <v>0</v>
      </c>
      <c r="Q194" s="219">
        <f t="shared" si="26"/>
        <v>0</v>
      </c>
    </row>
    <row r="195" spans="9:17" hidden="1" x14ac:dyDescent="0.25">
      <c r="I195" s="219">
        <f t="shared" si="18"/>
        <v>0</v>
      </c>
      <c r="J195" s="219">
        <f t="shared" si="19"/>
        <v>0</v>
      </c>
      <c r="K195" s="219">
        <f t="shared" si="20"/>
        <v>0</v>
      </c>
      <c r="L195" s="232">
        <f t="shared" si="21"/>
        <v>0</v>
      </c>
      <c r="M195" s="219">
        <f t="shared" si="22"/>
        <v>0</v>
      </c>
      <c r="N195" s="219">
        <f t="shared" si="23"/>
        <v>0</v>
      </c>
      <c r="O195" s="219">
        <f t="shared" si="24"/>
        <v>0</v>
      </c>
      <c r="P195" s="219">
        <f t="shared" si="25"/>
        <v>0</v>
      </c>
      <c r="Q195" s="219">
        <f t="shared" si="26"/>
        <v>0</v>
      </c>
    </row>
    <row r="196" spans="9:17" hidden="1" x14ac:dyDescent="0.25">
      <c r="I196" s="219">
        <f t="shared" si="18"/>
        <v>0</v>
      </c>
      <c r="J196" s="219">
        <f t="shared" si="19"/>
        <v>0</v>
      </c>
      <c r="K196" s="219">
        <f t="shared" si="20"/>
        <v>0</v>
      </c>
      <c r="L196" s="232">
        <f t="shared" si="21"/>
        <v>0</v>
      </c>
      <c r="M196" s="219">
        <f t="shared" si="22"/>
        <v>0</v>
      </c>
      <c r="N196" s="219">
        <f t="shared" si="23"/>
        <v>0</v>
      </c>
      <c r="O196" s="219">
        <f t="shared" si="24"/>
        <v>0</v>
      </c>
      <c r="P196" s="219">
        <f t="shared" si="25"/>
        <v>0</v>
      </c>
      <c r="Q196" s="219">
        <f t="shared" si="26"/>
        <v>0</v>
      </c>
    </row>
    <row r="197" spans="9:17" hidden="1" x14ac:dyDescent="0.25">
      <c r="I197" s="219">
        <f t="shared" ref="I197:I260" si="27">SUM(R197:S197)</f>
        <v>0</v>
      </c>
      <c r="J197" s="219">
        <f t="shared" ref="J197:J260" si="28">SUM(T197:V197)</f>
        <v>0</v>
      </c>
      <c r="K197" s="219">
        <f t="shared" ref="K197:K260" si="29">W197</f>
        <v>0</v>
      </c>
      <c r="L197" s="232">
        <f t="shared" ref="L197:L260" si="30">SUM(X197:AB197)</f>
        <v>0</v>
      </c>
      <c r="M197" s="219">
        <f t="shared" ref="M197:M260" si="31">SUM(AC197:AE197)</f>
        <v>0</v>
      </c>
      <c r="N197" s="219">
        <f t="shared" ref="N197:N260" si="32">AG197</f>
        <v>0</v>
      </c>
      <c r="O197" s="219">
        <f t="shared" ref="O197:O260" si="33">AH197</f>
        <v>0</v>
      </c>
      <c r="P197" s="219">
        <f t="shared" ref="P197:P260" si="34">SUM(AK197:AM197)</f>
        <v>0</v>
      </c>
      <c r="Q197" s="219">
        <f t="shared" ref="Q197:Q260" si="35">AN197</f>
        <v>0</v>
      </c>
    </row>
    <row r="198" spans="9:17" hidden="1" x14ac:dyDescent="0.25">
      <c r="I198" s="219">
        <f t="shared" si="27"/>
        <v>0</v>
      </c>
      <c r="J198" s="219">
        <f t="shared" si="28"/>
        <v>0</v>
      </c>
      <c r="K198" s="219">
        <f t="shared" si="29"/>
        <v>0</v>
      </c>
      <c r="L198" s="232">
        <f t="shared" si="30"/>
        <v>0</v>
      </c>
      <c r="M198" s="219">
        <f t="shared" si="31"/>
        <v>0</v>
      </c>
      <c r="N198" s="219">
        <f t="shared" si="32"/>
        <v>0</v>
      </c>
      <c r="O198" s="219">
        <f t="shared" si="33"/>
        <v>0</v>
      </c>
      <c r="P198" s="219">
        <f t="shared" si="34"/>
        <v>0</v>
      </c>
      <c r="Q198" s="219">
        <f t="shared" si="35"/>
        <v>0</v>
      </c>
    </row>
    <row r="199" spans="9:17" hidden="1" x14ac:dyDescent="0.25">
      <c r="I199" s="219">
        <f t="shared" si="27"/>
        <v>0</v>
      </c>
      <c r="J199" s="219">
        <f t="shared" si="28"/>
        <v>0</v>
      </c>
      <c r="K199" s="219">
        <f t="shared" si="29"/>
        <v>0</v>
      </c>
      <c r="L199" s="232">
        <f t="shared" si="30"/>
        <v>0</v>
      </c>
      <c r="M199" s="219">
        <f t="shared" si="31"/>
        <v>0</v>
      </c>
      <c r="N199" s="219">
        <f t="shared" si="32"/>
        <v>0</v>
      </c>
      <c r="O199" s="219">
        <f t="shared" si="33"/>
        <v>0</v>
      </c>
      <c r="P199" s="219">
        <f t="shared" si="34"/>
        <v>0</v>
      </c>
      <c r="Q199" s="219">
        <f t="shared" si="35"/>
        <v>0</v>
      </c>
    </row>
    <row r="200" spans="9:17" hidden="1" x14ac:dyDescent="0.25">
      <c r="I200" s="219">
        <f t="shared" si="27"/>
        <v>0</v>
      </c>
      <c r="J200" s="219">
        <f t="shared" si="28"/>
        <v>0</v>
      </c>
      <c r="K200" s="219">
        <f t="shared" si="29"/>
        <v>0</v>
      </c>
      <c r="L200" s="232">
        <f t="shared" si="30"/>
        <v>0</v>
      </c>
      <c r="M200" s="219">
        <f t="shared" si="31"/>
        <v>0</v>
      </c>
      <c r="N200" s="219">
        <f t="shared" si="32"/>
        <v>0</v>
      </c>
      <c r="O200" s="219">
        <f t="shared" si="33"/>
        <v>0</v>
      </c>
      <c r="P200" s="219">
        <f t="shared" si="34"/>
        <v>0</v>
      </c>
      <c r="Q200" s="219">
        <f t="shared" si="35"/>
        <v>0</v>
      </c>
    </row>
    <row r="201" spans="9:17" hidden="1" x14ac:dyDescent="0.25">
      <c r="I201" s="219">
        <f t="shared" si="27"/>
        <v>0</v>
      </c>
      <c r="J201" s="219">
        <f t="shared" si="28"/>
        <v>0</v>
      </c>
      <c r="K201" s="219">
        <f t="shared" si="29"/>
        <v>0</v>
      </c>
      <c r="L201" s="232">
        <f t="shared" si="30"/>
        <v>0</v>
      </c>
      <c r="M201" s="219">
        <f t="shared" si="31"/>
        <v>0</v>
      </c>
      <c r="N201" s="219">
        <f t="shared" si="32"/>
        <v>0</v>
      </c>
      <c r="O201" s="219">
        <f t="shared" si="33"/>
        <v>0</v>
      </c>
      <c r="P201" s="219">
        <f t="shared" si="34"/>
        <v>0</v>
      </c>
      <c r="Q201" s="219">
        <f t="shared" si="35"/>
        <v>0</v>
      </c>
    </row>
    <row r="202" spans="9:17" hidden="1" x14ac:dyDescent="0.25">
      <c r="I202" s="219">
        <f t="shared" si="27"/>
        <v>0</v>
      </c>
      <c r="J202" s="219">
        <f t="shared" si="28"/>
        <v>0</v>
      </c>
      <c r="K202" s="219">
        <f t="shared" si="29"/>
        <v>0</v>
      </c>
      <c r="L202" s="232">
        <f t="shared" si="30"/>
        <v>0</v>
      </c>
      <c r="M202" s="219">
        <f t="shared" si="31"/>
        <v>0</v>
      </c>
      <c r="N202" s="219">
        <f t="shared" si="32"/>
        <v>0</v>
      </c>
      <c r="O202" s="219">
        <f t="shared" si="33"/>
        <v>0</v>
      </c>
      <c r="P202" s="219">
        <f t="shared" si="34"/>
        <v>0</v>
      </c>
      <c r="Q202" s="219">
        <f t="shared" si="35"/>
        <v>0</v>
      </c>
    </row>
    <row r="203" spans="9:17" hidden="1" x14ac:dyDescent="0.25">
      <c r="I203" s="219">
        <f t="shared" si="27"/>
        <v>0</v>
      </c>
      <c r="J203" s="219">
        <f t="shared" si="28"/>
        <v>0</v>
      </c>
      <c r="K203" s="219">
        <f t="shared" si="29"/>
        <v>0</v>
      </c>
      <c r="L203" s="232">
        <f t="shared" si="30"/>
        <v>0</v>
      </c>
      <c r="M203" s="219">
        <f t="shared" si="31"/>
        <v>0</v>
      </c>
      <c r="N203" s="219">
        <f t="shared" si="32"/>
        <v>0</v>
      </c>
      <c r="O203" s="219">
        <f t="shared" si="33"/>
        <v>0</v>
      </c>
      <c r="P203" s="219">
        <f t="shared" si="34"/>
        <v>0</v>
      </c>
      <c r="Q203" s="219">
        <f t="shared" si="35"/>
        <v>0</v>
      </c>
    </row>
    <row r="204" spans="9:17" hidden="1" x14ac:dyDescent="0.25">
      <c r="I204" s="219">
        <f t="shared" si="27"/>
        <v>0</v>
      </c>
      <c r="J204" s="219">
        <f t="shared" si="28"/>
        <v>0</v>
      </c>
      <c r="K204" s="219">
        <f t="shared" si="29"/>
        <v>0</v>
      </c>
      <c r="L204" s="232">
        <f t="shared" si="30"/>
        <v>0</v>
      </c>
      <c r="M204" s="219">
        <f t="shared" si="31"/>
        <v>0</v>
      </c>
      <c r="N204" s="219">
        <f t="shared" si="32"/>
        <v>0</v>
      </c>
      <c r="O204" s="219">
        <f t="shared" si="33"/>
        <v>0</v>
      </c>
      <c r="P204" s="219">
        <f t="shared" si="34"/>
        <v>0</v>
      </c>
      <c r="Q204" s="219">
        <f t="shared" si="35"/>
        <v>0</v>
      </c>
    </row>
    <row r="205" spans="9:17" hidden="1" x14ac:dyDescent="0.25">
      <c r="I205" s="219">
        <f t="shared" si="27"/>
        <v>0</v>
      </c>
      <c r="J205" s="219">
        <f t="shared" si="28"/>
        <v>0</v>
      </c>
      <c r="K205" s="219">
        <f t="shared" si="29"/>
        <v>0</v>
      </c>
      <c r="L205" s="232">
        <f t="shared" si="30"/>
        <v>0</v>
      </c>
      <c r="M205" s="219">
        <f t="shared" si="31"/>
        <v>0</v>
      </c>
      <c r="N205" s="219">
        <f t="shared" si="32"/>
        <v>0</v>
      </c>
      <c r="O205" s="219">
        <f t="shared" si="33"/>
        <v>0</v>
      </c>
      <c r="P205" s="219">
        <f t="shared" si="34"/>
        <v>0</v>
      </c>
      <c r="Q205" s="219">
        <f t="shared" si="35"/>
        <v>0</v>
      </c>
    </row>
    <row r="206" spans="9:17" hidden="1" x14ac:dyDescent="0.25">
      <c r="I206" s="219">
        <f t="shared" si="27"/>
        <v>0</v>
      </c>
      <c r="J206" s="219">
        <f t="shared" si="28"/>
        <v>0</v>
      </c>
      <c r="K206" s="219">
        <f t="shared" si="29"/>
        <v>0</v>
      </c>
      <c r="L206" s="232">
        <f t="shared" si="30"/>
        <v>0</v>
      </c>
      <c r="M206" s="219">
        <f t="shared" si="31"/>
        <v>0</v>
      </c>
      <c r="N206" s="219">
        <f t="shared" si="32"/>
        <v>0</v>
      </c>
      <c r="O206" s="219">
        <f t="shared" si="33"/>
        <v>0</v>
      </c>
      <c r="P206" s="219">
        <f t="shared" si="34"/>
        <v>0</v>
      </c>
      <c r="Q206" s="219">
        <f t="shared" si="35"/>
        <v>0</v>
      </c>
    </row>
    <row r="207" spans="9:17" hidden="1" x14ac:dyDescent="0.25">
      <c r="I207" s="219">
        <f t="shared" si="27"/>
        <v>0</v>
      </c>
      <c r="J207" s="219">
        <f t="shared" si="28"/>
        <v>0</v>
      </c>
      <c r="K207" s="219">
        <f t="shared" si="29"/>
        <v>0</v>
      </c>
      <c r="L207" s="232">
        <f t="shared" si="30"/>
        <v>0</v>
      </c>
      <c r="M207" s="219">
        <f t="shared" si="31"/>
        <v>0</v>
      </c>
      <c r="N207" s="219">
        <f t="shared" si="32"/>
        <v>0</v>
      </c>
      <c r="O207" s="219">
        <f t="shared" si="33"/>
        <v>0</v>
      </c>
      <c r="P207" s="219">
        <f t="shared" si="34"/>
        <v>0</v>
      </c>
      <c r="Q207" s="219">
        <f t="shared" si="35"/>
        <v>0</v>
      </c>
    </row>
    <row r="208" spans="9:17" hidden="1" x14ac:dyDescent="0.25">
      <c r="I208" s="219">
        <f t="shared" si="27"/>
        <v>0</v>
      </c>
      <c r="J208" s="219">
        <f t="shared" si="28"/>
        <v>0</v>
      </c>
      <c r="K208" s="219">
        <f t="shared" si="29"/>
        <v>0</v>
      </c>
      <c r="L208" s="232">
        <f t="shared" si="30"/>
        <v>0</v>
      </c>
      <c r="M208" s="219">
        <f t="shared" si="31"/>
        <v>0</v>
      </c>
      <c r="N208" s="219">
        <f t="shared" si="32"/>
        <v>0</v>
      </c>
      <c r="O208" s="219">
        <f t="shared" si="33"/>
        <v>0</v>
      </c>
      <c r="P208" s="219">
        <f t="shared" si="34"/>
        <v>0</v>
      </c>
      <c r="Q208" s="219">
        <f t="shared" si="35"/>
        <v>0</v>
      </c>
    </row>
    <row r="209" spans="9:17" hidden="1" x14ac:dyDescent="0.25">
      <c r="I209" s="219">
        <f t="shared" si="27"/>
        <v>0</v>
      </c>
      <c r="J209" s="219">
        <f t="shared" si="28"/>
        <v>0</v>
      </c>
      <c r="K209" s="219">
        <f t="shared" si="29"/>
        <v>0</v>
      </c>
      <c r="L209" s="232">
        <f t="shared" si="30"/>
        <v>0</v>
      </c>
      <c r="M209" s="219">
        <f t="shared" si="31"/>
        <v>0</v>
      </c>
      <c r="N209" s="219">
        <f t="shared" si="32"/>
        <v>0</v>
      </c>
      <c r="O209" s="219">
        <f t="shared" si="33"/>
        <v>0</v>
      </c>
      <c r="P209" s="219">
        <f t="shared" si="34"/>
        <v>0</v>
      </c>
      <c r="Q209" s="219">
        <f t="shared" si="35"/>
        <v>0</v>
      </c>
    </row>
    <row r="210" spans="9:17" hidden="1" x14ac:dyDescent="0.25">
      <c r="I210" s="219">
        <f t="shared" si="27"/>
        <v>0</v>
      </c>
      <c r="J210" s="219">
        <f t="shared" si="28"/>
        <v>0</v>
      </c>
      <c r="K210" s="219">
        <f t="shared" si="29"/>
        <v>0</v>
      </c>
      <c r="L210" s="232">
        <f t="shared" si="30"/>
        <v>0</v>
      </c>
      <c r="M210" s="219">
        <f t="shared" si="31"/>
        <v>0</v>
      </c>
      <c r="N210" s="219">
        <f t="shared" si="32"/>
        <v>0</v>
      </c>
      <c r="O210" s="219">
        <f t="shared" si="33"/>
        <v>0</v>
      </c>
      <c r="P210" s="219">
        <f t="shared" si="34"/>
        <v>0</v>
      </c>
      <c r="Q210" s="219">
        <f t="shared" si="35"/>
        <v>0</v>
      </c>
    </row>
    <row r="211" spans="9:17" hidden="1" x14ac:dyDescent="0.25">
      <c r="I211" s="219">
        <f t="shared" si="27"/>
        <v>0</v>
      </c>
      <c r="J211" s="219">
        <f t="shared" si="28"/>
        <v>0</v>
      </c>
      <c r="K211" s="219">
        <f t="shared" si="29"/>
        <v>0</v>
      </c>
      <c r="L211" s="232">
        <f t="shared" si="30"/>
        <v>0</v>
      </c>
      <c r="M211" s="219">
        <f t="shared" si="31"/>
        <v>0</v>
      </c>
      <c r="N211" s="219">
        <f t="shared" si="32"/>
        <v>0</v>
      </c>
      <c r="O211" s="219">
        <f t="shared" si="33"/>
        <v>0</v>
      </c>
      <c r="P211" s="219">
        <f t="shared" si="34"/>
        <v>0</v>
      </c>
      <c r="Q211" s="219">
        <f t="shared" si="35"/>
        <v>0</v>
      </c>
    </row>
    <row r="212" spans="9:17" hidden="1" x14ac:dyDescent="0.25">
      <c r="I212" s="219">
        <f t="shared" si="27"/>
        <v>0</v>
      </c>
      <c r="J212" s="219">
        <f t="shared" si="28"/>
        <v>0</v>
      </c>
      <c r="K212" s="219">
        <f t="shared" si="29"/>
        <v>0</v>
      </c>
      <c r="L212" s="232">
        <f t="shared" si="30"/>
        <v>0</v>
      </c>
      <c r="M212" s="219">
        <f t="shared" si="31"/>
        <v>0</v>
      </c>
      <c r="N212" s="219">
        <f t="shared" si="32"/>
        <v>0</v>
      </c>
      <c r="O212" s="219">
        <f t="shared" si="33"/>
        <v>0</v>
      </c>
      <c r="P212" s="219">
        <f t="shared" si="34"/>
        <v>0</v>
      </c>
      <c r="Q212" s="219">
        <f t="shared" si="35"/>
        <v>0</v>
      </c>
    </row>
    <row r="213" spans="9:17" hidden="1" x14ac:dyDescent="0.25">
      <c r="I213" s="219">
        <f t="shared" si="27"/>
        <v>0</v>
      </c>
      <c r="J213" s="219">
        <f t="shared" si="28"/>
        <v>0</v>
      </c>
      <c r="K213" s="219">
        <f t="shared" si="29"/>
        <v>0</v>
      </c>
      <c r="L213" s="232">
        <f t="shared" si="30"/>
        <v>0</v>
      </c>
      <c r="M213" s="219">
        <f t="shared" si="31"/>
        <v>0</v>
      </c>
      <c r="N213" s="219">
        <f t="shared" si="32"/>
        <v>0</v>
      </c>
      <c r="O213" s="219">
        <f t="shared" si="33"/>
        <v>0</v>
      </c>
      <c r="P213" s="219">
        <f t="shared" si="34"/>
        <v>0</v>
      </c>
      <c r="Q213" s="219">
        <f t="shared" si="35"/>
        <v>0</v>
      </c>
    </row>
    <row r="214" spans="9:17" hidden="1" x14ac:dyDescent="0.25">
      <c r="I214" s="219">
        <f t="shared" si="27"/>
        <v>0</v>
      </c>
      <c r="J214" s="219">
        <f t="shared" si="28"/>
        <v>0</v>
      </c>
      <c r="K214" s="219">
        <f t="shared" si="29"/>
        <v>0</v>
      </c>
      <c r="L214" s="232">
        <f t="shared" si="30"/>
        <v>0</v>
      </c>
      <c r="M214" s="219">
        <f t="shared" si="31"/>
        <v>0</v>
      </c>
      <c r="N214" s="219">
        <f t="shared" si="32"/>
        <v>0</v>
      </c>
      <c r="O214" s="219">
        <f t="shared" si="33"/>
        <v>0</v>
      </c>
      <c r="P214" s="219">
        <f t="shared" si="34"/>
        <v>0</v>
      </c>
      <c r="Q214" s="219">
        <f t="shared" si="35"/>
        <v>0</v>
      </c>
    </row>
    <row r="215" spans="9:17" hidden="1" x14ac:dyDescent="0.25">
      <c r="I215" s="219">
        <f t="shared" si="27"/>
        <v>0</v>
      </c>
      <c r="J215" s="219">
        <f t="shared" si="28"/>
        <v>0</v>
      </c>
      <c r="K215" s="219">
        <f t="shared" si="29"/>
        <v>0</v>
      </c>
      <c r="L215" s="232">
        <f t="shared" si="30"/>
        <v>0</v>
      </c>
      <c r="M215" s="219">
        <f t="shared" si="31"/>
        <v>0</v>
      </c>
      <c r="N215" s="219">
        <f t="shared" si="32"/>
        <v>0</v>
      </c>
      <c r="O215" s="219">
        <f t="shared" si="33"/>
        <v>0</v>
      </c>
      <c r="P215" s="219">
        <f t="shared" si="34"/>
        <v>0</v>
      </c>
      <c r="Q215" s="219">
        <f t="shared" si="35"/>
        <v>0</v>
      </c>
    </row>
    <row r="216" spans="9:17" hidden="1" x14ac:dyDescent="0.25">
      <c r="I216" s="219">
        <f t="shared" si="27"/>
        <v>0</v>
      </c>
      <c r="J216" s="219">
        <f t="shared" si="28"/>
        <v>0</v>
      </c>
      <c r="K216" s="219">
        <f t="shared" si="29"/>
        <v>0</v>
      </c>
      <c r="L216" s="232">
        <f t="shared" si="30"/>
        <v>0</v>
      </c>
      <c r="M216" s="219">
        <f t="shared" si="31"/>
        <v>0</v>
      </c>
      <c r="N216" s="219">
        <f t="shared" si="32"/>
        <v>0</v>
      </c>
      <c r="O216" s="219">
        <f t="shared" si="33"/>
        <v>0</v>
      </c>
      <c r="P216" s="219">
        <f t="shared" si="34"/>
        <v>0</v>
      </c>
      <c r="Q216" s="219">
        <f t="shared" si="35"/>
        <v>0</v>
      </c>
    </row>
    <row r="217" spans="9:17" hidden="1" x14ac:dyDescent="0.25">
      <c r="I217" s="219">
        <f t="shared" si="27"/>
        <v>0</v>
      </c>
      <c r="J217" s="219">
        <f t="shared" si="28"/>
        <v>0</v>
      </c>
      <c r="K217" s="219">
        <f t="shared" si="29"/>
        <v>0</v>
      </c>
      <c r="L217" s="232">
        <f t="shared" si="30"/>
        <v>0</v>
      </c>
      <c r="M217" s="219">
        <f t="shared" si="31"/>
        <v>0</v>
      </c>
      <c r="N217" s="219">
        <f t="shared" si="32"/>
        <v>0</v>
      </c>
      <c r="O217" s="219">
        <f t="shared" si="33"/>
        <v>0</v>
      </c>
      <c r="P217" s="219">
        <f t="shared" si="34"/>
        <v>0</v>
      </c>
      <c r="Q217" s="219">
        <f t="shared" si="35"/>
        <v>0</v>
      </c>
    </row>
    <row r="218" spans="9:17" hidden="1" x14ac:dyDescent="0.25">
      <c r="I218" s="219">
        <f t="shared" si="27"/>
        <v>0</v>
      </c>
      <c r="J218" s="219">
        <f t="shared" si="28"/>
        <v>0</v>
      </c>
      <c r="K218" s="219">
        <f t="shared" si="29"/>
        <v>0</v>
      </c>
      <c r="L218" s="232">
        <f t="shared" si="30"/>
        <v>0</v>
      </c>
      <c r="M218" s="219">
        <f t="shared" si="31"/>
        <v>0</v>
      </c>
      <c r="N218" s="219">
        <f t="shared" si="32"/>
        <v>0</v>
      </c>
      <c r="O218" s="219">
        <f t="shared" si="33"/>
        <v>0</v>
      </c>
      <c r="P218" s="219">
        <f t="shared" si="34"/>
        <v>0</v>
      </c>
      <c r="Q218" s="219">
        <f t="shared" si="35"/>
        <v>0</v>
      </c>
    </row>
    <row r="219" spans="9:17" hidden="1" x14ac:dyDescent="0.25">
      <c r="I219" s="219">
        <f t="shared" si="27"/>
        <v>0</v>
      </c>
      <c r="J219" s="219">
        <f t="shared" si="28"/>
        <v>0</v>
      </c>
      <c r="K219" s="219">
        <f t="shared" si="29"/>
        <v>0</v>
      </c>
      <c r="L219" s="232">
        <f t="shared" si="30"/>
        <v>0</v>
      </c>
      <c r="M219" s="219">
        <f t="shared" si="31"/>
        <v>0</v>
      </c>
      <c r="N219" s="219">
        <f t="shared" si="32"/>
        <v>0</v>
      </c>
      <c r="O219" s="219">
        <f t="shared" si="33"/>
        <v>0</v>
      </c>
      <c r="P219" s="219">
        <f t="shared" si="34"/>
        <v>0</v>
      </c>
      <c r="Q219" s="219">
        <f t="shared" si="35"/>
        <v>0</v>
      </c>
    </row>
    <row r="220" spans="9:17" hidden="1" x14ac:dyDescent="0.25">
      <c r="I220" s="219">
        <f t="shared" si="27"/>
        <v>0</v>
      </c>
      <c r="J220" s="219">
        <f t="shared" si="28"/>
        <v>0</v>
      </c>
      <c r="K220" s="219">
        <f t="shared" si="29"/>
        <v>0</v>
      </c>
      <c r="L220" s="232">
        <f t="shared" si="30"/>
        <v>0</v>
      </c>
      <c r="M220" s="219">
        <f t="shared" si="31"/>
        <v>0</v>
      </c>
      <c r="N220" s="219">
        <f t="shared" si="32"/>
        <v>0</v>
      </c>
      <c r="O220" s="219">
        <f t="shared" si="33"/>
        <v>0</v>
      </c>
      <c r="P220" s="219">
        <f t="shared" si="34"/>
        <v>0</v>
      </c>
      <c r="Q220" s="219">
        <f t="shared" si="35"/>
        <v>0</v>
      </c>
    </row>
    <row r="221" spans="9:17" hidden="1" x14ac:dyDescent="0.25">
      <c r="I221" s="219">
        <f t="shared" si="27"/>
        <v>0</v>
      </c>
      <c r="J221" s="219">
        <f t="shared" si="28"/>
        <v>0</v>
      </c>
      <c r="K221" s="219">
        <f t="shared" si="29"/>
        <v>0</v>
      </c>
      <c r="L221" s="232">
        <f t="shared" si="30"/>
        <v>0</v>
      </c>
      <c r="M221" s="219">
        <f t="shared" si="31"/>
        <v>0</v>
      </c>
      <c r="N221" s="219">
        <f t="shared" si="32"/>
        <v>0</v>
      </c>
      <c r="O221" s="219">
        <f t="shared" si="33"/>
        <v>0</v>
      </c>
      <c r="P221" s="219">
        <f t="shared" si="34"/>
        <v>0</v>
      </c>
      <c r="Q221" s="219">
        <f t="shared" si="35"/>
        <v>0</v>
      </c>
    </row>
    <row r="222" spans="9:17" hidden="1" x14ac:dyDescent="0.25">
      <c r="I222" s="219">
        <f t="shared" si="27"/>
        <v>0</v>
      </c>
      <c r="J222" s="219">
        <f t="shared" si="28"/>
        <v>0</v>
      </c>
      <c r="K222" s="219">
        <f t="shared" si="29"/>
        <v>0</v>
      </c>
      <c r="L222" s="232">
        <f t="shared" si="30"/>
        <v>0</v>
      </c>
      <c r="M222" s="219">
        <f t="shared" si="31"/>
        <v>0</v>
      </c>
      <c r="N222" s="219">
        <f t="shared" si="32"/>
        <v>0</v>
      </c>
      <c r="O222" s="219">
        <f t="shared" si="33"/>
        <v>0</v>
      </c>
      <c r="P222" s="219">
        <f t="shared" si="34"/>
        <v>0</v>
      </c>
      <c r="Q222" s="219">
        <f t="shared" si="35"/>
        <v>0</v>
      </c>
    </row>
    <row r="223" spans="9:17" hidden="1" x14ac:dyDescent="0.25">
      <c r="I223" s="219">
        <f t="shared" si="27"/>
        <v>0</v>
      </c>
      <c r="J223" s="219">
        <f t="shared" si="28"/>
        <v>0</v>
      </c>
      <c r="K223" s="219">
        <f t="shared" si="29"/>
        <v>0</v>
      </c>
      <c r="L223" s="232">
        <f t="shared" si="30"/>
        <v>0</v>
      </c>
      <c r="M223" s="219">
        <f t="shared" si="31"/>
        <v>0</v>
      </c>
      <c r="N223" s="219">
        <f t="shared" si="32"/>
        <v>0</v>
      </c>
      <c r="O223" s="219">
        <f t="shared" si="33"/>
        <v>0</v>
      </c>
      <c r="P223" s="219">
        <f t="shared" si="34"/>
        <v>0</v>
      </c>
      <c r="Q223" s="219">
        <f t="shared" si="35"/>
        <v>0</v>
      </c>
    </row>
    <row r="224" spans="9:17" hidden="1" x14ac:dyDescent="0.25">
      <c r="I224" s="219">
        <f t="shared" si="27"/>
        <v>0</v>
      </c>
      <c r="J224" s="219">
        <f t="shared" si="28"/>
        <v>0</v>
      </c>
      <c r="K224" s="219">
        <f t="shared" si="29"/>
        <v>0</v>
      </c>
      <c r="L224" s="232">
        <f t="shared" si="30"/>
        <v>0</v>
      </c>
      <c r="M224" s="219">
        <f t="shared" si="31"/>
        <v>0</v>
      </c>
      <c r="N224" s="219">
        <f t="shared" si="32"/>
        <v>0</v>
      </c>
      <c r="O224" s="219">
        <f t="shared" si="33"/>
        <v>0</v>
      </c>
      <c r="P224" s="219">
        <f t="shared" si="34"/>
        <v>0</v>
      </c>
      <c r="Q224" s="219">
        <f t="shared" si="35"/>
        <v>0</v>
      </c>
    </row>
    <row r="225" spans="9:17" hidden="1" x14ac:dyDescent="0.25">
      <c r="I225" s="219">
        <f t="shared" si="27"/>
        <v>0</v>
      </c>
      <c r="J225" s="219">
        <f t="shared" si="28"/>
        <v>0</v>
      </c>
      <c r="K225" s="219">
        <f t="shared" si="29"/>
        <v>0</v>
      </c>
      <c r="L225" s="232">
        <f t="shared" si="30"/>
        <v>0</v>
      </c>
      <c r="M225" s="219">
        <f t="shared" si="31"/>
        <v>0</v>
      </c>
      <c r="N225" s="219">
        <f t="shared" si="32"/>
        <v>0</v>
      </c>
      <c r="O225" s="219">
        <f t="shared" si="33"/>
        <v>0</v>
      </c>
      <c r="P225" s="219">
        <f t="shared" si="34"/>
        <v>0</v>
      </c>
      <c r="Q225" s="219">
        <f t="shared" si="35"/>
        <v>0</v>
      </c>
    </row>
    <row r="226" spans="9:17" hidden="1" x14ac:dyDescent="0.25">
      <c r="I226" s="219">
        <f t="shared" si="27"/>
        <v>0</v>
      </c>
      <c r="J226" s="219">
        <f t="shared" si="28"/>
        <v>0</v>
      </c>
      <c r="K226" s="219">
        <f t="shared" si="29"/>
        <v>0</v>
      </c>
      <c r="L226" s="232">
        <f t="shared" si="30"/>
        <v>0</v>
      </c>
      <c r="M226" s="219">
        <f t="shared" si="31"/>
        <v>0</v>
      </c>
      <c r="N226" s="219">
        <f t="shared" si="32"/>
        <v>0</v>
      </c>
      <c r="O226" s="219">
        <f t="shared" si="33"/>
        <v>0</v>
      </c>
      <c r="P226" s="219">
        <f t="shared" si="34"/>
        <v>0</v>
      </c>
      <c r="Q226" s="219">
        <f t="shared" si="35"/>
        <v>0</v>
      </c>
    </row>
    <row r="227" spans="9:17" hidden="1" x14ac:dyDescent="0.25">
      <c r="I227" s="219">
        <f t="shared" si="27"/>
        <v>0</v>
      </c>
      <c r="J227" s="219">
        <f t="shared" si="28"/>
        <v>0</v>
      </c>
      <c r="K227" s="219">
        <f t="shared" si="29"/>
        <v>0</v>
      </c>
      <c r="L227" s="232">
        <f t="shared" si="30"/>
        <v>0</v>
      </c>
      <c r="M227" s="219">
        <f t="shared" si="31"/>
        <v>0</v>
      </c>
      <c r="N227" s="219">
        <f t="shared" si="32"/>
        <v>0</v>
      </c>
      <c r="O227" s="219">
        <f t="shared" si="33"/>
        <v>0</v>
      </c>
      <c r="P227" s="219">
        <f t="shared" si="34"/>
        <v>0</v>
      </c>
      <c r="Q227" s="219">
        <f t="shared" si="35"/>
        <v>0</v>
      </c>
    </row>
    <row r="228" spans="9:17" hidden="1" x14ac:dyDescent="0.25">
      <c r="I228" s="219">
        <f t="shared" si="27"/>
        <v>0</v>
      </c>
      <c r="J228" s="219">
        <f t="shared" si="28"/>
        <v>0</v>
      </c>
      <c r="K228" s="219">
        <f t="shared" si="29"/>
        <v>0</v>
      </c>
      <c r="L228" s="232">
        <f t="shared" si="30"/>
        <v>0</v>
      </c>
      <c r="M228" s="219">
        <f t="shared" si="31"/>
        <v>0</v>
      </c>
      <c r="N228" s="219">
        <f t="shared" si="32"/>
        <v>0</v>
      </c>
      <c r="O228" s="219">
        <f t="shared" si="33"/>
        <v>0</v>
      </c>
      <c r="P228" s="219">
        <f t="shared" si="34"/>
        <v>0</v>
      </c>
      <c r="Q228" s="219">
        <f t="shared" si="35"/>
        <v>0</v>
      </c>
    </row>
    <row r="229" spans="9:17" hidden="1" x14ac:dyDescent="0.25">
      <c r="I229" s="219">
        <f t="shared" si="27"/>
        <v>0</v>
      </c>
      <c r="J229" s="219">
        <f t="shared" si="28"/>
        <v>0</v>
      </c>
      <c r="K229" s="219">
        <f t="shared" si="29"/>
        <v>0</v>
      </c>
      <c r="L229" s="232">
        <f t="shared" si="30"/>
        <v>0</v>
      </c>
      <c r="M229" s="219">
        <f t="shared" si="31"/>
        <v>0</v>
      </c>
      <c r="N229" s="219">
        <f t="shared" si="32"/>
        <v>0</v>
      </c>
      <c r="O229" s="219">
        <f t="shared" si="33"/>
        <v>0</v>
      </c>
      <c r="P229" s="219">
        <f t="shared" si="34"/>
        <v>0</v>
      </c>
      <c r="Q229" s="219">
        <f t="shared" si="35"/>
        <v>0</v>
      </c>
    </row>
    <row r="230" spans="9:17" hidden="1" x14ac:dyDescent="0.25">
      <c r="I230" s="219">
        <f t="shared" si="27"/>
        <v>0</v>
      </c>
      <c r="J230" s="219">
        <f t="shared" si="28"/>
        <v>0</v>
      </c>
      <c r="K230" s="219">
        <f t="shared" si="29"/>
        <v>0</v>
      </c>
      <c r="L230" s="232">
        <f t="shared" si="30"/>
        <v>0</v>
      </c>
      <c r="M230" s="219">
        <f t="shared" si="31"/>
        <v>0</v>
      </c>
      <c r="N230" s="219">
        <f t="shared" si="32"/>
        <v>0</v>
      </c>
      <c r="O230" s="219">
        <f t="shared" si="33"/>
        <v>0</v>
      </c>
      <c r="P230" s="219">
        <f t="shared" si="34"/>
        <v>0</v>
      </c>
      <c r="Q230" s="219">
        <f t="shared" si="35"/>
        <v>0</v>
      </c>
    </row>
    <row r="231" spans="9:17" hidden="1" x14ac:dyDescent="0.25">
      <c r="I231" s="219">
        <f t="shared" si="27"/>
        <v>0</v>
      </c>
      <c r="J231" s="219">
        <f t="shared" si="28"/>
        <v>0</v>
      </c>
      <c r="K231" s="219">
        <f t="shared" si="29"/>
        <v>0</v>
      </c>
      <c r="L231" s="232">
        <f t="shared" si="30"/>
        <v>0</v>
      </c>
      <c r="M231" s="219">
        <f t="shared" si="31"/>
        <v>0</v>
      </c>
      <c r="N231" s="219">
        <f t="shared" si="32"/>
        <v>0</v>
      </c>
      <c r="O231" s="219">
        <f t="shared" si="33"/>
        <v>0</v>
      </c>
      <c r="P231" s="219">
        <f t="shared" si="34"/>
        <v>0</v>
      </c>
      <c r="Q231" s="219">
        <f t="shared" si="35"/>
        <v>0</v>
      </c>
    </row>
    <row r="232" spans="9:17" hidden="1" x14ac:dyDescent="0.25">
      <c r="I232" s="219">
        <f t="shared" si="27"/>
        <v>0</v>
      </c>
      <c r="J232" s="219">
        <f t="shared" si="28"/>
        <v>0</v>
      </c>
      <c r="K232" s="219">
        <f t="shared" si="29"/>
        <v>0</v>
      </c>
      <c r="L232" s="232">
        <f t="shared" si="30"/>
        <v>0</v>
      </c>
      <c r="M232" s="219">
        <f t="shared" si="31"/>
        <v>0</v>
      </c>
      <c r="N232" s="219">
        <f t="shared" si="32"/>
        <v>0</v>
      </c>
      <c r="O232" s="219">
        <f t="shared" si="33"/>
        <v>0</v>
      </c>
      <c r="P232" s="219">
        <f t="shared" si="34"/>
        <v>0</v>
      </c>
      <c r="Q232" s="219">
        <f t="shared" si="35"/>
        <v>0</v>
      </c>
    </row>
    <row r="233" spans="9:17" hidden="1" x14ac:dyDescent="0.25">
      <c r="I233" s="219">
        <f t="shared" si="27"/>
        <v>0</v>
      </c>
      <c r="J233" s="219">
        <f t="shared" si="28"/>
        <v>0</v>
      </c>
      <c r="K233" s="219">
        <f t="shared" si="29"/>
        <v>0</v>
      </c>
      <c r="L233" s="232">
        <f t="shared" si="30"/>
        <v>0</v>
      </c>
      <c r="M233" s="219">
        <f t="shared" si="31"/>
        <v>0</v>
      </c>
      <c r="N233" s="219">
        <f t="shared" si="32"/>
        <v>0</v>
      </c>
      <c r="O233" s="219">
        <f t="shared" si="33"/>
        <v>0</v>
      </c>
      <c r="P233" s="219">
        <f t="shared" si="34"/>
        <v>0</v>
      </c>
      <c r="Q233" s="219">
        <f t="shared" si="35"/>
        <v>0</v>
      </c>
    </row>
    <row r="234" spans="9:17" hidden="1" x14ac:dyDescent="0.25">
      <c r="I234" s="219">
        <f t="shared" si="27"/>
        <v>0</v>
      </c>
      <c r="J234" s="219">
        <f t="shared" si="28"/>
        <v>0</v>
      </c>
      <c r="K234" s="219">
        <f t="shared" si="29"/>
        <v>0</v>
      </c>
      <c r="L234" s="232">
        <f t="shared" si="30"/>
        <v>0</v>
      </c>
      <c r="M234" s="219">
        <f t="shared" si="31"/>
        <v>0</v>
      </c>
      <c r="N234" s="219">
        <f t="shared" si="32"/>
        <v>0</v>
      </c>
      <c r="O234" s="219">
        <f t="shared" si="33"/>
        <v>0</v>
      </c>
      <c r="P234" s="219">
        <f t="shared" si="34"/>
        <v>0</v>
      </c>
      <c r="Q234" s="219">
        <f t="shared" si="35"/>
        <v>0</v>
      </c>
    </row>
    <row r="235" spans="9:17" hidden="1" x14ac:dyDescent="0.25">
      <c r="I235" s="219">
        <f t="shared" si="27"/>
        <v>0</v>
      </c>
      <c r="J235" s="219">
        <f t="shared" si="28"/>
        <v>0</v>
      </c>
      <c r="K235" s="219">
        <f t="shared" si="29"/>
        <v>0</v>
      </c>
      <c r="L235" s="232">
        <f t="shared" si="30"/>
        <v>0</v>
      </c>
      <c r="M235" s="219">
        <f t="shared" si="31"/>
        <v>0</v>
      </c>
      <c r="N235" s="219">
        <f t="shared" si="32"/>
        <v>0</v>
      </c>
      <c r="O235" s="219">
        <f t="shared" si="33"/>
        <v>0</v>
      </c>
      <c r="P235" s="219">
        <f t="shared" si="34"/>
        <v>0</v>
      </c>
      <c r="Q235" s="219">
        <f t="shared" si="35"/>
        <v>0</v>
      </c>
    </row>
    <row r="236" spans="9:17" hidden="1" x14ac:dyDescent="0.25">
      <c r="I236" s="219">
        <f t="shared" si="27"/>
        <v>0</v>
      </c>
      <c r="J236" s="219">
        <f t="shared" si="28"/>
        <v>0</v>
      </c>
      <c r="K236" s="219">
        <f t="shared" si="29"/>
        <v>0</v>
      </c>
      <c r="L236" s="232">
        <f t="shared" si="30"/>
        <v>0</v>
      </c>
      <c r="M236" s="219">
        <f t="shared" si="31"/>
        <v>0</v>
      </c>
      <c r="N236" s="219">
        <f t="shared" si="32"/>
        <v>0</v>
      </c>
      <c r="O236" s="219">
        <f t="shared" si="33"/>
        <v>0</v>
      </c>
      <c r="P236" s="219">
        <f t="shared" si="34"/>
        <v>0</v>
      </c>
      <c r="Q236" s="219">
        <f t="shared" si="35"/>
        <v>0</v>
      </c>
    </row>
    <row r="237" spans="9:17" hidden="1" x14ac:dyDescent="0.25">
      <c r="I237" s="219">
        <f t="shared" si="27"/>
        <v>0</v>
      </c>
      <c r="J237" s="219">
        <f t="shared" si="28"/>
        <v>0</v>
      </c>
      <c r="K237" s="219">
        <f t="shared" si="29"/>
        <v>0</v>
      </c>
      <c r="L237" s="232">
        <f t="shared" si="30"/>
        <v>0</v>
      </c>
      <c r="M237" s="219">
        <f t="shared" si="31"/>
        <v>0</v>
      </c>
      <c r="N237" s="219">
        <f t="shared" si="32"/>
        <v>0</v>
      </c>
      <c r="O237" s="219">
        <f t="shared" si="33"/>
        <v>0</v>
      </c>
      <c r="P237" s="219">
        <f t="shared" si="34"/>
        <v>0</v>
      </c>
      <c r="Q237" s="219">
        <f t="shared" si="35"/>
        <v>0</v>
      </c>
    </row>
    <row r="238" spans="9:17" hidden="1" x14ac:dyDescent="0.25">
      <c r="I238" s="219">
        <f t="shared" si="27"/>
        <v>0</v>
      </c>
      <c r="J238" s="219">
        <f t="shared" si="28"/>
        <v>0</v>
      </c>
      <c r="K238" s="219">
        <f t="shared" si="29"/>
        <v>0</v>
      </c>
      <c r="L238" s="232">
        <f t="shared" si="30"/>
        <v>0</v>
      </c>
      <c r="M238" s="219">
        <f t="shared" si="31"/>
        <v>0</v>
      </c>
      <c r="N238" s="219">
        <f t="shared" si="32"/>
        <v>0</v>
      </c>
      <c r="O238" s="219">
        <f t="shared" si="33"/>
        <v>0</v>
      </c>
      <c r="P238" s="219">
        <f t="shared" si="34"/>
        <v>0</v>
      </c>
      <c r="Q238" s="219">
        <f t="shared" si="35"/>
        <v>0</v>
      </c>
    </row>
    <row r="239" spans="9:17" hidden="1" x14ac:dyDescent="0.25">
      <c r="I239" s="219">
        <f t="shared" si="27"/>
        <v>0</v>
      </c>
      <c r="J239" s="219">
        <f t="shared" si="28"/>
        <v>0</v>
      </c>
      <c r="K239" s="219">
        <f t="shared" si="29"/>
        <v>0</v>
      </c>
      <c r="L239" s="232">
        <f t="shared" si="30"/>
        <v>0</v>
      </c>
      <c r="M239" s="219">
        <f t="shared" si="31"/>
        <v>0</v>
      </c>
      <c r="N239" s="219">
        <f t="shared" si="32"/>
        <v>0</v>
      </c>
      <c r="O239" s="219">
        <f t="shared" si="33"/>
        <v>0</v>
      </c>
      <c r="P239" s="219">
        <f t="shared" si="34"/>
        <v>0</v>
      </c>
      <c r="Q239" s="219">
        <f t="shared" si="35"/>
        <v>0</v>
      </c>
    </row>
    <row r="240" spans="9:17" hidden="1" x14ac:dyDescent="0.25">
      <c r="I240" s="219">
        <f t="shared" si="27"/>
        <v>0</v>
      </c>
      <c r="J240" s="219">
        <f t="shared" si="28"/>
        <v>0</v>
      </c>
      <c r="K240" s="219">
        <f t="shared" si="29"/>
        <v>0</v>
      </c>
      <c r="L240" s="232">
        <f t="shared" si="30"/>
        <v>0</v>
      </c>
      <c r="M240" s="219">
        <f t="shared" si="31"/>
        <v>0</v>
      </c>
      <c r="N240" s="219">
        <f t="shared" si="32"/>
        <v>0</v>
      </c>
      <c r="O240" s="219">
        <f t="shared" si="33"/>
        <v>0</v>
      </c>
      <c r="P240" s="219">
        <f t="shared" si="34"/>
        <v>0</v>
      </c>
      <c r="Q240" s="219">
        <f t="shared" si="35"/>
        <v>0</v>
      </c>
    </row>
    <row r="241" spans="9:17" hidden="1" x14ac:dyDescent="0.25">
      <c r="I241" s="219">
        <f t="shared" si="27"/>
        <v>0</v>
      </c>
      <c r="J241" s="219">
        <f t="shared" si="28"/>
        <v>0</v>
      </c>
      <c r="K241" s="219">
        <f t="shared" si="29"/>
        <v>0</v>
      </c>
      <c r="L241" s="232">
        <f t="shared" si="30"/>
        <v>0</v>
      </c>
      <c r="M241" s="219">
        <f t="shared" si="31"/>
        <v>0</v>
      </c>
      <c r="N241" s="219">
        <f t="shared" si="32"/>
        <v>0</v>
      </c>
      <c r="O241" s="219">
        <f t="shared" si="33"/>
        <v>0</v>
      </c>
      <c r="P241" s="219">
        <f t="shared" si="34"/>
        <v>0</v>
      </c>
      <c r="Q241" s="219">
        <f t="shared" si="35"/>
        <v>0</v>
      </c>
    </row>
    <row r="242" spans="9:17" hidden="1" x14ac:dyDescent="0.25">
      <c r="I242" s="219">
        <f t="shared" si="27"/>
        <v>0</v>
      </c>
      <c r="J242" s="219">
        <f t="shared" si="28"/>
        <v>0</v>
      </c>
      <c r="K242" s="219">
        <f t="shared" si="29"/>
        <v>0</v>
      </c>
      <c r="L242" s="232">
        <f t="shared" si="30"/>
        <v>0</v>
      </c>
      <c r="M242" s="219">
        <f t="shared" si="31"/>
        <v>0</v>
      </c>
      <c r="N242" s="219">
        <f t="shared" si="32"/>
        <v>0</v>
      </c>
      <c r="O242" s="219">
        <f t="shared" si="33"/>
        <v>0</v>
      </c>
      <c r="P242" s="219">
        <f t="shared" si="34"/>
        <v>0</v>
      </c>
      <c r="Q242" s="219">
        <f t="shared" si="35"/>
        <v>0</v>
      </c>
    </row>
    <row r="243" spans="9:17" hidden="1" x14ac:dyDescent="0.25">
      <c r="I243" s="219">
        <f t="shared" si="27"/>
        <v>0</v>
      </c>
      <c r="J243" s="219">
        <f t="shared" si="28"/>
        <v>0</v>
      </c>
      <c r="K243" s="219">
        <f t="shared" si="29"/>
        <v>0</v>
      </c>
      <c r="L243" s="232">
        <f t="shared" si="30"/>
        <v>0</v>
      </c>
      <c r="M243" s="219">
        <f t="shared" si="31"/>
        <v>0</v>
      </c>
      <c r="N243" s="219">
        <f t="shared" si="32"/>
        <v>0</v>
      </c>
      <c r="O243" s="219">
        <f t="shared" si="33"/>
        <v>0</v>
      </c>
      <c r="P243" s="219">
        <f t="shared" si="34"/>
        <v>0</v>
      </c>
      <c r="Q243" s="219">
        <f t="shared" si="35"/>
        <v>0</v>
      </c>
    </row>
    <row r="244" spans="9:17" hidden="1" x14ac:dyDescent="0.25">
      <c r="I244" s="219">
        <f t="shared" si="27"/>
        <v>0</v>
      </c>
      <c r="J244" s="219">
        <f t="shared" si="28"/>
        <v>0</v>
      </c>
      <c r="K244" s="219">
        <f t="shared" si="29"/>
        <v>0</v>
      </c>
      <c r="L244" s="232">
        <f t="shared" si="30"/>
        <v>0</v>
      </c>
      <c r="M244" s="219">
        <f t="shared" si="31"/>
        <v>0</v>
      </c>
      <c r="N244" s="219">
        <f t="shared" si="32"/>
        <v>0</v>
      </c>
      <c r="O244" s="219">
        <f t="shared" si="33"/>
        <v>0</v>
      </c>
      <c r="P244" s="219">
        <f t="shared" si="34"/>
        <v>0</v>
      </c>
      <c r="Q244" s="219">
        <f t="shared" si="35"/>
        <v>0</v>
      </c>
    </row>
    <row r="245" spans="9:17" hidden="1" x14ac:dyDescent="0.25">
      <c r="I245" s="219">
        <f t="shared" si="27"/>
        <v>0</v>
      </c>
      <c r="J245" s="219">
        <f t="shared" si="28"/>
        <v>0</v>
      </c>
      <c r="K245" s="219">
        <f t="shared" si="29"/>
        <v>0</v>
      </c>
      <c r="L245" s="232">
        <f t="shared" si="30"/>
        <v>0</v>
      </c>
      <c r="M245" s="219">
        <f t="shared" si="31"/>
        <v>0</v>
      </c>
      <c r="N245" s="219">
        <f t="shared" si="32"/>
        <v>0</v>
      </c>
      <c r="O245" s="219">
        <f t="shared" si="33"/>
        <v>0</v>
      </c>
      <c r="P245" s="219">
        <f t="shared" si="34"/>
        <v>0</v>
      </c>
      <c r="Q245" s="219">
        <f t="shared" si="35"/>
        <v>0</v>
      </c>
    </row>
    <row r="246" spans="9:17" hidden="1" x14ac:dyDescent="0.25">
      <c r="I246" s="219">
        <f t="shared" si="27"/>
        <v>0</v>
      </c>
      <c r="J246" s="219">
        <f t="shared" si="28"/>
        <v>0</v>
      </c>
      <c r="K246" s="219">
        <f t="shared" si="29"/>
        <v>0</v>
      </c>
      <c r="L246" s="232">
        <f t="shared" si="30"/>
        <v>0</v>
      </c>
      <c r="M246" s="219">
        <f t="shared" si="31"/>
        <v>0</v>
      </c>
      <c r="N246" s="219">
        <f t="shared" si="32"/>
        <v>0</v>
      </c>
      <c r="O246" s="219">
        <f t="shared" si="33"/>
        <v>0</v>
      </c>
      <c r="P246" s="219">
        <f t="shared" si="34"/>
        <v>0</v>
      </c>
      <c r="Q246" s="219">
        <f t="shared" si="35"/>
        <v>0</v>
      </c>
    </row>
    <row r="247" spans="9:17" hidden="1" x14ac:dyDescent="0.25">
      <c r="I247" s="219">
        <f t="shared" si="27"/>
        <v>0</v>
      </c>
      <c r="J247" s="219">
        <f t="shared" si="28"/>
        <v>0</v>
      </c>
      <c r="K247" s="219">
        <f t="shared" si="29"/>
        <v>0</v>
      </c>
      <c r="L247" s="232">
        <f t="shared" si="30"/>
        <v>0</v>
      </c>
      <c r="M247" s="219">
        <f t="shared" si="31"/>
        <v>0</v>
      </c>
      <c r="N247" s="219">
        <f t="shared" si="32"/>
        <v>0</v>
      </c>
      <c r="O247" s="219">
        <f t="shared" si="33"/>
        <v>0</v>
      </c>
      <c r="P247" s="219">
        <f t="shared" si="34"/>
        <v>0</v>
      </c>
      <c r="Q247" s="219">
        <f t="shared" si="35"/>
        <v>0</v>
      </c>
    </row>
    <row r="248" spans="9:17" hidden="1" x14ac:dyDescent="0.25">
      <c r="I248" s="219">
        <f t="shared" si="27"/>
        <v>0</v>
      </c>
      <c r="J248" s="219">
        <f t="shared" si="28"/>
        <v>0</v>
      </c>
      <c r="K248" s="219">
        <f t="shared" si="29"/>
        <v>0</v>
      </c>
      <c r="L248" s="232">
        <f t="shared" si="30"/>
        <v>0</v>
      </c>
      <c r="M248" s="219">
        <f t="shared" si="31"/>
        <v>0</v>
      </c>
      <c r="N248" s="219">
        <f t="shared" si="32"/>
        <v>0</v>
      </c>
      <c r="O248" s="219">
        <f t="shared" si="33"/>
        <v>0</v>
      </c>
      <c r="P248" s="219">
        <f t="shared" si="34"/>
        <v>0</v>
      </c>
      <c r="Q248" s="219">
        <f t="shared" si="35"/>
        <v>0</v>
      </c>
    </row>
    <row r="249" spans="9:17" hidden="1" x14ac:dyDescent="0.25">
      <c r="I249" s="219">
        <f t="shared" si="27"/>
        <v>0</v>
      </c>
      <c r="J249" s="219">
        <f t="shared" si="28"/>
        <v>0</v>
      </c>
      <c r="K249" s="219">
        <f t="shared" si="29"/>
        <v>0</v>
      </c>
      <c r="L249" s="232">
        <f t="shared" si="30"/>
        <v>0</v>
      </c>
      <c r="M249" s="219">
        <f t="shared" si="31"/>
        <v>0</v>
      </c>
      <c r="N249" s="219">
        <f t="shared" si="32"/>
        <v>0</v>
      </c>
      <c r="O249" s="219">
        <f t="shared" si="33"/>
        <v>0</v>
      </c>
      <c r="P249" s="219">
        <f t="shared" si="34"/>
        <v>0</v>
      </c>
      <c r="Q249" s="219">
        <f t="shared" si="35"/>
        <v>0</v>
      </c>
    </row>
    <row r="250" spans="9:17" hidden="1" x14ac:dyDescent="0.25">
      <c r="I250" s="219">
        <f t="shared" si="27"/>
        <v>0</v>
      </c>
      <c r="J250" s="219">
        <f t="shared" si="28"/>
        <v>0</v>
      </c>
      <c r="K250" s="219">
        <f t="shared" si="29"/>
        <v>0</v>
      </c>
      <c r="L250" s="232">
        <f t="shared" si="30"/>
        <v>0</v>
      </c>
      <c r="M250" s="219">
        <f t="shared" si="31"/>
        <v>0</v>
      </c>
      <c r="N250" s="219">
        <f t="shared" si="32"/>
        <v>0</v>
      </c>
      <c r="O250" s="219">
        <f t="shared" si="33"/>
        <v>0</v>
      </c>
      <c r="P250" s="219">
        <f t="shared" si="34"/>
        <v>0</v>
      </c>
      <c r="Q250" s="219">
        <f t="shared" si="35"/>
        <v>0</v>
      </c>
    </row>
    <row r="251" spans="9:17" hidden="1" x14ac:dyDescent="0.25">
      <c r="I251" s="219">
        <f t="shared" si="27"/>
        <v>0</v>
      </c>
      <c r="J251" s="219">
        <f t="shared" si="28"/>
        <v>0</v>
      </c>
      <c r="K251" s="219">
        <f t="shared" si="29"/>
        <v>0</v>
      </c>
      <c r="L251" s="232">
        <f t="shared" si="30"/>
        <v>0</v>
      </c>
      <c r="M251" s="219">
        <f t="shared" si="31"/>
        <v>0</v>
      </c>
      <c r="N251" s="219">
        <f t="shared" si="32"/>
        <v>0</v>
      </c>
      <c r="O251" s="219">
        <f t="shared" si="33"/>
        <v>0</v>
      </c>
      <c r="P251" s="219">
        <f t="shared" si="34"/>
        <v>0</v>
      </c>
      <c r="Q251" s="219">
        <f t="shared" si="35"/>
        <v>0</v>
      </c>
    </row>
    <row r="252" spans="9:17" hidden="1" x14ac:dyDescent="0.25">
      <c r="I252" s="219">
        <f t="shared" si="27"/>
        <v>0</v>
      </c>
      <c r="J252" s="219">
        <f t="shared" si="28"/>
        <v>0</v>
      </c>
      <c r="K252" s="219">
        <f t="shared" si="29"/>
        <v>0</v>
      </c>
      <c r="L252" s="232">
        <f t="shared" si="30"/>
        <v>0</v>
      </c>
      <c r="M252" s="219">
        <f t="shared" si="31"/>
        <v>0</v>
      </c>
      <c r="N252" s="219">
        <f t="shared" si="32"/>
        <v>0</v>
      </c>
      <c r="O252" s="219">
        <f t="shared" si="33"/>
        <v>0</v>
      </c>
      <c r="P252" s="219">
        <f t="shared" si="34"/>
        <v>0</v>
      </c>
      <c r="Q252" s="219">
        <f t="shared" si="35"/>
        <v>0</v>
      </c>
    </row>
    <row r="253" spans="9:17" hidden="1" x14ac:dyDescent="0.25">
      <c r="I253" s="219">
        <f t="shared" si="27"/>
        <v>0</v>
      </c>
      <c r="J253" s="219">
        <f t="shared" si="28"/>
        <v>0</v>
      </c>
      <c r="K253" s="219">
        <f t="shared" si="29"/>
        <v>0</v>
      </c>
      <c r="L253" s="232">
        <f t="shared" si="30"/>
        <v>0</v>
      </c>
      <c r="M253" s="219">
        <f t="shared" si="31"/>
        <v>0</v>
      </c>
      <c r="N253" s="219">
        <f t="shared" si="32"/>
        <v>0</v>
      </c>
      <c r="O253" s="219">
        <f t="shared" si="33"/>
        <v>0</v>
      </c>
      <c r="P253" s="219">
        <f t="shared" si="34"/>
        <v>0</v>
      </c>
      <c r="Q253" s="219">
        <f t="shared" si="35"/>
        <v>0</v>
      </c>
    </row>
    <row r="254" spans="9:17" hidden="1" x14ac:dyDescent="0.25">
      <c r="I254" s="219">
        <f t="shared" si="27"/>
        <v>0</v>
      </c>
      <c r="J254" s="219">
        <f t="shared" si="28"/>
        <v>0</v>
      </c>
      <c r="K254" s="219">
        <f t="shared" si="29"/>
        <v>0</v>
      </c>
      <c r="L254" s="232">
        <f t="shared" si="30"/>
        <v>0</v>
      </c>
      <c r="M254" s="219">
        <f t="shared" si="31"/>
        <v>0</v>
      </c>
      <c r="N254" s="219">
        <f t="shared" si="32"/>
        <v>0</v>
      </c>
      <c r="O254" s="219">
        <f t="shared" si="33"/>
        <v>0</v>
      </c>
      <c r="P254" s="219">
        <f t="shared" si="34"/>
        <v>0</v>
      </c>
      <c r="Q254" s="219">
        <f t="shared" si="35"/>
        <v>0</v>
      </c>
    </row>
    <row r="255" spans="9:17" hidden="1" x14ac:dyDescent="0.25">
      <c r="I255" s="219">
        <f t="shared" si="27"/>
        <v>0</v>
      </c>
      <c r="J255" s="219">
        <f t="shared" si="28"/>
        <v>0</v>
      </c>
      <c r="K255" s="219">
        <f t="shared" si="29"/>
        <v>0</v>
      </c>
      <c r="L255" s="232">
        <f t="shared" si="30"/>
        <v>0</v>
      </c>
      <c r="M255" s="219">
        <f t="shared" si="31"/>
        <v>0</v>
      </c>
      <c r="N255" s="219">
        <f t="shared" si="32"/>
        <v>0</v>
      </c>
      <c r="O255" s="219">
        <f t="shared" si="33"/>
        <v>0</v>
      </c>
      <c r="P255" s="219">
        <f t="shared" si="34"/>
        <v>0</v>
      </c>
      <c r="Q255" s="219">
        <f t="shared" si="35"/>
        <v>0</v>
      </c>
    </row>
    <row r="256" spans="9:17" hidden="1" x14ac:dyDescent="0.25">
      <c r="I256" s="219">
        <f t="shared" si="27"/>
        <v>0</v>
      </c>
      <c r="J256" s="219">
        <f t="shared" si="28"/>
        <v>0</v>
      </c>
      <c r="K256" s="219">
        <f t="shared" si="29"/>
        <v>0</v>
      </c>
      <c r="L256" s="232">
        <f t="shared" si="30"/>
        <v>0</v>
      </c>
      <c r="M256" s="219">
        <f t="shared" si="31"/>
        <v>0</v>
      </c>
      <c r="N256" s="219">
        <f t="shared" si="32"/>
        <v>0</v>
      </c>
      <c r="O256" s="219">
        <f t="shared" si="33"/>
        <v>0</v>
      </c>
      <c r="P256" s="219">
        <f t="shared" si="34"/>
        <v>0</v>
      </c>
      <c r="Q256" s="219">
        <f t="shared" si="35"/>
        <v>0</v>
      </c>
    </row>
    <row r="257" spans="9:17" hidden="1" x14ac:dyDescent="0.25">
      <c r="I257" s="219">
        <f t="shared" si="27"/>
        <v>0</v>
      </c>
      <c r="J257" s="219">
        <f t="shared" si="28"/>
        <v>0</v>
      </c>
      <c r="K257" s="219">
        <f t="shared" si="29"/>
        <v>0</v>
      </c>
      <c r="L257" s="232">
        <f t="shared" si="30"/>
        <v>0</v>
      </c>
      <c r="M257" s="219">
        <f t="shared" si="31"/>
        <v>0</v>
      </c>
      <c r="N257" s="219">
        <f t="shared" si="32"/>
        <v>0</v>
      </c>
      <c r="O257" s="219">
        <f t="shared" si="33"/>
        <v>0</v>
      </c>
      <c r="P257" s="219">
        <f t="shared" si="34"/>
        <v>0</v>
      </c>
      <c r="Q257" s="219">
        <f t="shared" si="35"/>
        <v>0</v>
      </c>
    </row>
    <row r="258" spans="9:17" hidden="1" x14ac:dyDescent="0.25">
      <c r="I258" s="219">
        <f t="shared" si="27"/>
        <v>0</v>
      </c>
      <c r="J258" s="219">
        <f t="shared" si="28"/>
        <v>0</v>
      </c>
      <c r="K258" s="219">
        <f t="shared" si="29"/>
        <v>0</v>
      </c>
      <c r="L258" s="232">
        <f t="shared" si="30"/>
        <v>0</v>
      </c>
      <c r="M258" s="219">
        <f t="shared" si="31"/>
        <v>0</v>
      </c>
      <c r="N258" s="219">
        <f t="shared" si="32"/>
        <v>0</v>
      </c>
      <c r="O258" s="219">
        <f t="shared" si="33"/>
        <v>0</v>
      </c>
      <c r="P258" s="219">
        <f t="shared" si="34"/>
        <v>0</v>
      </c>
      <c r="Q258" s="219">
        <f t="shared" si="35"/>
        <v>0</v>
      </c>
    </row>
    <row r="259" spans="9:17" hidden="1" x14ac:dyDescent="0.25">
      <c r="I259" s="219">
        <f t="shared" si="27"/>
        <v>0</v>
      </c>
      <c r="J259" s="219">
        <f t="shared" si="28"/>
        <v>0</v>
      </c>
      <c r="K259" s="219">
        <f t="shared" si="29"/>
        <v>0</v>
      </c>
      <c r="L259" s="232">
        <f t="shared" si="30"/>
        <v>0</v>
      </c>
      <c r="M259" s="219">
        <f t="shared" si="31"/>
        <v>0</v>
      </c>
      <c r="N259" s="219">
        <f t="shared" si="32"/>
        <v>0</v>
      </c>
      <c r="O259" s="219">
        <f t="shared" si="33"/>
        <v>0</v>
      </c>
      <c r="P259" s="219">
        <f t="shared" si="34"/>
        <v>0</v>
      </c>
      <c r="Q259" s="219">
        <f t="shared" si="35"/>
        <v>0</v>
      </c>
    </row>
    <row r="260" spans="9:17" hidden="1" x14ac:dyDescent="0.25">
      <c r="I260" s="219">
        <f t="shared" si="27"/>
        <v>0</v>
      </c>
      <c r="J260" s="219">
        <f t="shared" si="28"/>
        <v>0</v>
      </c>
      <c r="K260" s="219">
        <f t="shared" si="29"/>
        <v>0</v>
      </c>
      <c r="L260" s="232">
        <f t="shared" si="30"/>
        <v>0</v>
      </c>
      <c r="M260" s="219">
        <f t="shared" si="31"/>
        <v>0</v>
      </c>
      <c r="N260" s="219">
        <f t="shared" si="32"/>
        <v>0</v>
      </c>
      <c r="O260" s="219">
        <f t="shared" si="33"/>
        <v>0</v>
      </c>
      <c r="P260" s="219">
        <f t="shared" si="34"/>
        <v>0</v>
      </c>
      <c r="Q260" s="219">
        <f t="shared" si="35"/>
        <v>0</v>
      </c>
    </row>
    <row r="261" spans="9:17" hidden="1" x14ac:dyDescent="0.25">
      <c r="I261" s="219">
        <f t="shared" ref="I261:I268" si="36">SUM(R261:S261)</f>
        <v>0</v>
      </c>
      <c r="J261" s="219">
        <f t="shared" ref="J261:J268" si="37">SUM(T261:V261)</f>
        <v>0</v>
      </c>
      <c r="K261" s="219">
        <f t="shared" ref="K261:K268" si="38">W261</f>
        <v>0</v>
      </c>
      <c r="L261" s="232">
        <f t="shared" ref="L261:L268" si="39">SUM(X261:AB261)</f>
        <v>0</v>
      </c>
      <c r="M261" s="219">
        <f t="shared" ref="M261:M268" si="40">SUM(AC261:AE261)</f>
        <v>0</v>
      </c>
      <c r="N261" s="219">
        <f t="shared" ref="N261:N268" si="41">AG261</f>
        <v>0</v>
      </c>
      <c r="O261" s="219">
        <f t="shared" ref="O261:O268" si="42">AH261</f>
        <v>0</v>
      </c>
      <c r="P261" s="219">
        <f t="shared" ref="P261:P268" si="43">SUM(AK261:AM261)</f>
        <v>0</v>
      </c>
      <c r="Q261" s="219">
        <f t="shared" ref="Q261:Q268" si="44">AN261</f>
        <v>0</v>
      </c>
    </row>
    <row r="262" spans="9:17" hidden="1" x14ac:dyDescent="0.25">
      <c r="I262" s="219">
        <f t="shared" si="36"/>
        <v>0</v>
      </c>
      <c r="J262" s="219">
        <f t="shared" si="37"/>
        <v>0</v>
      </c>
      <c r="K262" s="219">
        <f t="shared" si="38"/>
        <v>0</v>
      </c>
      <c r="L262" s="232">
        <f t="shared" si="39"/>
        <v>0</v>
      </c>
      <c r="M262" s="219">
        <f t="shared" si="40"/>
        <v>0</v>
      </c>
      <c r="N262" s="219">
        <f t="shared" si="41"/>
        <v>0</v>
      </c>
      <c r="O262" s="219">
        <f t="shared" si="42"/>
        <v>0</v>
      </c>
      <c r="P262" s="219">
        <f t="shared" si="43"/>
        <v>0</v>
      </c>
      <c r="Q262" s="219">
        <f t="shared" si="44"/>
        <v>0</v>
      </c>
    </row>
    <row r="263" spans="9:17" hidden="1" x14ac:dyDescent="0.25">
      <c r="I263" s="219">
        <f t="shared" si="36"/>
        <v>0</v>
      </c>
      <c r="J263" s="219">
        <f t="shared" si="37"/>
        <v>0</v>
      </c>
      <c r="K263" s="219">
        <f t="shared" si="38"/>
        <v>0</v>
      </c>
      <c r="L263" s="232">
        <f t="shared" si="39"/>
        <v>0</v>
      </c>
      <c r="M263" s="219">
        <f t="shared" si="40"/>
        <v>0</v>
      </c>
      <c r="N263" s="219">
        <f t="shared" si="41"/>
        <v>0</v>
      </c>
      <c r="O263" s="219">
        <f t="shared" si="42"/>
        <v>0</v>
      </c>
      <c r="P263" s="219">
        <f t="shared" si="43"/>
        <v>0</v>
      </c>
      <c r="Q263" s="219">
        <f t="shared" si="44"/>
        <v>0</v>
      </c>
    </row>
    <row r="264" spans="9:17" hidden="1" x14ac:dyDescent="0.25">
      <c r="I264" s="219">
        <f t="shared" si="36"/>
        <v>0</v>
      </c>
      <c r="J264" s="219">
        <f t="shared" si="37"/>
        <v>0</v>
      </c>
      <c r="K264" s="219">
        <f t="shared" si="38"/>
        <v>0</v>
      </c>
      <c r="L264" s="232">
        <f t="shared" si="39"/>
        <v>0</v>
      </c>
      <c r="M264" s="219">
        <f t="shared" si="40"/>
        <v>0</v>
      </c>
      <c r="N264" s="219">
        <f t="shared" si="41"/>
        <v>0</v>
      </c>
      <c r="O264" s="219">
        <f t="shared" si="42"/>
        <v>0</v>
      </c>
      <c r="P264" s="219">
        <f t="shared" si="43"/>
        <v>0</v>
      </c>
      <c r="Q264" s="219">
        <f t="shared" si="44"/>
        <v>0</v>
      </c>
    </row>
    <row r="265" spans="9:17" hidden="1" x14ac:dyDescent="0.25">
      <c r="I265" s="219">
        <f t="shared" si="36"/>
        <v>0</v>
      </c>
      <c r="J265" s="219">
        <f t="shared" si="37"/>
        <v>0</v>
      </c>
      <c r="K265" s="219">
        <f t="shared" si="38"/>
        <v>0</v>
      </c>
      <c r="L265" s="232">
        <f t="shared" si="39"/>
        <v>0</v>
      </c>
      <c r="M265" s="219">
        <f t="shared" si="40"/>
        <v>0</v>
      </c>
      <c r="N265" s="219">
        <f t="shared" si="41"/>
        <v>0</v>
      </c>
      <c r="O265" s="219">
        <f t="shared" si="42"/>
        <v>0</v>
      </c>
      <c r="P265" s="219">
        <f t="shared" si="43"/>
        <v>0</v>
      </c>
      <c r="Q265" s="219">
        <f t="shared" si="44"/>
        <v>0</v>
      </c>
    </row>
    <row r="266" spans="9:17" hidden="1" x14ac:dyDescent="0.25">
      <c r="I266" s="219">
        <f t="shared" si="36"/>
        <v>0</v>
      </c>
      <c r="J266" s="219">
        <f t="shared" si="37"/>
        <v>0</v>
      </c>
      <c r="K266" s="219">
        <f t="shared" si="38"/>
        <v>0</v>
      </c>
      <c r="L266" s="232">
        <f t="shared" si="39"/>
        <v>0</v>
      </c>
      <c r="M266" s="219">
        <f t="shared" si="40"/>
        <v>0</v>
      </c>
      <c r="N266" s="219">
        <f t="shared" si="41"/>
        <v>0</v>
      </c>
      <c r="O266" s="219">
        <f t="shared" si="42"/>
        <v>0</v>
      </c>
      <c r="P266" s="219">
        <f t="shared" si="43"/>
        <v>0</v>
      </c>
      <c r="Q266" s="219">
        <f t="shared" si="44"/>
        <v>0</v>
      </c>
    </row>
    <row r="267" spans="9:17" hidden="1" x14ac:dyDescent="0.25">
      <c r="I267" s="219">
        <f t="shared" si="36"/>
        <v>0</v>
      </c>
      <c r="J267" s="219">
        <f t="shared" si="37"/>
        <v>0</v>
      </c>
      <c r="K267" s="219">
        <f t="shared" si="38"/>
        <v>0</v>
      </c>
      <c r="L267" s="232">
        <f t="shared" si="39"/>
        <v>0</v>
      </c>
      <c r="M267" s="219">
        <f t="shared" si="40"/>
        <v>0</v>
      </c>
      <c r="N267" s="219">
        <f t="shared" si="41"/>
        <v>0</v>
      </c>
      <c r="O267" s="219">
        <f t="shared" si="42"/>
        <v>0</v>
      </c>
      <c r="P267" s="219">
        <f t="shared" si="43"/>
        <v>0</v>
      </c>
      <c r="Q267" s="219">
        <f t="shared" si="44"/>
        <v>0</v>
      </c>
    </row>
    <row r="268" spans="9:17" hidden="1" x14ac:dyDescent="0.25">
      <c r="I268" s="219">
        <f t="shared" si="36"/>
        <v>0</v>
      </c>
      <c r="J268" s="219">
        <f t="shared" si="37"/>
        <v>0</v>
      </c>
      <c r="K268" s="219">
        <f t="shared" si="38"/>
        <v>0</v>
      </c>
      <c r="L268" s="232">
        <f t="shared" si="39"/>
        <v>0</v>
      </c>
      <c r="M268" s="219">
        <f t="shared" si="40"/>
        <v>0</v>
      </c>
      <c r="N268" s="219">
        <f t="shared" si="41"/>
        <v>0</v>
      </c>
      <c r="O268" s="219">
        <f t="shared" si="42"/>
        <v>0</v>
      </c>
      <c r="P268" s="219">
        <f t="shared" si="43"/>
        <v>0</v>
      </c>
      <c r="Q268" s="219">
        <f t="shared" si="44"/>
        <v>0</v>
      </c>
    </row>
  </sheetData>
  <autoFilter ref="A3:AN268" xr:uid="{BEBB7BC1-AB84-4C97-A7A0-E851126C3CB4}">
    <filterColumn colId="0">
      <filters>
        <filter val="Ульяновская"/>
      </filters>
    </filterColumn>
  </autoFilter>
  <mergeCells count="7">
    <mergeCell ref="J2:L2"/>
    <mergeCell ref="M2:Q2"/>
    <mergeCell ref="R1:AB1"/>
    <mergeCell ref="AC1:AM1"/>
    <mergeCell ref="R2:S2"/>
    <mergeCell ref="AC2:AJ2"/>
    <mergeCell ref="AK2:AM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A5EC-B68E-4623-A1FB-A5A8DEC1FA6B}">
  <sheetPr filterMode="1">
    <tabColor rgb="FF92D050"/>
  </sheetPr>
  <dimension ref="A1:AM269"/>
  <sheetViews>
    <sheetView zoomScale="85" zoomScaleNormal="85" workbookViewId="0">
      <selection activeCell="L106" sqref="L106"/>
    </sheetView>
  </sheetViews>
  <sheetFormatPr defaultColWidth="8.85546875" defaultRowHeight="15" x14ac:dyDescent="0.25"/>
  <cols>
    <col min="1" max="1" width="26.85546875" style="1" customWidth="1"/>
    <col min="2" max="2" width="20.42578125" style="1" customWidth="1"/>
    <col min="3" max="3" width="27.85546875" style="1" customWidth="1"/>
    <col min="4" max="4" width="32.85546875" style="1" customWidth="1"/>
    <col min="5" max="5" width="31.5703125" style="1" customWidth="1"/>
    <col min="6" max="7" width="11.140625" style="2" customWidth="1"/>
    <col min="8" max="8" width="11.140625" style="1" customWidth="1"/>
    <col min="9" max="9" width="13.140625" bestFit="1" customWidth="1"/>
    <col min="10" max="10" width="18.7109375" bestFit="1" customWidth="1"/>
    <col min="11" max="11" width="20.7109375" bestFit="1" customWidth="1"/>
    <col min="12" max="12" width="21.28515625" bestFit="1" customWidth="1"/>
    <col min="13" max="13" width="25.42578125" bestFit="1" customWidth="1"/>
    <col min="14" max="14" width="25.140625" bestFit="1" customWidth="1"/>
    <col min="15" max="15" width="23.28515625" bestFit="1" customWidth="1"/>
    <col min="16" max="16" width="18.28515625" bestFit="1" customWidth="1"/>
    <col min="17" max="17" width="19.28515625" bestFit="1" customWidth="1"/>
    <col min="18" max="19" width="11.140625" style="1" customWidth="1"/>
    <col min="20" max="20" width="26.85546875" style="1" bestFit="1" customWidth="1"/>
    <col min="21" max="21" width="21.85546875" style="1" bestFit="1" customWidth="1"/>
    <col min="22" max="22" width="24" style="1" bestFit="1" customWidth="1"/>
    <col min="23" max="23" width="24.85546875" style="1" bestFit="1" customWidth="1"/>
    <col min="24" max="24" width="20.140625" style="1" bestFit="1" customWidth="1"/>
    <col min="25" max="25" width="21.140625" style="1" bestFit="1" customWidth="1"/>
    <col min="26" max="26" width="19.85546875" style="1" bestFit="1" customWidth="1"/>
    <col min="27" max="27" width="16" style="1" bestFit="1" customWidth="1"/>
    <col min="28" max="28" width="16.140625" style="1" bestFit="1" customWidth="1"/>
    <col min="29" max="29" width="25.42578125" style="1" bestFit="1" customWidth="1"/>
    <col min="30" max="30" width="17.140625" style="1" bestFit="1" customWidth="1"/>
    <col min="31" max="31" width="16.140625" style="1" bestFit="1" customWidth="1"/>
    <col min="32" max="32" width="21.42578125" style="1" bestFit="1" customWidth="1"/>
    <col min="33" max="33" width="13" style="1" bestFit="1" customWidth="1"/>
    <col min="34" max="34" width="17.28515625" style="1" bestFit="1" customWidth="1"/>
    <col min="35" max="35" width="10.85546875" style="1" customWidth="1"/>
    <col min="36" max="36" width="11.85546875" style="1" customWidth="1"/>
    <col min="37" max="37" width="15.85546875" style="1" bestFit="1" customWidth="1"/>
    <col min="38" max="39" width="15.140625" style="1" bestFit="1" customWidth="1"/>
    <col min="40" max="16384" width="8.85546875" style="1"/>
  </cols>
  <sheetData>
    <row r="1" spans="1:39" ht="15" customHeight="1" thickBot="1" x14ac:dyDescent="0.3">
      <c r="A1" s="14" t="s">
        <v>182</v>
      </c>
      <c r="I1" s="1"/>
      <c r="J1" s="1"/>
      <c r="K1" s="1"/>
      <c r="L1" s="1"/>
      <c r="M1" s="1"/>
      <c r="N1" s="1"/>
      <c r="O1" s="1"/>
      <c r="P1" s="1"/>
      <c r="Q1" s="1"/>
      <c r="R1" s="504" t="s">
        <v>184</v>
      </c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 t="s">
        <v>185</v>
      </c>
      <c r="AD1" s="504"/>
      <c r="AE1" s="504"/>
      <c r="AF1" s="504"/>
      <c r="AG1" s="504"/>
      <c r="AH1" s="504"/>
      <c r="AI1" s="504"/>
      <c r="AJ1" s="504"/>
      <c r="AK1" s="504"/>
      <c r="AL1" s="504"/>
      <c r="AM1" s="504"/>
    </row>
    <row r="2" spans="1:39" s="3" customFormat="1" ht="59.45" customHeight="1" thickBot="1" x14ac:dyDescent="0.3">
      <c r="I2" s="13" t="s">
        <v>290</v>
      </c>
      <c r="J2" s="490" t="s">
        <v>291</v>
      </c>
      <c r="K2" s="490"/>
      <c r="L2" s="490"/>
      <c r="M2" s="490" t="s">
        <v>292</v>
      </c>
      <c r="N2" s="490"/>
      <c r="O2" s="490"/>
      <c r="P2" s="490"/>
      <c r="Q2" s="491"/>
      <c r="R2" s="505" t="s">
        <v>186</v>
      </c>
      <c r="S2" s="505"/>
      <c r="T2" s="4" t="s">
        <v>187</v>
      </c>
      <c r="U2" s="3" t="s">
        <v>187</v>
      </c>
      <c r="V2" s="5" t="s">
        <v>187</v>
      </c>
      <c r="W2" s="3" t="s">
        <v>188</v>
      </c>
      <c r="X2" s="3" t="s">
        <v>188</v>
      </c>
      <c r="Y2" s="3" t="s">
        <v>188</v>
      </c>
      <c r="Z2" s="3" t="s">
        <v>188</v>
      </c>
      <c r="AA2" s="3" t="s">
        <v>188</v>
      </c>
      <c r="AB2" s="5" t="s">
        <v>188</v>
      </c>
      <c r="AC2" s="505" t="s">
        <v>189</v>
      </c>
      <c r="AD2" s="505"/>
      <c r="AE2" s="505"/>
      <c r="AF2" s="505"/>
      <c r="AG2" s="505"/>
      <c r="AH2" s="505"/>
      <c r="AI2" s="505"/>
      <c r="AJ2" s="505"/>
      <c r="AK2" s="505" t="s">
        <v>293</v>
      </c>
      <c r="AL2" s="505"/>
      <c r="AM2" s="505"/>
    </row>
    <row r="3" spans="1:39" s="13" customFormat="1" ht="45.75" thickBot="1" x14ac:dyDescent="0.3">
      <c r="A3" s="6" t="s">
        <v>190</v>
      </c>
      <c r="B3" s="7" t="s">
        <v>191</v>
      </c>
      <c r="C3" s="7" t="s">
        <v>192</v>
      </c>
      <c r="D3" s="8" t="s">
        <v>193</v>
      </c>
      <c r="E3" s="6" t="s">
        <v>194</v>
      </c>
      <c r="F3" s="8" t="s">
        <v>195</v>
      </c>
      <c r="G3" s="9" t="s">
        <v>196</v>
      </c>
      <c r="H3" s="9" t="s">
        <v>197</v>
      </c>
      <c r="I3" s="231" t="s">
        <v>290</v>
      </c>
      <c r="J3" s="231" t="s">
        <v>294</v>
      </c>
      <c r="K3" s="231" t="s">
        <v>295</v>
      </c>
      <c r="L3" s="231" t="s">
        <v>296</v>
      </c>
      <c r="M3" s="231" t="s">
        <v>297</v>
      </c>
      <c r="N3" s="231" t="s">
        <v>298</v>
      </c>
      <c r="O3" s="231" t="s">
        <v>299</v>
      </c>
      <c r="P3" s="231" t="s">
        <v>300</v>
      </c>
      <c r="Q3" s="231" t="s">
        <v>301</v>
      </c>
      <c r="R3" s="6" t="s">
        <v>302</v>
      </c>
      <c r="S3" s="8" t="s">
        <v>303</v>
      </c>
      <c r="T3" s="10" t="s">
        <v>304</v>
      </c>
      <c r="U3" s="11" t="s">
        <v>305</v>
      </c>
      <c r="V3" s="12" t="s">
        <v>201</v>
      </c>
      <c r="W3" s="11" t="s">
        <v>202</v>
      </c>
      <c r="X3" s="11" t="s">
        <v>204</v>
      </c>
      <c r="Y3" s="11" t="s">
        <v>205</v>
      </c>
      <c r="Z3" s="11" t="s">
        <v>206</v>
      </c>
      <c r="AA3" s="11" t="s">
        <v>207</v>
      </c>
      <c r="AB3" s="12" t="s">
        <v>208</v>
      </c>
      <c r="AC3" s="10" t="s">
        <v>306</v>
      </c>
      <c r="AD3" s="11" t="s">
        <v>307</v>
      </c>
      <c r="AE3" s="11" t="s">
        <v>308</v>
      </c>
      <c r="AF3" s="11" t="s">
        <v>309</v>
      </c>
      <c r="AG3" s="11" t="s">
        <v>310</v>
      </c>
      <c r="AH3" s="10" t="s">
        <v>311</v>
      </c>
      <c r="AI3" s="10" t="s">
        <v>312</v>
      </c>
      <c r="AJ3" s="12" t="s">
        <v>313</v>
      </c>
      <c r="AK3" s="10" t="s">
        <v>306</v>
      </c>
      <c r="AL3" s="11" t="s">
        <v>307</v>
      </c>
      <c r="AM3" s="12" t="s">
        <v>314</v>
      </c>
    </row>
    <row r="4" spans="1:39" hidden="1" x14ac:dyDescent="0.25">
      <c r="A4" s="113" t="s">
        <v>167</v>
      </c>
      <c r="B4" s="34" t="s">
        <v>489</v>
      </c>
      <c r="C4" s="34" t="s">
        <v>490</v>
      </c>
      <c r="D4" s="36" t="s">
        <v>491</v>
      </c>
      <c r="E4" s="113" t="s">
        <v>492</v>
      </c>
      <c r="F4" s="37">
        <v>1</v>
      </c>
      <c r="G4" s="37"/>
      <c r="H4" s="31" t="s">
        <v>342</v>
      </c>
      <c r="I4" s="219">
        <f>SUM(R4:S4)</f>
        <v>0</v>
      </c>
      <c r="J4" s="219">
        <f>SUM(T4:V4)</f>
        <v>0</v>
      </c>
      <c r="K4" s="219">
        <f>W4</f>
        <v>0</v>
      </c>
      <c r="L4" s="232">
        <f>SUM(X4:AB4)</f>
        <v>227263261.77000019</v>
      </c>
      <c r="M4" s="219">
        <f>SUM(AC4:AE4)</f>
        <v>1176382.5</v>
      </c>
      <c r="N4" s="219">
        <f>AG4</f>
        <v>0</v>
      </c>
      <c r="O4" s="219">
        <f>AH4</f>
        <v>0</v>
      </c>
      <c r="P4" s="219">
        <f>SUM(AK4:AM4)</f>
        <v>0</v>
      </c>
      <c r="Q4" s="219"/>
      <c r="R4" s="34"/>
      <c r="S4" s="35"/>
      <c r="T4" s="119"/>
      <c r="U4" s="120"/>
      <c r="V4" s="121"/>
      <c r="W4" s="115"/>
      <c r="X4" s="40">
        <v>162284782.97000009</v>
      </c>
      <c r="Y4" s="40">
        <v>13879794.710000001</v>
      </c>
      <c r="Z4" s="40"/>
      <c r="AA4" s="40">
        <v>43444971.360000089</v>
      </c>
      <c r="AB4" s="41">
        <v>7653712.7299999995</v>
      </c>
      <c r="AC4" s="115"/>
      <c r="AD4" s="40"/>
      <c r="AE4" s="33">
        <v>1176382.5</v>
      </c>
      <c r="AF4" s="40"/>
      <c r="AG4" s="41"/>
      <c r="AH4" s="116"/>
      <c r="AI4" s="115"/>
      <c r="AJ4" s="41"/>
      <c r="AK4" s="115"/>
      <c r="AL4" s="40"/>
      <c r="AM4" s="41"/>
    </row>
    <row r="5" spans="1:39" x14ac:dyDescent="0.25">
      <c r="A5" s="114" t="s">
        <v>493</v>
      </c>
      <c r="B5" s="31" t="s">
        <v>489</v>
      </c>
      <c r="C5" s="31" t="s">
        <v>490</v>
      </c>
      <c r="D5" s="36" t="s">
        <v>491</v>
      </c>
      <c r="E5" s="112" t="s">
        <v>492</v>
      </c>
      <c r="F5" s="32"/>
      <c r="G5" s="32"/>
      <c r="H5" s="31" t="s">
        <v>342</v>
      </c>
      <c r="I5" s="219">
        <f t="shared" ref="I5:I68" si="0">SUM(R5:S5)</f>
        <v>0</v>
      </c>
      <c r="J5" s="219">
        <f t="shared" ref="J5:J68" si="1">SUM(T5:V5)</f>
        <v>0</v>
      </c>
      <c r="K5" s="219">
        <f t="shared" ref="K5:K68" si="2">W5</f>
        <v>0</v>
      </c>
      <c r="L5" s="232">
        <f t="shared" ref="L5:L68" si="3">SUM(X5:AB5)</f>
        <v>16462739.199999999</v>
      </c>
      <c r="M5" s="219">
        <f t="shared" ref="M5:M68" si="4">SUM(AC5:AE5)</f>
        <v>30322114.23</v>
      </c>
      <c r="N5" s="219">
        <f t="shared" ref="N5:N68" si="5">AG5</f>
        <v>0</v>
      </c>
      <c r="O5" s="219">
        <f t="shared" ref="O5:O68" si="6">AH5</f>
        <v>0</v>
      </c>
      <c r="P5" s="219">
        <f t="shared" ref="P5:P68" si="7">SUM(AK5:AM5)</f>
        <v>0</v>
      </c>
      <c r="Q5" s="219"/>
      <c r="R5" s="31"/>
      <c r="S5" s="36"/>
      <c r="T5" s="118"/>
      <c r="U5" s="122"/>
      <c r="V5" s="123"/>
      <c r="W5" s="38"/>
      <c r="X5" s="33">
        <v>9084415.049999997</v>
      </c>
      <c r="Y5" s="33">
        <v>2459715.16</v>
      </c>
      <c r="Z5" s="33"/>
      <c r="AA5" s="33">
        <v>4918608.9900000012</v>
      </c>
      <c r="AB5" s="39"/>
      <c r="AC5" s="38"/>
      <c r="AD5" s="33">
        <v>30322114.23</v>
      </c>
      <c r="AE5" s="33"/>
      <c r="AF5" s="33"/>
      <c r="AG5" s="39"/>
      <c r="AH5" s="117"/>
      <c r="AI5" s="38"/>
      <c r="AJ5" s="39"/>
      <c r="AK5" s="38"/>
      <c r="AL5" s="33"/>
      <c r="AM5" s="39"/>
    </row>
    <row r="6" spans="1:39" hidden="1" x14ac:dyDescent="0.25">
      <c r="A6" s="114" t="s">
        <v>171</v>
      </c>
      <c r="B6" s="31" t="s">
        <v>489</v>
      </c>
      <c r="C6" s="31" t="s">
        <v>490</v>
      </c>
      <c r="D6" s="36" t="s">
        <v>491</v>
      </c>
      <c r="E6" s="112" t="s">
        <v>494</v>
      </c>
      <c r="F6" s="32">
        <v>1</v>
      </c>
      <c r="G6" s="32"/>
      <c r="H6" s="31" t="s">
        <v>342</v>
      </c>
      <c r="I6" s="219">
        <f t="shared" si="0"/>
        <v>0</v>
      </c>
      <c r="J6" s="219">
        <f t="shared" si="1"/>
        <v>0</v>
      </c>
      <c r="K6" s="219">
        <f t="shared" si="2"/>
        <v>0</v>
      </c>
      <c r="L6" s="232">
        <f t="shared" si="3"/>
        <v>169980065.36999968</v>
      </c>
      <c r="M6" s="219">
        <f t="shared" si="4"/>
        <v>231789435.21883488</v>
      </c>
      <c r="N6" s="219">
        <f t="shared" si="5"/>
        <v>0</v>
      </c>
      <c r="O6" s="219">
        <f t="shared" si="6"/>
        <v>0</v>
      </c>
      <c r="P6" s="219">
        <f t="shared" si="7"/>
        <v>0</v>
      </c>
      <c r="Q6" s="219"/>
      <c r="R6" s="31"/>
      <c r="S6" s="36"/>
      <c r="T6" s="118"/>
      <c r="U6" s="122"/>
      <c r="V6" s="123"/>
      <c r="W6" s="38"/>
      <c r="X6" s="33">
        <v>142070910.15999967</v>
      </c>
      <c r="Y6" s="33">
        <v>19849104.020000003</v>
      </c>
      <c r="Z6" s="33">
        <v>2956053.0700000008</v>
      </c>
      <c r="AA6" s="33">
        <v>3390240.3300000029</v>
      </c>
      <c r="AB6" s="39">
        <v>1713757.79</v>
      </c>
      <c r="AC6" s="38"/>
      <c r="AD6" s="33">
        <v>231789435.21883488</v>
      </c>
      <c r="AE6" s="33"/>
      <c r="AF6" s="33"/>
      <c r="AG6" s="39"/>
      <c r="AH6" s="117"/>
      <c r="AI6" s="38"/>
      <c r="AJ6" s="39"/>
      <c r="AK6" s="38"/>
      <c r="AL6" s="33"/>
      <c r="AM6" s="39"/>
    </row>
    <row r="7" spans="1:39" hidden="1" x14ac:dyDescent="0.25">
      <c r="A7" s="114" t="s">
        <v>341</v>
      </c>
      <c r="B7" s="31" t="s">
        <v>489</v>
      </c>
      <c r="C7" s="31" t="s">
        <v>495</v>
      </c>
      <c r="D7" s="36" t="s">
        <v>496</v>
      </c>
      <c r="E7" s="112" t="s">
        <v>497</v>
      </c>
      <c r="F7" s="32"/>
      <c r="G7" s="32"/>
      <c r="H7" s="31"/>
      <c r="I7" s="219">
        <f t="shared" si="0"/>
        <v>0</v>
      </c>
      <c r="J7" s="219">
        <f t="shared" si="1"/>
        <v>9630012.4900000021</v>
      </c>
      <c r="K7" s="219">
        <f t="shared" si="2"/>
        <v>17548196.280000009</v>
      </c>
      <c r="L7" s="232">
        <f t="shared" si="3"/>
        <v>65743240.020000026</v>
      </c>
      <c r="M7" s="219">
        <f t="shared" si="4"/>
        <v>0</v>
      </c>
      <c r="N7" s="219">
        <f t="shared" si="5"/>
        <v>0</v>
      </c>
      <c r="O7" s="219">
        <f t="shared" si="6"/>
        <v>0</v>
      </c>
      <c r="P7" s="219">
        <f t="shared" si="7"/>
        <v>0</v>
      </c>
      <c r="Q7" s="219"/>
      <c r="R7" s="31"/>
      <c r="S7" s="36"/>
      <c r="T7" s="118">
        <v>9630012.4900000021</v>
      </c>
      <c r="U7" s="122"/>
      <c r="V7" s="123"/>
      <c r="W7" s="38">
        <v>17548196.280000009</v>
      </c>
      <c r="X7" s="33">
        <v>18391495.599999998</v>
      </c>
      <c r="Y7" s="33">
        <v>6074514.0800000001</v>
      </c>
      <c r="Z7" s="33"/>
      <c r="AA7" s="33">
        <v>20645375.910000026</v>
      </c>
      <c r="AB7" s="39">
        <v>20631854.43</v>
      </c>
      <c r="AC7" s="38"/>
      <c r="AD7" s="33"/>
      <c r="AE7" s="33"/>
      <c r="AF7" s="33"/>
      <c r="AG7" s="39"/>
      <c r="AH7" s="117"/>
      <c r="AI7" s="38"/>
      <c r="AJ7" s="39"/>
      <c r="AK7" s="38"/>
      <c r="AL7" s="33"/>
      <c r="AM7" s="39"/>
    </row>
    <row r="8" spans="1:39" hidden="1" x14ac:dyDescent="0.25">
      <c r="A8" s="114" t="s">
        <v>141</v>
      </c>
      <c r="B8" s="31" t="s">
        <v>489</v>
      </c>
      <c r="C8" s="31" t="s">
        <v>495</v>
      </c>
      <c r="D8" s="36" t="s">
        <v>496</v>
      </c>
      <c r="E8" s="112" t="s">
        <v>497</v>
      </c>
      <c r="F8" s="32"/>
      <c r="G8" s="32"/>
      <c r="H8" s="31"/>
      <c r="I8" s="219">
        <f t="shared" si="0"/>
        <v>0</v>
      </c>
      <c r="J8" s="219">
        <f t="shared" si="1"/>
        <v>4048926.66</v>
      </c>
      <c r="K8" s="219">
        <f t="shared" si="2"/>
        <v>9623118.0900000036</v>
      </c>
      <c r="L8" s="232">
        <f t="shared" si="3"/>
        <v>0</v>
      </c>
      <c r="M8" s="219">
        <f t="shared" si="4"/>
        <v>0</v>
      </c>
      <c r="N8" s="219">
        <f t="shared" si="5"/>
        <v>0</v>
      </c>
      <c r="O8" s="219">
        <f t="shared" si="6"/>
        <v>0</v>
      </c>
      <c r="P8" s="219">
        <f t="shared" si="7"/>
        <v>0</v>
      </c>
      <c r="Q8" s="219"/>
      <c r="R8" s="31"/>
      <c r="S8" s="36"/>
      <c r="T8" s="118">
        <v>4048926.66</v>
      </c>
      <c r="U8" s="122"/>
      <c r="V8" s="123"/>
      <c r="W8" s="38">
        <v>9623118.0900000036</v>
      </c>
      <c r="X8" s="33"/>
      <c r="Y8" s="33"/>
      <c r="Z8" s="33"/>
      <c r="AA8" s="33"/>
      <c r="AB8" s="39"/>
      <c r="AC8" s="38"/>
      <c r="AD8" s="33"/>
      <c r="AE8" s="33"/>
      <c r="AF8" s="33"/>
      <c r="AG8" s="39"/>
      <c r="AH8" s="117"/>
      <c r="AI8" s="38"/>
      <c r="AJ8" s="39"/>
      <c r="AK8" s="38"/>
      <c r="AL8" s="33"/>
      <c r="AM8" s="39"/>
    </row>
    <row r="9" spans="1:39" hidden="1" x14ac:dyDescent="0.25">
      <c r="A9" s="114" t="s">
        <v>148</v>
      </c>
      <c r="B9" s="31" t="s">
        <v>489</v>
      </c>
      <c r="C9" s="31" t="s">
        <v>495</v>
      </c>
      <c r="D9" s="36" t="s">
        <v>496</v>
      </c>
      <c r="E9" s="112" t="s">
        <v>497</v>
      </c>
      <c r="F9" s="32"/>
      <c r="G9" s="32"/>
      <c r="H9" s="31"/>
      <c r="I9" s="219">
        <f t="shared" si="0"/>
        <v>0</v>
      </c>
      <c r="J9" s="219">
        <f t="shared" si="1"/>
        <v>5071280.9400000013</v>
      </c>
      <c r="K9" s="219">
        <f t="shared" si="2"/>
        <v>5044642.3100000024</v>
      </c>
      <c r="L9" s="232">
        <f t="shared" si="3"/>
        <v>423235.34</v>
      </c>
      <c r="M9" s="219">
        <f t="shared" si="4"/>
        <v>0</v>
      </c>
      <c r="N9" s="219">
        <f t="shared" si="5"/>
        <v>0</v>
      </c>
      <c r="O9" s="219">
        <f t="shared" si="6"/>
        <v>0</v>
      </c>
      <c r="P9" s="219">
        <f t="shared" si="7"/>
        <v>0</v>
      </c>
      <c r="Q9" s="219"/>
      <c r="R9" s="31"/>
      <c r="S9" s="36"/>
      <c r="T9" s="118">
        <v>5071280.9400000013</v>
      </c>
      <c r="U9" s="122"/>
      <c r="V9" s="123"/>
      <c r="W9" s="38">
        <v>5044642.3100000024</v>
      </c>
      <c r="X9" s="33">
        <v>423235.34</v>
      </c>
      <c r="Y9" s="33"/>
      <c r="Z9" s="33"/>
      <c r="AA9" s="33"/>
      <c r="AB9" s="39"/>
      <c r="AC9" s="38"/>
      <c r="AD9" s="33"/>
      <c r="AE9" s="33"/>
      <c r="AF9" s="33"/>
      <c r="AG9" s="39"/>
      <c r="AH9" s="117"/>
      <c r="AI9" s="38"/>
      <c r="AJ9" s="39"/>
      <c r="AK9" s="38"/>
      <c r="AL9" s="33"/>
      <c r="AM9" s="39"/>
    </row>
    <row r="10" spans="1:39" hidden="1" x14ac:dyDescent="0.25">
      <c r="A10" s="114" t="s">
        <v>20</v>
      </c>
      <c r="B10" s="31" t="s">
        <v>489</v>
      </c>
      <c r="C10" s="31" t="s">
        <v>495</v>
      </c>
      <c r="D10" s="36" t="s">
        <v>496</v>
      </c>
      <c r="E10" s="112" t="s">
        <v>497</v>
      </c>
      <c r="F10" s="32"/>
      <c r="G10" s="32"/>
      <c r="H10" s="31"/>
      <c r="I10" s="219">
        <f t="shared" si="0"/>
        <v>0</v>
      </c>
      <c r="J10" s="219">
        <f t="shared" si="1"/>
        <v>0</v>
      </c>
      <c r="K10" s="219">
        <f t="shared" si="2"/>
        <v>1842842.9100000006</v>
      </c>
      <c r="L10" s="232">
        <f t="shared" si="3"/>
        <v>0</v>
      </c>
      <c r="M10" s="219">
        <f t="shared" si="4"/>
        <v>0</v>
      </c>
      <c r="N10" s="219">
        <f t="shared" si="5"/>
        <v>0</v>
      </c>
      <c r="O10" s="219">
        <f t="shared" si="6"/>
        <v>0</v>
      </c>
      <c r="P10" s="219">
        <f t="shared" si="7"/>
        <v>0</v>
      </c>
      <c r="Q10" s="219"/>
      <c r="R10" s="31"/>
      <c r="S10" s="36"/>
      <c r="T10" s="118"/>
      <c r="U10" s="122"/>
      <c r="V10" s="123"/>
      <c r="W10" s="38">
        <v>1842842.9100000006</v>
      </c>
      <c r="X10" s="33"/>
      <c r="Y10" s="33"/>
      <c r="Z10" s="33"/>
      <c r="AA10" s="33"/>
      <c r="AB10" s="39"/>
      <c r="AC10" s="38"/>
      <c r="AD10" s="33"/>
      <c r="AE10" s="33"/>
      <c r="AF10" s="33"/>
      <c r="AG10" s="39"/>
      <c r="AH10" s="117"/>
      <c r="AI10" s="38"/>
      <c r="AJ10" s="39"/>
      <c r="AK10" s="38"/>
      <c r="AL10" s="33"/>
      <c r="AM10" s="39"/>
    </row>
    <row r="11" spans="1:39" hidden="1" x14ac:dyDescent="0.25">
      <c r="A11" s="114" t="s">
        <v>146</v>
      </c>
      <c r="B11" s="31" t="s">
        <v>489</v>
      </c>
      <c r="C11" s="31" t="s">
        <v>495</v>
      </c>
      <c r="D11" s="36" t="s">
        <v>496</v>
      </c>
      <c r="E11" s="112" t="s">
        <v>497</v>
      </c>
      <c r="F11" s="32">
        <v>1</v>
      </c>
      <c r="G11" s="32">
        <v>1</v>
      </c>
      <c r="H11" s="31"/>
      <c r="I11" s="219">
        <f t="shared" si="0"/>
        <v>0</v>
      </c>
      <c r="J11" s="219">
        <f t="shared" si="1"/>
        <v>331967808.94</v>
      </c>
      <c r="K11" s="219">
        <f t="shared" si="2"/>
        <v>22487563.250000011</v>
      </c>
      <c r="L11" s="232">
        <f t="shared" si="3"/>
        <v>54774882.81000001</v>
      </c>
      <c r="M11" s="219">
        <f t="shared" si="4"/>
        <v>0</v>
      </c>
      <c r="N11" s="219">
        <f t="shared" si="5"/>
        <v>0</v>
      </c>
      <c r="O11" s="219">
        <f t="shared" si="6"/>
        <v>0</v>
      </c>
      <c r="P11" s="219">
        <f t="shared" si="7"/>
        <v>0</v>
      </c>
      <c r="Q11" s="219"/>
      <c r="R11" s="31"/>
      <c r="S11" s="36"/>
      <c r="T11" s="118">
        <v>331967808.94</v>
      </c>
      <c r="U11" s="122"/>
      <c r="V11" s="123"/>
      <c r="W11" s="38">
        <v>22487563.250000011</v>
      </c>
      <c r="X11" s="33">
        <v>6834051.2299999995</v>
      </c>
      <c r="Y11" s="33">
        <v>4319296.3999999994</v>
      </c>
      <c r="Z11" s="33">
        <v>16132212.840000005</v>
      </c>
      <c r="AA11" s="33">
        <v>9708619.5500000063</v>
      </c>
      <c r="AB11" s="39">
        <v>17780702.789999999</v>
      </c>
      <c r="AC11" s="38"/>
      <c r="AD11" s="33"/>
      <c r="AE11" s="33"/>
      <c r="AF11" s="33"/>
      <c r="AG11" s="39"/>
      <c r="AH11" s="117"/>
      <c r="AI11" s="38"/>
      <c r="AJ11" s="39"/>
      <c r="AK11" s="38"/>
      <c r="AL11" s="33"/>
      <c r="AM11" s="39"/>
    </row>
    <row r="12" spans="1:39" hidden="1" x14ac:dyDescent="0.25">
      <c r="A12" s="114" t="s">
        <v>150</v>
      </c>
      <c r="B12" s="31" t="s">
        <v>489</v>
      </c>
      <c r="C12" s="31" t="s">
        <v>495</v>
      </c>
      <c r="D12" s="36" t="s">
        <v>496</v>
      </c>
      <c r="E12" s="112" t="s">
        <v>497</v>
      </c>
      <c r="F12" s="32"/>
      <c r="G12" s="32"/>
      <c r="H12" s="31"/>
      <c r="I12" s="219">
        <f t="shared" si="0"/>
        <v>0</v>
      </c>
      <c r="J12" s="219">
        <f t="shared" si="1"/>
        <v>5013011.4000000013</v>
      </c>
      <c r="K12" s="219">
        <f t="shared" si="2"/>
        <v>8840937.0700000059</v>
      </c>
      <c r="L12" s="232">
        <f t="shared" si="3"/>
        <v>51865.83</v>
      </c>
      <c r="M12" s="219">
        <f t="shared" si="4"/>
        <v>0</v>
      </c>
      <c r="N12" s="219">
        <f t="shared" si="5"/>
        <v>0</v>
      </c>
      <c r="O12" s="219">
        <f t="shared" si="6"/>
        <v>0</v>
      </c>
      <c r="P12" s="219">
        <f t="shared" si="7"/>
        <v>0</v>
      </c>
      <c r="Q12" s="219"/>
      <c r="R12" s="31"/>
      <c r="S12" s="36"/>
      <c r="T12" s="118">
        <v>5013011.4000000013</v>
      </c>
      <c r="U12" s="122"/>
      <c r="V12" s="123"/>
      <c r="W12" s="38">
        <v>8840937.0700000059</v>
      </c>
      <c r="X12" s="33">
        <v>51865.83</v>
      </c>
      <c r="Y12" s="33"/>
      <c r="Z12" s="33"/>
      <c r="AA12" s="33"/>
      <c r="AB12" s="39"/>
      <c r="AC12" s="38"/>
      <c r="AD12" s="33"/>
      <c r="AE12" s="33"/>
      <c r="AF12" s="33"/>
      <c r="AG12" s="39"/>
      <c r="AH12" s="117"/>
      <c r="AI12" s="38"/>
      <c r="AJ12" s="39"/>
      <c r="AK12" s="38"/>
      <c r="AL12" s="33"/>
      <c r="AM12" s="39"/>
    </row>
    <row r="13" spans="1:39" hidden="1" x14ac:dyDescent="0.25">
      <c r="A13" s="114" t="s">
        <v>145</v>
      </c>
      <c r="B13" s="31" t="s">
        <v>489</v>
      </c>
      <c r="C13" s="31" t="s">
        <v>495</v>
      </c>
      <c r="D13" s="36" t="s">
        <v>496</v>
      </c>
      <c r="E13" s="112" t="s">
        <v>497</v>
      </c>
      <c r="F13" s="32"/>
      <c r="G13" s="32"/>
      <c r="H13" s="31"/>
      <c r="I13" s="219">
        <f t="shared" si="0"/>
        <v>0</v>
      </c>
      <c r="J13" s="219">
        <f t="shared" si="1"/>
        <v>10686714.570000002</v>
      </c>
      <c r="K13" s="219">
        <f t="shared" si="2"/>
        <v>7538965.8100000042</v>
      </c>
      <c r="L13" s="232">
        <f t="shared" si="3"/>
        <v>0</v>
      </c>
      <c r="M13" s="219">
        <f t="shared" si="4"/>
        <v>0</v>
      </c>
      <c r="N13" s="219">
        <f t="shared" si="5"/>
        <v>0</v>
      </c>
      <c r="O13" s="219">
        <f t="shared" si="6"/>
        <v>0</v>
      </c>
      <c r="P13" s="219">
        <f t="shared" si="7"/>
        <v>0</v>
      </c>
      <c r="Q13" s="219"/>
      <c r="R13" s="31"/>
      <c r="S13" s="36"/>
      <c r="T13" s="118">
        <v>10686714.570000002</v>
      </c>
      <c r="U13" s="122"/>
      <c r="V13" s="123"/>
      <c r="W13" s="38">
        <v>7538965.8100000042</v>
      </c>
      <c r="X13" s="33"/>
      <c r="Y13" s="33"/>
      <c r="Z13" s="33"/>
      <c r="AA13" s="33"/>
      <c r="AB13" s="39"/>
      <c r="AC13" s="38"/>
      <c r="AD13" s="33"/>
      <c r="AE13" s="33"/>
      <c r="AF13" s="33"/>
      <c r="AG13" s="39"/>
      <c r="AH13" s="117"/>
      <c r="AI13" s="38"/>
      <c r="AJ13" s="39"/>
      <c r="AK13" s="38"/>
      <c r="AL13" s="33"/>
      <c r="AM13" s="39"/>
    </row>
    <row r="14" spans="1:39" hidden="1" x14ac:dyDescent="0.25">
      <c r="A14" s="114" t="s">
        <v>18</v>
      </c>
      <c r="B14" s="31" t="s">
        <v>489</v>
      </c>
      <c r="C14" s="31" t="s">
        <v>495</v>
      </c>
      <c r="D14" s="36" t="s">
        <v>496</v>
      </c>
      <c r="E14" s="112" t="s">
        <v>497</v>
      </c>
      <c r="F14" s="32"/>
      <c r="G14" s="32"/>
      <c r="H14" s="31"/>
      <c r="I14" s="219">
        <f t="shared" si="0"/>
        <v>0</v>
      </c>
      <c r="J14" s="219">
        <f t="shared" si="1"/>
        <v>2385267.1800000006</v>
      </c>
      <c r="K14" s="219">
        <f t="shared" si="2"/>
        <v>0</v>
      </c>
      <c r="L14" s="232">
        <f t="shared" si="3"/>
        <v>0</v>
      </c>
      <c r="M14" s="219">
        <f t="shared" si="4"/>
        <v>0</v>
      </c>
      <c r="N14" s="219">
        <f t="shared" si="5"/>
        <v>0</v>
      </c>
      <c r="O14" s="219">
        <f t="shared" si="6"/>
        <v>0</v>
      </c>
      <c r="P14" s="219">
        <f t="shared" si="7"/>
        <v>0</v>
      </c>
      <c r="Q14" s="219"/>
      <c r="R14" s="31"/>
      <c r="S14" s="36"/>
      <c r="T14" s="118">
        <v>2385267.1800000006</v>
      </c>
      <c r="U14" s="122"/>
      <c r="V14" s="123"/>
      <c r="W14" s="38"/>
      <c r="X14" s="33"/>
      <c r="Y14" s="33"/>
      <c r="Z14" s="33"/>
      <c r="AA14" s="33"/>
      <c r="AB14" s="39"/>
      <c r="AC14" s="38"/>
      <c r="AD14" s="33"/>
      <c r="AE14" s="33"/>
      <c r="AF14" s="33"/>
      <c r="AG14" s="39"/>
      <c r="AH14" s="117"/>
      <c r="AI14" s="38"/>
      <c r="AJ14" s="39"/>
      <c r="AK14" s="38"/>
      <c r="AL14" s="33"/>
      <c r="AM14" s="39"/>
    </row>
    <row r="15" spans="1:39" hidden="1" x14ac:dyDescent="0.25">
      <c r="A15" s="114" t="s">
        <v>58</v>
      </c>
      <c r="B15" s="31" t="s">
        <v>489</v>
      </c>
      <c r="C15" s="31" t="s">
        <v>495</v>
      </c>
      <c r="D15" s="36" t="s">
        <v>496</v>
      </c>
      <c r="E15" s="112" t="s">
        <v>497</v>
      </c>
      <c r="F15" s="32"/>
      <c r="G15" s="32"/>
      <c r="H15" s="31"/>
      <c r="I15" s="219">
        <f t="shared" si="0"/>
        <v>0</v>
      </c>
      <c r="J15" s="219">
        <f t="shared" si="1"/>
        <v>0</v>
      </c>
      <c r="K15" s="219">
        <f t="shared" si="2"/>
        <v>3476324.0200000023</v>
      </c>
      <c r="L15" s="232">
        <f t="shared" si="3"/>
        <v>0</v>
      </c>
      <c r="M15" s="219">
        <f t="shared" si="4"/>
        <v>0</v>
      </c>
      <c r="N15" s="219">
        <f t="shared" si="5"/>
        <v>0</v>
      </c>
      <c r="O15" s="219">
        <f t="shared" si="6"/>
        <v>0</v>
      </c>
      <c r="P15" s="219">
        <f t="shared" si="7"/>
        <v>0</v>
      </c>
      <c r="Q15" s="219"/>
      <c r="R15" s="31"/>
      <c r="S15" s="36"/>
      <c r="T15" s="118"/>
      <c r="U15" s="122"/>
      <c r="V15" s="123"/>
      <c r="W15" s="38">
        <v>3476324.0200000023</v>
      </c>
      <c r="X15" s="33"/>
      <c r="Y15" s="33"/>
      <c r="Z15" s="33"/>
      <c r="AA15" s="33"/>
      <c r="AB15" s="39"/>
      <c r="AC15" s="38"/>
      <c r="AD15" s="33"/>
      <c r="AE15" s="33"/>
      <c r="AF15" s="33"/>
      <c r="AG15" s="39"/>
      <c r="AH15" s="117"/>
      <c r="AI15" s="38"/>
      <c r="AJ15" s="39"/>
      <c r="AK15" s="38"/>
      <c r="AL15" s="33"/>
      <c r="AM15" s="39"/>
    </row>
    <row r="16" spans="1:39" hidden="1" x14ac:dyDescent="0.25">
      <c r="A16" s="114" t="s">
        <v>151</v>
      </c>
      <c r="B16" s="31" t="s">
        <v>489</v>
      </c>
      <c r="C16" s="31" t="s">
        <v>495</v>
      </c>
      <c r="D16" s="36" t="s">
        <v>496</v>
      </c>
      <c r="E16" s="112" t="s">
        <v>497</v>
      </c>
      <c r="F16" s="32"/>
      <c r="G16" s="32"/>
      <c r="H16" s="31"/>
      <c r="I16" s="219">
        <f t="shared" si="0"/>
        <v>0</v>
      </c>
      <c r="J16" s="219">
        <f t="shared" si="1"/>
        <v>4475652.3499999996</v>
      </c>
      <c r="K16" s="219">
        <f t="shared" si="2"/>
        <v>2618541.3100000019</v>
      </c>
      <c r="L16" s="232">
        <f t="shared" si="3"/>
        <v>0</v>
      </c>
      <c r="M16" s="219">
        <f t="shared" si="4"/>
        <v>0</v>
      </c>
      <c r="N16" s="219">
        <f t="shared" si="5"/>
        <v>0</v>
      </c>
      <c r="O16" s="219">
        <f t="shared" si="6"/>
        <v>0</v>
      </c>
      <c r="P16" s="219">
        <f t="shared" si="7"/>
        <v>0</v>
      </c>
      <c r="Q16" s="219"/>
      <c r="R16" s="31"/>
      <c r="S16" s="36"/>
      <c r="T16" s="118">
        <v>4475652.3499999996</v>
      </c>
      <c r="U16" s="122"/>
      <c r="V16" s="123"/>
      <c r="W16" s="38">
        <v>2618541.3100000019</v>
      </c>
      <c r="X16" s="33"/>
      <c r="Y16" s="33"/>
      <c r="Z16" s="33"/>
      <c r="AA16" s="33"/>
      <c r="AB16" s="39"/>
      <c r="AC16" s="38"/>
      <c r="AD16" s="33"/>
      <c r="AE16" s="33"/>
      <c r="AF16" s="33"/>
      <c r="AG16" s="39"/>
      <c r="AH16" s="117"/>
      <c r="AI16" s="38"/>
      <c r="AJ16" s="39"/>
      <c r="AK16" s="38"/>
      <c r="AL16" s="33"/>
      <c r="AM16" s="39"/>
    </row>
    <row r="17" spans="1:39" hidden="1" x14ac:dyDescent="0.25">
      <c r="A17" s="114" t="s">
        <v>17</v>
      </c>
      <c r="B17" s="31" t="s">
        <v>489</v>
      </c>
      <c r="C17" s="31" t="s">
        <v>495</v>
      </c>
      <c r="D17" s="36" t="s">
        <v>496</v>
      </c>
      <c r="E17" s="112" t="s">
        <v>497</v>
      </c>
      <c r="F17" s="32"/>
      <c r="G17" s="32"/>
      <c r="H17" s="31"/>
      <c r="I17" s="219">
        <f t="shared" si="0"/>
        <v>0</v>
      </c>
      <c r="J17" s="219">
        <f t="shared" si="1"/>
        <v>0</v>
      </c>
      <c r="K17" s="219">
        <f t="shared" si="2"/>
        <v>4029235.5400000019</v>
      </c>
      <c r="L17" s="232">
        <f t="shared" si="3"/>
        <v>0</v>
      </c>
      <c r="M17" s="219">
        <f t="shared" si="4"/>
        <v>0</v>
      </c>
      <c r="N17" s="219">
        <f t="shared" si="5"/>
        <v>0</v>
      </c>
      <c r="O17" s="219">
        <f t="shared" si="6"/>
        <v>0</v>
      </c>
      <c r="P17" s="219">
        <f t="shared" si="7"/>
        <v>0</v>
      </c>
      <c r="Q17" s="219"/>
      <c r="R17" s="31"/>
      <c r="S17" s="36"/>
      <c r="T17" s="118"/>
      <c r="U17" s="122"/>
      <c r="V17" s="123"/>
      <c r="W17" s="38">
        <v>4029235.5400000019</v>
      </c>
      <c r="X17" s="33"/>
      <c r="Y17" s="33"/>
      <c r="Z17" s="33"/>
      <c r="AA17" s="33"/>
      <c r="AB17" s="39"/>
      <c r="AC17" s="38"/>
      <c r="AD17" s="33"/>
      <c r="AE17" s="33"/>
      <c r="AF17" s="33"/>
      <c r="AG17" s="39"/>
      <c r="AH17" s="117"/>
      <c r="AI17" s="38"/>
      <c r="AJ17" s="39"/>
      <c r="AK17" s="38"/>
      <c r="AL17" s="33"/>
      <c r="AM17" s="39"/>
    </row>
    <row r="18" spans="1:39" hidden="1" x14ac:dyDescent="0.25">
      <c r="A18" s="114" t="s">
        <v>141</v>
      </c>
      <c r="B18" s="31" t="s">
        <v>489</v>
      </c>
      <c r="C18" s="31" t="s">
        <v>495</v>
      </c>
      <c r="D18" s="36" t="s">
        <v>498</v>
      </c>
      <c r="E18" s="112" t="s">
        <v>497</v>
      </c>
      <c r="F18" s="32"/>
      <c r="G18" s="32"/>
      <c r="H18" s="31"/>
      <c r="I18" s="219">
        <f t="shared" si="0"/>
        <v>0</v>
      </c>
      <c r="J18" s="219">
        <f t="shared" si="1"/>
        <v>0</v>
      </c>
      <c r="K18" s="219">
        <f t="shared" si="2"/>
        <v>0</v>
      </c>
      <c r="L18" s="232">
        <f t="shared" si="3"/>
        <v>58509460.75</v>
      </c>
      <c r="M18" s="219">
        <f t="shared" si="4"/>
        <v>0</v>
      </c>
      <c r="N18" s="219">
        <f t="shared" si="5"/>
        <v>0</v>
      </c>
      <c r="O18" s="219">
        <f t="shared" si="6"/>
        <v>0</v>
      </c>
      <c r="P18" s="219">
        <f t="shared" si="7"/>
        <v>0</v>
      </c>
      <c r="Q18" s="219"/>
      <c r="R18" s="31"/>
      <c r="S18" s="36"/>
      <c r="T18" s="118"/>
      <c r="U18" s="122"/>
      <c r="V18" s="123"/>
      <c r="W18" s="38"/>
      <c r="X18" s="33">
        <v>13351681.419999998</v>
      </c>
      <c r="Y18" s="33">
        <v>16223974.159999996</v>
      </c>
      <c r="Z18" s="33"/>
      <c r="AA18" s="33">
        <v>10857036.890000004</v>
      </c>
      <c r="AB18" s="39">
        <v>18076768.280000005</v>
      </c>
      <c r="AC18" s="38"/>
      <c r="AD18" s="33"/>
      <c r="AE18" s="33"/>
      <c r="AF18" s="33"/>
      <c r="AG18" s="39"/>
      <c r="AH18" s="117"/>
      <c r="AI18" s="38"/>
      <c r="AJ18" s="39"/>
      <c r="AK18" s="38"/>
      <c r="AL18" s="33"/>
      <c r="AM18" s="39"/>
    </row>
    <row r="19" spans="1:39" hidden="1" x14ac:dyDescent="0.25">
      <c r="A19" s="114" t="s">
        <v>145</v>
      </c>
      <c r="B19" s="31" t="s">
        <v>489</v>
      </c>
      <c r="C19" s="31" t="s">
        <v>495</v>
      </c>
      <c r="D19" s="36" t="s">
        <v>498</v>
      </c>
      <c r="E19" s="112" t="s">
        <v>497</v>
      </c>
      <c r="F19" s="32"/>
      <c r="G19" s="32"/>
      <c r="H19" s="31"/>
      <c r="I19" s="219">
        <f t="shared" si="0"/>
        <v>0</v>
      </c>
      <c r="J19" s="219">
        <f t="shared" si="1"/>
        <v>0</v>
      </c>
      <c r="K19" s="219">
        <f t="shared" si="2"/>
        <v>0</v>
      </c>
      <c r="L19" s="232">
        <f t="shared" si="3"/>
        <v>42690834.829999998</v>
      </c>
      <c r="M19" s="219">
        <f t="shared" si="4"/>
        <v>0</v>
      </c>
      <c r="N19" s="219">
        <f t="shared" si="5"/>
        <v>0</v>
      </c>
      <c r="O19" s="219">
        <f t="shared" si="6"/>
        <v>0</v>
      </c>
      <c r="P19" s="219">
        <f t="shared" si="7"/>
        <v>0</v>
      </c>
      <c r="Q19" s="219"/>
      <c r="R19" s="31"/>
      <c r="S19" s="36"/>
      <c r="T19" s="118"/>
      <c r="U19" s="122"/>
      <c r="V19" s="123"/>
      <c r="W19" s="38"/>
      <c r="X19" s="33">
        <v>6263956.2399999974</v>
      </c>
      <c r="Y19" s="33">
        <v>4889304.74</v>
      </c>
      <c r="Z19" s="33"/>
      <c r="AA19" s="33">
        <v>10003897.180000005</v>
      </c>
      <c r="AB19" s="39">
        <v>21533676.669999998</v>
      </c>
      <c r="AC19" s="38"/>
      <c r="AD19" s="33"/>
      <c r="AE19" s="33"/>
      <c r="AF19" s="33"/>
      <c r="AG19" s="39"/>
      <c r="AH19" s="117"/>
      <c r="AI19" s="38"/>
      <c r="AJ19" s="39"/>
      <c r="AK19" s="38"/>
      <c r="AL19" s="33"/>
      <c r="AM19" s="39"/>
    </row>
    <row r="20" spans="1:39" hidden="1" x14ac:dyDescent="0.25">
      <c r="A20" s="114" t="s">
        <v>434</v>
      </c>
      <c r="B20" s="31" t="s">
        <v>489</v>
      </c>
      <c r="C20" s="31" t="s">
        <v>490</v>
      </c>
      <c r="D20" s="36" t="s">
        <v>499</v>
      </c>
      <c r="E20" s="112" t="s">
        <v>419</v>
      </c>
      <c r="F20" s="32"/>
      <c r="G20" s="32"/>
      <c r="H20" s="31"/>
      <c r="I20" s="219">
        <f t="shared" si="0"/>
        <v>0</v>
      </c>
      <c r="J20" s="219">
        <f t="shared" si="1"/>
        <v>0</v>
      </c>
      <c r="K20" s="219">
        <f t="shared" si="2"/>
        <v>9007988.3699999992</v>
      </c>
      <c r="L20" s="232">
        <f t="shared" si="3"/>
        <v>0</v>
      </c>
      <c r="M20" s="219">
        <f t="shared" si="4"/>
        <v>0</v>
      </c>
      <c r="N20" s="219">
        <f t="shared" si="5"/>
        <v>0</v>
      </c>
      <c r="O20" s="219">
        <f t="shared" si="6"/>
        <v>0</v>
      </c>
      <c r="P20" s="219">
        <f t="shared" si="7"/>
        <v>0</v>
      </c>
      <c r="Q20" s="219"/>
      <c r="R20" s="31"/>
      <c r="S20" s="36"/>
      <c r="T20" s="118"/>
      <c r="U20" s="122"/>
      <c r="V20" s="123"/>
      <c r="W20" s="38">
        <v>9007988.3699999992</v>
      </c>
      <c r="X20" s="33"/>
      <c r="Y20" s="33"/>
      <c r="Z20" s="33"/>
      <c r="AA20" s="33"/>
      <c r="AB20" s="39"/>
      <c r="AC20" s="38"/>
      <c r="AD20" s="33"/>
      <c r="AE20" s="33"/>
      <c r="AF20" s="33"/>
      <c r="AG20" s="39"/>
      <c r="AH20" s="117"/>
      <c r="AI20" s="38"/>
      <c r="AJ20" s="39"/>
      <c r="AK20" s="38"/>
      <c r="AL20" s="33"/>
      <c r="AM20" s="39"/>
    </row>
    <row r="21" spans="1:39" hidden="1" x14ac:dyDescent="0.25">
      <c r="A21" s="114" t="s">
        <v>173</v>
      </c>
      <c r="B21" s="31" t="s">
        <v>489</v>
      </c>
      <c r="C21" s="31" t="s">
        <v>490</v>
      </c>
      <c r="D21" s="36" t="s">
        <v>499</v>
      </c>
      <c r="E21" s="112" t="s">
        <v>419</v>
      </c>
      <c r="F21" s="32"/>
      <c r="G21" s="32"/>
      <c r="H21" s="31" t="s">
        <v>342</v>
      </c>
      <c r="I21" s="219">
        <f t="shared" si="0"/>
        <v>0</v>
      </c>
      <c r="J21" s="219">
        <f t="shared" si="1"/>
        <v>19610069.489999998</v>
      </c>
      <c r="K21" s="219">
        <f t="shared" si="2"/>
        <v>0</v>
      </c>
      <c r="L21" s="232">
        <f t="shared" si="3"/>
        <v>87453026.309999973</v>
      </c>
      <c r="M21" s="219">
        <f t="shared" si="4"/>
        <v>0</v>
      </c>
      <c r="N21" s="219">
        <f t="shared" si="5"/>
        <v>0</v>
      </c>
      <c r="O21" s="219">
        <f t="shared" si="6"/>
        <v>0</v>
      </c>
      <c r="P21" s="219">
        <f t="shared" si="7"/>
        <v>0</v>
      </c>
      <c r="Q21" s="219"/>
      <c r="R21" s="31"/>
      <c r="S21" s="36"/>
      <c r="T21" s="118">
        <v>18206006.039999999</v>
      </c>
      <c r="U21" s="122">
        <v>1404063.4499999997</v>
      </c>
      <c r="V21" s="123"/>
      <c r="W21" s="38"/>
      <c r="X21" s="33">
        <v>23473762.219999973</v>
      </c>
      <c r="Y21" s="33">
        <v>21370348.470000003</v>
      </c>
      <c r="Z21" s="33"/>
      <c r="AA21" s="33">
        <v>16490619.559999997</v>
      </c>
      <c r="AB21" s="39">
        <v>26118296.060000002</v>
      </c>
      <c r="AC21" s="38"/>
      <c r="AD21" s="33"/>
      <c r="AE21" s="33"/>
      <c r="AF21" s="33">
        <v>6204655.0300000012</v>
      </c>
      <c r="AG21" s="39"/>
      <c r="AH21" s="117"/>
      <c r="AI21" s="38"/>
      <c r="AJ21" s="39"/>
      <c r="AK21" s="38"/>
      <c r="AL21" s="33"/>
      <c r="AM21" s="39"/>
    </row>
    <row r="22" spans="1:39" hidden="1" x14ac:dyDescent="0.25">
      <c r="A22" s="114" t="s">
        <v>180</v>
      </c>
      <c r="B22" s="31" t="s">
        <v>489</v>
      </c>
      <c r="C22" s="31" t="s">
        <v>490</v>
      </c>
      <c r="D22" s="36" t="s">
        <v>499</v>
      </c>
      <c r="E22" s="112" t="s">
        <v>419</v>
      </c>
      <c r="F22" s="32">
        <v>1</v>
      </c>
      <c r="G22" s="32"/>
      <c r="H22" s="31" t="s">
        <v>342</v>
      </c>
      <c r="I22" s="219">
        <f t="shared" si="0"/>
        <v>0</v>
      </c>
      <c r="J22" s="219">
        <f t="shared" si="1"/>
        <v>8664932.9100000001</v>
      </c>
      <c r="K22" s="219">
        <f t="shared" si="2"/>
        <v>0</v>
      </c>
      <c r="L22" s="232">
        <f t="shared" si="3"/>
        <v>176490389.13000005</v>
      </c>
      <c r="M22" s="219">
        <f t="shared" si="4"/>
        <v>108346020.1999999</v>
      </c>
      <c r="N22" s="219">
        <f t="shared" si="5"/>
        <v>0</v>
      </c>
      <c r="O22" s="219">
        <f t="shared" si="6"/>
        <v>0</v>
      </c>
      <c r="P22" s="219">
        <f t="shared" si="7"/>
        <v>0</v>
      </c>
      <c r="Q22" s="219"/>
      <c r="R22" s="31"/>
      <c r="S22" s="36"/>
      <c r="T22" s="118">
        <v>8664932.9100000001</v>
      </c>
      <c r="U22" s="122"/>
      <c r="V22" s="123"/>
      <c r="W22" s="38"/>
      <c r="X22" s="33">
        <v>70755129.350000039</v>
      </c>
      <c r="Y22" s="33">
        <v>75271191.830000013</v>
      </c>
      <c r="Z22" s="33"/>
      <c r="AA22" s="33">
        <v>27202321.940000009</v>
      </c>
      <c r="AB22" s="39">
        <v>3261746.01</v>
      </c>
      <c r="AC22" s="38"/>
      <c r="AD22" s="33"/>
      <c r="AE22" s="33">
        <v>108346020.1999999</v>
      </c>
      <c r="AF22" s="33"/>
      <c r="AG22" s="39"/>
      <c r="AH22" s="117"/>
      <c r="AI22" s="38"/>
      <c r="AJ22" s="39"/>
      <c r="AK22" s="38"/>
      <c r="AL22" s="33"/>
      <c r="AM22" s="39"/>
    </row>
    <row r="23" spans="1:39" hidden="1" x14ac:dyDescent="0.25">
      <c r="A23" s="114" t="s">
        <v>500</v>
      </c>
      <c r="B23" s="31" t="s">
        <v>489</v>
      </c>
      <c r="C23" s="31" t="s">
        <v>490</v>
      </c>
      <c r="D23" s="36" t="s">
        <v>499</v>
      </c>
      <c r="E23" s="112" t="s">
        <v>419</v>
      </c>
      <c r="F23" s="32"/>
      <c r="G23" s="32"/>
      <c r="H23" s="31"/>
      <c r="I23" s="219">
        <f t="shared" si="0"/>
        <v>0</v>
      </c>
      <c r="J23" s="219">
        <f t="shared" si="1"/>
        <v>0</v>
      </c>
      <c r="K23" s="219">
        <f t="shared" si="2"/>
        <v>862676.57000000007</v>
      </c>
      <c r="L23" s="232">
        <f t="shared" si="3"/>
        <v>0</v>
      </c>
      <c r="M23" s="219">
        <f t="shared" si="4"/>
        <v>0</v>
      </c>
      <c r="N23" s="219">
        <f t="shared" si="5"/>
        <v>0</v>
      </c>
      <c r="O23" s="219">
        <f t="shared" si="6"/>
        <v>0</v>
      </c>
      <c r="P23" s="219">
        <f t="shared" si="7"/>
        <v>0</v>
      </c>
      <c r="Q23" s="219"/>
      <c r="R23" s="31"/>
      <c r="S23" s="36"/>
      <c r="T23" s="118"/>
      <c r="U23" s="122"/>
      <c r="V23" s="123"/>
      <c r="W23" s="38">
        <v>862676.57000000007</v>
      </c>
      <c r="X23" s="33"/>
      <c r="Y23" s="33"/>
      <c r="Z23" s="33"/>
      <c r="AA23" s="33"/>
      <c r="AB23" s="39"/>
      <c r="AC23" s="38"/>
      <c r="AD23" s="33"/>
      <c r="AE23" s="33"/>
      <c r="AF23" s="33"/>
      <c r="AG23" s="39"/>
      <c r="AH23" s="117"/>
      <c r="AI23" s="38"/>
      <c r="AJ23" s="39"/>
      <c r="AK23" s="38"/>
      <c r="AL23" s="33"/>
      <c r="AM23" s="39"/>
    </row>
    <row r="24" spans="1:39" hidden="1" x14ac:dyDescent="0.25">
      <c r="A24" s="114" t="s">
        <v>432</v>
      </c>
      <c r="B24" s="31" t="s">
        <v>489</v>
      </c>
      <c r="C24" s="31" t="s">
        <v>490</v>
      </c>
      <c r="D24" s="36" t="s">
        <v>499</v>
      </c>
      <c r="E24" s="112" t="s">
        <v>419</v>
      </c>
      <c r="F24" s="32"/>
      <c r="G24" s="32"/>
      <c r="H24" s="31" t="s">
        <v>342</v>
      </c>
      <c r="I24" s="219">
        <f t="shared" si="0"/>
        <v>0</v>
      </c>
      <c r="J24" s="219">
        <f t="shared" si="1"/>
        <v>926090.49</v>
      </c>
      <c r="K24" s="219">
        <f t="shared" si="2"/>
        <v>1738562.6699999997</v>
      </c>
      <c r="L24" s="232">
        <f t="shared" si="3"/>
        <v>128342701.22</v>
      </c>
      <c r="M24" s="219">
        <f t="shared" si="4"/>
        <v>22129635.599999979</v>
      </c>
      <c r="N24" s="219">
        <f t="shared" si="5"/>
        <v>0</v>
      </c>
      <c r="O24" s="219">
        <f t="shared" si="6"/>
        <v>0</v>
      </c>
      <c r="P24" s="219">
        <f t="shared" si="7"/>
        <v>0</v>
      </c>
      <c r="Q24" s="219"/>
      <c r="R24" s="31"/>
      <c r="S24" s="36"/>
      <c r="T24" s="118">
        <v>926090.49</v>
      </c>
      <c r="U24" s="122"/>
      <c r="V24" s="123"/>
      <c r="W24" s="38">
        <v>1738562.6699999997</v>
      </c>
      <c r="X24" s="33">
        <v>65350301.859999955</v>
      </c>
      <c r="Y24" s="33">
        <v>52824769.860000037</v>
      </c>
      <c r="Z24" s="33">
        <v>241594.69999999998</v>
      </c>
      <c r="AA24" s="33">
        <v>9926034.8000000026</v>
      </c>
      <c r="AB24" s="39"/>
      <c r="AC24" s="38"/>
      <c r="AD24" s="33"/>
      <c r="AE24" s="33">
        <v>22129635.599999979</v>
      </c>
      <c r="AF24" s="33"/>
      <c r="AG24" s="39"/>
      <c r="AH24" s="117"/>
      <c r="AI24" s="38"/>
      <c r="AJ24" s="39"/>
      <c r="AK24" s="38"/>
      <c r="AL24" s="33"/>
      <c r="AM24" s="39"/>
    </row>
    <row r="25" spans="1:39" hidden="1" x14ac:dyDescent="0.25">
      <c r="A25" s="114" t="s">
        <v>180</v>
      </c>
      <c r="B25" s="31" t="s">
        <v>489</v>
      </c>
      <c r="C25" s="31" t="s">
        <v>490</v>
      </c>
      <c r="D25" s="36" t="s">
        <v>501</v>
      </c>
      <c r="E25" s="112" t="s">
        <v>419</v>
      </c>
      <c r="F25" s="32"/>
      <c r="G25" s="32"/>
      <c r="H25" s="31"/>
      <c r="I25" s="219">
        <f t="shared" si="0"/>
        <v>0</v>
      </c>
      <c r="J25" s="219">
        <f t="shared" si="1"/>
        <v>140474182.20999998</v>
      </c>
      <c r="K25" s="219">
        <f t="shared" si="2"/>
        <v>452439335.18000209</v>
      </c>
      <c r="L25" s="232">
        <f t="shared" si="3"/>
        <v>0</v>
      </c>
      <c r="M25" s="219">
        <f t="shared" si="4"/>
        <v>0</v>
      </c>
      <c r="N25" s="219">
        <f t="shared" si="5"/>
        <v>0</v>
      </c>
      <c r="O25" s="219">
        <f t="shared" si="6"/>
        <v>0</v>
      </c>
      <c r="P25" s="219">
        <f t="shared" si="7"/>
        <v>0</v>
      </c>
      <c r="Q25" s="219"/>
      <c r="R25" s="31"/>
      <c r="S25" s="36"/>
      <c r="T25" s="118">
        <v>140474182.20999998</v>
      </c>
      <c r="U25" s="122"/>
      <c r="V25" s="123"/>
      <c r="W25" s="38">
        <v>452439335.18000209</v>
      </c>
      <c r="X25" s="33"/>
      <c r="Y25" s="33"/>
      <c r="Z25" s="33"/>
      <c r="AA25" s="33"/>
      <c r="AB25" s="39"/>
      <c r="AC25" s="38"/>
      <c r="AD25" s="33"/>
      <c r="AE25" s="33"/>
      <c r="AF25" s="33"/>
      <c r="AG25" s="39"/>
      <c r="AH25" s="117"/>
      <c r="AI25" s="38"/>
      <c r="AJ25" s="39"/>
      <c r="AK25" s="38"/>
      <c r="AL25" s="33"/>
      <c r="AM25" s="39"/>
    </row>
    <row r="26" spans="1:39" hidden="1" x14ac:dyDescent="0.25">
      <c r="A26" s="114" t="s">
        <v>432</v>
      </c>
      <c r="B26" s="31" t="s">
        <v>489</v>
      </c>
      <c r="C26" s="31" t="s">
        <v>490</v>
      </c>
      <c r="D26" s="36" t="s">
        <v>501</v>
      </c>
      <c r="E26" s="112" t="s">
        <v>419</v>
      </c>
      <c r="F26" s="32"/>
      <c r="G26" s="32"/>
      <c r="H26" s="31"/>
      <c r="I26" s="219">
        <f t="shared" si="0"/>
        <v>0</v>
      </c>
      <c r="J26" s="219">
        <f t="shared" si="1"/>
        <v>23247288.98</v>
      </c>
      <c r="K26" s="219">
        <f t="shared" si="2"/>
        <v>133489459.22000003</v>
      </c>
      <c r="L26" s="232">
        <f t="shared" si="3"/>
        <v>0</v>
      </c>
      <c r="M26" s="219">
        <f t="shared" si="4"/>
        <v>0</v>
      </c>
      <c r="N26" s="219">
        <f t="shared" si="5"/>
        <v>0</v>
      </c>
      <c r="O26" s="219">
        <f t="shared" si="6"/>
        <v>0</v>
      </c>
      <c r="P26" s="219">
        <f t="shared" si="7"/>
        <v>0</v>
      </c>
      <c r="Q26" s="219"/>
      <c r="R26" s="31"/>
      <c r="S26" s="36"/>
      <c r="T26" s="118">
        <v>23247288.98</v>
      </c>
      <c r="U26" s="122"/>
      <c r="V26" s="123"/>
      <c r="W26" s="38">
        <v>133489459.22000003</v>
      </c>
      <c r="X26" s="33"/>
      <c r="Y26" s="33"/>
      <c r="Z26" s="33"/>
      <c r="AA26" s="33"/>
      <c r="AB26" s="39"/>
      <c r="AC26" s="38"/>
      <c r="AD26" s="33"/>
      <c r="AE26" s="33"/>
      <c r="AF26" s="33"/>
      <c r="AG26" s="39"/>
      <c r="AH26" s="117"/>
      <c r="AI26" s="38"/>
      <c r="AJ26" s="39"/>
      <c r="AK26" s="38"/>
      <c r="AL26" s="33"/>
      <c r="AM26" s="39"/>
    </row>
    <row r="27" spans="1:39" hidden="1" x14ac:dyDescent="0.25">
      <c r="A27" s="114" t="s">
        <v>174</v>
      </c>
      <c r="B27" s="31" t="s">
        <v>489</v>
      </c>
      <c r="C27" s="31" t="s">
        <v>490</v>
      </c>
      <c r="D27" s="36" t="s">
        <v>502</v>
      </c>
      <c r="E27" s="112" t="s">
        <v>419</v>
      </c>
      <c r="F27" s="32"/>
      <c r="G27" s="32"/>
      <c r="H27" s="31"/>
      <c r="I27" s="219">
        <f t="shared" si="0"/>
        <v>0</v>
      </c>
      <c r="J27" s="219">
        <f t="shared" si="1"/>
        <v>44163988.920000002</v>
      </c>
      <c r="K27" s="219">
        <f t="shared" si="2"/>
        <v>0</v>
      </c>
      <c r="L27" s="232">
        <f t="shared" si="3"/>
        <v>0</v>
      </c>
      <c r="M27" s="219">
        <f t="shared" si="4"/>
        <v>0</v>
      </c>
      <c r="N27" s="219">
        <f t="shared" si="5"/>
        <v>0</v>
      </c>
      <c r="O27" s="219">
        <f t="shared" si="6"/>
        <v>0</v>
      </c>
      <c r="P27" s="219">
        <f t="shared" si="7"/>
        <v>0</v>
      </c>
      <c r="Q27" s="219"/>
      <c r="R27" s="31"/>
      <c r="S27" s="36"/>
      <c r="T27" s="118">
        <v>44163988.920000002</v>
      </c>
      <c r="U27" s="122"/>
      <c r="V27" s="123"/>
      <c r="W27" s="38"/>
      <c r="X27" s="33"/>
      <c r="Y27" s="33"/>
      <c r="Z27" s="33"/>
      <c r="AA27" s="33"/>
      <c r="AB27" s="39"/>
      <c r="AC27" s="38"/>
      <c r="AD27" s="33"/>
      <c r="AE27" s="33"/>
      <c r="AF27" s="33"/>
      <c r="AG27" s="39"/>
      <c r="AH27" s="117"/>
      <c r="AI27" s="38"/>
      <c r="AJ27" s="39"/>
      <c r="AK27" s="38"/>
      <c r="AL27" s="33"/>
      <c r="AM27" s="39"/>
    </row>
    <row r="28" spans="1:39" hidden="1" x14ac:dyDescent="0.25">
      <c r="A28" s="114" t="s">
        <v>434</v>
      </c>
      <c r="B28" s="31" t="s">
        <v>489</v>
      </c>
      <c r="C28" s="31" t="s">
        <v>503</v>
      </c>
      <c r="D28" s="36" t="s">
        <v>504</v>
      </c>
      <c r="E28" s="112" t="s">
        <v>354</v>
      </c>
      <c r="F28" s="32"/>
      <c r="G28" s="32"/>
      <c r="H28" s="31"/>
      <c r="I28" s="219">
        <f t="shared" si="0"/>
        <v>0</v>
      </c>
      <c r="J28" s="219">
        <f t="shared" si="1"/>
        <v>0</v>
      </c>
      <c r="K28" s="219">
        <f t="shared" si="2"/>
        <v>0</v>
      </c>
      <c r="L28" s="232">
        <f t="shared" si="3"/>
        <v>1104480.68</v>
      </c>
      <c r="M28" s="219">
        <f t="shared" si="4"/>
        <v>0</v>
      </c>
      <c r="N28" s="219">
        <f t="shared" si="5"/>
        <v>0</v>
      </c>
      <c r="O28" s="219">
        <f t="shared" si="6"/>
        <v>0</v>
      </c>
      <c r="P28" s="219">
        <f t="shared" si="7"/>
        <v>0</v>
      </c>
      <c r="Q28" s="219"/>
      <c r="R28" s="31"/>
      <c r="S28" s="36"/>
      <c r="T28" s="118"/>
      <c r="U28" s="122"/>
      <c r="V28" s="123"/>
      <c r="W28" s="38"/>
      <c r="X28" s="33">
        <v>1104480.68</v>
      </c>
      <c r="Y28" s="33"/>
      <c r="Z28" s="33"/>
      <c r="AA28" s="33"/>
      <c r="AB28" s="39"/>
      <c r="AC28" s="38"/>
      <c r="AD28" s="33"/>
      <c r="AE28" s="33"/>
      <c r="AF28" s="33"/>
      <c r="AG28" s="39"/>
      <c r="AH28" s="117"/>
      <c r="AI28" s="38"/>
      <c r="AJ28" s="39"/>
      <c r="AK28" s="38"/>
      <c r="AL28" s="33"/>
      <c r="AM28" s="39"/>
    </row>
    <row r="29" spans="1:39" hidden="1" x14ac:dyDescent="0.25">
      <c r="A29" s="114" t="s">
        <v>173</v>
      </c>
      <c r="B29" s="31" t="s">
        <v>489</v>
      </c>
      <c r="C29" s="31" t="s">
        <v>503</v>
      </c>
      <c r="D29" s="36" t="s">
        <v>504</v>
      </c>
      <c r="E29" s="112" t="s">
        <v>354</v>
      </c>
      <c r="F29" s="32"/>
      <c r="G29" s="32"/>
      <c r="H29" s="31"/>
      <c r="I29" s="219">
        <f t="shared" si="0"/>
        <v>0</v>
      </c>
      <c r="J29" s="219">
        <f t="shared" si="1"/>
        <v>0</v>
      </c>
      <c r="K29" s="219">
        <f t="shared" si="2"/>
        <v>0</v>
      </c>
      <c r="L29" s="232">
        <f t="shared" si="3"/>
        <v>24991736.36999999</v>
      </c>
      <c r="M29" s="219">
        <f t="shared" si="4"/>
        <v>0</v>
      </c>
      <c r="N29" s="219">
        <f t="shared" si="5"/>
        <v>0</v>
      </c>
      <c r="O29" s="219">
        <f t="shared" si="6"/>
        <v>0</v>
      </c>
      <c r="P29" s="219">
        <f t="shared" si="7"/>
        <v>0</v>
      </c>
      <c r="Q29" s="219"/>
      <c r="R29" s="31"/>
      <c r="S29" s="36"/>
      <c r="T29" s="118"/>
      <c r="U29" s="122"/>
      <c r="V29" s="123"/>
      <c r="W29" s="38"/>
      <c r="X29" s="33">
        <v>535869.95000000007</v>
      </c>
      <c r="Y29" s="33">
        <v>8111591.6599999992</v>
      </c>
      <c r="Z29" s="33"/>
      <c r="AA29" s="33">
        <v>16344274.75999999</v>
      </c>
      <c r="AB29" s="39"/>
      <c r="AC29" s="38"/>
      <c r="AD29" s="33"/>
      <c r="AE29" s="33"/>
      <c r="AF29" s="33"/>
      <c r="AG29" s="39"/>
      <c r="AH29" s="117"/>
      <c r="AI29" s="38"/>
      <c r="AJ29" s="39"/>
      <c r="AK29" s="38"/>
      <c r="AL29" s="33"/>
      <c r="AM29" s="39"/>
    </row>
    <row r="30" spans="1:39" hidden="1" x14ac:dyDescent="0.25">
      <c r="A30" s="114" t="s">
        <v>156</v>
      </c>
      <c r="B30" s="31" t="s">
        <v>489</v>
      </c>
      <c r="C30" s="31" t="s">
        <v>503</v>
      </c>
      <c r="D30" s="36" t="s">
        <v>504</v>
      </c>
      <c r="E30" s="112" t="s">
        <v>354</v>
      </c>
      <c r="F30" s="32">
        <v>1</v>
      </c>
      <c r="G30" s="32"/>
      <c r="H30" s="31"/>
      <c r="I30" s="219">
        <f t="shared" si="0"/>
        <v>0</v>
      </c>
      <c r="J30" s="219">
        <f t="shared" si="1"/>
        <v>109650428.40999998</v>
      </c>
      <c r="K30" s="219">
        <f t="shared" si="2"/>
        <v>178509407.2299999</v>
      </c>
      <c r="L30" s="232">
        <f t="shared" si="3"/>
        <v>134460850.65000001</v>
      </c>
      <c r="M30" s="219">
        <f t="shared" si="4"/>
        <v>0</v>
      </c>
      <c r="N30" s="219">
        <f t="shared" si="5"/>
        <v>0</v>
      </c>
      <c r="O30" s="219">
        <f t="shared" si="6"/>
        <v>0</v>
      </c>
      <c r="P30" s="219">
        <f t="shared" si="7"/>
        <v>0</v>
      </c>
      <c r="Q30" s="219"/>
      <c r="R30" s="31"/>
      <c r="S30" s="36"/>
      <c r="T30" s="118">
        <v>2537846.2700000005</v>
      </c>
      <c r="U30" s="122">
        <v>107112582.13999999</v>
      </c>
      <c r="V30" s="123"/>
      <c r="W30" s="38">
        <v>178509407.2299999</v>
      </c>
      <c r="X30" s="33">
        <v>21894998.45999999</v>
      </c>
      <c r="Y30" s="33">
        <v>47532670.88000004</v>
      </c>
      <c r="Z30" s="33"/>
      <c r="AA30" s="33">
        <v>48966044.049999967</v>
      </c>
      <c r="AB30" s="39">
        <v>16067137.259999998</v>
      </c>
      <c r="AC30" s="38"/>
      <c r="AD30" s="33"/>
      <c r="AE30" s="33"/>
      <c r="AF30" s="33"/>
      <c r="AG30" s="39"/>
      <c r="AH30" s="117"/>
      <c r="AI30" s="38"/>
      <c r="AJ30" s="39"/>
      <c r="AK30" s="38"/>
      <c r="AL30" s="33"/>
      <c r="AM30" s="39"/>
    </row>
    <row r="31" spans="1:39" hidden="1" x14ac:dyDescent="0.25">
      <c r="A31" s="114" t="s">
        <v>165</v>
      </c>
      <c r="B31" s="31" t="s">
        <v>489</v>
      </c>
      <c r="C31" s="31" t="s">
        <v>503</v>
      </c>
      <c r="D31" s="36" t="s">
        <v>504</v>
      </c>
      <c r="E31" s="112" t="s">
        <v>354</v>
      </c>
      <c r="F31" s="32"/>
      <c r="G31" s="32"/>
      <c r="H31" s="31"/>
      <c r="I31" s="219">
        <f t="shared" si="0"/>
        <v>0</v>
      </c>
      <c r="J31" s="219">
        <f t="shared" si="1"/>
        <v>0</v>
      </c>
      <c r="K31" s="219">
        <f t="shared" si="2"/>
        <v>0</v>
      </c>
      <c r="L31" s="232">
        <f t="shared" si="3"/>
        <v>335637.49</v>
      </c>
      <c r="M31" s="219">
        <f t="shared" si="4"/>
        <v>0</v>
      </c>
      <c r="N31" s="219">
        <f t="shared" si="5"/>
        <v>0</v>
      </c>
      <c r="O31" s="219">
        <f t="shared" si="6"/>
        <v>0</v>
      </c>
      <c r="P31" s="219">
        <f t="shared" si="7"/>
        <v>0</v>
      </c>
      <c r="Q31" s="219"/>
      <c r="R31" s="31"/>
      <c r="S31" s="36"/>
      <c r="T31" s="118"/>
      <c r="U31" s="122"/>
      <c r="V31" s="123"/>
      <c r="W31" s="38"/>
      <c r="X31" s="33"/>
      <c r="Y31" s="33"/>
      <c r="Z31" s="33"/>
      <c r="AA31" s="33">
        <v>335637.49</v>
      </c>
      <c r="AB31" s="39"/>
      <c r="AC31" s="38"/>
      <c r="AD31" s="33"/>
      <c r="AE31" s="33"/>
      <c r="AF31" s="33"/>
      <c r="AG31" s="39"/>
      <c r="AH31" s="117"/>
      <c r="AI31" s="38"/>
      <c r="AJ31" s="39"/>
      <c r="AK31" s="38"/>
      <c r="AL31" s="33"/>
      <c r="AM31" s="39"/>
    </row>
    <row r="32" spans="1:39" hidden="1" x14ac:dyDescent="0.25">
      <c r="A32" s="114" t="s">
        <v>173</v>
      </c>
      <c r="B32" s="31" t="s">
        <v>489</v>
      </c>
      <c r="C32" s="31" t="s">
        <v>503</v>
      </c>
      <c r="D32" s="36" t="s">
        <v>505</v>
      </c>
      <c r="E32" s="112" t="s">
        <v>354</v>
      </c>
      <c r="F32" s="32"/>
      <c r="G32" s="32"/>
      <c r="H32" s="31" t="s">
        <v>342</v>
      </c>
      <c r="I32" s="219">
        <f t="shared" si="0"/>
        <v>0</v>
      </c>
      <c r="J32" s="219">
        <f t="shared" si="1"/>
        <v>0</v>
      </c>
      <c r="K32" s="219">
        <f t="shared" si="2"/>
        <v>11059.08</v>
      </c>
      <c r="L32" s="232">
        <f t="shared" si="3"/>
        <v>65360653.509999998</v>
      </c>
      <c r="M32" s="219">
        <f t="shared" si="4"/>
        <v>889574794.65997851</v>
      </c>
      <c r="N32" s="219">
        <f t="shared" si="5"/>
        <v>0</v>
      </c>
      <c r="O32" s="219">
        <f t="shared" si="6"/>
        <v>577762884.74320006</v>
      </c>
      <c r="P32" s="219">
        <f t="shared" si="7"/>
        <v>0</v>
      </c>
      <c r="Q32" s="219"/>
      <c r="R32" s="31"/>
      <c r="S32" s="36"/>
      <c r="T32" s="118"/>
      <c r="U32" s="122"/>
      <c r="V32" s="123"/>
      <c r="W32" s="38">
        <v>11059.08</v>
      </c>
      <c r="X32" s="33">
        <v>9563854.700000003</v>
      </c>
      <c r="Y32" s="33">
        <v>31637754.599999998</v>
      </c>
      <c r="Z32" s="33"/>
      <c r="AA32" s="33">
        <v>23287474.359999999</v>
      </c>
      <c r="AB32" s="39">
        <v>871569.85000000009</v>
      </c>
      <c r="AC32" s="38">
        <v>282876919.39999896</v>
      </c>
      <c r="AD32" s="33">
        <v>582055814.19997954</v>
      </c>
      <c r="AE32" s="33">
        <v>24642061.060000051</v>
      </c>
      <c r="AF32" s="33">
        <v>5411077.1999999993</v>
      </c>
      <c r="AG32" s="39"/>
      <c r="AH32" s="117">
        <v>577762884.74320006</v>
      </c>
      <c r="AI32" s="38"/>
      <c r="AJ32" s="39"/>
      <c r="AK32" s="38"/>
      <c r="AL32" s="33"/>
      <c r="AM32" s="39"/>
    </row>
    <row r="33" spans="1:39" hidden="1" x14ac:dyDescent="0.25">
      <c r="A33" s="114" t="s">
        <v>506</v>
      </c>
      <c r="B33" s="31" t="s">
        <v>489</v>
      </c>
      <c r="C33" s="31" t="s">
        <v>503</v>
      </c>
      <c r="D33" s="36" t="s">
        <v>505</v>
      </c>
      <c r="E33" s="112" t="s">
        <v>354</v>
      </c>
      <c r="F33" s="32"/>
      <c r="G33" s="32"/>
      <c r="H33" s="31"/>
      <c r="I33" s="219">
        <f t="shared" si="0"/>
        <v>0</v>
      </c>
      <c r="J33" s="219">
        <f t="shared" si="1"/>
        <v>0</v>
      </c>
      <c r="K33" s="219">
        <f t="shared" si="2"/>
        <v>0</v>
      </c>
      <c r="L33" s="232">
        <f t="shared" si="3"/>
        <v>4263920.2100000018</v>
      </c>
      <c r="M33" s="219">
        <f t="shared" si="4"/>
        <v>0</v>
      </c>
      <c r="N33" s="219">
        <f t="shared" si="5"/>
        <v>0</v>
      </c>
      <c r="O33" s="219">
        <f t="shared" si="6"/>
        <v>0</v>
      </c>
      <c r="P33" s="219">
        <f t="shared" si="7"/>
        <v>0</v>
      </c>
      <c r="Q33" s="219"/>
      <c r="R33" s="31"/>
      <c r="S33" s="36"/>
      <c r="T33" s="118"/>
      <c r="U33" s="122"/>
      <c r="V33" s="123"/>
      <c r="W33" s="38"/>
      <c r="X33" s="33"/>
      <c r="Y33" s="33">
        <v>366946.42000000004</v>
      </c>
      <c r="Z33" s="33"/>
      <c r="AA33" s="33">
        <v>3896973.7900000014</v>
      </c>
      <c r="AB33" s="39"/>
      <c r="AC33" s="38"/>
      <c r="AD33" s="33"/>
      <c r="AE33" s="33"/>
      <c r="AF33" s="33"/>
      <c r="AG33" s="39"/>
      <c r="AH33" s="117"/>
      <c r="AI33" s="38"/>
      <c r="AJ33" s="39"/>
      <c r="AK33" s="38"/>
      <c r="AL33" s="33"/>
      <c r="AM33" s="39"/>
    </row>
    <row r="34" spans="1:39" hidden="1" x14ac:dyDescent="0.25">
      <c r="A34" s="114" t="s">
        <v>174</v>
      </c>
      <c r="B34" s="31" t="s">
        <v>489</v>
      </c>
      <c r="C34" s="31" t="s">
        <v>507</v>
      </c>
      <c r="D34" s="36" t="s">
        <v>508</v>
      </c>
      <c r="E34" s="112"/>
      <c r="F34" s="32"/>
      <c r="G34" s="32"/>
      <c r="H34" s="31" t="s">
        <v>342</v>
      </c>
      <c r="I34" s="219">
        <f t="shared" si="0"/>
        <v>0</v>
      </c>
      <c r="J34" s="219">
        <f t="shared" si="1"/>
        <v>0</v>
      </c>
      <c r="K34" s="219">
        <f t="shared" si="2"/>
        <v>0</v>
      </c>
      <c r="L34" s="232">
        <f t="shared" si="3"/>
        <v>0</v>
      </c>
      <c r="M34" s="219">
        <f t="shared" si="4"/>
        <v>59940865.589999959</v>
      </c>
      <c r="N34" s="219">
        <f t="shared" si="5"/>
        <v>0</v>
      </c>
      <c r="O34" s="219">
        <f t="shared" si="6"/>
        <v>23887809.095800001</v>
      </c>
      <c r="P34" s="219">
        <f t="shared" si="7"/>
        <v>2065790674.7799973</v>
      </c>
      <c r="Q34" s="219"/>
      <c r="R34" s="31"/>
      <c r="S34" s="36"/>
      <c r="T34" s="118"/>
      <c r="U34" s="122"/>
      <c r="V34" s="123"/>
      <c r="W34" s="38"/>
      <c r="X34" s="33"/>
      <c r="Y34" s="33"/>
      <c r="Z34" s="33"/>
      <c r="AA34" s="33"/>
      <c r="AB34" s="39"/>
      <c r="AC34" s="38">
        <v>5143938.5699999966</v>
      </c>
      <c r="AD34" s="33">
        <v>5169481.6899999976</v>
      </c>
      <c r="AE34" s="33">
        <v>49627445.329999968</v>
      </c>
      <c r="AF34" s="33"/>
      <c r="AG34" s="39"/>
      <c r="AH34" s="117">
        <v>23887809.095800001</v>
      </c>
      <c r="AI34" s="38"/>
      <c r="AJ34" s="39"/>
      <c r="AK34" s="38"/>
      <c r="AL34" s="33"/>
      <c r="AM34" s="39">
        <v>2065790674.7799973</v>
      </c>
    </row>
    <row r="35" spans="1:39" hidden="1" x14ac:dyDescent="0.25">
      <c r="A35" s="114" t="s">
        <v>174</v>
      </c>
      <c r="B35" s="31" t="s">
        <v>489</v>
      </c>
      <c r="C35" s="31" t="s">
        <v>490</v>
      </c>
      <c r="D35" s="36" t="s">
        <v>491</v>
      </c>
      <c r="E35" s="112" t="s">
        <v>96</v>
      </c>
      <c r="F35" s="32"/>
      <c r="G35" s="32"/>
      <c r="H35" s="31" t="s">
        <v>342</v>
      </c>
      <c r="I35" s="219">
        <f t="shared" si="0"/>
        <v>0</v>
      </c>
      <c r="J35" s="219">
        <f t="shared" si="1"/>
        <v>1673944.2999999998</v>
      </c>
      <c r="K35" s="219">
        <f t="shared" si="2"/>
        <v>5644864.1600000011</v>
      </c>
      <c r="L35" s="232">
        <f t="shared" si="3"/>
        <v>17962969.829999998</v>
      </c>
      <c r="M35" s="219">
        <f t="shared" si="4"/>
        <v>279412824.3448205</v>
      </c>
      <c r="N35" s="219">
        <f t="shared" si="5"/>
        <v>0</v>
      </c>
      <c r="O35" s="219">
        <f t="shared" si="6"/>
        <v>147977785.23060003</v>
      </c>
      <c r="P35" s="219">
        <f t="shared" si="7"/>
        <v>0</v>
      </c>
      <c r="Q35" s="219"/>
      <c r="R35" s="31"/>
      <c r="S35" s="36"/>
      <c r="T35" s="118">
        <v>1673944.2999999998</v>
      </c>
      <c r="U35" s="122"/>
      <c r="V35" s="123"/>
      <c r="W35" s="38">
        <v>5644864.1600000011</v>
      </c>
      <c r="X35" s="33">
        <v>249437.87</v>
      </c>
      <c r="Y35" s="33">
        <v>14233760.609999999</v>
      </c>
      <c r="Z35" s="33"/>
      <c r="AA35" s="33">
        <v>3479771.3499999996</v>
      </c>
      <c r="AB35" s="39"/>
      <c r="AC35" s="38">
        <v>114571907.50000097</v>
      </c>
      <c r="AD35" s="33">
        <v>149772285.60481951</v>
      </c>
      <c r="AE35" s="33">
        <v>15068631.240000006</v>
      </c>
      <c r="AF35" s="33">
        <v>23998207.120000001</v>
      </c>
      <c r="AG35" s="39"/>
      <c r="AH35" s="117">
        <v>147977785.23060003</v>
      </c>
      <c r="AI35" s="38"/>
      <c r="AJ35" s="39"/>
      <c r="AK35" s="38"/>
      <c r="AL35" s="33"/>
      <c r="AM35" s="39"/>
    </row>
    <row r="36" spans="1:39" hidden="1" x14ac:dyDescent="0.25">
      <c r="A36" s="114" t="s">
        <v>166</v>
      </c>
      <c r="B36" s="31" t="s">
        <v>489</v>
      </c>
      <c r="C36" s="31" t="s">
        <v>509</v>
      </c>
      <c r="D36" s="36" t="s">
        <v>510</v>
      </c>
      <c r="E36" s="112"/>
      <c r="F36" s="32"/>
      <c r="G36" s="32"/>
      <c r="H36" s="31" t="s">
        <v>342</v>
      </c>
      <c r="I36" s="219">
        <f t="shared" si="0"/>
        <v>0</v>
      </c>
      <c r="J36" s="219">
        <f t="shared" si="1"/>
        <v>0</v>
      </c>
      <c r="K36" s="219">
        <f t="shared" si="2"/>
        <v>0</v>
      </c>
      <c r="L36" s="232">
        <f t="shared" si="3"/>
        <v>0</v>
      </c>
      <c r="M36" s="219">
        <f t="shared" si="4"/>
        <v>790815852.52475572</v>
      </c>
      <c r="N36" s="219">
        <f t="shared" si="5"/>
        <v>0</v>
      </c>
      <c r="O36" s="219">
        <f t="shared" si="6"/>
        <v>544184205.98619974</v>
      </c>
      <c r="P36" s="219">
        <f t="shared" si="7"/>
        <v>6441328980.5292301</v>
      </c>
      <c r="Q36" s="219"/>
      <c r="R36" s="31"/>
      <c r="S36" s="36"/>
      <c r="T36" s="118"/>
      <c r="U36" s="122"/>
      <c r="V36" s="123"/>
      <c r="W36" s="38"/>
      <c r="X36" s="33"/>
      <c r="Y36" s="33"/>
      <c r="Z36" s="33"/>
      <c r="AA36" s="33"/>
      <c r="AB36" s="39"/>
      <c r="AC36" s="38">
        <v>242802302.30999792</v>
      </c>
      <c r="AD36" s="33">
        <v>423455544.42475772</v>
      </c>
      <c r="AE36" s="33">
        <v>124558005.79000004</v>
      </c>
      <c r="AF36" s="33">
        <v>10661838.449999999</v>
      </c>
      <c r="AG36" s="39"/>
      <c r="AH36" s="117">
        <v>544184205.98619974</v>
      </c>
      <c r="AI36" s="38"/>
      <c r="AJ36" s="39"/>
      <c r="AK36" s="38"/>
      <c r="AL36" s="33">
        <v>6441328980.5292301</v>
      </c>
      <c r="AM36" s="39"/>
    </row>
    <row r="37" spans="1:39" hidden="1" x14ac:dyDescent="0.25">
      <c r="A37" s="114" t="s">
        <v>341</v>
      </c>
      <c r="B37" s="31" t="s">
        <v>489</v>
      </c>
      <c r="C37" s="31" t="s">
        <v>509</v>
      </c>
      <c r="D37" s="36" t="s">
        <v>511</v>
      </c>
      <c r="E37" s="112"/>
      <c r="F37" s="32"/>
      <c r="G37" s="32"/>
      <c r="H37" s="31" t="s">
        <v>342</v>
      </c>
      <c r="I37" s="219">
        <f t="shared" si="0"/>
        <v>0</v>
      </c>
      <c r="J37" s="219">
        <f t="shared" si="1"/>
        <v>0</v>
      </c>
      <c r="K37" s="219">
        <f t="shared" si="2"/>
        <v>0</v>
      </c>
      <c r="L37" s="232">
        <f t="shared" si="3"/>
        <v>0</v>
      </c>
      <c r="M37" s="219">
        <f t="shared" si="4"/>
        <v>506111051.7499826</v>
      </c>
      <c r="N37" s="219">
        <f t="shared" si="5"/>
        <v>0</v>
      </c>
      <c r="O37" s="219">
        <f t="shared" si="6"/>
        <v>280737179.26800001</v>
      </c>
      <c r="P37" s="219">
        <f t="shared" si="7"/>
        <v>8562904904.0596447</v>
      </c>
      <c r="Q37" s="219"/>
      <c r="R37" s="31"/>
      <c r="S37" s="36"/>
      <c r="T37" s="118"/>
      <c r="U37" s="122"/>
      <c r="V37" s="123"/>
      <c r="W37" s="38"/>
      <c r="X37" s="33"/>
      <c r="Y37" s="33"/>
      <c r="Z37" s="33"/>
      <c r="AA37" s="33"/>
      <c r="AB37" s="39"/>
      <c r="AC37" s="38">
        <v>506111051.7499826</v>
      </c>
      <c r="AD37" s="33"/>
      <c r="AE37" s="33"/>
      <c r="AF37" s="33"/>
      <c r="AG37" s="39"/>
      <c r="AH37" s="117">
        <v>280737179.26800001</v>
      </c>
      <c r="AI37" s="38"/>
      <c r="AJ37" s="39"/>
      <c r="AK37" s="38">
        <v>8562904904.0596447</v>
      </c>
      <c r="AL37" s="33"/>
      <c r="AM37" s="39"/>
    </row>
    <row r="38" spans="1:39" hidden="1" x14ac:dyDescent="0.25">
      <c r="A38" s="114" t="s">
        <v>141</v>
      </c>
      <c r="B38" s="31" t="s">
        <v>489</v>
      </c>
      <c r="C38" s="31" t="s">
        <v>509</v>
      </c>
      <c r="D38" s="36" t="s">
        <v>511</v>
      </c>
      <c r="E38" s="112"/>
      <c r="F38" s="32"/>
      <c r="G38" s="32"/>
      <c r="H38" s="31" t="s">
        <v>342</v>
      </c>
      <c r="I38" s="219">
        <f t="shared" si="0"/>
        <v>0</v>
      </c>
      <c r="J38" s="219">
        <f t="shared" si="1"/>
        <v>0</v>
      </c>
      <c r="K38" s="219">
        <f t="shared" si="2"/>
        <v>0</v>
      </c>
      <c r="L38" s="232">
        <f t="shared" si="3"/>
        <v>0</v>
      </c>
      <c r="M38" s="219">
        <f t="shared" si="4"/>
        <v>363427541.97998726</v>
      </c>
      <c r="N38" s="219">
        <f t="shared" si="5"/>
        <v>0</v>
      </c>
      <c r="O38" s="219">
        <f t="shared" si="6"/>
        <v>221090062.43870005</v>
      </c>
      <c r="P38" s="219">
        <f t="shared" si="7"/>
        <v>0</v>
      </c>
      <c r="Q38" s="219"/>
      <c r="R38" s="31"/>
      <c r="S38" s="36"/>
      <c r="T38" s="118"/>
      <c r="U38" s="122"/>
      <c r="V38" s="123"/>
      <c r="W38" s="38"/>
      <c r="X38" s="33"/>
      <c r="Y38" s="33"/>
      <c r="Z38" s="33"/>
      <c r="AA38" s="33"/>
      <c r="AB38" s="39"/>
      <c r="AC38" s="38">
        <v>363427541.97998726</v>
      </c>
      <c r="AD38" s="33"/>
      <c r="AE38" s="33"/>
      <c r="AF38" s="33"/>
      <c r="AG38" s="39"/>
      <c r="AH38" s="117">
        <v>221090062.43870005</v>
      </c>
      <c r="AI38" s="38"/>
      <c r="AJ38" s="39"/>
      <c r="AK38" s="38"/>
      <c r="AL38" s="33"/>
      <c r="AM38" s="39"/>
    </row>
    <row r="39" spans="1:39" hidden="1" x14ac:dyDescent="0.25">
      <c r="A39" s="114" t="s">
        <v>155</v>
      </c>
      <c r="B39" s="31" t="s">
        <v>489</v>
      </c>
      <c r="C39" s="31" t="s">
        <v>509</v>
      </c>
      <c r="D39" s="36" t="s">
        <v>510</v>
      </c>
      <c r="E39" s="112"/>
      <c r="F39" s="32"/>
      <c r="G39" s="32"/>
      <c r="H39" s="31" t="s">
        <v>342</v>
      </c>
      <c r="I39" s="219">
        <f t="shared" si="0"/>
        <v>0</v>
      </c>
      <c r="J39" s="219">
        <f t="shared" si="1"/>
        <v>0</v>
      </c>
      <c r="K39" s="219">
        <f t="shared" si="2"/>
        <v>0</v>
      </c>
      <c r="L39" s="232">
        <f t="shared" si="3"/>
        <v>0</v>
      </c>
      <c r="M39" s="219">
        <f t="shared" si="4"/>
        <v>1704417290.2950521</v>
      </c>
      <c r="N39" s="219">
        <f t="shared" si="5"/>
        <v>0</v>
      </c>
      <c r="O39" s="219">
        <f t="shared" si="6"/>
        <v>1131603727.040801</v>
      </c>
      <c r="P39" s="219">
        <f t="shared" si="7"/>
        <v>0</v>
      </c>
      <c r="Q39" s="219"/>
      <c r="R39" s="31"/>
      <c r="S39" s="36"/>
      <c r="T39" s="118"/>
      <c r="U39" s="122"/>
      <c r="V39" s="123"/>
      <c r="W39" s="38"/>
      <c r="X39" s="33"/>
      <c r="Y39" s="33"/>
      <c r="Z39" s="33"/>
      <c r="AA39" s="33"/>
      <c r="AB39" s="39"/>
      <c r="AC39" s="38">
        <v>555275872.96997058</v>
      </c>
      <c r="AD39" s="33">
        <v>971861147.09508145</v>
      </c>
      <c r="AE39" s="33">
        <v>177280270.22999993</v>
      </c>
      <c r="AF39" s="33">
        <v>152845345.06999978</v>
      </c>
      <c r="AG39" s="39"/>
      <c r="AH39" s="117">
        <v>1131603727.040801</v>
      </c>
      <c r="AI39" s="38"/>
      <c r="AJ39" s="39"/>
      <c r="AK39" s="38"/>
      <c r="AL39" s="33"/>
      <c r="AM39" s="39"/>
    </row>
    <row r="40" spans="1:39" hidden="1" x14ac:dyDescent="0.25">
      <c r="A40" s="114" t="s">
        <v>148</v>
      </c>
      <c r="B40" s="31" t="s">
        <v>489</v>
      </c>
      <c r="C40" s="31" t="s">
        <v>509</v>
      </c>
      <c r="D40" s="36" t="s">
        <v>511</v>
      </c>
      <c r="E40" s="112"/>
      <c r="F40" s="32"/>
      <c r="G40" s="32"/>
      <c r="H40" s="31" t="s">
        <v>342</v>
      </c>
      <c r="I40" s="219">
        <f t="shared" si="0"/>
        <v>0</v>
      </c>
      <c r="J40" s="219">
        <f t="shared" si="1"/>
        <v>0</v>
      </c>
      <c r="K40" s="219">
        <f t="shared" si="2"/>
        <v>0</v>
      </c>
      <c r="L40" s="232">
        <f t="shared" si="3"/>
        <v>0</v>
      </c>
      <c r="M40" s="219">
        <f t="shared" si="4"/>
        <v>794455738.63996136</v>
      </c>
      <c r="N40" s="219">
        <f t="shared" si="5"/>
        <v>0</v>
      </c>
      <c r="O40" s="219">
        <f t="shared" si="6"/>
        <v>573647981.04380012</v>
      </c>
      <c r="P40" s="219">
        <f t="shared" si="7"/>
        <v>0</v>
      </c>
      <c r="Q40" s="219"/>
      <c r="R40" s="31"/>
      <c r="S40" s="36"/>
      <c r="T40" s="118"/>
      <c r="U40" s="122"/>
      <c r="V40" s="123"/>
      <c r="W40" s="38"/>
      <c r="X40" s="33"/>
      <c r="Y40" s="33"/>
      <c r="Z40" s="33"/>
      <c r="AA40" s="33"/>
      <c r="AB40" s="39"/>
      <c r="AC40" s="38">
        <v>794455738.63996136</v>
      </c>
      <c r="AD40" s="33"/>
      <c r="AE40" s="33"/>
      <c r="AF40" s="33"/>
      <c r="AG40" s="39"/>
      <c r="AH40" s="117">
        <v>573647981.04380012</v>
      </c>
      <c r="AI40" s="38"/>
      <c r="AJ40" s="39"/>
      <c r="AK40" s="38"/>
      <c r="AL40" s="33"/>
      <c r="AM40" s="39"/>
    </row>
    <row r="41" spans="1:39" hidden="1" x14ac:dyDescent="0.25">
      <c r="A41" s="114" t="s">
        <v>512</v>
      </c>
      <c r="B41" s="31" t="s">
        <v>489</v>
      </c>
      <c r="C41" s="31" t="s">
        <v>507</v>
      </c>
      <c r="D41" s="36" t="s">
        <v>513</v>
      </c>
      <c r="E41" s="112"/>
      <c r="F41" s="32"/>
      <c r="G41" s="32"/>
      <c r="H41" s="31" t="s">
        <v>342</v>
      </c>
      <c r="I41" s="219">
        <f t="shared" si="0"/>
        <v>0</v>
      </c>
      <c r="J41" s="219">
        <f t="shared" si="1"/>
        <v>0</v>
      </c>
      <c r="K41" s="219">
        <f t="shared" si="2"/>
        <v>0</v>
      </c>
      <c r="L41" s="232">
        <f t="shared" si="3"/>
        <v>0</v>
      </c>
      <c r="M41" s="219">
        <f t="shared" si="4"/>
        <v>256667592.99931648</v>
      </c>
      <c r="N41" s="219">
        <f t="shared" si="5"/>
        <v>0</v>
      </c>
      <c r="O41" s="219">
        <f t="shared" si="6"/>
        <v>136655603.58450004</v>
      </c>
      <c r="P41" s="219">
        <f t="shared" si="7"/>
        <v>0</v>
      </c>
      <c r="Q41" s="219"/>
      <c r="R41" s="31"/>
      <c r="S41" s="36"/>
      <c r="T41" s="118"/>
      <c r="U41" s="122"/>
      <c r="V41" s="123"/>
      <c r="W41" s="38"/>
      <c r="X41" s="33"/>
      <c r="Y41" s="33"/>
      <c r="Z41" s="33"/>
      <c r="AA41" s="33"/>
      <c r="AB41" s="39"/>
      <c r="AC41" s="38">
        <v>55056563.070000201</v>
      </c>
      <c r="AD41" s="33">
        <v>201611029.92931628</v>
      </c>
      <c r="AE41" s="33"/>
      <c r="AF41" s="33"/>
      <c r="AG41" s="39"/>
      <c r="AH41" s="117">
        <v>136655603.58450004</v>
      </c>
      <c r="AI41" s="38"/>
      <c r="AJ41" s="39"/>
      <c r="AK41" s="38"/>
      <c r="AL41" s="33"/>
      <c r="AM41" s="39"/>
    </row>
    <row r="42" spans="1:39" hidden="1" x14ac:dyDescent="0.25">
      <c r="A42" s="114" t="s">
        <v>165</v>
      </c>
      <c r="B42" s="31" t="s">
        <v>489</v>
      </c>
      <c r="C42" s="31" t="s">
        <v>509</v>
      </c>
      <c r="D42" s="36" t="s">
        <v>510</v>
      </c>
      <c r="E42" s="112"/>
      <c r="F42" s="32"/>
      <c r="G42" s="32"/>
      <c r="H42" s="31" t="s">
        <v>342</v>
      </c>
      <c r="I42" s="219">
        <f t="shared" si="0"/>
        <v>0</v>
      </c>
      <c r="J42" s="219">
        <f t="shared" si="1"/>
        <v>0</v>
      </c>
      <c r="K42" s="219">
        <f t="shared" si="2"/>
        <v>0</v>
      </c>
      <c r="L42" s="232">
        <f t="shared" si="3"/>
        <v>0</v>
      </c>
      <c r="M42" s="219">
        <f t="shared" si="4"/>
        <v>92954906.814622194</v>
      </c>
      <c r="N42" s="219">
        <f t="shared" si="5"/>
        <v>0</v>
      </c>
      <c r="O42" s="219">
        <f t="shared" si="6"/>
        <v>51890148.134499997</v>
      </c>
      <c r="P42" s="219">
        <f t="shared" si="7"/>
        <v>0</v>
      </c>
      <c r="Q42" s="219"/>
      <c r="R42" s="31"/>
      <c r="S42" s="36"/>
      <c r="T42" s="118"/>
      <c r="U42" s="122"/>
      <c r="V42" s="123"/>
      <c r="W42" s="38"/>
      <c r="X42" s="33"/>
      <c r="Y42" s="33"/>
      <c r="Z42" s="33"/>
      <c r="AA42" s="33"/>
      <c r="AB42" s="39"/>
      <c r="AC42" s="38">
        <v>39901309.520000055</v>
      </c>
      <c r="AD42" s="33">
        <v>53053597.294622146</v>
      </c>
      <c r="AE42" s="33"/>
      <c r="AF42" s="33"/>
      <c r="AG42" s="39"/>
      <c r="AH42" s="117">
        <v>51890148.134499997</v>
      </c>
      <c r="AI42" s="38"/>
      <c r="AJ42" s="39"/>
      <c r="AK42" s="38"/>
      <c r="AL42" s="33"/>
      <c r="AM42" s="39"/>
    </row>
    <row r="43" spans="1:39" hidden="1" x14ac:dyDescent="0.25">
      <c r="A43" s="114" t="s">
        <v>514</v>
      </c>
      <c r="B43" s="31" t="s">
        <v>489</v>
      </c>
      <c r="C43" s="31" t="s">
        <v>507</v>
      </c>
      <c r="D43" s="36" t="s">
        <v>513</v>
      </c>
      <c r="E43" s="112"/>
      <c r="F43" s="32"/>
      <c r="G43" s="32"/>
      <c r="H43" s="31" t="s">
        <v>342</v>
      </c>
      <c r="I43" s="219">
        <f t="shared" si="0"/>
        <v>0</v>
      </c>
      <c r="J43" s="219">
        <f t="shared" si="1"/>
        <v>0</v>
      </c>
      <c r="K43" s="219">
        <f t="shared" si="2"/>
        <v>0</v>
      </c>
      <c r="L43" s="232">
        <f t="shared" si="3"/>
        <v>0</v>
      </c>
      <c r="M43" s="219">
        <f t="shared" si="4"/>
        <v>144770267.3128247</v>
      </c>
      <c r="N43" s="219">
        <f t="shared" si="5"/>
        <v>0</v>
      </c>
      <c r="O43" s="219">
        <f t="shared" si="6"/>
        <v>85552599.98739998</v>
      </c>
      <c r="P43" s="219">
        <f t="shared" si="7"/>
        <v>0</v>
      </c>
      <c r="Q43" s="219"/>
      <c r="R43" s="31"/>
      <c r="S43" s="36"/>
      <c r="T43" s="118"/>
      <c r="U43" s="122"/>
      <c r="V43" s="123"/>
      <c r="W43" s="38"/>
      <c r="X43" s="33"/>
      <c r="Y43" s="33"/>
      <c r="Z43" s="33"/>
      <c r="AA43" s="33"/>
      <c r="AB43" s="39"/>
      <c r="AC43" s="38">
        <v>33013433.410000037</v>
      </c>
      <c r="AD43" s="33">
        <v>98499085.502824664</v>
      </c>
      <c r="AE43" s="33">
        <v>13257748.400000002</v>
      </c>
      <c r="AF43" s="33"/>
      <c r="AG43" s="39"/>
      <c r="AH43" s="117">
        <v>85552599.98739998</v>
      </c>
      <c r="AI43" s="38"/>
      <c r="AJ43" s="39"/>
      <c r="AK43" s="38"/>
      <c r="AL43" s="33"/>
      <c r="AM43" s="39"/>
    </row>
    <row r="44" spans="1:39" hidden="1" x14ac:dyDescent="0.25">
      <c r="A44" s="114" t="s">
        <v>173</v>
      </c>
      <c r="B44" s="31" t="s">
        <v>489</v>
      </c>
      <c r="C44" s="31" t="s">
        <v>507</v>
      </c>
      <c r="D44" s="36" t="s">
        <v>508</v>
      </c>
      <c r="E44" s="112"/>
      <c r="F44" s="32"/>
      <c r="G44" s="32"/>
      <c r="H44" s="31" t="s">
        <v>342</v>
      </c>
      <c r="I44" s="219">
        <f t="shared" si="0"/>
        <v>0</v>
      </c>
      <c r="J44" s="219">
        <f t="shared" si="1"/>
        <v>0</v>
      </c>
      <c r="K44" s="219">
        <f t="shared" si="2"/>
        <v>0</v>
      </c>
      <c r="L44" s="232">
        <f t="shared" si="3"/>
        <v>0</v>
      </c>
      <c r="M44" s="219">
        <f t="shared" si="4"/>
        <v>2721243855.1642342</v>
      </c>
      <c r="N44" s="219">
        <f t="shared" si="5"/>
        <v>0</v>
      </c>
      <c r="O44" s="219">
        <f t="shared" si="6"/>
        <v>1938906834.9962986</v>
      </c>
      <c r="P44" s="219">
        <f t="shared" si="7"/>
        <v>0</v>
      </c>
      <c r="Q44" s="219"/>
      <c r="R44" s="31"/>
      <c r="S44" s="36"/>
      <c r="T44" s="118"/>
      <c r="U44" s="122"/>
      <c r="V44" s="123"/>
      <c r="W44" s="38"/>
      <c r="X44" s="33"/>
      <c r="Y44" s="33"/>
      <c r="Z44" s="33"/>
      <c r="AA44" s="33"/>
      <c r="AB44" s="39"/>
      <c r="AC44" s="38">
        <v>713164968.75995326</v>
      </c>
      <c r="AD44" s="33">
        <v>1564978771.4342816</v>
      </c>
      <c r="AE44" s="33">
        <v>443100114.96999943</v>
      </c>
      <c r="AF44" s="33">
        <v>109918676.57000001</v>
      </c>
      <c r="AG44" s="39"/>
      <c r="AH44" s="117">
        <v>1938906834.9962986</v>
      </c>
      <c r="AI44" s="38"/>
      <c r="AJ44" s="39"/>
      <c r="AK44" s="38"/>
      <c r="AL44" s="33"/>
      <c r="AM44" s="39"/>
    </row>
    <row r="45" spans="1:39" hidden="1" x14ac:dyDescent="0.25">
      <c r="A45" s="114" t="s">
        <v>173</v>
      </c>
      <c r="B45" s="31" t="s">
        <v>489</v>
      </c>
      <c r="C45" s="31" t="s">
        <v>507</v>
      </c>
      <c r="D45" s="36" t="s">
        <v>515</v>
      </c>
      <c r="E45" s="112"/>
      <c r="F45" s="32"/>
      <c r="G45" s="32"/>
      <c r="H45" s="31" t="s">
        <v>342</v>
      </c>
      <c r="I45" s="219">
        <f t="shared" si="0"/>
        <v>0</v>
      </c>
      <c r="J45" s="219">
        <f t="shared" si="1"/>
        <v>0</v>
      </c>
      <c r="K45" s="219">
        <f t="shared" si="2"/>
        <v>0</v>
      </c>
      <c r="L45" s="232">
        <f t="shared" si="3"/>
        <v>0</v>
      </c>
      <c r="M45" s="219">
        <f t="shared" si="4"/>
        <v>261404870.19377583</v>
      </c>
      <c r="N45" s="219">
        <f t="shared" si="5"/>
        <v>0</v>
      </c>
      <c r="O45" s="219">
        <f t="shared" si="6"/>
        <v>105970379.57999998</v>
      </c>
      <c r="P45" s="219">
        <f t="shared" si="7"/>
        <v>6441328980.5292301</v>
      </c>
      <c r="Q45" s="219"/>
      <c r="R45" s="31"/>
      <c r="S45" s="36"/>
      <c r="T45" s="118"/>
      <c r="U45" s="122"/>
      <c r="V45" s="123"/>
      <c r="W45" s="38"/>
      <c r="X45" s="33"/>
      <c r="Y45" s="33"/>
      <c r="Z45" s="33"/>
      <c r="AA45" s="33"/>
      <c r="AB45" s="39"/>
      <c r="AC45" s="38">
        <v>91745114.070000693</v>
      </c>
      <c r="AD45" s="33">
        <v>169659756.12377515</v>
      </c>
      <c r="AE45" s="33"/>
      <c r="AF45" s="33">
        <v>18758194.669999998</v>
      </c>
      <c r="AG45" s="39"/>
      <c r="AH45" s="117">
        <v>105970379.57999998</v>
      </c>
      <c r="AI45" s="38"/>
      <c r="AJ45" s="39"/>
      <c r="AK45" s="38"/>
      <c r="AL45" s="33">
        <v>6441328980.5292301</v>
      </c>
      <c r="AM45" s="39"/>
    </row>
    <row r="46" spans="1:39" hidden="1" x14ac:dyDescent="0.25">
      <c r="A46" s="114" t="s">
        <v>146</v>
      </c>
      <c r="B46" s="31" t="s">
        <v>489</v>
      </c>
      <c r="C46" s="31" t="s">
        <v>509</v>
      </c>
      <c r="D46" s="36" t="s">
        <v>511</v>
      </c>
      <c r="E46" s="112"/>
      <c r="F46" s="32"/>
      <c r="G46" s="32"/>
      <c r="H46" s="31" t="s">
        <v>342</v>
      </c>
      <c r="I46" s="219">
        <f t="shared" si="0"/>
        <v>0</v>
      </c>
      <c r="J46" s="219">
        <f t="shared" si="1"/>
        <v>0</v>
      </c>
      <c r="K46" s="219">
        <f t="shared" si="2"/>
        <v>0</v>
      </c>
      <c r="L46" s="232">
        <f t="shared" si="3"/>
        <v>0</v>
      </c>
      <c r="M46" s="219">
        <f t="shared" si="4"/>
        <v>407168168.51999384</v>
      </c>
      <c r="N46" s="219">
        <f t="shared" si="5"/>
        <v>0</v>
      </c>
      <c r="O46" s="219">
        <f t="shared" si="6"/>
        <v>242263446.25079992</v>
      </c>
      <c r="P46" s="219">
        <f t="shared" si="7"/>
        <v>0</v>
      </c>
      <c r="Q46" s="219"/>
      <c r="R46" s="31"/>
      <c r="S46" s="36"/>
      <c r="T46" s="118"/>
      <c r="U46" s="122"/>
      <c r="V46" s="123"/>
      <c r="W46" s="38"/>
      <c r="X46" s="33"/>
      <c r="Y46" s="33"/>
      <c r="Z46" s="33"/>
      <c r="AA46" s="33"/>
      <c r="AB46" s="39"/>
      <c r="AC46" s="38">
        <v>407168168.51999384</v>
      </c>
      <c r="AD46" s="33"/>
      <c r="AE46" s="33"/>
      <c r="AF46" s="33"/>
      <c r="AG46" s="39"/>
      <c r="AH46" s="117">
        <v>242263446.25079992</v>
      </c>
      <c r="AI46" s="38"/>
      <c r="AJ46" s="39"/>
      <c r="AK46" s="38"/>
      <c r="AL46" s="33"/>
      <c r="AM46" s="39"/>
    </row>
    <row r="47" spans="1:39" hidden="1" x14ac:dyDescent="0.25">
      <c r="A47" s="114" t="s">
        <v>150</v>
      </c>
      <c r="B47" s="31" t="s">
        <v>489</v>
      </c>
      <c r="C47" s="31" t="s">
        <v>509</v>
      </c>
      <c r="D47" s="36" t="s">
        <v>511</v>
      </c>
      <c r="E47" s="112"/>
      <c r="F47" s="32"/>
      <c r="G47" s="32"/>
      <c r="H47" s="31" t="s">
        <v>342</v>
      </c>
      <c r="I47" s="219">
        <f t="shared" si="0"/>
        <v>0</v>
      </c>
      <c r="J47" s="219">
        <f t="shared" si="1"/>
        <v>0</v>
      </c>
      <c r="K47" s="219">
        <f t="shared" si="2"/>
        <v>0</v>
      </c>
      <c r="L47" s="232">
        <f t="shared" si="3"/>
        <v>0</v>
      </c>
      <c r="M47" s="219">
        <f t="shared" si="4"/>
        <v>482326588.95998514</v>
      </c>
      <c r="N47" s="219">
        <f t="shared" si="5"/>
        <v>0</v>
      </c>
      <c r="O47" s="219">
        <f t="shared" si="6"/>
        <v>362534982.53960001</v>
      </c>
      <c r="P47" s="219">
        <f t="shared" si="7"/>
        <v>0</v>
      </c>
      <c r="Q47" s="219"/>
      <c r="R47" s="31"/>
      <c r="S47" s="36"/>
      <c r="T47" s="118"/>
      <c r="U47" s="122"/>
      <c r="V47" s="123"/>
      <c r="W47" s="38"/>
      <c r="X47" s="33"/>
      <c r="Y47" s="33"/>
      <c r="Z47" s="33"/>
      <c r="AA47" s="33"/>
      <c r="AB47" s="39"/>
      <c r="AC47" s="38">
        <v>482326588.95998514</v>
      </c>
      <c r="AD47" s="33"/>
      <c r="AE47" s="33"/>
      <c r="AF47" s="33"/>
      <c r="AG47" s="39"/>
      <c r="AH47" s="117">
        <v>362534982.53960001</v>
      </c>
      <c r="AI47" s="38"/>
      <c r="AJ47" s="39"/>
      <c r="AK47" s="38"/>
      <c r="AL47" s="33"/>
      <c r="AM47" s="39"/>
    </row>
    <row r="48" spans="1:39" hidden="1" x14ac:dyDescent="0.25">
      <c r="A48" s="114" t="s">
        <v>145</v>
      </c>
      <c r="B48" s="31" t="s">
        <v>489</v>
      </c>
      <c r="C48" s="31" t="s">
        <v>509</v>
      </c>
      <c r="D48" s="36" t="s">
        <v>511</v>
      </c>
      <c r="E48" s="112"/>
      <c r="F48" s="32"/>
      <c r="G48" s="32"/>
      <c r="H48" s="31" t="s">
        <v>342</v>
      </c>
      <c r="I48" s="219">
        <f t="shared" si="0"/>
        <v>0</v>
      </c>
      <c r="J48" s="219">
        <f t="shared" si="1"/>
        <v>0</v>
      </c>
      <c r="K48" s="219">
        <f t="shared" si="2"/>
        <v>0</v>
      </c>
      <c r="L48" s="232">
        <f t="shared" si="3"/>
        <v>0</v>
      </c>
      <c r="M48" s="219">
        <f t="shared" si="4"/>
        <v>274661986.03999752</v>
      </c>
      <c r="N48" s="219">
        <f t="shared" si="5"/>
        <v>0</v>
      </c>
      <c r="O48" s="219">
        <f t="shared" si="6"/>
        <v>181023400.17449993</v>
      </c>
      <c r="P48" s="219">
        <f t="shared" si="7"/>
        <v>0</v>
      </c>
      <c r="Q48" s="219"/>
      <c r="R48" s="31"/>
      <c r="S48" s="36"/>
      <c r="T48" s="118"/>
      <c r="U48" s="122"/>
      <c r="V48" s="123"/>
      <c r="W48" s="38"/>
      <c r="X48" s="33"/>
      <c r="Y48" s="33"/>
      <c r="Z48" s="33"/>
      <c r="AA48" s="33"/>
      <c r="AB48" s="39"/>
      <c r="AC48" s="38">
        <v>274661986.03999752</v>
      </c>
      <c r="AD48" s="33"/>
      <c r="AE48" s="33"/>
      <c r="AF48" s="33"/>
      <c r="AG48" s="39"/>
      <c r="AH48" s="117">
        <v>181023400.17449993</v>
      </c>
      <c r="AI48" s="38"/>
      <c r="AJ48" s="39"/>
      <c r="AK48" s="38"/>
      <c r="AL48" s="33"/>
      <c r="AM48" s="39"/>
    </row>
    <row r="49" spans="1:39" hidden="1" x14ac:dyDescent="0.25">
      <c r="A49" s="114" t="s">
        <v>152</v>
      </c>
      <c r="B49" s="31" t="s">
        <v>489</v>
      </c>
      <c r="C49" s="31" t="s">
        <v>509</v>
      </c>
      <c r="D49" s="36" t="s">
        <v>516</v>
      </c>
      <c r="E49" s="112"/>
      <c r="F49" s="32"/>
      <c r="G49" s="32"/>
      <c r="H49" s="31" t="s">
        <v>342</v>
      </c>
      <c r="I49" s="219">
        <f t="shared" si="0"/>
        <v>0</v>
      </c>
      <c r="J49" s="219">
        <f t="shared" si="1"/>
        <v>0</v>
      </c>
      <c r="K49" s="219">
        <f t="shared" si="2"/>
        <v>0</v>
      </c>
      <c r="L49" s="232">
        <f t="shared" si="3"/>
        <v>0</v>
      </c>
      <c r="M49" s="219">
        <f t="shared" si="4"/>
        <v>777585366.91837251</v>
      </c>
      <c r="N49" s="219">
        <f t="shared" si="5"/>
        <v>0</v>
      </c>
      <c r="O49" s="219">
        <f t="shared" si="6"/>
        <v>381960960.90099984</v>
      </c>
      <c r="P49" s="219">
        <f t="shared" si="7"/>
        <v>333354165.76000047</v>
      </c>
      <c r="Q49" s="219"/>
      <c r="R49" s="31"/>
      <c r="S49" s="36"/>
      <c r="T49" s="118"/>
      <c r="U49" s="122"/>
      <c r="V49" s="123"/>
      <c r="W49" s="38"/>
      <c r="X49" s="33"/>
      <c r="Y49" s="33"/>
      <c r="Z49" s="33"/>
      <c r="AA49" s="33"/>
      <c r="AB49" s="39"/>
      <c r="AC49" s="38">
        <v>251392591.79999802</v>
      </c>
      <c r="AD49" s="33">
        <v>458922888.58837456</v>
      </c>
      <c r="AE49" s="33">
        <v>67269886.530000016</v>
      </c>
      <c r="AF49" s="33">
        <v>17956965.07</v>
      </c>
      <c r="AG49" s="39"/>
      <c r="AH49" s="117">
        <v>381960960.90099984</v>
      </c>
      <c r="AI49" s="38"/>
      <c r="AJ49" s="39"/>
      <c r="AK49" s="38"/>
      <c r="AL49" s="33"/>
      <c r="AM49" s="39">
        <v>333354165.76000047</v>
      </c>
    </row>
    <row r="50" spans="1:39" hidden="1" x14ac:dyDescent="0.25">
      <c r="A50" s="114" t="s">
        <v>156</v>
      </c>
      <c r="B50" s="31" t="s">
        <v>489</v>
      </c>
      <c r="C50" s="31" t="s">
        <v>507</v>
      </c>
      <c r="D50" s="36" t="s">
        <v>515</v>
      </c>
      <c r="E50" s="112"/>
      <c r="F50" s="32"/>
      <c r="G50" s="32"/>
      <c r="H50" s="31" t="s">
        <v>342</v>
      </c>
      <c r="I50" s="219">
        <f t="shared" si="0"/>
        <v>0</v>
      </c>
      <c r="J50" s="219">
        <f t="shared" si="1"/>
        <v>0</v>
      </c>
      <c r="K50" s="219">
        <f t="shared" si="2"/>
        <v>0</v>
      </c>
      <c r="L50" s="232">
        <f t="shared" si="3"/>
        <v>0</v>
      </c>
      <c r="M50" s="219">
        <f t="shared" si="4"/>
        <v>4631433153.9692402</v>
      </c>
      <c r="N50" s="219">
        <f t="shared" si="5"/>
        <v>0</v>
      </c>
      <c r="O50" s="219">
        <f t="shared" si="6"/>
        <v>2969791621.8204007</v>
      </c>
      <c r="P50" s="219">
        <f t="shared" si="7"/>
        <v>0</v>
      </c>
      <c r="Q50" s="219"/>
      <c r="R50" s="31"/>
      <c r="S50" s="36"/>
      <c r="T50" s="118"/>
      <c r="U50" s="122"/>
      <c r="V50" s="123"/>
      <c r="W50" s="38"/>
      <c r="X50" s="33"/>
      <c r="Y50" s="33"/>
      <c r="Z50" s="33"/>
      <c r="AA50" s="33"/>
      <c r="AB50" s="39"/>
      <c r="AC50" s="38">
        <v>1375233024.5099015</v>
      </c>
      <c r="AD50" s="33">
        <v>1922227780.3893392</v>
      </c>
      <c r="AE50" s="33">
        <v>1333972349.0699999</v>
      </c>
      <c r="AF50" s="33">
        <v>315942050.65999991</v>
      </c>
      <c r="AG50" s="39"/>
      <c r="AH50" s="117">
        <v>2969791621.8204007</v>
      </c>
      <c r="AI50" s="38"/>
      <c r="AJ50" s="39"/>
      <c r="AK50" s="38"/>
      <c r="AL50" s="33"/>
      <c r="AM50" s="39"/>
    </row>
    <row r="51" spans="1:39" hidden="1" x14ac:dyDescent="0.25">
      <c r="A51" s="114" t="s">
        <v>154</v>
      </c>
      <c r="B51" s="31" t="s">
        <v>489</v>
      </c>
      <c r="C51" s="31" t="s">
        <v>509</v>
      </c>
      <c r="D51" s="36" t="s">
        <v>516</v>
      </c>
      <c r="E51" s="112"/>
      <c r="F51" s="32"/>
      <c r="G51" s="32"/>
      <c r="H51" s="31" t="s">
        <v>342</v>
      </c>
      <c r="I51" s="219">
        <f t="shared" si="0"/>
        <v>0</v>
      </c>
      <c r="J51" s="219">
        <f t="shared" si="1"/>
        <v>0</v>
      </c>
      <c r="K51" s="219">
        <f t="shared" si="2"/>
        <v>0</v>
      </c>
      <c r="L51" s="232">
        <f t="shared" si="3"/>
        <v>0</v>
      </c>
      <c r="M51" s="219">
        <f t="shared" si="4"/>
        <v>1690562926.0115399</v>
      </c>
      <c r="N51" s="219">
        <f t="shared" si="5"/>
        <v>0</v>
      </c>
      <c r="O51" s="219">
        <f t="shared" si="6"/>
        <v>1050024310.0880005</v>
      </c>
      <c r="P51" s="219">
        <f t="shared" si="7"/>
        <v>0</v>
      </c>
      <c r="Q51" s="219"/>
      <c r="R51" s="31"/>
      <c r="S51" s="36"/>
      <c r="T51" s="118"/>
      <c r="U51" s="122"/>
      <c r="V51" s="123"/>
      <c r="W51" s="38"/>
      <c r="X51" s="33"/>
      <c r="Y51" s="33"/>
      <c r="Z51" s="33"/>
      <c r="AA51" s="33"/>
      <c r="AB51" s="39"/>
      <c r="AC51" s="38">
        <v>577918799.36996722</v>
      </c>
      <c r="AD51" s="33">
        <v>926072520.85157287</v>
      </c>
      <c r="AE51" s="33">
        <v>186571605.79000005</v>
      </c>
      <c r="AF51" s="33">
        <v>139341345.23000014</v>
      </c>
      <c r="AG51" s="39"/>
      <c r="AH51" s="117">
        <v>1050024310.0880005</v>
      </c>
      <c r="AI51" s="38"/>
      <c r="AJ51" s="39"/>
      <c r="AK51" s="38"/>
      <c r="AL51" s="33"/>
      <c r="AM51" s="39"/>
    </row>
    <row r="52" spans="1:39" hidden="1" x14ac:dyDescent="0.25">
      <c r="A52" s="114" t="s">
        <v>517</v>
      </c>
      <c r="B52" s="31" t="s">
        <v>489</v>
      </c>
      <c r="C52" s="31" t="s">
        <v>507</v>
      </c>
      <c r="D52" s="36" t="s">
        <v>513</v>
      </c>
      <c r="E52" s="112"/>
      <c r="F52" s="32"/>
      <c r="G52" s="32"/>
      <c r="H52" s="31" t="s">
        <v>342</v>
      </c>
      <c r="I52" s="219">
        <f t="shared" si="0"/>
        <v>0</v>
      </c>
      <c r="J52" s="219">
        <f t="shared" si="1"/>
        <v>0</v>
      </c>
      <c r="K52" s="219">
        <f t="shared" si="2"/>
        <v>0</v>
      </c>
      <c r="L52" s="232">
        <f t="shared" si="3"/>
        <v>0</v>
      </c>
      <c r="M52" s="219">
        <f t="shared" si="4"/>
        <v>300363427.39183956</v>
      </c>
      <c r="N52" s="219">
        <f t="shared" si="5"/>
        <v>0</v>
      </c>
      <c r="O52" s="219">
        <f t="shared" si="6"/>
        <v>195799301.25860009</v>
      </c>
      <c r="P52" s="219">
        <f t="shared" si="7"/>
        <v>0</v>
      </c>
      <c r="Q52" s="219"/>
      <c r="R52" s="31"/>
      <c r="S52" s="36"/>
      <c r="T52" s="118"/>
      <c r="U52" s="122"/>
      <c r="V52" s="123"/>
      <c r="W52" s="38"/>
      <c r="X52" s="33"/>
      <c r="Y52" s="33"/>
      <c r="Z52" s="33"/>
      <c r="AA52" s="33"/>
      <c r="AB52" s="39"/>
      <c r="AC52" s="38">
        <v>53763378.580000177</v>
      </c>
      <c r="AD52" s="33">
        <v>140822409.14183936</v>
      </c>
      <c r="AE52" s="33">
        <v>105777639.67</v>
      </c>
      <c r="AF52" s="33"/>
      <c r="AG52" s="39"/>
      <c r="AH52" s="117">
        <v>195799301.25860009</v>
      </c>
      <c r="AI52" s="38"/>
      <c r="AJ52" s="39"/>
      <c r="AK52" s="38"/>
      <c r="AL52" s="33"/>
      <c r="AM52" s="39"/>
    </row>
    <row r="53" spans="1:39" hidden="1" x14ac:dyDescent="0.25">
      <c r="A53" s="114" t="s">
        <v>160</v>
      </c>
      <c r="B53" s="31" t="s">
        <v>489</v>
      </c>
      <c r="C53" s="31" t="s">
        <v>507</v>
      </c>
      <c r="D53" s="36" t="s">
        <v>513</v>
      </c>
      <c r="E53" s="112"/>
      <c r="F53" s="32"/>
      <c r="G53" s="32"/>
      <c r="H53" s="31" t="s">
        <v>342</v>
      </c>
      <c r="I53" s="219">
        <f t="shared" si="0"/>
        <v>0</v>
      </c>
      <c r="J53" s="219">
        <f t="shared" si="1"/>
        <v>0</v>
      </c>
      <c r="K53" s="219">
        <f t="shared" si="2"/>
        <v>0</v>
      </c>
      <c r="L53" s="232">
        <f t="shared" si="3"/>
        <v>0</v>
      </c>
      <c r="M53" s="219">
        <f t="shared" si="4"/>
        <v>1748815591.954936</v>
      </c>
      <c r="N53" s="219">
        <f t="shared" si="5"/>
        <v>0</v>
      </c>
      <c r="O53" s="219">
        <f t="shared" si="6"/>
        <v>1113203080.3724992</v>
      </c>
      <c r="P53" s="219">
        <f t="shared" si="7"/>
        <v>0</v>
      </c>
      <c r="Q53" s="219"/>
      <c r="R53" s="31"/>
      <c r="S53" s="36"/>
      <c r="T53" s="118"/>
      <c r="U53" s="122"/>
      <c r="V53" s="123"/>
      <c r="W53" s="38"/>
      <c r="X53" s="33"/>
      <c r="Y53" s="33"/>
      <c r="Z53" s="33"/>
      <c r="AA53" s="33"/>
      <c r="AB53" s="39"/>
      <c r="AC53" s="38">
        <v>546116475.02997375</v>
      </c>
      <c r="AD53" s="33">
        <v>857314508.23496246</v>
      </c>
      <c r="AE53" s="33">
        <v>345384608.68999982</v>
      </c>
      <c r="AF53" s="33">
        <v>38601838.269999988</v>
      </c>
      <c r="AG53" s="39"/>
      <c r="AH53" s="117">
        <v>1113203080.3724992</v>
      </c>
      <c r="AI53" s="38"/>
      <c r="AJ53" s="39"/>
      <c r="AK53" s="38"/>
      <c r="AL53" s="33"/>
      <c r="AM53" s="39"/>
    </row>
    <row r="54" spans="1:39" hidden="1" x14ac:dyDescent="0.25">
      <c r="A54" s="114" t="s">
        <v>151</v>
      </c>
      <c r="B54" s="31" t="s">
        <v>489</v>
      </c>
      <c r="C54" s="31" t="s">
        <v>509</v>
      </c>
      <c r="D54" s="36" t="s">
        <v>511</v>
      </c>
      <c r="E54" s="112"/>
      <c r="F54" s="32"/>
      <c r="G54" s="32"/>
      <c r="H54" s="31" t="s">
        <v>342</v>
      </c>
      <c r="I54" s="219">
        <f t="shared" si="0"/>
        <v>0</v>
      </c>
      <c r="J54" s="219">
        <f t="shared" si="1"/>
        <v>0</v>
      </c>
      <c r="K54" s="219">
        <f t="shared" si="2"/>
        <v>0</v>
      </c>
      <c r="L54" s="232">
        <f t="shared" si="3"/>
        <v>0</v>
      </c>
      <c r="M54" s="219">
        <f t="shared" si="4"/>
        <v>320497709.13999486</v>
      </c>
      <c r="N54" s="219">
        <f t="shared" si="5"/>
        <v>0</v>
      </c>
      <c r="O54" s="219">
        <f t="shared" si="6"/>
        <v>193982358.73899996</v>
      </c>
      <c r="P54" s="219">
        <f t="shared" si="7"/>
        <v>0</v>
      </c>
      <c r="Q54" s="219"/>
      <c r="R54" s="31"/>
      <c r="S54" s="36"/>
      <c r="T54" s="118"/>
      <c r="U54" s="122"/>
      <c r="V54" s="123"/>
      <c r="W54" s="38"/>
      <c r="X54" s="33"/>
      <c r="Y54" s="33"/>
      <c r="Z54" s="33"/>
      <c r="AA54" s="33"/>
      <c r="AB54" s="39"/>
      <c r="AC54" s="38">
        <v>320497709.13999486</v>
      </c>
      <c r="AD54" s="33"/>
      <c r="AE54" s="33"/>
      <c r="AF54" s="33"/>
      <c r="AG54" s="39"/>
      <c r="AH54" s="117">
        <v>193982358.73899996</v>
      </c>
      <c r="AI54" s="38"/>
      <c r="AJ54" s="39"/>
      <c r="AK54" s="38"/>
      <c r="AL54" s="33"/>
      <c r="AM54" s="39"/>
    </row>
    <row r="55" spans="1:39" hidden="1" x14ac:dyDescent="0.25">
      <c r="A55" s="114" t="s">
        <v>341</v>
      </c>
      <c r="B55" s="31" t="s">
        <v>489</v>
      </c>
      <c r="C55" s="31" t="s">
        <v>509</v>
      </c>
      <c r="D55" s="36" t="s">
        <v>518</v>
      </c>
      <c r="E55" s="112"/>
      <c r="F55" s="32"/>
      <c r="G55" s="32"/>
      <c r="H55" s="31" t="s">
        <v>342</v>
      </c>
      <c r="I55" s="219">
        <f t="shared" si="0"/>
        <v>0</v>
      </c>
      <c r="J55" s="219">
        <f t="shared" si="1"/>
        <v>0</v>
      </c>
      <c r="K55" s="219">
        <f t="shared" si="2"/>
        <v>0</v>
      </c>
      <c r="L55" s="232">
        <f t="shared" si="3"/>
        <v>0</v>
      </c>
      <c r="M55" s="219">
        <f t="shared" si="4"/>
        <v>686433526.75362909</v>
      </c>
      <c r="N55" s="219">
        <f t="shared" si="5"/>
        <v>0</v>
      </c>
      <c r="O55" s="219">
        <f t="shared" si="6"/>
        <v>383589624.24380004</v>
      </c>
      <c r="P55" s="219">
        <f t="shared" si="7"/>
        <v>1264255297.0799983</v>
      </c>
      <c r="Q55" s="219"/>
      <c r="R55" s="31"/>
      <c r="S55" s="36"/>
      <c r="T55" s="118"/>
      <c r="U55" s="122"/>
      <c r="V55" s="123"/>
      <c r="W55" s="38"/>
      <c r="X55" s="33"/>
      <c r="Y55" s="33"/>
      <c r="Z55" s="33"/>
      <c r="AA55" s="33"/>
      <c r="AB55" s="39"/>
      <c r="AC55" s="38"/>
      <c r="AD55" s="33">
        <v>608093059.37362909</v>
      </c>
      <c r="AE55" s="33">
        <v>78340467.379999995</v>
      </c>
      <c r="AF55" s="33">
        <v>26550482.920000002</v>
      </c>
      <c r="AG55" s="39"/>
      <c r="AH55" s="117">
        <v>383589624.24380004</v>
      </c>
      <c r="AI55" s="38"/>
      <c r="AJ55" s="39"/>
      <c r="AK55" s="38"/>
      <c r="AL55" s="33"/>
      <c r="AM55" s="39">
        <v>1264255297.0799983</v>
      </c>
    </row>
    <row r="56" spans="1:39" hidden="1" x14ac:dyDescent="0.25">
      <c r="A56" s="114" t="s">
        <v>141</v>
      </c>
      <c r="B56" s="31" t="s">
        <v>489</v>
      </c>
      <c r="C56" s="31" t="s">
        <v>509</v>
      </c>
      <c r="D56" s="36" t="s">
        <v>518</v>
      </c>
      <c r="E56" s="112"/>
      <c r="F56" s="32"/>
      <c r="G56" s="32"/>
      <c r="H56" s="31" t="s">
        <v>342</v>
      </c>
      <c r="I56" s="219">
        <f t="shared" si="0"/>
        <v>0</v>
      </c>
      <c r="J56" s="219">
        <f t="shared" si="1"/>
        <v>0</v>
      </c>
      <c r="K56" s="219">
        <f t="shared" si="2"/>
        <v>0</v>
      </c>
      <c r="L56" s="232">
        <f t="shared" si="3"/>
        <v>0</v>
      </c>
      <c r="M56" s="219">
        <f t="shared" si="4"/>
        <v>588019498.70052648</v>
      </c>
      <c r="N56" s="219">
        <f t="shared" si="5"/>
        <v>0</v>
      </c>
      <c r="O56" s="219">
        <f t="shared" si="6"/>
        <v>319467848.86250019</v>
      </c>
      <c r="P56" s="219">
        <f t="shared" si="7"/>
        <v>0</v>
      </c>
      <c r="Q56" s="219"/>
      <c r="R56" s="31"/>
      <c r="S56" s="36"/>
      <c r="T56" s="118"/>
      <c r="U56" s="122"/>
      <c r="V56" s="123"/>
      <c r="W56" s="38"/>
      <c r="X56" s="33"/>
      <c r="Y56" s="33"/>
      <c r="Z56" s="33"/>
      <c r="AA56" s="33"/>
      <c r="AB56" s="39"/>
      <c r="AC56" s="38"/>
      <c r="AD56" s="33">
        <v>463234155.12052619</v>
      </c>
      <c r="AE56" s="33">
        <v>124785343.58000028</v>
      </c>
      <c r="AF56" s="33"/>
      <c r="AG56" s="39"/>
      <c r="AH56" s="117">
        <v>319467848.86250019</v>
      </c>
      <c r="AI56" s="38"/>
      <c r="AJ56" s="39"/>
      <c r="AK56" s="38"/>
      <c r="AL56" s="33"/>
      <c r="AM56" s="39"/>
    </row>
    <row r="57" spans="1:39" hidden="1" x14ac:dyDescent="0.25">
      <c r="A57" s="114" t="s">
        <v>148</v>
      </c>
      <c r="B57" s="31" t="s">
        <v>489</v>
      </c>
      <c r="C57" s="31" t="s">
        <v>509</v>
      </c>
      <c r="D57" s="36" t="s">
        <v>518</v>
      </c>
      <c r="E57" s="112"/>
      <c r="F57" s="32"/>
      <c r="G57" s="32"/>
      <c r="H57" s="31" t="s">
        <v>342</v>
      </c>
      <c r="I57" s="219">
        <f t="shared" si="0"/>
        <v>0</v>
      </c>
      <c r="J57" s="219">
        <f t="shared" si="1"/>
        <v>0</v>
      </c>
      <c r="K57" s="219">
        <f t="shared" si="2"/>
        <v>0</v>
      </c>
      <c r="L57" s="232">
        <f t="shared" si="3"/>
        <v>0</v>
      </c>
      <c r="M57" s="219">
        <f t="shared" si="4"/>
        <v>949621290.1921854</v>
      </c>
      <c r="N57" s="219">
        <f t="shared" si="5"/>
        <v>0</v>
      </c>
      <c r="O57" s="219">
        <f t="shared" si="6"/>
        <v>577722381.09299958</v>
      </c>
      <c r="P57" s="219">
        <f t="shared" si="7"/>
        <v>0</v>
      </c>
      <c r="Q57" s="219"/>
      <c r="R57" s="31"/>
      <c r="S57" s="36"/>
      <c r="T57" s="118"/>
      <c r="U57" s="122"/>
      <c r="V57" s="123"/>
      <c r="W57" s="38"/>
      <c r="X57" s="33"/>
      <c r="Y57" s="33"/>
      <c r="Z57" s="33"/>
      <c r="AA57" s="33"/>
      <c r="AB57" s="39"/>
      <c r="AC57" s="38"/>
      <c r="AD57" s="33">
        <v>745566909.85218537</v>
      </c>
      <c r="AE57" s="33">
        <v>204054380.34000009</v>
      </c>
      <c r="AF57" s="33">
        <v>127970840.33999988</v>
      </c>
      <c r="AG57" s="39"/>
      <c r="AH57" s="117">
        <v>577722381.09299958</v>
      </c>
      <c r="AI57" s="38"/>
      <c r="AJ57" s="39"/>
      <c r="AK57" s="38"/>
      <c r="AL57" s="33"/>
      <c r="AM57" s="39"/>
    </row>
    <row r="58" spans="1:39" hidden="1" x14ac:dyDescent="0.25">
      <c r="A58" s="114" t="s">
        <v>173</v>
      </c>
      <c r="B58" s="31" t="s">
        <v>489</v>
      </c>
      <c r="C58" s="31" t="s">
        <v>509</v>
      </c>
      <c r="D58" s="36" t="s">
        <v>510</v>
      </c>
      <c r="E58" s="112"/>
      <c r="F58" s="32"/>
      <c r="G58" s="32"/>
      <c r="H58" s="31" t="s">
        <v>342</v>
      </c>
      <c r="I58" s="219">
        <f t="shared" si="0"/>
        <v>0</v>
      </c>
      <c r="J58" s="219">
        <f t="shared" si="1"/>
        <v>0</v>
      </c>
      <c r="K58" s="219">
        <f t="shared" si="2"/>
        <v>0</v>
      </c>
      <c r="L58" s="232">
        <f t="shared" si="3"/>
        <v>0</v>
      </c>
      <c r="M58" s="219">
        <f t="shared" si="4"/>
        <v>1494673.280976</v>
      </c>
      <c r="N58" s="219">
        <f t="shared" si="5"/>
        <v>0</v>
      </c>
      <c r="O58" s="219">
        <f t="shared" si="6"/>
        <v>0</v>
      </c>
      <c r="P58" s="219">
        <f t="shared" si="7"/>
        <v>0</v>
      </c>
      <c r="Q58" s="219"/>
      <c r="R58" s="31"/>
      <c r="S58" s="36"/>
      <c r="T58" s="118"/>
      <c r="U58" s="122"/>
      <c r="V58" s="123"/>
      <c r="W58" s="38"/>
      <c r="X58" s="33"/>
      <c r="Y58" s="33"/>
      <c r="Z58" s="33"/>
      <c r="AA58" s="33"/>
      <c r="AB58" s="39"/>
      <c r="AC58" s="38"/>
      <c r="AD58" s="33">
        <v>1494673.280976</v>
      </c>
      <c r="AE58" s="33"/>
      <c r="AF58" s="33"/>
      <c r="AG58" s="39"/>
      <c r="AH58" s="117"/>
      <c r="AI58" s="38"/>
      <c r="AJ58" s="39"/>
      <c r="AK58" s="38"/>
      <c r="AL58" s="33"/>
      <c r="AM58" s="39"/>
    </row>
    <row r="59" spans="1:39" hidden="1" x14ac:dyDescent="0.25">
      <c r="A59" s="114" t="s">
        <v>146</v>
      </c>
      <c r="B59" s="31" t="s">
        <v>489</v>
      </c>
      <c r="C59" s="31" t="s">
        <v>509</v>
      </c>
      <c r="D59" s="36" t="s">
        <v>518</v>
      </c>
      <c r="E59" s="112"/>
      <c r="F59" s="32"/>
      <c r="G59" s="32"/>
      <c r="H59" s="31" t="s">
        <v>342</v>
      </c>
      <c r="I59" s="219">
        <f t="shared" si="0"/>
        <v>0</v>
      </c>
      <c r="J59" s="219">
        <f t="shared" si="1"/>
        <v>0</v>
      </c>
      <c r="K59" s="219">
        <f t="shared" si="2"/>
        <v>0</v>
      </c>
      <c r="L59" s="232">
        <f t="shared" si="3"/>
        <v>0</v>
      </c>
      <c r="M59" s="219">
        <f t="shared" si="4"/>
        <v>439515234.61708415</v>
      </c>
      <c r="N59" s="219">
        <f t="shared" si="5"/>
        <v>0</v>
      </c>
      <c r="O59" s="219">
        <f t="shared" si="6"/>
        <v>244595402.85570005</v>
      </c>
      <c r="P59" s="219">
        <f t="shared" si="7"/>
        <v>0</v>
      </c>
      <c r="Q59" s="219"/>
      <c r="R59" s="31"/>
      <c r="S59" s="36"/>
      <c r="T59" s="118"/>
      <c r="U59" s="122"/>
      <c r="V59" s="123"/>
      <c r="W59" s="38"/>
      <c r="X59" s="33"/>
      <c r="Y59" s="33"/>
      <c r="Z59" s="33"/>
      <c r="AA59" s="33"/>
      <c r="AB59" s="39"/>
      <c r="AC59" s="38"/>
      <c r="AD59" s="33">
        <v>370989922.18708414</v>
      </c>
      <c r="AE59" s="33">
        <v>68525312.430000022</v>
      </c>
      <c r="AF59" s="33">
        <v>35561982.350000009</v>
      </c>
      <c r="AG59" s="39"/>
      <c r="AH59" s="117">
        <v>244595402.85570005</v>
      </c>
      <c r="AI59" s="38"/>
      <c r="AJ59" s="39"/>
      <c r="AK59" s="38"/>
      <c r="AL59" s="33"/>
      <c r="AM59" s="39"/>
    </row>
    <row r="60" spans="1:39" hidden="1" x14ac:dyDescent="0.25">
      <c r="A60" s="114" t="s">
        <v>150</v>
      </c>
      <c r="B60" s="31" t="s">
        <v>489</v>
      </c>
      <c r="C60" s="31" t="s">
        <v>509</v>
      </c>
      <c r="D60" s="36" t="s">
        <v>518</v>
      </c>
      <c r="E60" s="112"/>
      <c r="F60" s="32"/>
      <c r="G60" s="32"/>
      <c r="H60" s="31" t="s">
        <v>342</v>
      </c>
      <c r="I60" s="219">
        <f t="shared" si="0"/>
        <v>0</v>
      </c>
      <c r="J60" s="219">
        <f t="shared" si="1"/>
        <v>0</v>
      </c>
      <c r="K60" s="219">
        <f t="shared" si="2"/>
        <v>0</v>
      </c>
      <c r="L60" s="232">
        <f t="shared" si="3"/>
        <v>0</v>
      </c>
      <c r="M60" s="219">
        <f t="shared" si="4"/>
        <v>384967335.97932667</v>
      </c>
      <c r="N60" s="219">
        <f t="shared" si="5"/>
        <v>0</v>
      </c>
      <c r="O60" s="219">
        <f t="shared" si="6"/>
        <v>238600337.93050003</v>
      </c>
      <c r="P60" s="219">
        <f t="shared" si="7"/>
        <v>0</v>
      </c>
      <c r="Q60" s="219"/>
      <c r="R60" s="31"/>
      <c r="S60" s="36"/>
      <c r="T60" s="118"/>
      <c r="U60" s="122"/>
      <c r="V60" s="123"/>
      <c r="W60" s="38"/>
      <c r="X60" s="33"/>
      <c r="Y60" s="33"/>
      <c r="Z60" s="33"/>
      <c r="AA60" s="33"/>
      <c r="AB60" s="39"/>
      <c r="AC60" s="38"/>
      <c r="AD60" s="33">
        <v>304122504.64932662</v>
      </c>
      <c r="AE60" s="33">
        <v>80844831.330000043</v>
      </c>
      <c r="AF60" s="33">
        <v>56410368.599999987</v>
      </c>
      <c r="AG60" s="39"/>
      <c r="AH60" s="117">
        <v>238600337.93050003</v>
      </c>
      <c r="AI60" s="38"/>
      <c r="AJ60" s="39"/>
      <c r="AK60" s="38"/>
      <c r="AL60" s="33"/>
      <c r="AM60" s="39"/>
    </row>
    <row r="61" spans="1:39" hidden="1" x14ac:dyDescent="0.25">
      <c r="A61" s="114" t="s">
        <v>145</v>
      </c>
      <c r="B61" s="31" t="s">
        <v>489</v>
      </c>
      <c r="C61" s="31" t="s">
        <v>509</v>
      </c>
      <c r="D61" s="36" t="s">
        <v>518</v>
      </c>
      <c r="E61" s="112"/>
      <c r="F61" s="32"/>
      <c r="G61" s="32"/>
      <c r="H61" s="31" t="s">
        <v>342</v>
      </c>
      <c r="I61" s="219">
        <f t="shared" si="0"/>
        <v>0</v>
      </c>
      <c r="J61" s="219">
        <f t="shared" si="1"/>
        <v>0</v>
      </c>
      <c r="K61" s="219">
        <f t="shared" si="2"/>
        <v>0</v>
      </c>
      <c r="L61" s="232">
        <f t="shared" si="3"/>
        <v>0</v>
      </c>
      <c r="M61" s="219">
        <f t="shared" si="4"/>
        <v>332584151.66513157</v>
      </c>
      <c r="N61" s="219">
        <f t="shared" si="5"/>
        <v>0</v>
      </c>
      <c r="O61" s="219">
        <f t="shared" si="6"/>
        <v>175410934.04640001</v>
      </c>
      <c r="P61" s="219">
        <f t="shared" si="7"/>
        <v>0</v>
      </c>
      <c r="Q61" s="219"/>
      <c r="R61" s="31"/>
      <c r="S61" s="36"/>
      <c r="T61" s="118"/>
      <c r="U61" s="122"/>
      <c r="V61" s="123"/>
      <c r="W61" s="38"/>
      <c r="X61" s="33"/>
      <c r="Y61" s="33"/>
      <c r="Z61" s="33"/>
      <c r="AA61" s="33"/>
      <c r="AB61" s="39"/>
      <c r="AC61" s="38"/>
      <c r="AD61" s="33">
        <v>270062232.78513151</v>
      </c>
      <c r="AE61" s="33">
        <v>62521918.880000062</v>
      </c>
      <c r="AF61" s="33">
        <v>19372133.820000004</v>
      </c>
      <c r="AG61" s="39"/>
      <c r="AH61" s="117">
        <v>175410934.04640001</v>
      </c>
      <c r="AI61" s="38"/>
      <c r="AJ61" s="39"/>
      <c r="AK61" s="38"/>
      <c r="AL61" s="33"/>
      <c r="AM61" s="39"/>
    </row>
    <row r="62" spans="1:39" hidden="1" x14ac:dyDescent="0.25">
      <c r="A62" s="114" t="s">
        <v>154</v>
      </c>
      <c r="B62" s="31" t="s">
        <v>489</v>
      </c>
      <c r="C62" s="31" t="s">
        <v>509</v>
      </c>
      <c r="D62" s="36" t="s">
        <v>510</v>
      </c>
      <c r="E62" s="112"/>
      <c r="F62" s="32"/>
      <c r="G62" s="32"/>
      <c r="H62" s="31" t="s">
        <v>342</v>
      </c>
      <c r="I62" s="219">
        <f t="shared" si="0"/>
        <v>0</v>
      </c>
      <c r="J62" s="219">
        <f t="shared" si="1"/>
        <v>0</v>
      </c>
      <c r="K62" s="219">
        <f t="shared" si="2"/>
        <v>0</v>
      </c>
      <c r="L62" s="232">
        <f t="shared" si="3"/>
        <v>0</v>
      </c>
      <c r="M62" s="219">
        <f t="shared" si="4"/>
        <v>347336.67000000004</v>
      </c>
      <c r="N62" s="219">
        <f t="shared" si="5"/>
        <v>0</v>
      </c>
      <c r="O62" s="219">
        <f t="shared" si="6"/>
        <v>3357900</v>
      </c>
      <c r="P62" s="219">
        <f t="shared" si="7"/>
        <v>0</v>
      </c>
      <c r="Q62" s="219"/>
      <c r="R62" s="31"/>
      <c r="S62" s="36"/>
      <c r="T62" s="118"/>
      <c r="U62" s="122"/>
      <c r="V62" s="123"/>
      <c r="W62" s="38"/>
      <c r="X62" s="33"/>
      <c r="Y62" s="33"/>
      <c r="Z62" s="33"/>
      <c r="AA62" s="33"/>
      <c r="AB62" s="39"/>
      <c r="AC62" s="38"/>
      <c r="AD62" s="33">
        <v>347336.67000000004</v>
      </c>
      <c r="AE62" s="33"/>
      <c r="AF62" s="33"/>
      <c r="AG62" s="39"/>
      <c r="AH62" s="117">
        <v>3357900</v>
      </c>
      <c r="AI62" s="38"/>
      <c r="AJ62" s="39"/>
      <c r="AK62" s="38"/>
      <c r="AL62" s="33"/>
      <c r="AM62" s="39"/>
    </row>
    <row r="63" spans="1:39" hidden="1" x14ac:dyDescent="0.25">
      <c r="A63" s="114" t="s">
        <v>151</v>
      </c>
      <c r="B63" s="31" t="s">
        <v>489</v>
      </c>
      <c r="C63" s="31" t="s">
        <v>509</v>
      </c>
      <c r="D63" s="36" t="s">
        <v>516</v>
      </c>
      <c r="E63" s="112"/>
      <c r="F63" s="32"/>
      <c r="G63" s="32"/>
      <c r="H63" s="31" t="s">
        <v>342</v>
      </c>
      <c r="I63" s="219">
        <f t="shared" si="0"/>
        <v>0</v>
      </c>
      <c r="J63" s="219">
        <f t="shared" si="1"/>
        <v>0</v>
      </c>
      <c r="K63" s="219">
        <f t="shared" si="2"/>
        <v>0</v>
      </c>
      <c r="L63" s="232">
        <f t="shared" si="3"/>
        <v>0</v>
      </c>
      <c r="M63" s="219">
        <f t="shared" si="4"/>
        <v>382313707.37538594</v>
      </c>
      <c r="N63" s="219">
        <f t="shared" si="5"/>
        <v>0</v>
      </c>
      <c r="O63" s="219">
        <f t="shared" si="6"/>
        <v>191982465.48129994</v>
      </c>
      <c r="P63" s="219">
        <f t="shared" si="7"/>
        <v>0</v>
      </c>
      <c r="Q63" s="219"/>
      <c r="R63" s="31"/>
      <c r="S63" s="36"/>
      <c r="T63" s="118"/>
      <c r="U63" s="122"/>
      <c r="V63" s="123"/>
      <c r="W63" s="38"/>
      <c r="X63" s="33"/>
      <c r="Y63" s="33"/>
      <c r="Z63" s="33"/>
      <c r="AA63" s="33"/>
      <c r="AB63" s="39"/>
      <c r="AC63" s="38"/>
      <c r="AD63" s="33">
        <v>360062948.58538592</v>
      </c>
      <c r="AE63" s="33">
        <v>22250758.790000007</v>
      </c>
      <c r="AF63" s="33">
        <v>22280541.27</v>
      </c>
      <c r="AG63" s="39"/>
      <c r="AH63" s="117">
        <v>191982465.48129994</v>
      </c>
      <c r="AI63" s="38"/>
      <c r="AJ63" s="39"/>
      <c r="AK63" s="38"/>
      <c r="AL63" s="33"/>
      <c r="AM63" s="39"/>
    </row>
    <row r="64" spans="1:39" hidden="1" x14ac:dyDescent="0.25">
      <c r="A64" s="114" t="s">
        <v>174</v>
      </c>
      <c r="B64" s="31" t="s">
        <v>489</v>
      </c>
      <c r="C64" s="31" t="s">
        <v>490</v>
      </c>
      <c r="D64" s="36" t="s">
        <v>502</v>
      </c>
      <c r="E64" s="112" t="s">
        <v>96</v>
      </c>
      <c r="F64" s="32"/>
      <c r="G64" s="32"/>
      <c r="H64" s="31"/>
      <c r="I64" s="219">
        <f t="shared" si="0"/>
        <v>0</v>
      </c>
      <c r="J64" s="219">
        <f t="shared" si="1"/>
        <v>2328586.79</v>
      </c>
      <c r="K64" s="219">
        <f t="shared" si="2"/>
        <v>13130.27</v>
      </c>
      <c r="L64" s="232">
        <f t="shared" si="3"/>
        <v>806469.12999999989</v>
      </c>
      <c r="M64" s="219">
        <f t="shared" si="4"/>
        <v>0</v>
      </c>
      <c r="N64" s="219">
        <f t="shared" si="5"/>
        <v>90879464.679999992</v>
      </c>
      <c r="O64" s="219">
        <f t="shared" si="6"/>
        <v>0</v>
      </c>
      <c r="P64" s="219">
        <f t="shared" si="7"/>
        <v>0</v>
      </c>
      <c r="Q64" s="219"/>
      <c r="R64" s="31"/>
      <c r="S64" s="36"/>
      <c r="T64" s="118">
        <v>2328586.79</v>
      </c>
      <c r="U64" s="122"/>
      <c r="V64" s="123"/>
      <c r="W64" s="38">
        <v>13130.27</v>
      </c>
      <c r="X64" s="33">
        <v>48478.11</v>
      </c>
      <c r="Y64" s="33">
        <v>325962.57999999996</v>
      </c>
      <c r="Z64" s="33"/>
      <c r="AA64" s="33">
        <v>432028.43999999989</v>
      </c>
      <c r="AB64" s="39"/>
      <c r="AC64" s="38"/>
      <c r="AD64" s="33"/>
      <c r="AE64" s="33"/>
      <c r="AF64" s="33"/>
      <c r="AG64" s="39">
        <v>90879464.679999992</v>
      </c>
      <c r="AH64" s="117"/>
      <c r="AI64" s="38"/>
      <c r="AJ64" s="39"/>
      <c r="AK64" s="38"/>
      <c r="AL64" s="33"/>
      <c r="AM64" s="39"/>
    </row>
    <row r="65" spans="1:39" hidden="1" x14ac:dyDescent="0.25">
      <c r="A65" s="114" t="s">
        <v>341</v>
      </c>
      <c r="B65" s="31" t="s">
        <v>489</v>
      </c>
      <c r="C65" s="31" t="s">
        <v>495</v>
      </c>
      <c r="D65" s="36" t="s">
        <v>496</v>
      </c>
      <c r="E65" s="112" t="s">
        <v>96</v>
      </c>
      <c r="F65" s="32"/>
      <c r="G65" s="32"/>
      <c r="H65" s="31"/>
      <c r="I65" s="219">
        <f t="shared" si="0"/>
        <v>0</v>
      </c>
      <c r="J65" s="219">
        <f t="shared" si="1"/>
        <v>13742490.699999999</v>
      </c>
      <c r="K65" s="219">
        <f t="shared" si="2"/>
        <v>3022022.7600000002</v>
      </c>
      <c r="L65" s="232">
        <f t="shared" si="3"/>
        <v>400453.30999999994</v>
      </c>
      <c r="M65" s="219">
        <f t="shared" si="4"/>
        <v>0</v>
      </c>
      <c r="N65" s="219">
        <f t="shared" si="5"/>
        <v>42349125.859999992</v>
      </c>
      <c r="O65" s="219">
        <f t="shared" si="6"/>
        <v>0</v>
      </c>
      <c r="P65" s="219">
        <f t="shared" si="7"/>
        <v>0</v>
      </c>
      <c r="Q65" s="219"/>
      <c r="R65" s="31"/>
      <c r="S65" s="36"/>
      <c r="T65" s="118">
        <v>13742490.699999999</v>
      </c>
      <c r="U65" s="122"/>
      <c r="V65" s="123"/>
      <c r="W65" s="38">
        <v>3022022.7600000002</v>
      </c>
      <c r="X65" s="33">
        <v>400453.30999999994</v>
      </c>
      <c r="Y65" s="33"/>
      <c r="Z65" s="33"/>
      <c r="AA65" s="33"/>
      <c r="AB65" s="39"/>
      <c r="AC65" s="38"/>
      <c r="AD65" s="33"/>
      <c r="AE65" s="33"/>
      <c r="AF65" s="33"/>
      <c r="AG65" s="39">
        <v>42349125.859999992</v>
      </c>
      <c r="AH65" s="117"/>
      <c r="AI65" s="38"/>
      <c r="AJ65" s="39"/>
      <c r="AK65" s="38"/>
      <c r="AL65" s="33"/>
      <c r="AM65" s="39"/>
    </row>
    <row r="66" spans="1:39" hidden="1" x14ac:dyDescent="0.25">
      <c r="A66" s="114" t="s">
        <v>341</v>
      </c>
      <c r="B66" s="31" t="s">
        <v>489</v>
      </c>
      <c r="C66" s="31" t="s">
        <v>495</v>
      </c>
      <c r="D66" s="36" t="s">
        <v>498</v>
      </c>
      <c r="E66" s="112" t="s">
        <v>96</v>
      </c>
      <c r="F66" s="32"/>
      <c r="G66" s="32"/>
      <c r="H66" s="31"/>
      <c r="I66" s="219">
        <f t="shared" si="0"/>
        <v>0</v>
      </c>
      <c r="J66" s="219">
        <f t="shared" si="1"/>
        <v>0</v>
      </c>
      <c r="K66" s="219">
        <f t="shared" si="2"/>
        <v>0</v>
      </c>
      <c r="L66" s="232">
        <f t="shared" si="3"/>
        <v>1361356.9399999995</v>
      </c>
      <c r="M66" s="219">
        <f t="shared" si="4"/>
        <v>0</v>
      </c>
      <c r="N66" s="219">
        <f t="shared" si="5"/>
        <v>0</v>
      </c>
      <c r="O66" s="219">
        <f t="shared" si="6"/>
        <v>0</v>
      </c>
      <c r="P66" s="219">
        <f t="shared" si="7"/>
        <v>0</v>
      </c>
      <c r="Q66" s="219"/>
      <c r="R66" s="31"/>
      <c r="S66" s="36"/>
      <c r="T66" s="118"/>
      <c r="U66" s="122"/>
      <c r="V66" s="123"/>
      <c r="W66" s="38"/>
      <c r="X66" s="33"/>
      <c r="Y66" s="33"/>
      <c r="Z66" s="33"/>
      <c r="AA66" s="33">
        <v>1361356.9399999995</v>
      </c>
      <c r="AB66" s="39"/>
      <c r="AC66" s="38"/>
      <c r="AD66" s="33"/>
      <c r="AE66" s="33"/>
      <c r="AF66" s="33"/>
      <c r="AG66" s="39"/>
      <c r="AH66" s="117"/>
      <c r="AI66" s="38"/>
      <c r="AJ66" s="39"/>
      <c r="AK66" s="38"/>
      <c r="AL66" s="33"/>
      <c r="AM66" s="39"/>
    </row>
    <row r="67" spans="1:39" hidden="1" x14ac:dyDescent="0.25">
      <c r="A67" s="114" t="s">
        <v>141</v>
      </c>
      <c r="B67" s="31" t="s">
        <v>489</v>
      </c>
      <c r="C67" s="31" t="s">
        <v>495</v>
      </c>
      <c r="D67" s="36" t="s">
        <v>496</v>
      </c>
      <c r="E67" s="112" t="s">
        <v>96</v>
      </c>
      <c r="F67" s="32"/>
      <c r="G67" s="32"/>
      <c r="H67" s="31"/>
      <c r="I67" s="219">
        <f t="shared" si="0"/>
        <v>0</v>
      </c>
      <c r="J67" s="219">
        <f t="shared" si="1"/>
        <v>8182930.8999999994</v>
      </c>
      <c r="K67" s="219">
        <f t="shared" si="2"/>
        <v>0</v>
      </c>
      <c r="L67" s="232">
        <f t="shared" si="3"/>
        <v>0</v>
      </c>
      <c r="M67" s="219">
        <f t="shared" si="4"/>
        <v>0</v>
      </c>
      <c r="N67" s="219">
        <f t="shared" si="5"/>
        <v>12460186.710000001</v>
      </c>
      <c r="O67" s="219">
        <f t="shared" si="6"/>
        <v>0</v>
      </c>
      <c r="P67" s="219">
        <f t="shared" si="7"/>
        <v>0</v>
      </c>
      <c r="Q67" s="219"/>
      <c r="R67" s="31"/>
      <c r="S67" s="36"/>
      <c r="T67" s="118">
        <v>8182930.8999999994</v>
      </c>
      <c r="U67" s="122"/>
      <c r="V67" s="123"/>
      <c r="W67" s="38"/>
      <c r="X67" s="33"/>
      <c r="Y67" s="33"/>
      <c r="Z67" s="33"/>
      <c r="AA67" s="33"/>
      <c r="AB67" s="39"/>
      <c r="AC67" s="38"/>
      <c r="AD67" s="33"/>
      <c r="AE67" s="33"/>
      <c r="AF67" s="33"/>
      <c r="AG67" s="39">
        <v>12460186.710000001</v>
      </c>
      <c r="AH67" s="117"/>
      <c r="AI67" s="38"/>
      <c r="AJ67" s="39"/>
      <c r="AK67" s="38"/>
      <c r="AL67" s="33"/>
      <c r="AM67" s="39"/>
    </row>
    <row r="68" spans="1:39" hidden="1" x14ac:dyDescent="0.25">
      <c r="A68" s="114" t="s">
        <v>148</v>
      </c>
      <c r="B68" s="31" t="s">
        <v>489</v>
      </c>
      <c r="C68" s="31" t="s">
        <v>495</v>
      </c>
      <c r="D68" s="36" t="s">
        <v>496</v>
      </c>
      <c r="E68" s="112" t="s">
        <v>96</v>
      </c>
      <c r="F68" s="32">
        <v>1</v>
      </c>
      <c r="G68" s="32"/>
      <c r="H68" s="31"/>
      <c r="I68" s="219">
        <f t="shared" si="0"/>
        <v>0</v>
      </c>
      <c r="J68" s="219">
        <f t="shared" si="1"/>
        <v>526862.52</v>
      </c>
      <c r="K68" s="219">
        <f t="shared" si="2"/>
        <v>0</v>
      </c>
      <c r="L68" s="232">
        <f t="shared" si="3"/>
        <v>1241115.1800000004</v>
      </c>
      <c r="M68" s="219">
        <f t="shared" si="4"/>
        <v>0</v>
      </c>
      <c r="N68" s="219">
        <f t="shared" si="5"/>
        <v>130075043.87999995</v>
      </c>
      <c r="O68" s="219">
        <f t="shared" si="6"/>
        <v>0</v>
      </c>
      <c r="P68" s="219">
        <f t="shared" si="7"/>
        <v>0</v>
      </c>
      <c r="Q68" s="219"/>
      <c r="R68" s="31"/>
      <c r="S68" s="36"/>
      <c r="T68" s="118">
        <v>526862.52</v>
      </c>
      <c r="U68" s="122"/>
      <c r="V68" s="123"/>
      <c r="W68" s="38"/>
      <c r="X68" s="33">
        <v>1241115.1800000004</v>
      </c>
      <c r="Y68" s="33"/>
      <c r="Z68" s="33"/>
      <c r="AA68" s="33"/>
      <c r="AB68" s="39"/>
      <c r="AC68" s="38"/>
      <c r="AD68" s="33"/>
      <c r="AE68" s="33"/>
      <c r="AF68" s="33"/>
      <c r="AG68" s="39">
        <v>130075043.87999995</v>
      </c>
      <c r="AH68" s="117"/>
      <c r="AI68" s="38"/>
      <c r="AJ68" s="39"/>
      <c r="AK68" s="38"/>
      <c r="AL68" s="33"/>
      <c r="AM68" s="39"/>
    </row>
    <row r="69" spans="1:39" hidden="1" x14ac:dyDescent="0.25">
      <c r="A69" s="114" t="s">
        <v>148</v>
      </c>
      <c r="B69" s="31" t="s">
        <v>489</v>
      </c>
      <c r="C69" s="31" t="s">
        <v>495</v>
      </c>
      <c r="D69" s="36" t="s">
        <v>498</v>
      </c>
      <c r="E69" s="112" t="s">
        <v>96</v>
      </c>
      <c r="F69" s="32"/>
      <c r="G69" s="32"/>
      <c r="H69" s="31"/>
      <c r="I69" s="219">
        <f t="shared" ref="I69:I123" si="8">SUM(R69:S69)</f>
        <v>0</v>
      </c>
      <c r="J69" s="219">
        <f t="shared" ref="J69:J123" si="9">SUM(T69:V69)</f>
        <v>8536955.5500000007</v>
      </c>
      <c r="K69" s="219">
        <f t="shared" ref="K69:K123" si="10">W69</f>
        <v>5757796.0499999989</v>
      </c>
      <c r="L69" s="232">
        <f t="shared" ref="L69:L123" si="11">SUM(X69:AB69)</f>
        <v>78761623.449999958</v>
      </c>
      <c r="M69" s="219">
        <f t="shared" ref="M69:M123" si="12">SUM(AC69:AE69)</f>
        <v>0</v>
      </c>
      <c r="N69" s="219">
        <f t="shared" ref="N69:N123" si="13">AG69</f>
        <v>0</v>
      </c>
      <c r="O69" s="219">
        <f t="shared" ref="O69:O123" si="14">AH69</f>
        <v>0</v>
      </c>
      <c r="P69" s="219">
        <f t="shared" ref="P69:P123" si="15">SUM(AK69:AM69)</f>
        <v>0</v>
      </c>
      <c r="Q69" s="219"/>
      <c r="R69" s="31"/>
      <c r="S69" s="36"/>
      <c r="T69" s="118"/>
      <c r="U69" s="122">
        <v>8536955.5500000007</v>
      </c>
      <c r="V69" s="123"/>
      <c r="W69" s="38">
        <v>5757796.0499999989</v>
      </c>
      <c r="X69" s="33">
        <v>12123306.51</v>
      </c>
      <c r="Y69" s="33">
        <v>23447652.07</v>
      </c>
      <c r="Z69" s="33"/>
      <c r="AA69" s="33">
        <v>17483504.639999986</v>
      </c>
      <c r="AB69" s="39">
        <v>25707160.229999978</v>
      </c>
      <c r="AC69" s="38"/>
      <c r="AD69" s="33"/>
      <c r="AE69" s="33"/>
      <c r="AF69" s="33"/>
      <c r="AG69" s="39"/>
      <c r="AH69" s="117"/>
      <c r="AI69" s="38"/>
      <c r="AJ69" s="39"/>
      <c r="AK69" s="38"/>
      <c r="AL69" s="33"/>
      <c r="AM69" s="39"/>
    </row>
    <row r="70" spans="1:39" hidden="1" x14ac:dyDescent="0.25">
      <c r="A70" s="114" t="s">
        <v>171</v>
      </c>
      <c r="B70" s="31" t="s">
        <v>489</v>
      </c>
      <c r="C70" s="31" t="s">
        <v>490</v>
      </c>
      <c r="D70" s="36" t="s">
        <v>491</v>
      </c>
      <c r="E70" s="112" t="s">
        <v>96</v>
      </c>
      <c r="F70" s="32"/>
      <c r="G70" s="32"/>
      <c r="H70" s="31"/>
      <c r="I70" s="219">
        <f t="shared" si="8"/>
        <v>0</v>
      </c>
      <c r="J70" s="219">
        <f t="shared" si="9"/>
        <v>0</v>
      </c>
      <c r="K70" s="219">
        <f t="shared" si="10"/>
        <v>0</v>
      </c>
      <c r="L70" s="232">
        <f t="shared" si="11"/>
        <v>492352.85000000003</v>
      </c>
      <c r="M70" s="219">
        <f t="shared" si="12"/>
        <v>0</v>
      </c>
      <c r="N70" s="219">
        <f t="shared" si="13"/>
        <v>0</v>
      </c>
      <c r="O70" s="219">
        <f t="shared" si="14"/>
        <v>104971901.41360001</v>
      </c>
      <c r="P70" s="219">
        <f t="shared" si="15"/>
        <v>0</v>
      </c>
      <c r="Q70" s="219"/>
      <c r="R70" s="31"/>
      <c r="S70" s="36"/>
      <c r="T70" s="118"/>
      <c r="U70" s="122"/>
      <c r="V70" s="123"/>
      <c r="W70" s="38"/>
      <c r="X70" s="33"/>
      <c r="Y70" s="33">
        <v>492352.85000000003</v>
      </c>
      <c r="Z70" s="33"/>
      <c r="AA70" s="33"/>
      <c r="AB70" s="39"/>
      <c r="AC70" s="38"/>
      <c r="AD70" s="33"/>
      <c r="AE70" s="33"/>
      <c r="AF70" s="33"/>
      <c r="AG70" s="39"/>
      <c r="AH70" s="117">
        <v>104971901.41360001</v>
      </c>
      <c r="AI70" s="38"/>
      <c r="AJ70" s="39"/>
      <c r="AK70" s="38"/>
      <c r="AL70" s="33"/>
      <c r="AM70" s="39"/>
    </row>
    <row r="71" spans="1:39" hidden="1" x14ac:dyDescent="0.25">
      <c r="A71" s="114" t="s">
        <v>434</v>
      </c>
      <c r="B71" s="31" t="s">
        <v>489</v>
      </c>
      <c r="C71" s="31" t="s">
        <v>490</v>
      </c>
      <c r="D71" s="36" t="s">
        <v>502</v>
      </c>
      <c r="E71" s="112" t="s">
        <v>96</v>
      </c>
      <c r="F71" s="32"/>
      <c r="G71" s="32"/>
      <c r="H71" s="31"/>
      <c r="I71" s="219">
        <f t="shared" si="8"/>
        <v>0</v>
      </c>
      <c r="J71" s="219">
        <f t="shared" si="9"/>
        <v>0</v>
      </c>
      <c r="K71" s="219">
        <f t="shared" si="10"/>
        <v>0</v>
      </c>
      <c r="L71" s="232">
        <f t="shared" si="11"/>
        <v>2874266.73</v>
      </c>
      <c r="M71" s="219">
        <f t="shared" si="12"/>
        <v>0</v>
      </c>
      <c r="N71" s="219">
        <f t="shared" si="13"/>
        <v>8317598.1300000008</v>
      </c>
      <c r="O71" s="219">
        <f t="shared" si="14"/>
        <v>0</v>
      </c>
      <c r="P71" s="219">
        <f t="shared" si="15"/>
        <v>0</v>
      </c>
      <c r="Q71" s="219"/>
      <c r="R71" s="31"/>
      <c r="S71" s="36"/>
      <c r="T71" s="118"/>
      <c r="U71" s="122"/>
      <c r="V71" s="123"/>
      <c r="W71" s="38"/>
      <c r="X71" s="33"/>
      <c r="Y71" s="33"/>
      <c r="Z71" s="33"/>
      <c r="AA71" s="33"/>
      <c r="AB71" s="39">
        <v>2874266.73</v>
      </c>
      <c r="AC71" s="38"/>
      <c r="AD71" s="33"/>
      <c r="AE71" s="33"/>
      <c r="AF71" s="33"/>
      <c r="AG71" s="39">
        <v>8317598.1300000008</v>
      </c>
      <c r="AH71" s="117"/>
      <c r="AI71" s="38"/>
      <c r="AJ71" s="39"/>
      <c r="AK71" s="38"/>
      <c r="AL71" s="33"/>
      <c r="AM71" s="39"/>
    </row>
    <row r="72" spans="1:39" hidden="1" x14ac:dyDescent="0.25">
      <c r="A72" s="114" t="s">
        <v>20</v>
      </c>
      <c r="B72" s="31" t="s">
        <v>489</v>
      </c>
      <c r="C72" s="31" t="s">
        <v>495</v>
      </c>
      <c r="D72" s="36" t="s">
        <v>496</v>
      </c>
      <c r="E72" s="112" t="s">
        <v>96</v>
      </c>
      <c r="F72" s="32"/>
      <c r="G72" s="32"/>
      <c r="H72" s="31"/>
      <c r="I72" s="219">
        <f t="shared" si="8"/>
        <v>0</v>
      </c>
      <c r="J72" s="219">
        <f t="shared" si="9"/>
        <v>0</v>
      </c>
      <c r="K72" s="219">
        <f t="shared" si="10"/>
        <v>0</v>
      </c>
      <c r="L72" s="232">
        <f t="shared" si="11"/>
        <v>0</v>
      </c>
      <c r="M72" s="219">
        <f t="shared" si="12"/>
        <v>0</v>
      </c>
      <c r="N72" s="219">
        <f t="shared" si="13"/>
        <v>19951807.690000005</v>
      </c>
      <c r="O72" s="219">
        <f t="shared" si="14"/>
        <v>0</v>
      </c>
      <c r="P72" s="219">
        <f t="shared" si="15"/>
        <v>0</v>
      </c>
      <c r="Q72" s="219"/>
      <c r="R72" s="31"/>
      <c r="S72" s="36"/>
      <c r="T72" s="118"/>
      <c r="U72" s="122"/>
      <c r="V72" s="123"/>
      <c r="W72" s="38"/>
      <c r="X72" s="33"/>
      <c r="Y72" s="33"/>
      <c r="Z72" s="33"/>
      <c r="AA72" s="33"/>
      <c r="AB72" s="39"/>
      <c r="AC72" s="38"/>
      <c r="AD72" s="33"/>
      <c r="AE72" s="33"/>
      <c r="AF72" s="33"/>
      <c r="AG72" s="39">
        <v>19951807.690000005</v>
      </c>
      <c r="AH72" s="117"/>
      <c r="AI72" s="38"/>
      <c r="AJ72" s="39"/>
      <c r="AK72" s="38"/>
      <c r="AL72" s="33"/>
      <c r="AM72" s="39"/>
    </row>
    <row r="73" spans="1:39" hidden="1" x14ac:dyDescent="0.25">
      <c r="A73" s="114" t="s">
        <v>173</v>
      </c>
      <c r="B73" s="31" t="s">
        <v>489</v>
      </c>
      <c r="C73" s="31" t="s">
        <v>490</v>
      </c>
      <c r="D73" s="36" t="s">
        <v>499</v>
      </c>
      <c r="E73" s="112" t="s">
        <v>96</v>
      </c>
      <c r="F73" s="32">
        <v>1</v>
      </c>
      <c r="G73" s="32"/>
      <c r="H73" s="31"/>
      <c r="I73" s="219">
        <f t="shared" si="8"/>
        <v>0</v>
      </c>
      <c r="J73" s="219">
        <f t="shared" si="9"/>
        <v>0</v>
      </c>
      <c r="K73" s="219">
        <f t="shared" si="10"/>
        <v>0</v>
      </c>
      <c r="L73" s="232">
        <f t="shared" si="11"/>
        <v>10295643.300000003</v>
      </c>
      <c r="M73" s="219">
        <f t="shared" si="12"/>
        <v>0</v>
      </c>
      <c r="N73" s="219">
        <f t="shared" si="13"/>
        <v>0</v>
      </c>
      <c r="O73" s="219">
        <f t="shared" si="14"/>
        <v>0</v>
      </c>
      <c r="P73" s="219">
        <f t="shared" si="15"/>
        <v>0</v>
      </c>
      <c r="Q73" s="219"/>
      <c r="R73" s="31"/>
      <c r="S73" s="36"/>
      <c r="T73" s="118"/>
      <c r="U73" s="122"/>
      <c r="V73" s="123"/>
      <c r="W73" s="38"/>
      <c r="X73" s="33">
        <v>31968.34</v>
      </c>
      <c r="Y73" s="33">
        <v>1489333.62</v>
      </c>
      <c r="Z73" s="33"/>
      <c r="AA73" s="33"/>
      <c r="AB73" s="39">
        <v>8774341.3400000017</v>
      </c>
      <c r="AC73" s="38"/>
      <c r="AD73" s="33"/>
      <c r="AE73" s="33"/>
      <c r="AF73" s="33"/>
      <c r="AG73" s="39"/>
      <c r="AH73" s="117"/>
      <c r="AI73" s="38"/>
      <c r="AJ73" s="39"/>
      <c r="AK73" s="38"/>
      <c r="AL73" s="33"/>
      <c r="AM73" s="39"/>
    </row>
    <row r="74" spans="1:39" hidden="1" x14ac:dyDescent="0.25">
      <c r="A74" s="114" t="s">
        <v>173</v>
      </c>
      <c r="B74" s="31" t="s">
        <v>489</v>
      </c>
      <c r="C74" s="31" t="s">
        <v>490</v>
      </c>
      <c r="D74" s="36" t="s">
        <v>502</v>
      </c>
      <c r="E74" s="112" t="s">
        <v>96</v>
      </c>
      <c r="F74" s="32"/>
      <c r="G74" s="32"/>
      <c r="H74" s="31"/>
      <c r="I74" s="219">
        <f t="shared" si="8"/>
        <v>0</v>
      </c>
      <c r="J74" s="219">
        <f t="shared" si="9"/>
        <v>4270575.3600000003</v>
      </c>
      <c r="K74" s="219">
        <f t="shared" si="10"/>
        <v>111221156.59</v>
      </c>
      <c r="L74" s="232">
        <f t="shared" si="11"/>
        <v>637981612.9000001</v>
      </c>
      <c r="M74" s="219">
        <f t="shared" si="12"/>
        <v>0</v>
      </c>
      <c r="N74" s="219">
        <f t="shared" si="13"/>
        <v>541872107.94999981</v>
      </c>
      <c r="O74" s="219">
        <f t="shared" si="14"/>
        <v>0</v>
      </c>
      <c r="P74" s="219">
        <f t="shared" si="15"/>
        <v>0</v>
      </c>
      <c r="Q74" s="219"/>
      <c r="R74" s="31"/>
      <c r="S74" s="36"/>
      <c r="T74" s="118">
        <v>4270575.3600000003</v>
      </c>
      <c r="U74" s="122"/>
      <c r="V74" s="123"/>
      <c r="W74" s="38">
        <v>111221156.59</v>
      </c>
      <c r="X74" s="33">
        <v>30461776.29000001</v>
      </c>
      <c r="Y74" s="33">
        <v>13024013.529999997</v>
      </c>
      <c r="Z74" s="33"/>
      <c r="AA74" s="33">
        <v>32425978.98000006</v>
      </c>
      <c r="AB74" s="39">
        <v>562069844.10000002</v>
      </c>
      <c r="AC74" s="38"/>
      <c r="AD74" s="33"/>
      <c r="AE74" s="33"/>
      <c r="AF74" s="33"/>
      <c r="AG74" s="39">
        <v>541872107.94999981</v>
      </c>
      <c r="AH74" s="117"/>
      <c r="AI74" s="38"/>
      <c r="AJ74" s="39"/>
      <c r="AK74" s="38"/>
      <c r="AL74" s="33"/>
      <c r="AM74" s="39"/>
    </row>
    <row r="75" spans="1:39" hidden="1" x14ac:dyDescent="0.25">
      <c r="A75" s="114" t="s">
        <v>173</v>
      </c>
      <c r="B75" s="31" t="s">
        <v>489</v>
      </c>
      <c r="C75" s="31" t="s">
        <v>503</v>
      </c>
      <c r="D75" s="36" t="s">
        <v>504</v>
      </c>
      <c r="E75" s="112" t="s">
        <v>96</v>
      </c>
      <c r="F75" s="32"/>
      <c r="G75" s="32"/>
      <c r="H75" s="31"/>
      <c r="I75" s="219">
        <f t="shared" si="8"/>
        <v>0</v>
      </c>
      <c r="J75" s="219">
        <f t="shared" si="9"/>
        <v>8978605.0899999999</v>
      </c>
      <c r="K75" s="219">
        <f t="shared" si="10"/>
        <v>0</v>
      </c>
      <c r="L75" s="232">
        <f t="shared" si="11"/>
        <v>1849561.63</v>
      </c>
      <c r="M75" s="219">
        <f t="shared" si="12"/>
        <v>0</v>
      </c>
      <c r="N75" s="219">
        <f t="shared" si="13"/>
        <v>8931712.879999999</v>
      </c>
      <c r="O75" s="219">
        <f t="shared" si="14"/>
        <v>0</v>
      </c>
      <c r="P75" s="219">
        <f t="shared" si="15"/>
        <v>0</v>
      </c>
      <c r="Q75" s="219"/>
      <c r="R75" s="31"/>
      <c r="S75" s="36"/>
      <c r="T75" s="118">
        <v>8978605.0899999999</v>
      </c>
      <c r="U75" s="122"/>
      <c r="V75" s="123"/>
      <c r="W75" s="38"/>
      <c r="X75" s="33"/>
      <c r="Y75" s="33">
        <v>1849561.63</v>
      </c>
      <c r="Z75" s="33"/>
      <c r="AA75" s="33"/>
      <c r="AB75" s="39"/>
      <c r="AC75" s="38"/>
      <c r="AD75" s="33"/>
      <c r="AE75" s="33"/>
      <c r="AF75" s="33"/>
      <c r="AG75" s="39">
        <v>8931712.879999999</v>
      </c>
      <c r="AH75" s="117"/>
      <c r="AI75" s="38"/>
      <c r="AJ75" s="39"/>
      <c r="AK75" s="38"/>
      <c r="AL75" s="33"/>
      <c r="AM75" s="39"/>
    </row>
    <row r="76" spans="1:39" hidden="1" x14ac:dyDescent="0.25">
      <c r="A76" s="114" t="s">
        <v>173</v>
      </c>
      <c r="B76" s="31" t="s">
        <v>489</v>
      </c>
      <c r="C76" s="31" t="s">
        <v>503</v>
      </c>
      <c r="D76" s="36" t="s">
        <v>505</v>
      </c>
      <c r="E76" s="112" t="s">
        <v>96</v>
      </c>
      <c r="F76" s="32"/>
      <c r="G76" s="32"/>
      <c r="H76" s="31"/>
      <c r="I76" s="219">
        <f t="shared" si="8"/>
        <v>0</v>
      </c>
      <c r="J76" s="219">
        <f t="shared" si="9"/>
        <v>3701884.3000000007</v>
      </c>
      <c r="K76" s="219">
        <f t="shared" si="10"/>
        <v>1630364.4800000007</v>
      </c>
      <c r="L76" s="232">
        <f t="shared" si="11"/>
        <v>1121129.4099999999</v>
      </c>
      <c r="M76" s="219">
        <f t="shared" si="12"/>
        <v>0</v>
      </c>
      <c r="N76" s="219">
        <f t="shared" si="13"/>
        <v>614114.75</v>
      </c>
      <c r="O76" s="219">
        <f t="shared" si="14"/>
        <v>0</v>
      </c>
      <c r="P76" s="219">
        <f t="shared" si="15"/>
        <v>0</v>
      </c>
      <c r="Q76" s="219"/>
      <c r="R76" s="31"/>
      <c r="S76" s="36"/>
      <c r="T76" s="118">
        <v>3701884.3000000007</v>
      </c>
      <c r="U76" s="122"/>
      <c r="V76" s="123"/>
      <c r="W76" s="38">
        <v>1630364.4800000007</v>
      </c>
      <c r="X76" s="33">
        <v>289110.48</v>
      </c>
      <c r="Y76" s="33">
        <v>832018.92999999993</v>
      </c>
      <c r="Z76" s="33"/>
      <c r="AA76" s="33"/>
      <c r="AB76" s="39"/>
      <c r="AC76" s="38"/>
      <c r="AD76" s="33"/>
      <c r="AE76" s="33"/>
      <c r="AF76" s="33"/>
      <c r="AG76" s="39">
        <v>614114.75</v>
      </c>
      <c r="AH76" s="117"/>
      <c r="AI76" s="38"/>
      <c r="AJ76" s="39"/>
      <c r="AK76" s="38"/>
      <c r="AL76" s="33"/>
      <c r="AM76" s="39"/>
    </row>
    <row r="77" spans="1:39" hidden="1" x14ac:dyDescent="0.25">
      <c r="A77" s="114" t="s">
        <v>173</v>
      </c>
      <c r="B77" s="31" t="s">
        <v>489</v>
      </c>
      <c r="C77" s="31" t="s">
        <v>490</v>
      </c>
      <c r="D77" s="36" t="s">
        <v>491</v>
      </c>
      <c r="E77" s="112" t="s">
        <v>96</v>
      </c>
      <c r="F77" s="32"/>
      <c r="G77" s="32"/>
      <c r="H77" s="31" t="s">
        <v>342</v>
      </c>
      <c r="I77" s="219">
        <f t="shared" si="8"/>
        <v>0</v>
      </c>
      <c r="J77" s="219">
        <f t="shared" si="9"/>
        <v>16025621.889999999</v>
      </c>
      <c r="K77" s="219">
        <f t="shared" si="10"/>
        <v>9900680.1600000001</v>
      </c>
      <c r="L77" s="232">
        <f t="shared" si="11"/>
        <v>163356771.46999994</v>
      </c>
      <c r="M77" s="219">
        <f t="shared" si="12"/>
        <v>1467439433.5898113</v>
      </c>
      <c r="N77" s="219">
        <f t="shared" si="13"/>
        <v>10774057.129999999</v>
      </c>
      <c r="O77" s="219">
        <f t="shared" si="14"/>
        <v>663558106.29289997</v>
      </c>
      <c r="P77" s="219">
        <f t="shared" si="15"/>
        <v>0</v>
      </c>
      <c r="Q77" s="219"/>
      <c r="R77" s="31"/>
      <c r="S77" s="36"/>
      <c r="T77" s="118">
        <v>5354509.6999999993</v>
      </c>
      <c r="U77" s="122">
        <v>10671112.189999999</v>
      </c>
      <c r="V77" s="123"/>
      <c r="W77" s="38">
        <v>9900680.1600000001</v>
      </c>
      <c r="X77" s="33">
        <v>12059001.859999994</v>
      </c>
      <c r="Y77" s="33">
        <v>126491598.41999994</v>
      </c>
      <c r="Z77" s="33">
        <v>63899.7</v>
      </c>
      <c r="AA77" s="33">
        <v>16725330.930000018</v>
      </c>
      <c r="AB77" s="39">
        <v>8016940.5599999996</v>
      </c>
      <c r="AC77" s="38">
        <v>476279520.15997899</v>
      </c>
      <c r="AD77" s="33">
        <v>971096048.59983242</v>
      </c>
      <c r="AE77" s="33">
        <v>20063864.830000009</v>
      </c>
      <c r="AF77" s="33">
        <v>165283912.92000011</v>
      </c>
      <c r="AG77" s="39">
        <v>10774057.129999999</v>
      </c>
      <c r="AH77" s="117">
        <v>663558106.29289997</v>
      </c>
      <c r="AI77" s="38"/>
      <c r="AJ77" s="39"/>
      <c r="AK77" s="38"/>
      <c r="AL77" s="33"/>
      <c r="AM77" s="39"/>
    </row>
    <row r="78" spans="1:39" hidden="1" x14ac:dyDescent="0.25">
      <c r="A78" s="114" t="s">
        <v>180</v>
      </c>
      <c r="B78" s="31" t="s">
        <v>489</v>
      </c>
      <c r="C78" s="31" t="s">
        <v>490</v>
      </c>
      <c r="D78" s="36" t="s">
        <v>499</v>
      </c>
      <c r="E78" s="112" t="s">
        <v>96</v>
      </c>
      <c r="F78" s="32"/>
      <c r="G78" s="32"/>
      <c r="H78" s="31"/>
      <c r="I78" s="219">
        <f t="shared" si="8"/>
        <v>0</v>
      </c>
      <c r="J78" s="219">
        <f t="shared" si="9"/>
        <v>0</v>
      </c>
      <c r="K78" s="219">
        <f t="shared" si="10"/>
        <v>0</v>
      </c>
      <c r="L78" s="232">
        <f t="shared" si="11"/>
        <v>0</v>
      </c>
      <c r="M78" s="219">
        <f t="shared" si="12"/>
        <v>0</v>
      </c>
      <c r="N78" s="219">
        <f t="shared" si="13"/>
        <v>4912918.0000000009</v>
      </c>
      <c r="O78" s="219">
        <f t="shared" si="14"/>
        <v>162486690.05530003</v>
      </c>
      <c r="P78" s="219">
        <f t="shared" si="15"/>
        <v>0</v>
      </c>
      <c r="Q78" s="219"/>
      <c r="R78" s="31"/>
      <c r="S78" s="36"/>
      <c r="T78" s="118"/>
      <c r="U78" s="122"/>
      <c r="V78" s="123"/>
      <c r="W78" s="38"/>
      <c r="X78" s="33"/>
      <c r="Y78" s="33"/>
      <c r="Z78" s="33"/>
      <c r="AA78" s="33"/>
      <c r="AB78" s="39"/>
      <c r="AC78" s="38"/>
      <c r="AD78" s="33"/>
      <c r="AE78" s="33"/>
      <c r="AF78" s="33"/>
      <c r="AG78" s="39">
        <v>4912918.0000000009</v>
      </c>
      <c r="AH78" s="117">
        <v>162486690.05530003</v>
      </c>
      <c r="AI78" s="38"/>
      <c r="AJ78" s="39"/>
      <c r="AK78" s="38"/>
      <c r="AL78" s="33"/>
      <c r="AM78" s="39"/>
    </row>
    <row r="79" spans="1:39" hidden="1" x14ac:dyDescent="0.25">
      <c r="A79" s="114" t="s">
        <v>180</v>
      </c>
      <c r="B79" s="31" t="s">
        <v>489</v>
      </c>
      <c r="C79" s="31" t="s">
        <v>490</v>
      </c>
      <c r="D79" s="36" t="s">
        <v>502</v>
      </c>
      <c r="E79" s="112" t="s">
        <v>96</v>
      </c>
      <c r="F79" s="32"/>
      <c r="G79" s="32"/>
      <c r="H79" s="31"/>
      <c r="I79" s="219">
        <f t="shared" si="8"/>
        <v>0</v>
      </c>
      <c r="J79" s="219">
        <f t="shared" si="9"/>
        <v>0</v>
      </c>
      <c r="K79" s="219">
        <f t="shared" si="10"/>
        <v>0</v>
      </c>
      <c r="L79" s="232">
        <f t="shared" si="11"/>
        <v>173787.44</v>
      </c>
      <c r="M79" s="219">
        <f t="shared" si="12"/>
        <v>0</v>
      </c>
      <c r="N79" s="219">
        <f t="shared" si="13"/>
        <v>165112851.97999996</v>
      </c>
      <c r="O79" s="219">
        <f t="shared" si="14"/>
        <v>0</v>
      </c>
      <c r="P79" s="219">
        <f t="shared" si="15"/>
        <v>0</v>
      </c>
      <c r="Q79" s="219"/>
      <c r="R79" s="31"/>
      <c r="S79" s="36"/>
      <c r="T79" s="118"/>
      <c r="U79" s="122"/>
      <c r="V79" s="123"/>
      <c r="W79" s="38"/>
      <c r="X79" s="33"/>
      <c r="Y79" s="33">
        <v>173787.44</v>
      </c>
      <c r="Z79" s="33"/>
      <c r="AA79" s="33"/>
      <c r="AB79" s="39"/>
      <c r="AC79" s="38"/>
      <c r="AD79" s="33"/>
      <c r="AE79" s="33"/>
      <c r="AF79" s="33"/>
      <c r="AG79" s="39">
        <v>165112851.97999996</v>
      </c>
      <c r="AH79" s="117"/>
      <c r="AI79" s="38"/>
      <c r="AJ79" s="39"/>
      <c r="AK79" s="38"/>
      <c r="AL79" s="33"/>
      <c r="AM79" s="39"/>
    </row>
    <row r="80" spans="1:39" hidden="1" x14ac:dyDescent="0.25">
      <c r="A80" s="114" t="s">
        <v>146</v>
      </c>
      <c r="B80" s="31" t="s">
        <v>489</v>
      </c>
      <c r="C80" s="31" t="s">
        <v>495</v>
      </c>
      <c r="D80" s="36" t="s">
        <v>496</v>
      </c>
      <c r="E80" s="112" t="s">
        <v>96</v>
      </c>
      <c r="F80" s="32"/>
      <c r="G80" s="32"/>
      <c r="H80" s="31"/>
      <c r="I80" s="219">
        <f t="shared" si="8"/>
        <v>0</v>
      </c>
      <c r="J80" s="219">
        <f t="shared" si="9"/>
        <v>0</v>
      </c>
      <c r="K80" s="219">
        <f t="shared" si="10"/>
        <v>313148.25</v>
      </c>
      <c r="L80" s="232">
        <f t="shared" si="11"/>
        <v>0</v>
      </c>
      <c r="M80" s="219">
        <f t="shared" si="12"/>
        <v>0</v>
      </c>
      <c r="N80" s="219">
        <f t="shared" si="13"/>
        <v>60282489.349999987</v>
      </c>
      <c r="O80" s="219">
        <f t="shared" si="14"/>
        <v>0</v>
      </c>
      <c r="P80" s="219">
        <f t="shared" si="15"/>
        <v>0</v>
      </c>
      <c r="Q80" s="219"/>
      <c r="R80" s="31"/>
      <c r="S80" s="36"/>
      <c r="T80" s="118"/>
      <c r="U80" s="122"/>
      <c r="V80" s="123"/>
      <c r="W80" s="38">
        <v>313148.25</v>
      </c>
      <c r="X80" s="33"/>
      <c r="Y80" s="33"/>
      <c r="Z80" s="33"/>
      <c r="AA80" s="33"/>
      <c r="AB80" s="39"/>
      <c r="AC80" s="38"/>
      <c r="AD80" s="33"/>
      <c r="AE80" s="33"/>
      <c r="AF80" s="33"/>
      <c r="AG80" s="39">
        <v>60282489.349999987</v>
      </c>
      <c r="AH80" s="117"/>
      <c r="AI80" s="38"/>
      <c r="AJ80" s="39"/>
      <c r="AK80" s="38"/>
      <c r="AL80" s="33"/>
      <c r="AM80" s="39"/>
    </row>
    <row r="81" spans="1:39" hidden="1" x14ac:dyDescent="0.25">
      <c r="A81" s="114" t="s">
        <v>146</v>
      </c>
      <c r="B81" s="31" t="s">
        <v>489</v>
      </c>
      <c r="C81" s="31" t="s">
        <v>495</v>
      </c>
      <c r="D81" s="36" t="s">
        <v>498</v>
      </c>
      <c r="E81" s="112" t="s">
        <v>96</v>
      </c>
      <c r="F81" s="32"/>
      <c r="G81" s="32"/>
      <c r="H81" s="31"/>
      <c r="I81" s="219">
        <f t="shared" si="8"/>
        <v>0</v>
      </c>
      <c r="J81" s="219">
        <f t="shared" si="9"/>
        <v>0</v>
      </c>
      <c r="K81" s="219">
        <f t="shared" si="10"/>
        <v>0</v>
      </c>
      <c r="L81" s="232">
        <f t="shared" si="11"/>
        <v>21807.65</v>
      </c>
      <c r="M81" s="219">
        <f t="shared" si="12"/>
        <v>0</v>
      </c>
      <c r="N81" s="219">
        <f t="shared" si="13"/>
        <v>0</v>
      </c>
      <c r="O81" s="219">
        <f t="shared" si="14"/>
        <v>0</v>
      </c>
      <c r="P81" s="219">
        <f t="shared" si="15"/>
        <v>0</v>
      </c>
      <c r="Q81" s="219"/>
      <c r="R81" s="31"/>
      <c r="S81" s="36"/>
      <c r="T81" s="118"/>
      <c r="U81" s="122"/>
      <c r="V81" s="123"/>
      <c r="W81" s="38"/>
      <c r="X81" s="33"/>
      <c r="Y81" s="33"/>
      <c r="Z81" s="33"/>
      <c r="AA81" s="33">
        <v>21807.65</v>
      </c>
      <c r="AB81" s="39"/>
      <c r="AC81" s="38"/>
      <c r="AD81" s="33"/>
      <c r="AE81" s="33"/>
      <c r="AF81" s="33"/>
      <c r="AG81" s="39"/>
      <c r="AH81" s="117"/>
      <c r="AI81" s="38"/>
      <c r="AJ81" s="39"/>
      <c r="AK81" s="38"/>
      <c r="AL81" s="33"/>
      <c r="AM81" s="39"/>
    </row>
    <row r="82" spans="1:39" hidden="1" x14ac:dyDescent="0.25">
      <c r="A82" s="114" t="s">
        <v>150</v>
      </c>
      <c r="B82" s="31" t="s">
        <v>489</v>
      </c>
      <c r="C82" s="31" t="s">
        <v>495</v>
      </c>
      <c r="D82" s="36" t="s">
        <v>496</v>
      </c>
      <c r="E82" s="112" t="s">
        <v>96</v>
      </c>
      <c r="F82" s="32"/>
      <c r="G82" s="32"/>
      <c r="H82" s="31"/>
      <c r="I82" s="219">
        <f t="shared" si="8"/>
        <v>0</v>
      </c>
      <c r="J82" s="219">
        <f t="shared" si="9"/>
        <v>4388912.41</v>
      </c>
      <c r="K82" s="219">
        <f t="shared" si="10"/>
        <v>1236435.1200000001</v>
      </c>
      <c r="L82" s="232">
        <f t="shared" si="11"/>
        <v>2294897.2300000004</v>
      </c>
      <c r="M82" s="219">
        <f t="shared" si="12"/>
        <v>0</v>
      </c>
      <c r="N82" s="219">
        <f t="shared" si="13"/>
        <v>103135696.96999998</v>
      </c>
      <c r="O82" s="219">
        <f t="shared" si="14"/>
        <v>0</v>
      </c>
      <c r="P82" s="219">
        <f t="shared" si="15"/>
        <v>0</v>
      </c>
      <c r="Q82" s="219"/>
      <c r="R82" s="31"/>
      <c r="S82" s="36"/>
      <c r="T82" s="118">
        <v>4388912.41</v>
      </c>
      <c r="U82" s="122"/>
      <c r="V82" s="123"/>
      <c r="W82" s="38">
        <v>1236435.1200000001</v>
      </c>
      <c r="X82" s="33">
        <v>2294897.2300000004</v>
      </c>
      <c r="Y82" s="33"/>
      <c r="Z82" s="33"/>
      <c r="AA82" s="33"/>
      <c r="AB82" s="39"/>
      <c r="AC82" s="38"/>
      <c r="AD82" s="33"/>
      <c r="AE82" s="33"/>
      <c r="AF82" s="33"/>
      <c r="AG82" s="39">
        <v>103135696.96999998</v>
      </c>
      <c r="AH82" s="117"/>
      <c r="AI82" s="38"/>
      <c r="AJ82" s="39"/>
      <c r="AK82" s="38"/>
      <c r="AL82" s="33"/>
      <c r="AM82" s="39"/>
    </row>
    <row r="83" spans="1:39" hidden="1" x14ac:dyDescent="0.25">
      <c r="A83" s="114" t="s">
        <v>150</v>
      </c>
      <c r="B83" s="31" t="s">
        <v>489</v>
      </c>
      <c r="C83" s="31" t="s">
        <v>495</v>
      </c>
      <c r="D83" s="36" t="s">
        <v>498</v>
      </c>
      <c r="E83" s="112" t="s">
        <v>96</v>
      </c>
      <c r="F83" s="32"/>
      <c r="G83" s="32"/>
      <c r="H83" s="31"/>
      <c r="I83" s="219">
        <f t="shared" si="8"/>
        <v>0</v>
      </c>
      <c r="J83" s="219">
        <f t="shared" si="9"/>
        <v>0</v>
      </c>
      <c r="K83" s="219">
        <f t="shared" si="10"/>
        <v>0</v>
      </c>
      <c r="L83" s="232">
        <f t="shared" si="11"/>
        <v>13155875.800000003</v>
      </c>
      <c r="M83" s="219">
        <f t="shared" si="12"/>
        <v>0</v>
      </c>
      <c r="N83" s="219">
        <f t="shared" si="13"/>
        <v>0</v>
      </c>
      <c r="O83" s="219">
        <f t="shared" si="14"/>
        <v>0</v>
      </c>
      <c r="P83" s="219">
        <f t="shared" si="15"/>
        <v>0</v>
      </c>
      <c r="Q83" s="219"/>
      <c r="R83" s="31"/>
      <c r="S83" s="36"/>
      <c r="T83" s="118"/>
      <c r="U83" s="122"/>
      <c r="V83" s="123"/>
      <c r="W83" s="38"/>
      <c r="X83" s="33">
        <v>234763.23000000004</v>
      </c>
      <c r="Y83" s="33">
        <v>5784109.0800000001</v>
      </c>
      <c r="Z83" s="33"/>
      <c r="AA83" s="33">
        <v>4698187.3200000031</v>
      </c>
      <c r="AB83" s="39">
        <v>2438816.1699999995</v>
      </c>
      <c r="AC83" s="38"/>
      <c r="AD83" s="33"/>
      <c r="AE83" s="33"/>
      <c r="AF83" s="33"/>
      <c r="AG83" s="39"/>
      <c r="AH83" s="117"/>
      <c r="AI83" s="38"/>
      <c r="AJ83" s="39"/>
      <c r="AK83" s="38"/>
      <c r="AL83" s="33"/>
      <c r="AM83" s="39"/>
    </row>
    <row r="84" spans="1:39" hidden="1" x14ac:dyDescent="0.25">
      <c r="A84" s="114" t="s">
        <v>500</v>
      </c>
      <c r="B84" s="31" t="s">
        <v>489</v>
      </c>
      <c r="C84" s="31" t="s">
        <v>490</v>
      </c>
      <c r="D84" s="36" t="s">
        <v>502</v>
      </c>
      <c r="E84" s="112" t="s">
        <v>96</v>
      </c>
      <c r="F84" s="32"/>
      <c r="G84" s="32"/>
      <c r="H84" s="31"/>
      <c r="I84" s="219">
        <f t="shared" si="8"/>
        <v>0</v>
      </c>
      <c r="J84" s="219">
        <f t="shared" si="9"/>
        <v>0</v>
      </c>
      <c r="K84" s="219">
        <f t="shared" si="10"/>
        <v>0</v>
      </c>
      <c r="L84" s="232">
        <f t="shared" si="11"/>
        <v>16108388.52</v>
      </c>
      <c r="M84" s="219">
        <f t="shared" si="12"/>
        <v>0</v>
      </c>
      <c r="N84" s="219">
        <f t="shared" si="13"/>
        <v>0</v>
      </c>
      <c r="O84" s="219">
        <f t="shared" si="14"/>
        <v>0</v>
      </c>
      <c r="P84" s="219">
        <f t="shared" si="15"/>
        <v>0</v>
      </c>
      <c r="Q84" s="219"/>
      <c r="R84" s="31"/>
      <c r="S84" s="36"/>
      <c r="T84" s="118"/>
      <c r="U84" s="122"/>
      <c r="V84" s="123"/>
      <c r="W84" s="38"/>
      <c r="X84" s="33"/>
      <c r="Y84" s="33"/>
      <c r="Z84" s="33"/>
      <c r="AA84" s="33"/>
      <c r="AB84" s="39">
        <v>16108388.52</v>
      </c>
      <c r="AC84" s="38"/>
      <c r="AD84" s="33"/>
      <c r="AE84" s="33"/>
      <c r="AF84" s="33"/>
      <c r="AG84" s="39"/>
      <c r="AH84" s="117"/>
      <c r="AI84" s="38"/>
      <c r="AJ84" s="39"/>
      <c r="AK84" s="38"/>
      <c r="AL84" s="33"/>
      <c r="AM84" s="39"/>
    </row>
    <row r="85" spans="1:39" hidden="1" x14ac:dyDescent="0.25">
      <c r="A85" s="114" t="s">
        <v>7</v>
      </c>
      <c r="B85" s="31" t="s">
        <v>489</v>
      </c>
      <c r="C85" s="31" t="s">
        <v>495</v>
      </c>
      <c r="D85" s="36" t="s">
        <v>496</v>
      </c>
      <c r="E85" s="112" t="s">
        <v>96</v>
      </c>
      <c r="F85" s="32"/>
      <c r="G85" s="32"/>
      <c r="H85" s="31"/>
      <c r="I85" s="219">
        <f t="shared" si="8"/>
        <v>0</v>
      </c>
      <c r="J85" s="219">
        <f t="shared" si="9"/>
        <v>0</v>
      </c>
      <c r="K85" s="219">
        <f t="shared" si="10"/>
        <v>0</v>
      </c>
      <c r="L85" s="232">
        <f t="shared" si="11"/>
        <v>0</v>
      </c>
      <c r="M85" s="219">
        <f t="shared" si="12"/>
        <v>0</v>
      </c>
      <c r="N85" s="219">
        <f t="shared" si="13"/>
        <v>5977787.8299999991</v>
      </c>
      <c r="O85" s="219">
        <f t="shared" si="14"/>
        <v>0</v>
      </c>
      <c r="P85" s="219">
        <f t="shared" si="15"/>
        <v>0</v>
      </c>
      <c r="Q85" s="219"/>
      <c r="R85" s="31"/>
      <c r="S85" s="36"/>
      <c r="T85" s="118"/>
      <c r="U85" s="122"/>
      <c r="V85" s="123"/>
      <c r="W85" s="38"/>
      <c r="X85" s="33"/>
      <c r="Y85" s="33"/>
      <c r="Z85" s="33"/>
      <c r="AA85" s="33"/>
      <c r="AB85" s="39"/>
      <c r="AC85" s="38"/>
      <c r="AD85" s="33"/>
      <c r="AE85" s="33"/>
      <c r="AF85" s="33"/>
      <c r="AG85" s="39">
        <v>5977787.8299999991</v>
      </c>
      <c r="AH85" s="117"/>
      <c r="AI85" s="38"/>
      <c r="AJ85" s="39"/>
      <c r="AK85" s="38"/>
      <c r="AL85" s="33"/>
      <c r="AM85" s="39"/>
    </row>
    <row r="86" spans="1:39" hidden="1" x14ac:dyDescent="0.25">
      <c r="A86" s="114" t="s">
        <v>145</v>
      </c>
      <c r="B86" s="31" t="s">
        <v>489</v>
      </c>
      <c r="C86" s="31" t="s">
        <v>495</v>
      </c>
      <c r="D86" s="36" t="s">
        <v>496</v>
      </c>
      <c r="E86" s="112" t="s">
        <v>96</v>
      </c>
      <c r="F86" s="32"/>
      <c r="G86" s="32"/>
      <c r="H86" s="31"/>
      <c r="I86" s="219">
        <f t="shared" si="8"/>
        <v>0</v>
      </c>
      <c r="J86" s="219">
        <f t="shared" si="9"/>
        <v>66978.099999999991</v>
      </c>
      <c r="K86" s="219">
        <f t="shared" si="10"/>
        <v>0</v>
      </c>
      <c r="L86" s="232">
        <f t="shared" si="11"/>
        <v>0</v>
      </c>
      <c r="M86" s="219">
        <f t="shared" si="12"/>
        <v>0</v>
      </c>
      <c r="N86" s="219">
        <f t="shared" si="13"/>
        <v>36875949.079999991</v>
      </c>
      <c r="O86" s="219">
        <f t="shared" si="14"/>
        <v>0</v>
      </c>
      <c r="P86" s="219">
        <f t="shared" si="15"/>
        <v>0</v>
      </c>
      <c r="Q86" s="219"/>
      <c r="R86" s="31"/>
      <c r="S86" s="36"/>
      <c r="T86" s="118">
        <v>66978.099999999991</v>
      </c>
      <c r="U86" s="122"/>
      <c r="V86" s="123"/>
      <c r="W86" s="38"/>
      <c r="X86" s="33"/>
      <c r="Y86" s="33"/>
      <c r="Z86" s="33"/>
      <c r="AA86" s="33"/>
      <c r="AB86" s="39"/>
      <c r="AC86" s="38"/>
      <c r="AD86" s="33"/>
      <c r="AE86" s="33"/>
      <c r="AF86" s="33"/>
      <c r="AG86" s="39">
        <v>36875949.079999991</v>
      </c>
      <c r="AH86" s="117"/>
      <c r="AI86" s="38"/>
      <c r="AJ86" s="39"/>
      <c r="AK86" s="38"/>
      <c r="AL86" s="33"/>
      <c r="AM86" s="39"/>
    </row>
    <row r="87" spans="1:39" hidden="1" x14ac:dyDescent="0.25">
      <c r="A87" s="114" t="s">
        <v>145</v>
      </c>
      <c r="B87" s="31" t="s">
        <v>489</v>
      </c>
      <c r="C87" s="31" t="s">
        <v>495</v>
      </c>
      <c r="D87" s="36" t="s">
        <v>498</v>
      </c>
      <c r="E87" s="112" t="s">
        <v>96</v>
      </c>
      <c r="F87" s="32"/>
      <c r="G87" s="32"/>
      <c r="H87" s="31"/>
      <c r="I87" s="219">
        <f t="shared" si="8"/>
        <v>0</v>
      </c>
      <c r="J87" s="219">
        <f t="shared" si="9"/>
        <v>0</v>
      </c>
      <c r="K87" s="219">
        <f t="shared" si="10"/>
        <v>0</v>
      </c>
      <c r="L87" s="232">
        <f t="shared" si="11"/>
        <v>965432.04999999993</v>
      </c>
      <c r="M87" s="219">
        <f t="shared" si="12"/>
        <v>0</v>
      </c>
      <c r="N87" s="219">
        <f t="shared" si="13"/>
        <v>0</v>
      </c>
      <c r="O87" s="219">
        <f t="shared" si="14"/>
        <v>0</v>
      </c>
      <c r="P87" s="219">
        <f t="shared" si="15"/>
        <v>0</v>
      </c>
      <c r="Q87" s="219"/>
      <c r="R87" s="31"/>
      <c r="S87" s="36"/>
      <c r="T87" s="118"/>
      <c r="U87" s="122"/>
      <c r="V87" s="123"/>
      <c r="W87" s="38"/>
      <c r="X87" s="33"/>
      <c r="Y87" s="33"/>
      <c r="Z87" s="33"/>
      <c r="AA87" s="33">
        <v>9206.41</v>
      </c>
      <c r="AB87" s="39">
        <v>956225.6399999999</v>
      </c>
      <c r="AC87" s="38"/>
      <c r="AD87" s="33"/>
      <c r="AE87" s="33"/>
      <c r="AF87" s="33"/>
      <c r="AG87" s="39"/>
      <c r="AH87" s="117"/>
      <c r="AI87" s="38"/>
      <c r="AJ87" s="39"/>
      <c r="AK87" s="38"/>
      <c r="AL87" s="33"/>
      <c r="AM87" s="39"/>
    </row>
    <row r="88" spans="1:39" hidden="1" x14ac:dyDescent="0.25">
      <c r="A88" s="114" t="s">
        <v>156</v>
      </c>
      <c r="B88" s="31" t="s">
        <v>489</v>
      </c>
      <c r="C88" s="31" t="s">
        <v>490</v>
      </c>
      <c r="D88" s="36" t="s">
        <v>502</v>
      </c>
      <c r="E88" s="112" t="s">
        <v>96</v>
      </c>
      <c r="F88" s="32"/>
      <c r="G88" s="32"/>
      <c r="H88" s="31"/>
      <c r="I88" s="219">
        <f t="shared" si="8"/>
        <v>0</v>
      </c>
      <c r="J88" s="219">
        <f t="shared" si="9"/>
        <v>0</v>
      </c>
      <c r="K88" s="219">
        <f t="shared" si="10"/>
        <v>0</v>
      </c>
      <c r="L88" s="232">
        <f t="shared" si="11"/>
        <v>0</v>
      </c>
      <c r="M88" s="219">
        <f t="shared" si="12"/>
        <v>0</v>
      </c>
      <c r="N88" s="219">
        <f t="shared" si="13"/>
        <v>154349675.96999997</v>
      </c>
      <c r="O88" s="219">
        <f t="shared" si="14"/>
        <v>0</v>
      </c>
      <c r="P88" s="219">
        <f t="shared" si="15"/>
        <v>0</v>
      </c>
      <c r="Q88" s="219"/>
      <c r="R88" s="31"/>
      <c r="S88" s="36"/>
      <c r="T88" s="118"/>
      <c r="U88" s="122"/>
      <c r="V88" s="123"/>
      <c r="W88" s="38"/>
      <c r="X88" s="33"/>
      <c r="Y88" s="33"/>
      <c r="Z88" s="33"/>
      <c r="AA88" s="33"/>
      <c r="AB88" s="39"/>
      <c r="AC88" s="38"/>
      <c r="AD88" s="33"/>
      <c r="AE88" s="33"/>
      <c r="AF88" s="33"/>
      <c r="AG88" s="39">
        <v>154349675.96999997</v>
      </c>
      <c r="AH88" s="117"/>
      <c r="AI88" s="38"/>
      <c r="AJ88" s="39"/>
      <c r="AK88" s="38"/>
      <c r="AL88" s="33"/>
      <c r="AM88" s="39"/>
    </row>
    <row r="89" spans="1:39" hidden="1" x14ac:dyDescent="0.25">
      <c r="A89" s="114" t="s">
        <v>156</v>
      </c>
      <c r="B89" s="31" t="s">
        <v>489</v>
      </c>
      <c r="C89" s="31" t="s">
        <v>495</v>
      </c>
      <c r="D89" s="36" t="s">
        <v>519</v>
      </c>
      <c r="E89" s="112" t="s">
        <v>96</v>
      </c>
      <c r="F89" s="32"/>
      <c r="G89" s="32"/>
      <c r="H89" s="31"/>
      <c r="I89" s="219">
        <f t="shared" si="8"/>
        <v>0</v>
      </c>
      <c r="J89" s="219">
        <f t="shared" si="9"/>
        <v>0</v>
      </c>
      <c r="K89" s="219">
        <f t="shared" si="10"/>
        <v>0</v>
      </c>
      <c r="L89" s="232">
        <f t="shared" si="11"/>
        <v>0</v>
      </c>
      <c r="M89" s="219">
        <f t="shared" si="12"/>
        <v>0</v>
      </c>
      <c r="N89" s="219">
        <f t="shared" si="13"/>
        <v>97457606.640000045</v>
      </c>
      <c r="O89" s="219">
        <f t="shared" si="14"/>
        <v>0</v>
      </c>
      <c r="P89" s="219">
        <f t="shared" si="15"/>
        <v>0</v>
      </c>
      <c r="Q89" s="219"/>
      <c r="R89" s="31"/>
      <c r="S89" s="36"/>
      <c r="T89" s="118"/>
      <c r="U89" s="122"/>
      <c r="V89" s="123"/>
      <c r="W89" s="38"/>
      <c r="X89" s="33"/>
      <c r="Y89" s="33"/>
      <c r="Z89" s="33"/>
      <c r="AA89" s="33"/>
      <c r="AB89" s="39"/>
      <c r="AC89" s="38"/>
      <c r="AD89" s="33"/>
      <c r="AE89" s="33"/>
      <c r="AF89" s="33"/>
      <c r="AG89" s="39">
        <v>97457606.640000045</v>
      </c>
      <c r="AH89" s="117"/>
      <c r="AI89" s="38"/>
      <c r="AJ89" s="39"/>
      <c r="AK89" s="38"/>
      <c r="AL89" s="33"/>
      <c r="AM89" s="39"/>
    </row>
    <row r="90" spans="1:39" hidden="1" x14ac:dyDescent="0.25">
      <c r="A90" s="114" t="s">
        <v>156</v>
      </c>
      <c r="B90" s="31" t="s">
        <v>489</v>
      </c>
      <c r="C90" s="31" t="s">
        <v>503</v>
      </c>
      <c r="D90" s="36" t="s">
        <v>504</v>
      </c>
      <c r="E90" s="112" t="s">
        <v>96</v>
      </c>
      <c r="F90" s="32"/>
      <c r="G90" s="32"/>
      <c r="H90" s="31"/>
      <c r="I90" s="219">
        <f t="shared" si="8"/>
        <v>0</v>
      </c>
      <c r="J90" s="219">
        <f t="shared" si="9"/>
        <v>647650.96</v>
      </c>
      <c r="K90" s="219">
        <f t="shared" si="10"/>
        <v>0</v>
      </c>
      <c r="L90" s="232">
        <f t="shared" si="11"/>
        <v>2343202.3099999996</v>
      </c>
      <c r="M90" s="219">
        <f t="shared" si="12"/>
        <v>0</v>
      </c>
      <c r="N90" s="219">
        <f t="shared" si="13"/>
        <v>96576744.649999991</v>
      </c>
      <c r="O90" s="219">
        <f t="shared" si="14"/>
        <v>0</v>
      </c>
      <c r="P90" s="219">
        <f t="shared" si="15"/>
        <v>0</v>
      </c>
      <c r="Q90" s="219"/>
      <c r="R90" s="31"/>
      <c r="S90" s="36"/>
      <c r="T90" s="118"/>
      <c r="U90" s="122">
        <v>647650.96</v>
      </c>
      <c r="V90" s="123"/>
      <c r="W90" s="38"/>
      <c r="X90" s="33"/>
      <c r="Y90" s="33">
        <v>2343202.3099999996</v>
      </c>
      <c r="Z90" s="33"/>
      <c r="AA90" s="33"/>
      <c r="AB90" s="39"/>
      <c r="AC90" s="38"/>
      <c r="AD90" s="33"/>
      <c r="AE90" s="33"/>
      <c r="AF90" s="33"/>
      <c r="AG90" s="39">
        <v>96576744.649999991</v>
      </c>
      <c r="AH90" s="117"/>
      <c r="AI90" s="38"/>
      <c r="AJ90" s="39"/>
      <c r="AK90" s="38"/>
      <c r="AL90" s="33"/>
      <c r="AM90" s="39"/>
    </row>
    <row r="91" spans="1:39" hidden="1" x14ac:dyDescent="0.25">
      <c r="A91" s="114" t="s">
        <v>18</v>
      </c>
      <c r="B91" s="31"/>
      <c r="C91" s="31"/>
      <c r="D91" s="36" t="s">
        <v>319</v>
      </c>
      <c r="E91" s="112" t="s">
        <v>96</v>
      </c>
      <c r="F91" s="32"/>
      <c r="G91" s="32"/>
      <c r="H91" s="31"/>
      <c r="I91" s="219">
        <f t="shared" si="8"/>
        <v>0</v>
      </c>
      <c r="J91" s="219">
        <f t="shared" si="9"/>
        <v>0</v>
      </c>
      <c r="K91" s="219">
        <f t="shared" si="10"/>
        <v>0</v>
      </c>
      <c r="L91" s="232">
        <f t="shared" si="11"/>
        <v>0</v>
      </c>
      <c r="M91" s="219">
        <f t="shared" si="12"/>
        <v>0</v>
      </c>
      <c r="N91" s="219">
        <f t="shared" si="13"/>
        <v>66260277.179999992</v>
      </c>
      <c r="O91" s="219">
        <f t="shared" si="14"/>
        <v>0</v>
      </c>
      <c r="P91" s="219">
        <f t="shared" si="15"/>
        <v>0</v>
      </c>
      <c r="Q91" s="219"/>
      <c r="R91" s="31"/>
      <c r="S91" s="36"/>
      <c r="T91" s="118"/>
      <c r="U91" s="122"/>
      <c r="V91" s="123"/>
      <c r="W91" s="38"/>
      <c r="X91" s="33"/>
      <c r="Y91" s="33"/>
      <c r="Z91" s="33"/>
      <c r="AA91" s="33"/>
      <c r="AB91" s="39"/>
      <c r="AC91" s="38"/>
      <c r="AD91" s="33"/>
      <c r="AE91" s="33"/>
      <c r="AF91" s="33"/>
      <c r="AG91" s="39">
        <v>66260277.179999992</v>
      </c>
      <c r="AH91" s="117"/>
      <c r="AI91" s="38"/>
      <c r="AJ91" s="39"/>
      <c r="AK91" s="38"/>
      <c r="AL91" s="33"/>
      <c r="AM91" s="39"/>
    </row>
    <row r="92" spans="1:39" hidden="1" x14ac:dyDescent="0.25">
      <c r="A92" s="114" t="s">
        <v>432</v>
      </c>
      <c r="B92" s="31" t="s">
        <v>489</v>
      </c>
      <c r="C92" s="31" t="s">
        <v>490</v>
      </c>
      <c r="D92" s="36" t="s">
        <v>499</v>
      </c>
      <c r="E92" s="112" t="s">
        <v>96</v>
      </c>
      <c r="F92" s="32"/>
      <c r="G92" s="32"/>
      <c r="H92" s="31"/>
      <c r="I92" s="219">
        <f t="shared" si="8"/>
        <v>0</v>
      </c>
      <c r="J92" s="219">
        <f t="shared" si="9"/>
        <v>0</v>
      </c>
      <c r="K92" s="219">
        <f t="shared" si="10"/>
        <v>0</v>
      </c>
      <c r="L92" s="232">
        <f t="shared" si="11"/>
        <v>0</v>
      </c>
      <c r="M92" s="219">
        <f t="shared" si="12"/>
        <v>0</v>
      </c>
      <c r="N92" s="219">
        <f t="shared" si="13"/>
        <v>614114.75000000012</v>
      </c>
      <c r="O92" s="219">
        <f t="shared" si="14"/>
        <v>0</v>
      </c>
      <c r="P92" s="219">
        <f t="shared" si="15"/>
        <v>0</v>
      </c>
      <c r="Q92" s="219"/>
      <c r="R92" s="31"/>
      <c r="S92" s="36"/>
      <c r="T92" s="118"/>
      <c r="U92" s="122"/>
      <c r="V92" s="123"/>
      <c r="W92" s="38"/>
      <c r="X92" s="33"/>
      <c r="Y92" s="33"/>
      <c r="Z92" s="33"/>
      <c r="AA92" s="33"/>
      <c r="AB92" s="39"/>
      <c r="AC92" s="38"/>
      <c r="AD92" s="33"/>
      <c r="AE92" s="33"/>
      <c r="AF92" s="33"/>
      <c r="AG92" s="39">
        <v>614114.75000000012</v>
      </c>
      <c r="AH92" s="117"/>
      <c r="AI92" s="38"/>
      <c r="AJ92" s="39"/>
      <c r="AK92" s="38"/>
      <c r="AL92" s="33"/>
      <c r="AM92" s="39"/>
    </row>
    <row r="93" spans="1:39" hidden="1" x14ac:dyDescent="0.25">
      <c r="A93" s="114" t="s">
        <v>151</v>
      </c>
      <c r="B93" s="31" t="s">
        <v>489</v>
      </c>
      <c r="C93" s="31" t="s">
        <v>495</v>
      </c>
      <c r="D93" s="36" t="s">
        <v>496</v>
      </c>
      <c r="E93" s="112" t="s">
        <v>96</v>
      </c>
      <c r="F93" s="32"/>
      <c r="G93" s="32"/>
      <c r="H93" s="31"/>
      <c r="I93" s="219">
        <f t="shared" si="8"/>
        <v>0</v>
      </c>
      <c r="J93" s="219">
        <f t="shared" si="9"/>
        <v>3728265.5199999996</v>
      </c>
      <c r="K93" s="219">
        <f t="shared" si="10"/>
        <v>690778.12</v>
      </c>
      <c r="L93" s="232">
        <f t="shared" si="11"/>
        <v>14242540.309999997</v>
      </c>
      <c r="M93" s="219">
        <f t="shared" si="12"/>
        <v>0</v>
      </c>
      <c r="N93" s="219">
        <f t="shared" si="13"/>
        <v>42349125.859999992</v>
      </c>
      <c r="O93" s="219">
        <f t="shared" si="14"/>
        <v>0</v>
      </c>
      <c r="P93" s="219">
        <f t="shared" si="15"/>
        <v>0</v>
      </c>
      <c r="Q93" s="219"/>
      <c r="R93" s="31"/>
      <c r="S93" s="36"/>
      <c r="T93" s="118">
        <v>3728265.5199999996</v>
      </c>
      <c r="U93" s="122"/>
      <c r="V93" s="123"/>
      <c r="W93" s="38">
        <v>690778.12</v>
      </c>
      <c r="X93" s="33">
        <v>14242540.309999997</v>
      </c>
      <c r="Y93" s="33"/>
      <c r="Z93" s="33"/>
      <c r="AA93" s="33"/>
      <c r="AB93" s="39"/>
      <c r="AC93" s="38"/>
      <c r="AD93" s="33"/>
      <c r="AE93" s="33"/>
      <c r="AF93" s="33"/>
      <c r="AG93" s="39">
        <v>42349125.859999992</v>
      </c>
      <c r="AH93" s="117"/>
      <c r="AI93" s="38"/>
      <c r="AJ93" s="39"/>
      <c r="AK93" s="38"/>
      <c r="AL93" s="33"/>
      <c r="AM93" s="39"/>
    </row>
    <row r="94" spans="1:39" hidden="1" x14ac:dyDescent="0.25">
      <c r="A94" s="114" t="s">
        <v>151</v>
      </c>
      <c r="B94" s="31" t="s">
        <v>489</v>
      </c>
      <c r="C94" s="31" t="s">
        <v>495</v>
      </c>
      <c r="D94" s="36" t="s">
        <v>498</v>
      </c>
      <c r="E94" s="112" t="s">
        <v>96</v>
      </c>
      <c r="F94" s="32"/>
      <c r="G94" s="32"/>
      <c r="H94" s="31"/>
      <c r="I94" s="219">
        <f t="shared" si="8"/>
        <v>0</v>
      </c>
      <c r="J94" s="219">
        <f t="shared" si="9"/>
        <v>0</v>
      </c>
      <c r="K94" s="219">
        <f t="shared" si="10"/>
        <v>0</v>
      </c>
      <c r="L94" s="232">
        <f t="shared" si="11"/>
        <v>20217879.569999993</v>
      </c>
      <c r="M94" s="219">
        <f t="shared" si="12"/>
        <v>0</v>
      </c>
      <c r="N94" s="219">
        <f t="shared" si="13"/>
        <v>0</v>
      </c>
      <c r="O94" s="219">
        <f t="shared" si="14"/>
        <v>0</v>
      </c>
      <c r="P94" s="219">
        <f t="shared" si="15"/>
        <v>0</v>
      </c>
      <c r="Q94" s="219"/>
      <c r="R94" s="31"/>
      <c r="S94" s="36"/>
      <c r="T94" s="118"/>
      <c r="U94" s="122"/>
      <c r="V94" s="123"/>
      <c r="W94" s="38"/>
      <c r="X94" s="33">
        <v>69230.34</v>
      </c>
      <c r="Y94" s="33">
        <v>6089153.1999999983</v>
      </c>
      <c r="Z94" s="33"/>
      <c r="AA94" s="33">
        <v>6798674.6099999966</v>
      </c>
      <c r="AB94" s="39">
        <v>7260821.419999999</v>
      </c>
      <c r="AC94" s="38"/>
      <c r="AD94" s="33"/>
      <c r="AE94" s="33"/>
      <c r="AF94" s="33"/>
      <c r="AG94" s="39"/>
      <c r="AH94" s="117"/>
      <c r="AI94" s="38"/>
      <c r="AJ94" s="39"/>
      <c r="AK94" s="38"/>
      <c r="AL94" s="33"/>
      <c r="AM94" s="39"/>
    </row>
    <row r="95" spans="1:39" hidden="1" x14ac:dyDescent="0.25">
      <c r="A95" s="114" t="s">
        <v>151</v>
      </c>
      <c r="B95" s="31" t="s">
        <v>489</v>
      </c>
      <c r="C95" s="31" t="s">
        <v>495</v>
      </c>
      <c r="D95" s="36" t="s">
        <v>519</v>
      </c>
      <c r="E95" s="112" t="s">
        <v>96</v>
      </c>
      <c r="F95" s="32"/>
      <c r="G95" s="32"/>
      <c r="H95" s="31"/>
      <c r="I95" s="219">
        <f t="shared" si="8"/>
        <v>0</v>
      </c>
      <c r="J95" s="219">
        <f t="shared" si="9"/>
        <v>0</v>
      </c>
      <c r="K95" s="219">
        <f t="shared" si="10"/>
        <v>915017.40000000014</v>
      </c>
      <c r="L95" s="232">
        <f t="shared" si="11"/>
        <v>0</v>
      </c>
      <c r="M95" s="219">
        <f t="shared" si="12"/>
        <v>0</v>
      </c>
      <c r="N95" s="219">
        <f t="shared" si="13"/>
        <v>0</v>
      </c>
      <c r="O95" s="219">
        <f t="shared" si="14"/>
        <v>0</v>
      </c>
      <c r="P95" s="219">
        <f t="shared" si="15"/>
        <v>0</v>
      </c>
      <c r="Q95" s="219"/>
      <c r="R95" s="31"/>
      <c r="S95" s="36"/>
      <c r="T95" s="118"/>
      <c r="U95" s="122"/>
      <c r="V95" s="123"/>
      <c r="W95" s="38">
        <v>915017.40000000014</v>
      </c>
      <c r="X95" s="33"/>
      <c r="Y95" s="33"/>
      <c r="Z95" s="33"/>
      <c r="AA95" s="33"/>
      <c r="AB95" s="39"/>
      <c r="AC95" s="38"/>
      <c r="AD95" s="33"/>
      <c r="AE95" s="33"/>
      <c r="AF95" s="33"/>
      <c r="AG95" s="39"/>
      <c r="AH95" s="117"/>
      <c r="AI95" s="38"/>
      <c r="AJ95" s="39"/>
      <c r="AK95" s="38"/>
      <c r="AL95" s="33"/>
      <c r="AM95" s="39"/>
    </row>
    <row r="96" spans="1:39" hidden="1" x14ac:dyDescent="0.25">
      <c r="A96" s="114" t="s">
        <v>17</v>
      </c>
      <c r="B96" s="31"/>
      <c r="C96" s="31"/>
      <c r="D96" s="36" t="s">
        <v>331</v>
      </c>
      <c r="E96" s="112" t="s">
        <v>96</v>
      </c>
      <c r="F96" s="32"/>
      <c r="G96" s="32"/>
      <c r="H96" s="31"/>
      <c r="I96" s="219">
        <f t="shared" si="8"/>
        <v>0</v>
      </c>
      <c r="J96" s="219">
        <f t="shared" si="9"/>
        <v>0</v>
      </c>
      <c r="K96" s="219">
        <f t="shared" si="10"/>
        <v>0</v>
      </c>
      <c r="L96" s="232">
        <f t="shared" si="11"/>
        <v>0</v>
      </c>
      <c r="M96" s="219">
        <f t="shared" si="12"/>
        <v>0</v>
      </c>
      <c r="N96" s="219">
        <f t="shared" si="13"/>
        <v>84690420.809999987</v>
      </c>
      <c r="O96" s="219">
        <f t="shared" si="14"/>
        <v>0</v>
      </c>
      <c r="P96" s="219">
        <f t="shared" si="15"/>
        <v>0</v>
      </c>
      <c r="Q96" s="219"/>
      <c r="R96" s="31"/>
      <c r="S96" s="36"/>
      <c r="T96" s="118"/>
      <c r="U96" s="122"/>
      <c r="V96" s="123"/>
      <c r="W96" s="38"/>
      <c r="X96" s="33"/>
      <c r="Y96" s="33"/>
      <c r="Z96" s="33"/>
      <c r="AA96" s="33"/>
      <c r="AB96" s="39"/>
      <c r="AC96" s="38"/>
      <c r="AD96" s="33"/>
      <c r="AE96" s="33"/>
      <c r="AF96" s="33"/>
      <c r="AG96" s="39">
        <v>84690420.809999987</v>
      </c>
      <c r="AH96" s="117"/>
      <c r="AI96" s="38"/>
      <c r="AJ96" s="39"/>
      <c r="AK96" s="38"/>
      <c r="AL96" s="33"/>
      <c r="AM96" s="39"/>
    </row>
    <row r="97" spans="1:39" hidden="1" x14ac:dyDescent="0.25">
      <c r="A97" s="114" t="s">
        <v>167</v>
      </c>
      <c r="B97" s="31" t="s">
        <v>489</v>
      </c>
      <c r="C97" s="31" t="s">
        <v>490</v>
      </c>
      <c r="D97" s="36" t="s">
        <v>491</v>
      </c>
      <c r="E97" s="112" t="s">
        <v>96</v>
      </c>
      <c r="F97" s="32"/>
      <c r="G97" s="32"/>
      <c r="H97" s="31"/>
      <c r="I97" s="219">
        <f t="shared" si="8"/>
        <v>0</v>
      </c>
      <c r="J97" s="219">
        <f t="shared" si="9"/>
        <v>0</v>
      </c>
      <c r="K97" s="219">
        <f t="shared" si="10"/>
        <v>0</v>
      </c>
      <c r="L97" s="232">
        <f t="shared" si="11"/>
        <v>7100323.7600000007</v>
      </c>
      <c r="M97" s="219">
        <f t="shared" si="12"/>
        <v>0</v>
      </c>
      <c r="N97" s="219">
        <f t="shared" si="13"/>
        <v>0</v>
      </c>
      <c r="O97" s="219">
        <f t="shared" si="14"/>
        <v>0</v>
      </c>
      <c r="P97" s="219">
        <f t="shared" si="15"/>
        <v>0</v>
      </c>
      <c r="Q97" s="219"/>
      <c r="R97" s="31"/>
      <c r="S97" s="36"/>
      <c r="T97" s="118"/>
      <c r="U97" s="122"/>
      <c r="V97" s="123"/>
      <c r="W97" s="38"/>
      <c r="X97" s="33"/>
      <c r="Y97" s="33">
        <v>258674.95999999996</v>
      </c>
      <c r="Z97" s="33"/>
      <c r="AA97" s="33"/>
      <c r="AB97" s="39">
        <v>6841648.8000000007</v>
      </c>
      <c r="AC97" s="38"/>
      <c r="AD97" s="33"/>
      <c r="AE97" s="33"/>
      <c r="AF97" s="33"/>
      <c r="AG97" s="39"/>
      <c r="AH97" s="117"/>
      <c r="AI97" s="38"/>
      <c r="AJ97" s="39"/>
      <c r="AK97" s="38"/>
      <c r="AL97" s="33"/>
      <c r="AM97" s="39"/>
    </row>
    <row r="98" spans="1:39" hidden="1" x14ac:dyDescent="0.25">
      <c r="A98" s="114" t="s">
        <v>154</v>
      </c>
      <c r="B98" s="31" t="s">
        <v>489</v>
      </c>
      <c r="C98" s="31" t="s">
        <v>495</v>
      </c>
      <c r="D98" s="36" t="s">
        <v>519</v>
      </c>
      <c r="E98" s="112" t="s">
        <v>96</v>
      </c>
      <c r="F98" s="32">
        <v>1</v>
      </c>
      <c r="G98" s="32"/>
      <c r="H98" s="31"/>
      <c r="I98" s="219">
        <f t="shared" si="8"/>
        <v>0</v>
      </c>
      <c r="J98" s="219">
        <f t="shared" si="9"/>
        <v>5206415.1100000003</v>
      </c>
      <c r="K98" s="219">
        <f t="shared" si="10"/>
        <v>19855977.530000001</v>
      </c>
      <c r="L98" s="232">
        <f t="shared" si="11"/>
        <v>55258671.310000002</v>
      </c>
      <c r="M98" s="219">
        <f t="shared" si="12"/>
        <v>0</v>
      </c>
      <c r="N98" s="219">
        <f t="shared" si="13"/>
        <v>88824023.780000031</v>
      </c>
      <c r="O98" s="219">
        <f t="shared" si="14"/>
        <v>0</v>
      </c>
      <c r="P98" s="219">
        <f t="shared" si="15"/>
        <v>0</v>
      </c>
      <c r="Q98" s="219"/>
      <c r="R98" s="31"/>
      <c r="S98" s="36"/>
      <c r="T98" s="118">
        <v>923748.45000000007</v>
      </c>
      <c r="U98" s="122">
        <v>4282666.66</v>
      </c>
      <c r="V98" s="123"/>
      <c r="W98" s="38">
        <v>19855977.530000001</v>
      </c>
      <c r="X98" s="33">
        <v>7118152.6999999983</v>
      </c>
      <c r="Y98" s="33">
        <v>10432731.61999999</v>
      </c>
      <c r="Z98" s="33"/>
      <c r="AA98" s="33">
        <v>4202797.730000006</v>
      </c>
      <c r="AB98" s="39">
        <v>33504989.260000005</v>
      </c>
      <c r="AC98" s="38"/>
      <c r="AD98" s="33"/>
      <c r="AE98" s="33"/>
      <c r="AF98" s="33"/>
      <c r="AG98" s="39">
        <v>88824023.780000031</v>
      </c>
      <c r="AH98" s="117"/>
      <c r="AI98" s="38"/>
      <c r="AJ98" s="39"/>
      <c r="AK98" s="38"/>
      <c r="AL98" s="33"/>
      <c r="AM98" s="39"/>
    </row>
    <row r="99" spans="1:39" hidden="1" x14ac:dyDescent="0.25">
      <c r="A99" s="114" t="s">
        <v>333</v>
      </c>
      <c r="B99" s="31" t="s">
        <v>489</v>
      </c>
      <c r="C99" s="31" t="s">
        <v>495</v>
      </c>
      <c r="D99" s="36" t="s">
        <v>496</v>
      </c>
      <c r="E99" s="112" t="s">
        <v>96</v>
      </c>
      <c r="F99" s="32"/>
      <c r="G99" s="32"/>
      <c r="H99" s="31"/>
      <c r="I99" s="219">
        <f t="shared" si="8"/>
        <v>0</v>
      </c>
      <c r="J99" s="219">
        <f t="shared" si="9"/>
        <v>0</v>
      </c>
      <c r="K99" s="219">
        <f t="shared" si="10"/>
        <v>0</v>
      </c>
      <c r="L99" s="232">
        <f t="shared" si="11"/>
        <v>0</v>
      </c>
      <c r="M99" s="219">
        <f t="shared" si="12"/>
        <v>0</v>
      </c>
      <c r="N99" s="219">
        <f t="shared" si="13"/>
        <v>181352079.10000005</v>
      </c>
      <c r="O99" s="219">
        <f t="shared" si="14"/>
        <v>0</v>
      </c>
      <c r="P99" s="219">
        <f t="shared" si="15"/>
        <v>0</v>
      </c>
      <c r="Q99" s="219"/>
      <c r="R99" s="31"/>
      <c r="S99" s="36"/>
      <c r="T99" s="118"/>
      <c r="U99" s="122"/>
      <c r="V99" s="123"/>
      <c r="W99" s="38"/>
      <c r="X99" s="33"/>
      <c r="Y99" s="33"/>
      <c r="Z99" s="33"/>
      <c r="AA99" s="33"/>
      <c r="AB99" s="39"/>
      <c r="AC99" s="38"/>
      <c r="AD99" s="33"/>
      <c r="AE99" s="33"/>
      <c r="AF99" s="33"/>
      <c r="AG99" s="39">
        <v>181352079.10000005</v>
      </c>
      <c r="AH99" s="117"/>
      <c r="AI99" s="38"/>
      <c r="AJ99" s="39"/>
      <c r="AK99" s="38"/>
      <c r="AL99" s="33"/>
      <c r="AM99" s="39"/>
    </row>
    <row r="100" spans="1:39" hidden="1" x14ac:dyDescent="0.25">
      <c r="A100" s="114" t="s">
        <v>152</v>
      </c>
      <c r="B100" s="31" t="s">
        <v>489</v>
      </c>
      <c r="C100" s="31" t="s">
        <v>490</v>
      </c>
      <c r="D100" s="36" t="s">
        <v>502</v>
      </c>
      <c r="E100" s="112" t="s">
        <v>96</v>
      </c>
      <c r="F100" s="32">
        <v>1</v>
      </c>
      <c r="G100" s="32"/>
      <c r="H100" s="31"/>
      <c r="I100" s="219">
        <f t="shared" si="8"/>
        <v>0</v>
      </c>
      <c r="J100" s="219">
        <f t="shared" si="9"/>
        <v>0</v>
      </c>
      <c r="K100" s="219">
        <f t="shared" si="10"/>
        <v>0</v>
      </c>
      <c r="L100" s="232">
        <f t="shared" si="11"/>
        <v>11634677.039999999</v>
      </c>
      <c r="M100" s="219">
        <f t="shared" si="12"/>
        <v>0</v>
      </c>
      <c r="N100" s="219">
        <f t="shared" si="13"/>
        <v>0</v>
      </c>
      <c r="O100" s="219">
        <f t="shared" si="14"/>
        <v>0</v>
      </c>
      <c r="P100" s="219">
        <f t="shared" si="15"/>
        <v>0</v>
      </c>
      <c r="Q100" s="219"/>
      <c r="R100" s="31"/>
      <c r="S100" s="36"/>
      <c r="T100" s="118"/>
      <c r="U100" s="122"/>
      <c r="V100" s="123"/>
      <c r="W100" s="38"/>
      <c r="X100" s="33"/>
      <c r="Y100" s="33"/>
      <c r="Z100" s="33"/>
      <c r="AA100" s="33"/>
      <c r="AB100" s="39">
        <v>11634677.039999999</v>
      </c>
      <c r="AC100" s="38"/>
      <c r="AD100" s="33"/>
      <c r="AE100" s="33"/>
      <c r="AF100" s="33"/>
      <c r="AG100" s="39"/>
      <c r="AH100" s="117"/>
      <c r="AI100" s="38"/>
      <c r="AJ100" s="39"/>
      <c r="AK100" s="38"/>
      <c r="AL100" s="33"/>
      <c r="AM100" s="39"/>
    </row>
    <row r="101" spans="1:39" hidden="1" x14ac:dyDescent="0.25">
      <c r="A101" s="114" t="s">
        <v>152</v>
      </c>
      <c r="B101" s="31" t="s">
        <v>489</v>
      </c>
      <c r="C101" s="31" t="s">
        <v>495</v>
      </c>
      <c r="D101" s="36" t="s">
        <v>519</v>
      </c>
      <c r="E101" s="112" t="s">
        <v>96</v>
      </c>
      <c r="F101" s="32"/>
      <c r="G101" s="32"/>
      <c r="H101" s="31"/>
      <c r="I101" s="219">
        <f t="shared" si="8"/>
        <v>0</v>
      </c>
      <c r="J101" s="219">
        <f t="shared" si="9"/>
        <v>1620898.13</v>
      </c>
      <c r="K101" s="219">
        <f t="shared" si="10"/>
        <v>124765002.74000025</v>
      </c>
      <c r="L101" s="232">
        <f t="shared" si="11"/>
        <v>230945526.10000005</v>
      </c>
      <c r="M101" s="219">
        <f t="shared" si="12"/>
        <v>0</v>
      </c>
      <c r="N101" s="219">
        <f t="shared" si="13"/>
        <v>1009222.0999999999</v>
      </c>
      <c r="O101" s="219">
        <f t="shared" si="14"/>
        <v>1117306.8829000001</v>
      </c>
      <c r="P101" s="219">
        <f t="shared" si="15"/>
        <v>0</v>
      </c>
      <c r="Q101" s="219"/>
      <c r="R101" s="31"/>
      <c r="S101" s="36"/>
      <c r="T101" s="118">
        <v>1620898.13</v>
      </c>
      <c r="U101" s="122"/>
      <c r="V101" s="123"/>
      <c r="W101" s="38">
        <v>124765002.74000025</v>
      </c>
      <c r="X101" s="33">
        <v>19332598.690000039</v>
      </c>
      <c r="Y101" s="33">
        <v>3437309.6799999988</v>
      </c>
      <c r="Z101" s="33"/>
      <c r="AA101" s="33">
        <v>5265409.5500000129</v>
      </c>
      <c r="AB101" s="39">
        <v>202910208.18000001</v>
      </c>
      <c r="AC101" s="38"/>
      <c r="AD101" s="33"/>
      <c r="AE101" s="33"/>
      <c r="AF101" s="33"/>
      <c r="AG101" s="39">
        <v>1009222.0999999999</v>
      </c>
      <c r="AH101" s="117">
        <v>1117306.8829000001</v>
      </c>
      <c r="AI101" s="38"/>
      <c r="AJ101" s="39"/>
      <c r="AK101" s="38"/>
      <c r="AL101" s="33"/>
      <c r="AM101" s="39"/>
    </row>
    <row r="102" spans="1:39" hidden="1" x14ac:dyDescent="0.25">
      <c r="A102" s="114" t="s">
        <v>107</v>
      </c>
      <c r="B102" s="31" t="s">
        <v>489</v>
      </c>
      <c r="C102" s="31" t="s">
        <v>495</v>
      </c>
      <c r="D102" s="36" t="s">
        <v>519</v>
      </c>
      <c r="E102" s="112" t="s">
        <v>96</v>
      </c>
      <c r="F102" s="32"/>
      <c r="G102" s="32"/>
      <c r="H102" s="31"/>
      <c r="I102" s="219">
        <f t="shared" si="8"/>
        <v>0</v>
      </c>
      <c r="J102" s="219">
        <f t="shared" si="9"/>
        <v>0</v>
      </c>
      <c r="K102" s="219">
        <f t="shared" si="10"/>
        <v>11906702.150000004</v>
      </c>
      <c r="L102" s="232">
        <f t="shared" si="11"/>
        <v>0</v>
      </c>
      <c r="M102" s="219">
        <f t="shared" si="12"/>
        <v>0</v>
      </c>
      <c r="N102" s="219">
        <f t="shared" si="13"/>
        <v>0</v>
      </c>
      <c r="O102" s="219">
        <f t="shared" si="14"/>
        <v>0</v>
      </c>
      <c r="P102" s="219">
        <f t="shared" si="15"/>
        <v>0</v>
      </c>
      <c r="Q102" s="219"/>
      <c r="R102" s="31"/>
      <c r="S102" s="36"/>
      <c r="T102" s="118"/>
      <c r="U102" s="122"/>
      <c r="V102" s="123"/>
      <c r="W102" s="38">
        <v>11906702.150000004</v>
      </c>
      <c r="X102" s="33"/>
      <c r="Y102" s="33"/>
      <c r="Z102" s="33"/>
      <c r="AA102" s="33"/>
      <c r="AB102" s="39"/>
      <c r="AC102" s="38"/>
      <c r="AD102" s="33"/>
      <c r="AE102" s="33"/>
      <c r="AF102" s="33"/>
      <c r="AG102" s="39"/>
      <c r="AH102" s="117"/>
      <c r="AI102" s="38"/>
      <c r="AJ102" s="39"/>
      <c r="AK102" s="38"/>
      <c r="AL102" s="33"/>
      <c r="AM102" s="39"/>
    </row>
    <row r="103" spans="1:39" hidden="1" x14ac:dyDescent="0.25">
      <c r="A103" s="114" t="s">
        <v>27</v>
      </c>
      <c r="B103" s="31" t="s">
        <v>489</v>
      </c>
      <c r="C103" s="31" t="s">
        <v>495</v>
      </c>
      <c r="D103" s="36" t="s">
        <v>519</v>
      </c>
      <c r="E103" s="112" t="s">
        <v>96</v>
      </c>
      <c r="F103" s="32"/>
      <c r="G103" s="32"/>
      <c r="H103" s="31"/>
      <c r="I103" s="219">
        <f t="shared" si="8"/>
        <v>0</v>
      </c>
      <c r="J103" s="219">
        <f t="shared" si="9"/>
        <v>0</v>
      </c>
      <c r="K103" s="219">
        <f t="shared" si="10"/>
        <v>6405121.8000000017</v>
      </c>
      <c r="L103" s="232">
        <f t="shared" si="11"/>
        <v>0</v>
      </c>
      <c r="M103" s="219">
        <f t="shared" si="12"/>
        <v>0</v>
      </c>
      <c r="N103" s="219">
        <f t="shared" si="13"/>
        <v>0</v>
      </c>
      <c r="O103" s="219">
        <f t="shared" si="14"/>
        <v>0</v>
      </c>
      <c r="P103" s="219">
        <f t="shared" si="15"/>
        <v>0</v>
      </c>
      <c r="Q103" s="219"/>
      <c r="R103" s="31"/>
      <c r="S103" s="36"/>
      <c r="T103" s="118"/>
      <c r="U103" s="122"/>
      <c r="V103" s="123"/>
      <c r="W103" s="38">
        <v>6405121.8000000017</v>
      </c>
      <c r="X103" s="33"/>
      <c r="Y103" s="33"/>
      <c r="Z103" s="33"/>
      <c r="AA103" s="33"/>
      <c r="AB103" s="39"/>
      <c r="AC103" s="38"/>
      <c r="AD103" s="33"/>
      <c r="AE103" s="33"/>
      <c r="AF103" s="33"/>
      <c r="AG103" s="39"/>
      <c r="AH103" s="117"/>
      <c r="AI103" s="38"/>
      <c r="AJ103" s="39"/>
      <c r="AK103" s="38"/>
      <c r="AL103" s="33"/>
      <c r="AM103" s="39"/>
    </row>
    <row r="104" spans="1:39" hidden="1" x14ac:dyDescent="0.25">
      <c r="A104" s="114" t="s">
        <v>105</v>
      </c>
      <c r="B104" s="31" t="s">
        <v>489</v>
      </c>
      <c r="C104" s="31" t="s">
        <v>495</v>
      </c>
      <c r="D104" s="36" t="s">
        <v>519</v>
      </c>
      <c r="E104" s="112" t="s">
        <v>96</v>
      </c>
      <c r="F104" s="32"/>
      <c r="G104" s="32"/>
      <c r="H104" s="31"/>
      <c r="I104" s="219">
        <f t="shared" si="8"/>
        <v>0</v>
      </c>
      <c r="J104" s="219">
        <f t="shared" si="9"/>
        <v>0</v>
      </c>
      <c r="K104" s="219">
        <f t="shared" si="10"/>
        <v>12810243.600000003</v>
      </c>
      <c r="L104" s="232">
        <f t="shared" si="11"/>
        <v>0</v>
      </c>
      <c r="M104" s="219">
        <f t="shared" si="12"/>
        <v>0</v>
      </c>
      <c r="N104" s="219">
        <f t="shared" si="13"/>
        <v>0</v>
      </c>
      <c r="O104" s="219">
        <f t="shared" si="14"/>
        <v>0</v>
      </c>
      <c r="P104" s="219">
        <f t="shared" si="15"/>
        <v>0</v>
      </c>
      <c r="Q104" s="219"/>
      <c r="R104" s="31"/>
      <c r="S104" s="36"/>
      <c r="T104" s="118"/>
      <c r="U104" s="122"/>
      <c r="V104" s="123"/>
      <c r="W104" s="38">
        <v>12810243.600000003</v>
      </c>
      <c r="X104" s="33"/>
      <c r="Y104" s="33"/>
      <c r="Z104" s="33"/>
      <c r="AA104" s="33"/>
      <c r="AB104" s="39"/>
      <c r="AC104" s="38"/>
      <c r="AD104" s="33"/>
      <c r="AE104" s="33"/>
      <c r="AF104" s="33"/>
      <c r="AG104" s="39"/>
      <c r="AH104" s="117"/>
      <c r="AI104" s="38"/>
      <c r="AJ104" s="39"/>
      <c r="AK104" s="38"/>
      <c r="AL104" s="33"/>
      <c r="AM104" s="39"/>
    </row>
    <row r="105" spans="1:39" hidden="1" x14ac:dyDescent="0.25">
      <c r="A105" s="114" t="s">
        <v>512</v>
      </c>
      <c r="B105" s="31" t="s">
        <v>489</v>
      </c>
      <c r="C105" s="31" t="s">
        <v>503</v>
      </c>
      <c r="D105" s="36" t="s">
        <v>520</v>
      </c>
      <c r="E105" s="112" t="s">
        <v>96</v>
      </c>
      <c r="F105" s="32"/>
      <c r="G105" s="32"/>
      <c r="H105" s="31"/>
      <c r="I105" s="219">
        <f t="shared" si="8"/>
        <v>0</v>
      </c>
      <c r="J105" s="219">
        <f t="shared" si="9"/>
        <v>0</v>
      </c>
      <c r="K105" s="219">
        <f t="shared" si="10"/>
        <v>0</v>
      </c>
      <c r="L105" s="232">
        <f t="shared" si="11"/>
        <v>24907468.829999991</v>
      </c>
      <c r="M105" s="219">
        <f t="shared" si="12"/>
        <v>0</v>
      </c>
      <c r="N105" s="219">
        <f t="shared" si="13"/>
        <v>0</v>
      </c>
      <c r="O105" s="219">
        <f t="shared" si="14"/>
        <v>0</v>
      </c>
      <c r="P105" s="219">
        <f t="shared" si="15"/>
        <v>0</v>
      </c>
      <c r="Q105" s="219"/>
      <c r="R105" s="31"/>
      <c r="S105" s="36"/>
      <c r="T105" s="118"/>
      <c r="U105" s="122"/>
      <c r="V105" s="123"/>
      <c r="W105" s="38"/>
      <c r="X105" s="33">
        <v>11745833.409999998</v>
      </c>
      <c r="Y105" s="33">
        <v>1560380.66</v>
      </c>
      <c r="Z105" s="33"/>
      <c r="AA105" s="33">
        <v>2728035.1099999938</v>
      </c>
      <c r="AB105" s="39">
        <v>8873219.6499999985</v>
      </c>
      <c r="AC105" s="38"/>
      <c r="AD105" s="33"/>
      <c r="AE105" s="33"/>
      <c r="AF105" s="33"/>
      <c r="AG105" s="39"/>
      <c r="AH105" s="117"/>
      <c r="AI105" s="38"/>
      <c r="AJ105" s="39"/>
      <c r="AK105" s="38"/>
      <c r="AL105" s="33"/>
      <c r="AM105" s="39"/>
    </row>
    <row r="106" spans="1:39" hidden="1" x14ac:dyDescent="0.25">
      <c r="A106" s="114" t="s">
        <v>517</v>
      </c>
      <c r="B106" s="31" t="s">
        <v>489</v>
      </c>
      <c r="C106" s="31" t="s">
        <v>503</v>
      </c>
      <c r="D106" s="36" t="s">
        <v>520</v>
      </c>
      <c r="E106" s="112" t="s">
        <v>96</v>
      </c>
      <c r="F106" s="32"/>
      <c r="G106" s="32"/>
      <c r="H106" s="31"/>
      <c r="I106" s="219">
        <f t="shared" si="8"/>
        <v>0</v>
      </c>
      <c r="J106" s="219">
        <f t="shared" si="9"/>
        <v>0</v>
      </c>
      <c r="K106" s="219">
        <f t="shared" si="10"/>
        <v>0</v>
      </c>
      <c r="L106" s="232">
        <f t="shared" si="11"/>
        <v>30155136.449999988</v>
      </c>
      <c r="M106" s="219">
        <f t="shared" si="12"/>
        <v>0</v>
      </c>
      <c r="N106" s="219">
        <f t="shared" si="13"/>
        <v>0</v>
      </c>
      <c r="O106" s="219">
        <f t="shared" si="14"/>
        <v>0</v>
      </c>
      <c r="P106" s="219">
        <f t="shared" si="15"/>
        <v>0</v>
      </c>
      <c r="Q106" s="219"/>
      <c r="R106" s="31"/>
      <c r="S106" s="36"/>
      <c r="T106" s="118"/>
      <c r="U106" s="122"/>
      <c r="V106" s="123"/>
      <c r="W106" s="38"/>
      <c r="X106" s="33">
        <v>6610092.3699999992</v>
      </c>
      <c r="Y106" s="33">
        <v>9649401.4800000004</v>
      </c>
      <c r="Z106" s="33"/>
      <c r="AA106" s="33">
        <v>4741557.7299999883</v>
      </c>
      <c r="AB106" s="39">
        <v>9154084.870000001</v>
      </c>
      <c r="AC106" s="38"/>
      <c r="AD106" s="33"/>
      <c r="AE106" s="33"/>
      <c r="AF106" s="33"/>
      <c r="AG106" s="39"/>
      <c r="AH106" s="117"/>
      <c r="AI106" s="38"/>
      <c r="AJ106" s="39"/>
      <c r="AK106" s="38"/>
      <c r="AL106" s="33"/>
      <c r="AM106" s="39"/>
    </row>
    <row r="107" spans="1:39" hidden="1" x14ac:dyDescent="0.25">
      <c r="A107" s="114" t="s">
        <v>160</v>
      </c>
      <c r="B107" s="31" t="s">
        <v>489</v>
      </c>
      <c r="C107" s="31" t="s">
        <v>490</v>
      </c>
      <c r="D107" s="36" t="s">
        <v>502</v>
      </c>
      <c r="E107" s="112" t="s">
        <v>96</v>
      </c>
      <c r="F107" s="32">
        <v>1</v>
      </c>
      <c r="G107" s="32"/>
      <c r="H107" s="31"/>
      <c r="I107" s="219">
        <f t="shared" si="8"/>
        <v>0</v>
      </c>
      <c r="J107" s="219">
        <f t="shared" si="9"/>
        <v>0</v>
      </c>
      <c r="K107" s="219">
        <f t="shared" si="10"/>
        <v>0</v>
      </c>
      <c r="L107" s="232">
        <f t="shared" si="11"/>
        <v>0</v>
      </c>
      <c r="M107" s="219">
        <f t="shared" si="12"/>
        <v>0</v>
      </c>
      <c r="N107" s="219">
        <f t="shared" si="13"/>
        <v>89037120.429999992</v>
      </c>
      <c r="O107" s="219">
        <f t="shared" si="14"/>
        <v>0</v>
      </c>
      <c r="P107" s="219">
        <f t="shared" si="15"/>
        <v>0</v>
      </c>
      <c r="Q107" s="219"/>
      <c r="R107" s="31"/>
      <c r="S107" s="36"/>
      <c r="T107" s="118"/>
      <c r="U107" s="122"/>
      <c r="V107" s="123"/>
      <c r="W107" s="38"/>
      <c r="X107" s="33"/>
      <c r="Y107" s="33"/>
      <c r="Z107" s="33"/>
      <c r="AA107" s="33"/>
      <c r="AB107" s="39"/>
      <c r="AC107" s="38"/>
      <c r="AD107" s="33"/>
      <c r="AE107" s="33"/>
      <c r="AF107" s="33"/>
      <c r="AG107" s="39">
        <v>89037120.429999992</v>
      </c>
      <c r="AH107" s="117"/>
      <c r="AI107" s="38"/>
      <c r="AJ107" s="39"/>
      <c r="AK107" s="38"/>
      <c r="AL107" s="33"/>
      <c r="AM107" s="39"/>
    </row>
    <row r="108" spans="1:39" hidden="1" x14ac:dyDescent="0.25">
      <c r="A108" s="114" t="s">
        <v>160</v>
      </c>
      <c r="B108" s="31" t="s">
        <v>489</v>
      </c>
      <c r="C108" s="31" t="s">
        <v>503</v>
      </c>
      <c r="D108" s="36" t="s">
        <v>520</v>
      </c>
      <c r="E108" s="112" t="s">
        <v>96</v>
      </c>
      <c r="F108" s="32"/>
      <c r="G108" s="32"/>
      <c r="H108" s="31"/>
      <c r="I108" s="219">
        <f t="shared" si="8"/>
        <v>0</v>
      </c>
      <c r="J108" s="219">
        <f t="shared" si="9"/>
        <v>10314526.239999991</v>
      </c>
      <c r="K108" s="219">
        <f t="shared" si="10"/>
        <v>24605835.830000002</v>
      </c>
      <c r="L108" s="232">
        <f t="shared" si="11"/>
        <v>109960896.36000003</v>
      </c>
      <c r="M108" s="219">
        <f t="shared" si="12"/>
        <v>0</v>
      </c>
      <c r="N108" s="219">
        <f t="shared" si="13"/>
        <v>3684688.5000000005</v>
      </c>
      <c r="O108" s="219">
        <f t="shared" si="14"/>
        <v>0</v>
      </c>
      <c r="P108" s="219">
        <f t="shared" si="15"/>
        <v>0</v>
      </c>
      <c r="Q108" s="219"/>
      <c r="R108" s="31"/>
      <c r="S108" s="36"/>
      <c r="T108" s="118">
        <v>3460921.0400000005</v>
      </c>
      <c r="U108" s="122">
        <v>6853605.1999999909</v>
      </c>
      <c r="V108" s="123"/>
      <c r="W108" s="38">
        <v>24605835.830000002</v>
      </c>
      <c r="X108" s="33">
        <v>18923095.229999993</v>
      </c>
      <c r="Y108" s="33">
        <v>23555172.340000007</v>
      </c>
      <c r="Z108" s="33"/>
      <c r="AA108" s="33">
        <v>29770692.620000035</v>
      </c>
      <c r="AB108" s="39">
        <v>37711936.170000002</v>
      </c>
      <c r="AC108" s="38"/>
      <c r="AD108" s="33"/>
      <c r="AE108" s="33"/>
      <c r="AF108" s="33"/>
      <c r="AG108" s="39">
        <v>3684688.5000000005</v>
      </c>
      <c r="AH108" s="117"/>
      <c r="AI108" s="38"/>
      <c r="AJ108" s="39"/>
      <c r="AK108" s="38"/>
      <c r="AL108" s="33"/>
      <c r="AM108" s="39"/>
    </row>
    <row r="109" spans="1:39" hidden="1" x14ac:dyDescent="0.25">
      <c r="A109" s="114" t="s">
        <v>514</v>
      </c>
      <c r="B109" s="31" t="s">
        <v>489</v>
      </c>
      <c r="C109" s="31" t="s">
        <v>503</v>
      </c>
      <c r="D109" s="36" t="s">
        <v>520</v>
      </c>
      <c r="E109" s="112" t="s">
        <v>96</v>
      </c>
      <c r="F109" s="32"/>
      <c r="G109" s="32"/>
      <c r="H109" s="31"/>
      <c r="I109" s="219">
        <f t="shared" si="8"/>
        <v>0</v>
      </c>
      <c r="J109" s="219">
        <f t="shared" si="9"/>
        <v>0</v>
      </c>
      <c r="K109" s="219">
        <f t="shared" si="10"/>
        <v>0</v>
      </c>
      <c r="L109" s="232">
        <f t="shared" si="11"/>
        <v>14702241.270000007</v>
      </c>
      <c r="M109" s="219">
        <f t="shared" si="12"/>
        <v>0</v>
      </c>
      <c r="N109" s="219">
        <f t="shared" si="13"/>
        <v>0</v>
      </c>
      <c r="O109" s="219">
        <f t="shared" si="14"/>
        <v>0</v>
      </c>
      <c r="P109" s="219">
        <f t="shared" si="15"/>
        <v>0</v>
      </c>
      <c r="Q109" s="219"/>
      <c r="R109" s="31"/>
      <c r="S109" s="36"/>
      <c r="T109" s="118"/>
      <c r="U109" s="122"/>
      <c r="V109" s="123"/>
      <c r="W109" s="38"/>
      <c r="X109" s="33">
        <v>3559634.669999999</v>
      </c>
      <c r="Y109" s="33">
        <v>854891.04</v>
      </c>
      <c r="Z109" s="33"/>
      <c r="AA109" s="33">
        <v>6864800.3600000069</v>
      </c>
      <c r="AB109" s="39">
        <v>3422915.2</v>
      </c>
      <c r="AC109" s="38"/>
      <c r="AD109" s="33"/>
      <c r="AE109" s="33"/>
      <c r="AF109" s="33"/>
      <c r="AG109" s="39"/>
      <c r="AH109" s="117"/>
      <c r="AI109" s="38"/>
      <c r="AJ109" s="39"/>
      <c r="AK109" s="38"/>
      <c r="AL109" s="33"/>
      <c r="AM109" s="39"/>
    </row>
    <row r="110" spans="1:39" hidden="1" x14ac:dyDescent="0.25">
      <c r="A110" s="114" t="s">
        <v>165</v>
      </c>
      <c r="B110" s="31" t="s">
        <v>489</v>
      </c>
      <c r="C110" s="31" t="s">
        <v>495</v>
      </c>
      <c r="D110" s="36" t="s">
        <v>519</v>
      </c>
      <c r="E110" s="112" t="s">
        <v>96</v>
      </c>
      <c r="F110" s="32"/>
      <c r="G110" s="32"/>
      <c r="H110" s="31"/>
      <c r="I110" s="219">
        <f t="shared" si="8"/>
        <v>0</v>
      </c>
      <c r="J110" s="219">
        <f t="shared" si="9"/>
        <v>0</v>
      </c>
      <c r="K110" s="219">
        <f t="shared" si="10"/>
        <v>237522.24999999997</v>
      </c>
      <c r="L110" s="232">
        <f t="shared" si="11"/>
        <v>2479073.3599999994</v>
      </c>
      <c r="M110" s="219">
        <f t="shared" si="12"/>
        <v>0</v>
      </c>
      <c r="N110" s="219">
        <f t="shared" si="13"/>
        <v>0</v>
      </c>
      <c r="O110" s="219">
        <f t="shared" si="14"/>
        <v>0</v>
      </c>
      <c r="P110" s="219">
        <f t="shared" si="15"/>
        <v>0</v>
      </c>
      <c r="Q110" s="219"/>
      <c r="R110" s="31"/>
      <c r="S110" s="36"/>
      <c r="T110" s="118"/>
      <c r="U110" s="122"/>
      <c r="V110" s="123"/>
      <c r="W110" s="38">
        <v>237522.24999999997</v>
      </c>
      <c r="X110" s="33">
        <v>64673.33</v>
      </c>
      <c r="Y110" s="33">
        <v>854968.79999999993</v>
      </c>
      <c r="Z110" s="33"/>
      <c r="AA110" s="33">
        <v>1559431.2299999995</v>
      </c>
      <c r="AB110" s="39"/>
      <c r="AC110" s="38"/>
      <c r="AD110" s="33"/>
      <c r="AE110" s="33"/>
      <c r="AF110" s="33"/>
      <c r="AG110" s="39"/>
      <c r="AH110" s="117"/>
      <c r="AI110" s="38"/>
      <c r="AJ110" s="39"/>
      <c r="AK110" s="38"/>
      <c r="AL110" s="33"/>
      <c r="AM110" s="39"/>
    </row>
    <row r="111" spans="1:39" hidden="1" x14ac:dyDescent="0.25">
      <c r="A111" s="114" t="s">
        <v>22</v>
      </c>
      <c r="B111" s="31"/>
      <c r="C111" s="31"/>
      <c r="D111" s="36" t="s">
        <v>319</v>
      </c>
      <c r="E111" s="112" t="s">
        <v>96</v>
      </c>
      <c r="F111" s="32"/>
      <c r="G111" s="32"/>
      <c r="H111" s="31"/>
      <c r="I111" s="219">
        <f t="shared" si="8"/>
        <v>0</v>
      </c>
      <c r="J111" s="219">
        <f t="shared" si="9"/>
        <v>0</v>
      </c>
      <c r="K111" s="219">
        <f t="shared" si="10"/>
        <v>0</v>
      </c>
      <c r="L111" s="232">
        <f t="shared" si="11"/>
        <v>0</v>
      </c>
      <c r="M111" s="219">
        <f t="shared" si="12"/>
        <v>0</v>
      </c>
      <c r="N111" s="219">
        <f t="shared" si="13"/>
        <v>1513833.15</v>
      </c>
      <c r="O111" s="219">
        <f t="shared" si="14"/>
        <v>0</v>
      </c>
      <c r="P111" s="219">
        <f t="shared" si="15"/>
        <v>0</v>
      </c>
      <c r="Q111" s="219"/>
      <c r="R111" s="31"/>
      <c r="S111" s="36"/>
      <c r="T111" s="118"/>
      <c r="U111" s="122"/>
      <c r="V111" s="123"/>
      <c r="W111" s="38"/>
      <c r="X111" s="33"/>
      <c r="Y111" s="33"/>
      <c r="Z111" s="33"/>
      <c r="AA111" s="33"/>
      <c r="AB111" s="39"/>
      <c r="AC111" s="38"/>
      <c r="AD111" s="33"/>
      <c r="AE111" s="33"/>
      <c r="AF111" s="33"/>
      <c r="AG111" s="39">
        <v>1513833.15</v>
      </c>
      <c r="AH111" s="117"/>
      <c r="AI111" s="38"/>
      <c r="AJ111" s="39"/>
      <c r="AK111" s="38"/>
      <c r="AL111" s="33"/>
      <c r="AM111" s="39"/>
    </row>
    <row r="112" spans="1:39" hidden="1" x14ac:dyDescent="0.25">
      <c r="A112" s="114" t="s">
        <v>155</v>
      </c>
      <c r="B112" s="31" t="s">
        <v>489</v>
      </c>
      <c r="C112" s="31" t="s">
        <v>495</v>
      </c>
      <c r="D112" s="36" t="s">
        <v>519</v>
      </c>
      <c r="E112" s="112" t="s">
        <v>96</v>
      </c>
      <c r="F112" s="32">
        <v>1</v>
      </c>
      <c r="G112" s="32"/>
      <c r="H112" s="31"/>
      <c r="I112" s="219">
        <f t="shared" si="8"/>
        <v>0</v>
      </c>
      <c r="J112" s="219">
        <f t="shared" si="9"/>
        <v>3727231.7300000004</v>
      </c>
      <c r="K112" s="219">
        <f t="shared" si="10"/>
        <v>10856478.960000003</v>
      </c>
      <c r="L112" s="232">
        <f t="shared" si="11"/>
        <v>50522859.790000044</v>
      </c>
      <c r="M112" s="219">
        <f t="shared" si="12"/>
        <v>0</v>
      </c>
      <c r="N112" s="219">
        <f t="shared" si="13"/>
        <v>242485214.68999997</v>
      </c>
      <c r="O112" s="219">
        <f t="shared" si="14"/>
        <v>0</v>
      </c>
      <c r="P112" s="219">
        <f t="shared" si="15"/>
        <v>0</v>
      </c>
      <c r="Q112" s="219"/>
      <c r="R112" s="31"/>
      <c r="S112" s="36"/>
      <c r="T112" s="118">
        <v>3727231.7300000004</v>
      </c>
      <c r="U112" s="122"/>
      <c r="V112" s="123"/>
      <c r="W112" s="38">
        <v>10856478.960000003</v>
      </c>
      <c r="X112" s="33">
        <v>1016935.2700000001</v>
      </c>
      <c r="Y112" s="33">
        <v>22433538.530000016</v>
      </c>
      <c r="Z112" s="33"/>
      <c r="AA112" s="33">
        <v>14975817.280000024</v>
      </c>
      <c r="AB112" s="39">
        <v>12096568.710000001</v>
      </c>
      <c r="AC112" s="38"/>
      <c r="AD112" s="33"/>
      <c r="AE112" s="33"/>
      <c r="AF112" s="33"/>
      <c r="AG112" s="39">
        <v>242485214.68999997</v>
      </c>
      <c r="AH112" s="117"/>
      <c r="AI112" s="38"/>
      <c r="AJ112" s="39"/>
      <c r="AK112" s="38"/>
      <c r="AL112" s="33"/>
      <c r="AM112" s="39"/>
    </row>
    <row r="113" spans="1:39" hidden="1" x14ac:dyDescent="0.25">
      <c r="A113" s="114" t="s">
        <v>166</v>
      </c>
      <c r="B113" s="31" t="s">
        <v>489</v>
      </c>
      <c r="C113" s="466" t="s">
        <v>495</v>
      </c>
      <c r="D113" s="467" t="s">
        <v>519</v>
      </c>
      <c r="E113" s="468" t="s">
        <v>96</v>
      </c>
      <c r="F113" s="469"/>
      <c r="G113" s="469"/>
      <c r="H113" s="466"/>
      <c r="I113" s="470">
        <f t="shared" si="8"/>
        <v>0</v>
      </c>
      <c r="J113" s="470">
        <f t="shared" si="9"/>
        <v>1669261.73</v>
      </c>
      <c r="K113" s="470">
        <f t="shared" si="10"/>
        <v>1934370.9699999997</v>
      </c>
      <c r="L113" s="471">
        <f t="shared" si="11"/>
        <v>41914160.969999999</v>
      </c>
      <c r="M113" s="219">
        <f t="shared" si="12"/>
        <v>0</v>
      </c>
      <c r="N113" s="219">
        <f t="shared" si="13"/>
        <v>10828622.960000001</v>
      </c>
      <c r="O113" s="219">
        <f t="shared" si="14"/>
        <v>2678030.1171000004</v>
      </c>
      <c r="P113" s="219">
        <f t="shared" si="15"/>
        <v>0</v>
      </c>
      <c r="Q113" s="219"/>
      <c r="R113" s="31"/>
      <c r="S113" s="36"/>
      <c r="T113" s="118">
        <v>1669261.73</v>
      </c>
      <c r="U113" s="122"/>
      <c r="V113" s="123"/>
      <c r="W113" s="38">
        <v>1934370.9699999997</v>
      </c>
      <c r="X113" s="33">
        <v>1670485.4199999997</v>
      </c>
      <c r="Y113" s="33">
        <v>19130825.150000002</v>
      </c>
      <c r="Z113" s="33"/>
      <c r="AA113" s="33">
        <v>7788521.54</v>
      </c>
      <c r="AB113" s="39">
        <v>13324328.860000001</v>
      </c>
      <c r="AC113" s="38"/>
      <c r="AD113" s="33"/>
      <c r="AE113" s="33"/>
      <c r="AF113" s="33"/>
      <c r="AG113" s="39">
        <v>10828622.960000001</v>
      </c>
      <c r="AH113" s="117">
        <v>2678030.1171000004</v>
      </c>
      <c r="AI113" s="38"/>
      <c r="AJ113" s="39"/>
      <c r="AK113" s="38"/>
      <c r="AL113" s="33"/>
      <c r="AM113" s="39"/>
    </row>
    <row r="114" spans="1:39" hidden="1" x14ac:dyDescent="0.25">
      <c r="A114" s="114" t="s">
        <v>435</v>
      </c>
      <c r="B114" s="31" t="s">
        <v>489</v>
      </c>
      <c r="C114" s="31" t="s">
        <v>490</v>
      </c>
      <c r="D114" s="36" t="s">
        <v>502</v>
      </c>
      <c r="E114" s="112" t="s">
        <v>96</v>
      </c>
      <c r="F114" s="32"/>
      <c r="G114" s="32"/>
      <c r="H114" s="31"/>
      <c r="I114" s="219">
        <f t="shared" si="8"/>
        <v>0</v>
      </c>
      <c r="J114" s="219">
        <f t="shared" si="9"/>
        <v>0</v>
      </c>
      <c r="K114" s="219">
        <f t="shared" si="10"/>
        <v>0</v>
      </c>
      <c r="L114" s="232">
        <f t="shared" si="11"/>
        <v>899894.52</v>
      </c>
      <c r="M114" s="219">
        <f t="shared" si="12"/>
        <v>0</v>
      </c>
      <c r="N114" s="219">
        <f t="shared" si="13"/>
        <v>7703483.3799999999</v>
      </c>
      <c r="O114" s="219">
        <f t="shared" si="14"/>
        <v>0</v>
      </c>
      <c r="P114" s="219">
        <f t="shared" si="15"/>
        <v>0</v>
      </c>
      <c r="Q114" s="219"/>
      <c r="R114" s="31"/>
      <c r="S114" s="36"/>
      <c r="T114" s="118"/>
      <c r="U114" s="122"/>
      <c r="V114" s="123"/>
      <c r="W114" s="38"/>
      <c r="X114" s="33"/>
      <c r="Y114" s="33"/>
      <c r="Z114" s="33"/>
      <c r="AA114" s="33"/>
      <c r="AB114" s="39">
        <v>899894.52</v>
      </c>
      <c r="AC114" s="38"/>
      <c r="AD114" s="33"/>
      <c r="AE114" s="33"/>
      <c r="AF114" s="33"/>
      <c r="AG114" s="39">
        <v>7703483.3799999999</v>
      </c>
      <c r="AH114" s="117"/>
      <c r="AI114" s="38"/>
      <c r="AJ114" s="39"/>
      <c r="AK114" s="38"/>
      <c r="AL114" s="33"/>
      <c r="AM114" s="39"/>
    </row>
    <row r="115" spans="1:39" hidden="1" x14ac:dyDescent="0.25">
      <c r="A115" s="114" t="s">
        <v>521</v>
      </c>
      <c r="B115" s="31" t="s">
        <v>489</v>
      </c>
      <c r="C115" s="31" t="s">
        <v>490</v>
      </c>
      <c r="D115" s="36" t="s">
        <v>502</v>
      </c>
      <c r="E115" s="112" t="s">
        <v>96</v>
      </c>
      <c r="F115" s="32"/>
      <c r="G115" s="32"/>
      <c r="H115" s="31"/>
      <c r="I115" s="219">
        <f t="shared" si="8"/>
        <v>0</v>
      </c>
      <c r="J115" s="219">
        <f t="shared" si="9"/>
        <v>0</v>
      </c>
      <c r="K115" s="219">
        <f t="shared" si="10"/>
        <v>0</v>
      </c>
      <c r="L115" s="232">
        <f t="shared" si="11"/>
        <v>3774807.22</v>
      </c>
      <c r="M115" s="219">
        <f t="shared" si="12"/>
        <v>0</v>
      </c>
      <c r="N115" s="219">
        <f t="shared" si="13"/>
        <v>0</v>
      </c>
      <c r="O115" s="219">
        <f t="shared" si="14"/>
        <v>0</v>
      </c>
      <c r="P115" s="219">
        <f t="shared" si="15"/>
        <v>0</v>
      </c>
      <c r="Q115" s="219"/>
      <c r="R115" s="31"/>
      <c r="S115" s="36"/>
      <c r="T115" s="118"/>
      <c r="U115" s="122"/>
      <c r="V115" s="123"/>
      <c r="W115" s="38"/>
      <c r="X115" s="33"/>
      <c r="Y115" s="33"/>
      <c r="Z115" s="33"/>
      <c r="AA115" s="33"/>
      <c r="AB115" s="39">
        <v>3774807.22</v>
      </c>
      <c r="AC115" s="38"/>
      <c r="AD115" s="33"/>
      <c r="AE115" s="33"/>
      <c r="AF115" s="33"/>
      <c r="AG115" s="39"/>
      <c r="AH115" s="117"/>
      <c r="AI115" s="38"/>
      <c r="AJ115" s="39"/>
      <c r="AK115" s="38"/>
      <c r="AL115" s="33"/>
      <c r="AM115" s="39"/>
    </row>
    <row r="116" spans="1:39" hidden="1" x14ac:dyDescent="0.25">
      <c r="A116" s="114" t="s">
        <v>18</v>
      </c>
      <c r="B116" s="31"/>
      <c r="C116" s="31"/>
      <c r="D116" s="36" t="s">
        <v>319</v>
      </c>
      <c r="E116" s="112" t="s">
        <v>96</v>
      </c>
      <c r="F116" s="32"/>
      <c r="G116" s="32"/>
      <c r="H116" s="31"/>
      <c r="I116" s="219">
        <f t="shared" si="8"/>
        <v>0</v>
      </c>
      <c r="J116" s="219">
        <f t="shared" si="9"/>
        <v>0</v>
      </c>
      <c r="K116" s="219">
        <f t="shared" si="10"/>
        <v>0</v>
      </c>
      <c r="L116" s="232">
        <f t="shared" si="11"/>
        <v>0</v>
      </c>
      <c r="M116" s="219">
        <f t="shared" si="12"/>
        <v>0</v>
      </c>
      <c r="N116" s="219">
        <f t="shared" si="13"/>
        <v>1761030.0499999998</v>
      </c>
      <c r="O116" s="219">
        <f t="shared" si="14"/>
        <v>0</v>
      </c>
      <c r="P116" s="219">
        <f t="shared" si="15"/>
        <v>0</v>
      </c>
      <c r="Q116" s="219"/>
      <c r="R116" s="31"/>
      <c r="S116" s="36"/>
      <c r="T116" s="118"/>
      <c r="U116" s="122"/>
      <c r="V116" s="123"/>
      <c r="W116" s="38"/>
      <c r="X116" s="33"/>
      <c r="Y116" s="33"/>
      <c r="Z116" s="33"/>
      <c r="AA116" s="33"/>
      <c r="AB116" s="39"/>
      <c r="AC116" s="38"/>
      <c r="AD116" s="33"/>
      <c r="AE116" s="33"/>
      <c r="AF116" s="33"/>
      <c r="AG116" s="39">
        <v>1761030.0499999998</v>
      </c>
      <c r="AH116" s="117"/>
      <c r="AI116" s="38"/>
      <c r="AJ116" s="39"/>
      <c r="AK116" s="38"/>
      <c r="AL116" s="33"/>
      <c r="AM116" s="39"/>
    </row>
    <row r="117" spans="1:39" hidden="1" x14ac:dyDescent="0.25">
      <c r="A117" s="114" t="s">
        <v>17</v>
      </c>
      <c r="B117" s="31"/>
      <c r="C117" s="31"/>
      <c r="D117" s="36" t="s">
        <v>522</v>
      </c>
      <c r="E117" s="112" t="s">
        <v>96</v>
      </c>
      <c r="F117" s="32"/>
      <c r="G117" s="32"/>
      <c r="H117" s="31"/>
      <c r="I117" s="219">
        <f t="shared" si="8"/>
        <v>0</v>
      </c>
      <c r="J117" s="219">
        <f t="shared" si="9"/>
        <v>0</v>
      </c>
      <c r="K117" s="219">
        <f t="shared" si="10"/>
        <v>0</v>
      </c>
      <c r="L117" s="232">
        <f t="shared" si="11"/>
        <v>0</v>
      </c>
      <c r="M117" s="219">
        <f t="shared" si="12"/>
        <v>0</v>
      </c>
      <c r="N117" s="219">
        <f t="shared" si="13"/>
        <v>1871080</v>
      </c>
      <c r="O117" s="219">
        <f t="shared" si="14"/>
        <v>0</v>
      </c>
      <c r="P117" s="219">
        <f t="shared" si="15"/>
        <v>0</v>
      </c>
      <c r="Q117" s="219"/>
      <c r="R117" s="31"/>
      <c r="S117" s="36"/>
      <c r="T117" s="118"/>
      <c r="U117" s="122"/>
      <c r="V117" s="123"/>
      <c r="W117" s="38"/>
      <c r="X117" s="33"/>
      <c r="Y117" s="33"/>
      <c r="Z117" s="33"/>
      <c r="AA117" s="33"/>
      <c r="AB117" s="39"/>
      <c r="AC117" s="38"/>
      <c r="AD117" s="33"/>
      <c r="AE117" s="33"/>
      <c r="AF117" s="33"/>
      <c r="AG117" s="39">
        <v>1871080</v>
      </c>
      <c r="AH117" s="117"/>
      <c r="AI117" s="38"/>
      <c r="AJ117" s="39"/>
      <c r="AK117" s="38"/>
      <c r="AL117" s="33"/>
      <c r="AM117" s="39"/>
    </row>
    <row r="118" spans="1:39" hidden="1" x14ac:dyDescent="0.25">
      <c r="A118" s="114" t="s">
        <v>20</v>
      </c>
      <c r="B118" s="31"/>
      <c r="C118" s="31"/>
      <c r="D118" s="36" t="s">
        <v>324</v>
      </c>
      <c r="E118" s="112" t="s">
        <v>96</v>
      </c>
      <c r="F118" s="32"/>
      <c r="G118" s="32"/>
      <c r="H118" s="31"/>
      <c r="I118" s="219">
        <f t="shared" si="8"/>
        <v>0</v>
      </c>
      <c r="J118" s="219">
        <f t="shared" si="9"/>
        <v>0</v>
      </c>
      <c r="K118" s="219">
        <f t="shared" si="10"/>
        <v>0</v>
      </c>
      <c r="L118" s="232">
        <f t="shared" si="11"/>
        <v>0</v>
      </c>
      <c r="M118" s="219">
        <f t="shared" si="12"/>
        <v>0</v>
      </c>
      <c r="N118" s="219">
        <f t="shared" si="13"/>
        <v>1402526.35</v>
      </c>
      <c r="O118" s="219">
        <f t="shared" si="14"/>
        <v>0</v>
      </c>
      <c r="P118" s="219">
        <f t="shared" si="15"/>
        <v>0</v>
      </c>
      <c r="Q118" s="219"/>
      <c r="R118" s="31"/>
      <c r="S118" s="36"/>
      <c r="T118" s="118"/>
      <c r="U118" s="122"/>
      <c r="V118" s="123"/>
      <c r="W118" s="38"/>
      <c r="X118" s="33"/>
      <c r="Y118" s="33"/>
      <c r="Z118" s="33"/>
      <c r="AA118" s="33"/>
      <c r="AB118" s="39"/>
      <c r="AC118" s="38"/>
      <c r="AD118" s="33"/>
      <c r="AE118" s="33"/>
      <c r="AF118" s="33"/>
      <c r="AG118" s="39">
        <v>1402526.35</v>
      </c>
      <c r="AH118" s="117"/>
      <c r="AI118" s="38"/>
      <c r="AJ118" s="39"/>
      <c r="AK118" s="38"/>
      <c r="AL118" s="33"/>
      <c r="AM118" s="39"/>
    </row>
    <row r="119" spans="1:39" hidden="1" x14ac:dyDescent="0.25">
      <c r="I119" s="219">
        <f t="shared" si="8"/>
        <v>0</v>
      </c>
      <c r="J119" s="219">
        <f t="shared" si="9"/>
        <v>0</v>
      </c>
      <c r="K119" s="219">
        <f t="shared" si="10"/>
        <v>0</v>
      </c>
      <c r="L119" s="232">
        <f t="shared" si="11"/>
        <v>0</v>
      </c>
      <c r="M119" s="219">
        <f t="shared" si="12"/>
        <v>0</v>
      </c>
      <c r="N119" s="219">
        <f t="shared" si="13"/>
        <v>0</v>
      </c>
      <c r="O119" s="219">
        <f t="shared" si="14"/>
        <v>0</v>
      </c>
      <c r="P119" s="219">
        <f t="shared" si="15"/>
        <v>0</v>
      </c>
      <c r="Q119" s="219"/>
    </row>
    <row r="120" spans="1:39" hidden="1" x14ac:dyDescent="0.25">
      <c r="I120" s="219">
        <f t="shared" si="8"/>
        <v>0</v>
      </c>
      <c r="J120" s="219">
        <f t="shared" si="9"/>
        <v>0</v>
      </c>
      <c r="K120" s="219">
        <f t="shared" si="10"/>
        <v>0</v>
      </c>
      <c r="L120" s="232">
        <f t="shared" si="11"/>
        <v>0</v>
      </c>
      <c r="M120" s="219">
        <f t="shared" si="12"/>
        <v>0</v>
      </c>
      <c r="N120" s="219">
        <f t="shared" si="13"/>
        <v>0</v>
      </c>
      <c r="O120" s="219">
        <f t="shared" si="14"/>
        <v>0</v>
      </c>
      <c r="P120" s="219">
        <f t="shared" si="15"/>
        <v>0</v>
      </c>
      <c r="Q120" s="219"/>
      <c r="AB120" s="124"/>
    </row>
    <row r="121" spans="1:39" hidden="1" x14ac:dyDescent="0.25">
      <c r="I121" s="219">
        <f t="shared" si="8"/>
        <v>0</v>
      </c>
      <c r="J121" s="219">
        <f t="shared" si="9"/>
        <v>0</v>
      </c>
      <c r="K121" s="219">
        <f t="shared" si="10"/>
        <v>0</v>
      </c>
      <c r="L121" s="232">
        <f t="shared" si="11"/>
        <v>0</v>
      </c>
      <c r="M121" s="219">
        <f t="shared" si="12"/>
        <v>0</v>
      </c>
      <c r="N121" s="219">
        <f t="shared" si="13"/>
        <v>0</v>
      </c>
      <c r="O121" s="219">
        <f t="shared" si="14"/>
        <v>0</v>
      </c>
      <c r="P121" s="219">
        <f t="shared" si="15"/>
        <v>0</v>
      </c>
      <c r="Q121" s="219"/>
      <c r="AB121" s="124"/>
    </row>
    <row r="122" spans="1:39" hidden="1" x14ac:dyDescent="0.25">
      <c r="I122" s="219">
        <f t="shared" si="8"/>
        <v>0</v>
      </c>
      <c r="J122" s="219">
        <f t="shared" si="9"/>
        <v>0</v>
      </c>
      <c r="K122" s="219">
        <f t="shared" si="10"/>
        <v>0</v>
      </c>
      <c r="L122" s="232">
        <f t="shared" si="11"/>
        <v>0</v>
      </c>
      <c r="M122" s="219">
        <f t="shared" si="12"/>
        <v>0</v>
      </c>
      <c r="N122" s="219">
        <f t="shared" si="13"/>
        <v>0</v>
      </c>
      <c r="O122" s="219">
        <f t="shared" si="14"/>
        <v>0</v>
      </c>
      <c r="P122" s="219">
        <f t="shared" si="15"/>
        <v>0</v>
      </c>
      <c r="Q122" s="219"/>
      <c r="AB122" s="124"/>
    </row>
    <row r="123" spans="1:39" hidden="1" x14ac:dyDescent="0.25">
      <c r="I123" s="219">
        <f t="shared" si="8"/>
        <v>0</v>
      </c>
      <c r="J123" s="219">
        <f t="shared" si="9"/>
        <v>0</v>
      </c>
      <c r="K123" s="219">
        <f t="shared" si="10"/>
        <v>0</v>
      </c>
      <c r="L123" s="232">
        <f t="shared" si="11"/>
        <v>0</v>
      </c>
      <c r="M123" s="219">
        <f t="shared" si="12"/>
        <v>0</v>
      </c>
      <c r="N123" s="219">
        <f t="shared" si="13"/>
        <v>0</v>
      </c>
      <c r="O123" s="219">
        <f t="shared" si="14"/>
        <v>0</v>
      </c>
      <c r="P123" s="219">
        <f t="shared" si="15"/>
        <v>0</v>
      </c>
      <c r="Q123" s="219"/>
    </row>
    <row r="124" spans="1:39" hidden="1" x14ac:dyDescent="0.25">
      <c r="I124" s="219">
        <f t="shared" ref="I124:I132" si="16">SUM(R124:S124)</f>
        <v>0</v>
      </c>
      <c r="J124" s="219">
        <f t="shared" ref="J124:J132" si="17">SUM(T124:V124)</f>
        <v>0</v>
      </c>
      <c r="K124" s="219">
        <f t="shared" ref="K124:K132" si="18">W124</f>
        <v>0</v>
      </c>
      <c r="L124" s="232">
        <f t="shared" ref="L124:L132" si="19">SUM(X124:AB124)</f>
        <v>0</v>
      </c>
      <c r="M124" s="219">
        <f t="shared" ref="M124:M132" si="20">SUM(AC124:AE124)</f>
        <v>0</v>
      </c>
      <c r="N124" s="219">
        <f t="shared" ref="N124:O132" si="21">AG124</f>
        <v>0</v>
      </c>
      <c r="O124" s="219">
        <f t="shared" si="21"/>
        <v>0</v>
      </c>
      <c r="P124" s="219">
        <f t="shared" ref="P124:P132" si="22">SUM(AK124:AM124)</f>
        <v>0</v>
      </c>
      <c r="Q124" s="219"/>
    </row>
    <row r="125" spans="1:39" hidden="1" x14ac:dyDescent="0.25">
      <c r="I125" s="219">
        <f t="shared" si="16"/>
        <v>0</v>
      </c>
      <c r="J125" s="219">
        <f t="shared" si="17"/>
        <v>0</v>
      </c>
      <c r="K125" s="219">
        <f t="shared" si="18"/>
        <v>0</v>
      </c>
      <c r="L125" s="232">
        <f t="shared" si="19"/>
        <v>0</v>
      </c>
      <c r="M125" s="219">
        <f t="shared" si="20"/>
        <v>0</v>
      </c>
      <c r="N125" s="219">
        <f t="shared" si="21"/>
        <v>0</v>
      </c>
      <c r="O125" s="219">
        <f t="shared" si="21"/>
        <v>0</v>
      </c>
      <c r="P125" s="219">
        <f t="shared" si="22"/>
        <v>0</v>
      </c>
      <c r="Q125" s="219"/>
    </row>
    <row r="126" spans="1:39" hidden="1" x14ac:dyDescent="0.25">
      <c r="I126" s="219">
        <f t="shared" si="16"/>
        <v>0</v>
      </c>
      <c r="J126" s="219">
        <f t="shared" si="17"/>
        <v>0</v>
      </c>
      <c r="K126" s="219">
        <f t="shared" si="18"/>
        <v>0</v>
      </c>
      <c r="L126" s="232">
        <f t="shared" si="19"/>
        <v>0</v>
      </c>
      <c r="M126" s="219">
        <f t="shared" si="20"/>
        <v>0</v>
      </c>
      <c r="N126" s="219">
        <f t="shared" si="21"/>
        <v>0</v>
      </c>
      <c r="O126" s="219">
        <f t="shared" si="21"/>
        <v>0</v>
      </c>
      <c r="P126" s="219">
        <f t="shared" si="22"/>
        <v>0</v>
      </c>
      <c r="Q126" s="219"/>
    </row>
    <row r="127" spans="1:39" hidden="1" x14ac:dyDescent="0.25">
      <c r="I127" s="219">
        <f t="shared" si="16"/>
        <v>0</v>
      </c>
      <c r="J127" s="219">
        <f t="shared" si="17"/>
        <v>0</v>
      </c>
      <c r="K127" s="219">
        <f t="shared" si="18"/>
        <v>0</v>
      </c>
      <c r="L127" s="232">
        <f t="shared" si="19"/>
        <v>0</v>
      </c>
      <c r="M127" s="219">
        <f t="shared" si="20"/>
        <v>0</v>
      </c>
      <c r="N127" s="219">
        <f t="shared" si="21"/>
        <v>0</v>
      </c>
      <c r="O127" s="219">
        <f t="shared" si="21"/>
        <v>0</v>
      </c>
      <c r="P127" s="219">
        <f t="shared" si="22"/>
        <v>0</v>
      </c>
      <c r="Q127" s="219"/>
    </row>
    <row r="128" spans="1:39" hidden="1" x14ac:dyDescent="0.25">
      <c r="I128" s="219">
        <f t="shared" si="16"/>
        <v>0</v>
      </c>
      <c r="J128" s="219">
        <f t="shared" si="17"/>
        <v>0</v>
      </c>
      <c r="K128" s="219">
        <f t="shared" si="18"/>
        <v>0</v>
      </c>
      <c r="L128" s="232">
        <f t="shared" si="19"/>
        <v>0</v>
      </c>
      <c r="M128" s="219">
        <f t="shared" si="20"/>
        <v>0</v>
      </c>
      <c r="N128" s="219">
        <f t="shared" si="21"/>
        <v>0</v>
      </c>
      <c r="O128" s="219">
        <f t="shared" si="21"/>
        <v>0</v>
      </c>
      <c r="P128" s="219">
        <f t="shared" si="22"/>
        <v>0</v>
      </c>
      <c r="Q128" s="219"/>
    </row>
    <row r="129" spans="9:17" hidden="1" x14ac:dyDescent="0.25">
      <c r="I129" s="219">
        <f t="shared" si="16"/>
        <v>0</v>
      </c>
      <c r="J129" s="219">
        <f t="shared" si="17"/>
        <v>0</v>
      </c>
      <c r="K129" s="219">
        <f t="shared" si="18"/>
        <v>0</v>
      </c>
      <c r="L129" s="232">
        <f t="shared" si="19"/>
        <v>0</v>
      </c>
      <c r="M129" s="219">
        <f t="shared" si="20"/>
        <v>0</v>
      </c>
      <c r="N129" s="219">
        <f t="shared" si="21"/>
        <v>0</v>
      </c>
      <c r="O129" s="219">
        <f t="shared" si="21"/>
        <v>0</v>
      </c>
      <c r="P129" s="219">
        <f t="shared" si="22"/>
        <v>0</v>
      </c>
      <c r="Q129" s="219"/>
    </row>
    <row r="130" spans="9:17" hidden="1" x14ac:dyDescent="0.25">
      <c r="I130" s="219">
        <f t="shared" si="16"/>
        <v>0</v>
      </c>
      <c r="J130" s="219">
        <f t="shared" si="17"/>
        <v>0</v>
      </c>
      <c r="K130" s="219">
        <f t="shared" si="18"/>
        <v>0</v>
      </c>
      <c r="L130" s="232">
        <f t="shared" si="19"/>
        <v>0</v>
      </c>
      <c r="M130" s="219">
        <f t="shared" si="20"/>
        <v>0</v>
      </c>
      <c r="N130" s="219">
        <f t="shared" si="21"/>
        <v>0</v>
      </c>
      <c r="O130" s="219">
        <f t="shared" si="21"/>
        <v>0</v>
      </c>
      <c r="P130" s="219">
        <f t="shared" si="22"/>
        <v>0</v>
      </c>
      <c r="Q130" s="219"/>
    </row>
    <row r="131" spans="9:17" hidden="1" x14ac:dyDescent="0.25">
      <c r="I131" s="219">
        <f t="shared" si="16"/>
        <v>0</v>
      </c>
      <c r="J131" s="219">
        <f t="shared" si="17"/>
        <v>0</v>
      </c>
      <c r="K131" s="219">
        <f t="shared" si="18"/>
        <v>0</v>
      </c>
      <c r="L131" s="232">
        <f t="shared" si="19"/>
        <v>0</v>
      </c>
      <c r="M131" s="219">
        <f t="shared" si="20"/>
        <v>0</v>
      </c>
      <c r="N131" s="219">
        <f t="shared" si="21"/>
        <v>0</v>
      </c>
      <c r="O131" s="219">
        <f t="shared" si="21"/>
        <v>0</v>
      </c>
      <c r="P131" s="219">
        <f t="shared" si="22"/>
        <v>0</v>
      </c>
      <c r="Q131" s="219"/>
    </row>
    <row r="132" spans="9:17" hidden="1" x14ac:dyDescent="0.25">
      <c r="I132" s="219">
        <f t="shared" si="16"/>
        <v>0</v>
      </c>
      <c r="J132" s="219">
        <f t="shared" si="17"/>
        <v>0</v>
      </c>
      <c r="K132" s="219">
        <f t="shared" si="18"/>
        <v>0</v>
      </c>
      <c r="L132" s="232">
        <f t="shared" si="19"/>
        <v>0</v>
      </c>
      <c r="M132" s="219">
        <f t="shared" si="20"/>
        <v>0</v>
      </c>
      <c r="N132" s="219">
        <f t="shared" si="21"/>
        <v>0</v>
      </c>
      <c r="O132" s="219">
        <f t="shared" si="21"/>
        <v>0</v>
      </c>
      <c r="P132" s="219">
        <f t="shared" si="22"/>
        <v>0</v>
      </c>
      <c r="Q132" s="219"/>
    </row>
    <row r="133" spans="9:17" hidden="1" x14ac:dyDescent="0.25">
      <c r="I133" s="219">
        <f t="shared" ref="I133:I196" si="23">SUM(R133:S133)</f>
        <v>0</v>
      </c>
      <c r="J133" s="219">
        <f t="shared" ref="J133:J196" si="24">SUM(T133:V133)</f>
        <v>0</v>
      </c>
      <c r="K133" s="219">
        <f t="shared" ref="K133:K196" si="25">W133</f>
        <v>0</v>
      </c>
      <c r="L133" s="232">
        <f t="shared" ref="L133:L196" si="26">SUM(X133:AB133)</f>
        <v>0</v>
      </c>
      <c r="M133" s="219">
        <f t="shared" ref="M133:M196" si="27">SUM(AC133:AE133)</f>
        <v>0</v>
      </c>
      <c r="N133" s="219">
        <f t="shared" ref="N133:O196" si="28">AG133</f>
        <v>0</v>
      </c>
      <c r="O133" s="219">
        <f t="shared" si="28"/>
        <v>0</v>
      </c>
      <c r="P133" s="219">
        <f t="shared" ref="P133:P196" si="29">SUM(AK133:AM133)</f>
        <v>0</v>
      </c>
      <c r="Q133" s="219"/>
    </row>
    <row r="134" spans="9:17" hidden="1" x14ac:dyDescent="0.25">
      <c r="I134" s="219">
        <f t="shared" si="23"/>
        <v>0</v>
      </c>
      <c r="J134" s="219">
        <f t="shared" si="24"/>
        <v>0</v>
      </c>
      <c r="K134" s="219">
        <f t="shared" si="25"/>
        <v>0</v>
      </c>
      <c r="L134" s="232">
        <f t="shared" si="26"/>
        <v>0</v>
      </c>
      <c r="M134" s="219">
        <f t="shared" si="27"/>
        <v>0</v>
      </c>
      <c r="N134" s="219">
        <f t="shared" si="28"/>
        <v>0</v>
      </c>
      <c r="O134" s="219">
        <f t="shared" si="28"/>
        <v>0</v>
      </c>
      <c r="P134" s="219">
        <f t="shared" si="29"/>
        <v>0</v>
      </c>
      <c r="Q134" s="219"/>
    </row>
    <row r="135" spans="9:17" hidden="1" x14ac:dyDescent="0.25">
      <c r="I135" s="219">
        <f t="shared" si="23"/>
        <v>0</v>
      </c>
      <c r="J135" s="219">
        <f t="shared" si="24"/>
        <v>0</v>
      </c>
      <c r="K135" s="219">
        <f t="shared" si="25"/>
        <v>0</v>
      </c>
      <c r="L135" s="232">
        <f t="shared" si="26"/>
        <v>0</v>
      </c>
      <c r="M135" s="219">
        <f t="shared" si="27"/>
        <v>0</v>
      </c>
      <c r="N135" s="219">
        <f t="shared" si="28"/>
        <v>0</v>
      </c>
      <c r="O135" s="219">
        <f t="shared" si="28"/>
        <v>0</v>
      </c>
      <c r="P135" s="219">
        <f t="shared" si="29"/>
        <v>0</v>
      </c>
      <c r="Q135" s="219"/>
    </row>
    <row r="136" spans="9:17" hidden="1" x14ac:dyDescent="0.25">
      <c r="I136" s="219">
        <f t="shared" si="23"/>
        <v>0</v>
      </c>
      <c r="J136" s="219">
        <f t="shared" si="24"/>
        <v>0</v>
      </c>
      <c r="K136" s="219">
        <f t="shared" si="25"/>
        <v>0</v>
      </c>
      <c r="L136" s="232">
        <f t="shared" si="26"/>
        <v>0</v>
      </c>
      <c r="M136" s="219">
        <f t="shared" si="27"/>
        <v>0</v>
      </c>
      <c r="N136" s="219">
        <f t="shared" si="28"/>
        <v>0</v>
      </c>
      <c r="O136" s="219">
        <f t="shared" si="28"/>
        <v>0</v>
      </c>
      <c r="P136" s="219">
        <f t="shared" si="29"/>
        <v>0</v>
      </c>
      <c r="Q136" s="219"/>
    </row>
    <row r="137" spans="9:17" hidden="1" x14ac:dyDescent="0.25">
      <c r="I137" s="219">
        <f t="shared" si="23"/>
        <v>0</v>
      </c>
      <c r="J137" s="219">
        <f t="shared" si="24"/>
        <v>0</v>
      </c>
      <c r="K137" s="219">
        <f t="shared" si="25"/>
        <v>0</v>
      </c>
      <c r="L137" s="232">
        <f t="shared" si="26"/>
        <v>0</v>
      </c>
      <c r="M137" s="219">
        <f t="shared" si="27"/>
        <v>0</v>
      </c>
      <c r="N137" s="219">
        <f t="shared" si="28"/>
        <v>0</v>
      </c>
      <c r="O137" s="219">
        <f t="shared" si="28"/>
        <v>0</v>
      </c>
      <c r="P137" s="219">
        <f t="shared" si="29"/>
        <v>0</v>
      </c>
      <c r="Q137" s="219"/>
    </row>
    <row r="138" spans="9:17" hidden="1" x14ac:dyDescent="0.25">
      <c r="I138" s="219">
        <f t="shared" si="23"/>
        <v>0</v>
      </c>
      <c r="J138" s="219">
        <f t="shared" si="24"/>
        <v>0</v>
      </c>
      <c r="K138" s="219">
        <f t="shared" si="25"/>
        <v>0</v>
      </c>
      <c r="L138" s="232">
        <f t="shared" si="26"/>
        <v>0</v>
      </c>
      <c r="M138" s="219">
        <f t="shared" si="27"/>
        <v>0</v>
      </c>
      <c r="N138" s="219">
        <f t="shared" si="28"/>
        <v>0</v>
      </c>
      <c r="O138" s="219">
        <f t="shared" si="28"/>
        <v>0</v>
      </c>
      <c r="P138" s="219">
        <f t="shared" si="29"/>
        <v>0</v>
      </c>
      <c r="Q138" s="219"/>
    </row>
    <row r="139" spans="9:17" hidden="1" x14ac:dyDescent="0.25">
      <c r="I139" s="219">
        <f t="shared" si="23"/>
        <v>0</v>
      </c>
      <c r="J139" s="219">
        <f t="shared" si="24"/>
        <v>0</v>
      </c>
      <c r="K139" s="219">
        <f t="shared" si="25"/>
        <v>0</v>
      </c>
      <c r="L139" s="232">
        <f t="shared" si="26"/>
        <v>0</v>
      </c>
      <c r="M139" s="219">
        <f t="shared" si="27"/>
        <v>0</v>
      </c>
      <c r="N139" s="219">
        <f t="shared" si="28"/>
        <v>0</v>
      </c>
      <c r="O139" s="219">
        <f t="shared" si="28"/>
        <v>0</v>
      </c>
      <c r="P139" s="219">
        <f t="shared" si="29"/>
        <v>0</v>
      </c>
      <c r="Q139" s="219"/>
    </row>
    <row r="140" spans="9:17" hidden="1" x14ac:dyDescent="0.25">
      <c r="I140" s="219">
        <f t="shared" si="23"/>
        <v>0</v>
      </c>
      <c r="J140" s="219">
        <f t="shared" si="24"/>
        <v>0</v>
      </c>
      <c r="K140" s="219">
        <f t="shared" si="25"/>
        <v>0</v>
      </c>
      <c r="L140" s="232">
        <f t="shared" si="26"/>
        <v>0</v>
      </c>
      <c r="M140" s="219">
        <f t="shared" si="27"/>
        <v>0</v>
      </c>
      <c r="N140" s="219">
        <f t="shared" si="28"/>
        <v>0</v>
      </c>
      <c r="O140" s="219">
        <f t="shared" si="28"/>
        <v>0</v>
      </c>
      <c r="P140" s="219">
        <f t="shared" si="29"/>
        <v>0</v>
      </c>
      <c r="Q140" s="219"/>
    </row>
    <row r="141" spans="9:17" hidden="1" x14ac:dyDescent="0.25">
      <c r="I141" s="219">
        <f t="shared" si="23"/>
        <v>0</v>
      </c>
      <c r="J141" s="219">
        <f t="shared" si="24"/>
        <v>0</v>
      </c>
      <c r="K141" s="219">
        <f t="shared" si="25"/>
        <v>0</v>
      </c>
      <c r="L141" s="232">
        <f t="shared" si="26"/>
        <v>0</v>
      </c>
      <c r="M141" s="219">
        <f t="shared" si="27"/>
        <v>0</v>
      </c>
      <c r="N141" s="219">
        <f t="shared" si="28"/>
        <v>0</v>
      </c>
      <c r="O141" s="219">
        <f t="shared" si="28"/>
        <v>0</v>
      </c>
      <c r="P141" s="219">
        <f t="shared" si="29"/>
        <v>0</v>
      </c>
      <c r="Q141" s="219"/>
    </row>
    <row r="142" spans="9:17" hidden="1" x14ac:dyDescent="0.25">
      <c r="I142" s="219">
        <f t="shared" si="23"/>
        <v>0</v>
      </c>
      <c r="J142" s="219">
        <f t="shared" si="24"/>
        <v>0</v>
      </c>
      <c r="K142" s="219">
        <f t="shared" si="25"/>
        <v>0</v>
      </c>
      <c r="L142" s="232">
        <f t="shared" si="26"/>
        <v>0</v>
      </c>
      <c r="M142" s="219">
        <f t="shared" si="27"/>
        <v>0</v>
      </c>
      <c r="N142" s="219">
        <f t="shared" si="28"/>
        <v>0</v>
      </c>
      <c r="O142" s="219">
        <f t="shared" si="28"/>
        <v>0</v>
      </c>
      <c r="P142" s="219">
        <f t="shared" si="29"/>
        <v>0</v>
      </c>
      <c r="Q142" s="219"/>
    </row>
    <row r="143" spans="9:17" hidden="1" x14ac:dyDescent="0.25">
      <c r="I143" s="219">
        <f t="shared" si="23"/>
        <v>0</v>
      </c>
      <c r="J143" s="219">
        <f t="shared" si="24"/>
        <v>0</v>
      </c>
      <c r="K143" s="219">
        <f t="shared" si="25"/>
        <v>0</v>
      </c>
      <c r="L143" s="232">
        <f t="shared" si="26"/>
        <v>0</v>
      </c>
      <c r="M143" s="219">
        <f t="shared" si="27"/>
        <v>0</v>
      </c>
      <c r="N143" s="219">
        <f t="shared" si="28"/>
        <v>0</v>
      </c>
      <c r="O143" s="219">
        <f t="shared" si="28"/>
        <v>0</v>
      </c>
      <c r="P143" s="219">
        <f t="shared" si="29"/>
        <v>0</v>
      </c>
      <c r="Q143" s="219"/>
    </row>
    <row r="144" spans="9:17" hidden="1" x14ac:dyDescent="0.25">
      <c r="I144" s="219">
        <f t="shared" si="23"/>
        <v>0</v>
      </c>
      <c r="J144" s="219">
        <f t="shared" si="24"/>
        <v>0</v>
      </c>
      <c r="K144" s="219">
        <f t="shared" si="25"/>
        <v>0</v>
      </c>
      <c r="L144" s="232">
        <f t="shared" si="26"/>
        <v>0</v>
      </c>
      <c r="M144" s="219">
        <f t="shared" si="27"/>
        <v>0</v>
      </c>
      <c r="N144" s="219">
        <f t="shared" si="28"/>
        <v>0</v>
      </c>
      <c r="O144" s="219">
        <f t="shared" si="28"/>
        <v>0</v>
      </c>
      <c r="P144" s="219">
        <f t="shared" si="29"/>
        <v>0</v>
      </c>
      <c r="Q144" s="219"/>
    </row>
    <row r="145" spans="9:17" hidden="1" x14ac:dyDescent="0.25">
      <c r="I145" s="219">
        <f t="shared" si="23"/>
        <v>0</v>
      </c>
      <c r="J145" s="219">
        <f t="shared" si="24"/>
        <v>0</v>
      </c>
      <c r="K145" s="219">
        <f t="shared" si="25"/>
        <v>0</v>
      </c>
      <c r="L145" s="232">
        <f t="shared" si="26"/>
        <v>0</v>
      </c>
      <c r="M145" s="219">
        <f t="shared" si="27"/>
        <v>0</v>
      </c>
      <c r="N145" s="219">
        <f t="shared" si="28"/>
        <v>0</v>
      </c>
      <c r="O145" s="219">
        <f t="shared" si="28"/>
        <v>0</v>
      </c>
      <c r="P145" s="219">
        <f t="shared" si="29"/>
        <v>0</v>
      </c>
      <c r="Q145" s="219"/>
    </row>
    <row r="146" spans="9:17" hidden="1" x14ac:dyDescent="0.25">
      <c r="I146" s="219">
        <f t="shared" si="23"/>
        <v>0</v>
      </c>
      <c r="J146" s="219">
        <f t="shared" si="24"/>
        <v>0</v>
      </c>
      <c r="K146" s="219">
        <f t="shared" si="25"/>
        <v>0</v>
      </c>
      <c r="L146" s="232">
        <f t="shared" si="26"/>
        <v>0</v>
      </c>
      <c r="M146" s="219">
        <f t="shared" si="27"/>
        <v>0</v>
      </c>
      <c r="N146" s="219">
        <f t="shared" si="28"/>
        <v>0</v>
      </c>
      <c r="O146" s="219">
        <f t="shared" si="28"/>
        <v>0</v>
      </c>
      <c r="P146" s="219">
        <f t="shared" si="29"/>
        <v>0</v>
      </c>
      <c r="Q146" s="219"/>
    </row>
    <row r="147" spans="9:17" hidden="1" x14ac:dyDescent="0.25">
      <c r="I147" s="219">
        <f t="shared" si="23"/>
        <v>0</v>
      </c>
      <c r="J147" s="219">
        <f t="shared" si="24"/>
        <v>0</v>
      </c>
      <c r="K147" s="219">
        <f t="shared" si="25"/>
        <v>0</v>
      </c>
      <c r="L147" s="232">
        <f t="shared" si="26"/>
        <v>0</v>
      </c>
      <c r="M147" s="219">
        <f t="shared" si="27"/>
        <v>0</v>
      </c>
      <c r="N147" s="219">
        <f t="shared" si="28"/>
        <v>0</v>
      </c>
      <c r="O147" s="219">
        <f t="shared" si="28"/>
        <v>0</v>
      </c>
      <c r="P147" s="219">
        <f t="shared" si="29"/>
        <v>0</v>
      </c>
      <c r="Q147" s="219"/>
    </row>
    <row r="148" spans="9:17" hidden="1" x14ac:dyDescent="0.25">
      <c r="I148" s="219">
        <f t="shared" si="23"/>
        <v>0</v>
      </c>
      <c r="J148" s="219">
        <f t="shared" si="24"/>
        <v>0</v>
      </c>
      <c r="K148" s="219">
        <f t="shared" si="25"/>
        <v>0</v>
      </c>
      <c r="L148" s="232">
        <f t="shared" si="26"/>
        <v>0</v>
      </c>
      <c r="M148" s="219">
        <f t="shared" si="27"/>
        <v>0</v>
      </c>
      <c r="N148" s="219">
        <f t="shared" si="28"/>
        <v>0</v>
      </c>
      <c r="O148" s="219">
        <f t="shared" si="28"/>
        <v>0</v>
      </c>
      <c r="P148" s="219">
        <f t="shared" si="29"/>
        <v>0</v>
      </c>
      <c r="Q148" s="219"/>
    </row>
    <row r="149" spans="9:17" hidden="1" x14ac:dyDescent="0.25">
      <c r="I149" s="219">
        <f t="shared" si="23"/>
        <v>0</v>
      </c>
      <c r="J149" s="219">
        <f t="shared" si="24"/>
        <v>0</v>
      </c>
      <c r="K149" s="219">
        <f t="shared" si="25"/>
        <v>0</v>
      </c>
      <c r="L149" s="232">
        <f t="shared" si="26"/>
        <v>0</v>
      </c>
      <c r="M149" s="219">
        <f t="shared" si="27"/>
        <v>0</v>
      </c>
      <c r="N149" s="219">
        <f t="shared" si="28"/>
        <v>0</v>
      </c>
      <c r="O149" s="219">
        <f t="shared" si="28"/>
        <v>0</v>
      </c>
      <c r="P149" s="219">
        <f t="shared" si="29"/>
        <v>0</v>
      </c>
      <c r="Q149" s="219"/>
    </row>
    <row r="150" spans="9:17" hidden="1" x14ac:dyDescent="0.25">
      <c r="I150" s="219">
        <f t="shared" si="23"/>
        <v>0</v>
      </c>
      <c r="J150" s="219">
        <f t="shared" si="24"/>
        <v>0</v>
      </c>
      <c r="K150" s="219">
        <f t="shared" si="25"/>
        <v>0</v>
      </c>
      <c r="L150" s="232">
        <f t="shared" si="26"/>
        <v>0</v>
      </c>
      <c r="M150" s="219">
        <f t="shared" si="27"/>
        <v>0</v>
      </c>
      <c r="N150" s="219">
        <f t="shared" si="28"/>
        <v>0</v>
      </c>
      <c r="O150" s="219">
        <f t="shared" si="28"/>
        <v>0</v>
      </c>
      <c r="P150" s="219">
        <f t="shared" si="29"/>
        <v>0</v>
      </c>
      <c r="Q150" s="219"/>
    </row>
    <row r="151" spans="9:17" hidden="1" x14ac:dyDescent="0.25">
      <c r="I151" s="219">
        <f t="shared" si="23"/>
        <v>0</v>
      </c>
      <c r="J151" s="219">
        <f t="shared" si="24"/>
        <v>0</v>
      </c>
      <c r="K151" s="219">
        <f t="shared" si="25"/>
        <v>0</v>
      </c>
      <c r="L151" s="232">
        <f t="shared" si="26"/>
        <v>0</v>
      </c>
      <c r="M151" s="219">
        <f t="shared" si="27"/>
        <v>0</v>
      </c>
      <c r="N151" s="219">
        <f t="shared" si="28"/>
        <v>0</v>
      </c>
      <c r="O151" s="219">
        <f t="shared" si="28"/>
        <v>0</v>
      </c>
      <c r="P151" s="219">
        <f t="shared" si="29"/>
        <v>0</v>
      </c>
      <c r="Q151" s="219"/>
    </row>
    <row r="152" spans="9:17" hidden="1" x14ac:dyDescent="0.25">
      <c r="I152" s="219">
        <f t="shared" si="23"/>
        <v>0</v>
      </c>
      <c r="J152" s="219">
        <f t="shared" si="24"/>
        <v>0</v>
      </c>
      <c r="K152" s="219">
        <f t="shared" si="25"/>
        <v>0</v>
      </c>
      <c r="L152" s="232">
        <f t="shared" si="26"/>
        <v>0</v>
      </c>
      <c r="M152" s="219">
        <f t="shared" si="27"/>
        <v>0</v>
      </c>
      <c r="N152" s="219">
        <f t="shared" si="28"/>
        <v>0</v>
      </c>
      <c r="O152" s="219">
        <f t="shared" si="28"/>
        <v>0</v>
      </c>
      <c r="P152" s="219">
        <f t="shared" si="29"/>
        <v>0</v>
      </c>
      <c r="Q152" s="219"/>
    </row>
    <row r="153" spans="9:17" hidden="1" x14ac:dyDescent="0.25">
      <c r="I153" s="219">
        <f t="shared" si="23"/>
        <v>0</v>
      </c>
      <c r="J153" s="219">
        <f t="shared" si="24"/>
        <v>0</v>
      </c>
      <c r="K153" s="219">
        <f t="shared" si="25"/>
        <v>0</v>
      </c>
      <c r="L153" s="232">
        <f t="shared" si="26"/>
        <v>0</v>
      </c>
      <c r="M153" s="219">
        <f t="shared" si="27"/>
        <v>0</v>
      </c>
      <c r="N153" s="219">
        <f t="shared" si="28"/>
        <v>0</v>
      </c>
      <c r="O153" s="219">
        <f t="shared" si="28"/>
        <v>0</v>
      </c>
      <c r="P153" s="219">
        <f t="shared" si="29"/>
        <v>0</v>
      </c>
      <c r="Q153" s="219"/>
    </row>
    <row r="154" spans="9:17" hidden="1" x14ac:dyDescent="0.25">
      <c r="I154" s="219">
        <f t="shared" si="23"/>
        <v>0</v>
      </c>
      <c r="J154" s="219">
        <f t="shared" si="24"/>
        <v>0</v>
      </c>
      <c r="K154" s="219">
        <f t="shared" si="25"/>
        <v>0</v>
      </c>
      <c r="L154" s="232">
        <f t="shared" si="26"/>
        <v>0</v>
      </c>
      <c r="M154" s="219">
        <f t="shared" si="27"/>
        <v>0</v>
      </c>
      <c r="N154" s="219">
        <f t="shared" si="28"/>
        <v>0</v>
      </c>
      <c r="O154" s="219">
        <f t="shared" si="28"/>
        <v>0</v>
      </c>
      <c r="P154" s="219">
        <f t="shared" si="29"/>
        <v>0</v>
      </c>
      <c r="Q154" s="219"/>
    </row>
    <row r="155" spans="9:17" hidden="1" x14ac:dyDescent="0.25">
      <c r="I155" s="219">
        <f t="shared" si="23"/>
        <v>0</v>
      </c>
      <c r="J155" s="219">
        <f t="shared" si="24"/>
        <v>0</v>
      </c>
      <c r="K155" s="219">
        <f t="shared" si="25"/>
        <v>0</v>
      </c>
      <c r="L155" s="232">
        <f t="shared" si="26"/>
        <v>0</v>
      </c>
      <c r="M155" s="219">
        <f t="shared" si="27"/>
        <v>0</v>
      </c>
      <c r="N155" s="219">
        <f t="shared" si="28"/>
        <v>0</v>
      </c>
      <c r="O155" s="219">
        <f t="shared" si="28"/>
        <v>0</v>
      </c>
      <c r="P155" s="219">
        <f t="shared" si="29"/>
        <v>0</v>
      </c>
      <c r="Q155" s="219"/>
    </row>
    <row r="156" spans="9:17" hidden="1" x14ac:dyDescent="0.25">
      <c r="I156" s="219">
        <f t="shared" si="23"/>
        <v>0</v>
      </c>
      <c r="J156" s="219">
        <f t="shared" si="24"/>
        <v>0</v>
      </c>
      <c r="K156" s="219">
        <f t="shared" si="25"/>
        <v>0</v>
      </c>
      <c r="L156" s="232">
        <f t="shared" si="26"/>
        <v>0</v>
      </c>
      <c r="M156" s="219">
        <f t="shared" si="27"/>
        <v>0</v>
      </c>
      <c r="N156" s="219">
        <f t="shared" si="28"/>
        <v>0</v>
      </c>
      <c r="O156" s="219">
        <f t="shared" si="28"/>
        <v>0</v>
      </c>
      <c r="P156" s="219">
        <f t="shared" si="29"/>
        <v>0</v>
      </c>
      <c r="Q156" s="219"/>
    </row>
    <row r="157" spans="9:17" hidden="1" x14ac:dyDescent="0.25">
      <c r="I157" s="219">
        <f t="shared" si="23"/>
        <v>0</v>
      </c>
      <c r="J157" s="219">
        <f t="shared" si="24"/>
        <v>0</v>
      </c>
      <c r="K157" s="219">
        <f t="shared" si="25"/>
        <v>0</v>
      </c>
      <c r="L157" s="232">
        <f t="shared" si="26"/>
        <v>0</v>
      </c>
      <c r="M157" s="219">
        <f t="shared" si="27"/>
        <v>0</v>
      </c>
      <c r="N157" s="219">
        <f t="shared" si="28"/>
        <v>0</v>
      </c>
      <c r="O157" s="219">
        <f t="shared" si="28"/>
        <v>0</v>
      </c>
      <c r="P157" s="219">
        <f t="shared" si="29"/>
        <v>0</v>
      </c>
      <c r="Q157" s="219"/>
    </row>
    <row r="158" spans="9:17" hidden="1" x14ac:dyDescent="0.25">
      <c r="I158" s="219">
        <f t="shared" si="23"/>
        <v>0</v>
      </c>
      <c r="J158" s="219">
        <f t="shared" si="24"/>
        <v>0</v>
      </c>
      <c r="K158" s="219">
        <f t="shared" si="25"/>
        <v>0</v>
      </c>
      <c r="L158" s="232">
        <f t="shared" si="26"/>
        <v>0</v>
      </c>
      <c r="M158" s="219">
        <f t="shared" si="27"/>
        <v>0</v>
      </c>
      <c r="N158" s="219">
        <f t="shared" si="28"/>
        <v>0</v>
      </c>
      <c r="O158" s="219">
        <f t="shared" si="28"/>
        <v>0</v>
      </c>
      <c r="P158" s="219">
        <f t="shared" si="29"/>
        <v>0</v>
      </c>
      <c r="Q158" s="219"/>
    </row>
    <row r="159" spans="9:17" hidden="1" x14ac:dyDescent="0.25">
      <c r="I159" s="219">
        <f t="shared" si="23"/>
        <v>0</v>
      </c>
      <c r="J159" s="219">
        <f t="shared" si="24"/>
        <v>0</v>
      </c>
      <c r="K159" s="219">
        <f t="shared" si="25"/>
        <v>0</v>
      </c>
      <c r="L159" s="232">
        <f t="shared" si="26"/>
        <v>0</v>
      </c>
      <c r="M159" s="219">
        <f t="shared" si="27"/>
        <v>0</v>
      </c>
      <c r="N159" s="219">
        <f t="shared" si="28"/>
        <v>0</v>
      </c>
      <c r="O159" s="219">
        <f t="shared" si="28"/>
        <v>0</v>
      </c>
      <c r="P159" s="219">
        <f t="shared" si="29"/>
        <v>0</v>
      </c>
      <c r="Q159" s="219"/>
    </row>
    <row r="160" spans="9:17" hidden="1" x14ac:dyDescent="0.25">
      <c r="I160" s="219">
        <f t="shared" si="23"/>
        <v>0</v>
      </c>
      <c r="J160" s="219">
        <f t="shared" si="24"/>
        <v>0</v>
      </c>
      <c r="K160" s="219">
        <f t="shared" si="25"/>
        <v>0</v>
      </c>
      <c r="L160" s="232">
        <f t="shared" si="26"/>
        <v>0</v>
      </c>
      <c r="M160" s="219">
        <f t="shared" si="27"/>
        <v>0</v>
      </c>
      <c r="N160" s="219">
        <f t="shared" si="28"/>
        <v>0</v>
      </c>
      <c r="O160" s="219">
        <f t="shared" si="28"/>
        <v>0</v>
      </c>
      <c r="P160" s="219">
        <f t="shared" si="29"/>
        <v>0</v>
      </c>
      <c r="Q160" s="219"/>
    </row>
    <row r="161" spans="9:17" hidden="1" x14ac:dyDescent="0.25">
      <c r="I161" s="219">
        <f t="shared" si="23"/>
        <v>0</v>
      </c>
      <c r="J161" s="219">
        <f t="shared" si="24"/>
        <v>0</v>
      </c>
      <c r="K161" s="219">
        <f t="shared" si="25"/>
        <v>0</v>
      </c>
      <c r="L161" s="232">
        <f t="shared" si="26"/>
        <v>0</v>
      </c>
      <c r="M161" s="219">
        <f t="shared" si="27"/>
        <v>0</v>
      </c>
      <c r="N161" s="219">
        <f t="shared" si="28"/>
        <v>0</v>
      </c>
      <c r="O161" s="219">
        <f t="shared" si="28"/>
        <v>0</v>
      </c>
      <c r="P161" s="219">
        <f t="shared" si="29"/>
        <v>0</v>
      </c>
      <c r="Q161" s="219"/>
    </row>
    <row r="162" spans="9:17" hidden="1" x14ac:dyDescent="0.25">
      <c r="I162" s="219">
        <f t="shared" si="23"/>
        <v>0</v>
      </c>
      <c r="J162" s="219">
        <f t="shared" si="24"/>
        <v>0</v>
      </c>
      <c r="K162" s="219">
        <f t="shared" si="25"/>
        <v>0</v>
      </c>
      <c r="L162" s="232">
        <f t="shared" si="26"/>
        <v>0</v>
      </c>
      <c r="M162" s="219">
        <f t="shared" si="27"/>
        <v>0</v>
      </c>
      <c r="N162" s="219">
        <f t="shared" si="28"/>
        <v>0</v>
      </c>
      <c r="O162" s="219">
        <f t="shared" si="28"/>
        <v>0</v>
      </c>
      <c r="P162" s="219">
        <f t="shared" si="29"/>
        <v>0</v>
      </c>
      <c r="Q162" s="219"/>
    </row>
    <row r="163" spans="9:17" hidden="1" x14ac:dyDescent="0.25">
      <c r="I163" s="219">
        <f t="shared" si="23"/>
        <v>0</v>
      </c>
      <c r="J163" s="219">
        <f t="shared" si="24"/>
        <v>0</v>
      </c>
      <c r="K163" s="219">
        <f t="shared" si="25"/>
        <v>0</v>
      </c>
      <c r="L163" s="232">
        <f t="shared" si="26"/>
        <v>0</v>
      </c>
      <c r="M163" s="219">
        <f t="shared" si="27"/>
        <v>0</v>
      </c>
      <c r="N163" s="219">
        <f t="shared" si="28"/>
        <v>0</v>
      </c>
      <c r="O163" s="219">
        <f t="shared" si="28"/>
        <v>0</v>
      </c>
      <c r="P163" s="219">
        <f t="shared" si="29"/>
        <v>0</v>
      </c>
      <c r="Q163" s="219"/>
    </row>
    <row r="164" spans="9:17" hidden="1" x14ac:dyDescent="0.25">
      <c r="I164" s="219">
        <f t="shared" si="23"/>
        <v>0</v>
      </c>
      <c r="J164" s="219">
        <f t="shared" si="24"/>
        <v>0</v>
      </c>
      <c r="K164" s="219">
        <f t="shared" si="25"/>
        <v>0</v>
      </c>
      <c r="L164" s="232">
        <f t="shared" si="26"/>
        <v>0</v>
      </c>
      <c r="M164" s="219">
        <f t="shared" si="27"/>
        <v>0</v>
      </c>
      <c r="N164" s="219">
        <f t="shared" si="28"/>
        <v>0</v>
      </c>
      <c r="O164" s="219">
        <f t="shared" si="28"/>
        <v>0</v>
      </c>
      <c r="P164" s="219">
        <f t="shared" si="29"/>
        <v>0</v>
      </c>
      <c r="Q164" s="219"/>
    </row>
    <row r="165" spans="9:17" hidden="1" x14ac:dyDescent="0.25">
      <c r="I165" s="219">
        <f t="shared" si="23"/>
        <v>0</v>
      </c>
      <c r="J165" s="219">
        <f t="shared" si="24"/>
        <v>0</v>
      </c>
      <c r="K165" s="219">
        <f t="shared" si="25"/>
        <v>0</v>
      </c>
      <c r="L165" s="232">
        <f t="shared" si="26"/>
        <v>0</v>
      </c>
      <c r="M165" s="219">
        <f t="shared" si="27"/>
        <v>0</v>
      </c>
      <c r="N165" s="219">
        <f t="shared" si="28"/>
        <v>0</v>
      </c>
      <c r="O165" s="219">
        <f t="shared" si="28"/>
        <v>0</v>
      </c>
      <c r="P165" s="219">
        <f t="shared" si="29"/>
        <v>0</v>
      </c>
      <c r="Q165" s="219"/>
    </row>
    <row r="166" spans="9:17" hidden="1" x14ac:dyDescent="0.25">
      <c r="I166" s="219">
        <f t="shared" si="23"/>
        <v>0</v>
      </c>
      <c r="J166" s="219">
        <f t="shared" si="24"/>
        <v>0</v>
      </c>
      <c r="K166" s="219">
        <f t="shared" si="25"/>
        <v>0</v>
      </c>
      <c r="L166" s="232">
        <f t="shared" si="26"/>
        <v>0</v>
      </c>
      <c r="M166" s="219">
        <f t="shared" si="27"/>
        <v>0</v>
      </c>
      <c r="N166" s="219">
        <f t="shared" si="28"/>
        <v>0</v>
      </c>
      <c r="O166" s="219">
        <f t="shared" si="28"/>
        <v>0</v>
      </c>
      <c r="P166" s="219">
        <f t="shared" si="29"/>
        <v>0</v>
      </c>
      <c r="Q166" s="219"/>
    </row>
    <row r="167" spans="9:17" hidden="1" x14ac:dyDescent="0.25">
      <c r="I167" s="219">
        <f t="shared" si="23"/>
        <v>0</v>
      </c>
      <c r="J167" s="219">
        <f t="shared" si="24"/>
        <v>0</v>
      </c>
      <c r="K167" s="219">
        <f t="shared" si="25"/>
        <v>0</v>
      </c>
      <c r="L167" s="232">
        <f t="shared" si="26"/>
        <v>0</v>
      </c>
      <c r="M167" s="219">
        <f t="shared" si="27"/>
        <v>0</v>
      </c>
      <c r="N167" s="219">
        <f t="shared" si="28"/>
        <v>0</v>
      </c>
      <c r="O167" s="219">
        <f t="shared" si="28"/>
        <v>0</v>
      </c>
      <c r="P167" s="219">
        <f t="shared" si="29"/>
        <v>0</v>
      </c>
      <c r="Q167" s="219"/>
    </row>
    <row r="168" spans="9:17" hidden="1" x14ac:dyDescent="0.25">
      <c r="I168" s="219">
        <f t="shared" si="23"/>
        <v>0</v>
      </c>
      <c r="J168" s="219">
        <f t="shared" si="24"/>
        <v>0</v>
      </c>
      <c r="K168" s="219">
        <f t="shared" si="25"/>
        <v>0</v>
      </c>
      <c r="L168" s="232">
        <f t="shared" si="26"/>
        <v>0</v>
      </c>
      <c r="M168" s="219">
        <f t="shared" si="27"/>
        <v>0</v>
      </c>
      <c r="N168" s="219">
        <f t="shared" si="28"/>
        <v>0</v>
      </c>
      <c r="O168" s="219">
        <f t="shared" si="28"/>
        <v>0</v>
      </c>
      <c r="P168" s="219">
        <f t="shared" si="29"/>
        <v>0</v>
      </c>
      <c r="Q168" s="219"/>
    </row>
    <row r="169" spans="9:17" hidden="1" x14ac:dyDescent="0.25">
      <c r="I169" s="219">
        <f t="shared" si="23"/>
        <v>0</v>
      </c>
      <c r="J169" s="219">
        <f t="shared" si="24"/>
        <v>0</v>
      </c>
      <c r="K169" s="219">
        <f t="shared" si="25"/>
        <v>0</v>
      </c>
      <c r="L169" s="232">
        <f t="shared" si="26"/>
        <v>0</v>
      </c>
      <c r="M169" s="219">
        <f t="shared" si="27"/>
        <v>0</v>
      </c>
      <c r="N169" s="219">
        <f t="shared" si="28"/>
        <v>0</v>
      </c>
      <c r="O169" s="219">
        <f t="shared" si="28"/>
        <v>0</v>
      </c>
      <c r="P169" s="219">
        <f t="shared" si="29"/>
        <v>0</v>
      </c>
      <c r="Q169" s="219"/>
    </row>
    <row r="170" spans="9:17" hidden="1" x14ac:dyDescent="0.25">
      <c r="I170" s="219">
        <f t="shared" si="23"/>
        <v>0</v>
      </c>
      <c r="J170" s="219">
        <f t="shared" si="24"/>
        <v>0</v>
      </c>
      <c r="K170" s="219">
        <f t="shared" si="25"/>
        <v>0</v>
      </c>
      <c r="L170" s="232">
        <f t="shared" si="26"/>
        <v>0</v>
      </c>
      <c r="M170" s="219">
        <f t="shared" si="27"/>
        <v>0</v>
      </c>
      <c r="N170" s="219">
        <f t="shared" si="28"/>
        <v>0</v>
      </c>
      <c r="O170" s="219">
        <f t="shared" si="28"/>
        <v>0</v>
      </c>
      <c r="P170" s="219">
        <f t="shared" si="29"/>
        <v>0</v>
      </c>
      <c r="Q170" s="219"/>
    </row>
    <row r="171" spans="9:17" hidden="1" x14ac:dyDescent="0.25">
      <c r="I171" s="219">
        <f t="shared" si="23"/>
        <v>0</v>
      </c>
      <c r="J171" s="219">
        <f t="shared" si="24"/>
        <v>0</v>
      </c>
      <c r="K171" s="219">
        <f t="shared" si="25"/>
        <v>0</v>
      </c>
      <c r="L171" s="232">
        <f t="shared" si="26"/>
        <v>0</v>
      </c>
      <c r="M171" s="219">
        <f t="shared" si="27"/>
        <v>0</v>
      </c>
      <c r="N171" s="219">
        <f t="shared" si="28"/>
        <v>0</v>
      </c>
      <c r="O171" s="219">
        <f t="shared" si="28"/>
        <v>0</v>
      </c>
      <c r="P171" s="219">
        <f t="shared" si="29"/>
        <v>0</v>
      </c>
      <c r="Q171" s="219"/>
    </row>
    <row r="172" spans="9:17" hidden="1" x14ac:dyDescent="0.25">
      <c r="I172" s="219">
        <f t="shared" si="23"/>
        <v>0</v>
      </c>
      <c r="J172" s="219">
        <f t="shared" si="24"/>
        <v>0</v>
      </c>
      <c r="K172" s="219">
        <f t="shared" si="25"/>
        <v>0</v>
      </c>
      <c r="L172" s="232">
        <f t="shared" si="26"/>
        <v>0</v>
      </c>
      <c r="M172" s="219">
        <f t="shared" si="27"/>
        <v>0</v>
      </c>
      <c r="N172" s="219">
        <f t="shared" si="28"/>
        <v>0</v>
      </c>
      <c r="O172" s="219">
        <f t="shared" si="28"/>
        <v>0</v>
      </c>
      <c r="P172" s="219">
        <f t="shared" si="29"/>
        <v>0</v>
      </c>
      <c r="Q172" s="219"/>
    </row>
    <row r="173" spans="9:17" hidden="1" x14ac:dyDescent="0.25">
      <c r="I173" s="219">
        <f t="shared" si="23"/>
        <v>0</v>
      </c>
      <c r="J173" s="219">
        <f t="shared" si="24"/>
        <v>0</v>
      </c>
      <c r="K173" s="219">
        <f t="shared" si="25"/>
        <v>0</v>
      </c>
      <c r="L173" s="232">
        <f t="shared" si="26"/>
        <v>0</v>
      </c>
      <c r="M173" s="219">
        <f t="shared" si="27"/>
        <v>0</v>
      </c>
      <c r="N173" s="219">
        <f t="shared" si="28"/>
        <v>0</v>
      </c>
      <c r="O173" s="219">
        <f t="shared" si="28"/>
        <v>0</v>
      </c>
      <c r="P173" s="219">
        <f t="shared" si="29"/>
        <v>0</v>
      </c>
      <c r="Q173" s="219"/>
    </row>
    <row r="174" spans="9:17" hidden="1" x14ac:dyDescent="0.25">
      <c r="I174" s="219">
        <f t="shared" si="23"/>
        <v>0</v>
      </c>
      <c r="J174" s="219">
        <f t="shared" si="24"/>
        <v>0</v>
      </c>
      <c r="K174" s="219">
        <f t="shared" si="25"/>
        <v>0</v>
      </c>
      <c r="L174" s="232">
        <f t="shared" si="26"/>
        <v>0</v>
      </c>
      <c r="M174" s="219">
        <f t="shared" si="27"/>
        <v>0</v>
      </c>
      <c r="N174" s="219">
        <f t="shared" si="28"/>
        <v>0</v>
      </c>
      <c r="O174" s="219">
        <f t="shared" si="28"/>
        <v>0</v>
      </c>
      <c r="P174" s="219">
        <f t="shared" si="29"/>
        <v>0</v>
      </c>
      <c r="Q174" s="219"/>
    </row>
    <row r="175" spans="9:17" hidden="1" x14ac:dyDescent="0.25">
      <c r="I175" s="219">
        <f t="shared" si="23"/>
        <v>0</v>
      </c>
      <c r="J175" s="219">
        <f t="shared" si="24"/>
        <v>0</v>
      </c>
      <c r="K175" s="219">
        <f t="shared" si="25"/>
        <v>0</v>
      </c>
      <c r="L175" s="232">
        <f t="shared" si="26"/>
        <v>0</v>
      </c>
      <c r="M175" s="219">
        <f t="shared" si="27"/>
        <v>0</v>
      </c>
      <c r="N175" s="219">
        <f t="shared" si="28"/>
        <v>0</v>
      </c>
      <c r="O175" s="219">
        <f t="shared" si="28"/>
        <v>0</v>
      </c>
      <c r="P175" s="219">
        <f t="shared" si="29"/>
        <v>0</v>
      </c>
      <c r="Q175" s="219"/>
    </row>
    <row r="176" spans="9:17" hidden="1" x14ac:dyDescent="0.25">
      <c r="I176" s="219">
        <f t="shared" si="23"/>
        <v>0</v>
      </c>
      <c r="J176" s="219">
        <f t="shared" si="24"/>
        <v>0</v>
      </c>
      <c r="K176" s="219">
        <f t="shared" si="25"/>
        <v>0</v>
      </c>
      <c r="L176" s="232">
        <f t="shared" si="26"/>
        <v>0</v>
      </c>
      <c r="M176" s="219">
        <f t="shared" si="27"/>
        <v>0</v>
      </c>
      <c r="N176" s="219">
        <f t="shared" si="28"/>
        <v>0</v>
      </c>
      <c r="O176" s="219">
        <f t="shared" si="28"/>
        <v>0</v>
      </c>
      <c r="P176" s="219">
        <f t="shared" si="29"/>
        <v>0</v>
      </c>
      <c r="Q176" s="219"/>
    </row>
    <row r="177" spans="9:17" hidden="1" x14ac:dyDescent="0.25">
      <c r="I177" s="219">
        <f t="shared" si="23"/>
        <v>0</v>
      </c>
      <c r="J177" s="219">
        <f t="shared" si="24"/>
        <v>0</v>
      </c>
      <c r="K177" s="219">
        <f t="shared" si="25"/>
        <v>0</v>
      </c>
      <c r="L177" s="232">
        <f t="shared" si="26"/>
        <v>0</v>
      </c>
      <c r="M177" s="219">
        <f t="shared" si="27"/>
        <v>0</v>
      </c>
      <c r="N177" s="219">
        <f t="shared" si="28"/>
        <v>0</v>
      </c>
      <c r="O177" s="219">
        <f t="shared" si="28"/>
        <v>0</v>
      </c>
      <c r="P177" s="219">
        <f t="shared" si="29"/>
        <v>0</v>
      </c>
      <c r="Q177" s="219"/>
    </row>
    <row r="178" spans="9:17" hidden="1" x14ac:dyDescent="0.25">
      <c r="I178" s="219">
        <f t="shared" si="23"/>
        <v>0</v>
      </c>
      <c r="J178" s="219">
        <f t="shared" si="24"/>
        <v>0</v>
      </c>
      <c r="K178" s="219">
        <f t="shared" si="25"/>
        <v>0</v>
      </c>
      <c r="L178" s="232">
        <f t="shared" si="26"/>
        <v>0</v>
      </c>
      <c r="M178" s="219">
        <f t="shared" si="27"/>
        <v>0</v>
      </c>
      <c r="N178" s="219">
        <f t="shared" si="28"/>
        <v>0</v>
      </c>
      <c r="O178" s="219">
        <f t="shared" si="28"/>
        <v>0</v>
      </c>
      <c r="P178" s="219">
        <f t="shared" si="29"/>
        <v>0</v>
      </c>
      <c r="Q178" s="219"/>
    </row>
    <row r="179" spans="9:17" hidden="1" x14ac:dyDescent="0.25">
      <c r="I179" s="219">
        <f t="shared" si="23"/>
        <v>0</v>
      </c>
      <c r="J179" s="219">
        <f t="shared" si="24"/>
        <v>0</v>
      </c>
      <c r="K179" s="219">
        <f t="shared" si="25"/>
        <v>0</v>
      </c>
      <c r="L179" s="232">
        <f t="shared" si="26"/>
        <v>0</v>
      </c>
      <c r="M179" s="219">
        <f t="shared" si="27"/>
        <v>0</v>
      </c>
      <c r="N179" s="219">
        <f t="shared" si="28"/>
        <v>0</v>
      </c>
      <c r="O179" s="219">
        <f t="shared" si="28"/>
        <v>0</v>
      </c>
      <c r="P179" s="219">
        <f t="shared" si="29"/>
        <v>0</v>
      </c>
      <c r="Q179" s="219"/>
    </row>
    <row r="180" spans="9:17" hidden="1" x14ac:dyDescent="0.25">
      <c r="I180" s="219">
        <f t="shared" si="23"/>
        <v>0</v>
      </c>
      <c r="J180" s="219">
        <f t="shared" si="24"/>
        <v>0</v>
      </c>
      <c r="K180" s="219">
        <f t="shared" si="25"/>
        <v>0</v>
      </c>
      <c r="L180" s="232">
        <f t="shared" si="26"/>
        <v>0</v>
      </c>
      <c r="M180" s="219">
        <f t="shared" si="27"/>
        <v>0</v>
      </c>
      <c r="N180" s="219">
        <f t="shared" si="28"/>
        <v>0</v>
      </c>
      <c r="O180" s="219">
        <f t="shared" si="28"/>
        <v>0</v>
      </c>
      <c r="P180" s="219">
        <f t="shared" si="29"/>
        <v>0</v>
      </c>
      <c r="Q180" s="219"/>
    </row>
    <row r="181" spans="9:17" hidden="1" x14ac:dyDescent="0.25">
      <c r="I181" s="219">
        <f t="shared" si="23"/>
        <v>0</v>
      </c>
      <c r="J181" s="219">
        <f t="shared" si="24"/>
        <v>0</v>
      </c>
      <c r="K181" s="219">
        <f t="shared" si="25"/>
        <v>0</v>
      </c>
      <c r="L181" s="232">
        <f t="shared" si="26"/>
        <v>0</v>
      </c>
      <c r="M181" s="219">
        <f t="shared" si="27"/>
        <v>0</v>
      </c>
      <c r="N181" s="219">
        <f t="shared" si="28"/>
        <v>0</v>
      </c>
      <c r="O181" s="219">
        <f t="shared" si="28"/>
        <v>0</v>
      </c>
      <c r="P181" s="219">
        <f t="shared" si="29"/>
        <v>0</v>
      </c>
      <c r="Q181" s="219"/>
    </row>
    <row r="182" spans="9:17" hidden="1" x14ac:dyDescent="0.25">
      <c r="I182" s="219">
        <f t="shared" si="23"/>
        <v>0</v>
      </c>
      <c r="J182" s="219">
        <f t="shared" si="24"/>
        <v>0</v>
      </c>
      <c r="K182" s="219">
        <f t="shared" si="25"/>
        <v>0</v>
      </c>
      <c r="L182" s="232">
        <f t="shared" si="26"/>
        <v>0</v>
      </c>
      <c r="M182" s="219">
        <f t="shared" si="27"/>
        <v>0</v>
      </c>
      <c r="N182" s="219">
        <f t="shared" si="28"/>
        <v>0</v>
      </c>
      <c r="O182" s="219">
        <f t="shared" si="28"/>
        <v>0</v>
      </c>
      <c r="P182" s="219">
        <f t="shared" si="29"/>
        <v>0</v>
      </c>
      <c r="Q182" s="219"/>
    </row>
    <row r="183" spans="9:17" hidden="1" x14ac:dyDescent="0.25">
      <c r="I183" s="219">
        <f t="shared" si="23"/>
        <v>0</v>
      </c>
      <c r="J183" s="219">
        <f t="shared" si="24"/>
        <v>0</v>
      </c>
      <c r="K183" s="219">
        <f t="shared" si="25"/>
        <v>0</v>
      </c>
      <c r="L183" s="232">
        <f t="shared" si="26"/>
        <v>0</v>
      </c>
      <c r="M183" s="219">
        <f t="shared" si="27"/>
        <v>0</v>
      </c>
      <c r="N183" s="219">
        <f t="shared" si="28"/>
        <v>0</v>
      </c>
      <c r="O183" s="219">
        <f t="shared" si="28"/>
        <v>0</v>
      </c>
      <c r="P183" s="219">
        <f t="shared" si="29"/>
        <v>0</v>
      </c>
      <c r="Q183" s="219"/>
    </row>
    <row r="184" spans="9:17" hidden="1" x14ac:dyDescent="0.25">
      <c r="I184" s="219">
        <f t="shared" si="23"/>
        <v>0</v>
      </c>
      <c r="J184" s="219">
        <f t="shared" si="24"/>
        <v>0</v>
      </c>
      <c r="K184" s="219">
        <f t="shared" si="25"/>
        <v>0</v>
      </c>
      <c r="L184" s="232">
        <f t="shared" si="26"/>
        <v>0</v>
      </c>
      <c r="M184" s="219">
        <f t="shared" si="27"/>
        <v>0</v>
      </c>
      <c r="N184" s="219">
        <f t="shared" si="28"/>
        <v>0</v>
      </c>
      <c r="O184" s="219">
        <f t="shared" si="28"/>
        <v>0</v>
      </c>
      <c r="P184" s="219">
        <f t="shared" si="29"/>
        <v>0</v>
      </c>
      <c r="Q184" s="219"/>
    </row>
    <row r="185" spans="9:17" hidden="1" x14ac:dyDescent="0.25">
      <c r="I185" s="219">
        <f t="shared" si="23"/>
        <v>0</v>
      </c>
      <c r="J185" s="219">
        <f t="shared" si="24"/>
        <v>0</v>
      </c>
      <c r="K185" s="219">
        <f t="shared" si="25"/>
        <v>0</v>
      </c>
      <c r="L185" s="232">
        <f t="shared" si="26"/>
        <v>0</v>
      </c>
      <c r="M185" s="219">
        <f t="shared" si="27"/>
        <v>0</v>
      </c>
      <c r="N185" s="219">
        <f t="shared" si="28"/>
        <v>0</v>
      </c>
      <c r="O185" s="219">
        <f t="shared" si="28"/>
        <v>0</v>
      </c>
      <c r="P185" s="219">
        <f t="shared" si="29"/>
        <v>0</v>
      </c>
      <c r="Q185" s="219"/>
    </row>
    <row r="186" spans="9:17" hidden="1" x14ac:dyDescent="0.25">
      <c r="I186" s="219">
        <f t="shared" si="23"/>
        <v>0</v>
      </c>
      <c r="J186" s="219">
        <f t="shared" si="24"/>
        <v>0</v>
      </c>
      <c r="K186" s="219">
        <f t="shared" si="25"/>
        <v>0</v>
      </c>
      <c r="L186" s="232">
        <f t="shared" si="26"/>
        <v>0</v>
      </c>
      <c r="M186" s="219">
        <f t="shared" si="27"/>
        <v>0</v>
      </c>
      <c r="N186" s="219">
        <f t="shared" si="28"/>
        <v>0</v>
      </c>
      <c r="O186" s="219">
        <f t="shared" si="28"/>
        <v>0</v>
      </c>
      <c r="P186" s="219">
        <f t="shared" si="29"/>
        <v>0</v>
      </c>
      <c r="Q186" s="219"/>
    </row>
    <row r="187" spans="9:17" hidden="1" x14ac:dyDescent="0.25">
      <c r="I187" s="219">
        <f t="shared" si="23"/>
        <v>0</v>
      </c>
      <c r="J187" s="219">
        <f t="shared" si="24"/>
        <v>0</v>
      </c>
      <c r="K187" s="219">
        <f t="shared" si="25"/>
        <v>0</v>
      </c>
      <c r="L187" s="232">
        <f t="shared" si="26"/>
        <v>0</v>
      </c>
      <c r="M187" s="219">
        <f t="shared" si="27"/>
        <v>0</v>
      </c>
      <c r="N187" s="219">
        <f t="shared" si="28"/>
        <v>0</v>
      </c>
      <c r="O187" s="219">
        <f t="shared" si="28"/>
        <v>0</v>
      </c>
      <c r="P187" s="219">
        <f t="shared" si="29"/>
        <v>0</v>
      </c>
      <c r="Q187" s="219"/>
    </row>
    <row r="188" spans="9:17" hidden="1" x14ac:dyDescent="0.25">
      <c r="I188" s="219">
        <f t="shared" si="23"/>
        <v>0</v>
      </c>
      <c r="J188" s="219">
        <f t="shared" si="24"/>
        <v>0</v>
      </c>
      <c r="K188" s="219">
        <f t="shared" si="25"/>
        <v>0</v>
      </c>
      <c r="L188" s="232">
        <f t="shared" si="26"/>
        <v>0</v>
      </c>
      <c r="M188" s="219">
        <f t="shared" si="27"/>
        <v>0</v>
      </c>
      <c r="N188" s="219">
        <f t="shared" si="28"/>
        <v>0</v>
      </c>
      <c r="O188" s="219">
        <f t="shared" si="28"/>
        <v>0</v>
      </c>
      <c r="P188" s="219">
        <f t="shared" si="29"/>
        <v>0</v>
      </c>
      <c r="Q188" s="219"/>
    </row>
    <row r="189" spans="9:17" hidden="1" x14ac:dyDescent="0.25">
      <c r="I189" s="219">
        <f t="shared" si="23"/>
        <v>0</v>
      </c>
      <c r="J189" s="219">
        <f t="shared" si="24"/>
        <v>0</v>
      </c>
      <c r="K189" s="219">
        <f t="shared" si="25"/>
        <v>0</v>
      </c>
      <c r="L189" s="232">
        <f t="shared" si="26"/>
        <v>0</v>
      </c>
      <c r="M189" s="219">
        <f t="shared" si="27"/>
        <v>0</v>
      </c>
      <c r="N189" s="219">
        <f t="shared" si="28"/>
        <v>0</v>
      </c>
      <c r="O189" s="219">
        <f t="shared" si="28"/>
        <v>0</v>
      </c>
      <c r="P189" s="219">
        <f t="shared" si="29"/>
        <v>0</v>
      </c>
      <c r="Q189" s="219"/>
    </row>
    <row r="190" spans="9:17" hidden="1" x14ac:dyDescent="0.25">
      <c r="I190" s="219">
        <f t="shared" si="23"/>
        <v>0</v>
      </c>
      <c r="J190" s="219">
        <f t="shared" si="24"/>
        <v>0</v>
      </c>
      <c r="K190" s="219">
        <f t="shared" si="25"/>
        <v>0</v>
      </c>
      <c r="L190" s="232">
        <f t="shared" si="26"/>
        <v>0</v>
      </c>
      <c r="M190" s="219">
        <f t="shared" si="27"/>
        <v>0</v>
      </c>
      <c r="N190" s="219">
        <f t="shared" si="28"/>
        <v>0</v>
      </c>
      <c r="O190" s="219">
        <f t="shared" si="28"/>
        <v>0</v>
      </c>
      <c r="P190" s="219">
        <f t="shared" si="29"/>
        <v>0</v>
      </c>
      <c r="Q190" s="219"/>
    </row>
    <row r="191" spans="9:17" hidden="1" x14ac:dyDescent="0.25">
      <c r="I191" s="219">
        <f t="shared" si="23"/>
        <v>0</v>
      </c>
      <c r="J191" s="219">
        <f t="shared" si="24"/>
        <v>0</v>
      </c>
      <c r="K191" s="219">
        <f t="shared" si="25"/>
        <v>0</v>
      </c>
      <c r="L191" s="232">
        <f t="shared" si="26"/>
        <v>0</v>
      </c>
      <c r="M191" s="219">
        <f t="shared" si="27"/>
        <v>0</v>
      </c>
      <c r="N191" s="219">
        <f t="shared" si="28"/>
        <v>0</v>
      </c>
      <c r="O191" s="219">
        <f t="shared" si="28"/>
        <v>0</v>
      </c>
      <c r="P191" s="219">
        <f t="shared" si="29"/>
        <v>0</v>
      </c>
      <c r="Q191" s="219"/>
    </row>
    <row r="192" spans="9:17" hidden="1" x14ac:dyDescent="0.25">
      <c r="I192" s="219">
        <f t="shared" si="23"/>
        <v>0</v>
      </c>
      <c r="J192" s="219">
        <f t="shared" si="24"/>
        <v>0</v>
      </c>
      <c r="K192" s="219">
        <f t="shared" si="25"/>
        <v>0</v>
      </c>
      <c r="L192" s="232">
        <f t="shared" si="26"/>
        <v>0</v>
      </c>
      <c r="M192" s="219">
        <f t="shared" si="27"/>
        <v>0</v>
      </c>
      <c r="N192" s="219">
        <f t="shared" si="28"/>
        <v>0</v>
      </c>
      <c r="O192" s="219">
        <f t="shared" si="28"/>
        <v>0</v>
      </c>
      <c r="P192" s="219">
        <f t="shared" si="29"/>
        <v>0</v>
      </c>
      <c r="Q192" s="219"/>
    </row>
    <row r="193" spans="9:17" hidden="1" x14ac:dyDescent="0.25">
      <c r="I193" s="219">
        <f t="shared" si="23"/>
        <v>0</v>
      </c>
      <c r="J193" s="219">
        <f t="shared" si="24"/>
        <v>0</v>
      </c>
      <c r="K193" s="219">
        <f t="shared" si="25"/>
        <v>0</v>
      </c>
      <c r="L193" s="232">
        <f t="shared" si="26"/>
        <v>0</v>
      </c>
      <c r="M193" s="219">
        <f t="shared" si="27"/>
        <v>0</v>
      </c>
      <c r="N193" s="219">
        <f t="shared" si="28"/>
        <v>0</v>
      </c>
      <c r="O193" s="219">
        <f t="shared" si="28"/>
        <v>0</v>
      </c>
      <c r="P193" s="219">
        <f t="shared" si="29"/>
        <v>0</v>
      </c>
      <c r="Q193" s="219"/>
    </row>
    <row r="194" spans="9:17" hidden="1" x14ac:dyDescent="0.25">
      <c r="I194" s="219">
        <f t="shared" si="23"/>
        <v>0</v>
      </c>
      <c r="J194" s="219">
        <f t="shared" si="24"/>
        <v>0</v>
      </c>
      <c r="K194" s="219">
        <f t="shared" si="25"/>
        <v>0</v>
      </c>
      <c r="L194" s="232">
        <f t="shared" si="26"/>
        <v>0</v>
      </c>
      <c r="M194" s="219">
        <f t="shared" si="27"/>
        <v>0</v>
      </c>
      <c r="N194" s="219">
        <f t="shared" si="28"/>
        <v>0</v>
      </c>
      <c r="O194" s="219">
        <f t="shared" si="28"/>
        <v>0</v>
      </c>
      <c r="P194" s="219">
        <f t="shared" si="29"/>
        <v>0</v>
      </c>
      <c r="Q194" s="219"/>
    </row>
    <row r="195" spans="9:17" hidden="1" x14ac:dyDescent="0.25">
      <c r="I195" s="219">
        <f t="shared" si="23"/>
        <v>0</v>
      </c>
      <c r="J195" s="219">
        <f t="shared" si="24"/>
        <v>0</v>
      </c>
      <c r="K195" s="219">
        <f t="shared" si="25"/>
        <v>0</v>
      </c>
      <c r="L195" s="232">
        <f t="shared" si="26"/>
        <v>0</v>
      </c>
      <c r="M195" s="219">
        <f t="shared" si="27"/>
        <v>0</v>
      </c>
      <c r="N195" s="219">
        <f t="shared" si="28"/>
        <v>0</v>
      </c>
      <c r="O195" s="219">
        <f t="shared" si="28"/>
        <v>0</v>
      </c>
      <c r="P195" s="219">
        <f t="shared" si="29"/>
        <v>0</v>
      </c>
      <c r="Q195" s="219"/>
    </row>
    <row r="196" spans="9:17" hidden="1" x14ac:dyDescent="0.25">
      <c r="I196" s="219">
        <f t="shared" si="23"/>
        <v>0</v>
      </c>
      <c r="J196" s="219">
        <f t="shared" si="24"/>
        <v>0</v>
      </c>
      <c r="K196" s="219">
        <f t="shared" si="25"/>
        <v>0</v>
      </c>
      <c r="L196" s="232">
        <f t="shared" si="26"/>
        <v>0</v>
      </c>
      <c r="M196" s="219">
        <f t="shared" si="27"/>
        <v>0</v>
      </c>
      <c r="N196" s="219">
        <f t="shared" si="28"/>
        <v>0</v>
      </c>
      <c r="O196" s="219">
        <f t="shared" si="28"/>
        <v>0</v>
      </c>
      <c r="P196" s="219">
        <f t="shared" si="29"/>
        <v>0</v>
      </c>
      <c r="Q196" s="219"/>
    </row>
    <row r="197" spans="9:17" hidden="1" x14ac:dyDescent="0.25">
      <c r="I197" s="219">
        <f t="shared" ref="I197:I260" si="30">SUM(R197:S197)</f>
        <v>0</v>
      </c>
      <c r="J197" s="219">
        <f t="shared" ref="J197:J260" si="31">SUM(T197:V197)</f>
        <v>0</v>
      </c>
      <c r="K197" s="219">
        <f t="shared" ref="K197:K260" si="32">W197</f>
        <v>0</v>
      </c>
      <c r="L197" s="232">
        <f t="shared" ref="L197:L260" si="33">SUM(X197:AB197)</f>
        <v>0</v>
      </c>
      <c r="M197" s="219">
        <f t="shared" ref="M197:M260" si="34">SUM(AC197:AE197)</f>
        <v>0</v>
      </c>
      <c r="N197" s="219">
        <f t="shared" ref="N197:O233" si="35">AG197</f>
        <v>0</v>
      </c>
      <c r="O197" s="219">
        <f t="shared" si="35"/>
        <v>0</v>
      </c>
      <c r="P197" s="219">
        <f t="shared" ref="P197:P260" si="36">SUM(AK197:AM197)</f>
        <v>0</v>
      </c>
      <c r="Q197" s="219"/>
    </row>
    <row r="198" spans="9:17" hidden="1" x14ac:dyDescent="0.25">
      <c r="I198" s="219">
        <f t="shared" si="30"/>
        <v>0</v>
      </c>
      <c r="J198" s="219">
        <f t="shared" si="31"/>
        <v>0</v>
      </c>
      <c r="K198" s="219">
        <f t="shared" si="32"/>
        <v>0</v>
      </c>
      <c r="L198" s="232">
        <f t="shared" si="33"/>
        <v>0</v>
      </c>
      <c r="M198" s="219">
        <f t="shared" si="34"/>
        <v>0</v>
      </c>
      <c r="N198" s="219">
        <f t="shared" si="35"/>
        <v>0</v>
      </c>
      <c r="O198" s="219">
        <f t="shared" si="35"/>
        <v>0</v>
      </c>
      <c r="P198" s="219">
        <f t="shared" si="36"/>
        <v>0</v>
      </c>
      <c r="Q198" s="219"/>
    </row>
    <row r="199" spans="9:17" hidden="1" x14ac:dyDescent="0.25">
      <c r="I199" s="219">
        <f t="shared" si="30"/>
        <v>0</v>
      </c>
      <c r="J199" s="219">
        <f t="shared" si="31"/>
        <v>0</v>
      </c>
      <c r="K199" s="219">
        <f t="shared" si="32"/>
        <v>0</v>
      </c>
      <c r="L199" s="232">
        <f t="shared" si="33"/>
        <v>0</v>
      </c>
      <c r="M199" s="219">
        <f t="shared" si="34"/>
        <v>0</v>
      </c>
      <c r="N199" s="219">
        <f t="shared" si="35"/>
        <v>0</v>
      </c>
      <c r="O199" s="219">
        <f t="shared" si="35"/>
        <v>0</v>
      </c>
      <c r="P199" s="219">
        <f t="shared" si="36"/>
        <v>0</v>
      </c>
      <c r="Q199" s="219"/>
    </row>
    <row r="200" spans="9:17" hidden="1" x14ac:dyDescent="0.25">
      <c r="I200" s="219">
        <f t="shared" si="30"/>
        <v>0</v>
      </c>
      <c r="J200" s="219">
        <f t="shared" si="31"/>
        <v>0</v>
      </c>
      <c r="K200" s="219">
        <f t="shared" si="32"/>
        <v>0</v>
      </c>
      <c r="L200" s="232">
        <f t="shared" si="33"/>
        <v>0</v>
      </c>
      <c r="M200" s="219">
        <f t="shared" si="34"/>
        <v>0</v>
      </c>
      <c r="N200" s="219">
        <f t="shared" si="35"/>
        <v>0</v>
      </c>
      <c r="O200" s="219">
        <f t="shared" si="35"/>
        <v>0</v>
      </c>
      <c r="P200" s="219">
        <f t="shared" si="36"/>
        <v>0</v>
      </c>
      <c r="Q200" s="219"/>
    </row>
    <row r="201" spans="9:17" hidden="1" x14ac:dyDescent="0.25">
      <c r="I201" s="219">
        <f t="shared" si="30"/>
        <v>0</v>
      </c>
      <c r="J201" s="219">
        <f t="shared" si="31"/>
        <v>0</v>
      </c>
      <c r="K201" s="219">
        <f t="shared" si="32"/>
        <v>0</v>
      </c>
      <c r="L201" s="232">
        <f t="shared" si="33"/>
        <v>0</v>
      </c>
      <c r="M201" s="219">
        <f t="shared" si="34"/>
        <v>0</v>
      </c>
      <c r="N201" s="219">
        <f t="shared" si="35"/>
        <v>0</v>
      </c>
      <c r="O201" s="219">
        <f t="shared" si="35"/>
        <v>0</v>
      </c>
      <c r="P201" s="219">
        <f t="shared" si="36"/>
        <v>0</v>
      </c>
      <c r="Q201" s="219"/>
    </row>
    <row r="202" spans="9:17" hidden="1" x14ac:dyDescent="0.25">
      <c r="I202" s="219">
        <f t="shared" si="30"/>
        <v>0</v>
      </c>
      <c r="J202" s="219">
        <f t="shared" si="31"/>
        <v>0</v>
      </c>
      <c r="K202" s="219">
        <f t="shared" si="32"/>
        <v>0</v>
      </c>
      <c r="L202" s="232">
        <f t="shared" si="33"/>
        <v>0</v>
      </c>
      <c r="M202" s="219">
        <f t="shared" si="34"/>
        <v>0</v>
      </c>
      <c r="N202" s="219">
        <f t="shared" si="35"/>
        <v>0</v>
      </c>
      <c r="O202" s="219">
        <f t="shared" si="35"/>
        <v>0</v>
      </c>
      <c r="P202" s="219">
        <f t="shared" si="36"/>
        <v>0</v>
      </c>
      <c r="Q202" s="219"/>
    </row>
    <row r="203" spans="9:17" hidden="1" x14ac:dyDescent="0.25">
      <c r="I203" s="219">
        <f t="shared" si="30"/>
        <v>0</v>
      </c>
      <c r="J203" s="219">
        <f t="shared" si="31"/>
        <v>0</v>
      </c>
      <c r="K203" s="219">
        <f t="shared" si="32"/>
        <v>0</v>
      </c>
      <c r="L203" s="232">
        <f t="shared" si="33"/>
        <v>0</v>
      </c>
      <c r="M203" s="219">
        <f t="shared" si="34"/>
        <v>0</v>
      </c>
      <c r="N203" s="219">
        <f t="shared" si="35"/>
        <v>0</v>
      </c>
      <c r="O203" s="219">
        <f t="shared" si="35"/>
        <v>0</v>
      </c>
      <c r="P203" s="219">
        <f t="shared" si="36"/>
        <v>0</v>
      </c>
      <c r="Q203" s="219"/>
    </row>
    <row r="204" spans="9:17" hidden="1" x14ac:dyDescent="0.25">
      <c r="I204" s="219">
        <f t="shared" si="30"/>
        <v>0</v>
      </c>
      <c r="J204" s="219">
        <f t="shared" si="31"/>
        <v>0</v>
      </c>
      <c r="K204" s="219">
        <f t="shared" si="32"/>
        <v>0</v>
      </c>
      <c r="L204" s="232">
        <f t="shared" si="33"/>
        <v>0</v>
      </c>
      <c r="M204" s="219">
        <f t="shared" si="34"/>
        <v>0</v>
      </c>
      <c r="N204" s="219">
        <f t="shared" si="35"/>
        <v>0</v>
      </c>
      <c r="O204" s="219">
        <f t="shared" si="35"/>
        <v>0</v>
      </c>
      <c r="P204" s="219">
        <f t="shared" si="36"/>
        <v>0</v>
      </c>
      <c r="Q204" s="219"/>
    </row>
    <row r="205" spans="9:17" hidden="1" x14ac:dyDescent="0.25">
      <c r="I205" s="219">
        <f t="shared" si="30"/>
        <v>0</v>
      </c>
      <c r="J205" s="219">
        <f t="shared" si="31"/>
        <v>0</v>
      </c>
      <c r="K205" s="219">
        <f t="shared" si="32"/>
        <v>0</v>
      </c>
      <c r="L205" s="232">
        <f t="shared" si="33"/>
        <v>0</v>
      </c>
      <c r="M205" s="219">
        <f t="shared" si="34"/>
        <v>0</v>
      </c>
      <c r="N205" s="219">
        <f t="shared" si="35"/>
        <v>0</v>
      </c>
      <c r="O205" s="219">
        <f t="shared" si="35"/>
        <v>0</v>
      </c>
      <c r="P205" s="219">
        <f t="shared" si="36"/>
        <v>0</v>
      </c>
      <c r="Q205" s="219"/>
    </row>
    <row r="206" spans="9:17" hidden="1" x14ac:dyDescent="0.25">
      <c r="I206" s="219">
        <f t="shared" si="30"/>
        <v>0</v>
      </c>
      <c r="J206" s="219">
        <f t="shared" si="31"/>
        <v>0</v>
      </c>
      <c r="K206" s="219">
        <f t="shared" si="32"/>
        <v>0</v>
      </c>
      <c r="L206" s="232">
        <f t="shared" si="33"/>
        <v>0</v>
      </c>
      <c r="M206" s="219">
        <f t="shared" si="34"/>
        <v>0</v>
      </c>
      <c r="N206" s="219">
        <f t="shared" si="35"/>
        <v>0</v>
      </c>
      <c r="O206" s="219">
        <f t="shared" si="35"/>
        <v>0</v>
      </c>
      <c r="P206" s="219">
        <f t="shared" si="36"/>
        <v>0</v>
      </c>
      <c r="Q206" s="219"/>
    </row>
    <row r="207" spans="9:17" hidden="1" x14ac:dyDescent="0.25">
      <c r="I207" s="219">
        <f t="shared" si="30"/>
        <v>0</v>
      </c>
      <c r="J207" s="219">
        <f t="shared" si="31"/>
        <v>0</v>
      </c>
      <c r="K207" s="219">
        <f t="shared" si="32"/>
        <v>0</v>
      </c>
      <c r="L207" s="232">
        <f t="shared" si="33"/>
        <v>0</v>
      </c>
      <c r="M207" s="219">
        <f t="shared" si="34"/>
        <v>0</v>
      </c>
      <c r="N207" s="219">
        <f t="shared" si="35"/>
        <v>0</v>
      </c>
      <c r="O207" s="219">
        <f t="shared" si="35"/>
        <v>0</v>
      </c>
      <c r="P207" s="219">
        <f t="shared" si="36"/>
        <v>0</v>
      </c>
      <c r="Q207" s="219"/>
    </row>
    <row r="208" spans="9:17" hidden="1" x14ac:dyDescent="0.25">
      <c r="I208" s="219">
        <f t="shared" si="30"/>
        <v>0</v>
      </c>
      <c r="J208" s="219">
        <f t="shared" si="31"/>
        <v>0</v>
      </c>
      <c r="K208" s="219">
        <f t="shared" si="32"/>
        <v>0</v>
      </c>
      <c r="L208" s="232">
        <f t="shared" si="33"/>
        <v>0</v>
      </c>
      <c r="M208" s="219">
        <f t="shared" si="34"/>
        <v>0</v>
      </c>
      <c r="N208" s="219">
        <f t="shared" si="35"/>
        <v>0</v>
      </c>
      <c r="O208" s="219">
        <f t="shared" si="35"/>
        <v>0</v>
      </c>
      <c r="P208" s="219">
        <f t="shared" si="36"/>
        <v>0</v>
      </c>
      <c r="Q208" s="219"/>
    </row>
    <row r="209" spans="9:17" hidden="1" x14ac:dyDescent="0.25">
      <c r="I209" s="219">
        <f t="shared" si="30"/>
        <v>0</v>
      </c>
      <c r="J209" s="219">
        <f t="shared" si="31"/>
        <v>0</v>
      </c>
      <c r="K209" s="219">
        <f t="shared" si="32"/>
        <v>0</v>
      </c>
      <c r="L209" s="232">
        <f t="shared" si="33"/>
        <v>0</v>
      </c>
      <c r="M209" s="219">
        <f t="shared" si="34"/>
        <v>0</v>
      </c>
      <c r="N209" s="219">
        <f t="shared" si="35"/>
        <v>0</v>
      </c>
      <c r="O209" s="219">
        <f t="shared" si="35"/>
        <v>0</v>
      </c>
      <c r="P209" s="219">
        <f t="shared" si="36"/>
        <v>0</v>
      </c>
      <c r="Q209" s="219"/>
    </row>
    <row r="210" spans="9:17" hidden="1" x14ac:dyDescent="0.25">
      <c r="I210" s="219">
        <f t="shared" si="30"/>
        <v>0</v>
      </c>
      <c r="J210" s="219">
        <f t="shared" si="31"/>
        <v>0</v>
      </c>
      <c r="K210" s="219">
        <f t="shared" si="32"/>
        <v>0</v>
      </c>
      <c r="L210" s="232">
        <f t="shared" si="33"/>
        <v>0</v>
      </c>
      <c r="M210" s="219">
        <f t="shared" si="34"/>
        <v>0</v>
      </c>
      <c r="N210" s="219">
        <f t="shared" si="35"/>
        <v>0</v>
      </c>
      <c r="O210" s="219">
        <f t="shared" si="35"/>
        <v>0</v>
      </c>
      <c r="P210" s="219">
        <f t="shared" si="36"/>
        <v>0</v>
      </c>
      <c r="Q210" s="219"/>
    </row>
    <row r="211" spans="9:17" hidden="1" x14ac:dyDescent="0.25">
      <c r="I211" s="219">
        <f t="shared" si="30"/>
        <v>0</v>
      </c>
      <c r="J211" s="219">
        <f t="shared" si="31"/>
        <v>0</v>
      </c>
      <c r="K211" s="219">
        <f t="shared" si="32"/>
        <v>0</v>
      </c>
      <c r="L211" s="232">
        <f t="shared" si="33"/>
        <v>0</v>
      </c>
      <c r="M211" s="219">
        <f t="shared" si="34"/>
        <v>0</v>
      </c>
      <c r="N211" s="219">
        <f t="shared" si="35"/>
        <v>0</v>
      </c>
      <c r="O211" s="219">
        <f t="shared" si="35"/>
        <v>0</v>
      </c>
      <c r="P211" s="219">
        <f t="shared" si="36"/>
        <v>0</v>
      </c>
      <c r="Q211" s="219"/>
    </row>
    <row r="212" spans="9:17" hidden="1" x14ac:dyDescent="0.25">
      <c r="I212" s="219">
        <f t="shared" si="30"/>
        <v>0</v>
      </c>
      <c r="J212" s="219">
        <f t="shared" si="31"/>
        <v>0</v>
      </c>
      <c r="K212" s="219">
        <f t="shared" si="32"/>
        <v>0</v>
      </c>
      <c r="L212" s="232">
        <f t="shared" si="33"/>
        <v>0</v>
      </c>
      <c r="M212" s="219">
        <f t="shared" si="34"/>
        <v>0</v>
      </c>
      <c r="N212" s="219">
        <f t="shared" si="35"/>
        <v>0</v>
      </c>
      <c r="O212" s="219">
        <f t="shared" si="35"/>
        <v>0</v>
      </c>
      <c r="P212" s="219">
        <f t="shared" si="36"/>
        <v>0</v>
      </c>
      <c r="Q212" s="219"/>
    </row>
    <row r="213" spans="9:17" hidden="1" x14ac:dyDescent="0.25">
      <c r="I213" s="219">
        <f t="shared" si="30"/>
        <v>0</v>
      </c>
      <c r="J213" s="219">
        <f t="shared" si="31"/>
        <v>0</v>
      </c>
      <c r="K213" s="219">
        <f t="shared" si="32"/>
        <v>0</v>
      </c>
      <c r="L213" s="232">
        <f t="shared" si="33"/>
        <v>0</v>
      </c>
      <c r="M213" s="219">
        <f t="shared" si="34"/>
        <v>0</v>
      </c>
      <c r="N213" s="219">
        <f t="shared" si="35"/>
        <v>0</v>
      </c>
      <c r="O213" s="219">
        <f t="shared" si="35"/>
        <v>0</v>
      </c>
      <c r="P213" s="219">
        <f t="shared" si="36"/>
        <v>0</v>
      </c>
      <c r="Q213" s="219"/>
    </row>
    <row r="214" spans="9:17" hidden="1" x14ac:dyDescent="0.25">
      <c r="I214" s="219">
        <f t="shared" si="30"/>
        <v>0</v>
      </c>
      <c r="J214" s="219">
        <f t="shared" si="31"/>
        <v>0</v>
      </c>
      <c r="K214" s="219">
        <f t="shared" si="32"/>
        <v>0</v>
      </c>
      <c r="L214" s="232">
        <f t="shared" si="33"/>
        <v>0</v>
      </c>
      <c r="M214" s="219">
        <f t="shared" si="34"/>
        <v>0</v>
      </c>
      <c r="N214" s="219">
        <f t="shared" si="35"/>
        <v>0</v>
      </c>
      <c r="O214" s="219">
        <f t="shared" si="35"/>
        <v>0</v>
      </c>
      <c r="P214" s="219">
        <f t="shared" si="36"/>
        <v>0</v>
      </c>
      <c r="Q214" s="219"/>
    </row>
    <row r="215" spans="9:17" hidden="1" x14ac:dyDescent="0.25">
      <c r="I215" s="219">
        <f t="shared" si="30"/>
        <v>0</v>
      </c>
      <c r="J215" s="219">
        <f t="shared" si="31"/>
        <v>0</v>
      </c>
      <c r="K215" s="219">
        <f t="shared" si="32"/>
        <v>0</v>
      </c>
      <c r="L215" s="232">
        <f t="shared" si="33"/>
        <v>0</v>
      </c>
      <c r="M215" s="219">
        <f t="shared" si="34"/>
        <v>0</v>
      </c>
      <c r="N215" s="219">
        <f t="shared" si="35"/>
        <v>0</v>
      </c>
      <c r="O215" s="219">
        <f t="shared" si="35"/>
        <v>0</v>
      </c>
      <c r="P215" s="219">
        <f t="shared" si="36"/>
        <v>0</v>
      </c>
      <c r="Q215" s="219"/>
    </row>
    <row r="216" spans="9:17" hidden="1" x14ac:dyDescent="0.25">
      <c r="I216" s="219">
        <f t="shared" si="30"/>
        <v>0</v>
      </c>
      <c r="J216" s="219">
        <f t="shared" si="31"/>
        <v>0</v>
      </c>
      <c r="K216" s="219">
        <f t="shared" si="32"/>
        <v>0</v>
      </c>
      <c r="L216" s="232">
        <f t="shared" si="33"/>
        <v>0</v>
      </c>
      <c r="M216" s="219">
        <f t="shared" si="34"/>
        <v>0</v>
      </c>
      <c r="N216" s="219">
        <f t="shared" si="35"/>
        <v>0</v>
      </c>
      <c r="O216" s="219">
        <f t="shared" si="35"/>
        <v>0</v>
      </c>
      <c r="P216" s="219">
        <f t="shared" si="36"/>
        <v>0</v>
      </c>
      <c r="Q216" s="219"/>
    </row>
    <row r="217" spans="9:17" hidden="1" x14ac:dyDescent="0.25">
      <c r="I217" s="219">
        <f t="shared" si="30"/>
        <v>0</v>
      </c>
      <c r="J217" s="219">
        <f t="shared" si="31"/>
        <v>0</v>
      </c>
      <c r="K217" s="219">
        <f t="shared" si="32"/>
        <v>0</v>
      </c>
      <c r="L217" s="232">
        <f t="shared" si="33"/>
        <v>0</v>
      </c>
      <c r="M217" s="219">
        <f t="shared" si="34"/>
        <v>0</v>
      </c>
      <c r="N217" s="219">
        <f t="shared" si="35"/>
        <v>0</v>
      </c>
      <c r="O217" s="219">
        <f t="shared" si="35"/>
        <v>0</v>
      </c>
      <c r="P217" s="219">
        <f t="shared" si="36"/>
        <v>0</v>
      </c>
      <c r="Q217" s="219"/>
    </row>
    <row r="218" spans="9:17" hidden="1" x14ac:dyDescent="0.25">
      <c r="I218" s="219">
        <f t="shared" si="30"/>
        <v>0</v>
      </c>
      <c r="J218" s="219">
        <f t="shared" si="31"/>
        <v>0</v>
      </c>
      <c r="K218" s="219">
        <f t="shared" si="32"/>
        <v>0</v>
      </c>
      <c r="L218" s="232">
        <f t="shared" si="33"/>
        <v>0</v>
      </c>
      <c r="M218" s="219">
        <f t="shared" si="34"/>
        <v>0</v>
      </c>
      <c r="N218" s="219">
        <f t="shared" si="35"/>
        <v>0</v>
      </c>
      <c r="O218" s="219">
        <f t="shared" si="35"/>
        <v>0</v>
      </c>
      <c r="P218" s="219">
        <f t="shared" si="36"/>
        <v>0</v>
      </c>
      <c r="Q218" s="219"/>
    </row>
    <row r="219" spans="9:17" hidden="1" x14ac:dyDescent="0.25">
      <c r="I219" s="219">
        <f t="shared" si="30"/>
        <v>0</v>
      </c>
      <c r="J219" s="219">
        <f t="shared" si="31"/>
        <v>0</v>
      </c>
      <c r="K219" s="219">
        <f t="shared" si="32"/>
        <v>0</v>
      </c>
      <c r="L219" s="232">
        <f t="shared" si="33"/>
        <v>0</v>
      </c>
      <c r="M219" s="219">
        <f t="shared" si="34"/>
        <v>0</v>
      </c>
      <c r="N219" s="219">
        <f t="shared" si="35"/>
        <v>0</v>
      </c>
      <c r="O219" s="219">
        <f t="shared" si="35"/>
        <v>0</v>
      </c>
      <c r="P219" s="219">
        <f t="shared" si="36"/>
        <v>0</v>
      </c>
      <c r="Q219" s="219"/>
    </row>
    <row r="220" spans="9:17" hidden="1" x14ac:dyDescent="0.25">
      <c r="I220" s="219">
        <f t="shared" si="30"/>
        <v>0</v>
      </c>
      <c r="J220" s="219">
        <f t="shared" si="31"/>
        <v>0</v>
      </c>
      <c r="K220" s="219">
        <f t="shared" si="32"/>
        <v>0</v>
      </c>
      <c r="L220" s="232">
        <f t="shared" si="33"/>
        <v>0</v>
      </c>
      <c r="M220" s="219">
        <f t="shared" si="34"/>
        <v>0</v>
      </c>
      <c r="N220" s="219">
        <f t="shared" si="35"/>
        <v>0</v>
      </c>
      <c r="O220" s="219">
        <f t="shared" si="35"/>
        <v>0</v>
      </c>
      <c r="P220" s="219">
        <f t="shared" si="36"/>
        <v>0</v>
      </c>
      <c r="Q220" s="219"/>
    </row>
    <row r="221" spans="9:17" hidden="1" x14ac:dyDescent="0.25">
      <c r="I221" s="219">
        <f t="shared" si="30"/>
        <v>0</v>
      </c>
      <c r="J221" s="219">
        <f t="shared" si="31"/>
        <v>0</v>
      </c>
      <c r="K221" s="219">
        <f t="shared" si="32"/>
        <v>0</v>
      </c>
      <c r="L221" s="232">
        <f t="shared" si="33"/>
        <v>0</v>
      </c>
      <c r="M221" s="219">
        <f t="shared" si="34"/>
        <v>0</v>
      </c>
      <c r="N221" s="219">
        <f t="shared" si="35"/>
        <v>0</v>
      </c>
      <c r="O221" s="219">
        <f t="shared" si="35"/>
        <v>0</v>
      </c>
      <c r="P221" s="219">
        <f t="shared" si="36"/>
        <v>0</v>
      </c>
      <c r="Q221" s="219"/>
    </row>
    <row r="222" spans="9:17" hidden="1" x14ac:dyDescent="0.25">
      <c r="I222" s="219">
        <f t="shared" si="30"/>
        <v>0</v>
      </c>
      <c r="J222" s="219">
        <f t="shared" si="31"/>
        <v>0</v>
      </c>
      <c r="K222" s="219">
        <f t="shared" si="32"/>
        <v>0</v>
      </c>
      <c r="L222" s="232">
        <f t="shared" si="33"/>
        <v>0</v>
      </c>
      <c r="M222" s="219">
        <f t="shared" si="34"/>
        <v>0</v>
      </c>
      <c r="N222" s="219">
        <f t="shared" si="35"/>
        <v>0</v>
      </c>
      <c r="O222" s="219">
        <f t="shared" si="35"/>
        <v>0</v>
      </c>
      <c r="P222" s="219">
        <f t="shared" si="36"/>
        <v>0</v>
      </c>
      <c r="Q222" s="219"/>
    </row>
    <row r="223" spans="9:17" hidden="1" x14ac:dyDescent="0.25">
      <c r="I223" s="219">
        <f t="shared" si="30"/>
        <v>0</v>
      </c>
      <c r="J223" s="219">
        <f t="shared" si="31"/>
        <v>0</v>
      </c>
      <c r="K223" s="219">
        <f t="shared" si="32"/>
        <v>0</v>
      </c>
      <c r="L223" s="232">
        <f t="shared" si="33"/>
        <v>0</v>
      </c>
      <c r="M223" s="219">
        <f t="shared" si="34"/>
        <v>0</v>
      </c>
      <c r="N223" s="219">
        <f t="shared" si="35"/>
        <v>0</v>
      </c>
      <c r="O223" s="219">
        <f t="shared" si="35"/>
        <v>0</v>
      </c>
      <c r="P223" s="219">
        <f t="shared" si="36"/>
        <v>0</v>
      </c>
      <c r="Q223" s="219"/>
    </row>
    <row r="224" spans="9:17" hidden="1" x14ac:dyDescent="0.25">
      <c r="I224" s="219">
        <f t="shared" si="30"/>
        <v>0</v>
      </c>
      <c r="J224" s="219">
        <f t="shared" si="31"/>
        <v>0</v>
      </c>
      <c r="K224" s="219">
        <f t="shared" si="32"/>
        <v>0</v>
      </c>
      <c r="L224" s="232">
        <f t="shared" si="33"/>
        <v>0</v>
      </c>
      <c r="M224" s="219">
        <f t="shared" si="34"/>
        <v>0</v>
      </c>
      <c r="N224" s="219">
        <f t="shared" si="35"/>
        <v>0</v>
      </c>
      <c r="O224" s="219">
        <f t="shared" si="35"/>
        <v>0</v>
      </c>
      <c r="P224" s="219">
        <f t="shared" si="36"/>
        <v>0</v>
      </c>
      <c r="Q224" s="219"/>
    </row>
    <row r="225" spans="9:17" hidden="1" x14ac:dyDescent="0.25">
      <c r="I225" s="219">
        <f t="shared" si="30"/>
        <v>0</v>
      </c>
      <c r="J225" s="219">
        <f t="shared" si="31"/>
        <v>0</v>
      </c>
      <c r="K225" s="219">
        <f t="shared" si="32"/>
        <v>0</v>
      </c>
      <c r="L225" s="232">
        <f t="shared" si="33"/>
        <v>0</v>
      </c>
      <c r="M225" s="219">
        <f t="shared" si="34"/>
        <v>0</v>
      </c>
      <c r="N225" s="219">
        <f t="shared" si="35"/>
        <v>0</v>
      </c>
      <c r="O225" s="219">
        <f t="shared" si="35"/>
        <v>0</v>
      </c>
      <c r="P225" s="219">
        <f t="shared" si="36"/>
        <v>0</v>
      </c>
      <c r="Q225" s="219"/>
    </row>
    <row r="226" spans="9:17" hidden="1" x14ac:dyDescent="0.25">
      <c r="I226" s="219">
        <f t="shared" si="30"/>
        <v>0</v>
      </c>
      <c r="J226" s="219">
        <f t="shared" si="31"/>
        <v>0</v>
      </c>
      <c r="K226" s="219">
        <f t="shared" si="32"/>
        <v>0</v>
      </c>
      <c r="L226" s="232">
        <f t="shared" si="33"/>
        <v>0</v>
      </c>
      <c r="M226" s="219">
        <f t="shared" si="34"/>
        <v>0</v>
      </c>
      <c r="N226" s="219">
        <f t="shared" si="35"/>
        <v>0</v>
      </c>
      <c r="O226" s="219">
        <f t="shared" si="35"/>
        <v>0</v>
      </c>
      <c r="P226" s="219">
        <f t="shared" si="36"/>
        <v>0</v>
      </c>
      <c r="Q226" s="219"/>
    </row>
    <row r="227" spans="9:17" hidden="1" x14ac:dyDescent="0.25">
      <c r="I227" s="219">
        <f t="shared" si="30"/>
        <v>0</v>
      </c>
      <c r="J227" s="219">
        <f t="shared" si="31"/>
        <v>0</v>
      </c>
      <c r="K227" s="219">
        <f t="shared" si="32"/>
        <v>0</v>
      </c>
      <c r="L227" s="232">
        <f t="shared" si="33"/>
        <v>0</v>
      </c>
      <c r="M227" s="219">
        <f t="shared" si="34"/>
        <v>0</v>
      </c>
      <c r="N227" s="219">
        <f t="shared" si="35"/>
        <v>0</v>
      </c>
      <c r="O227" s="219">
        <f t="shared" si="35"/>
        <v>0</v>
      </c>
      <c r="P227" s="219">
        <f t="shared" si="36"/>
        <v>0</v>
      </c>
      <c r="Q227" s="219"/>
    </row>
    <row r="228" spans="9:17" hidden="1" x14ac:dyDescent="0.25">
      <c r="I228" s="219">
        <f t="shared" si="30"/>
        <v>0</v>
      </c>
      <c r="J228" s="219">
        <f t="shared" si="31"/>
        <v>0</v>
      </c>
      <c r="K228" s="219">
        <f t="shared" si="32"/>
        <v>0</v>
      </c>
      <c r="L228" s="232">
        <f t="shared" si="33"/>
        <v>0</v>
      </c>
      <c r="M228" s="219">
        <f t="shared" si="34"/>
        <v>0</v>
      </c>
      <c r="N228" s="219">
        <f t="shared" si="35"/>
        <v>0</v>
      </c>
      <c r="O228" s="219">
        <f t="shared" si="35"/>
        <v>0</v>
      </c>
      <c r="P228" s="219">
        <f t="shared" si="36"/>
        <v>0</v>
      </c>
      <c r="Q228" s="219"/>
    </row>
    <row r="229" spans="9:17" hidden="1" x14ac:dyDescent="0.25">
      <c r="I229" s="219">
        <f t="shared" si="30"/>
        <v>0</v>
      </c>
      <c r="J229" s="219">
        <f t="shared" si="31"/>
        <v>0</v>
      </c>
      <c r="K229" s="219">
        <f t="shared" si="32"/>
        <v>0</v>
      </c>
      <c r="L229" s="232">
        <f t="shared" si="33"/>
        <v>0</v>
      </c>
      <c r="M229" s="219">
        <f t="shared" si="34"/>
        <v>0</v>
      </c>
      <c r="N229" s="219">
        <f t="shared" si="35"/>
        <v>0</v>
      </c>
      <c r="O229" s="219">
        <f t="shared" si="35"/>
        <v>0</v>
      </c>
      <c r="P229" s="219">
        <f t="shared" si="36"/>
        <v>0</v>
      </c>
      <c r="Q229" s="219"/>
    </row>
    <row r="230" spans="9:17" hidden="1" x14ac:dyDescent="0.25">
      <c r="I230" s="219">
        <f t="shared" si="30"/>
        <v>0</v>
      </c>
      <c r="J230" s="219">
        <f t="shared" si="31"/>
        <v>0</v>
      </c>
      <c r="K230" s="219">
        <f t="shared" si="32"/>
        <v>0</v>
      </c>
      <c r="L230" s="232">
        <f t="shared" si="33"/>
        <v>0</v>
      </c>
      <c r="M230" s="219">
        <f t="shared" si="34"/>
        <v>0</v>
      </c>
      <c r="N230" s="219">
        <f t="shared" si="35"/>
        <v>0</v>
      </c>
      <c r="O230" s="219">
        <f t="shared" si="35"/>
        <v>0</v>
      </c>
      <c r="P230" s="219">
        <f t="shared" si="36"/>
        <v>0</v>
      </c>
      <c r="Q230" s="219"/>
    </row>
    <row r="231" spans="9:17" hidden="1" x14ac:dyDescent="0.25">
      <c r="I231" s="219">
        <f t="shared" si="30"/>
        <v>0</v>
      </c>
      <c r="J231" s="219">
        <f t="shared" si="31"/>
        <v>0</v>
      </c>
      <c r="K231" s="219">
        <f t="shared" si="32"/>
        <v>0</v>
      </c>
      <c r="L231" s="232">
        <f t="shared" si="33"/>
        <v>0</v>
      </c>
      <c r="M231" s="219">
        <f t="shared" si="34"/>
        <v>0</v>
      </c>
      <c r="N231" s="219">
        <f t="shared" si="35"/>
        <v>0</v>
      </c>
      <c r="O231" s="219">
        <f t="shared" si="35"/>
        <v>0</v>
      </c>
      <c r="P231" s="219">
        <f t="shared" si="36"/>
        <v>0</v>
      </c>
      <c r="Q231" s="219"/>
    </row>
    <row r="232" spans="9:17" hidden="1" x14ac:dyDescent="0.25">
      <c r="I232" s="219">
        <f t="shared" si="30"/>
        <v>0</v>
      </c>
      <c r="J232" s="219">
        <f t="shared" si="31"/>
        <v>0</v>
      </c>
      <c r="K232" s="219">
        <f t="shared" si="32"/>
        <v>0</v>
      </c>
      <c r="L232" s="232">
        <f t="shared" si="33"/>
        <v>0</v>
      </c>
      <c r="M232" s="219">
        <f t="shared" si="34"/>
        <v>0</v>
      </c>
      <c r="N232" s="219">
        <f t="shared" si="35"/>
        <v>0</v>
      </c>
      <c r="O232" s="219">
        <f t="shared" si="35"/>
        <v>0</v>
      </c>
      <c r="P232" s="219">
        <f t="shared" si="36"/>
        <v>0</v>
      </c>
      <c r="Q232" s="219"/>
    </row>
    <row r="233" spans="9:17" hidden="1" x14ac:dyDescent="0.25">
      <c r="I233" s="219">
        <f t="shared" si="30"/>
        <v>0</v>
      </c>
      <c r="J233" s="219">
        <f t="shared" si="31"/>
        <v>0</v>
      </c>
      <c r="K233" s="219">
        <f t="shared" si="32"/>
        <v>0</v>
      </c>
      <c r="L233" s="232">
        <f t="shared" si="33"/>
        <v>0</v>
      </c>
      <c r="M233" s="219">
        <f t="shared" si="34"/>
        <v>0</v>
      </c>
      <c r="N233" s="219">
        <f t="shared" si="35"/>
        <v>0</v>
      </c>
      <c r="O233" s="219">
        <f t="shared" si="35"/>
        <v>0</v>
      </c>
      <c r="P233" s="219">
        <f t="shared" si="36"/>
        <v>0</v>
      </c>
      <c r="Q233" s="219"/>
    </row>
    <row r="234" spans="9:17" hidden="1" x14ac:dyDescent="0.25">
      <c r="I234" s="219">
        <f t="shared" si="30"/>
        <v>0</v>
      </c>
      <c r="J234" s="219">
        <f t="shared" si="31"/>
        <v>0</v>
      </c>
      <c r="K234" s="219">
        <f t="shared" si="32"/>
        <v>0</v>
      </c>
      <c r="L234" s="232">
        <f t="shared" si="33"/>
        <v>0</v>
      </c>
      <c r="M234" s="219">
        <f t="shared" si="34"/>
        <v>0</v>
      </c>
      <c r="N234" s="219">
        <f t="shared" ref="N234:O268" si="37">AG234</f>
        <v>0</v>
      </c>
      <c r="O234" s="219">
        <f t="shared" si="37"/>
        <v>0</v>
      </c>
      <c r="P234" s="219">
        <f t="shared" si="36"/>
        <v>0</v>
      </c>
      <c r="Q234" s="219">
        <f t="shared" ref="Q234:Q268" si="38">AN234</f>
        <v>0</v>
      </c>
    </row>
    <row r="235" spans="9:17" hidden="1" x14ac:dyDescent="0.25">
      <c r="I235" s="219">
        <f t="shared" si="30"/>
        <v>0</v>
      </c>
      <c r="J235" s="219">
        <f t="shared" si="31"/>
        <v>0</v>
      </c>
      <c r="K235" s="219">
        <f t="shared" si="32"/>
        <v>0</v>
      </c>
      <c r="L235" s="232">
        <f t="shared" si="33"/>
        <v>0</v>
      </c>
      <c r="M235" s="219">
        <f t="shared" si="34"/>
        <v>0</v>
      </c>
      <c r="N235" s="219">
        <f t="shared" si="37"/>
        <v>0</v>
      </c>
      <c r="O235" s="219">
        <f t="shared" si="37"/>
        <v>0</v>
      </c>
      <c r="P235" s="219">
        <f t="shared" si="36"/>
        <v>0</v>
      </c>
      <c r="Q235" s="219">
        <f t="shared" si="38"/>
        <v>0</v>
      </c>
    </row>
    <row r="236" spans="9:17" hidden="1" x14ac:dyDescent="0.25">
      <c r="I236" s="219">
        <f t="shared" si="30"/>
        <v>0</v>
      </c>
      <c r="J236" s="219">
        <f t="shared" si="31"/>
        <v>0</v>
      </c>
      <c r="K236" s="219">
        <f t="shared" si="32"/>
        <v>0</v>
      </c>
      <c r="L236" s="232">
        <f t="shared" si="33"/>
        <v>0</v>
      </c>
      <c r="M236" s="219">
        <f t="shared" si="34"/>
        <v>0</v>
      </c>
      <c r="N236" s="219">
        <f t="shared" si="37"/>
        <v>0</v>
      </c>
      <c r="O236" s="219">
        <f t="shared" si="37"/>
        <v>0</v>
      </c>
      <c r="P236" s="219">
        <f t="shared" si="36"/>
        <v>0</v>
      </c>
      <c r="Q236" s="219">
        <f t="shared" si="38"/>
        <v>0</v>
      </c>
    </row>
    <row r="237" spans="9:17" hidden="1" x14ac:dyDescent="0.25">
      <c r="I237" s="219">
        <f t="shared" si="30"/>
        <v>0</v>
      </c>
      <c r="J237" s="219">
        <f t="shared" si="31"/>
        <v>0</v>
      </c>
      <c r="K237" s="219">
        <f t="shared" si="32"/>
        <v>0</v>
      </c>
      <c r="L237" s="232">
        <f t="shared" si="33"/>
        <v>0</v>
      </c>
      <c r="M237" s="219">
        <f t="shared" si="34"/>
        <v>0</v>
      </c>
      <c r="N237" s="219">
        <f t="shared" si="37"/>
        <v>0</v>
      </c>
      <c r="O237" s="219">
        <f t="shared" si="37"/>
        <v>0</v>
      </c>
      <c r="P237" s="219">
        <f t="shared" si="36"/>
        <v>0</v>
      </c>
      <c r="Q237" s="219">
        <f t="shared" si="38"/>
        <v>0</v>
      </c>
    </row>
    <row r="238" spans="9:17" hidden="1" x14ac:dyDescent="0.25">
      <c r="I238" s="219">
        <f t="shared" si="30"/>
        <v>0</v>
      </c>
      <c r="J238" s="219">
        <f t="shared" si="31"/>
        <v>0</v>
      </c>
      <c r="K238" s="219">
        <f t="shared" si="32"/>
        <v>0</v>
      </c>
      <c r="L238" s="232">
        <f t="shared" si="33"/>
        <v>0</v>
      </c>
      <c r="M238" s="219">
        <f t="shared" si="34"/>
        <v>0</v>
      </c>
      <c r="N238" s="219">
        <f t="shared" si="37"/>
        <v>0</v>
      </c>
      <c r="O238" s="219">
        <f t="shared" si="37"/>
        <v>0</v>
      </c>
      <c r="P238" s="219">
        <f t="shared" si="36"/>
        <v>0</v>
      </c>
      <c r="Q238" s="219">
        <f t="shared" si="38"/>
        <v>0</v>
      </c>
    </row>
    <row r="239" spans="9:17" hidden="1" x14ac:dyDescent="0.25">
      <c r="I239" s="219">
        <f t="shared" si="30"/>
        <v>0</v>
      </c>
      <c r="J239" s="219">
        <f t="shared" si="31"/>
        <v>0</v>
      </c>
      <c r="K239" s="219">
        <f t="shared" si="32"/>
        <v>0</v>
      </c>
      <c r="L239" s="232">
        <f t="shared" si="33"/>
        <v>0</v>
      </c>
      <c r="M239" s="219">
        <f t="shared" si="34"/>
        <v>0</v>
      </c>
      <c r="N239" s="219">
        <f t="shared" si="37"/>
        <v>0</v>
      </c>
      <c r="O239" s="219">
        <f t="shared" si="37"/>
        <v>0</v>
      </c>
      <c r="P239" s="219">
        <f t="shared" si="36"/>
        <v>0</v>
      </c>
      <c r="Q239" s="219">
        <f t="shared" si="38"/>
        <v>0</v>
      </c>
    </row>
    <row r="240" spans="9:17" hidden="1" x14ac:dyDescent="0.25">
      <c r="I240" s="219">
        <f t="shared" si="30"/>
        <v>0</v>
      </c>
      <c r="J240" s="219">
        <f t="shared" si="31"/>
        <v>0</v>
      </c>
      <c r="K240" s="219">
        <f t="shared" si="32"/>
        <v>0</v>
      </c>
      <c r="L240" s="232">
        <f t="shared" si="33"/>
        <v>0</v>
      </c>
      <c r="M240" s="219">
        <f t="shared" si="34"/>
        <v>0</v>
      </c>
      <c r="N240" s="219">
        <f t="shared" si="37"/>
        <v>0</v>
      </c>
      <c r="O240" s="219">
        <f t="shared" si="37"/>
        <v>0</v>
      </c>
      <c r="P240" s="219">
        <f t="shared" si="36"/>
        <v>0</v>
      </c>
      <c r="Q240" s="219">
        <f t="shared" si="38"/>
        <v>0</v>
      </c>
    </row>
    <row r="241" spans="9:17" hidden="1" x14ac:dyDescent="0.25">
      <c r="I241" s="219">
        <f t="shared" si="30"/>
        <v>0</v>
      </c>
      <c r="J241" s="219">
        <f t="shared" si="31"/>
        <v>0</v>
      </c>
      <c r="K241" s="219">
        <f t="shared" si="32"/>
        <v>0</v>
      </c>
      <c r="L241" s="232">
        <f t="shared" si="33"/>
        <v>0</v>
      </c>
      <c r="M241" s="219">
        <f t="shared" si="34"/>
        <v>0</v>
      </c>
      <c r="N241" s="219">
        <f t="shared" si="37"/>
        <v>0</v>
      </c>
      <c r="O241" s="219">
        <f t="shared" si="37"/>
        <v>0</v>
      </c>
      <c r="P241" s="219">
        <f t="shared" si="36"/>
        <v>0</v>
      </c>
      <c r="Q241" s="219">
        <f t="shared" si="38"/>
        <v>0</v>
      </c>
    </row>
    <row r="242" spans="9:17" hidden="1" x14ac:dyDescent="0.25">
      <c r="I242" s="219">
        <f t="shared" si="30"/>
        <v>0</v>
      </c>
      <c r="J242" s="219">
        <f t="shared" si="31"/>
        <v>0</v>
      </c>
      <c r="K242" s="219">
        <f t="shared" si="32"/>
        <v>0</v>
      </c>
      <c r="L242" s="232">
        <f t="shared" si="33"/>
        <v>0</v>
      </c>
      <c r="M242" s="219">
        <f t="shared" si="34"/>
        <v>0</v>
      </c>
      <c r="N242" s="219">
        <f t="shared" si="37"/>
        <v>0</v>
      </c>
      <c r="O242" s="219">
        <f t="shared" si="37"/>
        <v>0</v>
      </c>
      <c r="P242" s="219">
        <f t="shared" si="36"/>
        <v>0</v>
      </c>
      <c r="Q242" s="219">
        <f t="shared" si="38"/>
        <v>0</v>
      </c>
    </row>
    <row r="243" spans="9:17" hidden="1" x14ac:dyDescent="0.25">
      <c r="I243" s="219">
        <f t="shared" si="30"/>
        <v>0</v>
      </c>
      <c r="J243" s="219">
        <f t="shared" si="31"/>
        <v>0</v>
      </c>
      <c r="K243" s="219">
        <f t="shared" si="32"/>
        <v>0</v>
      </c>
      <c r="L243" s="232">
        <f t="shared" si="33"/>
        <v>0</v>
      </c>
      <c r="M243" s="219">
        <f t="shared" si="34"/>
        <v>0</v>
      </c>
      <c r="N243" s="219">
        <f t="shared" si="37"/>
        <v>0</v>
      </c>
      <c r="O243" s="219">
        <f t="shared" si="37"/>
        <v>0</v>
      </c>
      <c r="P243" s="219">
        <f t="shared" si="36"/>
        <v>0</v>
      </c>
      <c r="Q243" s="219">
        <f t="shared" si="38"/>
        <v>0</v>
      </c>
    </row>
    <row r="244" spans="9:17" hidden="1" x14ac:dyDescent="0.25">
      <c r="I244" s="219">
        <f t="shared" si="30"/>
        <v>0</v>
      </c>
      <c r="J244" s="219">
        <f t="shared" si="31"/>
        <v>0</v>
      </c>
      <c r="K244" s="219">
        <f t="shared" si="32"/>
        <v>0</v>
      </c>
      <c r="L244" s="232">
        <f t="shared" si="33"/>
        <v>0</v>
      </c>
      <c r="M244" s="219">
        <f t="shared" si="34"/>
        <v>0</v>
      </c>
      <c r="N244" s="219">
        <f t="shared" si="37"/>
        <v>0</v>
      </c>
      <c r="O244" s="219">
        <f t="shared" si="37"/>
        <v>0</v>
      </c>
      <c r="P244" s="219">
        <f t="shared" si="36"/>
        <v>0</v>
      </c>
      <c r="Q244" s="219">
        <f t="shared" si="38"/>
        <v>0</v>
      </c>
    </row>
    <row r="245" spans="9:17" hidden="1" x14ac:dyDescent="0.25">
      <c r="I245" s="219">
        <f t="shared" si="30"/>
        <v>0</v>
      </c>
      <c r="J245" s="219">
        <f t="shared" si="31"/>
        <v>0</v>
      </c>
      <c r="K245" s="219">
        <f t="shared" si="32"/>
        <v>0</v>
      </c>
      <c r="L245" s="232">
        <f t="shared" si="33"/>
        <v>0</v>
      </c>
      <c r="M245" s="219">
        <f t="shared" si="34"/>
        <v>0</v>
      </c>
      <c r="N245" s="219">
        <f t="shared" si="37"/>
        <v>0</v>
      </c>
      <c r="O245" s="219">
        <f t="shared" si="37"/>
        <v>0</v>
      </c>
      <c r="P245" s="219">
        <f t="shared" si="36"/>
        <v>0</v>
      </c>
      <c r="Q245" s="219">
        <f t="shared" si="38"/>
        <v>0</v>
      </c>
    </row>
    <row r="246" spans="9:17" hidden="1" x14ac:dyDescent="0.25">
      <c r="I246" s="219">
        <f t="shared" si="30"/>
        <v>0</v>
      </c>
      <c r="J246" s="219">
        <f t="shared" si="31"/>
        <v>0</v>
      </c>
      <c r="K246" s="219">
        <f t="shared" si="32"/>
        <v>0</v>
      </c>
      <c r="L246" s="232">
        <f t="shared" si="33"/>
        <v>0</v>
      </c>
      <c r="M246" s="219">
        <f t="shared" si="34"/>
        <v>0</v>
      </c>
      <c r="N246" s="219">
        <f t="shared" si="37"/>
        <v>0</v>
      </c>
      <c r="O246" s="219">
        <f t="shared" si="37"/>
        <v>0</v>
      </c>
      <c r="P246" s="219">
        <f t="shared" si="36"/>
        <v>0</v>
      </c>
      <c r="Q246" s="219">
        <f t="shared" si="38"/>
        <v>0</v>
      </c>
    </row>
    <row r="247" spans="9:17" hidden="1" x14ac:dyDescent="0.25">
      <c r="I247" s="219">
        <f t="shared" si="30"/>
        <v>0</v>
      </c>
      <c r="J247" s="219">
        <f t="shared" si="31"/>
        <v>0</v>
      </c>
      <c r="K247" s="219">
        <f t="shared" si="32"/>
        <v>0</v>
      </c>
      <c r="L247" s="232">
        <f t="shared" si="33"/>
        <v>0</v>
      </c>
      <c r="M247" s="219">
        <f t="shared" si="34"/>
        <v>0</v>
      </c>
      <c r="N247" s="219">
        <f t="shared" si="37"/>
        <v>0</v>
      </c>
      <c r="O247" s="219">
        <f t="shared" si="37"/>
        <v>0</v>
      </c>
      <c r="P247" s="219">
        <f t="shared" si="36"/>
        <v>0</v>
      </c>
      <c r="Q247" s="219">
        <f t="shared" si="38"/>
        <v>0</v>
      </c>
    </row>
    <row r="248" spans="9:17" hidden="1" x14ac:dyDescent="0.25">
      <c r="I248" s="219">
        <f t="shared" si="30"/>
        <v>0</v>
      </c>
      <c r="J248" s="219">
        <f t="shared" si="31"/>
        <v>0</v>
      </c>
      <c r="K248" s="219">
        <f t="shared" si="32"/>
        <v>0</v>
      </c>
      <c r="L248" s="232">
        <f t="shared" si="33"/>
        <v>0</v>
      </c>
      <c r="M248" s="219">
        <f t="shared" si="34"/>
        <v>0</v>
      </c>
      <c r="N248" s="219">
        <f t="shared" si="37"/>
        <v>0</v>
      </c>
      <c r="O248" s="219">
        <f t="shared" si="37"/>
        <v>0</v>
      </c>
      <c r="P248" s="219">
        <f t="shared" si="36"/>
        <v>0</v>
      </c>
      <c r="Q248" s="219">
        <f t="shared" si="38"/>
        <v>0</v>
      </c>
    </row>
    <row r="249" spans="9:17" hidden="1" x14ac:dyDescent="0.25">
      <c r="I249" s="219">
        <f t="shared" si="30"/>
        <v>0</v>
      </c>
      <c r="J249" s="219">
        <f t="shared" si="31"/>
        <v>0</v>
      </c>
      <c r="K249" s="219">
        <f t="shared" si="32"/>
        <v>0</v>
      </c>
      <c r="L249" s="232">
        <f t="shared" si="33"/>
        <v>0</v>
      </c>
      <c r="M249" s="219">
        <f t="shared" si="34"/>
        <v>0</v>
      </c>
      <c r="N249" s="219">
        <f t="shared" si="37"/>
        <v>0</v>
      </c>
      <c r="O249" s="219">
        <f t="shared" si="37"/>
        <v>0</v>
      </c>
      <c r="P249" s="219">
        <f t="shared" si="36"/>
        <v>0</v>
      </c>
      <c r="Q249" s="219">
        <f t="shared" si="38"/>
        <v>0</v>
      </c>
    </row>
    <row r="250" spans="9:17" hidden="1" x14ac:dyDescent="0.25">
      <c r="I250" s="219">
        <f t="shared" si="30"/>
        <v>0</v>
      </c>
      <c r="J250" s="219">
        <f t="shared" si="31"/>
        <v>0</v>
      </c>
      <c r="K250" s="219">
        <f t="shared" si="32"/>
        <v>0</v>
      </c>
      <c r="L250" s="232">
        <f t="shared" si="33"/>
        <v>0</v>
      </c>
      <c r="M250" s="219">
        <f t="shared" si="34"/>
        <v>0</v>
      </c>
      <c r="N250" s="219">
        <f t="shared" si="37"/>
        <v>0</v>
      </c>
      <c r="O250" s="219">
        <f t="shared" si="37"/>
        <v>0</v>
      </c>
      <c r="P250" s="219">
        <f t="shared" si="36"/>
        <v>0</v>
      </c>
      <c r="Q250" s="219">
        <f t="shared" si="38"/>
        <v>0</v>
      </c>
    </row>
    <row r="251" spans="9:17" hidden="1" x14ac:dyDescent="0.25">
      <c r="I251" s="219">
        <f t="shared" si="30"/>
        <v>0</v>
      </c>
      <c r="J251" s="219">
        <f t="shared" si="31"/>
        <v>0</v>
      </c>
      <c r="K251" s="219">
        <f t="shared" si="32"/>
        <v>0</v>
      </c>
      <c r="L251" s="232">
        <f t="shared" si="33"/>
        <v>0</v>
      </c>
      <c r="M251" s="219">
        <f t="shared" si="34"/>
        <v>0</v>
      </c>
      <c r="N251" s="219">
        <f t="shared" si="37"/>
        <v>0</v>
      </c>
      <c r="O251" s="219">
        <f t="shared" si="37"/>
        <v>0</v>
      </c>
      <c r="P251" s="219">
        <f t="shared" si="36"/>
        <v>0</v>
      </c>
      <c r="Q251" s="219">
        <f t="shared" si="38"/>
        <v>0</v>
      </c>
    </row>
    <row r="252" spans="9:17" hidden="1" x14ac:dyDescent="0.25">
      <c r="I252" s="219">
        <f t="shared" si="30"/>
        <v>0</v>
      </c>
      <c r="J252" s="219">
        <f t="shared" si="31"/>
        <v>0</v>
      </c>
      <c r="K252" s="219">
        <f t="shared" si="32"/>
        <v>0</v>
      </c>
      <c r="L252" s="232">
        <f t="shared" si="33"/>
        <v>0</v>
      </c>
      <c r="M252" s="219">
        <f t="shared" si="34"/>
        <v>0</v>
      </c>
      <c r="N252" s="219">
        <f t="shared" si="37"/>
        <v>0</v>
      </c>
      <c r="O252" s="219">
        <f t="shared" si="37"/>
        <v>0</v>
      </c>
      <c r="P252" s="219">
        <f t="shared" si="36"/>
        <v>0</v>
      </c>
      <c r="Q252" s="219">
        <f t="shared" si="38"/>
        <v>0</v>
      </c>
    </row>
    <row r="253" spans="9:17" hidden="1" x14ac:dyDescent="0.25">
      <c r="I253" s="219">
        <f t="shared" si="30"/>
        <v>0</v>
      </c>
      <c r="J253" s="219">
        <f t="shared" si="31"/>
        <v>0</v>
      </c>
      <c r="K253" s="219">
        <f t="shared" si="32"/>
        <v>0</v>
      </c>
      <c r="L253" s="232">
        <f t="shared" si="33"/>
        <v>0</v>
      </c>
      <c r="M253" s="219">
        <f t="shared" si="34"/>
        <v>0</v>
      </c>
      <c r="N253" s="219">
        <f t="shared" si="37"/>
        <v>0</v>
      </c>
      <c r="O253" s="219">
        <f t="shared" si="37"/>
        <v>0</v>
      </c>
      <c r="P253" s="219">
        <f t="shared" si="36"/>
        <v>0</v>
      </c>
      <c r="Q253" s="219">
        <f t="shared" si="38"/>
        <v>0</v>
      </c>
    </row>
    <row r="254" spans="9:17" hidden="1" x14ac:dyDescent="0.25">
      <c r="I254" s="219">
        <f t="shared" si="30"/>
        <v>0</v>
      </c>
      <c r="J254" s="219">
        <f t="shared" si="31"/>
        <v>0</v>
      </c>
      <c r="K254" s="219">
        <f t="shared" si="32"/>
        <v>0</v>
      </c>
      <c r="L254" s="232">
        <f t="shared" si="33"/>
        <v>0</v>
      </c>
      <c r="M254" s="219">
        <f t="shared" si="34"/>
        <v>0</v>
      </c>
      <c r="N254" s="219">
        <f t="shared" si="37"/>
        <v>0</v>
      </c>
      <c r="O254" s="219">
        <f t="shared" si="37"/>
        <v>0</v>
      </c>
      <c r="P254" s="219">
        <f t="shared" si="36"/>
        <v>0</v>
      </c>
      <c r="Q254" s="219">
        <f t="shared" si="38"/>
        <v>0</v>
      </c>
    </row>
    <row r="255" spans="9:17" hidden="1" x14ac:dyDescent="0.25">
      <c r="I255" s="219">
        <f t="shared" si="30"/>
        <v>0</v>
      </c>
      <c r="J255" s="219">
        <f t="shared" si="31"/>
        <v>0</v>
      </c>
      <c r="K255" s="219">
        <f t="shared" si="32"/>
        <v>0</v>
      </c>
      <c r="L255" s="232">
        <f t="shared" si="33"/>
        <v>0</v>
      </c>
      <c r="M255" s="219">
        <f t="shared" si="34"/>
        <v>0</v>
      </c>
      <c r="N255" s="219">
        <f t="shared" si="37"/>
        <v>0</v>
      </c>
      <c r="O255" s="219">
        <f t="shared" si="37"/>
        <v>0</v>
      </c>
      <c r="P255" s="219">
        <f t="shared" si="36"/>
        <v>0</v>
      </c>
      <c r="Q255" s="219">
        <f t="shared" si="38"/>
        <v>0</v>
      </c>
    </row>
    <row r="256" spans="9:17" hidden="1" x14ac:dyDescent="0.25">
      <c r="I256" s="219">
        <f t="shared" si="30"/>
        <v>0</v>
      </c>
      <c r="J256" s="219">
        <f t="shared" si="31"/>
        <v>0</v>
      </c>
      <c r="K256" s="219">
        <f t="shared" si="32"/>
        <v>0</v>
      </c>
      <c r="L256" s="232">
        <f t="shared" si="33"/>
        <v>0</v>
      </c>
      <c r="M256" s="219">
        <f t="shared" si="34"/>
        <v>0</v>
      </c>
      <c r="N256" s="219">
        <f t="shared" si="37"/>
        <v>0</v>
      </c>
      <c r="O256" s="219">
        <f t="shared" si="37"/>
        <v>0</v>
      </c>
      <c r="P256" s="219">
        <f t="shared" si="36"/>
        <v>0</v>
      </c>
      <c r="Q256" s="219">
        <f t="shared" si="38"/>
        <v>0</v>
      </c>
    </row>
    <row r="257" spans="3:17" hidden="1" x14ac:dyDescent="0.25">
      <c r="I257" s="219">
        <f t="shared" si="30"/>
        <v>0</v>
      </c>
      <c r="J257" s="219">
        <f t="shared" si="31"/>
        <v>0</v>
      </c>
      <c r="K257" s="219">
        <f t="shared" si="32"/>
        <v>0</v>
      </c>
      <c r="L257" s="232">
        <f t="shared" si="33"/>
        <v>0</v>
      </c>
      <c r="M257" s="219">
        <f t="shared" si="34"/>
        <v>0</v>
      </c>
      <c r="N257" s="219">
        <f t="shared" si="37"/>
        <v>0</v>
      </c>
      <c r="O257" s="219">
        <f t="shared" si="37"/>
        <v>0</v>
      </c>
      <c r="P257" s="219">
        <f t="shared" si="36"/>
        <v>0</v>
      </c>
      <c r="Q257" s="219">
        <f t="shared" si="38"/>
        <v>0</v>
      </c>
    </row>
    <row r="258" spans="3:17" hidden="1" x14ac:dyDescent="0.25">
      <c r="I258" s="219">
        <f t="shared" si="30"/>
        <v>0</v>
      </c>
      <c r="J258" s="219">
        <f t="shared" si="31"/>
        <v>0</v>
      </c>
      <c r="K258" s="219">
        <f t="shared" si="32"/>
        <v>0</v>
      </c>
      <c r="L258" s="232">
        <f t="shared" si="33"/>
        <v>0</v>
      </c>
      <c r="M258" s="219">
        <f t="shared" si="34"/>
        <v>0</v>
      </c>
      <c r="N258" s="219">
        <f t="shared" si="37"/>
        <v>0</v>
      </c>
      <c r="O258" s="219">
        <f t="shared" si="37"/>
        <v>0</v>
      </c>
      <c r="P258" s="219">
        <f t="shared" si="36"/>
        <v>0</v>
      </c>
      <c r="Q258" s="219">
        <f t="shared" si="38"/>
        <v>0</v>
      </c>
    </row>
    <row r="259" spans="3:17" hidden="1" x14ac:dyDescent="0.25">
      <c r="I259" s="219">
        <f t="shared" si="30"/>
        <v>0</v>
      </c>
      <c r="J259" s="219">
        <f t="shared" si="31"/>
        <v>0</v>
      </c>
      <c r="K259" s="219">
        <f t="shared" si="32"/>
        <v>0</v>
      </c>
      <c r="L259" s="232">
        <f t="shared" si="33"/>
        <v>0</v>
      </c>
      <c r="M259" s="219">
        <f t="shared" si="34"/>
        <v>0</v>
      </c>
      <c r="N259" s="219">
        <f t="shared" si="37"/>
        <v>0</v>
      </c>
      <c r="O259" s="219">
        <f t="shared" si="37"/>
        <v>0</v>
      </c>
      <c r="P259" s="219">
        <f t="shared" si="36"/>
        <v>0</v>
      </c>
      <c r="Q259" s="219">
        <f t="shared" si="38"/>
        <v>0</v>
      </c>
    </row>
    <row r="260" spans="3:17" hidden="1" x14ac:dyDescent="0.25">
      <c r="I260" s="219">
        <f t="shared" si="30"/>
        <v>0</v>
      </c>
      <c r="J260" s="219">
        <f t="shared" si="31"/>
        <v>0</v>
      </c>
      <c r="K260" s="219">
        <f t="shared" si="32"/>
        <v>0</v>
      </c>
      <c r="L260" s="232">
        <f t="shared" si="33"/>
        <v>0</v>
      </c>
      <c r="M260" s="219">
        <f t="shared" si="34"/>
        <v>0</v>
      </c>
      <c r="N260" s="219">
        <f t="shared" si="37"/>
        <v>0</v>
      </c>
      <c r="O260" s="219">
        <f t="shared" si="37"/>
        <v>0</v>
      </c>
      <c r="P260" s="219">
        <f t="shared" si="36"/>
        <v>0</v>
      </c>
      <c r="Q260" s="219">
        <f t="shared" si="38"/>
        <v>0</v>
      </c>
    </row>
    <row r="261" spans="3:17" hidden="1" x14ac:dyDescent="0.25">
      <c r="I261" s="219">
        <f t="shared" ref="I261:I268" si="39">SUM(R261:S261)</f>
        <v>0</v>
      </c>
      <c r="J261" s="219">
        <f t="shared" ref="J261:J268" si="40">SUM(T261:V261)</f>
        <v>0</v>
      </c>
      <c r="K261" s="219">
        <f t="shared" ref="K261:K268" si="41">W261</f>
        <v>0</v>
      </c>
      <c r="L261" s="232">
        <f t="shared" ref="L261:L268" si="42">SUM(X261:AB261)</f>
        <v>0</v>
      </c>
      <c r="M261" s="219">
        <f t="shared" ref="M261:M268" si="43">SUM(AC261:AE261)</f>
        <v>0</v>
      </c>
      <c r="N261" s="219">
        <f t="shared" si="37"/>
        <v>0</v>
      </c>
      <c r="O261" s="219">
        <f t="shared" si="37"/>
        <v>0</v>
      </c>
      <c r="P261" s="219">
        <f t="shared" ref="P261:P268" si="44">SUM(AK261:AM261)</f>
        <v>0</v>
      </c>
      <c r="Q261" s="219">
        <f t="shared" si="38"/>
        <v>0</v>
      </c>
    </row>
    <row r="262" spans="3:17" hidden="1" x14ac:dyDescent="0.25">
      <c r="I262" s="219">
        <f t="shared" si="39"/>
        <v>0</v>
      </c>
      <c r="J262" s="219">
        <f t="shared" si="40"/>
        <v>0</v>
      </c>
      <c r="K262" s="219">
        <f t="shared" si="41"/>
        <v>0</v>
      </c>
      <c r="L262" s="232">
        <f t="shared" si="42"/>
        <v>0</v>
      </c>
      <c r="M262" s="219">
        <f t="shared" si="43"/>
        <v>0</v>
      </c>
      <c r="N262" s="219">
        <f t="shared" si="37"/>
        <v>0</v>
      </c>
      <c r="O262" s="219">
        <f t="shared" si="37"/>
        <v>0</v>
      </c>
      <c r="P262" s="219">
        <f t="shared" si="44"/>
        <v>0</v>
      </c>
      <c r="Q262" s="219">
        <f t="shared" si="38"/>
        <v>0</v>
      </c>
    </row>
    <row r="263" spans="3:17" hidden="1" x14ac:dyDescent="0.25">
      <c r="I263" s="219">
        <f t="shared" si="39"/>
        <v>0</v>
      </c>
      <c r="J263" s="219">
        <f t="shared" si="40"/>
        <v>0</v>
      </c>
      <c r="K263" s="219">
        <f t="shared" si="41"/>
        <v>0</v>
      </c>
      <c r="L263" s="232">
        <f t="shared" si="42"/>
        <v>0</v>
      </c>
      <c r="M263" s="219">
        <f t="shared" si="43"/>
        <v>0</v>
      </c>
      <c r="N263" s="219">
        <f t="shared" si="37"/>
        <v>0</v>
      </c>
      <c r="O263" s="219">
        <f t="shared" si="37"/>
        <v>0</v>
      </c>
      <c r="P263" s="219">
        <f t="shared" si="44"/>
        <v>0</v>
      </c>
      <c r="Q263" s="219">
        <f t="shared" si="38"/>
        <v>0</v>
      </c>
    </row>
    <row r="264" spans="3:17" hidden="1" x14ac:dyDescent="0.25">
      <c r="I264" s="219">
        <f t="shared" si="39"/>
        <v>0</v>
      </c>
      <c r="J264" s="219">
        <f t="shared" si="40"/>
        <v>0</v>
      </c>
      <c r="K264" s="219">
        <f t="shared" si="41"/>
        <v>0</v>
      </c>
      <c r="L264" s="232">
        <f t="shared" si="42"/>
        <v>0</v>
      </c>
      <c r="M264" s="219">
        <f t="shared" si="43"/>
        <v>0</v>
      </c>
      <c r="N264" s="219">
        <f t="shared" si="37"/>
        <v>0</v>
      </c>
      <c r="O264" s="219">
        <f t="shared" si="37"/>
        <v>0</v>
      </c>
      <c r="P264" s="219">
        <f t="shared" si="44"/>
        <v>0</v>
      </c>
      <c r="Q264" s="219">
        <f t="shared" si="38"/>
        <v>0</v>
      </c>
    </row>
    <row r="265" spans="3:17" hidden="1" x14ac:dyDescent="0.25">
      <c r="I265" s="219">
        <f t="shared" si="39"/>
        <v>0</v>
      </c>
      <c r="J265" s="219">
        <f t="shared" si="40"/>
        <v>0</v>
      </c>
      <c r="K265" s="219">
        <f t="shared" si="41"/>
        <v>0</v>
      </c>
      <c r="L265" s="232">
        <f t="shared" si="42"/>
        <v>0</v>
      </c>
      <c r="M265" s="219">
        <f t="shared" si="43"/>
        <v>0</v>
      </c>
      <c r="N265" s="219">
        <f t="shared" si="37"/>
        <v>0</v>
      </c>
      <c r="O265" s="219">
        <f t="shared" si="37"/>
        <v>0</v>
      </c>
      <c r="P265" s="219">
        <f t="shared" si="44"/>
        <v>0</v>
      </c>
      <c r="Q265" s="219">
        <f t="shared" si="38"/>
        <v>0</v>
      </c>
    </row>
    <row r="266" spans="3:17" hidden="1" x14ac:dyDescent="0.25">
      <c r="I266" s="219">
        <f t="shared" si="39"/>
        <v>0</v>
      </c>
      <c r="J266" s="219">
        <f t="shared" si="40"/>
        <v>0</v>
      </c>
      <c r="K266" s="219">
        <f t="shared" si="41"/>
        <v>0</v>
      </c>
      <c r="L266" s="232">
        <f t="shared" si="42"/>
        <v>0</v>
      </c>
      <c r="M266" s="219">
        <f t="shared" si="43"/>
        <v>0</v>
      </c>
      <c r="N266" s="219">
        <f t="shared" si="37"/>
        <v>0</v>
      </c>
      <c r="O266" s="219">
        <f t="shared" si="37"/>
        <v>0</v>
      </c>
      <c r="P266" s="219">
        <f t="shared" si="44"/>
        <v>0</v>
      </c>
      <c r="Q266" s="219">
        <f t="shared" si="38"/>
        <v>0</v>
      </c>
    </row>
    <row r="267" spans="3:17" hidden="1" x14ac:dyDescent="0.25">
      <c r="I267" s="219">
        <f t="shared" si="39"/>
        <v>0</v>
      </c>
      <c r="J267" s="219">
        <f t="shared" si="40"/>
        <v>0</v>
      </c>
      <c r="K267" s="219">
        <f t="shared" si="41"/>
        <v>0</v>
      </c>
      <c r="L267" s="232">
        <f t="shared" si="42"/>
        <v>0</v>
      </c>
      <c r="M267" s="219">
        <f t="shared" si="43"/>
        <v>0</v>
      </c>
      <c r="N267" s="219">
        <f t="shared" si="37"/>
        <v>0</v>
      </c>
      <c r="O267" s="219">
        <f t="shared" si="37"/>
        <v>0</v>
      </c>
      <c r="P267" s="219">
        <f t="shared" si="44"/>
        <v>0</v>
      </c>
      <c r="Q267" s="219">
        <f t="shared" si="38"/>
        <v>0</v>
      </c>
    </row>
    <row r="268" spans="3:17" hidden="1" x14ac:dyDescent="0.25">
      <c r="I268" s="219">
        <f t="shared" si="39"/>
        <v>0</v>
      </c>
      <c r="J268" s="219">
        <f t="shared" si="40"/>
        <v>0</v>
      </c>
      <c r="K268" s="219">
        <f t="shared" si="41"/>
        <v>0</v>
      </c>
      <c r="L268" s="232">
        <f t="shared" si="42"/>
        <v>0</v>
      </c>
      <c r="M268" s="219">
        <f t="shared" si="43"/>
        <v>0</v>
      </c>
      <c r="N268" s="219">
        <f t="shared" si="37"/>
        <v>0</v>
      </c>
      <c r="O268" s="219">
        <f t="shared" si="37"/>
        <v>0</v>
      </c>
      <c r="P268" s="219">
        <f t="shared" si="44"/>
        <v>0</v>
      </c>
      <c r="Q268" s="219">
        <f t="shared" si="38"/>
        <v>0</v>
      </c>
    </row>
    <row r="269" spans="3:17" x14ac:dyDescent="0.25">
      <c r="C269" s="472"/>
      <c r="D269" s="472"/>
      <c r="E269" s="472"/>
      <c r="F269" s="473"/>
      <c r="G269" s="473"/>
      <c r="H269" s="472"/>
      <c r="I269" s="319"/>
      <c r="J269" s="319"/>
      <c r="K269" s="319"/>
      <c r="L269" s="319"/>
    </row>
  </sheetData>
  <autoFilter ref="A3:AM268" xr:uid="{1CEDA5EC-B68E-4623-A1FB-A5A8DEC1FA6B}">
    <filterColumn colId="0">
      <filters>
        <filter val="Ингушетия"/>
      </filters>
    </filterColumn>
  </autoFilter>
  <mergeCells count="7">
    <mergeCell ref="J2:L2"/>
    <mergeCell ref="M2:Q2"/>
    <mergeCell ref="R1:AB1"/>
    <mergeCell ref="AC1:AM1"/>
    <mergeCell ref="R2:S2"/>
    <mergeCell ref="AC2:AJ2"/>
    <mergeCell ref="AK2:AM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23FB-CEA7-44A7-9963-9B13BC48808D}">
  <sheetPr filterMode="1">
    <tabColor theme="4"/>
  </sheetPr>
  <dimension ref="A1:Q816"/>
  <sheetViews>
    <sheetView zoomScale="83" zoomScaleNormal="100" workbookViewId="0">
      <selection activeCell="C706" sqref="C706"/>
    </sheetView>
  </sheetViews>
  <sheetFormatPr defaultColWidth="8.85546875" defaultRowHeight="15" x14ac:dyDescent="0.25"/>
  <cols>
    <col min="1" max="1" width="29.5703125" style="1" customWidth="1"/>
    <col min="2" max="2" width="14.7109375" style="1" bestFit="1" customWidth="1"/>
    <col min="3" max="3" width="41.5703125" style="1" customWidth="1"/>
    <col min="4" max="4" width="46.7109375" style="1" bestFit="1" customWidth="1"/>
    <col min="5" max="5" width="32.28515625" style="1" bestFit="1" customWidth="1"/>
    <col min="6" max="6" width="14.42578125" style="1" bestFit="1" customWidth="1"/>
    <col min="7" max="7" width="14.140625" style="1" bestFit="1" customWidth="1"/>
    <col min="8" max="8" width="15.7109375" style="1" bestFit="1" customWidth="1"/>
    <col min="9" max="10" width="12.140625" style="1" bestFit="1" customWidth="1"/>
    <col min="11" max="11" width="12.42578125" style="1" bestFit="1" customWidth="1"/>
    <col min="12" max="12" width="12.7109375" style="1" bestFit="1" customWidth="1"/>
    <col min="13" max="13" width="17.42578125" style="1" bestFit="1" customWidth="1"/>
    <col min="14" max="14" width="16.7109375" style="1" bestFit="1" customWidth="1"/>
    <col min="15" max="15" width="14.7109375" style="1" bestFit="1" customWidth="1"/>
    <col min="16" max="16" width="12.140625" style="1" bestFit="1" customWidth="1"/>
    <col min="17" max="17" width="11.42578125" style="1" bestFit="1" customWidth="1"/>
    <col min="18" max="16384" width="8.85546875" style="1"/>
  </cols>
  <sheetData>
    <row r="1" spans="1:17" s="13" customFormat="1" ht="30" x14ac:dyDescent="0.25">
      <c r="A1" s="231" t="s">
        <v>190</v>
      </c>
      <c r="B1" s="231" t="s">
        <v>191</v>
      </c>
      <c r="C1" s="231" t="s">
        <v>192</v>
      </c>
      <c r="D1" s="231" t="s">
        <v>193</v>
      </c>
      <c r="E1" s="231" t="s">
        <v>194</v>
      </c>
      <c r="F1" s="231" t="s">
        <v>195</v>
      </c>
      <c r="G1" s="231" t="s">
        <v>196</v>
      </c>
      <c r="H1" s="231" t="s">
        <v>197</v>
      </c>
      <c r="I1" s="337" t="s">
        <v>290</v>
      </c>
      <c r="J1" s="337" t="s">
        <v>294</v>
      </c>
      <c r="K1" s="337" t="s">
        <v>295</v>
      </c>
      <c r="L1" s="337" t="s">
        <v>296</v>
      </c>
      <c r="M1" s="231" t="s">
        <v>297</v>
      </c>
      <c r="N1" s="231" t="s">
        <v>298</v>
      </c>
      <c r="O1" s="337" t="s">
        <v>299</v>
      </c>
      <c r="P1" s="231" t="s">
        <v>300</v>
      </c>
      <c r="Q1" s="231" t="s">
        <v>301</v>
      </c>
    </row>
    <row r="2" spans="1:17" hidden="1" x14ac:dyDescent="0.25">
      <c r="A2" s="15" t="s">
        <v>22</v>
      </c>
      <c r="B2" s="15" t="s">
        <v>561</v>
      </c>
      <c r="C2" s="15" t="s">
        <v>318</v>
      </c>
      <c r="D2" s="15" t="s">
        <v>319</v>
      </c>
      <c r="E2" s="15" t="s">
        <v>320</v>
      </c>
      <c r="F2" s="15">
        <v>1</v>
      </c>
      <c r="G2" s="15"/>
      <c r="H2" s="15"/>
      <c r="I2" s="15">
        <v>0</v>
      </c>
      <c r="J2" s="15">
        <v>0</v>
      </c>
      <c r="K2" s="15">
        <v>0</v>
      </c>
      <c r="L2" s="15">
        <v>95205964.680000037</v>
      </c>
      <c r="M2" s="15">
        <v>0</v>
      </c>
      <c r="N2" s="15">
        <v>21794935.420000013</v>
      </c>
      <c r="O2" s="15">
        <v>0</v>
      </c>
      <c r="P2" s="15">
        <v>0</v>
      </c>
      <c r="Q2" s="15"/>
    </row>
    <row r="3" spans="1:17" ht="30" hidden="1" x14ac:dyDescent="0.25">
      <c r="A3" s="15" t="s">
        <v>22</v>
      </c>
      <c r="B3" s="15" t="s">
        <v>561</v>
      </c>
      <c r="C3" s="15" t="s">
        <v>318</v>
      </c>
      <c r="D3" s="15" t="s">
        <v>319</v>
      </c>
      <c r="E3" s="15" t="s">
        <v>322</v>
      </c>
      <c r="F3" s="15"/>
      <c r="G3" s="15"/>
      <c r="H3" s="15"/>
      <c r="I3" s="15">
        <v>0</v>
      </c>
      <c r="J3" s="15">
        <v>0</v>
      </c>
      <c r="K3" s="15">
        <v>0</v>
      </c>
      <c r="L3" s="15">
        <v>50034.48</v>
      </c>
      <c r="M3" s="15">
        <v>0</v>
      </c>
      <c r="N3" s="15">
        <v>34922534.530000046</v>
      </c>
      <c r="O3" s="15">
        <v>0</v>
      </c>
      <c r="P3" s="15">
        <v>0</v>
      </c>
      <c r="Q3" s="15"/>
    </row>
    <row r="4" spans="1:17" hidden="1" x14ac:dyDescent="0.25">
      <c r="A4" s="15" t="s">
        <v>22</v>
      </c>
      <c r="B4" s="15" t="s">
        <v>561</v>
      </c>
      <c r="C4" s="15" t="s">
        <v>323</v>
      </c>
      <c r="D4" s="15" t="s">
        <v>324</v>
      </c>
      <c r="E4" s="15" t="s">
        <v>325</v>
      </c>
      <c r="F4" s="15"/>
      <c r="G4" s="15"/>
      <c r="H4" s="15"/>
      <c r="I4" s="15">
        <v>0</v>
      </c>
      <c r="J4" s="15">
        <v>0</v>
      </c>
      <c r="K4" s="15">
        <v>0</v>
      </c>
      <c r="L4" s="15">
        <v>1201332.8999999999</v>
      </c>
      <c r="M4" s="15">
        <v>0</v>
      </c>
      <c r="N4" s="15">
        <v>0</v>
      </c>
      <c r="O4" s="15">
        <v>0</v>
      </c>
      <c r="P4" s="15">
        <v>0</v>
      </c>
      <c r="Q4" s="15"/>
    </row>
    <row r="5" spans="1:17" hidden="1" x14ac:dyDescent="0.25">
      <c r="A5" s="15" t="s">
        <v>22</v>
      </c>
      <c r="B5" s="15" t="s">
        <v>561</v>
      </c>
      <c r="C5" s="15" t="s">
        <v>318</v>
      </c>
      <c r="D5" s="15" t="s">
        <v>319</v>
      </c>
      <c r="E5" s="15" t="s">
        <v>320</v>
      </c>
      <c r="F5" s="15"/>
      <c r="G5" s="15"/>
      <c r="H5" s="15"/>
      <c r="I5" s="15">
        <v>0</v>
      </c>
      <c r="J5" s="15">
        <v>0</v>
      </c>
      <c r="K5" s="15">
        <v>0</v>
      </c>
      <c r="L5" s="15">
        <v>16388.569999999996</v>
      </c>
      <c r="M5" s="15">
        <v>0</v>
      </c>
      <c r="N5" s="15">
        <v>0</v>
      </c>
      <c r="O5" s="15">
        <v>0</v>
      </c>
      <c r="P5" s="15">
        <v>0</v>
      </c>
      <c r="Q5" s="15"/>
    </row>
    <row r="6" spans="1:17" hidden="1" x14ac:dyDescent="0.25">
      <c r="A6" s="15" t="s">
        <v>22</v>
      </c>
      <c r="B6" s="15" t="s">
        <v>561</v>
      </c>
      <c r="C6" s="15" t="s">
        <v>318</v>
      </c>
      <c r="D6" s="15" t="s">
        <v>326</v>
      </c>
      <c r="E6" s="15" t="s">
        <v>320</v>
      </c>
      <c r="F6" s="15"/>
      <c r="G6" s="15"/>
      <c r="H6" s="15"/>
      <c r="I6" s="15">
        <v>0</v>
      </c>
      <c r="J6" s="15">
        <v>0</v>
      </c>
      <c r="K6" s="15">
        <v>0</v>
      </c>
      <c r="L6" s="15">
        <v>16388.569999999996</v>
      </c>
      <c r="M6" s="15">
        <v>0</v>
      </c>
      <c r="N6" s="15">
        <v>0</v>
      </c>
      <c r="O6" s="15">
        <v>0</v>
      </c>
      <c r="P6" s="15">
        <v>0</v>
      </c>
      <c r="Q6" s="15"/>
    </row>
    <row r="7" spans="1:17" hidden="1" x14ac:dyDescent="0.25">
      <c r="A7" s="15" t="s">
        <v>20</v>
      </c>
      <c r="B7" s="15" t="s">
        <v>561</v>
      </c>
      <c r="C7" s="15" t="s">
        <v>323</v>
      </c>
      <c r="D7" s="15" t="s">
        <v>324</v>
      </c>
      <c r="E7" s="15" t="s">
        <v>325</v>
      </c>
      <c r="F7" s="15"/>
      <c r="G7" s="15"/>
      <c r="H7" s="15"/>
      <c r="I7" s="15">
        <v>0</v>
      </c>
      <c r="J7" s="15">
        <v>0</v>
      </c>
      <c r="K7" s="15">
        <v>0</v>
      </c>
      <c r="L7" s="15">
        <v>167213.97</v>
      </c>
      <c r="M7" s="15">
        <v>0</v>
      </c>
      <c r="N7" s="15">
        <v>0</v>
      </c>
      <c r="O7" s="15">
        <v>0</v>
      </c>
      <c r="P7" s="15">
        <v>0</v>
      </c>
      <c r="Q7" s="15"/>
    </row>
    <row r="8" spans="1:17" hidden="1" x14ac:dyDescent="0.25">
      <c r="A8" s="15" t="s">
        <v>20</v>
      </c>
      <c r="B8" s="15" t="s">
        <v>561</v>
      </c>
      <c r="C8" s="15" t="s">
        <v>323</v>
      </c>
      <c r="D8" s="15" t="s">
        <v>324</v>
      </c>
      <c r="E8" s="15" t="s">
        <v>325</v>
      </c>
      <c r="F8" s="15"/>
      <c r="G8" s="15"/>
      <c r="H8" s="15"/>
      <c r="I8" s="15">
        <v>0</v>
      </c>
      <c r="J8" s="15">
        <v>0</v>
      </c>
      <c r="K8" s="15">
        <v>0</v>
      </c>
      <c r="L8" s="15">
        <v>4921.2</v>
      </c>
      <c r="M8" s="15">
        <v>0</v>
      </c>
      <c r="N8" s="15">
        <v>0</v>
      </c>
      <c r="O8" s="15">
        <v>0</v>
      </c>
      <c r="P8" s="15">
        <v>0</v>
      </c>
      <c r="Q8" s="15"/>
    </row>
    <row r="9" spans="1:17" hidden="1" x14ac:dyDescent="0.25">
      <c r="A9" s="15" t="s">
        <v>20</v>
      </c>
      <c r="B9" s="15" t="s">
        <v>561</v>
      </c>
      <c r="C9" s="15" t="s">
        <v>318</v>
      </c>
      <c r="D9" s="15" t="s">
        <v>327</v>
      </c>
      <c r="E9" s="15" t="s">
        <v>320</v>
      </c>
      <c r="F9" s="15"/>
      <c r="G9" s="15"/>
      <c r="H9" s="15"/>
      <c r="I9" s="15">
        <v>0</v>
      </c>
      <c r="J9" s="15">
        <v>0</v>
      </c>
      <c r="K9" s="15">
        <v>0</v>
      </c>
      <c r="L9" s="15">
        <v>74443.789999999994</v>
      </c>
      <c r="M9" s="15">
        <v>0</v>
      </c>
      <c r="N9" s="15">
        <v>0</v>
      </c>
      <c r="O9" s="15">
        <v>0</v>
      </c>
      <c r="P9" s="15">
        <v>0</v>
      </c>
      <c r="Q9" s="15"/>
    </row>
    <row r="10" spans="1:17" ht="30" hidden="1" x14ac:dyDescent="0.25">
      <c r="A10" s="15" t="s">
        <v>20</v>
      </c>
      <c r="B10" s="15" t="s">
        <v>561</v>
      </c>
      <c r="C10" s="15" t="s">
        <v>318</v>
      </c>
      <c r="D10" s="15" t="s">
        <v>327</v>
      </c>
      <c r="E10" s="15" t="s">
        <v>322</v>
      </c>
      <c r="F10" s="15"/>
      <c r="G10" s="15"/>
      <c r="H10" s="15"/>
      <c r="I10" s="15">
        <v>0</v>
      </c>
      <c r="J10" s="15">
        <v>0</v>
      </c>
      <c r="K10" s="15">
        <v>0</v>
      </c>
      <c r="L10" s="15">
        <v>61550673.18</v>
      </c>
      <c r="M10" s="15">
        <v>0</v>
      </c>
      <c r="N10" s="15">
        <v>0</v>
      </c>
      <c r="O10" s="15">
        <v>0</v>
      </c>
      <c r="P10" s="15">
        <v>0</v>
      </c>
      <c r="Q10" s="15"/>
    </row>
    <row r="11" spans="1:17" hidden="1" x14ac:dyDescent="0.25">
      <c r="A11" s="15" t="s">
        <v>20</v>
      </c>
      <c r="B11" s="15" t="s">
        <v>561</v>
      </c>
      <c r="C11" s="15" t="s">
        <v>323</v>
      </c>
      <c r="D11" s="15" t="s">
        <v>324</v>
      </c>
      <c r="E11" s="15" t="s">
        <v>325</v>
      </c>
      <c r="F11" s="15"/>
      <c r="G11" s="15"/>
      <c r="H11" s="15"/>
      <c r="I11" s="15">
        <v>0</v>
      </c>
      <c r="J11" s="15">
        <v>0</v>
      </c>
      <c r="K11" s="15">
        <v>0</v>
      </c>
      <c r="L11" s="15">
        <v>793480.71000000031</v>
      </c>
      <c r="M11" s="15">
        <v>0</v>
      </c>
      <c r="N11" s="15">
        <v>0</v>
      </c>
      <c r="O11" s="15">
        <v>0</v>
      </c>
      <c r="P11" s="15">
        <v>0</v>
      </c>
      <c r="Q11" s="15"/>
    </row>
    <row r="12" spans="1:17" hidden="1" x14ac:dyDescent="0.25">
      <c r="A12" s="15" t="s">
        <v>20</v>
      </c>
      <c r="B12" s="15" t="s">
        <v>561</v>
      </c>
      <c r="C12" s="15" t="s">
        <v>323</v>
      </c>
      <c r="D12" s="15" t="s">
        <v>329</v>
      </c>
      <c r="E12" s="15" t="s">
        <v>330</v>
      </c>
      <c r="F12" s="15"/>
      <c r="G12" s="15"/>
      <c r="H12" s="15"/>
      <c r="I12" s="15">
        <v>0</v>
      </c>
      <c r="J12" s="15">
        <v>0</v>
      </c>
      <c r="K12" s="15">
        <v>0</v>
      </c>
      <c r="L12" s="15">
        <v>1728.22</v>
      </c>
      <c r="M12" s="15">
        <v>0</v>
      </c>
      <c r="N12" s="15">
        <v>0</v>
      </c>
      <c r="O12" s="15">
        <v>0</v>
      </c>
      <c r="P12" s="15">
        <v>0</v>
      </c>
      <c r="Q12" s="15"/>
    </row>
    <row r="13" spans="1:17" hidden="1" x14ac:dyDescent="0.25">
      <c r="A13" s="15" t="s">
        <v>20</v>
      </c>
      <c r="B13" s="15" t="s">
        <v>561</v>
      </c>
      <c r="C13" s="15" t="s">
        <v>318</v>
      </c>
      <c r="D13" s="15" t="s">
        <v>331</v>
      </c>
      <c r="E13" s="15" t="s">
        <v>320</v>
      </c>
      <c r="F13" s="15"/>
      <c r="G13" s="15"/>
      <c r="H13" s="15"/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152696.56</v>
      </c>
      <c r="O13" s="15">
        <v>0</v>
      </c>
      <c r="P13" s="15">
        <v>0</v>
      </c>
      <c r="Q13" s="15"/>
    </row>
    <row r="14" spans="1:17" ht="30" hidden="1" x14ac:dyDescent="0.25">
      <c r="A14" s="15" t="s">
        <v>20</v>
      </c>
      <c r="B14" s="15" t="s">
        <v>561</v>
      </c>
      <c r="C14" s="15" t="s">
        <v>318</v>
      </c>
      <c r="D14" s="15" t="s">
        <v>331</v>
      </c>
      <c r="E14" s="15" t="s">
        <v>322</v>
      </c>
      <c r="F14" s="15"/>
      <c r="G14" s="15"/>
      <c r="H14" s="15"/>
      <c r="I14" s="15">
        <v>0</v>
      </c>
      <c r="J14" s="15">
        <v>0</v>
      </c>
      <c r="K14" s="15">
        <v>0</v>
      </c>
      <c r="L14" s="15">
        <v>62066.210000000006</v>
      </c>
      <c r="M14" s="15">
        <v>0</v>
      </c>
      <c r="N14" s="15">
        <v>12675102.270000005</v>
      </c>
      <c r="O14" s="15">
        <v>0</v>
      </c>
      <c r="P14" s="15">
        <v>0</v>
      </c>
      <c r="Q14" s="15"/>
    </row>
    <row r="15" spans="1:17" ht="30" hidden="1" x14ac:dyDescent="0.25">
      <c r="A15" s="15" t="s">
        <v>20</v>
      </c>
      <c r="B15" s="15" t="s">
        <v>561</v>
      </c>
      <c r="C15" s="15" t="s">
        <v>318</v>
      </c>
      <c r="D15" s="15" t="s">
        <v>327</v>
      </c>
      <c r="E15" s="15" t="s">
        <v>322</v>
      </c>
      <c r="F15" s="15"/>
      <c r="G15" s="15"/>
      <c r="H15" s="15"/>
      <c r="I15" s="15">
        <v>0</v>
      </c>
      <c r="J15" s="15">
        <v>0</v>
      </c>
      <c r="K15" s="15">
        <v>50540.084999999999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/>
    </row>
    <row r="16" spans="1:17" ht="30" hidden="1" x14ac:dyDescent="0.25">
      <c r="A16" s="15" t="s">
        <v>20</v>
      </c>
      <c r="B16" s="15" t="s">
        <v>561</v>
      </c>
      <c r="C16" s="15" t="s">
        <v>318</v>
      </c>
      <c r="D16" s="15" t="s">
        <v>331</v>
      </c>
      <c r="E16" s="15" t="s">
        <v>322</v>
      </c>
      <c r="F16" s="15"/>
      <c r="G16" s="15"/>
      <c r="H16" s="15"/>
      <c r="I16" s="15">
        <v>0</v>
      </c>
      <c r="J16" s="15">
        <v>0</v>
      </c>
      <c r="K16" s="15">
        <v>50540.084999999999</v>
      </c>
      <c r="L16" s="15">
        <v>0</v>
      </c>
      <c r="M16" s="15">
        <v>0</v>
      </c>
      <c r="N16" s="15">
        <v>31855181.779999994</v>
      </c>
      <c r="O16" s="15">
        <v>0</v>
      </c>
      <c r="P16" s="15">
        <v>0</v>
      </c>
      <c r="Q16" s="15"/>
    </row>
    <row r="17" spans="1:17" hidden="1" x14ac:dyDescent="0.25">
      <c r="A17" s="15" t="s">
        <v>25</v>
      </c>
      <c r="B17" s="15" t="s">
        <v>561</v>
      </c>
      <c r="C17" s="15" t="s">
        <v>318</v>
      </c>
      <c r="D17" s="15" t="s">
        <v>326</v>
      </c>
      <c r="E17" s="15" t="s">
        <v>320</v>
      </c>
      <c r="F17" s="15"/>
      <c r="G17" s="15"/>
      <c r="H17" s="15"/>
      <c r="I17" s="15">
        <v>0</v>
      </c>
      <c r="J17" s="15">
        <v>0</v>
      </c>
      <c r="K17" s="15">
        <v>67690161.789999992</v>
      </c>
      <c r="L17" s="15">
        <v>108624731.87000002</v>
      </c>
      <c r="M17" s="15">
        <v>0</v>
      </c>
      <c r="N17" s="15">
        <v>0</v>
      </c>
      <c r="O17" s="15">
        <v>0</v>
      </c>
      <c r="P17" s="15">
        <v>0</v>
      </c>
      <c r="Q17" s="15"/>
    </row>
    <row r="18" spans="1:17" hidden="1" x14ac:dyDescent="0.25">
      <c r="A18" s="15" t="s">
        <v>25</v>
      </c>
      <c r="B18" s="15" t="s">
        <v>561</v>
      </c>
      <c r="C18" s="15" t="s">
        <v>318</v>
      </c>
      <c r="D18" s="15" t="s">
        <v>319</v>
      </c>
      <c r="E18" s="15" t="s">
        <v>320</v>
      </c>
      <c r="F18" s="15"/>
      <c r="G18" s="15"/>
      <c r="H18" s="15"/>
      <c r="I18" s="15">
        <v>0</v>
      </c>
      <c r="J18" s="15">
        <v>0</v>
      </c>
      <c r="K18" s="15">
        <v>350.35</v>
      </c>
      <c r="L18" s="15">
        <v>2324.8900000000003</v>
      </c>
      <c r="M18" s="15">
        <v>0</v>
      </c>
      <c r="N18" s="15">
        <v>0</v>
      </c>
      <c r="O18" s="15">
        <v>0</v>
      </c>
      <c r="P18" s="15">
        <v>0</v>
      </c>
      <c r="Q18" s="15"/>
    </row>
    <row r="19" spans="1:17" hidden="1" x14ac:dyDescent="0.25">
      <c r="A19" s="15" t="s">
        <v>25</v>
      </c>
      <c r="B19" s="15" t="s">
        <v>561</v>
      </c>
      <c r="C19" s="15" t="s">
        <v>318</v>
      </c>
      <c r="D19" s="15" t="s">
        <v>326</v>
      </c>
      <c r="E19" s="15" t="s">
        <v>320</v>
      </c>
      <c r="F19" s="15"/>
      <c r="G19" s="15"/>
      <c r="H19" s="15"/>
      <c r="I19" s="15">
        <v>0</v>
      </c>
      <c r="J19" s="15">
        <v>0</v>
      </c>
      <c r="K19" s="15">
        <v>350.35</v>
      </c>
      <c r="L19" s="15">
        <v>2324.8900000000003</v>
      </c>
      <c r="M19" s="15">
        <v>0</v>
      </c>
      <c r="N19" s="15">
        <v>33734181.700000025</v>
      </c>
      <c r="O19" s="15">
        <v>0</v>
      </c>
      <c r="P19" s="15">
        <v>0</v>
      </c>
      <c r="Q19" s="15"/>
    </row>
    <row r="20" spans="1:17" hidden="1" x14ac:dyDescent="0.25">
      <c r="A20" s="15" t="s">
        <v>27</v>
      </c>
      <c r="B20" s="15" t="s">
        <v>561</v>
      </c>
      <c r="C20" s="15" t="s">
        <v>323</v>
      </c>
      <c r="D20" s="15" t="s">
        <v>324</v>
      </c>
      <c r="E20" s="15" t="s">
        <v>325</v>
      </c>
      <c r="F20" s="15"/>
      <c r="G20" s="15"/>
      <c r="H20" s="15"/>
      <c r="I20" s="15">
        <v>0</v>
      </c>
      <c r="J20" s="15">
        <v>0</v>
      </c>
      <c r="K20" s="15">
        <v>0</v>
      </c>
      <c r="L20" s="15">
        <v>1230.3</v>
      </c>
      <c r="M20" s="15">
        <v>0</v>
      </c>
      <c r="N20" s="15">
        <v>0</v>
      </c>
      <c r="O20" s="15">
        <v>0</v>
      </c>
      <c r="P20" s="15">
        <v>0</v>
      </c>
      <c r="Q20" s="15"/>
    </row>
    <row r="21" spans="1:17" hidden="1" x14ac:dyDescent="0.25">
      <c r="A21" s="15" t="s">
        <v>27</v>
      </c>
      <c r="B21" s="15" t="s">
        <v>561</v>
      </c>
      <c r="C21" s="15" t="s">
        <v>318</v>
      </c>
      <c r="D21" s="15" t="s">
        <v>326</v>
      </c>
      <c r="E21" s="15" t="s">
        <v>320</v>
      </c>
      <c r="F21" s="15"/>
      <c r="G21" s="15"/>
      <c r="H21" s="15"/>
      <c r="I21" s="15">
        <v>0</v>
      </c>
      <c r="J21" s="15">
        <v>0</v>
      </c>
      <c r="K21" s="15">
        <v>0</v>
      </c>
      <c r="L21" s="15">
        <v>18267262.890000012</v>
      </c>
      <c r="M21" s="15">
        <v>0</v>
      </c>
      <c r="N21" s="15">
        <v>82315096.500000089</v>
      </c>
      <c r="O21" s="15">
        <v>0</v>
      </c>
      <c r="P21" s="15">
        <v>0</v>
      </c>
      <c r="Q21" s="15"/>
    </row>
    <row r="22" spans="1:17" hidden="1" x14ac:dyDescent="0.25">
      <c r="A22" s="15" t="s">
        <v>27</v>
      </c>
      <c r="B22" s="15" t="s">
        <v>561</v>
      </c>
      <c r="C22" s="15" t="s">
        <v>323</v>
      </c>
      <c r="D22" s="15" t="s">
        <v>324</v>
      </c>
      <c r="E22" s="15" t="s">
        <v>325</v>
      </c>
      <c r="F22" s="15"/>
      <c r="G22" s="15"/>
      <c r="H22" s="15"/>
      <c r="I22" s="15">
        <v>0</v>
      </c>
      <c r="J22" s="15">
        <v>0</v>
      </c>
      <c r="K22" s="15">
        <v>0</v>
      </c>
      <c r="L22" s="15">
        <v>8612.1</v>
      </c>
      <c r="M22" s="15">
        <v>0</v>
      </c>
      <c r="N22" s="15">
        <v>0</v>
      </c>
      <c r="O22" s="15">
        <v>0</v>
      </c>
      <c r="P22" s="15">
        <v>0</v>
      </c>
      <c r="Q22" s="15"/>
    </row>
    <row r="23" spans="1:17" hidden="1" x14ac:dyDescent="0.25">
      <c r="A23" s="15" t="s">
        <v>27</v>
      </c>
      <c r="B23" s="15" t="s">
        <v>561</v>
      </c>
      <c r="C23" s="15" t="s">
        <v>318</v>
      </c>
      <c r="D23" s="15" t="s">
        <v>319</v>
      </c>
      <c r="E23" s="15" t="s">
        <v>320</v>
      </c>
      <c r="F23" s="15"/>
      <c r="G23" s="15"/>
      <c r="H23" s="15"/>
      <c r="I23" s="15">
        <v>0</v>
      </c>
      <c r="J23" s="15">
        <v>0</v>
      </c>
      <c r="K23" s="15">
        <v>0</v>
      </c>
      <c r="L23" s="15">
        <v>938</v>
      </c>
      <c r="M23" s="15">
        <v>0</v>
      </c>
      <c r="N23" s="15">
        <v>0</v>
      </c>
      <c r="O23" s="15">
        <v>0</v>
      </c>
      <c r="P23" s="15">
        <v>0</v>
      </c>
      <c r="Q23" s="15"/>
    </row>
    <row r="24" spans="1:17" hidden="1" x14ac:dyDescent="0.25">
      <c r="A24" s="15" t="s">
        <v>27</v>
      </c>
      <c r="B24" s="15" t="s">
        <v>561</v>
      </c>
      <c r="C24" s="15" t="s">
        <v>318</v>
      </c>
      <c r="D24" s="15" t="s">
        <v>326</v>
      </c>
      <c r="E24" s="15" t="s">
        <v>320</v>
      </c>
      <c r="F24" s="15"/>
      <c r="G24" s="15"/>
      <c r="H24" s="15"/>
      <c r="I24" s="15">
        <v>0</v>
      </c>
      <c r="J24" s="15">
        <v>0</v>
      </c>
      <c r="K24" s="15">
        <v>0</v>
      </c>
      <c r="L24" s="15">
        <v>938</v>
      </c>
      <c r="M24" s="15">
        <v>0</v>
      </c>
      <c r="N24" s="15">
        <v>0</v>
      </c>
      <c r="O24" s="15">
        <v>0</v>
      </c>
      <c r="P24" s="15">
        <v>0</v>
      </c>
      <c r="Q24" s="15"/>
    </row>
    <row r="25" spans="1:17" hidden="1" x14ac:dyDescent="0.25">
      <c r="A25" s="15" t="s">
        <v>7</v>
      </c>
      <c r="B25" s="15" t="s">
        <v>561</v>
      </c>
      <c r="C25" s="15" t="s">
        <v>323</v>
      </c>
      <c r="D25" s="15" t="s">
        <v>324</v>
      </c>
      <c r="E25" s="15" t="s">
        <v>325</v>
      </c>
      <c r="F25" s="15">
        <v>1</v>
      </c>
      <c r="G25" s="15"/>
      <c r="H25" s="15"/>
      <c r="I25" s="15">
        <v>0</v>
      </c>
      <c r="J25" s="15">
        <v>0</v>
      </c>
      <c r="K25" s="15">
        <v>0</v>
      </c>
      <c r="L25" s="15">
        <v>3934548.4099999992</v>
      </c>
      <c r="M25" s="15">
        <v>0</v>
      </c>
      <c r="N25" s="15">
        <v>51488847.459999874</v>
      </c>
      <c r="O25" s="15">
        <v>0</v>
      </c>
      <c r="P25" s="15">
        <v>0</v>
      </c>
      <c r="Q25" s="15"/>
    </row>
    <row r="26" spans="1:17" hidden="1" x14ac:dyDescent="0.25">
      <c r="A26" s="15" t="s">
        <v>7</v>
      </c>
      <c r="B26" s="15" t="s">
        <v>561</v>
      </c>
      <c r="C26" s="15" t="s">
        <v>323</v>
      </c>
      <c r="D26" s="15" t="s">
        <v>324</v>
      </c>
      <c r="E26" s="15" t="s">
        <v>325</v>
      </c>
      <c r="F26" s="15">
        <v>1</v>
      </c>
      <c r="G26" s="15"/>
      <c r="H26" s="15"/>
      <c r="I26" s="15">
        <v>0</v>
      </c>
      <c r="J26" s="15">
        <v>0</v>
      </c>
      <c r="K26" s="15">
        <v>0</v>
      </c>
      <c r="L26" s="15">
        <v>26241041.290000029</v>
      </c>
      <c r="M26" s="15">
        <v>0</v>
      </c>
      <c r="N26" s="15">
        <v>0</v>
      </c>
      <c r="O26" s="15">
        <v>0</v>
      </c>
      <c r="P26" s="15">
        <v>0</v>
      </c>
      <c r="Q26" s="15"/>
    </row>
    <row r="27" spans="1:17" hidden="1" x14ac:dyDescent="0.25">
      <c r="A27" s="15" t="s">
        <v>7</v>
      </c>
      <c r="B27" s="15" t="s">
        <v>561</v>
      </c>
      <c r="C27" s="15" t="s">
        <v>323</v>
      </c>
      <c r="D27" s="15" t="s">
        <v>329</v>
      </c>
      <c r="E27" s="15" t="s">
        <v>330</v>
      </c>
      <c r="F27" s="15"/>
      <c r="G27" s="15"/>
      <c r="H27" s="15"/>
      <c r="I27" s="15">
        <v>0</v>
      </c>
      <c r="J27" s="15">
        <v>0</v>
      </c>
      <c r="K27" s="15">
        <v>26286175.709999982</v>
      </c>
      <c r="L27" s="15">
        <v>11021748.269999998</v>
      </c>
      <c r="M27" s="15">
        <v>0</v>
      </c>
      <c r="N27" s="15">
        <v>0</v>
      </c>
      <c r="O27" s="15">
        <v>0</v>
      </c>
      <c r="P27" s="15">
        <v>0</v>
      </c>
      <c r="Q27" s="15"/>
    </row>
    <row r="28" spans="1:17" hidden="1" x14ac:dyDescent="0.25">
      <c r="A28" s="15" t="s">
        <v>7</v>
      </c>
      <c r="B28" s="15" t="s">
        <v>561</v>
      </c>
      <c r="C28" s="15" t="s">
        <v>323</v>
      </c>
      <c r="D28" s="15" t="s">
        <v>324</v>
      </c>
      <c r="E28" s="15" t="s">
        <v>325</v>
      </c>
      <c r="F28" s="15"/>
      <c r="G28" s="15"/>
      <c r="H28" s="15"/>
      <c r="I28" s="15">
        <v>0</v>
      </c>
      <c r="J28" s="15">
        <v>0</v>
      </c>
      <c r="K28" s="15">
        <v>0</v>
      </c>
      <c r="L28" s="15">
        <v>371171.09</v>
      </c>
      <c r="M28" s="15">
        <v>0</v>
      </c>
      <c r="N28" s="15">
        <v>0</v>
      </c>
      <c r="O28" s="15">
        <v>0</v>
      </c>
      <c r="P28" s="15">
        <v>0</v>
      </c>
      <c r="Q28" s="15"/>
    </row>
    <row r="29" spans="1:17" hidden="1" x14ac:dyDescent="0.25">
      <c r="A29" s="15" t="s">
        <v>7</v>
      </c>
      <c r="B29" s="15" t="s">
        <v>561</v>
      </c>
      <c r="C29" s="15" t="s">
        <v>323</v>
      </c>
      <c r="D29" s="15" t="s">
        <v>324</v>
      </c>
      <c r="E29" s="15" t="s">
        <v>325</v>
      </c>
      <c r="F29" s="15"/>
      <c r="G29" s="15"/>
      <c r="H29" s="15"/>
      <c r="I29" s="15">
        <v>0</v>
      </c>
      <c r="J29" s="15">
        <v>0</v>
      </c>
      <c r="K29" s="15">
        <v>0</v>
      </c>
      <c r="L29" s="15">
        <v>47580.24</v>
      </c>
      <c r="M29" s="15">
        <v>0</v>
      </c>
      <c r="N29" s="15">
        <v>0</v>
      </c>
      <c r="O29" s="15">
        <v>0</v>
      </c>
      <c r="P29" s="15">
        <v>0</v>
      </c>
      <c r="Q29" s="15"/>
    </row>
    <row r="30" spans="1:17" ht="30" hidden="1" x14ac:dyDescent="0.25">
      <c r="A30" s="15" t="s">
        <v>7</v>
      </c>
      <c r="B30" s="15" t="s">
        <v>561</v>
      </c>
      <c r="C30" s="15" t="s">
        <v>323</v>
      </c>
      <c r="D30" s="15" t="s">
        <v>324</v>
      </c>
      <c r="E30" s="15" t="s">
        <v>322</v>
      </c>
      <c r="F30" s="15">
        <v>1</v>
      </c>
      <c r="G30" s="15"/>
      <c r="H30" s="15"/>
      <c r="I30" s="15">
        <v>0</v>
      </c>
      <c r="J30" s="15">
        <v>0</v>
      </c>
      <c r="K30" s="15">
        <v>87719.900000000009</v>
      </c>
      <c r="L30" s="15">
        <v>68426.539999999994</v>
      </c>
      <c r="M30" s="15">
        <v>0</v>
      </c>
      <c r="N30" s="15">
        <v>0</v>
      </c>
      <c r="O30" s="15">
        <v>0</v>
      </c>
      <c r="P30" s="15">
        <v>0</v>
      </c>
      <c r="Q30" s="15"/>
    </row>
    <row r="31" spans="1:17" hidden="1" x14ac:dyDescent="0.25">
      <c r="A31" s="15" t="s">
        <v>7</v>
      </c>
      <c r="B31" s="15" t="s">
        <v>561</v>
      </c>
      <c r="C31" s="15" t="s">
        <v>323</v>
      </c>
      <c r="D31" s="15" t="s">
        <v>324</v>
      </c>
      <c r="E31" s="15" t="s">
        <v>325</v>
      </c>
      <c r="F31" s="15"/>
      <c r="G31" s="15"/>
      <c r="H31" s="15"/>
      <c r="I31" s="15">
        <v>0</v>
      </c>
      <c r="J31" s="15">
        <v>0</v>
      </c>
      <c r="K31" s="15">
        <v>0</v>
      </c>
      <c r="L31" s="15">
        <v>54846.799999999996</v>
      </c>
      <c r="M31" s="15">
        <v>0</v>
      </c>
      <c r="N31" s="15">
        <v>0</v>
      </c>
      <c r="O31" s="15">
        <v>0</v>
      </c>
      <c r="P31" s="15">
        <v>0</v>
      </c>
      <c r="Q31" s="15"/>
    </row>
    <row r="32" spans="1:17" hidden="1" x14ac:dyDescent="0.25">
      <c r="A32" s="15" t="s">
        <v>7</v>
      </c>
      <c r="B32" s="15" t="s">
        <v>561</v>
      </c>
      <c r="C32" s="15" t="s">
        <v>323</v>
      </c>
      <c r="D32" s="15" t="s">
        <v>329</v>
      </c>
      <c r="E32" s="15" t="s">
        <v>330</v>
      </c>
      <c r="F32" s="15"/>
      <c r="G32" s="15"/>
      <c r="H32" s="15"/>
      <c r="I32" s="15">
        <v>0</v>
      </c>
      <c r="J32" s="15">
        <v>0</v>
      </c>
      <c r="K32" s="15">
        <v>705614.96000000008</v>
      </c>
      <c r="L32" s="15">
        <v>18449570.049999993</v>
      </c>
      <c r="M32" s="15">
        <v>0</v>
      </c>
      <c r="N32" s="15">
        <v>0</v>
      </c>
      <c r="O32" s="15">
        <v>0</v>
      </c>
      <c r="P32" s="15">
        <v>0</v>
      </c>
      <c r="Q32" s="15"/>
    </row>
    <row r="33" spans="1:17" hidden="1" x14ac:dyDescent="0.25">
      <c r="A33" s="15" t="s">
        <v>7</v>
      </c>
      <c r="B33" s="15" t="s">
        <v>561</v>
      </c>
      <c r="C33" s="15" t="s">
        <v>323</v>
      </c>
      <c r="D33" s="15" t="s">
        <v>329</v>
      </c>
      <c r="E33" s="15" t="s">
        <v>330</v>
      </c>
      <c r="F33" s="15"/>
      <c r="G33" s="15"/>
      <c r="H33" s="15"/>
      <c r="I33" s="15">
        <v>0</v>
      </c>
      <c r="J33" s="15">
        <v>0</v>
      </c>
      <c r="K33" s="15">
        <v>304618.33</v>
      </c>
      <c r="L33" s="15">
        <v>70699872.200000003</v>
      </c>
      <c r="M33" s="15">
        <v>0</v>
      </c>
      <c r="N33" s="15">
        <v>0</v>
      </c>
      <c r="O33" s="15">
        <v>0</v>
      </c>
      <c r="P33" s="15">
        <v>0</v>
      </c>
      <c r="Q33" s="15"/>
    </row>
    <row r="34" spans="1:17" hidden="1" x14ac:dyDescent="0.25">
      <c r="A34" s="15" t="s">
        <v>7</v>
      </c>
      <c r="B34" s="15" t="s">
        <v>561</v>
      </c>
      <c r="C34" s="15" t="s">
        <v>323</v>
      </c>
      <c r="D34" s="15" t="s">
        <v>324</v>
      </c>
      <c r="E34" s="15" t="s">
        <v>325</v>
      </c>
      <c r="F34" s="15"/>
      <c r="G34" s="15"/>
      <c r="H34" s="15"/>
      <c r="I34" s="15">
        <v>0</v>
      </c>
      <c r="J34" s="15">
        <v>0</v>
      </c>
      <c r="K34" s="15">
        <v>0</v>
      </c>
      <c r="L34" s="15">
        <v>1520239.6600000001</v>
      </c>
      <c r="M34" s="15">
        <v>0</v>
      </c>
      <c r="N34" s="15">
        <v>0</v>
      </c>
      <c r="O34" s="15">
        <v>0</v>
      </c>
      <c r="P34" s="15">
        <v>0</v>
      </c>
      <c r="Q34" s="15"/>
    </row>
    <row r="35" spans="1:17" hidden="1" x14ac:dyDescent="0.25">
      <c r="A35" s="15" t="s">
        <v>7</v>
      </c>
      <c r="B35" s="15" t="s">
        <v>561</v>
      </c>
      <c r="C35" s="15" t="s">
        <v>323</v>
      </c>
      <c r="D35" s="15" t="s">
        <v>324</v>
      </c>
      <c r="E35" s="15" t="s">
        <v>325</v>
      </c>
      <c r="F35" s="15"/>
      <c r="G35" s="15"/>
      <c r="H35" s="15"/>
      <c r="I35" s="15">
        <v>0</v>
      </c>
      <c r="J35" s="15">
        <v>0</v>
      </c>
      <c r="K35" s="15">
        <v>0</v>
      </c>
      <c r="L35" s="15">
        <v>8470784.9499999974</v>
      </c>
      <c r="M35" s="15">
        <v>0</v>
      </c>
      <c r="N35" s="15">
        <v>0</v>
      </c>
      <c r="O35" s="15">
        <v>0</v>
      </c>
      <c r="P35" s="15">
        <v>0</v>
      </c>
      <c r="Q35" s="15"/>
    </row>
    <row r="36" spans="1:17" hidden="1" x14ac:dyDescent="0.25">
      <c r="A36" s="15" t="s">
        <v>7</v>
      </c>
      <c r="B36" s="15" t="s">
        <v>561</v>
      </c>
      <c r="C36" s="15" t="s">
        <v>323</v>
      </c>
      <c r="D36" s="15" t="s">
        <v>324</v>
      </c>
      <c r="E36" s="15" t="s">
        <v>325</v>
      </c>
      <c r="F36" s="15"/>
      <c r="G36" s="15"/>
      <c r="H36" s="15"/>
      <c r="I36" s="15">
        <v>0</v>
      </c>
      <c r="J36" s="15">
        <v>0</v>
      </c>
      <c r="K36" s="15">
        <v>0</v>
      </c>
      <c r="L36" s="15">
        <v>74381.34</v>
      </c>
      <c r="M36" s="15">
        <v>0</v>
      </c>
      <c r="N36" s="15">
        <v>0</v>
      </c>
      <c r="O36" s="15">
        <v>0</v>
      </c>
      <c r="P36" s="15">
        <v>0</v>
      </c>
      <c r="Q36" s="15"/>
    </row>
    <row r="37" spans="1:17" ht="30" hidden="1" x14ac:dyDescent="0.25">
      <c r="A37" s="15" t="s">
        <v>7</v>
      </c>
      <c r="B37" s="15" t="s">
        <v>561</v>
      </c>
      <c r="C37" s="15" t="s">
        <v>318</v>
      </c>
      <c r="D37" s="15" t="s">
        <v>327</v>
      </c>
      <c r="E37" s="15" t="s">
        <v>322</v>
      </c>
      <c r="F37" s="15"/>
      <c r="G37" s="15"/>
      <c r="H37" s="15"/>
      <c r="I37" s="15">
        <v>0</v>
      </c>
      <c r="J37" s="15">
        <v>2268781.3500000006</v>
      </c>
      <c r="K37" s="15">
        <v>0</v>
      </c>
      <c r="L37" s="15">
        <v>41559387.57</v>
      </c>
      <c r="M37" s="15">
        <v>0</v>
      </c>
      <c r="N37" s="15">
        <v>109321797.52999994</v>
      </c>
      <c r="O37" s="15">
        <v>0</v>
      </c>
      <c r="P37" s="15">
        <v>0</v>
      </c>
      <c r="Q37" s="15"/>
    </row>
    <row r="38" spans="1:17" hidden="1" x14ac:dyDescent="0.25">
      <c r="A38" s="15" t="s">
        <v>7</v>
      </c>
      <c r="B38" s="15" t="s">
        <v>561</v>
      </c>
      <c r="C38" s="15" t="s">
        <v>323</v>
      </c>
      <c r="D38" s="15" t="s">
        <v>324</v>
      </c>
      <c r="E38" s="15" t="s">
        <v>325</v>
      </c>
      <c r="F38" s="15"/>
      <c r="G38" s="15"/>
      <c r="H38" s="15"/>
      <c r="I38" s="15">
        <v>0</v>
      </c>
      <c r="J38" s="15">
        <v>0</v>
      </c>
      <c r="K38" s="15">
        <v>0</v>
      </c>
      <c r="L38" s="15">
        <v>7381.7999999999993</v>
      </c>
      <c r="M38" s="15">
        <v>0</v>
      </c>
      <c r="N38" s="15">
        <v>0</v>
      </c>
      <c r="O38" s="15">
        <v>0</v>
      </c>
      <c r="P38" s="15">
        <v>0</v>
      </c>
      <c r="Q38" s="15"/>
    </row>
    <row r="39" spans="1:17" hidden="1" x14ac:dyDescent="0.25">
      <c r="A39" s="15" t="s">
        <v>7</v>
      </c>
      <c r="B39" s="15" t="s">
        <v>561</v>
      </c>
      <c r="C39" s="15" t="s">
        <v>323</v>
      </c>
      <c r="D39" s="15" t="s">
        <v>329</v>
      </c>
      <c r="E39" s="15" t="s">
        <v>330</v>
      </c>
      <c r="F39" s="15"/>
      <c r="G39" s="15"/>
      <c r="H39" s="15"/>
      <c r="I39" s="15">
        <v>0</v>
      </c>
      <c r="J39" s="15">
        <v>16865038.440000001</v>
      </c>
      <c r="K39" s="15">
        <v>886166.9800000001</v>
      </c>
      <c r="L39" s="15">
        <v>125038.38</v>
      </c>
      <c r="M39" s="15">
        <v>0</v>
      </c>
      <c r="N39" s="15">
        <v>0</v>
      </c>
      <c r="O39" s="15">
        <v>0</v>
      </c>
      <c r="P39" s="15">
        <v>0</v>
      </c>
      <c r="Q39" s="15"/>
    </row>
    <row r="40" spans="1:17" ht="30" hidden="1" x14ac:dyDescent="0.25">
      <c r="A40" s="15" t="s">
        <v>7</v>
      </c>
      <c r="B40" s="15" t="s">
        <v>561</v>
      </c>
      <c r="C40" s="15" t="s">
        <v>318</v>
      </c>
      <c r="D40" s="15" t="s">
        <v>327</v>
      </c>
      <c r="E40" s="15" t="s">
        <v>322</v>
      </c>
      <c r="F40" s="15"/>
      <c r="G40" s="15"/>
      <c r="H40" s="15"/>
      <c r="I40" s="15">
        <v>0</v>
      </c>
      <c r="J40" s="15">
        <v>0</v>
      </c>
      <c r="K40" s="15">
        <v>0</v>
      </c>
      <c r="L40" s="15">
        <v>2572223.2800000003</v>
      </c>
      <c r="M40" s="15">
        <v>0</v>
      </c>
      <c r="N40" s="15">
        <v>85074102.199999973</v>
      </c>
      <c r="O40" s="15">
        <v>0</v>
      </c>
      <c r="P40" s="15">
        <v>0</v>
      </c>
      <c r="Q40" s="15"/>
    </row>
    <row r="41" spans="1:17" ht="30" hidden="1" x14ac:dyDescent="0.25">
      <c r="A41" s="15" t="s">
        <v>7</v>
      </c>
      <c r="B41" s="15" t="s">
        <v>561</v>
      </c>
      <c r="C41" s="15" t="s">
        <v>318</v>
      </c>
      <c r="D41" s="15" t="s">
        <v>331</v>
      </c>
      <c r="E41" s="15" t="s">
        <v>322</v>
      </c>
      <c r="F41" s="15"/>
      <c r="G41" s="15"/>
      <c r="H41" s="15"/>
      <c r="I41" s="15">
        <v>0</v>
      </c>
      <c r="J41" s="15">
        <v>0</v>
      </c>
      <c r="K41" s="15">
        <v>0</v>
      </c>
      <c r="L41" s="15">
        <v>2572223.2800000003</v>
      </c>
      <c r="M41" s="15">
        <v>0</v>
      </c>
      <c r="N41" s="15">
        <v>67792885.019999981</v>
      </c>
      <c r="O41" s="15">
        <v>0</v>
      </c>
      <c r="P41" s="15">
        <v>0</v>
      </c>
      <c r="Q41" s="15"/>
    </row>
    <row r="42" spans="1:17" hidden="1" x14ac:dyDescent="0.25">
      <c r="A42" s="15" t="s">
        <v>7</v>
      </c>
      <c r="B42" s="15" t="s">
        <v>561</v>
      </c>
      <c r="C42" s="15" t="s">
        <v>323</v>
      </c>
      <c r="D42" s="15" t="s">
        <v>324</v>
      </c>
      <c r="E42" s="15" t="s">
        <v>325</v>
      </c>
      <c r="F42" s="15"/>
      <c r="G42" s="15"/>
      <c r="H42" s="15"/>
      <c r="I42" s="15">
        <v>0</v>
      </c>
      <c r="J42" s="15">
        <v>0</v>
      </c>
      <c r="K42" s="15">
        <v>0</v>
      </c>
      <c r="L42" s="15">
        <v>113749.7</v>
      </c>
      <c r="M42" s="15">
        <v>0</v>
      </c>
      <c r="N42" s="15">
        <v>0</v>
      </c>
      <c r="O42" s="15">
        <v>0</v>
      </c>
      <c r="P42" s="15">
        <v>0</v>
      </c>
      <c r="Q42" s="15"/>
    </row>
    <row r="43" spans="1:17" hidden="1" x14ac:dyDescent="0.25">
      <c r="A43" s="15" t="s">
        <v>7</v>
      </c>
      <c r="B43" s="15" t="s">
        <v>561</v>
      </c>
      <c r="C43" s="15" t="s">
        <v>323</v>
      </c>
      <c r="D43" s="15" t="s">
        <v>324</v>
      </c>
      <c r="E43" s="15" t="s">
        <v>325</v>
      </c>
      <c r="F43" s="15"/>
      <c r="G43" s="15"/>
      <c r="H43" s="15"/>
      <c r="I43" s="15">
        <v>0</v>
      </c>
      <c r="J43" s="15">
        <v>0</v>
      </c>
      <c r="K43" s="15">
        <v>0</v>
      </c>
      <c r="L43" s="15">
        <v>2460.6</v>
      </c>
      <c r="M43" s="15">
        <v>0</v>
      </c>
      <c r="N43" s="15">
        <v>0</v>
      </c>
      <c r="O43" s="15">
        <v>0</v>
      </c>
      <c r="P43" s="15">
        <v>0</v>
      </c>
      <c r="Q43" s="15"/>
    </row>
    <row r="44" spans="1:17" hidden="1" x14ac:dyDescent="0.25">
      <c r="A44" s="15" t="s">
        <v>7</v>
      </c>
      <c r="B44" s="15" t="s">
        <v>561</v>
      </c>
      <c r="C44" s="15" t="s">
        <v>323</v>
      </c>
      <c r="D44" s="15" t="s">
        <v>329</v>
      </c>
      <c r="E44" s="15" t="s">
        <v>330</v>
      </c>
      <c r="F44" s="15">
        <v>1</v>
      </c>
      <c r="G44" s="15"/>
      <c r="H44" s="15"/>
      <c r="I44" s="15">
        <v>0</v>
      </c>
      <c r="J44" s="15">
        <v>0</v>
      </c>
      <c r="K44" s="15">
        <v>0</v>
      </c>
      <c r="L44" s="15">
        <v>1531398.9</v>
      </c>
      <c r="M44" s="15">
        <v>0</v>
      </c>
      <c r="N44" s="15">
        <v>0</v>
      </c>
      <c r="O44" s="15">
        <v>3208724.3721000003</v>
      </c>
      <c r="P44" s="15">
        <v>0</v>
      </c>
      <c r="Q44" s="15"/>
    </row>
    <row r="45" spans="1:17" hidden="1" x14ac:dyDescent="0.25">
      <c r="A45" s="15" t="s">
        <v>7</v>
      </c>
      <c r="B45" s="15" t="s">
        <v>561</v>
      </c>
      <c r="C45" s="15" t="s">
        <v>323</v>
      </c>
      <c r="D45" s="15" t="s">
        <v>324</v>
      </c>
      <c r="E45" s="15" t="s">
        <v>325</v>
      </c>
      <c r="F45" s="15"/>
      <c r="G45" s="15"/>
      <c r="H45" s="15"/>
      <c r="I45" s="15">
        <v>0</v>
      </c>
      <c r="J45" s="15">
        <v>35998.819999999992</v>
      </c>
      <c r="K45" s="15">
        <v>0</v>
      </c>
      <c r="L45" s="15">
        <v>9500000</v>
      </c>
      <c r="M45" s="15">
        <v>0</v>
      </c>
      <c r="N45" s="15">
        <v>0</v>
      </c>
      <c r="O45" s="15">
        <v>0</v>
      </c>
      <c r="P45" s="15">
        <v>0</v>
      </c>
      <c r="Q45" s="15"/>
    </row>
    <row r="46" spans="1:17" hidden="1" x14ac:dyDescent="0.25">
      <c r="A46" s="15" t="s">
        <v>333</v>
      </c>
      <c r="B46" s="15" t="s">
        <v>561</v>
      </c>
      <c r="C46" s="15" t="s">
        <v>323</v>
      </c>
      <c r="D46" s="15" t="s">
        <v>324</v>
      </c>
      <c r="E46" s="15" t="s">
        <v>325</v>
      </c>
      <c r="F46" s="15"/>
      <c r="G46" s="15"/>
      <c r="H46" s="15"/>
      <c r="I46" s="15">
        <v>0</v>
      </c>
      <c r="J46" s="15">
        <v>566466.16</v>
      </c>
      <c r="K46" s="15">
        <v>0</v>
      </c>
      <c r="L46" s="15">
        <v>101427.09999999998</v>
      </c>
      <c r="M46" s="15">
        <v>0</v>
      </c>
      <c r="N46" s="15">
        <v>4983223.1399999978</v>
      </c>
      <c r="O46" s="15">
        <v>0</v>
      </c>
      <c r="P46" s="15">
        <v>0</v>
      </c>
      <c r="Q46" s="15"/>
    </row>
    <row r="47" spans="1:17" ht="30" hidden="1" x14ac:dyDescent="0.25">
      <c r="A47" s="15" t="s">
        <v>333</v>
      </c>
      <c r="B47" s="15" t="s">
        <v>561</v>
      </c>
      <c r="C47" s="15" t="s">
        <v>323</v>
      </c>
      <c r="D47" s="15" t="s">
        <v>329</v>
      </c>
      <c r="E47" s="15" t="s">
        <v>322</v>
      </c>
      <c r="F47" s="15"/>
      <c r="G47" s="15"/>
      <c r="H47" s="15"/>
      <c r="I47" s="15">
        <v>0</v>
      </c>
      <c r="J47" s="15">
        <v>0</v>
      </c>
      <c r="K47" s="15">
        <v>120703.57999999999</v>
      </c>
      <c r="L47" s="15">
        <v>397389.71999999991</v>
      </c>
      <c r="M47" s="15">
        <v>0</v>
      </c>
      <c r="N47" s="15">
        <v>0</v>
      </c>
      <c r="O47" s="15">
        <v>0</v>
      </c>
      <c r="P47" s="15">
        <v>0</v>
      </c>
      <c r="Q47" s="15"/>
    </row>
    <row r="48" spans="1:17" hidden="1" x14ac:dyDescent="0.25">
      <c r="A48" s="15" t="s">
        <v>333</v>
      </c>
      <c r="B48" s="15" t="s">
        <v>561</v>
      </c>
      <c r="C48" s="15" t="s">
        <v>323</v>
      </c>
      <c r="D48" s="15" t="s">
        <v>324</v>
      </c>
      <c r="E48" s="15" t="s">
        <v>325</v>
      </c>
      <c r="F48" s="15"/>
      <c r="G48" s="15"/>
      <c r="H48" s="15"/>
      <c r="I48" s="15">
        <v>0</v>
      </c>
      <c r="J48" s="15">
        <v>16695851.649999999</v>
      </c>
      <c r="K48" s="15">
        <v>71189.710000000021</v>
      </c>
      <c r="L48" s="15">
        <v>85800621.210000008</v>
      </c>
      <c r="M48" s="15">
        <v>0</v>
      </c>
      <c r="N48" s="15">
        <v>0</v>
      </c>
      <c r="O48" s="15">
        <v>0</v>
      </c>
      <c r="P48" s="15">
        <v>0</v>
      </c>
      <c r="Q48" s="15"/>
    </row>
    <row r="49" spans="1:17" hidden="1" x14ac:dyDescent="0.25">
      <c r="A49" s="15" t="s">
        <v>333</v>
      </c>
      <c r="B49" s="15" t="s">
        <v>561</v>
      </c>
      <c r="C49" s="15" t="s">
        <v>323</v>
      </c>
      <c r="D49" s="15" t="s">
        <v>329</v>
      </c>
      <c r="E49" s="15" t="s">
        <v>330</v>
      </c>
      <c r="F49" s="15"/>
      <c r="G49" s="15"/>
      <c r="H49" s="15"/>
      <c r="I49" s="15">
        <v>0</v>
      </c>
      <c r="J49" s="15">
        <v>0</v>
      </c>
      <c r="K49" s="15">
        <v>85685187.23999998</v>
      </c>
      <c r="L49" s="15">
        <v>5272787.08</v>
      </c>
      <c r="M49" s="15">
        <v>0</v>
      </c>
      <c r="N49" s="15">
        <v>0</v>
      </c>
      <c r="O49" s="15">
        <v>0</v>
      </c>
      <c r="P49" s="15">
        <v>0</v>
      </c>
      <c r="Q49" s="15"/>
    </row>
    <row r="50" spans="1:17" hidden="1" x14ac:dyDescent="0.25">
      <c r="A50" s="15" t="s">
        <v>333</v>
      </c>
      <c r="B50" s="15" t="s">
        <v>561</v>
      </c>
      <c r="C50" s="15" t="s">
        <v>323</v>
      </c>
      <c r="D50" s="15" t="s">
        <v>324</v>
      </c>
      <c r="E50" s="15" t="s">
        <v>325</v>
      </c>
      <c r="F50" s="15"/>
      <c r="G50" s="15"/>
      <c r="H50" s="15"/>
      <c r="I50" s="15">
        <v>0</v>
      </c>
      <c r="J50" s="15">
        <v>0</v>
      </c>
      <c r="K50" s="15">
        <v>0</v>
      </c>
      <c r="L50" s="15">
        <v>165427.24999999997</v>
      </c>
      <c r="M50" s="15">
        <v>0</v>
      </c>
      <c r="N50" s="15">
        <v>0</v>
      </c>
      <c r="O50" s="15">
        <v>0</v>
      </c>
      <c r="P50" s="15">
        <v>0</v>
      </c>
      <c r="Q50" s="15"/>
    </row>
    <row r="51" spans="1:17" ht="30" hidden="1" x14ac:dyDescent="0.25">
      <c r="A51" s="15" t="s">
        <v>333</v>
      </c>
      <c r="B51" s="15" t="s">
        <v>561</v>
      </c>
      <c r="C51" s="15" t="s">
        <v>318</v>
      </c>
      <c r="D51" s="15" t="s">
        <v>331</v>
      </c>
      <c r="E51" s="15" t="s">
        <v>322</v>
      </c>
      <c r="F51" s="15"/>
      <c r="G51" s="15"/>
      <c r="H51" s="15"/>
      <c r="I51" s="15">
        <v>0</v>
      </c>
      <c r="J51" s="15">
        <v>0</v>
      </c>
      <c r="K51" s="15">
        <v>999864.46999999986</v>
      </c>
      <c r="L51" s="15">
        <v>155721.815</v>
      </c>
      <c r="M51" s="15">
        <v>0</v>
      </c>
      <c r="N51" s="15">
        <v>7046878.6800000081</v>
      </c>
      <c r="O51" s="15">
        <v>0</v>
      </c>
      <c r="P51" s="15">
        <v>0</v>
      </c>
      <c r="Q51" s="15"/>
    </row>
    <row r="52" spans="1:17" hidden="1" x14ac:dyDescent="0.25">
      <c r="A52" s="15" t="s">
        <v>333</v>
      </c>
      <c r="B52" s="15" t="s">
        <v>561</v>
      </c>
      <c r="C52" s="15" t="s">
        <v>323</v>
      </c>
      <c r="D52" s="15" t="s">
        <v>324</v>
      </c>
      <c r="E52" s="15" t="s">
        <v>325</v>
      </c>
      <c r="F52" s="15"/>
      <c r="G52" s="15"/>
      <c r="H52" s="15"/>
      <c r="I52" s="15">
        <v>0</v>
      </c>
      <c r="J52" s="15">
        <v>0</v>
      </c>
      <c r="K52" s="15">
        <v>6943.3199999999988</v>
      </c>
      <c r="L52" s="15">
        <v>10388589.640000002</v>
      </c>
      <c r="M52" s="15">
        <v>0</v>
      </c>
      <c r="N52" s="15">
        <v>0</v>
      </c>
      <c r="O52" s="15">
        <v>0</v>
      </c>
      <c r="P52" s="15">
        <v>0</v>
      </c>
      <c r="Q52" s="15"/>
    </row>
    <row r="53" spans="1:17" hidden="1" x14ac:dyDescent="0.25">
      <c r="A53" s="15" t="s">
        <v>333</v>
      </c>
      <c r="B53" s="15" t="s">
        <v>561</v>
      </c>
      <c r="C53" s="15" t="s">
        <v>323</v>
      </c>
      <c r="D53" s="15" t="s">
        <v>324</v>
      </c>
      <c r="E53" s="15" t="s">
        <v>325</v>
      </c>
      <c r="F53" s="15"/>
      <c r="G53" s="15"/>
      <c r="H53" s="15"/>
      <c r="I53" s="15">
        <v>0</v>
      </c>
      <c r="J53" s="15">
        <v>0</v>
      </c>
      <c r="K53" s="15">
        <v>0</v>
      </c>
      <c r="L53" s="15">
        <v>311135.37</v>
      </c>
      <c r="M53" s="15">
        <v>0</v>
      </c>
      <c r="N53" s="15">
        <v>0</v>
      </c>
      <c r="O53" s="15">
        <v>0</v>
      </c>
      <c r="P53" s="15">
        <v>0</v>
      </c>
      <c r="Q53" s="15"/>
    </row>
    <row r="54" spans="1:17" ht="30" hidden="1" x14ac:dyDescent="0.25">
      <c r="A54" s="15" t="s">
        <v>333</v>
      </c>
      <c r="B54" s="15" t="s">
        <v>561</v>
      </c>
      <c r="C54" s="15" t="s">
        <v>323</v>
      </c>
      <c r="D54" s="15" t="s">
        <v>324</v>
      </c>
      <c r="E54" s="15" t="s">
        <v>322</v>
      </c>
      <c r="F54" s="15"/>
      <c r="G54" s="15"/>
      <c r="H54" s="15"/>
      <c r="I54" s="15">
        <v>0</v>
      </c>
      <c r="J54" s="15">
        <v>0</v>
      </c>
      <c r="K54" s="15">
        <v>4845344.1499999985</v>
      </c>
      <c r="L54" s="15">
        <v>137176.10999999999</v>
      </c>
      <c r="M54" s="15">
        <v>0</v>
      </c>
      <c r="N54" s="15">
        <v>0</v>
      </c>
      <c r="O54" s="15">
        <v>0</v>
      </c>
      <c r="P54" s="15">
        <v>0</v>
      </c>
      <c r="Q54" s="15"/>
    </row>
    <row r="55" spans="1:17" hidden="1" x14ac:dyDescent="0.25">
      <c r="A55" s="15" t="s">
        <v>333</v>
      </c>
      <c r="B55" s="15" t="s">
        <v>561</v>
      </c>
      <c r="C55" s="15" t="s">
        <v>323</v>
      </c>
      <c r="D55" s="15" t="s">
        <v>324</v>
      </c>
      <c r="E55" s="15" t="s">
        <v>325</v>
      </c>
      <c r="F55" s="15"/>
      <c r="G55" s="15"/>
      <c r="H55" s="15"/>
      <c r="I55" s="15">
        <v>0</v>
      </c>
      <c r="J55" s="15">
        <v>0</v>
      </c>
      <c r="K55" s="15">
        <v>0</v>
      </c>
      <c r="L55" s="15">
        <v>408997.65000000014</v>
      </c>
      <c r="M55" s="15">
        <v>0</v>
      </c>
      <c r="N55" s="15">
        <v>0</v>
      </c>
      <c r="O55" s="15">
        <v>0</v>
      </c>
      <c r="P55" s="15">
        <v>0</v>
      </c>
      <c r="Q55" s="15"/>
    </row>
    <row r="56" spans="1:17" hidden="1" x14ac:dyDescent="0.25">
      <c r="A56" s="15" t="s">
        <v>333</v>
      </c>
      <c r="B56" s="15" t="s">
        <v>561</v>
      </c>
      <c r="C56" s="15" t="s">
        <v>323</v>
      </c>
      <c r="D56" s="15" t="s">
        <v>329</v>
      </c>
      <c r="E56" s="15" t="s">
        <v>330</v>
      </c>
      <c r="F56" s="15"/>
      <c r="G56" s="15"/>
      <c r="H56" s="15"/>
      <c r="I56" s="15">
        <v>0</v>
      </c>
      <c r="J56" s="15">
        <v>0</v>
      </c>
      <c r="K56" s="15">
        <v>3081161.5200000005</v>
      </c>
      <c r="L56" s="15">
        <v>74616016.360000014</v>
      </c>
      <c r="M56" s="15">
        <v>0</v>
      </c>
      <c r="N56" s="15">
        <v>0</v>
      </c>
      <c r="O56" s="15">
        <v>0</v>
      </c>
      <c r="P56" s="15">
        <v>0</v>
      </c>
      <c r="Q56" s="15"/>
    </row>
    <row r="57" spans="1:17" hidden="1" x14ac:dyDescent="0.25">
      <c r="A57" s="15" t="s">
        <v>333</v>
      </c>
      <c r="B57" s="15" t="s">
        <v>561</v>
      </c>
      <c r="C57" s="15" t="s">
        <v>323</v>
      </c>
      <c r="D57" s="15" t="s">
        <v>329</v>
      </c>
      <c r="E57" s="15" t="s">
        <v>330</v>
      </c>
      <c r="F57" s="15"/>
      <c r="G57" s="15"/>
      <c r="H57" s="15"/>
      <c r="I57" s="15">
        <v>0</v>
      </c>
      <c r="J57" s="15">
        <v>26855371.18</v>
      </c>
      <c r="K57" s="15">
        <v>350754.54</v>
      </c>
      <c r="L57" s="15">
        <v>57941924.849999994</v>
      </c>
      <c r="M57" s="15">
        <v>0</v>
      </c>
      <c r="N57" s="15">
        <v>0</v>
      </c>
      <c r="O57" s="15">
        <v>0</v>
      </c>
      <c r="P57" s="15">
        <v>0</v>
      </c>
      <c r="Q57" s="15"/>
    </row>
    <row r="58" spans="1:17" hidden="1" x14ac:dyDescent="0.25">
      <c r="A58" s="15" t="s">
        <v>333</v>
      </c>
      <c r="B58" s="15" t="s">
        <v>561</v>
      </c>
      <c r="C58" s="15" t="s">
        <v>323</v>
      </c>
      <c r="D58" s="15" t="s">
        <v>324</v>
      </c>
      <c r="E58" s="15" t="s">
        <v>325</v>
      </c>
      <c r="F58" s="15"/>
      <c r="G58" s="15"/>
      <c r="H58" s="15"/>
      <c r="I58" s="15">
        <v>0</v>
      </c>
      <c r="J58" s="15">
        <v>5204556.9600000037</v>
      </c>
      <c r="K58" s="15">
        <v>0</v>
      </c>
      <c r="L58" s="15">
        <v>14969645.509999998</v>
      </c>
      <c r="M58" s="15">
        <v>0</v>
      </c>
      <c r="N58" s="15">
        <v>0</v>
      </c>
      <c r="O58" s="15">
        <v>0</v>
      </c>
      <c r="P58" s="15">
        <v>0</v>
      </c>
      <c r="Q58" s="15"/>
    </row>
    <row r="59" spans="1:17" hidden="1" x14ac:dyDescent="0.25">
      <c r="A59" s="15" t="s">
        <v>333</v>
      </c>
      <c r="B59" s="15" t="s">
        <v>561</v>
      </c>
      <c r="C59" s="15" t="s">
        <v>323</v>
      </c>
      <c r="D59" s="15" t="s">
        <v>324</v>
      </c>
      <c r="E59" s="15" t="s">
        <v>325</v>
      </c>
      <c r="F59" s="15"/>
      <c r="G59" s="15"/>
      <c r="H59" s="15"/>
      <c r="I59" s="15">
        <v>0</v>
      </c>
      <c r="J59" s="15">
        <v>0</v>
      </c>
      <c r="K59" s="15">
        <v>0</v>
      </c>
      <c r="L59" s="15">
        <v>149566469.50999999</v>
      </c>
      <c r="M59" s="15">
        <v>0</v>
      </c>
      <c r="N59" s="15">
        <v>0</v>
      </c>
      <c r="O59" s="15">
        <v>0</v>
      </c>
      <c r="P59" s="15">
        <v>0</v>
      </c>
      <c r="Q59" s="15"/>
    </row>
    <row r="60" spans="1:17" hidden="1" x14ac:dyDescent="0.25">
      <c r="A60" s="15" t="s">
        <v>333</v>
      </c>
      <c r="B60" s="15" t="s">
        <v>561</v>
      </c>
      <c r="C60" s="15" t="s">
        <v>323</v>
      </c>
      <c r="D60" s="15" t="s">
        <v>324</v>
      </c>
      <c r="E60" s="15" t="s">
        <v>325</v>
      </c>
      <c r="F60" s="15"/>
      <c r="G60" s="15"/>
      <c r="H60" s="15"/>
      <c r="I60" s="15">
        <v>0</v>
      </c>
      <c r="J60" s="15">
        <v>0</v>
      </c>
      <c r="K60" s="15">
        <v>0</v>
      </c>
      <c r="L60" s="15">
        <v>76737.759999999995</v>
      </c>
      <c r="M60" s="15">
        <v>0</v>
      </c>
      <c r="N60" s="15">
        <v>0</v>
      </c>
      <c r="O60" s="15">
        <v>0</v>
      </c>
      <c r="P60" s="15">
        <v>0</v>
      </c>
      <c r="Q60" s="15"/>
    </row>
    <row r="61" spans="1:17" ht="30" hidden="1" x14ac:dyDescent="0.25">
      <c r="A61" s="15" t="s">
        <v>333</v>
      </c>
      <c r="B61" s="15" t="s">
        <v>561</v>
      </c>
      <c r="C61" s="15" t="s">
        <v>318</v>
      </c>
      <c r="D61" s="15" t="s">
        <v>331</v>
      </c>
      <c r="E61" s="15" t="s">
        <v>322</v>
      </c>
      <c r="F61" s="15"/>
      <c r="G61" s="15"/>
      <c r="H61" s="15"/>
      <c r="I61" s="15">
        <v>0</v>
      </c>
      <c r="J61" s="15">
        <v>0</v>
      </c>
      <c r="K61" s="15">
        <v>744141.68999998644</v>
      </c>
      <c r="L61" s="15">
        <v>138685329.41000003</v>
      </c>
      <c r="M61" s="15">
        <v>0</v>
      </c>
      <c r="N61" s="15">
        <v>696849.14</v>
      </c>
      <c r="O61" s="15">
        <v>0</v>
      </c>
      <c r="P61" s="15">
        <v>0</v>
      </c>
      <c r="Q61" s="15"/>
    </row>
    <row r="62" spans="1:17" hidden="1" x14ac:dyDescent="0.25">
      <c r="A62" s="15" t="s">
        <v>333</v>
      </c>
      <c r="B62" s="15" t="s">
        <v>561</v>
      </c>
      <c r="C62" s="15" t="s">
        <v>323</v>
      </c>
      <c r="D62" s="15" t="s">
        <v>324</v>
      </c>
      <c r="E62" s="15" t="s">
        <v>325</v>
      </c>
      <c r="F62" s="15"/>
      <c r="G62" s="15"/>
      <c r="H62" s="15"/>
      <c r="I62" s="15">
        <v>0</v>
      </c>
      <c r="J62" s="15">
        <v>0</v>
      </c>
      <c r="K62" s="15">
        <v>0</v>
      </c>
      <c r="L62" s="15">
        <v>420271.38</v>
      </c>
      <c r="M62" s="15">
        <v>0</v>
      </c>
      <c r="N62" s="15">
        <v>0</v>
      </c>
      <c r="O62" s="15">
        <v>0</v>
      </c>
      <c r="P62" s="15">
        <v>0</v>
      </c>
      <c r="Q62" s="15"/>
    </row>
    <row r="63" spans="1:17" hidden="1" x14ac:dyDescent="0.25">
      <c r="A63" s="15" t="s">
        <v>333</v>
      </c>
      <c r="B63" s="15" t="s">
        <v>561</v>
      </c>
      <c r="C63" s="15" t="s">
        <v>323</v>
      </c>
      <c r="D63" s="15" t="s">
        <v>329</v>
      </c>
      <c r="E63" s="15" t="s">
        <v>330</v>
      </c>
      <c r="F63" s="15"/>
      <c r="G63" s="15"/>
      <c r="H63" s="15"/>
      <c r="I63" s="15">
        <v>0</v>
      </c>
      <c r="J63" s="15">
        <v>0</v>
      </c>
      <c r="K63" s="15">
        <v>0</v>
      </c>
      <c r="L63" s="15">
        <v>30561.46</v>
      </c>
      <c r="M63" s="15">
        <v>0</v>
      </c>
      <c r="N63" s="15">
        <v>0</v>
      </c>
      <c r="O63" s="15">
        <v>0</v>
      </c>
      <c r="P63" s="15">
        <v>0</v>
      </c>
      <c r="Q63" s="15"/>
    </row>
    <row r="64" spans="1:17" hidden="1" x14ac:dyDescent="0.25">
      <c r="A64" s="15" t="s">
        <v>333</v>
      </c>
      <c r="B64" s="15" t="s">
        <v>561</v>
      </c>
      <c r="C64" s="15" t="s">
        <v>323</v>
      </c>
      <c r="D64" s="15" t="s">
        <v>324</v>
      </c>
      <c r="E64" s="15" t="s">
        <v>325</v>
      </c>
      <c r="F64" s="15"/>
      <c r="G64" s="15"/>
      <c r="H64" s="15"/>
      <c r="I64" s="15">
        <v>0</v>
      </c>
      <c r="J64" s="15">
        <v>0</v>
      </c>
      <c r="K64" s="15">
        <v>0</v>
      </c>
      <c r="L64" s="15">
        <v>163640.16999999998</v>
      </c>
      <c r="M64" s="15">
        <v>0</v>
      </c>
      <c r="N64" s="15">
        <v>0</v>
      </c>
      <c r="O64" s="15">
        <v>0</v>
      </c>
      <c r="P64" s="15">
        <v>0</v>
      </c>
      <c r="Q64" s="15"/>
    </row>
    <row r="65" spans="1:17" ht="30" hidden="1" x14ac:dyDescent="0.25">
      <c r="A65" s="15" t="s">
        <v>333</v>
      </c>
      <c r="B65" s="15" t="s">
        <v>561</v>
      </c>
      <c r="C65" s="15" t="s">
        <v>318</v>
      </c>
      <c r="D65" s="15" t="s">
        <v>327</v>
      </c>
      <c r="E65" s="15" t="s">
        <v>322</v>
      </c>
      <c r="F65" s="15"/>
      <c r="G65" s="15"/>
      <c r="H65" s="15"/>
      <c r="I65" s="15">
        <v>0</v>
      </c>
      <c r="J65" s="15">
        <v>0</v>
      </c>
      <c r="K65" s="15">
        <v>136413.45000000112</v>
      </c>
      <c r="L65" s="15">
        <v>67124558.00999999</v>
      </c>
      <c r="M65" s="15">
        <v>0</v>
      </c>
      <c r="N65" s="15">
        <v>4154461.5100000035</v>
      </c>
      <c r="O65" s="15">
        <v>0</v>
      </c>
      <c r="P65" s="15">
        <v>0</v>
      </c>
      <c r="Q65" s="15"/>
    </row>
    <row r="66" spans="1:17" hidden="1" x14ac:dyDescent="0.25">
      <c r="A66" s="15" t="s">
        <v>333</v>
      </c>
      <c r="B66" s="15" t="s">
        <v>561</v>
      </c>
      <c r="C66" s="15" t="s">
        <v>323</v>
      </c>
      <c r="D66" s="15" t="s">
        <v>324</v>
      </c>
      <c r="E66" s="15" t="s">
        <v>325</v>
      </c>
      <c r="F66" s="15"/>
      <c r="G66" s="15"/>
      <c r="H66" s="15"/>
      <c r="I66" s="15">
        <v>0</v>
      </c>
      <c r="J66" s="15">
        <v>0</v>
      </c>
      <c r="K66" s="15">
        <v>835.28</v>
      </c>
      <c r="L66" s="15">
        <v>78450.569999999992</v>
      </c>
      <c r="M66" s="15">
        <v>0</v>
      </c>
      <c r="N66" s="15">
        <v>0</v>
      </c>
      <c r="O66" s="15">
        <v>0</v>
      </c>
      <c r="P66" s="15">
        <v>0</v>
      </c>
      <c r="Q66" s="15"/>
    </row>
    <row r="67" spans="1:17" hidden="1" x14ac:dyDescent="0.25">
      <c r="A67" s="15" t="s">
        <v>333</v>
      </c>
      <c r="B67" s="15" t="s">
        <v>561</v>
      </c>
      <c r="C67" s="15" t="s">
        <v>323</v>
      </c>
      <c r="D67" s="15" t="s">
        <v>329</v>
      </c>
      <c r="E67" s="15" t="s">
        <v>330</v>
      </c>
      <c r="F67" s="15"/>
      <c r="G67" s="15"/>
      <c r="H67" s="15"/>
      <c r="I67" s="15">
        <v>0</v>
      </c>
      <c r="J67" s="15">
        <v>0</v>
      </c>
      <c r="K67" s="15">
        <v>0</v>
      </c>
      <c r="L67" s="15">
        <v>4902766.1800000006</v>
      </c>
      <c r="M67" s="15">
        <v>0</v>
      </c>
      <c r="N67" s="15">
        <v>0</v>
      </c>
      <c r="O67" s="15">
        <v>0</v>
      </c>
      <c r="P67" s="15">
        <v>0</v>
      </c>
      <c r="Q67" s="15"/>
    </row>
    <row r="68" spans="1:17" hidden="1" x14ac:dyDescent="0.25">
      <c r="A68" s="15" t="s">
        <v>333</v>
      </c>
      <c r="B68" s="15" t="s">
        <v>561</v>
      </c>
      <c r="C68" s="15" t="s">
        <v>318</v>
      </c>
      <c r="D68" s="15" t="s">
        <v>326</v>
      </c>
      <c r="E68" s="15" t="s">
        <v>320</v>
      </c>
      <c r="F68" s="15"/>
      <c r="G68" s="15"/>
      <c r="H68" s="15"/>
      <c r="I68" s="15">
        <v>0</v>
      </c>
      <c r="J68" s="15">
        <v>0</v>
      </c>
      <c r="K68" s="15">
        <v>9777794.9499999974</v>
      </c>
      <c r="L68" s="15">
        <v>27367959.500000022</v>
      </c>
      <c r="M68" s="15">
        <v>0</v>
      </c>
      <c r="N68" s="15">
        <v>0</v>
      </c>
      <c r="O68" s="15">
        <v>0</v>
      </c>
      <c r="P68" s="15">
        <v>0</v>
      </c>
      <c r="Q68" s="15"/>
    </row>
    <row r="69" spans="1:17" hidden="1" x14ac:dyDescent="0.25">
      <c r="A69" s="15" t="s">
        <v>333</v>
      </c>
      <c r="B69" s="15" t="s">
        <v>561</v>
      </c>
      <c r="C69" s="15" t="s">
        <v>323</v>
      </c>
      <c r="D69" s="15" t="s">
        <v>324</v>
      </c>
      <c r="E69" s="15" t="s">
        <v>325</v>
      </c>
      <c r="F69" s="15"/>
      <c r="G69" s="15"/>
      <c r="H69" s="15"/>
      <c r="I69" s="15">
        <v>0</v>
      </c>
      <c r="J69" s="15">
        <v>0</v>
      </c>
      <c r="K69" s="15">
        <v>0</v>
      </c>
      <c r="L69" s="15">
        <v>161081.58000000002</v>
      </c>
      <c r="M69" s="15">
        <v>0</v>
      </c>
      <c r="N69" s="15">
        <v>0</v>
      </c>
      <c r="O69" s="15">
        <v>0</v>
      </c>
      <c r="P69" s="15">
        <v>0</v>
      </c>
      <c r="Q69" s="15"/>
    </row>
    <row r="70" spans="1:17" hidden="1" x14ac:dyDescent="0.25">
      <c r="A70" s="15" t="s">
        <v>333</v>
      </c>
      <c r="B70" s="15" t="s">
        <v>561</v>
      </c>
      <c r="C70" s="15" t="s">
        <v>318</v>
      </c>
      <c r="D70" s="15" t="s">
        <v>319</v>
      </c>
      <c r="E70" s="15" t="s">
        <v>320</v>
      </c>
      <c r="F70" s="15"/>
      <c r="G70" s="15"/>
      <c r="H70" s="15"/>
      <c r="I70" s="15">
        <v>0</v>
      </c>
      <c r="J70" s="15">
        <v>0</v>
      </c>
      <c r="K70" s="15">
        <v>11308710.9</v>
      </c>
      <c r="L70" s="15">
        <v>33925558.109999999</v>
      </c>
      <c r="M70" s="15">
        <v>0</v>
      </c>
      <c r="N70" s="15">
        <v>0</v>
      </c>
      <c r="O70" s="15">
        <v>0</v>
      </c>
      <c r="P70" s="15">
        <v>0</v>
      </c>
      <c r="Q70" s="15"/>
    </row>
    <row r="71" spans="1:17" hidden="1" x14ac:dyDescent="0.25">
      <c r="A71" s="15" t="s">
        <v>333</v>
      </c>
      <c r="B71" s="15" t="s">
        <v>561</v>
      </c>
      <c r="C71" s="15" t="s">
        <v>323</v>
      </c>
      <c r="D71" s="15" t="s">
        <v>324</v>
      </c>
      <c r="E71" s="15" t="s">
        <v>325</v>
      </c>
      <c r="F71" s="15"/>
      <c r="G71" s="15"/>
      <c r="H71" s="15"/>
      <c r="I71" s="15">
        <v>0</v>
      </c>
      <c r="J71" s="15">
        <v>0</v>
      </c>
      <c r="K71" s="15">
        <v>0</v>
      </c>
      <c r="L71" s="15">
        <v>1131619.42</v>
      </c>
      <c r="M71" s="15">
        <v>0</v>
      </c>
      <c r="N71" s="15">
        <v>0</v>
      </c>
      <c r="O71" s="15">
        <v>0</v>
      </c>
      <c r="P71" s="15">
        <v>0</v>
      </c>
      <c r="Q71" s="15"/>
    </row>
    <row r="72" spans="1:17" hidden="1" x14ac:dyDescent="0.25">
      <c r="A72" s="15" t="s">
        <v>333</v>
      </c>
      <c r="B72" s="15" t="s">
        <v>561</v>
      </c>
      <c r="C72" s="15" t="s">
        <v>323</v>
      </c>
      <c r="D72" s="15" t="s">
        <v>329</v>
      </c>
      <c r="E72" s="15" t="s">
        <v>330</v>
      </c>
      <c r="F72" s="15"/>
      <c r="G72" s="15"/>
      <c r="H72" s="15"/>
      <c r="I72" s="15">
        <v>0</v>
      </c>
      <c r="J72" s="15">
        <v>0</v>
      </c>
      <c r="K72" s="15">
        <v>0</v>
      </c>
      <c r="L72" s="15">
        <v>15431.249999999998</v>
      </c>
      <c r="M72" s="15">
        <v>0</v>
      </c>
      <c r="N72" s="15">
        <v>0</v>
      </c>
      <c r="O72" s="15">
        <v>0</v>
      </c>
      <c r="P72" s="15">
        <v>0</v>
      </c>
      <c r="Q72" s="15"/>
    </row>
    <row r="73" spans="1:17" ht="30" hidden="1" x14ac:dyDescent="0.25">
      <c r="A73" s="15" t="s">
        <v>333</v>
      </c>
      <c r="B73" s="15" t="s">
        <v>561</v>
      </c>
      <c r="C73" s="15" t="s">
        <v>318</v>
      </c>
      <c r="D73" s="15" t="s">
        <v>327</v>
      </c>
      <c r="E73" s="15" t="s">
        <v>322</v>
      </c>
      <c r="F73" s="15"/>
      <c r="G73" s="15"/>
      <c r="H73" s="15"/>
      <c r="I73" s="15">
        <v>0</v>
      </c>
      <c r="J73" s="15">
        <v>0</v>
      </c>
      <c r="K73" s="15">
        <v>0</v>
      </c>
      <c r="L73" s="15">
        <v>15804044.249999998</v>
      </c>
      <c r="M73" s="15">
        <v>0</v>
      </c>
      <c r="N73" s="15">
        <v>17640633.704999998</v>
      </c>
      <c r="O73" s="15">
        <v>0</v>
      </c>
      <c r="P73" s="15">
        <v>0</v>
      </c>
      <c r="Q73" s="15"/>
    </row>
    <row r="74" spans="1:17" ht="30" hidden="1" x14ac:dyDescent="0.25">
      <c r="A74" s="15" t="s">
        <v>333</v>
      </c>
      <c r="B74" s="15" t="s">
        <v>561</v>
      </c>
      <c r="C74" s="15" t="s">
        <v>318</v>
      </c>
      <c r="D74" s="15" t="s">
        <v>331</v>
      </c>
      <c r="E74" s="15" t="s">
        <v>322</v>
      </c>
      <c r="F74" s="15"/>
      <c r="G74" s="15"/>
      <c r="H74" s="15"/>
      <c r="I74" s="15">
        <v>0</v>
      </c>
      <c r="J74" s="15">
        <v>0</v>
      </c>
      <c r="K74" s="15">
        <v>0</v>
      </c>
      <c r="L74" s="15">
        <v>15804044.249999998</v>
      </c>
      <c r="M74" s="15">
        <v>0</v>
      </c>
      <c r="N74" s="15">
        <v>21115469.165000014</v>
      </c>
      <c r="O74" s="15">
        <v>0</v>
      </c>
      <c r="P74" s="15">
        <v>0</v>
      </c>
      <c r="Q74" s="15"/>
    </row>
    <row r="75" spans="1:17" hidden="1" x14ac:dyDescent="0.25">
      <c r="A75" s="15" t="s">
        <v>333</v>
      </c>
      <c r="B75" s="15" t="s">
        <v>561</v>
      </c>
      <c r="C75" s="15" t="s">
        <v>318</v>
      </c>
      <c r="D75" s="15" t="s">
        <v>319</v>
      </c>
      <c r="E75" s="15" t="s">
        <v>320</v>
      </c>
      <c r="F75" s="15"/>
      <c r="G75" s="15"/>
      <c r="H75" s="15"/>
      <c r="I75" s="15">
        <v>0</v>
      </c>
      <c r="J75" s="15">
        <v>0</v>
      </c>
      <c r="K75" s="15">
        <v>0</v>
      </c>
      <c r="L75" s="15">
        <v>19333835.870000001</v>
      </c>
      <c r="M75" s="15">
        <v>0</v>
      </c>
      <c r="N75" s="15">
        <v>0</v>
      </c>
      <c r="O75" s="15">
        <v>0</v>
      </c>
      <c r="P75" s="15">
        <v>0</v>
      </c>
      <c r="Q75" s="15"/>
    </row>
    <row r="76" spans="1:17" hidden="1" x14ac:dyDescent="0.25">
      <c r="A76" s="15" t="s">
        <v>333</v>
      </c>
      <c r="B76" s="15" t="s">
        <v>561</v>
      </c>
      <c r="C76" s="15" t="s">
        <v>318</v>
      </c>
      <c r="D76" s="15" t="s">
        <v>326</v>
      </c>
      <c r="E76" s="15" t="s">
        <v>320</v>
      </c>
      <c r="F76" s="15"/>
      <c r="G76" s="15"/>
      <c r="H76" s="15"/>
      <c r="I76" s="15">
        <v>0</v>
      </c>
      <c r="J76" s="15">
        <v>0</v>
      </c>
      <c r="K76" s="15">
        <v>0</v>
      </c>
      <c r="L76" s="15">
        <v>19333835.870000001</v>
      </c>
      <c r="M76" s="15">
        <v>0</v>
      </c>
      <c r="N76" s="15">
        <v>0</v>
      </c>
      <c r="O76" s="15">
        <v>0</v>
      </c>
      <c r="P76" s="15">
        <v>0</v>
      </c>
      <c r="Q76" s="15"/>
    </row>
    <row r="77" spans="1:17" hidden="1" x14ac:dyDescent="0.25">
      <c r="A77" s="15" t="s">
        <v>333</v>
      </c>
      <c r="B77" s="15" t="s">
        <v>561</v>
      </c>
      <c r="C77" s="15" t="s">
        <v>323</v>
      </c>
      <c r="D77" s="15" t="s">
        <v>324</v>
      </c>
      <c r="E77" s="15" t="s">
        <v>325</v>
      </c>
      <c r="F77" s="15"/>
      <c r="G77" s="15"/>
      <c r="H77" s="15"/>
      <c r="I77" s="15">
        <v>0</v>
      </c>
      <c r="J77" s="15">
        <v>41072051.439999998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/>
    </row>
    <row r="78" spans="1:17" hidden="1" x14ac:dyDescent="0.25">
      <c r="A78" s="15" t="s">
        <v>333</v>
      </c>
      <c r="B78" s="15" t="s">
        <v>561</v>
      </c>
      <c r="C78" s="15" t="s">
        <v>323</v>
      </c>
      <c r="D78" s="15" t="s">
        <v>324</v>
      </c>
      <c r="E78" s="15" t="s">
        <v>325</v>
      </c>
      <c r="F78" s="15"/>
      <c r="G78" s="15"/>
      <c r="H78" s="15"/>
      <c r="I78" s="15">
        <v>0</v>
      </c>
      <c r="J78" s="15">
        <v>0</v>
      </c>
      <c r="K78" s="15">
        <v>0</v>
      </c>
      <c r="L78" s="15">
        <v>763225.07</v>
      </c>
      <c r="M78" s="15">
        <v>0</v>
      </c>
      <c r="N78" s="15">
        <v>0</v>
      </c>
      <c r="O78" s="15">
        <v>0</v>
      </c>
      <c r="P78" s="15">
        <v>0</v>
      </c>
      <c r="Q78" s="15"/>
    </row>
    <row r="79" spans="1:17" ht="30" hidden="1" x14ac:dyDescent="0.25">
      <c r="A79" s="15" t="s">
        <v>333</v>
      </c>
      <c r="B79" s="15" t="s">
        <v>561</v>
      </c>
      <c r="C79" s="15" t="s">
        <v>318</v>
      </c>
      <c r="D79" s="15" t="s">
        <v>327</v>
      </c>
      <c r="E79" s="15" t="s">
        <v>322</v>
      </c>
      <c r="F79" s="15"/>
      <c r="G79" s="15"/>
      <c r="H79" s="15"/>
      <c r="I79" s="15">
        <v>0</v>
      </c>
      <c r="J79" s="15">
        <v>0</v>
      </c>
      <c r="K79" s="15">
        <v>0</v>
      </c>
      <c r="L79" s="15">
        <v>155721.815</v>
      </c>
      <c r="M79" s="15">
        <v>0</v>
      </c>
      <c r="N79" s="15">
        <v>3126523.5300000012</v>
      </c>
      <c r="O79" s="15">
        <v>0</v>
      </c>
      <c r="P79" s="15">
        <v>0</v>
      </c>
      <c r="Q79" s="15"/>
    </row>
    <row r="80" spans="1:17" hidden="1" x14ac:dyDescent="0.25">
      <c r="A80" s="15" t="s">
        <v>333</v>
      </c>
      <c r="B80" s="15" t="s">
        <v>561</v>
      </c>
      <c r="C80" s="15" t="s">
        <v>323</v>
      </c>
      <c r="D80" s="15" t="s">
        <v>324</v>
      </c>
      <c r="E80" s="15" t="s">
        <v>325</v>
      </c>
      <c r="F80" s="15"/>
      <c r="G80" s="15"/>
      <c r="H80" s="15"/>
      <c r="I80" s="15">
        <v>0</v>
      </c>
      <c r="J80" s="15">
        <v>0</v>
      </c>
      <c r="K80" s="15">
        <v>0</v>
      </c>
      <c r="L80" s="15">
        <v>41915.080000000009</v>
      </c>
      <c r="M80" s="15">
        <v>0</v>
      </c>
      <c r="N80" s="15">
        <v>0</v>
      </c>
      <c r="O80" s="15">
        <v>0</v>
      </c>
      <c r="P80" s="15">
        <v>0</v>
      </c>
      <c r="Q80" s="15"/>
    </row>
    <row r="81" spans="1:17" hidden="1" x14ac:dyDescent="0.25">
      <c r="A81" s="15" t="s">
        <v>333</v>
      </c>
      <c r="B81" s="15" t="s">
        <v>561</v>
      </c>
      <c r="C81" s="15" t="s">
        <v>323</v>
      </c>
      <c r="D81" s="15" t="s">
        <v>324</v>
      </c>
      <c r="E81" s="15" t="s">
        <v>325</v>
      </c>
      <c r="F81" s="15"/>
      <c r="G81" s="15"/>
      <c r="H81" s="15"/>
      <c r="I81" s="15">
        <v>0</v>
      </c>
      <c r="J81" s="15">
        <v>14477.22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/>
    </row>
    <row r="82" spans="1:17" hidden="1" x14ac:dyDescent="0.25">
      <c r="A82" s="15" t="s">
        <v>333</v>
      </c>
      <c r="B82" s="15" t="s">
        <v>561</v>
      </c>
      <c r="C82" s="15" t="s">
        <v>323</v>
      </c>
      <c r="D82" s="15" t="s">
        <v>324</v>
      </c>
      <c r="E82" s="15" t="s">
        <v>325</v>
      </c>
      <c r="F82" s="15"/>
      <c r="G82" s="15"/>
      <c r="H82" s="15"/>
      <c r="I82" s="15">
        <v>0</v>
      </c>
      <c r="J82" s="15">
        <v>3549.6000000000004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/>
    </row>
    <row r="83" spans="1:17" hidden="1" x14ac:dyDescent="0.25">
      <c r="A83" s="15" t="s">
        <v>333</v>
      </c>
      <c r="B83" s="15" t="s">
        <v>561</v>
      </c>
      <c r="C83" s="15" t="s">
        <v>323</v>
      </c>
      <c r="D83" s="15" t="s">
        <v>324</v>
      </c>
      <c r="E83" s="15" t="s">
        <v>325</v>
      </c>
      <c r="F83" s="15"/>
      <c r="G83" s="15"/>
      <c r="H83" s="15"/>
      <c r="I83" s="15">
        <v>0</v>
      </c>
      <c r="J83" s="15">
        <v>19308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/>
    </row>
    <row r="84" spans="1:17" hidden="1" x14ac:dyDescent="0.25">
      <c r="A84" s="15" t="s">
        <v>21</v>
      </c>
      <c r="B84" s="15" t="s">
        <v>561</v>
      </c>
      <c r="C84" s="15" t="s">
        <v>323</v>
      </c>
      <c r="D84" s="15" t="s">
        <v>324</v>
      </c>
      <c r="E84" s="15" t="s">
        <v>325</v>
      </c>
      <c r="F84" s="15"/>
      <c r="G84" s="15"/>
      <c r="H84" s="15"/>
      <c r="I84" s="15">
        <v>0</v>
      </c>
      <c r="J84" s="15">
        <v>0</v>
      </c>
      <c r="K84" s="15">
        <v>0</v>
      </c>
      <c r="L84" s="15">
        <v>129955.4</v>
      </c>
      <c r="M84" s="15">
        <v>0</v>
      </c>
      <c r="N84" s="15">
        <v>0</v>
      </c>
      <c r="O84" s="15">
        <v>0</v>
      </c>
      <c r="P84" s="15">
        <v>0</v>
      </c>
      <c r="Q84" s="15"/>
    </row>
    <row r="85" spans="1:17" hidden="1" x14ac:dyDescent="0.25">
      <c r="A85" s="15" t="s">
        <v>21</v>
      </c>
      <c r="B85" s="15" t="s">
        <v>561</v>
      </c>
      <c r="C85" s="15" t="s">
        <v>318</v>
      </c>
      <c r="D85" s="15" t="s">
        <v>319</v>
      </c>
      <c r="E85" s="15" t="s">
        <v>320</v>
      </c>
      <c r="F85" s="15">
        <v>1</v>
      </c>
      <c r="G85" s="15"/>
      <c r="H85" s="15"/>
      <c r="I85" s="15">
        <v>0</v>
      </c>
      <c r="J85" s="15">
        <v>63562247.979999989</v>
      </c>
      <c r="K85" s="15">
        <v>0</v>
      </c>
      <c r="L85" s="15">
        <v>77453434.560000166</v>
      </c>
      <c r="M85" s="15">
        <v>0</v>
      </c>
      <c r="N85" s="15">
        <v>66363320.945000082</v>
      </c>
      <c r="O85" s="15">
        <v>650000</v>
      </c>
      <c r="P85" s="15">
        <v>0</v>
      </c>
      <c r="Q85" s="15"/>
    </row>
    <row r="86" spans="1:17" hidden="1" x14ac:dyDescent="0.25">
      <c r="A86" s="15" t="s">
        <v>21</v>
      </c>
      <c r="B86" s="15" t="s">
        <v>561</v>
      </c>
      <c r="C86" s="15" t="s">
        <v>323</v>
      </c>
      <c r="D86" s="15" t="s">
        <v>324</v>
      </c>
      <c r="E86" s="15" t="s">
        <v>325</v>
      </c>
      <c r="F86" s="15"/>
      <c r="G86" s="15"/>
      <c r="H86" s="15"/>
      <c r="I86" s="15">
        <v>0</v>
      </c>
      <c r="J86" s="15">
        <v>0</v>
      </c>
      <c r="K86" s="15">
        <v>0</v>
      </c>
      <c r="L86" s="15">
        <v>15797.939999999999</v>
      </c>
      <c r="M86" s="15">
        <v>0</v>
      </c>
      <c r="N86" s="15">
        <v>0</v>
      </c>
      <c r="O86" s="15">
        <v>0</v>
      </c>
      <c r="P86" s="15">
        <v>0</v>
      </c>
      <c r="Q86" s="15"/>
    </row>
    <row r="87" spans="1:17" hidden="1" x14ac:dyDescent="0.25">
      <c r="A87" s="15" t="s">
        <v>21</v>
      </c>
      <c r="B87" s="15" t="s">
        <v>561</v>
      </c>
      <c r="C87" s="15" t="s">
        <v>318</v>
      </c>
      <c r="D87" s="15" t="s">
        <v>319</v>
      </c>
      <c r="E87" s="15" t="s">
        <v>320</v>
      </c>
      <c r="F87" s="15"/>
      <c r="G87" s="15"/>
      <c r="H87" s="15"/>
      <c r="I87" s="15">
        <v>0</v>
      </c>
      <c r="J87" s="15">
        <v>0</v>
      </c>
      <c r="K87" s="15">
        <v>36039.75</v>
      </c>
      <c r="L87" s="15">
        <v>2646.7699999999995</v>
      </c>
      <c r="M87" s="15">
        <v>0</v>
      </c>
      <c r="N87" s="15">
        <v>296596293.75999993</v>
      </c>
      <c r="O87" s="15">
        <v>0</v>
      </c>
      <c r="P87" s="15">
        <v>0</v>
      </c>
      <c r="Q87" s="15"/>
    </row>
    <row r="88" spans="1:17" hidden="1" x14ac:dyDescent="0.25">
      <c r="A88" s="15" t="s">
        <v>21</v>
      </c>
      <c r="B88" s="15" t="s">
        <v>561</v>
      </c>
      <c r="C88" s="15" t="s">
        <v>318</v>
      </c>
      <c r="D88" s="15" t="s">
        <v>326</v>
      </c>
      <c r="E88" s="15" t="s">
        <v>320</v>
      </c>
      <c r="F88" s="15"/>
      <c r="G88" s="15"/>
      <c r="H88" s="15"/>
      <c r="I88" s="15">
        <v>0</v>
      </c>
      <c r="J88" s="15">
        <v>0</v>
      </c>
      <c r="K88" s="15">
        <v>19547.75</v>
      </c>
      <c r="L88" s="15">
        <v>2646.7699999999995</v>
      </c>
      <c r="M88" s="15">
        <v>0</v>
      </c>
      <c r="N88" s="15">
        <v>0</v>
      </c>
      <c r="O88" s="15">
        <v>0</v>
      </c>
      <c r="P88" s="15">
        <v>0</v>
      </c>
      <c r="Q88" s="15"/>
    </row>
    <row r="89" spans="1:17" hidden="1" x14ac:dyDescent="0.25">
      <c r="A89" s="15" t="s">
        <v>21</v>
      </c>
      <c r="B89" s="15" t="s">
        <v>561</v>
      </c>
      <c r="C89" s="15" t="s">
        <v>318</v>
      </c>
      <c r="D89" s="15" t="s">
        <v>319</v>
      </c>
      <c r="E89" s="15" t="s">
        <v>320</v>
      </c>
      <c r="F89" s="15"/>
      <c r="G89" s="15"/>
      <c r="H89" s="15"/>
      <c r="I89" s="15">
        <v>0</v>
      </c>
      <c r="J89" s="15">
        <v>0</v>
      </c>
      <c r="K89" s="15">
        <v>266477.83</v>
      </c>
      <c r="L89" s="15">
        <v>2207814.08</v>
      </c>
      <c r="M89" s="15">
        <v>0</v>
      </c>
      <c r="N89" s="15">
        <v>0</v>
      </c>
      <c r="O89" s="15">
        <v>0</v>
      </c>
      <c r="P89" s="15">
        <v>0</v>
      </c>
      <c r="Q89" s="15"/>
    </row>
    <row r="90" spans="1:17" hidden="1" x14ac:dyDescent="0.25">
      <c r="A90" s="15" t="s">
        <v>21</v>
      </c>
      <c r="B90" s="15" t="s">
        <v>561</v>
      </c>
      <c r="C90" s="15" t="s">
        <v>323</v>
      </c>
      <c r="D90" s="15" t="s">
        <v>324</v>
      </c>
      <c r="E90" s="15" t="s">
        <v>325</v>
      </c>
      <c r="F90" s="15"/>
      <c r="G90" s="15"/>
      <c r="H90" s="15"/>
      <c r="I90" s="15">
        <v>0</v>
      </c>
      <c r="J90" s="15">
        <v>0</v>
      </c>
      <c r="K90" s="15">
        <v>0</v>
      </c>
      <c r="L90" s="15">
        <v>21101.88</v>
      </c>
      <c r="M90" s="15">
        <v>0</v>
      </c>
      <c r="N90" s="15">
        <v>0</v>
      </c>
      <c r="O90" s="15">
        <v>0</v>
      </c>
      <c r="P90" s="15">
        <v>0</v>
      </c>
      <c r="Q90" s="15"/>
    </row>
    <row r="91" spans="1:17" hidden="1" x14ac:dyDescent="0.25">
      <c r="A91" s="15" t="s">
        <v>17</v>
      </c>
      <c r="B91" s="15" t="s">
        <v>561</v>
      </c>
      <c r="C91" s="15" t="s">
        <v>323</v>
      </c>
      <c r="D91" s="15" t="s">
        <v>324</v>
      </c>
      <c r="E91" s="15" t="s">
        <v>325</v>
      </c>
      <c r="F91" s="15"/>
      <c r="G91" s="15"/>
      <c r="H91" s="15"/>
      <c r="I91" s="15">
        <v>0</v>
      </c>
      <c r="J91" s="15">
        <v>0</v>
      </c>
      <c r="K91" s="15">
        <v>0</v>
      </c>
      <c r="L91" s="15">
        <v>88016.4</v>
      </c>
      <c r="M91" s="15">
        <v>0</v>
      </c>
      <c r="N91" s="15">
        <v>0</v>
      </c>
      <c r="O91" s="15">
        <v>0</v>
      </c>
      <c r="P91" s="15">
        <v>0</v>
      </c>
      <c r="Q91" s="15"/>
    </row>
    <row r="92" spans="1:17" ht="30" hidden="1" x14ac:dyDescent="0.25">
      <c r="A92" s="15" t="s">
        <v>17</v>
      </c>
      <c r="B92" s="15" t="s">
        <v>561</v>
      </c>
      <c r="C92" s="15" t="s">
        <v>318</v>
      </c>
      <c r="D92" s="15" t="s">
        <v>331</v>
      </c>
      <c r="E92" s="15" t="s">
        <v>322</v>
      </c>
      <c r="F92" s="15"/>
      <c r="G92" s="15"/>
      <c r="H92" s="15"/>
      <c r="I92" s="15">
        <v>0</v>
      </c>
      <c r="J92" s="15">
        <v>0</v>
      </c>
      <c r="K92" s="15">
        <v>0</v>
      </c>
      <c r="L92" s="15">
        <v>30797380.840000004</v>
      </c>
      <c r="M92" s="15">
        <v>0</v>
      </c>
      <c r="N92" s="15">
        <v>19446886.790000033</v>
      </c>
      <c r="O92" s="15">
        <v>0</v>
      </c>
      <c r="P92" s="15">
        <v>0</v>
      </c>
      <c r="Q92" s="15"/>
    </row>
    <row r="93" spans="1:17" hidden="1" x14ac:dyDescent="0.25">
      <c r="A93" s="15" t="s">
        <v>17</v>
      </c>
      <c r="B93" s="15" t="s">
        <v>561</v>
      </c>
      <c r="C93" s="15" t="s">
        <v>323</v>
      </c>
      <c r="D93" s="15" t="s">
        <v>324</v>
      </c>
      <c r="E93" s="15" t="s">
        <v>325</v>
      </c>
      <c r="F93" s="15"/>
      <c r="G93" s="15"/>
      <c r="H93" s="15"/>
      <c r="I93" s="15">
        <v>0</v>
      </c>
      <c r="J93" s="15">
        <v>0</v>
      </c>
      <c r="K93" s="15">
        <v>0</v>
      </c>
      <c r="L93" s="15">
        <v>1850878.62</v>
      </c>
      <c r="M93" s="15">
        <v>0</v>
      </c>
      <c r="N93" s="15">
        <v>0</v>
      </c>
      <c r="O93" s="15">
        <v>0</v>
      </c>
      <c r="P93" s="15">
        <v>0</v>
      </c>
      <c r="Q93" s="15"/>
    </row>
    <row r="94" spans="1:17" hidden="1" x14ac:dyDescent="0.25">
      <c r="A94" s="15" t="s">
        <v>17</v>
      </c>
      <c r="B94" s="15" t="s">
        <v>561</v>
      </c>
      <c r="C94" s="15" t="s">
        <v>323</v>
      </c>
      <c r="D94" s="15" t="s">
        <v>329</v>
      </c>
      <c r="E94" s="15" t="s">
        <v>330</v>
      </c>
      <c r="F94" s="15"/>
      <c r="G94" s="15"/>
      <c r="H94" s="15"/>
      <c r="I94" s="15">
        <v>0</v>
      </c>
      <c r="J94" s="15">
        <v>0</v>
      </c>
      <c r="K94" s="15">
        <v>0</v>
      </c>
      <c r="L94" s="15">
        <v>31905.269999999997</v>
      </c>
      <c r="M94" s="15">
        <v>0</v>
      </c>
      <c r="N94" s="15">
        <v>0</v>
      </c>
      <c r="O94" s="15">
        <v>0</v>
      </c>
      <c r="P94" s="15">
        <v>0</v>
      </c>
      <c r="Q94" s="15"/>
    </row>
    <row r="95" spans="1:17" ht="30" hidden="1" x14ac:dyDescent="0.25">
      <c r="A95" s="15" t="s">
        <v>17</v>
      </c>
      <c r="B95" s="15" t="s">
        <v>561</v>
      </c>
      <c r="C95" s="15" t="s">
        <v>318</v>
      </c>
      <c r="D95" s="15" t="s">
        <v>327</v>
      </c>
      <c r="E95" s="15" t="s">
        <v>322</v>
      </c>
      <c r="F95" s="15"/>
      <c r="G95" s="15"/>
      <c r="H95" s="15"/>
      <c r="I95" s="15">
        <v>0</v>
      </c>
      <c r="J95" s="15">
        <v>0</v>
      </c>
      <c r="K95" s="15">
        <v>0</v>
      </c>
      <c r="L95" s="15">
        <v>2274.2749999999996</v>
      </c>
      <c r="M95" s="15">
        <v>0</v>
      </c>
      <c r="N95" s="15">
        <v>0</v>
      </c>
      <c r="O95" s="15">
        <v>0</v>
      </c>
      <c r="P95" s="15">
        <v>0</v>
      </c>
      <c r="Q95" s="15"/>
    </row>
    <row r="96" spans="1:17" ht="30" hidden="1" x14ac:dyDescent="0.25">
      <c r="A96" s="15" t="s">
        <v>17</v>
      </c>
      <c r="B96" s="15" t="s">
        <v>561</v>
      </c>
      <c r="C96" s="15" t="s">
        <v>318</v>
      </c>
      <c r="D96" s="15" t="s">
        <v>331</v>
      </c>
      <c r="E96" s="15" t="s">
        <v>322</v>
      </c>
      <c r="F96" s="15"/>
      <c r="G96" s="15"/>
      <c r="H96" s="15"/>
      <c r="I96" s="15">
        <v>0</v>
      </c>
      <c r="J96" s="15">
        <v>0</v>
      </c>
      <c r="K96" s="15">
        <v>0</v>
      </c>
      <c r="L96" s="15">
        <v>2274.2749999999996</v>
      </c>
      <c r="M96" s="15">
        <v>0</v>
      </c>
      <c r="N96" s="15">
        <v>0</v>
      </c>
      <c r="O96" s="15">
        <v>0</v>
      </c>
      <c r="P96" s="15">
        <v>0</v>
      </c>
      <c r="Q96" s="15"/>
    </row>
    <row r="97" spans="1:17" hidden="1" x14ac:dyDescent="0.25">
      <c r="A97" s="15" t="s">
        <v>336</v>
      </c>
      <c r="B97" s="15" t="s">
        <v>561</v>
      </c>
      <c r="C97" s="15" t="s">
        <v>318</v>
      </c>
      <c r="D97" s="15" t="s">
        <v>326</v>
      </c>
      <c r="E97" s="15" t="s">
        <v>320</v>
      </c>
      <c r="F97" s="15"/>
      <c r="G97" s="15"/>
      <c r="H97" s="15"/>
      <c r="I97" s="15">
        <v>0</v>
      </c>
      <c r="J97" s="15">
        <v>0</v>
      </c>
      <c r="K97" s="15">
        <v>0</v>
      </c>
      <c r="L97" s="15">
        <v>36896244.130000025</v>
      </c>
      <c r="M97" s="15">
        <v>0</v>
      </c>
      <c r="N97" s="15">
        <v>44164732.540000081</v>
      </c>
      <c r="O97" s="15">
        <v>0</v>
      </c>
      <c r="P97" s="15">
        <v>0</v>
      </c>
      <c r="Q97" s="15"/>
    </row>
    <row r="98" spans="1:17" hidden="1" x14ac:dyDescent="0.25">
      <c r="A98" s="15" t="s">
        <v>336</v>
      </c>
      <c r="B98" s="15" t="s">
        <v>561</v>
      </c>
      <c r="C98" s="15" t="s">
        <v>318</v>
      </c>
      <c r="D98" s="15" t="s">
        <v>319</v>
      </c>
      <c r="E98" s="15" t="s">
        <v>320</v>
      </c>
      <c r="F98" s="15"/>
      <c r="G98" s="15"/>
      <c r="H98" s="15"/>
      <c r="I98" s="15">
        <v>0</v>
      </c>
      <c r="J98" s="15">
        <v>0</v>
      </c>
      <c r="K98" s="15">
        <v>0</v>
      </c>
      <c r="L98" s="15">
        <v>66329.489999999991</v>
      </c>
      <c r="M98" s="15">
        <v>0</v>
      </c>
      <c r="N98" s="15">
        <v>0</v>
      </c>
      <c r="O98" s="15">
        <v>0</v>
      </c>
      <c r="P98" s="15">
        <v>0</v>
      </c>
      <c r="Q98" s="15"/>
    </row>
    <row r="99" spans="1:17" hidden="1" x14ac:dyDescent="0.25">
      <c r="A99" s="15" t="s">
        <v>336</v>
      </c>
      <c r="B99" s="15" t="s">
        <v>561</v>
      </c>
      <c r="C99" s="15" t="s">
        <v>318</v>
      </c>
      <c r="D99" s="15" t="s">
        <v>326</v>
      </c>
      <c r="E99" s="15" t="s">
        <v>320</v>
      </c>
      <c r="F99" s="15"/>
      <c r="G99" s="15"/>
      <c r="H99" s="15"/>
      <c r="I99" s="15">
        <v>0</v>
      </c>
      <c r="J99" s="15">
        <v>0</v>
      </c>
      <c r="K99" s="15">
        <v>0</v>
      </c>
      <c r="L99" s="15">
        <v>66329.489999999991</v>
      </c>
      <c r="M99" s="15">
        <v>0</v>
      </c>
      <c r="N99" s="15">
        <v>0</v>
      </c>
      <c r="O99" s="15">
        <v>0</v>
      </c>
      <c r="P99" s="15">
        <v>0</v>
      </c>
      <c r="Q99" s="15"/>
    </row>
    <row r="100" spans="1:17" hidden="1" x14ac:dyDescent="0.25">
      <c r="A100" s="15" t="s">
        <v>174</v>
      </c>
      <c r="B100" s="15" t="s">
        <v>561</v>
      </c>
      <c r="C100" s="15" t="s">
        <v>337</v>
      </c>
      <c r="D100" s="15" t="s">
        <v>338</v>
      </c>
      <c r="E100" s="15"/>
      <c r="F100" s="15"/>
      <c r="G100" s="15"/>
      <c r="H100" s="15"/>
      <c r="I100" s="15">
        <v>740866.42488330521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/>
    </row>
    <row r="101" spans="1:17" hidden="1" x14ac:dyDescent="0.25">
      <c r="A101" s="15" t="s">
        <v>50</v>
      </c>
      <c r="B101" s="15" t="s">
        <v>561</v>
      </c>
      <c r="C101" s="15" t="s">
        <v>337</v>
      </c>
      <c r="D101" s="15" t="s">
        <v>338</v>
      </c>
      <c r="E101" s="15"/>
      <c r="F101" s="15"/>
      <c r="G101" s="15"/>
      <c r="H101" s="15"/>
      <c r="I101" s="15">
        <v>2222599.2746499158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/>
    </row>
    <row r="102" spans="1:17" hidden="1" x14ac:dyDescent="0.25">
      <c r="A102" s="15" t="s">
        <v>166</v>
      </c>
      <c r="B102" s="15" t="s">
        <v>561</v>
      </c>
      <c r="C102" s="15" t="s">
        <v>337</v>
      </c>
      <c r="D102" s="15" t="s">
        <v>338</v>
      </c>
      <c r="E102" s="15"/>
      <c r="F102" s="15"/>
      <c r="G102" s="15"/>
      <c r="H102" s="15"/>
      <c r="I102" s="15">
        <v>1481732.8497666104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/>
    </row>
    <row r="103" spans="1:17" hidden="1" x14ac:dyDescent="0.25">
      <c r="A103" s="15" t="s">
        <v>341</v>
      </c>
      <c r="B103" s="15" t="s">
        <v>561</v>
      </c>
      <c r="C103" s="15" t="s">
        <v>337</v>
      </c>
      <c r="D103" s="15" t="s">
        <v>338</v>
      </c>
      <c r="E103" s="15"/>
      <c r="F103" s="15"/>
      <c r="G103" s="15"/>
      <c r="H103" s="15"/>
      <c r="I103" s="15">
        <v>1481732.8497666104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/>
    </row>
    <row r="104" spans="1:17" hidden="1" x14ac:dyDescent="0.25">
      <c r="A104" s="15" t="s">
        <v>22</v>
      </c>
      <c r="B104" s="15" t="s">
        <v>561</v>
      </c>
      <c r="C104" s="15" t="s">
        <v>337</v>
      </c>
      <c r="D104" s="15" t="s">
        <v>338</v>
      </c>
      <c r="E104" s="15"/>
      <c r="F104" s="15"/>
      <c r="G104" s="15"/>
      <c r="H104" s="15" t="s">
        <v>342</v>
      </c>
      <c r="I104" s="15">
        <v>4445198.5492998315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/>
    </row>
    <row r="105" spans="1:17" hidden="1" x14ac:dyDescent="0.25">
      <c r="A105" s="15" t="s">
        <v>155</v>
      </c>
      <c r="B105" s="15" t="s">
        <v>561</v>
      </c>
      <c r="C105" s="15" t="s">
        <v>337</v>
      </c>
      <c r="D105" s="15" t="s">
        <v>338</v>
      </c>
      <c r="E105" s="15"/>
      <c r="F105" s="15"/>
      <c r="G105" s="15"/>
      <c r="H105" s="15" t="s">
        <v>342</v>
      </c>
      <c r="I105" s="15">
        <v>5926931.3990664417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/>
    </row>
    <row r="106" spans="1:17" hidden="1" x14ac:dyDescent="0.25">
      <c r="A106" s="15" t="s">
        <v>48</v>
      </c>
      <c r="B106" s="15" t="s">
        <v>561</v>
      </c>
      <c r="C106" s="15" t="s">
        <v>337</v>
      </c>
      <c r="D106" s="15" t="s">
        <v>338</v>
      </c>
      <c r="E106" s="15"/>
      <c r="F106" s="15"/>
      <c r="G106" s="15"/>
      <c r="H106" s="15"/>
      <c r="I106" s="15">
        <v>740866.42488330521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/>
    </row>
    <row r="107" spans="1:17" hidden="1" x14ac:dyDescent="0.25">
      <c r="A107" s="15" t="s">
        <v>148</v>
      </c>
      <c r="B107" s="15" t="s">
        <v>561</v>
      </c>
      <c r="C107" s="15" t="s">
        <v>337</v>
      </c>
      <c r="D107" s="15" t="s">
        <v>338</v>
      </c>
      <c r="E107" s="15"/>
      <c r="F107" s="15"/>
      <c r="G107" s="15"/>
      <c r="H107" s="15" t="s">
        <v>342</v>
      </c>
      <c r="I107" s="15">
        <v>8890397.098599663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/>
    </row>
    <row r="108" spans="1:17" hidden="1" x14ac:dyDescent="0.25">
      <c r="A108" s="15" t="s">
        <v>56</v>
      </c>
      <c r="B108" s="15" t="s">
        <v>561</v>
      </c>
      <c r="C108" s="15" t="s">
        <v>337</v>
      </c>
      <c r="D108" s="15" t="s">
        <v>338</v>
      </c>
      <c r="E108" s="15"/>
      <c r="F108" s="15"/>
      <c r="G108" s="15"/>
      <c r="H108" s="15" t="s">
        <v>342</v>
      </c>
      <c r="I108" s="15">
        <v>2963465.6995332208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/>
    </row>
    <row r="109" spans="1:17" hidden="1" x14ac:dyDescent="0.25">
      <c r="A109" s="15" t="s">
        <v>20</v>
      </c>
      <c r="B109" s="15" t="s">
        <v>561</v>
      </c>
      <c r="C109" s="15" t="s">
        <v>337</v>
      </c>
      <c r="D109" s="15" t="s">
        <v>338</v>
      </c>
      <c r="E109" s="15"/>
      <c r="F109" s="15"/>
      <c r="G109" s="15"/>
      <c r="H109" s="15" t="s">
        <v>343</v>
      </c>
      <c r="I109" s="15">
        <v>5186064.9741831366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/>
    </row>
    <row r="110" spans="1:17" hidden="1" x14ac:dyDescent="0.25">
      <c r="A110" s="15" t="s">
        <v>344</v>
      </c>
      <c r="B110" s="15" t="s">
        <v>561</v>
      </c>
      <c r="C110" s="15" t="s">
        <v>337</v>
      </c>
      <c r="D110" s="15" t="s">
        <v>338</v>
      </c>
      <c r="E110" s="15"/>
      <c r="F110" s="15"/>
      <c r="G110" s="15"/>
      <c r="H110" s="15"/>
      <c r="I110" s="15">
        <v>1481732.8497666104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/>
    </row>
    <row r="111" spans="1:17" hidden="1" x14ac:dyDescent="0.25">
      <c r="A111" s="15" t="s">
        <v>54</v>
      </c>
      <c r="B111" s="15" t="s">
        <v>561</v>
      </c>
      <c r="C111" s="15" t="s">
        <v>337</v>
      </c>
      <c r="D111" s="15" t="s">
        <v>338</v>
      </c>
      <c r="E111" s="15"/>
      <c r="F111" s="15"/>
      <c r="G111" s="15"/>
      <c r="H111" s="15" t="s">
        <v>342</v>
      </c>
      <c r="I111" s="15">
        <v>2222599.2746499158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/>
    </row>
    <row r="112" spans="1:17" hidden="1" x14ac:dyDescent="0.25">
      <c r="A112" s="15" t="s">
        <v>173</v>
      </c>
      <c r="B112" s="15" t="s">
        <v>561</v>
      </c>
      <c r="C112" s="15" t="s">
        <v>337</v>
      </c>
      <c r="D112" s="15" t="s">
        <v>338</v>
      </c>
      <c r="E112" s="15"/>
      <c r="F112" s="15"/>
      <c r="G112" s="15"/>
      <c r="H112" s="15"/>
      <c r="I112" s="15">
        <v>6667797.8239497459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/>
    </row>
    <row r="113" spans="1:17" hidden="1" x14ac:dyDescent="0.25">
      <c r="A113" s="15" t="s">
        <v>146</v>
      </c>
      <c r="B113" s="15" t="s">
        <v>561</v>
      </c>
      <c r="C113" s="15" t="s">
        <v>337</v>
      </c>
      <c r="D113" s="15" t="s">
        <v>338</v>
      </c>
      <c r="E113" s="15"/>
      <c r="F113" s="15"/>
      <c r="G113" s="15"/>
      <c r="H113" s="15" t="s">
        <v>342</v>
      </c>
      <c r="I113" s="15">
        <v>2222599.2746499158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/>
    </row>
    <row r="114" spans="1:17" hidden="1" x14ac:dyDescent="0.25">
      <c r="A114" s="15" t="s">
        <v>345</v>
      </c>
      <c r="B114" s="15" t="s">
        <v>561</v>
      </c>
      <c r="C114" s="15" t="s">
        <v>337</v>
      </c>
      <c r="D114" s="15" t="s">
        <v>338</v>
      </c>
      <c r="E114" s="15"/>
      <c r="F114" s="15"/>
      <c r="G114" s="15"/>
      <c r="H114" s="15"/>
      <c r="I114" s="15">
        <v>2963465.6995332208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/>
    </row>
    <row r="115" spans="1:17" hidden="1" x14ac:dyDescent="0.25">
      <c r="A115" s="15" t="s">
        <v>150</v>
      </c>
      <c r="B115" s="15" t="s">
        <v>561</v>
      </c>
      <c r="C115" s="15" t="s">
        <v>337</v>
      </c>
      <c r="D115" s="15" t="s">
        <v>338</v>
      </c>
      <c r="E115" s="15"/>
      <c r="F115" s="15"/>
      <c r="G115" s="15"/>
      <c r="H115" s="15" t="s">
        <v>342</v>
      </c>
      <c r="I115" s="15">
        <v>4445198.5492998315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/>
    </row>
    <row r="116" spans="1:17" hidden="1" x14ac:dyDescent="0.25">
      <c r="A116" s="15" t="s">
        <v>7</v>
      </c>
      <c r="B116" s="15" t="s">
        <v>561</v>
      </c>
      <c r="C116" s="15" t="s">
        <v>337</v>
      </c>
      <c r="D116" s="15" t="s">
        <v>338</v>
      </c>
      <c r="E116" s="15"/>
      <c r="F116" s="15"/>
      <c r="G116" s="15">
        <v>1</v>
      </c>
      <c r="H116" s="15" t="s">
        <v>343</v>
      </c>
      <c r="I116" s="15">
        <v>160027147.77479389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202930000</v>
      </c>
      <c r="P116" s="15">
        <v>0</v>
      </c>
      <c r="Q116" s="15"/>
    </row>
    <row r="117" spans="1:17" hidden="1" x14ac:dyDescent="0.25">
      <c r="A117" s="15" t="s">
        <v>333</v>
      </c>
      <c r="B117" s="15" t="s">
        <v>561</v>
      </c>
      <c r="C117" s="15" t="s">
        <v>337</v>
      </c>
      <c r="D117" s="15" t="s">
        <v>338</v>
      </c>
      <c r="E117" s="15"/>
      <c r="F117" s="15"/>
      <c r="G117" s="15"/>
      <c r="H117" s="15" t="s">
        <v>343</v>
      </c>
      <c r="I117" s="15">
        <v>98535234.509479582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158080000</v>
      </c>
      <c r="P117" s="15">
        <v>0</v>
      </c>
      <c r="Q117" s="15"/>
    </row>
    <row r="118" spans="1:17" hidden="1" x14ac:dyDescent="0.25">
      <c r="A118" s="15" t="s">
        <v>35</v>
      </c>
      <c r="B118" s="15" t="s">
        <v>561</v>
      </c>
      <c r="C118" s="15" t="s">
        <v>337</v>
      </c>
      <c r="D118" s="15" t="s">
        <v>338</v>
      </c>
      <c r="E118" s="15"/>
      <c r="F118" s="15"/>
      <c r="G118" s="15"/>
      <c r="H118" s="15"/>
      <c r="I118" s="15">
        <v>1481732.8497666104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/>
    </row>
    <row r="119" spans="1:17" hidden="1" x14ac:dyDescent="0.25">
      <c r="A119" s="15" t="s">
        <v>21</v>
      </c>
      <c r="B119" s="15" t="s">
        <v>561</v>
      </c>
      <c r="C119" s="15" t="s">
        <v>337</v>
      </c>
      <c r="D119" s="15" t="s">
        <v>338</v>
      </c>
      <c r="E119" s="15"/>
      <c r="F119" s="15"/>
      <c r="G119" s="15"/>
      <c r="H119" s="15" t="s">
        <v>342</v>
      </c>
      <c r="I119" s="15">
        <v>7408664.2488330519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/>
    </row>
    <row r="120" spans="1:17" hidden="1" x14ac:dyDescent="0.25">
      <c r="A120" s="15" t="s">
        <v>123</v>
      </c>
      <c r="B120" s="15" t="s">
        <v>561</v>
      </c>
      <c r="C120" s="15" t="s">
        <v>337</v>
      </c>
      <c r="D120" s="15" t="s">
        <v>338</v>
      </c>
      <c r="E120" s="15"/>
      <c r="F120" s="15"/>
      <c r="G120" s="15"/>
      <c r="H120" s="15"/>
      <c r="I120" s="15">
        <v>2222599.2746499158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/>
    </row>
    <row r="121" spans="1:17" hidden="1" x14ac:dyDescent="0.25">
      <c r="A121" s="15" t="s">
        <v>145</v>
      </c>
      <c r="B121" s="15" t="s">
        <v>561</v>
      </c>
      <c r="C121" s="15" t="s">
        <v>337</v>
      </c>
      <c r="D121" s="15" t="s">
        <v>338</v>
      </c>
      <c r="E121" s="15"/>
      <c r="F121" s="15"/>
      <c r="G121" s="15"/>
      <c r="H121" s="15" t="s">
        <v>342</v>
      </c>
      <c r="I121" s="15">
        <v>740866.42488330521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/>
    </row>
    <row r="122" spans="1:17" hidden="1" x14ac:dyDescent="0.25">
      <c r="A122" s="15" t="s">
        <v>102</v>
      </c>
      <c r="B122" s="15" t="s">
        <v>561</v>
      </c>
      <c r="C122" s="15" t="s">
        <v>337</v>
      </c>
      <c r="D122" s="15" t="s">
        <v>338</v>
      </c>
      <c r="E122" s="15"/>
      <c r="F122" s="15"/>
      <c r="G122" s="15"/>
      <c r="H122" s="15"/>
      <c r="I122" s="15">
        <v>1481732.8497666104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/>
    </row>
    <row r="123" spans="1:17" hidden="1" x14ac:dyDescent="0.25">
      <c r="A123" s="15" t="s">
        <v>38</v>
      </c>
      <c r="B123" s="15" t="s">
        <v>561</v>
      </c>
      <c r="C123" s="15" t="s">
        <v>337</v>
      </c>
      <c r="D123" s="15" t="s">
        <v>338</v>
      </c>
      <c r="E123" s="15"/>
      <c r="F123" s="15"/>
      <c r="G123" s="15"/>
      <c r="H123" s="15"/>
      <c r="I123" s="15">
        <v>740866.42488330521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/>
    </row>
    <row r="124" spans="1:17" hidden="1" x14ac:dyDescent="0.25">
      <c r="A124" s="15" t="s">
        <v>156</v>
      </c>
      <c r="B124" s="15" t="s">
        <v>561</v>
      </c>
      <c r="C124" s="15" t="s">
        <v>337</v>
      </c>
      <c r="D124" s="15" t="s">
        <v>338</v>
      </c>
      <c r="E124" s="15"/>
      <c r="F124" s="15"/>
      <c r="G124" s="15"/>
      <c r="H124" s="15"/>
      <c r="I124" s="15">
        <v>2963465.6995332208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/>
    </row>
    <row r="125" spans="1:17" hidden="1" x14ac:dyDescent="0.25">
      <c r="A125" s="15" t="s">
        <v>18</v>
      </c>
      <c r="B125" s="15" t="s">
        <v>561</v>
      </c>
      <c r="C125" s="15" t="s">
        <v>337</v>
      </c>
      <c r="D125" s="15" t="s">
        <v>338</v>
      </c>
      <c r="E125" s="15"/>
      <c r="F125" s="15"/>
      <c r="G125" s="15"/>
      <c r="H125" s="15" t="s">
        <v>343</v>
      </c>
      <c r="I125" s="15">
        <v>2963465.6995332208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/>
    </row>
    <row r="126" spans="1:17" hidden="1" x14ac:dyDescent="0.25">
      <c r="A126" s="15" t="s">
        <v>105</v>
      </c>
      <c r="B126" s="15" t="s">
        <v>561</v>
      </c>
      <c r="C126" s="15" t="s">
        <v>337</v>
      </c>
      <c r="D126" s="15" t="s">
        <v>338</v>
      </c>
      <c r="E126" s="15"/>
      <c r="F126" s="15"/>
      <c r="G126" s="15"/>
      <c r="H126" s="15"/>
      <c r="I126" s="15">
        <v>3704332.1244165259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/>
    </row>
    <row r="127" spans="1:17" hidden="1" x14ac:dyDescent="0.25">
      <c r="A127" s="15" t="s">
        <v>346</v>
      </c>
      <c r="B127" s="15" t="s">
        <v>561</v>
      </c>
      <c r="C127" s="15" t="s">
        <v>337</v>
      </c>
      <c r="D127" s="15" t="s">
        <v>338</v>
      </c>
      <c r="E127" s="15"/>
      <c r="F127" s="15"/>
      <c r="G127" s="15"/>
      <c r="H127" s="15" t="s">
        <v>342</v>
      </c>
      <c r="I127" s="15">
        <v>34820721.969515346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/>
    </row>
    <row r="128" spans="1:17" hidden="1" x14ac:dyDescent="0.25">
      <c r="A128" s="15" t="s">
        <v>154</v>
      </c>
      <c r="B128" s="15" t="s">
        <v>561</v>
      </c>
      <c r="C128" s="15" t="s">
        <v>337</v>
      </c>
      <c r="D128" s="15" t="s">
        <v>338</v>
      </c>
      <c r="E128" s="15"/>
      <c r="F128" s="15"/>
      <c r="G128" s="15"/>
      <c r="H128" s="15"/>
      <c r="I128" s="15">
        <v>2222599.2746499158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/>
    </row>
    <row r="129" spans="1:17" hidden="1" x14ac:dyDescent="0.25">
      <c r="A129" s="15" t="s">
        <v>118</v>
      </c>
      <c r="B129" s="15" t="s">
        <v>561</v>
      </c>
      <c r="C129" s="15" t="s">
        <v>337</v>
      </c>
      <c r="D129" s="15" t="s">
        <v>338</v>
      </c>
      <c r="E129" s="15"/>
      <c r="F129" s="15"/>
      <c r="G129" s="15"/>
      <c r="H129" s="15" t="s">
        <v>343</v>
      </c>
      <c r="I129" s="15">
        <v>6667797.8239497459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/>
    </row>
    <row r="130" spans="1:17" hidden="1" x14ac:dyDescent="0.25">
      <c r="A130" s="15" t="s">
        <v>151</v>
      </c>
      <c r="B130" s="15" t="s">
        <v>561</v>
      </c>
      <c r="C130" s="15" t="s">
        <v>337</v>
      </c>
      <c r="D130" s="15" t="s">
        <v>338</v>
      </c>
      <c r="E130" s="15"/>
      <c r="F130" s="15"/>
      <c r="G130" s="15"/>
      <c r="H130" s="15"/>
      <c r="I130" s="15">
        <v>740866.42488330521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/>
    </row>
    <row r="131" spans="1:17" hidden="1" x14ac:dyDescent="0.25">
      <c r="A131" s="15" t="s">
        <v>93</v>
      </c>
      <c r="B131" s="15" t="s">
        <v>561</v>
      </c>
      <c r="C131" s="15" t="s">
        <v>337</v>
      </c>
      <c r="D131" s="15" t="s">
        <v>338</v>
      </c>
      <c r="E131" s="15"/>
      <c r="F131" s="15"/>
      <c r="G131" s="15"/>
      <c r="H131" s="15" t="s">
        <v>343</v>
      </c>
      <c r="I131" s="15">
        <v>5186064.9741831366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/>
    </row>
    <row r="132" spans="1:17" hidden="1" x14ac:dyDescent="0.25">
      <c r="A132" s="15" t="s">
        <v>55</v>
      </c>
      <c r="B132" s="15" t="s">
        <v>561</v>
      </c>
      <c r="C132" s="15" t="s">
        <v>337</v>
      </c>
      <c r="D132" s="15" t="s">
        <v>338</v>
      </c>
      <c r="E132" s="15"/>
      <c r="F132" s="15"/>
      <c r="G132" s="15"/>
      <c r="H132" s="15" t="s">
        <v>342</v>
      </c>
      <c r="I132" s="15">
        <v>2222599.2746499158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/>
    </row>
    <row r="133" spans="1:17" hidden="1" x14ac:dyDescent="0.25">
      <c r="A133" s="15" t="s">
        <v>17</v>
      </c>
      <c r="B133" s="15" t="s">
        <v>561</v>
      </c>
      <c r="C133" s="15" t="s">
        <v>337</v>
      </c>
      <c r="D133" s="15" t="s">
        <v>338</v>
      </c>
      <c r="E133" s="15"/>
      <c r="F133" s="15"/>
      <c r="G133" s="15"/>
      <c r="H133" s="15" t="s">
        <v>343</v>
      </c>
      <c r="I133" s="15">
        <v>8149530.673716356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/>
    </row>
    <row r="134" spans="1:17" hidden="1" x14ac:dyDescent="0.25">
      <c r="A134" s="15" t="s">
        <v>120</v>
      </c>
      <c r="B134" s="15" t="s">
        <v>561</v>
      </c>
      <c r="C134" s="15" t="s">
        <v>337</v>
      </c>
      <c r="D134" s="15" t="s">
        <v>338</v>
      </c>
      <c r="E134" s="15"/>
      <c r="F134" s="15"/>
      <c r="G134" s="15"/>
      <c r="H134" s="15" t="s">
        <v>343</v>
      </c>
      <c r="I134" s="15">
        <v>3704332.1244165259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/>
    </row>
    <row r="135" spans="1:17" hidden="1" x14ac:dyDescent="0.25">
      <c r="A135" s="15" t="s">
        <v>107</v>
      </c>
      <c r="B135" s="15" t="s">
        <v>561</v>
      </c>
      <c r="C135" s="15" t="s">
        <v>337</v>
      </c>
      <c r="D135" s="15" t="s">
        <v>338</v>
      </c>
      <c r="E135" s="15"/>
      <c r="F135" s="15"/>
      <c r="G135" s="15"/>
      <c r="H135" s="15"/>
      <c r="I135" s="15">
        <v>740866.42488330521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/>
    </row>
    <row r="136" spans="1:17" ht="30" hidden="1" x14ac:dyDescent="0.25">
      <c r="A136" s="15" t="s">
        <v>347</v>
      </c>
      <c r="B136" s="15" t="s">
        <v>561</v>
      </c>
      <c r="C136" s="15" t="s">
        <v>337</v>
      </c>
      <c r="D136" s="15" t="s">
        <v>338</v>
      </c>
      <c r="E136" s="15"/>
      <c r="F136" s="15"/>
      <c r="G136" s="15"/>
      <c r="H136" s="15"/>
      <c r="I136" s="15">
        <v>3704332.1244165259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/>
    </row>
    <row r="137" spans="1:17" hidden="1" x14ac:dyDescent="0.25">
      <c r="A137" s="15" t="s">
        <v>103</v>
      </c>
      <c r="B137" s="15" t="s">
        <v>561</v>
      </c>
      <c r="C137" s="15" t="s">
        <v>337</v>
      </c>
      <c r="D137" s="15" t="s">
        <v>338</v>
      </c>
      <c r="E137" s="15"/>
      <c r="F137" s="15"/>
      <c r="G137" s="15"/>
      <c r="H137" s="15"/>
      <c r="I137" s="15">
        <v>2963465.6995332208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/>
    </row>
    <row r="138" spans="1:17" hidden="1" x14ac:dyDescent="0.25">
      <c r="A138" s="15" t="s">
        <v>51</v>
      </c>
      <c r="B138" s="15" t="s">
        <v>561</v>
      </c>
      <c r="C138" s="15" t="s">
        <v>337</v>
      </c>
      <c r="D138" s="15" t="s">
        <v>338</v>
      </c>
      <c r="E138" s="15"/>
      <c r="F138" s="15"/>
      <c r="G138" s="15"/>
      <c r="H138" s="15" t="s">
        <v>342</v>
      </c>
      <c r="I138" s="15">
        <v>5186064.9741831366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/>
    </row>
    <row r="139" spans="1:17" hidden="1" x14ac:dyDescent="0.25">
      <c r="A139" s="15" t="s">
        <v>21</v>
      </c>
      <c r="B139" s="15" t="s">
        <v>561</v>
      </c>
      <c r="C139" s="15" t="s">
        <v>337</v>
      </c>
      <c r="D139" s="15" t="s">
        <v>348</v>
      </c>
      <c r="E139" s="15" t="s">
        <v>320</v>
      </c>
      <c r="F139" s="15"/>
      <c r="G139" s="15">
        <v>2</v>
      </c>
      <c r="H139" s="15"/>
      <c r="I139" s="15">
        <v>4133704.7500000019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/>
    </row>
    <row r="140" spans="1:17" hidden="1" x14ac:dyDescent="0.25">
      <c r="A140" s="15" t="s">
        <v>22</v>
      </c>
      <c r="B140" s="15" t="s">
        <v>561</v>
      </c>
      <c r="C140" s="15" t="s">
        <v>337</v>
      </c>
      <c r="D140" s="15" t="s">
        <v>348</v>
      </c>
      <c r="E140" s="15" t="s">
        <v>320</v>
      </c>
      <c r="F140" s="15"/>
      <c r="G140" s="15"/>
      <c r="H140" s="15"/>
      <c r="I140" s="15">
        <v>106329968.9599999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/>
    </row>
    <row r="141" spans="1:17" hidden="1" x14ac:dyDescent="0.25">
      <c r="A141" s="15" t="s">
        <v>56</v>
      </c>
      <c r="B141" s="15" t="s">
        <v>561</v>
      </c>
      <c r="C141" s="15" t="s">
        <v>337</v>
      </c>
      <c r="D141" s="15" t="s">
        <v>348</v>
      </c>
      <c r="E141" s="15" t="s">
        <v>320</v>
      </c>
      <c r="F141" s="15"/>
      <c r="G141" s="15"/>
      <c r="H141" s="15"/>
      <c r="I141" s="15">
        <v>33638771.900000058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/>
    </row>
    <row r="142" spans="1:17" hidden="1" x14ac:dyDescent="0.25">
      <c r="A142" s="15" t="s">
        <v>25</v>
      </c>
      <c r="B142" s="15" t="s">
        <v>561</v>
      </c>
      <c r="C142" s="15" t="s">
        <v>337</v>
      </c>
      <c r="D142" s="15" t="s">
        <v>348</v>
      </c>
      <c r="E142" s="15" t="s">
        <v>320</v>
      </c>
      <c r="F142" s="15"/>
      <c r="G142" s="15"/>
      <c r="H142" s="15"/>
      <c r="I142" s="15">
        <v>17735235.059999984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/>
    </row>
    <row r="143" spans="1:17" hidden="1" x14ac:dyDescent="0.25">
      <c r="A143" s="15" t="s">
        <v>54</v>
      </c>
      <c r="B143" s="15" t="s">
        <v>561</v>
      </c>
      <c r="C143" s="15" t="s">
        <v>337</v>
      </c>
      <c r="D143" s="15" t="s">
        <v>348</v>
      </c>
      <c r="E143" s="15" t="s">
        <v>320</v>
      </c>
      <c r="F143" s="15"/>
      <c r="G143" s="15"/>
      <c r="H143" s="15"/>
      <c r="I143" s="15">
        <v>37869.070000000007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/>
    </row>
    <row r="144" spans="1:17" hidden="1" x14ac:dyDescent="0.25">
      <c r="A144" s="15" t="s">
        <v>350</v>
      </c>
      <c r="B144" s="15" t="s">
        <v>561</v>
      </c>
      <c r="C144" s="15" t="s">
        <v>337</v>
      </c>
      <c r="D144" s="15" t="s">
        <v>348</v>
      </c>
      <c r="E144" s="15" t="s">
        <v>320</v>
      </c>
      <c r="F144" s="15"/>
      <c r="G144" s="15"/>
      <c r="H144" s="15"/>
      <c r="I144" s="15">
        <v>38645289.219999984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/>
    </row>
    <row r="145" spans="1:17" hidden="1" x14ac:dyDescent="0.25">
      <c r="A145" s="15" t="s">
        <v>27</v>
      </c>
      <c r="B145" s="15" t="s">
        <v>561</v>
      </c>
      <c r="C145" s="15" t="s">
        <v>337</v>
      </c>
      <c r="D145" s="15" t="s">
        <v>348</v>
      </c>
      <c r="E145" s="15" t="s">
        <v>320</v>
      </c>
      <c r="F145" s="15"/>
      <c r="G145" s="15"/>
      <c r="H145" s="15"/>
      <c r="I145" s="15">
        <v>47237007.010000035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/>
    </row>
    <row r="146" spans="1:17" hidden="1" x14ac:dyDescent="0.25">
      <c r="A146" s="15" t="s">
        <v>21</v>
      </c>
      <c r="B146" s="15" t="s">
        <v>561</v>
      </c>
      <c r="C146" s="15" t="s">
        <v>337</v>
      </c>
      <c r="D146" s="15" t="s">
        <v>348</v>
      </c>
      <c r="E146" s="15" t="s">
        <v>320</v>
      </c>
      <c r="F146" s="15"/>
      <c r="G146" s="15"/>
      <c r="H146" s="15"/>
      <c r="I146" s="15">
        <v>536814012.13001424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/>
    </row>
    <row r="147" spans="1:17" hidden="1" x14ac:dyDescent="0.25">
      <c r="A147" s="15" t="s">
        <v>152</v>
      </c>
      <c r="B147" s="15" t="s">
        <v>561</v>
      </c>
      <c r="C147" s="15" t="s">
        <v>337</v>
      </c>
      <c r="D147" s="15" t="s">
        <v>348</v>
      </c>
      <c r="E147" s="15" t="s">
        <v>320</v>
      </c>
      <c r="F147" s="15"/>
      <c r="G147" s="15"/>
      <c r="H147" s="15"/>
      <c r="I147" s="15">
        <v>13739359.569999987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/>
    </row>
    <row r="148" spans="1:17" hidden="1" x14ac:dyDescent="0.25">
      <c r="A148" s="15" t="s">
        <v>18</v>
      </c>
      <c r="B148" s="15" t="s">
        <v>561</v>
      </c>
      <c r="C148" s="15" t="s">
        <v>337</v>
      </c>
      <c r="D148" s="15" t="s">
        <v>348</v>
      </c>
      <c r="E148" s="15" t="s">
        <v>320</v>
      </c>
      <c r="F148" s="15"/>
      <c r="G148" s="15"/>
      <c r="H148" s="15"/>
      <c r="I148" s="15">
        <v>8153129.5399999972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/>
    </row>
    <row r="149" spans="1:17" hidden="1" x14ac:dyDescent="0.25">
      <c r="A149" s="15" t="s">
        <v>93</v>
      </c>
      <c r="B149" s="15" t="s">
        <v>561</v>
      </c>
      <c r="C149" s="15" t="s">
        <v>337</v>
      </c>
      <c r="D149" s="15" t="s">
        <v>348</v>
      </c>
      <c r="E149" s="15" t="s">
        <v>320</v>
      </c>
      <c r="F149" s="15"/>
      <c r="G149" s="15"/>
      <c r="H149" s="15"/>
      <c r="I149" s="15">
        <v>22475823.93999996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/>
    </row>
    <row r="150" spans="1:17" hidden="1" x14ac:dyDescent="0.25">
      <c r="A150" s="15" t="s">
        <v>336</v>
      </c>
      <c r="B150" s="15" t="s">
        <v>561</v>
      </c>
      <c r="C150" s="15" t="s">
        <v>337</v>
      </c>
      <c r="D150" s="15" t="s">
        <v>348</v>
      </c>
      <c r="E150" s="15" t="s">
        <v>320</v>
      </c>
      <c r="F150" s="15"/>
      <c r="G150" s="15"/>
      <c r="H150" s="15"/>
      <c r="I150" s="15">
        <v>27729672.150000017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/>
    </row>
    <row r="151" spans="1:17" hidden="1" x14ac:dyDescent="0.25">
      <c r="A151" s="15" t="s">
        <v>51</v>
      </c>
      <c r="B151" s="15" t="s">
        <v>561</v>
      </c>
      <c r="C151" s="15" t="s">
        <v>337</v>
      </c>
      <c r="D151" s="15" t="s">
        <v>348</v>
      </c>
      <c r="E151" s="15" t="s">
        <v>320</v>
      </c>
      <c r="F151" s="15"/>
      <c r="G151" s="15"/>
      <c r="H151" s="15"/>
      <c r="I151" s="15">
        <v>12720317.61999999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/>
    </row>
    <row r="152" spans="1:17" ht="30" hidden="1" x14ac:dyDescent="0.25">
      <c r="A152" s="15" t="s">
        <v>21</v>
      </c>
      <c r="B152" s="15" t="s">
        <v>561</v>
      </c>
      <c r="C152" s="15" t="s">
        <v>337</v>
      </c>
      <c r="D152" s="15" t="s">
        <v>348</v>
      </c>
      <c r="E152" s="15" t="s">
        <v>322</v>
      </c>
      <c r="F152" s="15"/>
      <c r="G152" s="15"/>
      <c r="H152" s="15"/>
      <c r="I152" s="15">
        <v>4173924.4899999993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/>
    </row>
    <row r="153" spans="1:17" ht="30" hidden="1" x14ac:dyDescent="0.25">
      <c r="A153" s="15" t="s">
        <v>22</v>
      </c>
      <c r="B153" s="15" t="s">
        <v>561</v>
      </c>
      <c r="C153" s="15" t="s">
        <v>337</v>
      </c>
      <c r="D153" s="15" t="s">
        <v>348</v>
      </c>
      <c r="E153" s="15" t="s">
        <v>322</v>
      </c>
      <c r="F153" s="15"/>
      <c r="G153" s="15"/>
      <c r="H153" s="15"/>
      <c r="I153" s="15">
        <v>11023567.570000023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/>
    </row>
    <row r="154" spans="1:17" ht="30" hidden="1" x14ac:dyDescent="0.25">
      <c r="A154" s="15" t="s">
        <v>20</v>
      </c>
      <c r="B154" s="15" t="s">
        <v>561</v>
      </c>
      <c r="C154" s="15" t="s">
        <v>337</v>
      </c>
      <c r="D154" s="15" t="s">
        <v>348</v>
      </c>
      <c r="E154" s="15" t="s">
        <v>322</v>
      </c>
      <c r="F154" s="15"/>
      <c r="G154" s="15"/>
      <c r="H154" s="15"/>
      <c r="I154" s="15">
        <v>23926032.889999863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/>
    </row>
    <row r="155" spans="1:17" ht="30" hidden="1" x14ac:dyDescent="0.25">
      <c r="A155" s="15" t="s">
        <v>345</v>
      </c>
      <c r="B155" s="15" t="s">
        <v>561</v>
      </c>
      <c r="C155" s="15" t="s">
        <v>337</v>
      </c>
      <c r="D155" s="15" t="s">
        <v>348</v>
      </c>
      <c r="E155" s="15" t="s">
        <v>322</v>
      </c>
      <c r="F155" s="15"/>
      <c r="G155" s="15"/>
      <c r="H155" s="15"/>
      <c r="I155" s="15">
        <v>123535.67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/>
    </row>
    <row r="156" spans="1:17" ht="30" hidden="1" x14ac:dyDescent="0.25">
      <c r="A156" s="15" t="s">
        <v>7</v>
      </c>
      <c r="B156" s="15" t="s">
        <v>561</v>
      </c>
      <c r="C156" s="15" t="s">
        <v>337</v>
      </c>
      <c r="D156" s="15" t="s">
        <v>348</v>
      </c>
      <c r="E156" s="15" t="s">
        <v>322</v>
      </c>
      <c r="F156" s="15"/>
      <c r="G156" s="15"/>
      <c r="H156" s="15"/>
      <c r="I156" s="15">
        <v>107010419.06999928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/>
    </row>
    <row r="157" spans="1:17" ht="30" hidden="1" x14ac:dyDescent="0.25">
      <c r="A157" s="15" t="s">
        <v>333</v>
      </c>
      <c r="B157" s="15" t="s">
        <v>561</v>
      </c>
      <c r="C157" s="15" t="s">
        <v>337</v>
      </c>
      <c r="D157" s="15" t="s">
        <v>348</v>
      </c>
      <c r="E157" s="15" t="s">
        <v>322</v>
      </c>
      <c r="F157" s="15"/>
      <c r="G157" s="15"/>
      <c r="H157" s="15"/>
      <c r="I157" s="15">
        <v>154799260.07999986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/>
    </row>
    <row r="158" spans="1:17" ht="30" hidden="1" x14ac:dyDescent="0.25">
      <c r="A158" s="15" t="s">
        <v>346</v>
      </c>
      <c r="B158" s="15" t="s">
        <v>561</v>
      </c>
      <c r="C158" s="15" t="s">
        <v>337</v>
      </c>
      <c r="D158" s="15" t="s">
        <v>348</v>
      </c>
      <c r="E158" s="15" t="s">
        <v>322</v>
      </c>
      <c r="F158" s="15"/>
      <c r="G158" s="15"/>
      <c r="H158" s="15"/>
      <c r="I158" s="15">
        <v>7796925.8200000012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/>
    </row>
    <row r="159" spans="1:17" ht="30" hidden="1" x14ac:dyDescent="0.25">
      <c r="A159" s="15" t="s">
        <v>55</v>
      </c>
      <c r="B159" s="15" t="s">
        <v>561</v>
      </c>
      <c r="C159" s="15" t="s">
        <v>337</v>
      </c>
      <c r="D159" s="15" t="s">
        <v>348</v>
      </c>
      <c r="E159" s="15" t="s">
        <v>322</v>
      </c>
      <c r="F159" s="15"/>
      <c r="G159" s="15"/>
      <c r="H159" s="15"/>
      <c r="I159" s="15">
        <v>2517045.3900000011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/>
    </row>
    <row r="160" spans="1:17" ht="30" hidden="1" x14ac:dyDescent="0.25">
      <c r="A160" s="15" t="s">
        <v>51</v>
      </c>
      <c r="B160" s="15" t="s">
        <v>561</v>
      </c>
      <c r="C160" s="15" t="s">
        <v>337</v>
      </c>
      <c r="D160" s="15" t="s">
        <v>348</v>
      </c>
      <c r="E160" s="15" t="s">
        <v>322</v>
      </c>
      <c r="F160" s="15"/>
      <c r="G160" s="15"/>
      <c r="H160" s="15"/>
      <c r="I160" s="15">
        <v>445154.67000000004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/>
    </row>
    <row r="161" spans="1:17" hidden="1" x14ac:dyDescent="0.25">
      <c r="A161" s="15" t="s">
        <v>345</v>
      </c>
      <c r="B161" s="15" t="s">
        <v>561</v>
      </c>
      <c r="C161" s="15" t="s">
        <v>318</v>
      </c>
      <c r="D161" s="15" t="s">
        <v>319</v>
      </c>
      <c r="E161" s="15" t="s">
        <v>351</v>
      </c>
      <c r="F161" s="15"/>
      <c r="G161" s="15"/>
      <c r="H161" s="15"/>
      <c r="I161" s="15">
        <v>5423625.7199999932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/>
    </row>
    <row r="162" spans="1:17" hidden="1" x14ac:dyDescent="0.25">
      <c r="A162" s="15" t="s">
        <v>35</v>
      </c>
      <c r="B162" s="15" t="s">
        <v>561</v>
      </c>
      <c r="C162" s="15" t="s">
        <v>318</v>
      </c>
      <c r="D162" s="15" t="s">
        <v>319</v>
      </c>
      <c r="E162" s="15" t="s">
        <v>351</v>
      </c>
      <c r="F162" s="15"/>
      <c r="G162" s="15"/>
      <c r="H162" s="15"/>
      <c r="I162" s="15">
        <v>1456400.8099999996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/>
    </row>
    <row r="163" spans="1:17" hidden="1" x14ac:dyDescent="0.25">
      <c r="A163" s="15" t="s">
        <v>346</v>
      </c>
      <c r="B163" s="15" t="s">
        <v>561</v>
      </c>
      <c r="C163" s="15" t="s">
        <v>318</v>
      </c>
      <c r="D163" s="15" t="s">
        <v>319</v>
      </c>
      <c r="E163" s="15" t="s">
        <v>351</v>
      </c>
      <c r="F163" s="15"/>
      <c r="G163" s="15">
        <v>1</v>
      </c>
      <c r="H163" s="15"/>
      <c r="I163" s="15">
        <v>54851077.389999077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/>
    </row>
    <row r="164" spans="1:17" hidden="1" x14ac:dyDescent="0.25">
      <c r="A164" s="15" t="s">
        <v>353</v>
      </c>
      <c r="B164" s="15" t="s">
        <v>561</v>
      </c>
      <c r="C164" s="15" t="s">
        <v>318</v>
      </c>
      <c r="D164" s="15" t="s">
        <v>319</v>
      </c>
      <c r="E164" s="15" t="s">
        <v>325</v>
      </c>
      <c r="F164" s="15"/>
      <c r="G164" s="15"/>
      <c r="H164" s="15"/>
      <c r="I164" s="15">
        <v>25370.440000000002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/>
    </row>
    <row r="165" spans="1:17" hidden="1" x14ac:dyDescent="0.25">
      <c r="A165" s="15" t="s">
        <v>22</v>
      </c>
      <c r="B165" s="15" t="s">
        <v>561</v>
      </c>
      <c r="C165" s="15" t="s">
        <v>318</v>
      </c>
      <c r="D165" s="15" t="s">
        <v>319</v>
      </c>
      <c r="E165" s="15" t="s">
        <v>325</v>
      </c>
      <c r="F165" s="15"/>
      <c r="G165" s="15"/>
      <c r="H165" s="15"/>
      <c r="I165" s="15">
        <v>18648.36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/>
    </row>
    <row r="166" spans="1:17" hidden="1" x14ac:dyDescent="0.25">
      <c r="A166" s="15" t="s">
        <v>148</v>
      </c>
      <c r="B166" s="15" t="s">
        <v>561</v>
      </c>
      <c r="C166" s="15" t="s">
        <v>318</v>
      </c>
      <c r="D166" s="15" t="s">
        <v>319</v>
      </c>
      <c r="E166" s="15" t="s">
        <v>325</v>
      </c>
      <c r="F166" s="15"/>
      <c r="G166" s="15"/>
      <c r="H166" s="15"/>
      <c r="I166" s="15">
        <v>2366.4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/>
    </row>
    <row r="167" spans="1:17" hidden="1" x14ac:dyDescent="0.25">
      <c r="A167" s="15" t="s">
        <v>7</v>
      </c>
      <c r="B167" s="15" t="s">
        <v>561</v>
      </c>
      <c r="C167" s="15" t="s">
        <v>318</v>
      </c>
      <c r="D167" s="15" t="s">
        <v>319</v>
      </c>
      <c r="E167" s="15" t="s">
        <v>325</v>
      </c>
      <c r="F167" s="15"/>
      <c r="G167" s="15"/>
      <c r="H167" s="15"/>
      <c r="I167" s="15">
        <v>37065.72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/>
    </row>
    <row r="168" spans="1:17" hidden="1" x14ac:dyDescent="0.25">
      <c r="A168" s="15" t="s">
        <v>333</v>
      </c>
      <c r="B168" s="15" t="s">
        <v>561</v>
      </c>
      <c r="C168" s="15" t="s">
        <v>318</v>
      </c>
      <c r="D168" s="15" t="s">
        <v>319</v>
      </c>
      <c r="E168" s="15" t="s">
        <v>325</v>
      </c>
      <c r="F168" s="15"/>
      <c r="G168" s="15"/>
      <c r="H168" s="15"/>
      <c r="I168" s="15">
        <v>7905.2800000000007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/>
    </row>
    <row r="169" spans="1:17" hidden="1" x14ac:dyDescent="0.25">
      <c r="A169" s="15" t="s">
        <v>127</v>
      </c>
      <c r="B169" s="15" t="s">
        <v>561</v>
      </c>
      <c r="C169" s="15" t="s">
        <v>318</v>
      </c>
      <c r="D169" s="15" t="s">
        <v>319</v>
      </c>
      <c r="E169" s="15" t="s">
        <v>325</v>
      </c>
      <c r="F169" s="15"/>
      <c r="G169" s="15"/>
      <c r="H169" s="15"/>
      <c r="I169" s="15">
        <v>8188.1200000000008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/>
    </row>
    <row r="170" spans="1:17" hidden="1" x14ac:dyDescent="0.25">
      <c r="A170" s="15" t="s">
        <v>102</v>
      </c>
      <c r="B170" s="15" t="s">
        <v>561</v>
      </c>
      <c r="C170" s="15" t="s">
        <v>318</v>
      </c>
      <c r="D170" s="15" t="s">
        <v>319</v>
      </c>
      <c r="E170" s="15" t="s">
        <v>325</v>
      </c>
      <c r="F170" s="15"/>
      <c r="G170" s="15"/>
      <c r="H170" s="15"/>
      <c r="I170" s="15">
        <v>16376.24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/>
    </row>
    <row r="171" spans="1:17" hidden="1" x14ac:dyDescent="0.25">
      <c r="A171" s="15" t="s">
        <v>105</v>
      </c>
      <c r="B171" s="15" t="s">
        <v>561</v>
      </c>
      <c r="C171" s="15" t="s">
        <v>318</v>
      </c>
      <c r="D171" s="15" t="s">
        <v>319</v>
      </c>
      <c r="E171" s="15" t="s">
        <v>325</v>
      </c>
      <c r="F171" s="15"/>
      <c r="G171" s="15"/>
      <c r="H171" s="15"/>
      <c r="I171" s="15">
        <v>21109.040000000001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/>
    </row>
    <row r="172" spans="1:17" hidden="1" x14ac:dyDescent="0.25">
      <c r="A172" s="15" t="s">
        <v>154</v>
      </c>
      <c r="B172" s="15" t="s">
        <v>561</v>
      </c>
      <c r="C172" s="15" t="s">
        <v>318</v>
      </c>
      <c r="D172" s="15" t="s">
        <v>319</v>
      </c>
      <c r="E172" s="15" t="s">
        <v>325</v>
      </c>
      <c r="F172" s="15"/>
      <c r="G172" s="15"/>
      <c r="H172" s="15"/>
      <c r="I172" s="15">
        <v>1183.2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/>
    </row>
    <row r="173" spans="1:17" hidden="1" x14ac:dyDescent="0.25">
      <c r="A173" s="15" t="s">
        <v>118</v>
      </c>
      <c r="B173" s="15" t="s">
        <v>561</v>
      </c>
      <c r="C173" s="15" t="s">
        <v>318</v>
      </c>
      <c r="D173" s="15" t="s">
        <v>319</v>
      </c>
      <c r="E173" s="15" t="s">
        <v>325</v>
      </c>
      <c r="F173" s="15"/>
      <c r="G173" s="15"/>
      <c r="H173" s="15"/>
      <c r="I173" s="15">
        <v>3549.6000000000004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/>
    </row>
    <row r="174" spans="1:17" hidden="1" x14ac:dyDescent="0.25">
      <c r="A174" s="15" t="s">
        <v>156</v>
      </c>
      <c r="B174" s="15" t="s">
        <v>561</v>
      </c>
      <c r="C174" s="15" t="s">
        <v>318</v>
      </c>
      <c r="D174" s="15" t="s">
        <v>319</v>
      </c>
      <c r="E174" s="15" t="s">
        <v>354</v>
      </c>
      <c r="F174" s="15"/>
      <c r="G174" s="15"/>
      <c r="H174" s="15"/>
      <c r="I174" s="15">
        <v>921680.2300000001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/>
    </row>
    <row r="175" spans="1:17" hidden="1" x14ac:dyDescent="0.25">
      <c r="A175" s="15" t="s">
        <v>127</v>
      </c>
      <c r="B175" s="15" t="s">
        <v>561</v>
      </c>
      <c r="C175" s="15" t="s">
        <v>318</v>
      </c>
      <c r="D175" s="15" t="s">
        <v>319</v>
      </c>
      <c r="E175" s="15" t="s">
        <v>355</v>
      </c>
      <c r="F175" s="15"/>
      <c r="G175" s="15"/>
      <c r="H175" s="15"/>
      <c r="I175" s="15">
        <v>5926665.4000000013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/>
    </row>
    <row r="176" spans="1:17" hidden="1" x14ac:dyDescent="0.25">
      <c r="A176" s="15" t="s">
        <v>22</v>
      </c>
      <c r="B176" s="15" t="s">
        <v>561</v>
      </c>
      <c r="C176" s="15" t="s">
        <v>318</v>
      </c>
      <c r="D176" s="15" t="s">
        <v>319</v>
      </c>
      <c r="E176" s="15" t="s">
        <v>320</v>
      </c>
      <c r="F176" s="15"/>
      <c r="G176" s="15"/>
      <c r="H176" s="15"/>
      <c r="I176" s="15">
        <v>5086111.4299999988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/>
    </row>
    <row r="177" spans="1:17" hidden="1" x14ac:dyDescent="0.25">
      <c r="A177" s="15" t="s">
        <v>21</v>
      </c>
      <c r="B177" s="15" t="s">
        <v>561</v>
      </c>
      <c r="C177" s="15" t="s">
        <v>318</v>
      </c>
      <c r="D177" s="15" t="s">
        <v>319</v>
      </c>
      <c r="E177" s="15" t="s">
        <v>320</v>
      </c>
      <c r="F177" s="15"/>
      <c r="G177" s="15">
        <v>1</v>
      </c>
      <c r="H177" s="15"/>
      <c r="I177" s="15">
        <v>26291849.469999973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/>
    </row>
    <row r="178" spans="1:17" hidden="1" x14ac:dyDescent="0.25">
      <c r="A178" s="15" t="s">
        <v>93</v>
      </c>
      <c r="B178" s="15" t="s">
        <v>561</v>
      </c>
      <c r="C178" s="15" t="s">
        <v>318</v>
      </c>
      <c r="D178" s="15" t="s">
        <v>319</v>
      </c>
      <c r="E178" s="15" t="s">
        <v>320</v>
      </c>
      <c r="F178" s="15"/>
      <c r="G178" s="15"/>
      <c r="H178" s="15"/>
      <c r="I178" s="15">
        <v>22420066.279999983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/>
    </row>
    <row r="179" spans="1:17" ht="30" hidden="1" x14ac:dyDescent="0.25">
      <c r="A179" s="15" t="s">
        <v>7</v>
      </c>
      <c r="B179" s="15" t="s">
        <v>561</v>
      </c>
      <c r="C179" s="15" t="s">
        <v>318</v>
      </c>
      <c r="D179" s="15" t="s">
        <v>319</v>
      </c>
      <c r="E179" s="15" t="s">
        <v>322</v>
      </c>
      <c r="F179" s="15"/>
      <c r="G179" s="15"/>
      <c r="H179" s="15"/>
      <c r="I179" s="15">
        <v>85074102.199999839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/>
    </row>
    <row r="180" spans="1:17" ht="30" hidden="1" x14ac:dyDescent="0.25">
      <c r="A180" s="15" t="s">
        <v>333</v>
      </c>
      <c r="B180" s="15" t="s">
        <v>561</v>
      </c>
      <c r="C180" s="15" t="s">
        <v>318</v>
      </c>
      <c r="D180" s="15" t="s">
        <v>319</v>
      </c>
      <c r="E180" s="15" t="s">
        <v>322</v>
      </c>
      <c r="F180" s="15"/>
      <c r="G180" s="15"/>
      <c r="H180" s="15"/>
      <c r="I180" s="15">
        <v>3823372.6700000009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/>
    </row>
    <row r="181" spans="1:17" hidden="1" x14ac:dyDescent="0.25">
      <c r="A181" s="15" t="s">
        <v>148</v>
      </c>
      <c r="B181" s="15" t="s">
        <v>561</v>
      </c>
      <c r="C181" s="15" t="s">
        <v>318</v>
      </c>
      <c r="D181" s="15" t="s">
        <v>319</v>
      </c>
      <c r="E181" s="15" t="s">
        <v>356</v>
      </c>
      <c r="F181" s="15"/>
      <c r="G181" s="15"/>
      <c r="H181" s="15"/>
      <c r="I181" s="15">
        <v>8536955.5500000007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/>
    </row>
    <row r="182" spans="1:17" hidden="1" x14ac:dyDescent="0.25">
      <c r="A182" s="15" t="s">
        <v>173</v>
      </c>
      <c r="B182" s="15" t="s">
        <v>561</v>
      </c>
      <c r="C182" s="15" t="s">
        <v>318</v>
      </c>
      <c r="D182" s="15" t="s">
        <v>319</v>
      </c>
      <c r="E182" s="15" t="s">
        <v>356</v>
      </c>
      <c r="F182" s="15"/>
      <c r="G182" s="15"/>
      <c r="H182" s="15"/>
      <c r="I182" s="15">
        <v>10671112.189999996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/>
    </row>
    <row r="183" spans="1:17" hidden="1" x14ac:dyDescent="0.25">
      <c r="A183" s="15" t="s">
        <v>156</v>
      </c>
      <c r="B183" s="15" t="s">
        <v>561</v>
      </c>
      <c r="C183" s="15" t="s">
        <v>318</v>
      </c>
      <c r="D183" s="15" t="s">
        <v>319</v>
      </c>
      <c r="E183" s="15" t="s">
        <v>356</v>
      </c>
      <c r="F183" s="15"/>
      <c r="G183" s="15"/>
      <c r="H183" s="15"/>
      <c r="I183" s="15">
        <v>647650.9600000002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/>
    </row>
    <row r="184" spans="1:17" hidden="1" x14ac:dyDescent="0.25">
      <c r="A184" s="15" t="s">
        <v>154</v>
      </c>
      <c r="B184" s="15" t="s">
        <v>561</v>
      </c>
      <c r="C184" s="15" t="s">
        <v>318</v>
      </c>
      <c r="D184" s="15" t="s">
        <v>319</v>
      </c>
      <c r="E184" s="15" t="s">
        <v>356</v>
      </c>
      <c r="F184" s="15"/>
      <c r="G184" s="15"/>
      <c r="H184" s="15"/>
      <c r="I184" s="15">
        <v>4282666.66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/>
    </row>
    <row r="185" spans="1:17" hidden="1" x14ac:dyDescent="0.25">
      <c r="A185" s="15" t="s">
        <v>160</v>
      </c>
      <c r="B185" s="15" t="s">
        <v>561</v>
      </c>
      <c r="C185" s="15" t="s">
        <v>318</v>
      </c>
      <c r="D185" s="15" t="s">
        <v>319</v>
      </c>
      <c r="E185" s="15" t="s">
        <v>356</v>
      </c>
      <c r="F185" s="15"/>
      <c r="G185" s="15"/>
      <c r="H185" s="15"/>
      <c r="I185" s="15">
        <v>6853605.1999999909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/>
    </row>
    <row r="186" spans="1:17" hidden="1" x14ac:dyDescent="0.25">
      <c r="A186" s="15" t="s">
        <v>127</v>
      </c>
      <c r="B186" s="15" t="s">
        <v>561</v>
      </c>
      <c r="C186" s="15" t="s">
        <v>318</v>
      </c>
      <c r="D186" s="15" t="s">
        <v>319</v>
      </c>
      <c r="E186" s="15" t="s">
        <v>357</v>
      </c>
      <c r="F186" s="15"/>
      <c r="G186" s="15"/>
      <c r="H186" s="15"/>
      <c r="I186" s="15">
        <v>3186751.46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/>
    </row>
    <row r="187" spans="1:17" hidden="1" x14ac:dyDescent="0.25">
      <c r="A187" s="15" t="s">
        <v>102</v>
      </c>
      <c r="B187" s="15" t="s">
        <v>561</v>
      </c>
      <c r="C187" s="15" t="s">
        <v>318</v>
      </c>
      <c r="D187" s="15" t="s">
        <v>319</v>
      </c>
      <c r="E187" s="15" t="s">
        <v>358</v>
      </c>
      <c r="F187" s="15"/>
      <c r="G187" s="15"/>
      <c r="H187" s="15"/>
      <c r="I187" s="15">
        <v>17566407.939999998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/>
    </row>
    <row r="188" spans="1:17" hidden="1" x14ac:dyDescent="0.25">
      <c r="A188" s="15" t="s">
        <v>103</v>
      </c>
      <c r="B188" s="15" t="s">
        <v>561</v>
      </c>
      <c r="C188" s="15" t="s">
        <v>318</v>
      </c>
      <c r="D188" s="15" t="s">
        <v>319</v>
      </c>
      <c r="E188" s="15" t="s">
        <v>358</v>
      </c>
      <c r="F188" s="15"/>
      <c r="G188" s="15"/>
      <c r="H188" s="15"/>
      <c r="I188" s="15">
        <v>664339.91000000038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/>
    </row>
    <row r="189" spans="1:17" hidden="1" x14ac:dyDescent="0.25">
      <c r="A189" s="15" t="s">
        <v>105</v>
      </c>
      <c r="B189" s="15" t="s">
        <v>561</v>
      </c>
      <c r="C189" s="15" t="s">
        <v>318</v>
      </c>
      <c r="D189" s="15" t="s">
        <v>319</v>
      </c>
      <c r="E189" s="15" t="s">
        <v>359</v>
      </c>
      <c r="F189" s="15"/>
      <c r="G189" s="15"/>
      <c r="H189" s="15"/>
      <c r="I189" s="15">
        <v>8668249.0399999991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/>
    </row>
    <row r="190" spans="1:17" hidden="1" x14ac:dyDescent="0.25">
      <c r="A190" s="15" t="s">
        <v>118</v>
      </c>
      <c r="B190" s="15" t="s">
        <v>561</v>
      </c>
      <c r="C190" s="15" t="s">
        <v>318</v>
      </c>
      <c r="D190" s="15" t="s">
        <v>319</v>
      </c>
      <c r="E190" s="15" t="s">
        <v>360</v>
      </c>
      <c r="F190" s="15"/>
      <c r="G190" s="15"/>
      <c r="H190" s="15"/>
      <c r="I190" s="15">
        <v>20660.689999999999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/>
    </row>
    <row r="191" spans="1:17" hidden="1" x14ac:dyDescent="0.25">
      <c r="A191" s="15" t="s">
        <v>341</v>
      </c>
      <c r="B191" s="15" t="s">
        <v>561</v>
      </c>
      <c r="C191" s="15" t="s">
        <v>337</v>
      </c>
      <c r="D191" s="15" t="s">
        <v>338</v>
      </c>
      <c r="E191" s="15" t="s">
        <v>325</v>
      </c>
      <c r="F191" s="15"/>
      <c r="G191" s="15"/>
      <c r="H191" s="15"/>
      <c r="I191" s="15">
        <v>43742.18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/>
    </row>
    <row r="192" spans="1:17" hidden="1" x14ac:dyDescent="0.25">
      <c r="A192" s="15" t="s">
        <v>7</v>
      </c>
      <c r="B192" s="15" t="s">
        <v>561</v>
      </c>
      <c r="C192" s="15" t="s">
        <v>337</v>
      </c>
      <c r="D192" s="15" t="s">
        <v>338</v>
      </c>
      <c r="E192" s="15" t="s">
        <v>325</v>
      </c>
      <c r="F192" s="15"/>
      <c r="G192" s="15">
        <v>1</v>
      </c>
      <c r="H192" s="15"/>
      <c r="I192" s="15">
        <v>51488847.459999874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/>
    </row>
    <row r="193" spans="1:17" hidden="1" x14ac:dyDescent="0.25">
      <c r="A193" s="15" t="s">
        <v>333</v>
      </c>
      <c r="B193" s="15" t="s">
        <v>561</v>
      </c>
      <c r="C193" s="15" t="s">
        <v>337</v>
      </c>
      <c r="D193" s="15" t="s">
        <v>338</v>
      </c>
      <c r="E193" s="15" t="s">
        <v>325</v>
      </c>
      <c r="F193" s="15"/>
      <c r="G193" s="15"/>
      <c r="H193" s="15"/>
      <c r="I193" s="15">
        <v>4983223.1399999978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/>
    </row>
    <row r="194" spans="1:17" hidden="1" x14ac:dyDescent="0.25">
      <c r="A194" s="15" t="s">
        <v>105</v>
      </c>
      <c r="B194" s="15" t="s">
        <v>561</v>
      </c>
      <c r="C194" s="15" t="s">
        <v>337</v>
      </c>
      <c r="D194" s="15" t="s">
        <v>338</v>
      </c>
      <c r="E194" s="15" t="s">
        <v>325</v>
      </c>
      <c r="F194" s="15"/>
      <c r="G194" s="15"/>
      <c r="H194" s="15"/>
      <c r="I194" s="15">
        <v>28707.439999999991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/>
    </row>
    <row r="195" spans="1:17" hidden="1" x14ac:dyDescent="0.25">
      <c r="A195" s="15" t="s">
        <v>346</v>
      </c>
      <c r="B195" s="15" t="s">
        <v>561</v>
      </c>
      <c r="C195" s="15" t="s">
        <v>337</v>
      </c>
      <c r="D195" s="15" t="s">
        <v>338</v>
      </c>
      <c r="E195" s="15" t="s">
        <v>325</v>
      </c>
      <c r="F195" s="15"/>
      <c r="G195" s="15"/>
      <c r="H195" s="15"/>
      <c r="I195" s="15">
        <v>904834.39000000013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/>
    </row>
    <row r="196" spans="1:17" hidden="1" x14ac:dyDescent="0.25">
      <c r="A196" s="464" t="s">
        <v>22</v>
      </c>
      <c r="B196" s="464" t="s">
        <v>561</v>
      </c>
      <c r="C196" s="464" t="s">
        <v>362</v>
      </c>
      <c r="D196" s="464" t="s">
        <v>363</v>
      </c>
      <c r="E196" s="15"/>
      <c r="F196" s="15"/>
      <c r="G196" s="15"/>
      <c r="H196" s="15" t="s">
        <v>342</v>
      </c>
      <c r="I196" s="15">
        <v>0</v>
      </c>
      <c r="J196" s="15">
        <v>0</v>
      </c>
      <c r="K196" s="15">
        <v>0</v>
      </c>
      <c r="L196" s="15">
        <v>0</v>
      </c>
      <c r="M196" s="15">
        <v>1574705433.900434</v>
      </c>
      <c r="N196" s="15">
        <v>0</v>
      </c>
      <c r="O196" s="15">
        <v>850113432.71010005</v>
      </c>
      <c r="P196" s="15">
        <v>0</v>
      </c>
      <c r="Q196" s="15"/>
    </row>
    <row r="197" spans="1:17" hidden="1" x14ac:dyDescent="0.25">
      <c r="A197" s="15" t="s">
        <v>20</v>
      </c>
      <c r="B197" s="15" t="s">
        <v>561</v>
      </c>
      <c r="C197" s="15" t="s">
        <v>364</v>
      </c>
      <c r="D197" s="15" t="s">
        <v>365</v>
      </c>
      <c r="E197" s="15"/>
      <c r="F197" s="15"/>
      <c r="G197" s="15"/>
      <c r="H197" s="15" t="s">
        <v>343</v>
      </c>
      <c r="I197" s="15">
        <v>0</v>
      </c>
      <c r="J197" s="15">
        <v>0</v>
      </c>
      <c r="K197" s="15">
        <v>0</v>
      </c>
      <c r="L197" s="15">
        <v>0</v>
      </c>
      <c r="M197" s="15">
        <v>1261789709.1353848</v>
      </c>
      <c r="N197" s="15">
        <v>0</v>
      </c>
      <c r="O197" s="15">
        <v>662172794.79000032</v>
      </c>
      <c r="P197" s="15">
        <v>0</v>
      </c>
      <c r="Q197" s="15"/>
    </row>
    <row r="198" spans="1:17" hidden="1" x14ac:dyDescent="0.25">
      <c r="A198" s="15" t="s">
        <v>25</v>
      </c>
      <c r="B198" s="15" t="s">
        <v>561</v>
      </c>
      <c r="C198" s="15" t="s">
        <v>362</v>
      </c>
      <c r="D198" s="15" t="s">
        <v>363</v>
      </c>
      <c r="E198" s="15"/>
      <c r="F198" s="15"/>
      <c r="G198" s="15"/>
      <c r="H198" s="15" t="s">
        <v>342</v>
      </c>
      <c r="I198" s="15">
        <v>0</v>
      </c>
      <c r="J198" s="15">
        <v>0</v>
      </c>
      <c r="K198" s="15">
        <v>0</v>
      </c>
      <c r="L198" s="15">
        <v>0</v>
      </c>
      <c r="M198" s="15">
        <v>1008606761.4179183</v>
      </c>
      <c r="N198" s="15">
        <v>0</v>
      </c>
      <c r="O198" s="15">
        <v>600256169.04110003</v>
      </c>
      <c r="P198" s="15">
        <v>0</v>
      </c>
      <c r="Q198" s="15"/>
    </row>
    <row r="199" spans="1:17" hidden="1" x14ac:dyDescent="0.25">
      <c r="A199" s="15" t="s">
        <v>350</v>
      </c>
      <c r="B199" s="15" t="s">
        <v>561</v>
      </c>
      <c r="C199" s="15" t="s">
        <v>362</v>
      </c>
      <c r="D199" s="15" t="s">
        <v>366</v>
      </c>
      <c r="E199" s="15"/>
      <c r="F199" s="15"/>
      <c r="G199" s="15"/>
      <c r="H199" s="15"/>
      <c r="I199" s="15">
        <v>0</v>
      </c>
      <c r="J199" s="15">
        <v>0</v>
      </c>
      <c r="K199" s="15">
        <v>0</v>
      </c>
      <c r="L199" s="15">
        <v>0</v>
      </c>
      <c r="M199" s="15">
        <v>372331071.40695155</v>
      </c>
      <c r="N199" s="15">
        <v>0</v>
      </c>
      <c r="O199" s="15">
        <v>241381462.22059995</v>
      </c>
      <c r="P199" s="15">
        <v>6817750437.9784079</v>
      </c>
      <c r="Q199" s="15"/>
    </row>
    <row r="200" spans="1:17" hidden="1" x14ac:dyDescent="0.25">
      <c r="A200" s="15" t="s">
        <v>27</v>
      </c>
      <c r="B200" s="15" t="s">
        <v>561</v>
      </c>
      <c r="C200" s="15" t="s">
        <v>362</v>
      </c>
      <c r="D200" s="15" t="s">
        <v>363</v>
      </c>
      <c r="E200" s="15"/>
      <c r="F200" s="15"/>
      <c r="G200" s="15"/>
      <c r="H200" s="15" t="s">
        <v>368</v>
      </c>
      <c r="I200" s="15">
        <v>0</v>
      </c>
      <c r="J200" s="15">
        <v>0</v>
      </c>
      <c r="K200" s="15">
        <v>0</v>
      </c>
      <c r="L200" s="15">
        <v>0</v>
      </c>
      <c r="M200" s="15">
        <v>363908644.75262171</v>
      </c>
      <c r="N200" s="15">
        <v>0</v>
      </c>
      <c r="O200" s="15">
        <v>118931747.26550004</v>
      </c>
      <c r="P200" s="15">
        <v>0</v>
      </c>
      <c r="Q200" s="15"/>
    </row>
    <row r="201" spans="1:17" ht="30" hidden="1" x14ac:dyDescent="0.25">
      <c r="A201" s="15" t="s">
        <v>7</v>
      </c>
      <c r="B201" s="15" t="s">
        <v>561</v>
      </c>
      <c r="C201" s="15" t="s">
        <v>362</v>
      </c>
      <c r="D201" s="15" t="s">
        <v>369</v>
      </c>
      <c r="E201" s="15"/>
      <c r="F201" s="15"/>
      <c r="G201" s="15"/>
      <c r="H201" s="15" t="s">
        <v>342</v>
      </c>
      <c r="I201" s="15">
        <v>0</v>
      </c>
      <c r="J201" s="15">
        <v>0</v>
      </c>
      <c r="K201" s="15">
        <v>0</v>
      </c>
      <c r="L201" s="15">
        <v>0</v>
      </c>
      <c r="M201" s="15">
        <v>1036468770.0691371</v>
      </c>
      <c r="N201" s="15">
        <v>0</v>
      </c>
      <c r="O201" s="15">
        <v>657929607.73280001</v>
      </c>
      <c r="P201" s="15">
        <v>0</v>
      </c>
      <c r="Q201" s="15"/>
    </row>
    <row r="202" spans="1:17" ht="30" hidden="1" x14ac:dyDescent="0.25">
      <c r="A202" s="15" t="s">
        <v>7</v>
      </c>
      <c r="B202" s="15" t="s">
        <v>561</v>
      </c>
      <c r="C202" s="15" t="s">
        <v>362</v>
      </c>
      <c r="D202" s="15" t="s">
        <v>370</v>
      </c>
      <c r="E202" s="15"/>
      <c r="F202" s="15"/>
      <c r="G202" s="15"/>
      <c r="H202" s="15" t="s">
        <v>342</v>
      </c>
      <c r="I202" s="15">
        <v>0</v>
      </c>
      <c r="J202" s="15">
        <v>0</v>
      </c>
      <c r="K202" s="15">
        <v>0</v>
      </c>
      <c r="L202" s="15">
        <v>0</v>
      </c>
      <c r="M202" s="15">
        <v>795403118.30058694</v>
      </c>
      <c r="N202" s="15">
        <v>0</v>
      </c>
      <c r="O202" s="15">
        <v>680999942.92850018</v>
      </c>
      <c r="P202" s="15">
        <v>0</v>
      </c>
      <c r="Q202" s="15"/>
    </row>
    <row r="203" spans="1:17" hidden="1" x14ac:dyDescent="0.25">
      <c r="A203" s="15" t="s">
        <v>7</v>
      </c>
      <c r="B203" s="15" t="s">
        <v>561</v>
      </c>
      <c r="C203" s="15" t="s">
        <v>362</v>
      </c>
      <c r="D203" s="15" t="s">
        <v>371</v>
      </c>
      <c r="E203" s="15"/>
      <c r="F203" s="15"/>
      <c r="G203" s="15"/>
      <c r="H203" s="15" t="s">
        <v>342</v>
      </c>
      <c r="I203" s="15">
        <v>0</v>
      </c>
      <c r="J203" s="15">
        <v>0</v>
      </c>
      <c r="K203" s="15">
        <v>0</v>
      </c>
      <c r="L203" s="15">
        <v>0</v>
      </c>
      <c r="M203" s="15">
        <v>1515150860.7424669</v>
      </c>
      <c r="N203" s="15">
        <v>0</v>
      </c>
      <c r="O203" s="15">
        <v>1000410897.2363987</v>
      </c>
      <c r="P203" s="15">
        <v>0</v>
      </c>
      <c r="Q203" s="15"/>
    </row>
    <row r="204" spans="1:17" hidden="1" x14ac:dyDescent="0.25">
      <c r="A204" s="15" t="s">
        <v>7</v>
      </c>
      <c r="B204" s="15" t="s">
        <v>561</v>
      </c>
      <c r="C204" s="15" t="s">
        <v>364</v>
      </c>
      <c r="D204" s="15" t="s">
        <v>372</v>
      </c>
      <c r="E204" s="15"/>
      <c r="F204" s="15"/>
      <c r="G204" s="15"/>
      <c r="H204" s="15" t="s">
        <v>343</v>
      </c>
      <c r="I204" s="15">
        <v>0</v>
      </c>
      <c r="J204" s="15">
        <v>0</v>
      </c>
      <c r="K204" s="15">
        <v>0</v>
      </c>
      <c r="L204" s="15">
        <v>0</v>
      </c>
      <c r="M204" s="15">
        <v>957298104.97257185</v>
      </c>
      <c r="N204" s="15">
        <v>0</v>
      </c>
      <c r="O204" s="15">
        <v>647372110.11980021</v>
      </c>
      <c r="P204" s="15">
        <v>0</v>
      </c>
      <c r="Q204" s="15"/>
    </row>
    <row r="205" spans="1:17" hidden="1" x14ac:dyDescent="0.25">
      <c r="A205" s="15" t="s">
        <v>7</v>
      </c>
      <c r="B205" s="15" t="s">
        <v>561</v>
      </c>
      <c r="C205" s="15" t="s">
        <v>364</v>
      </c>
      <c r="D205" s="15" t="s">
        <v>373</v>
      </c>
      <c r="E205" s="15"/>
      <c r="F205" s="15"/>
      <c r="G205" s="15"/>
      <c r="H205" s="15" t="s">
        <v>343</v>
      </c>
      <c r="I205" s="15">
        <v>0</v>
      </c>
      <c r="J205" s="15">
        <v>0</v>
      </c>
      <c r="K205" s="15">
        <v>0</v>
      </c>
      <c r="L205" s="15">
        <v>0</v>
      </c>
      <c r="M205" s="15">
        <v>1830138460.7654872</v>
      </c>
      <c r="N205" s="15">
        <v>0</v>
      </c>
      <c r="O205" s="15">
        <v>1033839503.4343996</v>
      </c>
      <c r="P205" s="15">
        <v>0</v>
      </c>
      <c r="Q205" s="15"/>
    </row>
    <row r="206" spans="1:17" ht="30" hidden="1" x14ac:dyDescent="0.25">
      <c r="A206" s="15" t="s">
        <v>333</v>
      </c>
      <c r="B206" s="15" t="s">
        <v>561</v>
      </c>
      <c r="C206" s="15" t="s">
        <v>362</v>
      </c>
      <c r="D206" s="15" t="s">
        <v>369</v>
      </c>
      <c r="E206" s="15"/>
      <c r="F206" s="15"/>
      <c r="G206" s="15"/>
      <c r="H206" s="15" t="s">
        <v>342</v>
      </c>
      <c r="I206" s="15">
        <v>0</v>
      </c>
      <c r="J206" s="15">
        <v>0</v>
      </c>
      <c r="K206" s="15">
        <v>0</v>
      </c>
      <c r="L206" s="15">
        <v>0</v>
      </c>
      <c r="M206" s="15">
        <v>2145155606.2921829</v>
      </c>
      <c r="N206" s="15">
        <v>0</v>
      </c>
      <c r="O206" s="15">
        <v>1183794628.9130003</v>
      </c>
      <c r="P206" s="15">
        <v>0</v>
      </c>
      <c r="Q206" s="15"/>
    </row>
    <row r="207" spans="1:17" ht="30" hidden="1" x14ac:dyDescent="0.25">
      <c r="A207" s="15" t="s">
        <v>333</v>
      </c>
      <c r="B207" s="15" t="s">
        <v>561</v>
      </c>
      <c r="C207" s="15" t="s">
        <v>362</v>
      </c>
      <c r="D207" s="15" t="s">
        <v>370</v>
      </c>
      <c r="E207" s="15"/>
      <c r="F207" s="15"/>
      <c r="G207" s="15"/>
      <c r="H207" s="15" t="s">
        <v>342</v>
      </c>
      <c r="I207" s="15">
        <v>0</v>
      </c>
      <c r="J207" s="15">
        <v>0</v>
      </c>
      <c r="K207" s="15">
        <v>0</v>
      </c>
      <c r="L207" s="15">
        <v>0</v>
      </c>
      <c r="M207" s="15">
        <v>1373186133.5273333</v>
      </c>
      <c r="N207" s="15">
        <v>0</v>
      </c>
      <c r="O207" s="15">
        <v>679826351.63689983</v>
      </c>
      <c r="P207" s="15">
        <v>0</v>
      </c>
      <c r="Q207" s="15"/>
    </row>
    <row r="208" spans="1:17" hidden="1" x14ac:dyDescent="0.25">
      <c r="A208" s="15" t="s">
        <v>333</v>
      </c>
      <c r="B208" s="15" t="s">
        <v>561</v>
      </c>
      <c r="C208" s="15" t="s">
        <v>362</v>
      </c>
      <c r="D208" s="15" t="s">
        <v>371</v>
      </c>
      <c r="E208" s="15"/>
      <c r="F208" s="15"/>
      <c r="G208" s="15"/>
      <c r="H208" s="15" t="s">
        <v>342</v>
      </c>
      <c r="I208" s="15">
        <v>0</v>
      </c>
      <c r="J208" s="15">
        <v>0</v>
      </c>
      <c r="K208" s="15">
        <v>0</v>
      </c>
      <c r="L208" s="15">
        <v>0</v>
      </c>
      <c r="M208" s="15">
        <v>1682882221.7050142</v>
      </c>
      <c r="N208" s="15">
        <v>0</v>
      </c>
      <c r="O208" s="15">
        <v>815322183.05460024</v>
      </c>
      <c r="P208" s="15">
        <v>0</v>
      </c>
      <c r="Q208" s="15"/>
    </row>
    <row r="209" spans="1:17" hidden="1" x14ac:dyDescent="0.25">
      <c r="A209" s="15" t="s">
        <v>333</v>
      </c>
      <c r="B209" s="15" t="s">
        <v>561</v>
      </c>
      <c r="C209" s="15" t="s">
        <v>364</v>
      </c>
      <c r="D209" s="15" t="s">
        <v>372</v>
      </c>
      <c r="E209" s="15"/>
      <c r="F209" s="15"/>
      <c r="G209" s="15"/>
      <c r="H209" s="15" t="s">
        <v>343</v>
      </c>
      <c r="I209" s="15">
        <v>0</v>
      </c>
      <c r="J209" s="15">
        <v>0</v>
      </c>
      <c r="K209" s="15">
        <v>0</v>
      </c>
      <c r="L209" s="15">
        <v>0</v>
      </c>
      <c r="M209" s="15">
        <v>2456433269.3302546</v>
      </c>
      <c r="N209" s="15">
        <v>0</v>
      </c>
      <c r="O209" s="15">
        <v>1229216756.1869001</v>
      </c>
      <c r="P209" s="15">
        <v>0</v>
      </c>
      <c r="Q209" s="15"/>
    </row>
    <row r="210" spans="1:17" hidden="1" x14ac:dyDescent="0.25">
      <c r="A210" s="15" t="s">
        <v>333</v>
      </c>
      <c r="B210" s="15" t="s">
        <v>561</v>
      </c>
      <c r="C210" s="15" t="s">
        <v>364</v>
      </c>
      <c r="D210" s="15" t="s">
        <v>373</v>
      </c>
      <c r="E210" s="15"/>
      <c r="F210" s="15"/>
      <c r="G210" s="15"/>
      <c r="H210" s="15" t="s">
        <v>343</v>
      </c>
      <c r="I210" s="15">
        <v>0</v>
      </c>
      <c r="J210" s="15">
        <v>0</v>
      </c>
      <c r="K210" s="15">
        <v>0</v>
      </c>
      <c r="L210" s="15">
        <v>0</v>
      </c>
      <c r="M210" s="15">
        <v>2974553447.1966333</v>
      </c>
      <c r="N210" s="15">
        <v>0</v>
      </c>
      <c r="O210" s="15">
        <v>1516192695.7996001</v>
      </c>
      <c r="P210" s="15">
        <v>0</v>
      </c>
      <c r="Q210" s="15"/>
    </row>
    <row r="211" spans="1:17" hidden="1" x14ac:dyDescent="0.25">
      <c r="A211" s="15" t="s">
        <v>21</v>
      </c>
      <c r="B211" s="15" t="s">
        <v>561</v>
      </c>
      <c r="C211" s="15" t="s">
        <v>362</v>
      </c>
      <c r="D211" s="15" t="s">
        <v>363</v>
      </c>
      <c r="E211" s="15"/>
      <c r="F211" s="15"/>
      <c r="G211" s="15"/>
      <c r="H211" s="15" t="s">
        <v>342</v>
      </c>
      <c r="I211" s="15">
        <v>0</v>
      </c>
      <c r="J211" s="15">
        <v>0</v>
      </c>
      <c r="K211" s="15">
        <v>0</v>
      </c>
      <c r="L211" s="15">
        <v>0</v>
      </c>
      <c r="M211" s="15">
        <v>1041681577.0615587</v>
      </c>
      <c r="N211" s="15">
        <v>0</v>
      </c>
      <c r="O211" s="15">
        <v>651264436.76190007</v>
      </c>
      <c r="P211" s="15">
        <v>0</v>
      </c>
      <c r="Q211" s="15"/>
    </row>
    <row r="212" spans="1:17" hidden="1" x14ac:dyDescent="0.25">
      <c r="A212" s="15" t="s">
        <v>21</v>
      </c>
      <c r="B212" s="15" t="s">
        <v>561</v>
      </c>
      <c r="C212" s="15" t="s">
        <v>362</v>
      </c>
      <c r="D212" s="15" t="s">
        <v>366</v>
      </c>
      <c r="E212" s="15"/>
      <c r="F212" s="15"/>
      <c r="G212" s="15"/>
      <c r="H212" s="15" t="s">
        <v>342</v>
      </c>
      <c r="I212" s="15">
        <v>0</v>
      </c>
      <c r="J212" s="15">
        <v>0</v>
      </c>
      <c r="K212" s="15">
        <v>0</v>
      </c>
      <c r="L212" s="15">
        <v>0</v>
      </c>
      <c r="M212" s="15">
        <v>1765265709.8193688</v>
      </c>
      <c r="N212" s="15">
        <v>0</v>
      </c>
      <c r="O212" s="15">
        <v>978077545.10700023</v>
      </c>
      <c r="P212" s="15">
        <v>0</v>
      </c>
      <c r="Q212" s="15"/>
    </row>
    <row r="213" spans="1:17" hidden="1" x14ac:dyDescent="0.25">
      <c r="A213" s="15" t="s">
        <v>18</v>
      </c>
      <c r="B213" s="15" t="s">
        <v>561</v>
      </c>
      <c r="C213" s="15" t="s">
        <v>364</v>
      </c>
      <c r="D213" s="15" t="s">
        <v>365</v>
      </c>
      <c r="E213" s="15"/>
      <c r="F213" s="15"/>
      <c r="G213" s="15"/>
      <c r="H213" s="15" t="s">
        <v>343</v>
      </c>
      <c r="I213" s="15">
        <v>0</v>
      </c>
      <c r="J213" s="15">
        <v>0</v>
      </c>
      <c r="K213" s="15">
        <v>0</v>
      </c>
      <c r="L213" s="15">
        <v>0</v>
      </c>
      <c r="M213" s="15">
        <v>1038614436.6483186</v>
      </c>
      <c r="N213" s="15">
        <v>0</v>
      </c>
      <c r="O213" s="15">
        <v>480428274.77450013</v>
      </c>
      <c r="P213" s="15">
        <v>0</v>
      </c>
      <c r="Q213" s="15"/>
    </row>
    <row r="214" spans="1:17" hidden="1" x14ac:dyDescent="0.25">
      <c r="A214" s="15" t="s">
        <v>17</v>
      </c>
      <c r="B214" s="15" t="s">
        <v>561</v>
      </c>
      <c r="C214" s="15" t="s">
        <v>364</v>
      </c>
      <c r="D214" s="15" t="s">
        <v>365</v>
      </c>
      <c r="E214" s="15"/>
      <c r="F214" s="15"/>
      <c r="G214" s="15"/>
      <c r="H214" s="15" t="s">
        <v>343</v>
      </c>
      <c r="I214" s="15">
        <v>0</v>
      </c>
      <c r="J214" s="15">
        <v>0</v>
      </c>
      <c r="K214" s="15">
        <v>0</v>
      </c>
      <c r="L214" s="15">
        <v>0</v>
      </c>
      <c r="M214" s="15">
        <v>1627551925.4856875</v>
      </c>
      <c r="N214" s="15">
        <v>0</v>
      </c>
      <c r="O214" s="15">
        <v>741268860.08500016</v>
      </c>
      <c r="P214" s="15">
        <v>0</v>
      </c>
      <c r="Q214" s="15"/>
    </row>
    <row r="215" spans="1:17" hidden="1" x14ac:dyDescent="0.25">
      <c r="A215" s="15" t="s">
        <v>336</v>
      </c>
      <c r="B215" s="15" t="s">
        <v>561</v>
      </c>
      <c r="C215" s="15" t="s">
        <v>362</v>
      </c>
      <c r="D215" s="15" t="s">
        <v>366</v>
      </c>
      <c r="E215" s="15"/>
      <c r="F215" s="15"/>
      <c r="G215" s="15"/>
      <c r="H215" s="15" t="s">
        <v>342</v>
      </c>
      <c r="I215" s="15">
        <v>0</v>
      </c>
      <c r="J215" s="15">
        <v>0</v>
      </c>
      <c r="K215" s="15">
        <v>0</v>
      </c>
      <c r="L215" s="15">
        <v>0</v>
      </c>
      <c r="M215" s="15">
        <v>666661438.05790865</v>
      </c>
      <c r="N215" s="15">
        <v>0</v>
      </c>
      <c r="O215" s="15">
        <v>409132633.48490024</v>
      </c>
      <c r="P215" s="15">
        <v>0</v>
      </c>
      <c r="Q215" s="15"/>
    </row>
    <row r="216" spans="1:17" ht="30" hidden="1" x14ac:dyDescent="0.25">
      <c r="A216" s="15" t="s">
        <v>333</v>
      </c>
      <c r="B216" s="15" t="s">
        <v>561</v>
      </c>
      <c r="C216" s="15" t="s">
        <v>337</v>
      </c>
      <c r="D216" s="15" t="s">
        <v>374</v>
      </c>
      <c r="E216" s="15"/>
      <c r="F216" s="15"/>
      <c r="G216" s="15"/>
      <c r="H216" s="15" t="s">
        <v>375</v>
      </c>
      <c r="I216" s="15">
        <v>283124.17999999993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/>
    </row>
    <row r="217" spans="1:17" hidden="1" x14ac:dyDescent="0.25">
      <c r="A217" s="15" t="s">
        <v>22</v>
      </c>
      <c r="B217" s="15" t="s">
        <v>561</v>
      </c>
      <c r="C217" s="15" t="s">
        <v>337</v>
      </c>
      <c r="D217" s="15" t="s">
        <v>374</v>
      </c>
      <c r="E217" s="15"/>
      <c r="F217" s="15"/>
      <c r="G217" s="15"/>
      <c r="H217" s="15" t="s">
        <v>377</v>
      </c>
      <c r="I217" s="15">
        <v>105566381.88999967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/>
    </row>
    <row r="218" spans="1:17" hidden="1" x14ac:dyDescent="0.25">
      <c r="A218" s="15" t="s">
        <v>20</v>
      </c>
      <c r="B218" s="15" t="s">
        <v>561</v>
      </c>
      <c r="C218" s="15" t="s">
        <v>337</v>
      </c>
      <c r="D218" s="15" t="s">
        <v>374</v>
      </c>
      <c r="E218" s="15"/>
      <c r="F218" s="15"/>
      <c r="G218" s="15"/>
      <c r="H218" s="15" t="s">
        <v>343</v>
      </c>
      <c r="I218" s="15">
        <v>64720074.180000171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/>
    </row>
    <row r="219" spans="1:17" hidden="1" x14ac:dyDescent="0.25">
      <c r="A219" s="15" t="s">
        <v>345</v>
      </c>
      <c r="B219" s="15" t="s">
        <v>561</v>
      </c>
      <c r="C219" s="15" t="s">
        <v>337</v>
      </c>
      <c r="D219" s="15" t="s">
        <v>374</v>
      </c>
      <c r="E219" s="15"/>
      <c r="F219" s="15"/>
      <c r="G219" s="15"/>
      <c r="H219" s="15" t="s">
        <v>377</v>
      </c>
      <c r="I219" s="15">
        <v>121614441.35999963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/>
    </row>
    <row r="220" spans="1:17" ht="30" hidden="1" x14ac:dyDescent="0.25">
      <c r="A220" s="15" t="s">
        <v>7</v>
      </c>
      <c r="B220" s="15" t="s">
        <v>561</v>
      </c>
      <c r="C220" s="15" t="s">
        <v>337</v>
      </c>
      <c r="D220" s="15" t="s">
        <v>374</v>
      </c>
      <c r="E220" s="15"/>
      <c r="F220" s="15"/>
      <c r="G220" s="15">
        <v>1</v>
      </c>
      <c r="H220" s="15" t="s">
        <v>375</v>
      </c>
      <c r="I220" s="15">
        <v>112033790.56999968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/>
    </row>
    <row r="221" spans="1:17" ht="30" hidden="1" x14ac:dyDescent="0.25">
      <c r="A221" s="15" t="s">
        <v>333</v>
      </c>
      <c r="B221" s="15" t="s">
        <v>561</v>
      </c>
      <c r="C221" s="15" t="s">
        <v>337</v>
      </c>
      <c r="D221" s="15" t="s">
        <v>374</v>
      </c>
      <c r="E221" s="15"/>
      <c r="F221" s="15"/>
      <c r="G221" s="15"/>
      <c r="H221" s="15" t="s">
        <v>375</v>
      </c>
      <c r="I221" s="15">
        <v>526009540.95000339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/>
    </row>
    <row r="222" spans="1:17" hidden="1" x14ac:dyDescent="0.25">
      <c r="A222" s="15" t="s">
        <v>36</v>
      </c>
      <c r="B222" s="15" t="s">
        <v>561</v>
      </c>
      <c r="C222" s="15" t="s">
        <v>337</v>
      </c>
      <c r="D222" s="15" t="s">
        <v>374</v>
      </c>
      <c r="E222" s="15"/>
      <c r="F222" s="15"/>
      <c r="G222" s="15"/>
      <c r="H222" s="15" t="s">
        <v>377</v>
      </c>
      <c r="I222" s="15">
        <v>29237977.820000004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/>
    </row>
    <row r="223" spans="1:17" hidden="1" x14ac:dyDescent="0.25">
      <c r="A223" s="15" t="s">
        <v>346</v>
      </c>
      <c r="B223" s="15" t="s">
        <v>561</v>
      </c>
      <c r="C223" s="15" t="s">
        <v>337</v>
      </c>
      <c r="D223" s="15" t="s">
        <v>374</v>
      </c>
      <c r="E223" s="15"/>
      <c r="F223" s="15"/>
      <c r="G223" s="15"/>
      <c r="H223" s="15" t="s">
        <v>377</v>
      </c>
      <c r="I223" s="15">
        <v>75479434.529999688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/>
    </row>
    <row r="224" spans="1:17" hidden="1" x14ac:dyDescent="0.25">
      <c r="A224" s="15" t="s">
        <v>118</v>
      </c>
      <c r="B224" s="15" t="s">
        <v>561</v>
      </c>
      <c r="C224" s="15" t="s">
        <v>337</v>
      </c>
      <c r="D224" s="15" t="s">
        <v>374</v>
      </c>
      <c r="E224" s="15"/>
      <c r="F224" s="15"/>
      <c r="G224" s="15"/>
      <c r="H224" s="15" t="s">
        <v>343</v>
      </c>
      <c r="I224" s="15">
        <v>148975561.0899995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/>
    </row>
    <row r="225" spans="1:17" hidden="1" x14ac:dyDescent="0.25">
      <c r="A225" s="15" t="s">
        <v>93</v>
      </c>
      <c r="B225" s="15" t="s">
        <v>561</v>
      </c>
      <c r="C225" s="15" t="s">
        <v>337</v>
      </c>
      <c r="D225" s="15" t="s">
        <v>374</v>
      </c>
      <c r="E225" s="15"/>
      <c r="F225" s="15"/>
      <c r="G225" s="15"/>
      <c r="H225" s="15" t="s">
        <v>343</v>
      </c>
      <c r="I225" s="15">
        <v>69785619.640000135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/>
    </row>
    <row r="226" spans="1:17" hidden="1" x14ac:dyDescent="0.25">
      <c r="A226" s="15" t="s">
        <v>55</v>
      </c>
      <c r="B226" s="15" t="s">
        <v>561</v>
      </c>
      <c r="C226" s="15" t="s">
        <v>337</v>
      </c>
      <c r="D226" s="15" t="s">
        <v>374</v>
      </c>
      <c r="E226" s="15"/>
      <c r="F226" s="15"/>
      <c r="G226" s="15"/>
      <c r="H226" s="15" t="s">
        <v>377</v>
      </c>
      <c r="I226" s="15">
        <v>31075214.729999986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/>
    </row>
    <row r="227" spans="1:17" hidden="1" x14ac:dyDescent="0.25">
      <c r="A227" s="15" t="s">
        <v>17</v>
      </c>
      <c r="B227" s="15" t="s">
        <v>561</v>
      </c>
      <c r="C227" s="15" t="s">
        <v>337</v>
      </c>
      <c r="D227" s="15" t="s">
        <v>374</v>
      </c>
      <c r="E227" s="15"/>
      <c r="F227" s="15"/>
      <c r="G227" s="15"/>
      <c r="H227" s="15" t="s">
        <v>343</v>
      </c>
      <c r="I227" s="15">
        <v>77073871.469999909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/>
    </row>
    <row r="228" spans="1:17" hidden="1" x14ac:dyDescent="0.25">
      <c r="A228" s="15" t="s">
        <v>51</v>
      </c>
      <c r="B228" s="15" t="s">
        <v>561</v>
      </c>
      <c r="C228" s="15" t="s">
        <v>337</v>
      </c>
      <c r="D228" s="15" t="s">
        <v>374</v>
      </c>
      <c r="E228" s="15"/>
      <c r="F228" s="15"/>
      <c r="G228" s="15"/>
      <c r="H228" s="15" t="s">
        <v>377</v>
      </c>
      <c r="I228" s="15">
        <v>35515056.810000002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/>
    </row>
    <row r="229" spans="1:17" hidden="1" x14ac:dyDescent="0.25">
      <c r="A229" s="15" t="s">
        <v>7</v>
      </c>
      <c r="B229" s="15" t="s">
        <v>561</v>
      </c>
      <c r="C229" s="15" t="s">
        <v>323</v>
      </c>
      <c r="D229" s="15" t="s">
        <v>324</v>
      </c>
      <c r="E229" s="15"/>
      <c r="F229" s="15"/>
      <c r="G229" s="15">
        <v>1</v>
      </c>
      <c r="H229" s="15" t="s">
        <v>379</v>
      </c>
      <c r="I229" s="15">
        <v>75907049.919999987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/>
    </row>
    <row r="230" spans="1:17" hidden="1" x14ac:dyDescent="0.25">
      <c r="A230" s="15" t="s">
        <v>380</v>
      </c>
      <c r="B230" s="15" t="s">
        <v>561</v>
      </c>
      <c r="C230" s="15" t="s">
        <v>318</v>
      </c>
      <c r="D230" s="15" t="s">
        <v>326</v>
      </c>
      <c r="E230" s="15" t="s">
        <v>320</v>
      </c>
      <c r="F230" s="15"/>
      <c r="G230" s="15"/>
      <c r="H230" s="15"/>
      <c r="I230" s="15">
        <v>0</v>
      </c>
      <c r="J230" s="15">
        <v>0</v>
      </c>
      <c r="K230" s="15">
        <v>0</v>
      </c>
      <c r="L230" s="15">
        <v>27831061.140000023</v>
      </c>
      <c r="M230" s="15">
        <v>0</v>
      </c>
      <c r="N230" s="15">
        <v>49094726.479999989</v>
      </c>
      <c r="O230" s="15">
        <v>0</v>
      </c>
      <c r="P230" s="15">
        <v>0</v>
      </c>
      <c r="Q230" s="15"/>
    </row>
    <row r="231" spans="1:17" ht="30" hidden="1" x14ac:dyDescent="0.25">
      <c r="A231" s="15" t="s">
        <v>21</v>
      </c>
      <c r="B231" s="15" t="s">
        <v>561</v>
      </c>
      <c r="C231" s="15" t="s">
        <v>318</v>
      </c>
      <c r="D231" s="15" t="s">
        <v>331</v>
      </c>
      <c r="E231" s="15" t="s">
        <v>322</v>
      </c>
      <c r="F231" s="15"/>
      <c r="G231" s="15"/>
      <c r="H231" s="15"/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/>
    </row>
    <row r="232" spans="1:17" hidden="1" x14ac:dyDescent="0.25">
      <c r="A232" s="15" t="s">
        <v>333</v>
      </c>
      <c r="B232" s="15" t="s">
        <v>561</v>
      </c>
      <c r="C232" s="15" t="s">
        <v>364</v>
      </c>
      <c r="D232" s="15" t="s">
        <v>381</v>
      </c>
      <c r="E232" s="15"/>
      <c r="F232" s="15"/>
      <c r="G232" s="15"/>
      <c r="H232" s="15"/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11314707530.999416</v>
      </c>
      <c r="Q232" s="15"/>
    </row>
    <row r="233" spans="1:17" hidden="1" x14ac:dyDescent="0.25">
      <c r="A233" s="15" t="s">
        <v>383</v>
      </c>
      <c r="B233" s="15" t="s">
        <v>561</v>
      </c>
      <c r="C233" s="15" t="s">
        <v>318</v>
      </c>
      <c r="D233" s="15" t="s">
        <v>326</v>
      </c>
      <c r="E233" s="15" t="s">
        <v>320</v>
      </c>
      <c r="F233" s="15"/>
      <c r="G233" s="15"/>
      <c r="H233" s="15"/>
      <c r="I233" s="15">
        <v>16492.399999999998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/>
    </row>
    <row r="234" spans="1:17" hidden="1" x14ac:dyDescent="0.25">
      <c r="A234" s="15" t="s">
        <v>353</v>
      </c>
      <c r="B234" s="15" t="s">
        <v>561</v>
      </c>
      <c r="C234" s="15" t="s">
        <v>318</v>
      </c>
      <c r="D234" s="15" t="s">
        <v>326</v>
      </c>
      <c r="E234" s="15" t="s">
        <v>320</v>
      </c>
      <c r="F234" s="15"/>
      <c r="G234" s="15"/>
      <c r="H234" s="15"/>
      <c r="I234" s="15">
        <v>4318141.4600000009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/>
    </row>
    <row r="235" spans="1:17" hidden="1" x14ac:dyDescent="0.25">
      <c r="A235" s="15" t="s">
        <v>22</v>
      </c>
      <c r="B235" s="15" t="s">
        <v>561</v>
      </c>
      <c r="C235" s="15" t="s">
        <v>318</v>
      </c>
      <c r="D235" s="15" t="s">
        <v>326</v>
      </c>
      <c r="E235" s="15" t="s">
        <v>320</v>
      </c>
      <c r="F235" s="15"/>
      <c r="G235" s="15"/>
      <c r="H235" s="15"/>
      <c r="I235" s="15">
        <v>21819448.430000007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/>
    </row>
    <row r="236" spans="1:17" hidden="1" x14ac:dyDescent="0.25">
      <c r="A236" s="15" t="s">
        <v>56</v>
      </c>
      <c r="B236" s="15" t="s">
        <v>561</v>
      </c>
      <c r="C236" s="15" t="s">
        <v>318</v>
      </c>
      <c r="D236" s="15" t="s">
        <v>326</v>
      </c>
      <c r="E236" s="15" t="s">
        <v>320</v>
      </c>
      <c r="F236" s="15"/>
      <c r="G236" s="15"/>
      <c r="H236" s="15"/>
      <c r="I236" s="15">
        <v>9185746.0500000063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/>
    </row>
    <row r="237" spans="1:17" hidden="1" x14ac:dyDescent="0.25">
      <c r="A237" s="15" t="s">
        <v>90</v>
      </c>
      <c r="B237" s="15" t="s">
        <v>561</v>
      </c>
      <c r="C237" s="15" t="s">
        <v>318</v>
      </c>
      <c r="D237" s="15" t="s">
        <v>326</v>
      </c>
      <c r="E237" s="15" t="s">
        <v>320</v>
      </c>
      <c r="F237" s="15"/>
      <c r="G237" s="15"/>
      <c r="H237" s="15"/>
      <c r="I237" s="15">
        <v>78932.240000000005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/>
    </row>
    <row r="238" spans="1:17" hidden="1" x14ac:dyDescent="0.25">
      <c r="A238" s="15" t="s">
        <v>20</v>
      </c>
      <c r="B238" s="15" t="s">
        <v>561</v>
      </c>
      <c r="C238" s="15" t="s">
        <v>318</v>
      </c>
      <c r="D238" s="15" t="s">
        <v>326</v>
      </c>
      <c r="E238" s="15" t="s">
        <v>320</v>
      </c>
      <c r="F238" s="15"/>
      <c r="G238" s="15"/>
      <c r="H238" s="15"/>
      <c r="I238" s="15">
        <v>152696.55999999997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/>
    </row>
    <row r="239" spans="1:17" ht="30" hidden="1" x14ac:dyDescent="0.25">
      <c r="A239" s="15" t="s">
        <v>20</v>
      </c>
      <c r="B239" s="15" t="s">
        <v>561</v>
      </c>
      <c r="C239" s="15" t="s">
        <v>318</v>
      </c>
      <c r="D239" s="15" t="s">
        <v>326</v>
      </c>
      <c r="E239" s="15" t="s">
        <v>322</v>
      </c>
      <c r="F239" s="15"/>
      <c r="G239" s="15"/>
      <c r="H239" s="15"/>
      <c r="I239" s="15">
        <v>12786581.08999995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/>
    </row>
    <row r="240" spans="1:17" hidden="1" x14ac:dyDescent="0.25">
      <c r="A240" s="15" t="s">
        <v>25</v>
      </c>
      <c r="B240" s="15" t="s">
        <v>561</v>
      </c>
      <c r="C240" s="15" t="s">
        <v>318</v>
      </c>
      <c r="D240" s="15" t="s">
        <v>326</v>
      </c>
      <c r="E240" s="15" t="s">
        <v>320</v>
      </c>
      <c r="F240" s="15"/>
      <c r="G240" s="15"/>
      <c r="H240" s="15"/>
      <c r="I240" s="15">
        <v>25568610.759999935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/>
    </row>
    <row r="241" spans="1:17" hidden="1" x14ac:dyDescent="0.25">
      <c r="A241" s="15" t="s">
        <v>54</v>
      </c>
      <c r="B241" s="15" t="s">
        <v>561</v>
      </c>
      <c r="C241" s="15" t="s">
        <v>318</v>
      </c>
      <c r="D241" s="15" t="s">
        <v>326</v>
      </c>
      <c r="E241" s="15" t="s">
        <v>320</v>
      </c>
      <c r="F241" s="15"/>
      <c r="G241" s="15"/>
      <c r="H241" s="15"/>
      <c r="I241" s="15">
        <v>2964846.8800000008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/>
    </row>
    <row r="242" spans="1:17" hidden="1" x14ac:dyDescent="0.25">
      <c r="A242" s="15" t="s">
        <v>350</v>
      </c>
      <c r="B242" s="15" t="s">
        <v>561</v>
      </c>
      <c r="C242" s="15" t="s">
        <v>318</v>
      </c>
      <c r="D242" s="15" t="s">
        <v>326</v>
      </c>
      <c r="E242" s="15" t="s">
        <v>320</v>
      </c>
      <c r="F242" s="15"/>
      <c r="G242" s="15"/>
      <c r="H242" s="15"/>
      <c r="I242" s="15">
        <v>11122562.409999976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/>
    </row>
    <row r="243" spans="1:17" hidden="1" x14ac:dyDescent="0.25">
      <c r="A243" s="15" t="s">
        <v>27</v>
      </c>
      <c r="B243" s="15" t="s">
        <v>561</v>
      </c>
      <c r="C243" s="15" t="s">
        <v>318</v>
      </c>
      <c r="D243" s="15" t="s">
        <v>326</v>
      </c>
      <c r="E243" s="15" t="s">
        <v>320</v>
      </c>
      <c r="F243" s="15"/>
      <c r="G243" s="15"/>
      <c r="H243" s="15"/>
      <c r="I243" s="15">
        <v>5516975.6900000079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/>
    </row>
    <row r="244" spans="1:17" hidden="1" x14ac:dyDescent="0.25">
      <c r="A244" s="15" t="s">
        <v>7</v>
      </c>
      <c r="B244" s="15" t="s">
        <v>561</v>
      </c>
      <c r="C244" s="15" t="s">
        <v>318</v>
      </c>
      <c r="D244" s="15" t="s">
        <v>326</v>
      </c>
      <c r="E244" s="15" t="s">
        <v>320</v>
      </c>
      <c r="F244" s="15"/>
      <c r="G244" s="15"/>
      <c r="H244" s="15"/>
      <c r="I244" s="15">
        <v>597781.92999999993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/>
    </row>
    <row r="245" spans="1:17" ht="30" hidden="1" x14ac:dyDescent="0.25">
      <c r="A245" s="15" t="s">
        <v>7</v>
      </c>
      <c r="B245" s="15" t="s">
        <v>561</v>
      </c>
      <c r="C245" s="15" t="s">
        <v>318</v>
      </c>
      <c r="D245" s="15" t="s">
        <v>326</v>
      </c>
      <c r="E245" s="15" t="s">
        <v>322</v>
      </c>
      <c r="F245" s="15"/>
      <c r="G245" s="15"/>
      <c r="H245" s="15"/>
      <c r="I245" s="15">
        <v>8503970.8899999987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/>
    </row>
    <row r="246" spans="1:17" ht="30" hidden="1" x14ac:dyDescent="0.25">
      <c r="A246" s="15" t="s">
        <v>333</v>
      </c>
      <c r="B246" s="15" t="s">
        <v>561</v>
      </c>
      <c r="C246" s="15" t="s">
        <v>318</v>
      </c>
      <c r="D246" s="15" t="s">
        <v>326</v>
      </c>
      <c r="E246" s="15" t="s">
        <v>322</v>
      </c>
      <c r="F246" s="15"/>
      <c r="G246" s="15"/>
      <c r="H246" s="15"/>
      <c r="I246" s="15">
        <v>38756102.86999961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/>
    </row>
    <row r="247" spans="1:17" hidden="1" x14ac:dyDescent="0.25">
      <c r="A247" s="15" t="s">
        <v>21</v>
      </c>
      <c r="B247" s="15" t="s">
        <v>561</v>
      </c>
      <c r="C247" s="15" t="s">
        <v>318</v>
      </c>
      <c r="D247" s="15" t="s">
        <v>326</v>
      </c>
      <c r="E247" s="15" t="s">
        <v>320</v>
      </c>
      <c r="F247" s="15"/>
      <c r="G247" s="15"/>
      <c r="H247" s="15"/>
      <c r="I247" s="15">
        <v>40099952.099999592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/>
    </row>
    <row r="248" spans="1:17" hidden="1" x14ac:dyDescent="0.25">
      <c r="A248" s="15" t="s">
        <v>152</v>
      </c>
      <c r="B248" s="15" t="s">
        <v>561</v>
      </c>
      <c r="C248" s="15" t="s">
        <v>318</v>
      </c>
      <c r="D248" s="15" t="s">
        <v>326</v>
      </c>
      <c r="E248" s="15" t="s">
        <v>320</v>
      </c>
      <c r="F248" s="15"/>
      <c r="G248" s="15"/>
      <c r="H248" s="15"/>
      <c r="I248" s="15">
        <v>6101533.7600000193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/>
    </row>
    <row r="249" spans="1:17" hidden="1" x14ac:dyDescent="0.25">
      <c r="A249" s="15" t="s">
        <v>18</v>
      </c>
      <c r="B249" s="15" t="s">
        <v>561</v>
      </c>
      <c r="C249" s="15" t="s">
        <v>318</v>
      </c>
      <c r="D249" s="15" t="s">
        <v>326</v>
      </c>
      <c r="E249" s="15" t="s">
        <v>320</v>
      </c>
      <c r="F249" s="15"/>
      <c r="G249" s="15"/>
      <c r="H249" s="15"/>
      <c r="I249" s="15">
        <v>11308710.899999972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/>
    </row>
    <row r="250" spans="1:17" hidden="1" x14ac:dyDescent="0.25">
      <c r="A250" s="15" t="s">
        <v>105</v>
      </c>
      <c r="B250" s="15" t="s">
        <v>561</v>
      </c>
      <c r="C250" s="15" t="s">
        <v>318</v>
      </c>
      <c r="D250" s="15" t="s">
        <v>326</v>
      </c>
      <c r="E250" s="15" t="s">
        <v>320</v>
      </c>
      <c r="F250" s="15"/>
      <c r="G250" s="15"/>
      <c r="H250" s="15"/>
      <c r="I250" s="15">
        <v>286145.93999999994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/>
    </row>
    <row r="251" spans="1:17" hidden="1" x14ac:dyDescent="0.25">
      <c r="A251" s="15" t="s">
        <v>93</v>
      </c>
      <c r="B251" s="15" t="s">
        <v>561</v>
      </c>
      <c r="C251" s="15" t="s">
        <v>318</v>
      </c>
      <c r="D251" s="15" t="s">
        <v>326</v>
      </c>
      <c r="E251" s="15" t="s">
        <v>320</v>
      </c>
      <c r="F251" s="15"/>
      <c r="G251" s="15"/>
      <c r="H251" s="15"/>
      <c r="I251" s="15">
        <v>17912428.459999882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/>
    </row>
    <row r="252" spans="1:17" ht="30" hidden="1" x14ac:dyDescent="0.25">
      <c r="A252" s="15" t="s">
        <v>55</v>
      </c>
      <c r="B252" s="15" t="s">
        <v>561</v>
      </c>
      <c r="C252" s="15" t="s">
        <v>318</v>
      </c>
      <c r="D252" s="15" t="s">
        <v>326</v>
      </c>
      <c r="E252" s="15" t="s">
        <v>322</v>
      </c>
      <c r="F252" s="15"/>
      <c r="G252" s="15"/>
      <c r="H252" s="15"/>
      <c r="I252" s="15">
        <v>5842546.7000000197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/>
    </row>
    <row r="253" spans="1:17" ht="30" hidden="1" x14ac:dyDescent="0.25">
      <c r="A253" s="15" t="s">
        <v>17</v>
      </c>
      <c r="B253" s="15" t="s">
        <v>561</v>
      </c>
      <c r="C253" s="15" t="s">
        <v>318</v>
      </c>
      <c r="D253" s="15" t="s">
        <v>326</v>
      </c>
      <c r="E253" s="15" t="s">
        <v>322</v>
      </c>
      <c r="F253" s="15"/>
      <c r="G253" s="15"/>
      <c r="H253" s="15"/>
      <c r="I253" s="15">
        <v>19446886.789999954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/>
    </row>
    <row r="254" spans="1:17" hidden="1" x14ac:dyDescent="0.25">
      <c r="A254" s="15" t="s">
        <v>385</v>
      </c>
      <c r="B254" s="15" t="s">
        <v>561</v>
      </c>
      <c r="C254" s="15" t="s">
        <v>318</v>
      </c>
      <c r="D254" s="15" t="s">
        <v>326</v>
      </c>
      <c r="E254" s="15" t="s">
        <v>320</v>
      </c>
      <c r="F254" s="15"/>
      <c r="G254" s="15"/>
      <c r="H254" s="15"/>
      <c r="I254" s="15">
        <v>7878247.5200000014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/>
    </row>
    <row r="255" spans="1:17" hidden="1" x14ac:dyDescent="0.25">
      <c r="A255" s="15" t="s">
        <v>107</v>
      </c>
      <c r="B255" s="15" t="s">
        <v>561</v>
      </c>
      <c r="C255" s="15" t="s">
        <v>318</v>
      </c>
      <c r="D255" s="15" t="s">
        <v>326</v>
      </c>
      <c r="E255" s="15" t="s">
        <v>320</v>
      </c>
      <c r="F255" s="15"/>
      <c r="G255" s="15"/>
      <c r="H255" s="15"/>
      <c r="I255" s="15">
        <v>459590.29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/>
    </row>
    <row r="256" spans="1:17" hidden="1" x14ac:dyDescent="0.25">
      <c r="A256" s="15" t="s">
        <v>336</v>
      </c>
      <c r="B256" s="15" t="s">
        <v>561</v>
      </c>
      <c r="C256" s="15" t="s">
        <v>318</v>
      </c>
      <c r="D256" s="15" t="s">
        <v>326</v>
      </c>
      <c r="E256" s="15" t="s">
        <v>320</v>
      </c>
      <c r="F256" s="15"/>
      <c r="G256" s="15"/>
      <c r="H256" s="15"/>
      <c r="I256" s="15">
        <v>11608457.909999993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/>
    </row>
    <row r="257" spans="1:17" hidden="1" x14ac:dyDescent="0.25">
      <c r="A257" s="15" t="s">
        <v>51</v>
      </c>
      <c r="B257" s="15" t="s">
        <v>561</v>
      </c>
      <c r="C257" s="15" t="s">
        <v>318</v>
      </c>
      <c r="D257" s="15" t="s">
        <v>326</v>
      </c>
      <c r="E257" s="15" t="s">
        <v>320</v>
      </c>
      <c r="F257" s="15"/>
      <c r="G257" s="15"/>
      <c r="H257" s="15"/>
      <c r="I257" s="15">
        <v>2743343.1599999988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/>
    </row>
    <row r="258" spans="1:17" ht="30" hidden="1" x14ac:dyDescent="0.25">
      <c r="A258" s="15" t="s">
        <v>51</v>
      </c>
      <c r="B258" s="15" t="s">
        <v>561</v>
      </c>
      <c r="C258" s="15" t="s">
        <v>318</v>
      </c>
      <c r="D258" s="15" t="s">
        <v>326</v>
      </c>
      <c r="E258" s="15" t="s">
        <v>322</v>
      </c>
      <c r="F258" s="15"/>
      <c r="G258" s="15"/>
      <c r="H258" s="15"/>
      <c r="I258" s="15">
        <v>377880.25999999989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/>
    </row>
    <row r="259" spans="1:17" hidden="1" x14ac:dyDescent="0.25">
      <c r="A259" s="15" t="s">
        <v>18</v>
      </c>
      <c r="B259" s="15" t="s">
        <v>561</v>
      </c>
      <c r="C259" s="15" t="s">
        <v>318</v>
      </c>
      <c r="D259" s="15" t="s">
        <v>319</v>
      </c>
      <c r="E259" s="15" t="s">
        <v>320</v>
      </c>
      <c r="F259" s="15"/>
      <c r="G259" s="15"/>
      <c r="H259" s="15"/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11308710.900000002</v>
      </c>
      <c r="O259" s="15">
        <v>0</v>
      </c>
      <c r="P259" s="15">
        <v>0</v>
      </c>
      <c r="Q259" s="15"/>
    </row>
    <row r="260" spans="1:17" ht="30" hidden="1" x14ac:dyDescent="0.25">
      <c r="A260" s="15" t="s">
        <v>111</v>
      </c>
      <c r="B260" s="15" t="s">
        <v>386</v>
      </c>
      <c r="C260" s="15" t="s">
        <v>387</v>
      </c>
      <c r="D260" s="15" t="s">
        <v>388</v>
      </c>
      <c r="E260" s="15" t="s">
        <v>389</v>
      </c>
      <c r="F260" s="15">
        <v>1</v>
      </c>
      <c r="G260" s="15">
        <v>1</v>
      </c>
      <c r="H260" s="15" t="s">
        <v>343</v>
      </c>
      <c r="I260" s="15">
        <v>0</v>
      </c>
      <c r="J260" s="15">
        <v>273375212.92999798</v>
      </c>
      <c r="K260" s="15">
        <v>1308584.48</v>
      </c>
      <c r="L260" s="15">
        <v>27757720.270000011</v>
      </c>
      <c r="M260" s="15">
        <v>295869483.78616917</v>
      </c>
      <c r="N260" s="15">
        <v>0</v>
      </c>
      <c r="O260" s="15">
        <v>136896493.58840001</v>
      </c>
      <c r="P260" s="15">
        <v>0</v>
      </c>
      <c r="Q260" s="15">
        <v>18010939.100000001</v>
      </c>
    </row>
    <row r="261" spans="1:17" hidden="1" x14ac:dyDescent="0.25">
      <c r="A261" s="15" t="s">
        <v>108</v>
      </c>
      <c r="B261" s="15" t="s">
        <v>386</v>
      </c>
      <c r="C261" s="15" t="s">
        <v>390</v>
      </c>
      <c r="D261" s="15" t="s">
        <v>391</v>
      </c>
      <c r="E261" s="15" t="s">
        <v>389</v>
      </c>
      <c r="F261" s="15">
        <v>1</v>
      </c>
      <c r="G261" s="15"/>
      <c r="H261" s="15"/>
      <c r="I261" s="15">
        <v>0</v>
      </c>
      <c r="J261" s="15">
        <v>410425.87</v>
      </c>
      <c r="K261" s="15">
        <v>4796203.9399999995</v>
      </c>
      <c r="L261" s="15">
        <v>7264198.879999999</v>
      </c>
      <c r="M261" s="15">
        <v>0</v>
      </c>
      <c r="N261" s="15">
        <v>0</v>
      </c>
      <c r="O261" s="15">
        <v>0</v>
      </c>
      <c r="P261" s="15">
        <v>0</v>
      </c>
      <c r="Q261" s="15">
        <v>271516.5</v>
      </c>
    </row>
    <row r="262" spans="1:17" hidden="1" x14ac:dyDescent="0.25">
      <c r="A262" s="15" t="s">
        <v>350</v>
      </c>
      <c r="B262" s="15" t="s">
        <v>386</v>
      </c>
      <c r="C262" s="15" t="s">
        <v>390</v>
      </c>
      <c r="D262" s="15" t="s">
        <v>392</v>
      </c>
      <c r="E262" s="15" t="s">
        <v>389</v>
      </c>
      <c r="F262" s="15"/>
      <c r="G262" s="15"/>
      <c r="H262" s="15"/>
      <c r="I262" s="15">
        <v>0</v>
      </c>
      <c r="J262" s="15">
        <v>500000000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</row>
    <row r="263" spans="1:17" hidden="1" x14ac:dyDescent="0.25">
      <c r="A263" s="15" t="s">
        <v>108</v>
      </c>
      <c r="B263" s="15" t="s">
        <v>386</v>
      </c>
      <c r="C263" s="15" t="s">
        <v>390</v>
      </c>
      <c r="D263" s="15" t="s">
        <v>393</v>
      </c>
      <c r="E263" s="15" t="s">
        <v>394</v>
      </c>
      <c r="F263" s="15"/>
      <c r="G263" s="15"/>
      <c r="H263" s="15"/>
      <c r="I263" s="15">
        <v>0</v>
      </c>
      <c r="J263" s="15">
        <v>0</v>
      </c>
      <c r="K263" s="15">
        <v>6859376.6300000027</v>
      </c>
      <c r="L263" s="15">
        <v>1600855.32</v>
      </c>
      <c r="M263" s="15">
        <v>0</v>
      </c>
      <c r="N263" s="15">
        <v>0</v>
      </c>
      <c r="O263" s="15">
        <v>0</v>
      </c>
      <c r="P263" s="15">
        <v>0</v>
      </c>
      <c r="Q263" s="15">
        <v>98073.75</v>
      </c>
    </row>
    <row r="264" spans="1:17" hidden="1" x14ac:dyDescent="0.25">
      <c r="A264" s="15" t="s">
        <v>120</v>
      </c>
      <c r="B264" s="15" t="s">
        <v>386</v>
      </c>
      <c r="C264" s="15" t="s">
        <v>395</v>
      </c>
      <c r="D264" s="15" t="s">
        <v>396</v>
      </c>
      <c r="E264" s="15" t="s">
        <v>397</v>
      </c>
      <c r="F264" s="15">
        <v>1</v>
      </c>
      <c r="G264" s="15">
        <v>1</v>
      </c>
      <c r="H264" s="15" t="s">
        <v>343</v>
      </c>
      <c r="I264" s="15">
        <v>0</v>
      </c>
      <c r="J264" s="15">
        <v>11696539.060000004</v>
      </c>
      <c r="K264" s="15">
        <v>0</v>
      </c>
      <c r="L264" s="15">
        <v>55325264.270000003</v>
      </c>
      <c r="M264" s="15">
        <v>1077378891.5505776</v>
      </c>
      <c r="N264" s="15">
        <v>212080190.04999906</v>
      </c>
      <c r="O264" s="15">
        <v>748324785.27690029</v>
      </c>
      <c r="P264" s="15">
        <v>0</v>
      </c>
      <c r="Q264" s="15">
        <v>21870426.049999997</v>
      </c>
    </row>
    <row r="265" spans="1:17" ht="30" hidden="1" x14ac:dyDescent="0.25">
      <c r="A265" s="15" t="s">
        <v>107</v>
      </c>
      <c r="B265" s="15" t="s">
        <v>386</v>
      </c>
      <c r="C265" s="15" t="s">
        <v>387</v>
      </c>
      <c r="D265" s="15" t="s">
        <v>398</v>
      </c>
      <c r="E265" s="15" t="s">
        <v>389</v>
      </c>
      <c r="F265" s="15">
        <v>4</v>
      </c>
      <c r="G265" s="15">
        <v>2</v>
      </c>
      <c r="H265" s="15"/>
      <c r="I265" s="15">
        <v>743484501.85000026</v>
      </c>
      <c r="J265" s="15">
        <v>0</v>
      </c>
      <c r="K265" s="15">
        <v>17632294.399999999</v>
      </c>
      <c r="L265" s="15">
        <v>11623141.609999999</v>
      </c>
      <c r="M265" s="15">
        <v>0</v>
      </c>
      <c r="N265" s="15">
        <v>0</v>
      </c>
      <c r="O265" s="15">
        <v>0</v>
      </c>
      <c r="P265" s="15">
        <v>0</v>
      </c>
      <c r="Q265" s="15">
        <v>1288855.8400000001</v>
      </c>
    </row>
    <row r="266" spans="1:17" hidden="1" x14ac:dyDescent="0.25">
      <c r="A266" s="15" t="s">
        <v>350</v>
      </c>
      <c r="B266" s="15" t="s">
        <v>386</v>
      </c>
      <c r="C266" s="15" t="s">
        <v>399</v>
      </c>
      <c r="D266" s="15" t="s">
        <v>400</v>
      </c>
      <c r="E266" s="15"/>
      <c r="F266" s="15"/>
      <c r="G266" s="15"/>
      <c r="H266" s="15" t="s">
        <v>343</v>
      </c>
      <c r="I266" s="15">
        <v>0</v>
      </c>
      <c r="J266" s="15">
        <v>0</v>
      </c>
      <c r="K266" s="15">
        <v>0</v>
      </c>
      <c r="L266" s="15">
        <v>0</v>
      </c>
      <c r="M266" s="15">
        <v>58644616.523887977</v>
      </c>
      <c r="N266" s="15">
        <v>0</v>
      </c>
      <c r="O266" s="15">
        <v>0</v>
      </c>
      <c r="P266" s="15">
        <v>0</v>
      </c>
      <c r="Q266" s="15">
        <v>0</v>
      </c>
    </row>
    <row r="267" spans="1:17" hidden="1" x14ac:dyDescent="0.25">
      <c r="A267" s="15" t="s">
        <v>93</v>
      </c>
      <c r="B267" s="15" t="s">
        <v>386</v>
      </c>
      <c r="C267" s="15" t="s">
        <v>399</v>
      </c>
      <c r="D267" s="15" t="s">
        <v>400</v>
      </c>
      <c r="E267" s="15"/>
      <c r="F267" s="15"/>
      <c r="G267" s="15"/>
      <c r="H267" s="15" t="s">
        <v>343</v>
      </c>
      <c r="I267" s="15">
        <v>0</v>
      </c>
      <c r="J267" s="15">
        <v>0</v>
      </c>
      <c r="K267" s="15">
        <v>0</v>
      </c>
      <c r="L267" s="15">
        <v>0</v>
      </c>
      <c r="M267" s="15">
        <v>2477576350.1662774</v>
      </c>
      <c r="N267" s="15">
        <v>0</v>
      </c>
      <c r="O267" s="15">
        <v>1259436385.0236988</v>
      </c>
      <c r="P267" s="15">
        <v>218761180.7299979</v>
      </c>
      <c r="Q267" s="15">
        <v>0</v>
      </c>
    </row>
    <row r="268" spans="1:17" hidden="1" x14ac:dyDescent="0.25">
      <c r="A268" s="15" t="s">
        <v>103</v>
      </c>
      <c r="B268" s="15" t="s">
        <v>386</v>
      </c>
      <c r="C268" s="15" t="s">
        <v>401</v>
      </c>
      <c r="D268" s="15" t="s">
        <v>402</v>
      </c>
      <c r="E268" s="15"/>
      <c r="F268" s="15"/>
      <c r="G268" s="15"/>
      <c r="H268" s="15" t="s">
        <v>343</v>
      </c>
      <c r="I268" s="15">
        <v>0</v>
      </c>
      <c r="J268" s="15">
        <v>0</v>
      </c>
      <c r="K268" s="15">
        <v>0</v>
      </c>
      <c r="L268" s="15">
        <v>0</v>
      </c>
      <c r="M268" s="15">
        <v>2326531547.897965</v>
      </c>
      <c r="N268" s="15">
        <v>0</v>
      </c>
      <c r="O268" s="15">
        <v>1270221008.9855001</v>
      </c>
      <c r="P268" s="15">
        <v>1003918901.3799986</v>
      </c>
      <c r="Q268" s="15">
        <v>0</v>
      </c>
    </row>
    <row r="269" spans="1:17" hidden="1" x14ac:dyDescent="0.25">
      <c r="A269" s="15" t="s">
        <v>118</v>
      </c>
      <c r="B269" s="15" t="s">
        <v>386</v>
      </c>
      <c r="C269" s="15" t="s">
        <v>401</v>
      </c>
      <c r="D269" s="15" t="s">
        <v>403</v>
      </c>
      <c r="E269" s="15"/>
      <c r="F269" s="15"/>
      <c r="G269" s="15"/>
      <c r="H269" s="15" t="s">
        <v>343</v>
      </c>
      <c r="I269" s="15">
        <v>0</v>
      </c>
      <c r="J269" s="15">
        <v>0</v>
      </c>
      <c r="K269" s="15">
        <v>0</v>
      </c>
      <c r="L269" s="15">
        <v>0</v>
      </c>
      <c r="M269" s="15">
        <v>1556732899.31043</v>
      </c>
      <c r="N269" s="15">
        <v>0</v>
      </c>
      <c r="O269" s="15">
        <v>809693097.54320014</v>
      </c>
      <c r="P269" s="15">
        <v>5201309809</v>
      </c>
      <c r="Q269" s="15">
        <v>0</v>
      </c>
    </row>
    <row r="270" spans="1:17" hidden="1" x14ac:dyDescent="0.25">
      <c r="A270" s="15" t="s">
        <v>118</v>
      </c>
      <c r="B270" s="15" t="s">
        <v>386</v>
      </c>
      <c r="C270" s="15" t="s">
        <v>401</v>
      </c>
      <c r="D270" s="15" t="s">
        <v>404</v>
      </c>
      <c r="E270" s="15"/>
      <c r="F270" s="15"/>
      <c r="G270" s="15"/>
      <c r="H270" s="15" t="s">
        <v>343</v>
      </c>
      <c r="I270" s="15">
        <v>0</v>
      </c>
      <c r="J270" s="15">
        <v>0</v>
      </c>
      <c r="K270" s="15">
        <v>0</v>
      </c>
      <c r="L270" s="15">
        <v>0</v>
      </c>
      <c r="M270" s="15">
        <v>1431955621.1198773</v>
      </c>
      <c r="N270" s="15">
        <v>0</v>
      </c>
      <c r="O270" s="15">
        <v>854540439.37340009</v>
      </c>
      <c r="P270" s="15">
        <v>7842292527.5393858</v>
      </c>
      <c r="Q270" s="15">
        <v>0</v>
      </c>
    </row>
    <row r="271" spans="1:17" hidden="1" x14ac:dyDescent="0.25">
      <c r="A271" s="15" t="s">
        <v>102</v>
      </c>
      <c r="B271" s="15" t="s">
        <v>386</v>
      </c>
      <c r="C271" s="15" t="s">
        <v>401</v>
      </c>
      <c r="D271" s="15" t="s">
        <v>405</v>
      </c>
      <c r="E271" s="15"/>
      <c r="F271" s="15"/>
      <c r="G271" s="15"/>
      <c r="H271" s="15" t="s">
        <v>343</v>
      </c>
      <c r="I271" s="15">
        <v>0</v>
      </c>
      <c r="J271" s="15">
        <v>0</v>
      </c>
      <c r="K271" s="15">
        <v>0</v>
      </c>
      <c r="L271" s="15">
        <v>0</v>
      </c>
      <c r="M271" s="15">
        <v>1955446764.2040288</v>
      </c>
      <c r="N271" s="15">
        <v>0</v>
      </c>
      <c r="O271" s="15">
        <v>1106109946.8952</v>
      </c>
      <c r="P271" s="15">
        <v>261530577.7100001</v>
      </c>
      <c r="Q271" s="15">
        <v>0</v>
      </c>
    </row>
    <row r="272" spans="1:17" hidden="1" x14ac:dyDescent="0.25">
      <c r="A272" s="15" t="s">
        <v>385</v>
      </c>
      <c r="B272" s="15" t="s">
        <v>386</v>
      </c>
      <c r="C272" s="15" t="s">
        <v>401</v>
      </c>
      <c r="D272" s="15" t="s">
        <v>405</v>
      </c>
      <c r="E272" s="15"/>
      <c r="F272" s="15"/>
      <c r="G272" s="15"/>
      <c r="H272" s="15" t="s">
        <v>343</v>
      </c>
      <c r="I272" s="15">
        <v>0</v>
      </c>
      <c r="J272" s="15">
        <v>0</v>
      </c>
      <c r="K272" s="15">
        <v>0</v>
      </c>
      <c r="L272" s="15">
        <v>0</v>
      </c>
      <c r="M272" s="15">
        <v>1088667452.0411131</v>
      </c>
      <c r="N272" s="15">
        <v>0</v>
      </c>
      <c r="O272" s="15">
        <v>753558814.78799975</v>
      </c>
      <c r="P272" s="15">
        <v>0</v>
      </c>
      <c r="Q272" s="15">
        <v>0</v>
      </c>
    </row>
    <row r="273" spans="1:17" hidden="1" x14ac:dyDescent="0.25">
      <c r="A273" s="15" t="s">
        <v>105</v>
      </c>
      <c r="B273" s="15" t="s">
        <v>386</v>
      </c>
      <c r="C273" s="15" t="s">
        <v>399</v>
      </c>
      <c r="D273" s="15" t="s">
        <v>406</v>
      </c>
      <c r="E273" s="15"/>
      <c r="F273" s="15"/>
      <c r="G273" s="15"/>
      <c r="H273" s="15" t="s">
        <v>343</v>
      </c>
      <c r="I273" s="15">
        <v>0</v>
      </c>
      <c r="J273" s="15">
        <v>0</v>
      </c>
      <c r="K273" s="15">
        <v>0</v>
      </c>
      <c r="L273" s="15">
        <v>0</v>
      </c>
      <c r="M273" s="15">
        <v>2532698383.7220397</v>
      </c>
      <c r="N273" s="15">
        <v>0</v>
      </c>
      <c r="O273" s="15">
        <v>1635326902.4612002</v>
      </c>
      <c r="P273" s="15">
        <v>3581306822</v>
      </c>
      <c r="Q273" s="15">
        <v>0</v>
      </c>
    </row>
    <row r="274" spans="1:17" hidden="1" x14ac:dyDescent="0.25">
      <c r="A274" s="15" t="s">
        <v>107</v>
      </c>
      <c r="B274" s="15" t="s">
        <v>386</v>
      </c>
      <c r="C274" s="15" t="s">
        <v>399</v>
      </c>
      <c r="D274" s="15" t="s">
        <v>406</v>
      </c>
      <c r="E274" s="15"/>
      <c r="F274" s="15"/>
      <c r="G274" s="15"/>
      <c r="H274" s="15" t="s">
        <v>343</v>
      </c>
      <c r="I274" s="15">
        <v>0</v>
      </c>
      <c r="J274" s="15">
        <v>0</v>
      </c>
      <c r="K274" s="15">
        <v>0</v>
      </c>
      <c r="L274" s="15">
        <v>0</v>
      </c>
      <c r="M274" s="15">
        <v>737844954.10071135</v>
      </c>
      <c r="N274" s="15">
        <v>0</v>
      </c>
      <c r="O274" s="15">
        <v>473242568.68590033</v>
      </c>
      <c r="P274" s="15">
        <v>0</v>
      </c>
      <c r="Q274" s="15">
        <v>0</v>
      </c>
    </row>
    <row r="275" spans="1:17" hidden="1" x14ac:dyDescent="0.25">
      <c r="A275" s="15" t="s">
        <v>353</v>
      </c>
      <c r="B275" s="15" t="s">
        <v>386</v>
      </c>
      <c r="C275" s="15" t="s">
        <v>399</v>
      </c>
      <c r="D275" s="15" t="s">
        <v>407</v>
      </c>
      <c r="E275" s="15"/>
      <c r="F275" s="15"/>
      <c r="G275" s="15"/>
      <c r="H275" s="15" t="s">
        <v>377</v>
      </c>
      <c r="I275" s="15">
        <v>0</v>
      </c>
      <c r="J275" s="15">
        <v>0</v>
      </c>
      <c r="K275" s="15">
        <v>0</v>
      </c>
      <c r="L275" s="15">
        <v>0</v>
      </c>
      <c r="M275" s="15">
        <v>1734424295.8827801</v>
      </c>
      <c r="N275" s="15">
        <v>0</v>
      </c>
      <c r="O275" s="15">
        <v>911492076.11280048</v>
      </c>
      <c r="P275" s="15">
        <v>236932645.48000008</v>
      </c>
      <c r="Q275" s="15">
        <v>0</v>
      </c>
    </row>
    <row r="276" spans="1:17" hidden="1" x14ac:dyDescent="0.25">
      <c r="A276" s="15" t="s">
        <v>108</v>
      </c>
      <c r="B276" s="15" t="s">
        <v>386</v>
      </c>
      <c r="C276" s="15" t="s">
        <v>399</v>
      </c>
      <c r="D276" s="15" t="s">
        <v>408</v>
      </c>
      <c r="E276" s="15" t="s">
        <v>389</v>
      </c>
      <c r="F276" s="15">
        <v>1</v>
      </c>
      <c r="G276" s="15"/>
      <c r="H276" s="15" t="s">
        <v>343</v>
      </c>
      <c r="I276" s="15">
        <v>0</v>
      </c>
      <c r="J276" s="15">
        <v>14118688.039999999</v>
      </c>
      <c r="K276" s="15">
        <v>47082491.349999994</v>
      </c>
      <c r="L276" s="15">
        <v>21770737.020000003</v>
      </c>
      <c r="M276" s="15">
        <v>1195807959.6473541</v>
      </c>
      <c r="N276" s="15">
        <v>0</v>
      </c>
      <c r="O276" s="15">
        <v>627491536.84229958</v>
      </c>
      <c r="P276" s="15">
        <v>1541010962</v>
      </c>
      <c r="Q276" s="15">
        <v>1997857.99</v>
      </c>
    </row>
    <row r="277" spans="1:17" hidden="1" x14ac:dyDescent="0.25">
      <c r="A277" s="15" t="s">
        <v>353</v>
      </c>
      <c r="B277" s="15" t="s">
        <v>386</v>
      </c>
      <c r="C277" s="15" t="s">
        <v>390</v>
      </c>
      <c r="D277" s="15" t="s">
        <v>393</v>
      </c>
      <c r="E277" s="15" t="s">
        <v>394</v>
      </c>
      <c r="F277" s="15">
        <v>1</v>
      </c>
      <c r="G277" s="15">
        <v>1</v>
      </c>
      <c r="H277" s="15"/>
      <c r="I277" s="15">
        <v>0</v>
      </c>
      <c r="J277" s="15">
        <v>6797469.4299999997</v>
      </c>
      <c r="K277" s="15">
        <v>68919637.749999896</v>
      </c>
      <c r="L277" s="15">
        <v>60424031.840000011</v>
      </c>
      <c r="M277" s="15">
        <v>0</v>
      </c>
      <c r="N277" s="15">
        <v>255081129.14000046</v>
      </c>
      <c r="O277" s="15">
        <v>119395924.48810005</v>
      </c>
      <c r="P277" s="15">
        <v>0</v>
      </c>
      <c r="Q277" s="15">
        <v>16290350.629999997</v>
      </c>
    </row>
    <row r="278" spans="1:17" hidden="1" x14ac:dyDescent="0.25">
      <c r="A278" s="15" t="s">
        <v>102</v>
      </c>
      <c r="B278" s="15" t="s">
        <v>386</v>
      </c>
      <c r="C278" s="15" t="s">
        <v>390</v>
      </c>
      <c r="D278" s="15" t="s">
        <v>409</v>
      </c>
      <c r="E278" s="15" t="s">
        <v>389</v>
      </c>
      <c r="F278" s="15">
        <v>1</v>
      </c>
      <c r="G278" s="15">
        <v>2</v>
      </c>
      <c r="H278" s="15"/>
      <c r="I278" s="15">
        <v>0</v>
      </c>
      <c r="J278" s="15">
        <v>17566407.939999998</v>
      </c>
      <c r="K278" s="15">
        <v>38383692.549999997</v>
      </c>
      <c r="L278" s="15">
        <v>155048074.95999986</v>
      </c>
      <c r="M278" s="15">
        <v>0</v>
      </c>
      <c r="N278" s="15">
        <v>399077386.26000172</v>
      </c>
      <c r="O278" s="15">
        <v>129383535.6268</v>
      </c>
      <c r="P278" s="15">
        <v>0</v>
      </c>
      <c r="Q278" s="15">
        <v>36021878.199999981</v>
      </c>
    </row>
    <row r="279" spans="1:17" hidden="1" x14ac:dyDescent="0.25">
      <c r="A279" s="15" t="s">
        <v>102</v>
      </c>
      <c r="B279" s="15" t="s">
        <v>386</v>
      </c>
      <c r="C279" s="15" t="s">
        <v>395</v>
      </c>
      <c r="D279" s="15" t="s">
        <v>410</v>
      </c>
      <c r="E279" s="15" t="s">
        <v>360</v>
      </c>
      <c r="F279" s="15"/>
      <c r="G279" s="15"/>
      <c r="H279" s="15"/>
      <c r="I279" s="15">
        <v>0</v>
      </c>
      <c r="J279" s="15">
        <v>876061.97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</row>
    <row r="280" spans="1:17" hidden="1" x14ac:dyDescent="0.25">
      <c r="A280" s="15" t="s">
        <v>105</v>
      </c>
      <c r="B280" s="15" t="s">
        <v>386</v>
      </c>
      <c r="C280" s="15" t="s">
        <v>390</v>
      </c>
      <c r="D280" s="15" t="s">
        <v>391</v>
      </c>
      <c r="E280" s="15" t="s">
        <v>389</v>
      </c>
      <c r="F280" s="15">
        <v>1</v>
      </c>
      <c r="G280" s="15"/>
      <c r="H280" s="15"/>
      <c r="I280" s="15">
        <v>0</v>
      </c>
      <c r="J280" s="15">
        <v>11012437.9</v>
      </c>
      <c r="K280" s="15">
        <v>218337576.42999807</v>
      </c>
      <c r="L280" s="15">
        <v>101476809.00999995</v>
      </c>
      <c r="M280" s="15">
        <v>0</v>
      </c>
      <c r="N280" s="15">
        <v>0</v>
      </c>
      <c r="O280" s="15" t="s">
        <v>627</v>
      </c>
      <c r="P280" s="15">
        <v>0</v>
      </c>
      <c r="Q280" s="15">
        <v>6582960</v>
      </c>
    </row>
    <row r="281" spans="1:17" hidden="1" x14ac:dyDescent="0.25">
      <c r="A281" s="15" t="s">
        <v>105</v>
      </c>
      <c r="B281" s="15" t="s">
        <v>386</v>
      </c>
      <c r="C281" s="15" t="s">
        <v>390</v>
      </c>
      <c r="D281" s="15" t="s">
        <v>393</v>
      </c>
      <c r="E281" s="15" t="s">
        <v>394</v>
      </c>
      <c r="F281" s="15"/>
      <c r="G281" s="15"/>
      <c r="H281" s="15"/>
      <c r="I281" s="15">
        <v>0</v>
      </c>
      <c r="J281" s="15">
        <v>0</v>
      </c>
      <c r="K281" s="15">
        <v>778536.94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293012.60000000003</v>
      </c>
    </row>
    <row r="282" spans="1:17" ht="30" hidden="1" x14ac:dyDescent="0.25">
      <c r="A282" s="15" t="s">
        <v>118</v>
      </c>
      <c r="B282" s="15" t="s">
        <v>386</v>
      </c>
      <c r="C282" s="15" t="s">
        <v>387</v>
      </c>
      <c r="D282" s="15" t="s">
        <v>411</v>
      </c>
      <c r="E282" s="15" t="s">
        <v>360</v>
      </c>
      <c r="F282" s="15"/>
      <c r="G282" s="15">
        <v>1</v>
      </c>
      <c r="H282" s="15"/>
      <c r="I282" s="15">
        <v>0</v>
      </c>
      <c r="J282" s="15">
        <v>0</v>
      </c>
      <c r="K282" s="15">
        <v>26279873.48</v>
      </c>
      <c r="L282" s="15">
        <v>18050152.199999999</v>
      </c>
      <c r="M282" s="15">
        <v>0</v>
      </c>
      <c r="N282" s="15">
        <v>745246078.51999485</v>
      </c>
      <c r="O282" s="15">
        <v>0</v>
      </c>
      <c r="P282" s="15">
        <v>0</v>
      </c>
      <c r="Q282" s="15">
        <v>63038286.849999949</v>
      </c>
    </row>
    <row r="283" spans="1:17" ht="30" hidden="1" x14ac:dyDescent="0.25">
      <c r="A283" s="15" t="s">
        <v>118</v>
      </c>
      <c r="B283" s="15" t="s">
        <v>386</v>
      </c>
      <c r="C283" s="15" t="s">
        <v>387</v>
      </c>
      <c r="D283" s="15" t="s">
        <v>412</v>
      </c>
      <c r="E283" s="15" t="s">
        <v>360</v>
      </c>
      <c r="F283" s="15">
        <v>2</v>
      </c>
      <c r="G283" s="15"/>
      <c r="H283" s="15"/>
      <c r="I283" s="15">
        <v>323366528.169999</v>
      </c>
      <c r="J283" s="15">
        <v>0</v>
      </c>
      <c r="K283" s="15">
        <v>0</v>
      </c>
      <c r="L283" s="15">
        <v>0</v>
      </c>
      <c r="M283" s="15">
        <v>0</v>
      </c>
      <c r="N283" s="15">
        <v>260328241.31999904</v>
      </c>
      <c r="O283" s="15">
        <v>260328241.31999904</v>
      </c>
      <c r="P283" s="15">
        <v>0</v>
      </c>
      <c r="Q283" s="15">
        <v>0</v>
      </c>
    </row>
    <row r="284" spans="1:17" hidden="1" x14ac:dyDescent="0.25">
      <c r="A284" s="15" t="s">
        <v>118</v>
      </c>
      <c r="B284" s="15" t="s">
        <v>386</v>
      </c>
      <c r="C284" s="15" t="s">
        <v>395</v>
      </c>
      <c r="D284" s="15" t="s">
        <v>410</v>
      </c>
      <c r="E284" s="15" t="s">
        <v>360</v>
      </c>
      <c r="F284" s="15">
        <v>1</v>
      </c>
      <c r="G284" s="15"/>
      <c r="H284" s="15"/>
      <c r="I284" s="15">
        <v>0</v>
      </c>
      <c r="J284" s="15">
        <v>512675533.57000101</v>
      </c>
      <c r="K284" s="15">
        <v>3863402.85</v>
      </c>
      <c r="L284" s="15">
        <v>312364324.05999964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</row>
    <row r="285" spans="1:17" hidden="1" x14ac:dyDescent="0.25">
      <c r="A285" s="15" t="s">
        <v>118</v>
      </c>
      <c r="B285" s="15" t="s">
        <v>386</v>
      </c>
      <c r="C285" s="15" t="s">
        <v>390</v>
      </c>
      <c r="D285" s="15" t="s">
        <v>409</v>
      </c>
      <c r="E285" s="15" t="s">
        <v>389</v>
      </c>
      <c r="F285" s="15"/>
      <c r="G285" s="15"/>
      <c r="H285" s="15"/>
      <c r="I285" s="15">
        <v>0</v>
      </c>
      <c r="J285" s="15">
        <v>0</v>
      </c>
      <c r="K285" s="15">
        <v>6631434.7199999923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</row>
    <row r="286" spans="1:17" hidden="1" x14ac:dyDescent="0.25">
      <c r="A286" s="15" t="s">
        <v>118</v>
      </c>
      <c r="B286" s="15" t="s">
        <v>386</v>
      </c>
      <c r="C286" s="15" t="s">
        <v>395</v>
      </c>
      <c r="D286" s="15" t="s">
        <v>396</v>
      </c>
      <c r="E286" s="15" t="s">
        <v>397</v>
      </c>
      <c r="F286" s="15"/>
      <c r="G286" s="15"/>
      <c r="H286" s="15"/>
      <c r="I286" s="15">
        <v>0</v>
      </c>
      <c r="J286" s="15">
        <v>0</v>
      </c>
      <c r="K286" s="15">
        <v>0</v>
      </c>
      <c r="L286" s="15">
        <v>6961655.1200000001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</row>
    <row r="287" spans="1:17" hidden="1" x14ac:dyDescent="0.25">
      <c r="A287" s="15" t="s">
        <v>93</v>
      </c>
      <c r="B287" s="15" t="s">
        <v>386</v>
      </c>
      <c r="C287" s="15" t="s">
        <v>390</v>
      </c>
      <c r="D287" s="15" t="s">
        <v>409</v>
      </c>
      <c r="E287" s="15" t="s">
        <v>389</v>
      </c>
      <c r="F287" s="15"/>
      <c r="G287" s="15"/>
      <c r="H287" s="15"/>
      <c r="I287" s="15">
        <v>0</v>
      </c>
      <c r="J287" s="15">
        <v>0</v>
      </c>
      <c r="K287" s="15">
        <v>0</v>
      </c>
      <c r="L287" s="15">
        <v>727126.16999999993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</row>
    <row r="288" spans="1:17" hidden="1" x14ac:dyDescent="0.25">
      <c r="A288" s="15" t="s">
        <v>93</v>
      </c>
      <c r="B288" s="15" t="s">
        <v>386</v>
      </c>
      <c r="C288" s="15" t="s">
        <v>390</v>
      </c>
      <c r="D288" s="15" t="s">
        <v>392</v>
      </c>
      <c r="E288" s="15" t="s">
        <v>389</v>
      </c>
      <c r="F288" s="15">
        <v>1</v>
      </c>
      <c r="G288" s="15"/>
      <c r="H288" s="15"/>
      <c r="I288" s="15">
        <v>0</v>
      </c>
      <c r="J288" s="15">
        <v>37867925.61999999</v>
      </c>
      <c r="K288" s="15">
        <v>48991654.930000298</v>
      </c>
      <c r="L288" s="15">
        <v>83731236.620000064</v>
      </c>
      <c r="M288" s="15">
        <v>0</v>
      </c>
      <c r="N288" s="15">
        <v>9452726.7900000159</v>
      </c>
      <c r="O288" s="15">
        <v>0</v>
      </c>
      <c r="P288" s="15">
        <v>0</v>
      </c>
      <c r="Q288" s="15">
        <v>292274.43</v>
      </c>
    </row>
    <row r="289" spans="1:17" hidden="1" x14ac:dyDescent="0.25">
      <c r="A289" s="15" t="s">
        <v>133</v>
      </c>
      <c r="B289" s="15" t="s">
        <v>386</v>
      </c>
      <c r="C289" s="15" t="s">
        <v>395</v>
      </c>
      <c r="D289" s="15" t="s">
        <v>413</v>
      </c>
      <c r="E289" s="15" t="s">
        <v>397</v>
      </c>
      <c r="F289" s="15"/>
      <c r="G289" s="15">
        <v>1</v>
      </c>
      <c r="H289" s="15"/>
      <c r="I289" s="15">
        <v>0</v>
      </c>
      <c r="J289" s="15">
        <v>0</v>
      </c>
      <c r="K289" s="15">
        <v>0</v>
      </c>
      <c r="L289" s="15">
        <v>867862.86999999988</v>
      </c>
      <c r="M289" s="15">
        <v>0</v>
      </c>
      <c r="N289" s="15">
        <v>9452726.7899999991</v>
      </c>
      <c r="O289" s="15">
        <v>0</v>
      </c>
      <c r="P289" s="15">
        <v>0</v>
      </c>
      <c r="Q289" s="15">
        <v>0</v>
      </c>
    </row>
    <row r="290" spans="1:17" hidden="1" x14ac:dyDescent="0.25">
      <c r="A290" s="15" t="s">
        <v>120</v>
      </c>
      <c r="B290" s="15" t="s">
        <v>386</v>
      </c>
      <c r="C290" s="15" t="s">
        <v>395</v>
      </c>
      <c r="D290" s="15" t="s">
        <v>410</v>
      </c>
      <c r="E290" s="15" t="s">
        <v>360</v>
      </c>
      <c r="F290" s="15"/>
      <c r="G290" s="15"/>
      <c r="H290" s="15"/>
      <c r="I290" s="15">
        <v>0</v>
      </c>
      <c r="J290" s="15">
        <v>0</v>
      </c>
      <c r="K290" s="15">
        <v>1036658.8200000001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</row>
    <row r="291" spans="1:17" ht="30" hidden="1" x14ac:dyDescent="0.25">
      <c r="A291" s="15" t="s">
        <v>120</v>
      </c>
      <c r="B291" s="15" t="s">
        <v>386</v>
      </c>
      <c r="C291" s="15" t="s">
        <v>387</v>
      </c>
      <c r="D291" s="15" t="s">
        <v>388</v>
      </c>
      <c r="E291" s="15" t="s">
        <v>389</v>
      </c>
      <c r="F291" s="15"/>
      <c r="G291" s="15"/>
      <c r="H291" s="15"/>
      <c r="I291" s="15">
        <v>0</v>
      </c>
      <c r="J291" s="15">
        <v>21095811.210000005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</row>
    <row r="292" spans="1:17" hidden="1" x14ac:dyDescent="0.25">
      <c r="A292" s="15" t="s">
        <v>385</v>
      </c>
      <c r="B292" s="15" t="s">
        <v>386</v>
      </c>
      <c r="C292" s="15" t="s">
        <v>390</v>
      </c>
      <c r="D292" s="15" t="s">
        <v>409</v>
      </c>
      <c r="E292" s="15" t="s">
        <v>389</v>
      </c>
      <c r="F292" s="15">
        <v>1</v>
      </c>
      <c r="G292" s="15"/>
      <c r="H292" s="15"/>
      <c r="I292" s="15">
        <v>0</v>
      </c>
      <c r="J292" s="15">
        <v>0</v>
      </c>
      <c r="K292" s="15">
        <v>3709919.7600000007</v>
      </c>
      <c r="L292" s="15">
        <v>61572551.459999993</v>
      </c>
      <c r="M292" s="15">
        <v>0</v>
      </c>
      <c r="N292" s="15">
        <v>33039185.340000033</v>
      </c>
      <c r="O292" s="15">
        <v>6893112.2441999996</v>
      </c>
      <c r="P292" s="15">
        <v>0</v>
      </c>
      <c r="Q292" s="15">
        <v>669466</v>
      </c>
    </row>
    <row r="293" spans="1:17" hidden="1" x14ac:dyDescent="0.25">
      <c r="A293" s="15" t="s">
        <v>385</v>
      </c>
      <c r="B293" s="15" t="s">
        <v>386</v>
      </c>
      <c r="C293" s="15" t="s">
        <v>390</v>
      </c>
      <c r="D293" s="15" t="s">
        <v>393</v>
      </c>
      <c r="E293" s="15" t="s">
        <v>394</v>
      </c>
      <c r="F293" s="15"/>
      <c r="G293" s="15"/>
      <c r="H293" s="15"/>
      <c r="I293" s="15">
        <v>0</v>
      </c>
      <c r="J293" s="15">
        <v>0</v>
      </c>
      <c r="K293" s="15">
        <v>0</v>
      </c>
      <c r="L293" s="15">
        <v>363411.85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</row>
    <row r="294" spans="1:17" ht="30" hidden="1" x14ac:dyDescent="0.25">
      <c r="A294" s="15" t="s">
        <v>347</v>
      </c>
      <c r="B294" s="15" t="s">
        <v>386</v>
      </c>
      <c r="C294" s="15" t="s">
        <v>395</v>
      </c>
      <c r="D294" s="15" t="s">
        <v>413</v>
      </c>
      <c r="E294" s="15" t="s">
        <v>397</v>
      </c>
      <c r="F294" s="15">
        <v>1</v>
      </c>
      <c r="G294" s="15">
        <v>1</v>
      </c>
      <c r="H294" s="15" t="s">
        <v>343</v>
      </c>
      <c r="I294" s="15">
        <v>0</v>
      </c>
      <c r="J294" s="15">
        <v>8722385.4600000009</v>
      </c>
      <c r="K294" s="15">
        <v>656791.19999999995</v>
      </c>
      <c r="L294" s="15">
        <v>58926900.209999993</v>
      </c>
      <c r="M294" s="15">
        <v>1000058232.5383745</v>
      </c>
      <c r="N294" s="15">
        <v>173307347.28000036</v>
      </c>
      <c r="O294" s="15">
        <v>601796653.87660027</v>
      </c>
      <c r="P294" s="15">
        <v>99474719.699999988</v>
      </c>
      <c r="Q294" s="15">
        <v>0</v>
      </c>
    </row>
    <row r="295" spans="1:17" ht="30" hidden="1" x14ac:dyDescent="0.25">
      <c r="A295" s="15" t="s">
        <v>103</v>
      </c>
      <c r="B295" s="15" t="s">
        <v>386</v>
      </c>
      <c r="C295" s="15" t="s">
        <v>387</v>
      </c>
      <c r="D295" s="15" t="s">
        <v>411</v>
      </c>
      <c r="E295" s="15" t="s">
        <v>360</v>
      </c>
      <c r="F295" s="15"/>
      <c r="G295" s="15"/>
      <c r="H295" s="15"/>
      <c r="I295" s="15">
        <v>0</v>
      </c>
      <c r="J295" s="15">
        <v>0</v>
      </c>
      <c r="K295" s="15">
        <v>77805536.48999998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</row>
    <row r="296" spans="1:17" hidden="1" x14ac:dyDescent="0.25">
      <c r="A296" s="15" t="s">
        <v>103</v>
      </c>
      <c r="B296" s="15" t="s">
        <v>386</v>
      </c>
      <c r="C296" s="15" t="s">
        <v>390</v>
      </c>
      <c r="D296" s="15" t="s">
        <v>414</v>
      </c>
      <c r="E296" s="15" t="s">
        <v>389</v>
      </c>
      <c r="F296" s="15">
        <v>1</v>
      </c>
      <c r="G296" s="15">
        <v>1</v>
      </c>
      <c r="H296" s="15"/>
      <c r="I296" s="15">
        <v>0</v>
      </c>
      <c r="J296" s="15">
        <v>5248127.7100000009</v>
      </c>
      <c r="K296" s="15">
        <v>2517076.71</v>
      </c>
      <c r="L296" s="15">
        <v>101239778.97</v>
      </c>
      <c r="M296" s="15">
        <v>0</v>
      </c>
      <c r="N296" s="15">
        <v>249482271.56000093</v>
      </c>
      <c r="O296" s="15">
        <v>92206844.813199982</v>
      </c>
      <c r="P296" s="15">
        <v>0</v>
      </c>
      <c r="Q296" s="15">
        <v>59178799.899999954</v>
      </c>
    </row>
    <row r="297" spans="1:17" hidden="1" x14ac:dyDescent="0.25">
      <c r="A297" s="15" t="s">
        <v>103</v>
      </c>
      <c r="B297" s="15" t="s">
        <v>386</v>
      </c>
      <c r="C297" s="15" t="s">
        <v>395</v>
      </c>
      <c r="D297" s="15" t="s">
        <v>410</v>
      </c>
      <c r="E297" s="15" t="s">
        <v>360</v>
      </c>
      <c r="F297" s="15"/>
      <c r="G297" s="15"/>
      <c r="H297" s="15"/>
      <c r="I297" s="15">
        <v>0</v>
      </c>
      <c r="J297" s="15">
        <v>0</v>
      </c>
      <c r="K297" s="15">
        <v>2257325.5700000003</v>
      </c>
      <c r="L297" s="15">
        <v>1243551.72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</row>
    <row r="298" spans="1:17" hidden="1" x14ac:dyDescent="0.25">
      <c r="A298" s="15" t="s">
        <v>103</v>
      </c>
      <c r="B298" s="15" t="s">
        <v>386</v>
      </c>
      <c r="C298" s="15" t="s">
        <v>390</v>
      </c>
      <c r="D298" s="15" t="s">
        <v>393</v>
      </c>
      <c r="E298" s="15" t="s">
        <v>394</v>
      </c>
      <c r="F298" s="15"/>
      <c r="G298" s="15"/>
      <c r="H298" s="15"/>
      <c r="I298" s="15">
        <v>0</v>
      </c>
      <c r="J298" s="15">
        <v>0</v>
      </c>
      <c r="K298" s="15">
        <v>0</v>
      </c>
      <c r="L298" s="15">
        <v>1593870.07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</row>
    <row r="299" spans="1:17" hidden="1" x14ac:dyDescent="0.25">
      <c r="A299" s="15" t="s">
        <v>417</v>
      </c>
      <c r="B299" s="15" t="s">
        <v>386</v>
      </c>
      <c r="C299" s="15" t="s">
        <v>395</v>
      </c>
      <c r="D299" s="15" t="s">
        <v>413</v>
      </c>
      <c r="E299" s="15" t="s">
        <v>397</v>
      </c>
      <c r="F299" s="15"/>
      <c r="G299" s="15">
        <v>1</v>
      </c>
      <c r="H299" s="15" t="s">
        <v>343</v>
      </c>
      <c r="I299" s="15">
        <v>0</v>
      </c>
      <c r="J299" s="15">
        <v>0</v>
      </c>
      <c r="K299" s="15">
        <v>0</v>
      </c>
      <c r="L299" s="15">
        <v>10032609.34</v>
      </c>
      <c r="M299" s="15">
        <v>166575782.33000067</v>
      </c>
      <c r="N299" s="15">
        <v>69327183.080000117</v>
      </c>
      <c r="O299" s="15">
        <v>23181716.654200006</v>
      </c>
      <c r="P299" s="15">
        <v>0</v>
      </c>
      <c r="Q299" s="15">
        <v>3859752.72</v>
      </c>
    </row>
    <row r="300" spans="1:17" ht="30" hidden="1" x14ac:dyDescent="0.25">
      <c r="A300" s="15" t="s">
        <v>174</v>
      </c>
      <c r="B300" s="15" t="s">
        <v>386</v>
      </c>
      <c r="C300" s="15" t="s">
        <v>387</v>
      </c>
      <c r="D300" s="15" t="s">
        <v>412</v>
      </c>
      <c r="E300" s="15" t="s">
        <v>419</v>
      </c>
      <c r="F300" s="15"/>
      <c r="G300" s="15"/>
      <c r="H300" s="15"/>
      <c r="I300" s="15">
        <v>835821.95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</row>
    <row r="301" spans="1:17" ht="30" hidden="1" x14ac:dyDescent="0.25">
      <c r="A301" s="15" t="s">
        <v>420</v>
      </c>
      <c r="B301" s="15" t="s">
        <v>386</v>
      </c>
      <c r="C301" s="15" t="s">
        <v>387</v>
      </c>
      <c r="D301" s="15" t="s">
        <v>412</v>
      </c>
      <c r="E301" s="15" t="s">
        <v>355</v>
      </c>
      <c r="F301" s="15"/>
      <c r="G301" s="15"/>
      <c r="H301" s="15"/>
      <c r="I301" s="15">
        <v>836011.14999999991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</row>
    <row r="302" spans="1:17" ht="30" hidden="1" x14ac:dyDescent="0.25">
      <c r="A302" s="15" t="s">
        <v>105</v>
      </c>
      <c r="B302" s="15" t="s">
        <v>386</v>
      </c>
      <c r="C302" s="15" t="s">
        <v>387</v>
      </c>
      <c r="D302" s="15" t="s">
        <v>412</v>
      </c>
      <c r="E302" s="15" t="s">
        <v>389</v>
      </c>
      <c r="F302" s="15"/>
      <c r="G302" s="15"/>
      <c r="H302" s="15"/>
      <c r="I302" s="15">
        <v>228590.15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</row>
    <row r="303" spans="1:17" ht="30" hidden="1" x14ac:dyDescent="0.25">
      <c r="A303" s="15" t="s">
        <v>105</v>
      </c>
      <c r="B303" s="15" t="s">
        <v>386</v>
      </c>
      <c r="C303" s="15" t="s">
        <v>387</v>
      </c>
      <c r="D303" s="15" t="s">
        <v>412</v>
      </c>
      <c r="E303" s="15" t="s">
        <v>389</v>
      </c>
      <c r="F303" s="15"/>
      <c r="G303" s="15"/>
      <c r="H303" s="15"/>
      <c r="I303" s="15">
        <v>688143.6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</row>
    <row r="304" spans="1:17" ht="30" hidden="1" x14ac:dyDescent="0.25">
      <c r="A304" s="15" t="s">
        <v>174</v>
      </c>
      <c r="B304" s="15" t="s">
        <v>386</v>
      </c>
      <c r="C304" s="15" t="s">
        <v>387</v>
      </c>
      <c r="D304" s="15" t="s">
        <v>412</v>
      </c>
      <c r="E304" s="15" t="s">
        <v>419</v>
      </c>
      <c r="F304" s="15"/>
      <c r="G304" s="15"/>
      <c r="H304" s="15"/>
      <c r="I304" s="15">
        <v>44163988.919999994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</row>
    <row r="305" spans="1:17" ht="30" hidden="1" x14ac:dyDescent="0.25">
      <c r="A305" s="15" t="s">
        <v>174</v>
      </c>
      <c r="B305" s="15" t="s">
        <v>386</v>
      </c>
      <c r="C305" s="15" t="s">
        <v>387</v>
      </c>
      <c r="D305" s="15" t="s">
        <v>412</v>
      </c>
      <c r="E305" s="15" t="s">
        <v>389</v>
      </c>
      <c r="F305" s="15"/>
      <c r="G305" s="15"/>
      <c r="H305" s="15"/>
      <c r="I305" s="15">
        <v>4002531.09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</row>
    <row r="306" spans="1:17" ht="30" hidden="1" x14ac:dyDescent="0.25">
      <c r="A306" s="15" t="s">
        <v>420</v>
      </c>
      <c r="B306" s="15" t="s">
        <v>386</v>
      </c>
      <c r="C306" s="15" t="s">
        <v>387</v>
      </c>
      <c r="D306" s="15" t="s">
        <v>412</v>
      </c>
      <c r="E306" s="15" t="s">
        <v>355</v>
      </c>
      <c r="F306" s="15"/>
      <c r="G306" s="15"/>
      <c r="H306" s="15"/>
      <c r="I306" s="15">
        <v>3046694.5799999996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</row>
    <row r="307" spans="1:17" ht="30" hidden="1" x14ac:dyDescent="0.25">
      <c r="A307" s="15" t="s">
        <v>420</v>
      </c>
      <c r="B307" s="15" t="s">
        <v>386</v>
      </c>
      <c r="C307" s="15" t="s">
        <v>387</v>
      </c>
      <c r="D307" s="15" t="s">
        <v>412</v>
      </c>
      <c r="E307" s="15" t="s">
        <v>389</v>
      </c>
      <c r="F307" s="15"/>
      <c r="G307" s="15"/>
      <c r="H307" s="15"/>
      <c r="I307" s="15">
        <v>2125019.96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</row>
    <row r="308" spans="1:17" ht="30" hidden="1" x14ac:dyDescent="0.25">
      <c r="A308" s="15" t="s">
        <v>383</v>
      </c>
      <c r="B308" s="15" t="s">
        <v>386</v>
      </c>
      <c r="C308" s="15" t="s">
        <v>387</v>
      </c>
      <c r="D308" s="15" t="s">
        <v>412</v>
      </c>
      <c r="E308" s="15" t="s">
        <v>355</v>
      </c>
      <c r="F308" s="15"/>
      <c r="G308" s="15"/>
      <c r="H308" s="15"/>
      <c r="I308" s="15">
        <v>12307302.329999996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</row>
    <row r="309" spans="1:17" ht="30" hidden="1" x14ac:dyDescent="0.25">
      <c r="A309" s="15" t="s">
        <v>383</v>
      </c>
      <c r="B309" s="15" t="s">
        <v>386</v>
      </c>
      <c r="C309" s="15" t="s">
        <v>387</v>
      </c>
      <c r="D309" s="15" t="s">
        <v>412</v>
      </c>
      <c r="E309" s="15" t="s">
        <v>389</v>
      </c>
      <c r="F309" s="15"/>
      <c r="G309" s="15"/>
      <c r="H309" s="15"/>
      <c r="I309" s="15">
        <v>9498768.2299999986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</row>
    <row r="310" spans="1:17" ht="30" hidden="1" x14ac:dyDescent="0.25">
      <c r="A310" s="15" t="s">
        <v>81</v>
      </c>
      <c r="B310" s="15" t="s">
        <v>386</v>
      </c>
      <c r="C310" s="15" t="s">
        <v>387</v>
      </c>
      <c r="D310" s="15" t="s">
        <v>412</v>
      </c>
      <c r="E310" s="15" t="s">
        <v>421</v>
      </c>
      <c r="F310" s="15"/>
      <c r="G310" s="15"/>
      <c r="H310" s="15"/>
      <c r="I310" s="15">
        <v>1850809.5699999998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</row>
    <row r="311" spans="1:17" ht="30" hidden="1" x14ac:dyDescent="0.25">
      <c r="A311" s="15" t="s">
        <v>50</v>
      </c>
      <c r="B311" s="15" t="s">
        <v>386</v>
      </c>
      <c r="C311" s="15" t="s">
        <v>387</v>
      </c>
      <c r="D311" s="15" t="s">
        <v>412</v>
      </c>
      <c r="E311" s="15" t="s">
        <v>422</v>
      </c>
      <c r="F311" s="15"/>
      <c r="G311" s="15"/>
      <c r="H311" s="15"/>
      <c r="I311" s="15">
        <v>3916673.8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</row>
    <row r="312" spans="1:17" ht="30" hidden="1" x14ac:dyDescent="0.25">
      <c r="A312" s="15" t="s">
        <v>50</v>
      </c>
      <c r="B312" s="15" t="s">
        <v>386</v>
      </c>
      <c r="C312" s="15" t="s">
        <v>387</v>
      </c>
      <c r="D312" s="15" t="s">
        <v>412</v>
      </c>
      <c r="E312" s="15" t="s">
        <v>423</v>
      </c>
      <c r="F312" s="15"/>
      <c r="G312" s="15"/>
      <c r="H312" s="15"/>
      <c r="I312" s="15">
        <v>2292216.67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</row>
    <row r="313" spans="1:17" ht="30" hidden="1" x14ac:dyDescent="0.25">
      <c r="A313" s="15" t="s">
        <v>166</v>
      </c>
      <c r="B313" s="15" t="s">
        <v>386</v>
      </c>
      <c r="C313" s="15" t="s">
        <v>387</v>
      </c>
      <c r="D313" s="15" t="s">
        <v>412</v>
      </c>
      <c r="E313" s="15" t="s">
        <v>389</v>
      </c>
      <c r="F313" s="15"/>
      <c r="G313" s="15"/>
      <c r="H313" s="15"/>
      <c r="I313" s="15">
        <v>1669261.7300000004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</row>
    <row r="314" spans="1:17" ht="30" hidden="1" x14ac:dyDescent="0.25">
      <c r="A314" s="15" t="s">
        <v>353</v>
      </c>
      <c r="B314" s="15" t="s">
        <v>386</v>
      </c>
      <c r="C314" s="15" t="s">
        <v>387</v>
      </c>
      <c r="D314" s="15" t="s">
        <v>412</v>
      </c>
      <c r="E314" s="15" t="s">
        <v>394</v>
      </c>
      <c r="F314" s="15"/>
      <c r="G314" s="15"/>
      <c r="H314" s="15"/>
      <c r="I314" s="15">
        <v>16290350.629999995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</row>
    <row r="315" spans="1:17" ht="30" hidden="1" x14ac:dyDescent="0.25">
      <c r="A315" s="15" t="s">
        <v>341</v>
      </c>
      <c r="B315" s="15" t="s">
        <v>386</v>
      </c>
      <c r="C315" s="15" t="s">
        <v>387</v>
      </c>
      <c r="D315" s="15" t="s">
        <v>412</v>
      </c>
      <c r="E315" s="15" t="s">
        <v>389</v>
      </c>
      <c r="F315" s="15"/>
      <c r="G315" s="15"/>
      <c r="H315" s="15"/>
      <c r="I315" s="15">
        <v>13742490.699999999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</row>
    <row r="316" spans="1:17" ht="30" hidden="1" x14ac:dyDescent="0.25">
      <c r="A316" s="15" t="s">
        <v>141</v>
      </c>
      <c r="B316" s="15" t="s">
        <v>386</v>
      </c>
      <c r="C316" s="15" t="s">
        <v>387</v>
      </c>
      <c r="D316" s="15" t="s">
        <v>412</v>
      </c>
      <c r="E316" s="15" t="s">
        <v>389</v>
      </c>
      <c r="F316" s="15"/>
      <c r="G316" s="15"/>
      <c r="H316" s="15"/>
      <c r="I316" s="15">
        <v>8182930.8999999994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</row>
    <row r="317" spans="1:17" ht="30" hidden="1" x14ac:dyDescent="0.25">
      <c r="A317" s="15" t="s">
        <v>87</v>
      </c>
      <c r="B317" s="15" t="s">
        <v>386</v>
      </c>
      <c r="C317" s="15" t="s">
        <v>387</v>
      </c>
      <c r="D317" s="15" t="s">
        <v>412</v>
      </c>
      <c r="E317" s="15" t="s">
        <v>424</v>
      </c>
      <c r="F317" s="15"/>
      <c r="G317" s="15"/>
      <c r="H317" s="15"/>
      <c r="I317" s="15">
        <v>1212322.8800000001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</row>
    <row r="318" spans="1:17" ht="30" hidden="1" x14ac:dyDescent="0.25">
      <c r="A318" s="15" t="s">
        <v>155</v>
      </c>
      <c r="B318" s="15" t="s">
        <v>386</v>
      </c>
      <c r="C318" s="15" t="s">
        <v>387</v>
      </c>
      <c r="D318" s="15" t="s">
        <v>412</v>
      </c>
      <c r="E318" s="15" t="s">
        <v>389</v>
      </c>
      <c r="F318" s="15"/>
      <c r="G318" s="15"/>
      <c r="H318" s="15"/>
      <c r="I318" s="15">
        <v>3727231.73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</row>
    <row r="319" spans="1:17" ht="30" hidden="1" x14ac:dyDescent="0.25">
      <c r="A319" s="15" t="s">
        <v>48</v>
      </c>
      <c r="B319" s="15" t="s">
        <v>386</v>
      </c>
      <c r="C319" s="15" t="s">
        <v>387</v>
      </c>
      <c r="D319" s="15" t="s">
        <v>412</v>
      </c>
      <c r="E319" s="15" t="s">
        <v>422</v>
      </c>
      <c r="F319" s="15"/>
      <c r="G319" s="15"/>
      <c r="H319" s="15"/>
      <c r="I319" s="15">
        <v>1282400.56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</row>
    <row r="320" spans="1:17" ht="30" hidden="1" x14ac:dyDescent="0.25">
      <c r="A320" s="15" t="s">
        <v>48</v>
      </c>
      <c r="B320" s="15" t="s">
        <v>386</v>
      </c>
      <c r="C320" s="15" t="s">
        <v>387</v>
      </c>
      <c r="D320" s="15" t="s">
        <v>412</v>
      </c>
      <c r="E320" s="15" t="s">
        <v>423</v>
      </c>
      <c r="F320" s="15"/>
      <c r="G320" s="15"/>
      <c r="H320" s="15"/>
      <c r="I320" s="15">
        <v>551136.82000000007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</row>
    <row r="321" spans="1:17" ht="30" hidden="1" x14ac:dyDescent="0.25">
      <c r="A321" s="15" t="s">
        <v>148</v>
      </c>
      <c r="B321" s="15" t="s">
        <v>386</v>
      </c>
      <c r="C321" s="15" t="s">
        <v>387</v>
      </c>
      <c r="D321" s="15" t="s">
        <v>412</v>
      </c>
      <c r="E321" s="15" t="s">
        <v>389</v>
      </c>
      <c r="F321" s="15"/>
      <c r="G321" s="15"/>
      <c r="H321" s="15"/>
      <c r="I321" s="15">
        <v>526862.52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</row>
    <row r="322" spans="1:17" ht="30" hidden="1" x14ac:dyDescent="0.25">
      <c r="A322" s="15" t="s">
        <v>425</v>
      </c>
      <c r="B322" s="15" t="s">
        <v>386</v>
      </c>
      <c r="C322" s="15" t="s">
        <v>387</v>
      </c>
      <c r="D322" s="15" t="s">
        <v>412</v>
      </c>
      <c r="E322" s="15" t="s">
        <v>424</v>
      </c>
      <c r="F322" s="15"/>
      <c r="G322" s="15"/>
      <c r="H322" s="15"/>
      <c r="I322" s="15">
        <v>6645557.3500000015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</row>
    <row r="323" spans="1:17" ht="30" hidden="1" x14ac:dyDescent="0.25">
      <c r="A323" s="15" t="s">
        <v>56</v>
      </c>
      <c r="B323" s="15" t="s">
        <v>386</v>
      </c>
      <c r="C323" s="15" t="s">
        <v>387</v>
      </c>
      <c r="D323" s="15" t="s">
        <v>412</v>
      </c>
      <c r="E323" s="15" t="s">
        <v>426</v>
      </c>
      <c r="F323" s="15"/>
      <c r="G323" s="15"/>
      <c r="H323" s="15"/>
      <c r="I323" s="15">
        <v>715825.47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</row>
    <row r="324" spans="1:17" ht="30" hidden="1" x14ac:dyDescent="0.25">
      <c r="A324" s="15" t="s">
        <v>90</v>
      </c>
      <c r="B324" s="15" t="s">
        <v>386</v>
      </c>
      <c r="C324" s="15" t="s">
        <v>387</v>
      </c>
      <c r="D324" s="15" t="s">
        <v>412</v>
      </c>
      <c r="E324" s="15" t="s">
        <v>424</v>
      </c>
      <c r="F324" s="15"/>
      <c r="G324" s="15"/>
      <c r="H324" s="15"/>
      <c r="I324" s="15">
        <v>2816299.63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</row>
    <row r="325" spans="1:17" ht="30" hidden="1" x14ac:dyDescent="0.25">
      <c r="A325" s="15" t="s">
        <v>20</v>
      </c>
      <c r="B325" s="15" t="s">
        <v>386</v>
      </c>
      <c r="C325" s="15" t="s">
        <v>387</v>
      </c>
      <c r="D325" s="15" t="s">
        <v>412</v>
      </c>
      <c r="E325" s="15" t="s">
        <v>389</v>
      </c>
      <c r="F325" s="15"/>
      <c r="G325" s="15"/>
      <c r="H325" s="15"/>
      <c r="I325" s="15">
        <v>1402526.35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</row>
    <row r="326" spans="1:17" ht="30" hidden="1" x14ac:dyDescent="0.25">
      <c r="A326" s="15" t="s">
        <v>427</v>
      </c>
      <c r="B326" s="15" t="s">
        <v>386</v>
      </c>
      <c r="C326" s="15" t="s">
        <v>387</v>
      </c>
      <c r="D326" s="15" t="s">
        <v>412</v>
      </c>
      <c r="E326" s="15" t="s">
        <v>421</v>
      </c>
      <c r="F326" s="15"/>
      <c r="G326" s="15"/>
      <c r="H326" s="15"/>
      <c r="I326" s="15">
        <v>342333.51999999996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</row>
    <row r="327" spans="1:17" ht="30" hidden="1" x14ac:dyDescent="0.25">
      <c r="A327" s="15" t="s">
        <v>37</v>
      </c>
      <c r="B327" s="15" t="s">
        <v>386</v>
      </c>
      <c r="C327" s="15" t="s">
        <v>387</v>
      </c>
      <c r="D327" s="15" t="s">
        <v>412</v>
      </c>
      <c r="E327" s="15" t="s">
        <v>351</v>
      </c>
      <c r="F327" s="15"/>
      <c r="G327" s="15"/>
      <c r="H327" s="15"/>
      <c r="I327" s="15">
        <v>3642683.080000001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</row>
    <row r="328" spans="1:17" ht="30" hidden="1" x14ac:dyDescent="0.25">
      <c r="A328" s="15" t="s">
        <v>344</v>
      </c>
      <c r="B328" s="15" t="s">
        <v>386</v>
      </c>
      <c r="C328" s="15" t="s">
        <v>387</v>
      </c>
      <c r="D328" s="15" t="s">
        <v>412</v>
      </c>
      <c r="E328" s="15" t="s">
        <v>428</v>
      </c>
      <c r="F328" s="15"/>
      <c r="G328" s="15"/>
      <c r="H328" s="15"/>
      <c r="I328" s="15">
        <v>16476732.709999997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</row>
    <row r="329" spans="1:17" ht="30" hidden="1" x14ac:dyDescent="0.25">
      <c r="A329" s="15" t="s">
        <v>25</v>
      </c>
      <c r="B329" s="15" t="s">
        <v>386</v>
      </c>
      <c r="C329" s="15" t="s">
        <v>387</v>
      </c>
      <c r="D329" s="15" t="s">
        <v>412</v>
      </c>
      <c r="E329" s="15" t="s">
        <v>389</v>
      </c>
      <c r="F329" s="15"/>
      <c r="G329" s="15"/>
      <c r="H329" s="15"/>
      <c r="I329" s="15">
        <v>1067159.2200000002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</row>
    <row r="330" spans="1:17" ht="30" hidden="1" x14ac:dyDescent="0.25">
      <c r="A330" s="15" t="s">
        <v>42</v>
      </c>
      <c r="B330" s="15" t="s">
        <v>386</v>
      </c>
      <c r="C330" s="15" t="s">
        <v>387</v>
      </c>
      <c r="D330" s="15" t="s">
        <v>412</v>
      </c>
      <c r="E330" s="15" t="s">
        <v>429</v>
      </c>
      <c r="F330" s="15"/>
      <c r="G330" s="15"/>
      <c r="H330" s="15"/>
      <c r="I330" s="15">
        <v>497928.88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</row>
    <row r="331" spans="1:17" ht="30" hidden="1" x14ac:dyDescent="0.25">
      <c r="A331" s="15" t="s">
        <v>54</v>
      </c>
      <c r="B331" s="15" t="s">
        <v>386</v>
      </c>
      <c r="C331" s="15" t="s">
        <v>387</v>
      </c>
      <c r="D331" s="15" t="s">
        <v>412</v>
      </c>
      <c r="E331" s="15" t="s">
        <v>426</v>
      </c>
      <c r="F331" s="15"/>
      <c r="G331" s="15"/>
      <c r="H331" s="15"/>
      <c r="I331" s="15">
        <v>217936.43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</row>
    <row r="332" spans="1:17" ht="30" hidden="1" x14ac:dyDescent="0.25">
      <c r="A332" s="15" t="s">
        <v>173</v>
      </c>
      <c r="B332" s="15" t="s">
        <v>386</v>
      </c>
      <c r="C332" s="15" t="s">
        <v>387</v>
      </c>
      <c r="D332" s="15" t="s">
        <v>412</v>
      </c>
      <c r="E332" s="15" t="s">
        <v>419</v>
      </c>
      <c r="F332" s="15"/>
      <c r="G332" s="15"/>
      <c r="H332" s="15"/>
      <c r="I332" s="15">
        <v>18206006.04000001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</row>
    <row r="333" spans="1:17" ht="30" hidden="1" x14ac:dyDescent="0.25">
      <c r="A333" s="15" t="s">
        <v>173</v>
      </c>
      <c r="B333" s="15" t="s">
        <v>386</v>
      </c>
      <c r="C333" s="15" t="s">
        <v>387</v>
      </c>
      <c r="D333" s="15" t="s">
        <v>412</v>
      </c>
      <c r="E333" s="15" t="s">
        <v>389</v>
      </c>
      <c r="F333" s="15"/>
      <c r="G333" s="15"/>
      <c r="H333" s="15"/>
      <c r="I333" s="15">
        <v>22305574.450000003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</row>
    <row r="334" spans="1:17" ht="30" hidden="1" x14ac:dyDescent="0.25">
      <c r="A334" s="15" t="s">
        <v>180</v>
      </c>
      <c r="B334" s="15" t="s">
        <v>386</v>
      </c>
      <c r="C334" s="15" t="s">
        <v>387</v>
      </c>
      <c r="D334" s="15" t="s">
        <v>412</v>
      </c>
      <c r="E334" s="15" t="s">
        <v>419</v>
      </c>
      <c r="F334" s="15"/>
      <c r="G334" s="15"/>
      <c r="H334" s="15"/>
      <c r="I334" s="15">
        <v>148303293.16999984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</row>
    <row r="335" spans="1:17" ht="30" hidden="1" x14ac:dyDescent="0.25">
      <c r="A335" s="15" t="s">
        <v>111</v>
      </c>
      <c r="B335" s="15" t="s">
        <v>386</v>
      </c>
      <c r="C335" s="15" t="s">
        <v>387</v>
      </c>
      <c r="D335" s="15" t="s">
        <v>412</v>
      </c>
      <c r="E335" s="15" t="s">
        <v>360</v>
      </c>
      <c r="F335" s="15"/>
      <c r="G335" s="15"/>
      <c r="H335" s="15"/>
      <c r="I335" s="15">
        <v>18010939.100000005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</row>
    <row r="336" spans="1:17" ht="30" hidden="1" x14ac:dyDescent="0.25">
      <c r="A336" s="15" t="s">
        <v>345</v>
      </c>
      <c r="B336" s="15" t="s">
        <v>386</v>
      </c>
      <c r="C336" s="15" t="s">
        <v>387</v>
      </c>
      <c r="D336" s="15" t="s">
        <v>412</v>
      </c>
      <c r="E336" s="15" t="s">
        <v>351</v>
      </c>
      <c r="F336" s="15"/>
      <c r="G336" s="15"/>
      <c r="H336" s="15"/>
      <c r="I336" s="15">
        <v>8843623.5500000007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</row>
    <row r="337" spans="1:17" ht="30" hidden="1" x14ac:dyDescent="0.25">
      <c r="A337" s="15" t="s">
        <v>150</v>
      </c>
      <c r="B337" s="15" t="s">
        <v>386</v>
      </c>
      <c r="C337" s="15" t="s">
        <v>387</v>
      </c>
      <c r="D337" s="15" t="s">
        <v>412</v>
      </c>
      <c r="E337" s="15" t="s">
        <v>389</v>
      </c>
      <c r="F337" s="15"/>
      <c r="G337" s="15"/>
      <c r="H337" s="15"/>
      <c r="I337" s="15">
        <v>4388912.41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</row>
    <row r="338" spans="1:17" ht="30" hidden="1" x14ac:dyDescent="0.25">
      <c r="A338" s="15" t="s">
        <v>333</v>
      </c>
      <c r="B338" s="15" t="s">
        <v>386</v>
      </c>
      <c r="C338" s="15" t="s">
        <v>387</v>
      </c>
      <c r="D338" s="15" t="s">
        <v>412</v>
      </c>
      <c r="E338" s="15" t="s">
        <v>389</v>
      </c>
      <c r="F338" s="15"/>
      <c r="G338" s="15"/>
      <c r="H338" s="15"/>
      <c r="I338" s="15">
        <v>16865038.440000001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</row>
    <row r="339" spans="1:17" ht="30" hidden="1" x14ac:dyDescent="0.25">
      <c r="A339" s="15" t="s">
        <v>35</v>
      </c>
      <c r="B339" s="15" t="s">
        <v>386</v>
      </c>
      <c r="C339" s="15" t="s">
        <v>387</v>
      </c>
      <c r="D339" s="15" t="s">
        <v>412</v>
      </c>
      <c r="E339" s="15" t="s">
        <v>351</v>
      </c>
      <c r="F339" s="15"/>
      <c r="G339" s="15"/>
      <c r="H339" s="15"/>
      <c r="I339" s="15">
        <v>2126298.59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</row>
    <row r="340" spans="1:17" ht="30" hidden="1" x14ac:dyDescent="0.25">
      <c r="A340" s="15" t="s">
        <v>36</v>
      </c>
      <c r="B340" s="15" t="s">
        <v>386</v>
      </c>
      <c r="C340" s="15" t="s">
        <v>387</v>
      </c>
      <c r="D340" s="15" t="s">
        <v>412</v>
      </c>
      <c r="E340" s="15" t="s">
        <v>351</v>
      </c>
      <c r="F340" s="15"/>
      <c r="G340" s="15"/>
      <c r="H340" s="15"/>
      <c r="I340" s="15">
        <v>2711752.3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</row>
    <row r="341" spans="1:17" ht="30" hidden="1" x14ac:dyDescent="0.25">
      <c r="A341" s="15" t="s">
        <v>127</v>
      </c>
      <c r="B341" s="15" t="s">
        <v>386</v>
      </c>
      <c r="C341" s="15" t="s">
        <v>387</v>
      </c>
      <c r="D341" s="15" t="s">
        <v>412</v>
      </c>
      <c r="E341" s="15" t="s">
        <v>355</v>
      </c>
      <c r="F341" s="15"/>
      <c r="G341" s="15"/>
      <c r="H341" s="15"/>
      <c r="I341" s="15">
        <v>6187042.1399999997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</row>
    <row r="342" spans="1:17" ht="30" hidden="1" x14ac:dyDescent="0.25">
      <c r="A342" s="15" t="s">
        <v>127</v>
      </c>
      <c r="B342" s="15" t="s">
        <v>386</v>
      </c>
      <c r="C342" s="15" t="s">
        <v>387</v>
      </c>
      <c r="D342" s="15" t="s">
        <v>412</v>
      </c>
      <c r="E342" s="15" t="s">
        <v>389</v>
      </c>
      <c r="F342" s="15"/>
      <c r="G342" s="15"/>
      <c r="H342" s="15"/>
      <c r="I342" s="15">
        <v>6168560.4500000011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</row>
    <row r="343" spans="1:17" ht="30" hidden="1" x14ac:dyDescent="0.25">
      <c r="A343" s="15" t="s">
        <v>123</v>
      </c>
      <c r="B343" s="15" t="s">
        <v>386</v>
      </c>
      <c r="C343" s="15" t="s">
        <v>387</v>
      </c>
      <c r="D343" s="15" t="s">
        <v>412</v>
      </c>
      <c r="E343" s="15" t="s">
        <v>430</v>
      </c>
      <c r="F343" s="15"/>
      <c r="G343" s="15"/>
      <c r="H343" s="15"/>
      <c r="I343" s="15">
        <v>13379034.709999999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</row>
    <row r="344" spans="1:17" ht="30" hidden="1" x14ac:dyDescent="0.25">
      <c r="A344" s="15" t="s">
        <v>108</v>
      </c>
      <c r="B344" s="15" t="s">
        <v>386</v>
      </c>
      <c r="C344" s="15" t="s">
        <v>387</v>
      </c>
      <c r="D344" s="15" t="s">
        <v>412</v>
      </c>
      <c r="E344" s="15" t="s">
        <v>389</v>
      </c>
      <c r="F344" s="15"/>
      <c r="G344" s="15"/>
      <c r="H344" s="15"/>
      <c r="I344" s="15">
        <v>2367448.2399999998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</row>
    <row r="345" spans="1:17" ht="30" hidden="1" x14ac:dyDescent="0.25">
      <c r="A345" s="15" t="s">
        <v>145</v>
      </c>
      <c r="B345" s="15" t="s">
        <v>386</v>
      </c>
      <c r="C345" s="15" t="s">
        <v>387</v>
      </c>
      <c r="D345" s="15" t="s">
        <v>412</v>
      </c>
      <c r="E345" s="15" t="s">
        <v>389</v>
      </c>
      <c r="F345" s="15"/>
      <c r="G345" s="15"/>
      <c r="H345" s="15"/>
      <c r="I345" s="15">
        <v>66978.100000000006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</row>
    <row r="346" spans="1:17" ht="30" hidden="1" x14ac:dyDescent="0.25">
      <c r="A346" s="15" t="s">
        <v>152</v>
      </c>
      <c r="B346" s="15" t="s">
        <v>386</v>
      </c>
      <c r="C346" s="15" t="s">
        <v>387</v>
      </c>
      <c r="D346" s="15" t="s">
        <v>412</v>
      </c>
      <c r="E346" s="15" t="s">
        <v>389</v>
      </c>
      <c r="F346" s="15"/>
      <c r="G346" s="15"/>
      <c r="H346" s="15"/>
      <c r="I346" s="15">
        <v>1620898.1300000001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</row>
    <row r="347" spans="1:17" ht="30" hidden="1" x14ac:dyDescent="0.25">
      <c r="A347" s="15" t="s">
        <v>102</v>
      </c>
      <c r="B347" s="15" t="s">
        <v>386</v>
      </c>
      <c r="C347" s="15" t="s">
        <v>387</v>
      </c>
      <c r="D347" s="15" t="s">
        <v>412</v>
      </c>
      <c r="E347" s="15" t="s">
        <v>360</v>
      </c>
      <c r="F347" s="15"/>
      <c r="G347" s="15"/>
      <c r="H347" s="15"/>
      <c r="I347" s="15">
        <v>36021878.200000018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</row>
    <row r="348" spans="1:17" ht="30" hidden="1" x14ac:dyDescent="0.25">
      <c r="A348" s="15" t="s">
        <v>431</v>
      </c>
      <c r="B348" s="15" t="s">
        <v>386</v>
      </c>
      <c r="C348" s="15" t="s">
        <v>387</v>
      </c>
      <c r="D348" s="15" t="s">
        <v>412</v>
      </c>
      <c r="E348" s="15" t="s">
        <v>421</v>
      </c>
      <c r="F348" s="15"/>
      <c r="G348" s="15"/>
      <c r="H348" s="15"/>
      <c r="I348" s="15">
        <v>132631.12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</row>
    <row r="349" spans="1:17" ht="30" hidden="1" x14ac:dyDescent="0.25">
      <c r="A349" s="15" t="s">
        <v>38</v>
      </c>
      <c r="B349" s="15" t="s">
        <v>386</v>
      </c>
      <c r="C349" s="15" t="s">
        <v>387</v>
      </c>
      <c r="D349" s="15" t="s">
        <v>412</v>
      </c>
      <c r="E349" s="15" t="s">
        <v>351</v>
      </c>
      <c r="F349" s="15"/>
      <c r="G349" s="15"/>
      <c r="H349" s="15"/>
      <c r="I349" s="15">
        <v>7241718.1199999992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</row>
    <row r="350" spans="1:17" ht="30" hidden="1" x14ac:dyDescent="0.25">
      <c r="A350" s="15" t="s">
        <v>156</v>
      </c>
      <c r="B350" s="15" t="s">
        <v>386</v>
      </c>
      <c r="C350" s="15" t="s">
        <v>387</v>
      </c>
      <c r="D350" s="15" t="s">
        <v>412</v>
      </c>
      <c r="E350" s="15" t="s">
        <v>354</v>
      </c>
      <c r="F350" s="15"/>
      <c r="G350" s="15"/>
      <c r="H350" s="15"/>
      <c r="I350" s="15">
        <v>2537846.2700000005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</row>
    <row r="351" spans="1:17" ht="30" hidden="1" x14ac:dyDescent="0.25">
      <c r="A351" s="15" t="s">
        <v>18</v>
      </c>
      <c r="B351" s="15" t="s">
        <v>386</v>
      </c>
      <c r="C351" s="15" t="s">
        <v>387</v>
      </c>
      <c r="D351" s="15" t="s">
        <v>412</v>
      </c>
      <c r="E351" s="15" t="s">
        <v>389</v>
      </c>
      <c r="F351" s="15"/>
      <c r="G351" s="15"/>
      <c r="H351" s="15"/>
      <c r="I351" s="15">
        <v>1761030.05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</row>
    <row r="352" spans="1:17" ht="30" hidden="1" x14ac:dyDescent="0.25">
      <c r="A352" s="15" t="s">
        <v>105</v>
      </c>
      <c r="B352" s="15" t="s">
        <v>386</v>
      </c>
      <c r="C352" s="15" t="s">
        <v>387</v>
      </c>
      <c r="D352" s="15" t="s">
        <v>412</v>
      </c>
      <c r="E352" s="15" t="s">
        <v>389</v>
      </c>
      <c r="F352" s="15"/>
      <c r="G352" s="15"/>
      <c r="H352" s="15"/>
      <c r="I352" s="15">
        <v>6875972.790000001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</row>
    <row r="353" spans="1:17" ht="30" hidden="1" x14ac:dyDescent="0.25">
      <c r="A353" s="15" t="s">
        <v>346</v>
      </c>
      <c r="B353" s="15" t="s">
        <v>386</v>
      </c>
      <c r="C353" s="15" t="s">
        <v>387</v>
      </c>
      <c r="D353" s="15" t="s">
        <v>412</v>
      </c>
      <c r="E353" s="15" t="s">
        <v>351</v>
      </c>
      <c r="F353" s="15"/>
      <c r="G353" s="15"/>
      <c r="H353" s="15"/>
      <c r="I353" s="15">
        <v>166482.5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</row>
    <row r="354" spans="1:17" ht="30" hidden="1" x14ac:dyDescent="0.25">
      <c r="A354" s="15" t="s">
        <v>154</v>
      </c>
      <c r="B354" s="15" t="s">
        <v>386</v>
      </c>
      <c r="C354" s="15" t="s">
        <v>387</v>
      </c>
      <c r="D354" s="15" t="s">
        <v>412</v>
      </c>
      <c r="E354" s="15" t="s">
        <v>389</v>
      </c>
      <c r="F354" s="15"/>
      <c r="G354" s="15"/>
      <c r="H354" s="15"/>
      <c r="I354" s="15">
        <v>923748.45000000019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</row>
    <row r="355" spans="1:17" ht="30" hidden="1" x14ac:dyDescent="0.25">
      <c r="A355" s="15" t="s">
        <v>65</v>
      </c>
      <c r="B355" s="15" t="s">
        <v>386</v>
      </c>
      <c r="C355" s="15" t="s">
        <v>387</v>
      </c>
      <c r="D355" s="15" t="s">
        <v>412</v>
      </c>
      <c r="E355" s="15" t="s">
        <v>421</v>
      </c>
      <c r="F355" s="15"/>
      <c r="G355" s="15"/>
      <c r="H355" s="15"/>
      <c r="I355" s="15">
        <v>915171.79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</row>
    <row r="356" spans="1:17" ht="30" hidden="1" x14ac:dyDescent="0.25">
      <c r="A356" s="15" t="s">
        <v>432</v>
      </c>
      <c r="B356" s="15" t="s">
        <v>386</v>
      </c>
      <c r="C356" s="15" t="s">
        <v>387</v>
      </c>
      <c r="D356" s="15" t="s">
        <v>412</v>
      </c>
      <c r="E356" s="15" t="s">
        <v>419</v>
      </c>
      <c r="F356" s="15"/>
      <c r="G356" s="15"/>
      <c r="H356" s="15"/>
      <c r="I356" s="15">
        <v>24173379.469999999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</row>
    <row r="357" spans="1:17" ht="30" hidden="1" x14ac:dyDescent="0.25">
      <c r="A357" s="15" t="s">
        <v>160</v>
      </c>
      <c r="B357" s="15" t="s">
        <v>386</v>
      </c>
      <c r="C357" s="15" t="s">
        <v>387</v>
      </c>
      <c r="D357" s="15" t="s">
        <v>412</v>
      </c>
      <c r="E357" s="15" t="s">
        <v>389</v>
      </c>
      <c r="F357" s="15"/>
      <c r="G357" s="15"/>
      <c r="H357" s="15"/>
      <c r="I357" s="15">
        <v>3460921.04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</row>
    <row r="358" spans="1:17" ht="30" hidden="1" x14ac:dyDescent="0.25">
      <c r="A358" s="15" t="s">
        <v>151</v>
      </c>
      <c r="B358" s="15" t="s">
        <v>386</v>
      </c>
      <c r="C358" s="15" t="s">
        <v>387</v>
      </c>
      <c r="D358" s="15" t="s">
        <v>412</v>
      </c>
      <c r="E358" s="15" t="s">
        <v>389</v>
      </c>
      <c r="F358" s="15"/>
      <c r="G358" s="15"/>
      <c r="H358" s="15"/>
      <c r="I358" s="15">
        <v>3728265.5200000005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</row>
    <row r="359" spans="1:17" ht="30" hidden="1" x14ac:dyDescent="0.25">
      <c r="A359" s="15" t="s">
        <v>93</v>
      </c>
      <c r="B359" s="15" t="s">
        <v>386</v>
      </c>
      <c r="C359" s="15" t="s">
        <v>387</v>
      </c>
      <c r="D359" s="15" t="s">
        <v>412</v>
      </c>
      <c r="E359" s="15" t="s">
        <v>389</v>
      </c>
      <c r="F359" s="15"/>
      <c r="G359" s="15"/>
      <c r="H359" s="15"/>
      <c r="I359" s="15">
        <v>292274.43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</row>
    <row r="360" spans="1:17" ht="30" hidden="1" x14ac:dyDescent="0.25">
      <c r="A360" s="15" t="s">
        <v>55</v>
      </c>
      <c r="B360" s="15" t="s">
        <v>386</v>
      </c>
      <c r="C360" s="15" t="s">
        <v>387</v>
      </c>
      <c r="D360" s="15" t="s">
        <v>412</v>
      </c>
      <c r="E360" s="15" t="s">
        <v>426</v>
      </c>
      <c r="F360" s="15"/>
      <c r="G360" s="15"/>
      <c r="H360" s="15"/>
      <c r="I360" s="15">
        <v>372200.5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</row>
    <row r="361" spans="1:17" ht="30" hidden="1" x14ac:dyDescent="0.25">
      <c r="A361" s="15" t="s">
        <v>133</v>
      </c>
      <c r="B361" s="15" t="s">
        <v>386</v>
      </c>
      <c r="C361" s="15" t="s">
        <v>387</v>
      </c>
      <c r="D361" s="15" t="s">
        <v>412</v>
      </c>
      <c r="E361" s="15" t="s">
        <v>428</v>
      </c>
      <c r="F361" s="15"/>
      <c r="G361" s="15"/>
      <c r="H361" s="15"/>
      <c r="I361" s="15">
        <v>5559329.3000000007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</row>
    <row r="362" spans="1:17" ht="30" hidden="1" x14ac:dyDescent="0.25">
      <c r="A362" s="15" t="s">
        <v>17</v>
      </c>
      <c r="B362" s="15" t="s">
        <v>386</v>
      </c>
      <c r="C362" s="15" t="s">
        <v>387</v>
      </c>
      <c r="D362" s="15" t="s">
        <v>412</v>
      </c>
      <c r="E362" s="15" t="s">
        <v>389</v>
      </c>
      <c r="F362" s="15"/>
      <c r="G362" s="15"/>
      <c r="H362" s="15"/>
      <c r="I362" s="15">
        <v>1871079.9999999998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</row>
    <row r="363" spans="1:17" ht="30" hidden="1" x14ac:dyDescent="0.25">
      <c r="A363" s="15" t="s">
        <v>120</v>
      </c>
      <c r="B363" s="15" t="s">
        <v>386</v>
      </c>
      <c r="C363" s="15" t="s">
        <v>387</v>
      </c>
      <c r="D363" s="15" t="s">
        <v>412</v>
      </c>
      <c r="E363" s="15" t="s">
        <v>360</v>
      </c>
      <c r="F363" s="15"/>
      <c r="G363" s="15"/>
      <c r="H363" s="15"/>
      <c r="I363" s="15">
        <v>21870426.050000016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</row>
    <row r="364" spans="1:17" ht="30" hidden="1" x14ac:dyDescent="0.25">
      <c r="A364" s="15" t="s">
        <v>385</v>
      </c>
      <c r="B364" s="15" t="s">
        <v>386</v>
      </c>
      <c r="C364" s="15" t="s">
        <v>387</v>
      </c>
      <c r="D364" s="15" t="s">
        <v>412</v>
      </c>
      <c r="E364" s="15" t="s">
        <v>389</v>
      </c>
      <c r="F364" s="15"/>
      <c r="G364" s="15"/>
      <c r="H364" s="15"/>
      <c r="I364" s="15">
        <v>669465.87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</row>
    <row r="365" spans="1:17" ht="30" hidden="1" x14ac:dyDescent="0.25">
      <c r="A365" s="15" t="s">
        <v>103</v>
      </c>
      <c r="B365" s="15" t="s">
        <v>386</v>
      </c>
      <c r="C365" s="15" t="s">
        <v>387</v>
      </c>
      <c r="D365" s="15" t="s">
        <v>412</v>
      </c>
      <c r="E365" s="15" t="s">
        <v>360</v>
      </c>
      <c r="F365" s="15"/>
      <c r="G365" s="15"/>
      <c r="H365" s="15"/>
      <c r="I365" s="15">
        <v>59178799.899999708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</row>
    <row r="366" spans="1:17" ht="30" hidden="1" x14ac:dyDescent="0.25">
      <c r="A366" s="15" t="s">
        <v>336</v>
      </c>
      <c r="B366" s="15" t="s">
        <v>386</v>
      </c>
      <c r="C366" s="15" t="s">
        <v>387</v>
      </c>
      <c r="D366" s="15" t="s">
        <v>412</v>
      </c>
      <c r="E366" s="15" t="s">
        <v>389</v>
      </c>
      <c r="F366" s="15"/>
      <c r="G366" s="15"/>
      <c r="H366" s="15"/>
      <c r="I366" s="15">
        <v>221696.62000000002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</row>
    <row r="367" spans="1:17" ht="30" hidden="1" x14ac:dyDescent="0.25">
      <c r="A367" s="15" t="s">
        <v>417</v>
      </c>
      <c r="B367" s="15" t="s">
        <v>386</v>
      </c>
      <c r="C367" s="15" t="s">
        <v>387</v>
      </c>
      <c r="D367" s="15" t="s">
        <v>412</v>
      </c>
      <c r="E367" s="15" t="s">
        <v>360</v>
      </c>
      <c r="F367" s="15"/>
      <c r="G367" s="15"/>
      <c r="H367" s="15"/>
      <c r="I367" s="15">
        <v>3859752.7199999997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</row>
    <row r="368" spans="1:17" ht="30" hidden="1" x14ac:dyDescent="0.25">
      <c r="A368" s="15" t="s">
        <v>51</v>
      </c>
      <c r="B368" s="15" t="s">
        <v>386</v>
      </c>
      <c r="C368" s="15" t="s">
        <v>387</v>
      </c>
      <c r="D368" s="15" t="s">
        <v>412</v>
      </c>
      <c r="E368" s="15" t="s">
        <v>426</v>
      </c>
      <c r="F368" s="15"/>
      <c r="G368" s="15"/>
      <c r="H368" s="15"/>
      <c r="I368" s="15">
        <v>1319912.0300000003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</row>
    <row r="369" spans="1:17" ht="30" hidden="1" x14ac:dyDescent="0.25">
      <c r="A369" s="15" t="s">
        <v>173</v>
      </c>
      <c r="B369" s="15" t="s">
        <v>386</v>
      </c>
      <c r="C369" s="15" t="s">
        <v>387</v>
      </c>
      <c r="D369" s="15" t="s">
        <v>398</v>
      </c>
      <c r="E369" s="15" t="s">
        <v>389</v>
      </c>
      <c r="F369" s="15"/>
      <c r="G369" s="15"/>
      <c r="H369" s="15"/>
      <c r="I369" s="15">
        <v>18991406.05999998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</row>
    <row r="370" spans="1:17" ht="30" hidden="1" x14ac:dyDescent="0.25">
      <c r="A370" s="15" t="s">
        <v>156</v>
      </c>
      <c r="B370" s="15" t="s">
        <v>386</v>
      </c>
      <c r="C370" s="15" t="s">
        <v>387</v>
      </c>
      <c r="D370" s="15" t="s">
        <v>398</v>
      </c>
      <c r="E370" s="15" t="s">
        <v>389</v>
      </c>
      <c r="F370" s="15"/>
      <c r="G370" s="15"/>
      <c r="H370" s="15"/>
      <c r="I370" s="15">
        <v>1221334.9700000002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</row>
    <row r="371" spans="1:17" ht="30" hidden="1" x14ac:dyDescent="0.25">
      <c r="A371" s="15" t="s">
        <v>174</v>
      </c>
      <c r="B371" s="15" t="s">
        <v>386</v>
      </c>
      <c r="C371" s="15" t="s">
        <v>387</v>
      </c>
      <c r="D371" s="15" t="s">
        <v>398</v>
      </c>
      <c r="E371" s="15" t="s">
        <v>389</v>
      </c>
      <c r="F371" s="15"/>
      <c r="G371" s="15"/>
      <c r="H371" s="15"/>
      <c r="I371" s="15">
        <v>90879464.680000007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</row>
    <row r="372" spans="1:17" ht="30" hidden="1" x14ac:dyDescent="0.25">
      <c r="A372" s="15" t="s">
        <v>166</v>
      </c>
      <c r="B372" s="15" t="s">
        <v>386</v>
      </c>
      <c r="C372" s="15" t="s">
        <v>387</v>
      </c>
      <c r="D372" s="15" t="s">
        <v>398</v>
      </c>
      <c r="E372" s="15" t="s">
        <v>389</v>
      </c>
      <c r="F372" s="15"/>
      <c r="G372" s="15"/>
      <c r="H372" s="15"/>
      <c r="I372" s="15">
        <v>10828622.959999999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</row>
    <row r="373" spans="1:17" ht="30" hidden="1" x14ac:dyDescent="0.25">
      <c r="A373" s="15" t="s">
        <v>353</v>
      </c>
      <c r="B373" s="15" t="s">
        <v>386</v>
      </c>
      <c r="C373" s="15" t="s">
        <v>387</v>
      </c>
      <c r="D373" s="15" t="s">
        <v>398</v>
      </c>
      <c r="E373" s="15" t="s">
        <v>389</v>
      </c>
      <c r="F373" s="15"/>
      <c r="G373" s="15"/>
      <c r="H373" s="15"/>
      <c r="I373" s="15">
        <v>56096761.779999882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</row>
    <row r="374" spans="1:17" ht="30" hidden="1" x14ac:dyDescent="0.25">
      <c r="A374" s="15" t="s">
        <v>341</v>
      </c>
      <c r="B374" s="15" t="s">
        <v>386</v>
      </c>
      <c r="C374" s="15" t="s">
        <v>387</v>
      </c>
      <c r="D374" s="15" t="s">
        <v>398</v>
      </c>
      <c r="E374" s="15" t="s">
        <v>389</v>
      </c>
      <c r="F374" s="15"/>
      <c r="G374" s="15"/>
      <c r="H374" s="15"/>
      <c r="I374" s="15">
        <v>42349125.859999932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</row>
    <row r="375" spans="1:17" ht="30" hidden="1" x14ac:dyDescent="0.25">
      <c r="A375" s="15" t="s">
        <v>141</v>
      </c>
      <c r="B375" s="15" t="s">
        <v>386</v>
      </c>
      <c r="C375" s="15" t="s">
        <v>387</v>
      </c>
      <c r="D375" s="15" t="s">
        <v>398</v>
      </c>
      <c r="E375" s="15" t="s">
        <v>389</v>
      </c>
      <c r="F375" s="15"/>
      <c r="G375" s="15"/>
      <c r="H375" s="15"/>
      <c r="I375" s="15">
        <v>12460186.710000001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</row>
    <row r="376" spans="1:17" ht="30" hidden="1" x14ac:dyDescent="0.25">
      <c r="A376" s="15" t="s">
        <v>22</v>
      </c>
      <c r="B376" s="15" t="s">
        <v>386</v>
      </c>
      <c r="C376" s="15" t="s">
        <v>387</v>
      </c>
      <c r="D376" s="15" t="s">
        <v>398</v>
      </c>
      <c r="E376" s="15" t="s">
        <v>389</v>
      </c>
      <c r="F376" s="15"/>
      <c r="G376" s="15"/>
      <c r="H376" s="15"/>
      <c r="I376" s="15">
        <v>1513833.15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</row>
    <row r="377" spans="1:17" ht="30" hidden="1" x14ac:dyDescent="0.25">
      <c r="A377" s="15" t="s">
        <v>155</v>
      </c>
      <c r="B377" s="15" t="s">
        <v>386</v>
      </c>
      <c r="C377" s="15" t="s">
        <v>387</v>
      </c>
      <c r="D377" s="15" t="s">
        <v>398</v>
      </c>
      <c r="E377" s="15" t="s">
        <v>389</v>
      </c>
      <c r="F377" s="15"/>
      <c r="G377" s="15"/>
      <c r="H377" s="15"/>
      <c r="I377" s="15">
        <v>242485214.69000125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</row>
    <row r="378" spans="1:17" ht="30" hidden="1" x14ac:dyDescent="0.25">
      <c r="A378" s="15" t="s">
        <v>148</v>
      </c>
      <c r="B378" s="15" t="s">
        <v>386</v>
      </c>
      <c r="C378" s="15" t="s">
        <v>387</v>
      </c>
      <c r="D378" s="15" t="s">
        <v>398</v>
      </c>
      <c r="E378" s="15" t="s">
        <v>389</v>
      </c>
      <c r="F378" s="15"/>
      <c r="G378" s="15"/>
      <c r="H378" s="15"/>
      <c r="I378" s="15">
        <v>130075043.88000013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</row>
    <row r="379" spans="1:17" ht="30" hidden="1" x14ac:dyDescent="0.25">
      <c r="A379" s="15" t="s">
        <v>434</v>
      </c>
      <c r="B379" s="15" t="s">
        <v>386</v>
      </c>
      <c r="C379" s="15" t="s">
        <v>387</v>
      </c>
      <c r="D379" s="15" t="s">
        <v>398</v>
      </c>
      <c r="E379" s="15" t="s">
        <v>389</v>
      </c>
      <c r="F379" s="15"/>
      <c r="G379" s="15"/>
      <c r="H379" s="15"/>
      <c r="I379" s="15">
        <v>8317598.129999999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</row>
    <row r="380" spans="1:17" ht="30" hidden="1" x14ac:dyDescent="0.25">
      <c r="A380" s="15" t="s">
        <v>20</v>
      </c>
      <c r="B380" s="15" t="s">
        <v>386</v>
      </c>
      <c r="C380" s="15" t="s">
        <v>387</v>
      </c>
      <c r="D380" s="15" t="s">
        <v>398</v>
      </c>
      <c r="E380" s="15" t="s">
        <v>389</v>
      </c>
      <c r="F380" s="15"/>
      <c r="G380" s="15"/>
      <c r="H380" s="15"/>
      <c r="I380" s="15">
        <v>19951807.690000013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</row>
    <row r="381" spans="1:17" ht="30" hidden="1" x14ac:dyDescent="0.25">
      <c r="A381" s="15" t="s">
        <v>25</v>
      </c>
      <c r="B381" s="15" t="s">
        <v>386</v>
      </c>
      <c r="C381" s="15" t="s">
        <v>387</v>
      </c>
      <c r="D381" s="15" t="s">
        <v>398</v>
      </c>
      <c r="E381" s="15" t="s">
        <v>389</v>
      </c>
      <c r="F381" s="15"/>
      <c r="G381" s="15"/>
      <c r="H381" s="15"/>
      <c r="I381" s="15">
        <v>3514936.0200000005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</row>
    <row r="382" spans="1:17" ht="30" hidden="1" x14ac:dyDescent="0.25">
      <c r="A382" s="15" t="s">
        <v>173</v>
      </c>
      <c r="B382" s="15" t="s">
        <v>386</v>
      </c>
      <c r="C382" s="15" t="s">
        <v>387</v>
      </c>
      <c r="D382" s="15" t="s">
        <v>398</v>
      </c>
      <c r="E382" s="15" t="s">
        <v>389</v>
      </c>
      <c r="F382" s="15"/>
      <c r="G382" s="15"/>
      <c r="H382" s="15"/>
      <c r="I382" s="15">
        <v>579441303.72000396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</row>
    <row r="383" spans="1:17" ht="30" hidden="1" x14ac:dyDescent="0.25">
      <c r="A383" s="15" t="s">
        <v>180</v>
      </c>
      <c r="B383" s="15" t="s">
        <v>386</v>
      </c>
      <c r="C383" s="15" t="s">
        <v>387</v>
      </c>
      <c r="D383" s="15" t="s">
        <v>398</v>
      </c>
      <c r="E383" s="15" t="s">
        <v>389</v>
      </c>
      <c r="F383" s="15"/>
      <c r="G383" s="15"/>
      <c r="H383" s="15"/>
      <c r="I383" s="15">
        <v>170025769.98000044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</row>
    <row r="384" spans="1:17" ht="30" hidden="1" x14ac:dyDescent="0.25">
      <c r="A384" s="15" t="s">
        <v>146</v>
      </c>
      <c r="B384" s="15" t="s">
        <v>386</v>
      </c>
      <c r="C384" s="15" t="s">
        <v>387</v>
      </c>
      <c r="D384" s="15" t="s">
        <v>398</v>
      </c>
      <c r="E384" s="15" t="s">
        <v>389</v>
      </c>
      <c r="F384" s="15"/>
      <c r="G384" s="15"/>
      <c r="H384" s="15"/>
      <c r="I384" s="15">
        <v>60282489.34999986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</row>
    <row r="385" spans="1:17" ht="30" hidden="1" x14ac:dyDescent="0.25">
      <c r="A385" s="15" t="s">
        <v>150</v>
      </c>
      <c r="B385" s="15" t="s">
        <v>386</v>
      </c>
      <c r="C385" s="15" t="s">
        <v>387</v>
      </c>
      <c r="D385" s="15" t="s">
        <v>398</v>
      </c>
      <c r="E385" s="15" t="s">
        <v>389</v>
      </c>
      <c r="F385" s="15"/>
      <c r="G385" s="15"/>
      <c r="H385" s="15"/>
      <c r="I385" s="15">
        <v>103135696.96999992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</row>
    <row r="386" spans="1:17" ht="30" hidden="1" x14ac:dyDescent="0.25">
      <c r="A386" s="15" t="s">
        <v>350</v>
      </c>
      <c r="B386" s="15" t="s">
        <v>386</v>
      </c>
      <c r="C386" s="15" t="s">
        <v>387</v>
      </c>
      <c r="D386" s="15" t="s">
        <v>398</v>
      </c>
      <c r="E386" s="15" t="s">
        <v>389</v>
      </c>
      <c r="F386" s="15"/>
      <c r="G386" s="15"/>
      <c r="H386" s="15"/>
      <c r="I386" s="15">
        <v>21394608.250000011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</row>
    <row r="387" spans="1:17" ht="30" hidden="1" x14ac:dyDescent="0.25">
      <c r="A387" s="15" t="s">
        <v>27</v>
      </c>
      <c r="B387" s="15" t="s">
        <v>386</v>
      </c>
      <c r="C387" s="15" t="s">
        <v>387</v>
      </c>
      <c r="D387" s="15" t="s">
        <v>398</v>
      </c>
      <c r="E387" s="15" t="s">
        <v>389</v>
      </c>
      <c r="F387" s="15"/>
      <c r="G387" s="15"/>
      <c r="H387" s="15"/>
      <c r="I387" s="15">
        <v>20762694.490000002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</row>
    <row r="388" spans="1:17" ht="30" hidden="1" x14ac:dyDescent="0.25">
      <c r="A388" s="15" t="s">
        <v>7</v>
      </c>
      <c r="B388" s="15" t="s">
        <v>386</v>
      </c>
      <c r="C388" s="15" t="s">
        <v>387</v>
      </c>
      <c r="D388" s="15" t="s">
        <v>398</v>
      </c>
      <c r="E388" s="15" t="s">
        <v>389</v>
      </c>
      <c r="F388" s="15"/>
      <c r="G388" s="15"/>
      <c r="H388" s="15"/>
      <c r="I388" s="15">
        <v>5977787.830000001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</row>
    <row r="389" spans="1:17" ht="30" hidden="1" x14ac:dyDescent="0.25">
      <c r="A389" s="15" t="s">
        <v>333</v>
      </c>
      <c r="B389" s="15" t="s">
        <v>386</v>
      </c>
      <c r="C389" s="15" t="s">
        <v>387</v>
      </c>
      <c r="D389" s="15" t="s">
        <v>398</v>
      </c>
      <c r="E389" s="15" t="s">
        <v>389</v>
      </c>
      <c r="F389" s="15"/>
      <c r="G389" s="15"/>
      <c r="H389" s="15"/>
      <c r="I389" s="15">
        <v>181352079.10000029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</row>
    <row r="390" spans="1:17" ht="30" hidden="1" x14ac:dyDescent="0.25">
      <c r="A390" s="15" t="s">
        <v>21</v>
      </c>
      <c r="B390" s="15" t="s">
        <v>386</v>
      </c>
      <c r="C390" s="15" t="s">
        <v>387</v>
      </c>
      <c r="D390" s="15" t="s">
        <v>398</v>
      </c>
      <c r="E390" s="15" t="s">
        <v>389</v>
      </c>
      <c r="F390" s="15"/>
      <c r="G390" s="15"/>
      <c r="H390" s="15"/>
      <c r="I390" s="15">
        <v>2442669.94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</row>
    <row r="391" spans="1:17" ht="30" hidden="1" x14ac:dyDescent="0.25">
      <c r="A391" s="15" t="s">
        <v>108</v>
      </c>
      <c r="B391" s="15" t="s">
        <v>386</v>
      </c>
      <c r="C391" s="15" t="s">
        <v>387</v>
      </c>
      <c r="D391" s="15" t="s">
        <v>398</v>
      </c>
      <c r="E391" s="15" t="s">
        <v>389</v>
      </c>
      <c r="F391" s="15"/>
      <c r="G391" s="15"/>
      <c r="H391" s="15"/>
      <c r="I391" s="15">
        <v>25712040.959999997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</row>
    <row r="392" spans="1:17" ht="30" hidden="1" x14ac:dyDescent="0.25">
      <c r="A392" s="15" t="s">
        <v>145</v>
      </c>
      <c r="B392" s="15" t="s">
        <v>386</v>
      </c>
      <c r="C392" s="15" t="s">
        <v>387</v>
      </c>
      <c r="D392" s="15" t="s">
        <v>398</v>
      </c>
      <c r="E392" s="15" t="s">
        <v>389</v>
      </c>
      <c r="F392" s="15"/>
      <c r="G392" s="15"/>
      <c r="H392" s="15"/>
      <c r="I392" s="15">
        <v>36875949.079999946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</row>
    <row r="393" spans="1:17" ht="30" hidden="1" x14ac:dyDescent="0.25">
      <c r="A393" s="15" t="s">
        <v>152</v>
      </c>
      <c r="B393" s="15" t="s">
        <v>386</v>
      </c>
      <c r="C393" s="15" t="s">
        <v>387</v>
      </c>
      <c r="D393" s="15" t="s">
        <v>398</v>
      </c>
      <c r="E393" s="15" t="s">
        <v>389</v>
      </c>
      <c r="F393" s="15"/>
      <c r="G393" s="15"/>
      <c r="H393" s="15"/>
      <c r="I393" s="15">
        <v>1009222.1000000001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</row>
    <row r="394" spans="1:17" ht="30" hidden="1" x14ac:dyDescent="0.25">
      <c r="A394" s="15" t="s">
        <v>152</v>
      </c>
      <c r="B394" s="15" t="s">
        <v>386</v>
      </c>
      <c r="C394" s="15" t="s">
        <v>387</v>
      </c>
      <c r="D394" s="15" t="s">
        <v>398</v>
      </c>
      <c r="E394" s="15" t="s">
        <v>389</v>
      </c>
      <c r="F394" s="15"/>
      <c r="G394" s="15"/>
      <c r="H394" s="15"/>
      <c r="I394" s="15">
        <v>14656019.640000004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</row>
    <row r="395" spans="1:17" ht="30" hidden="1" x14ac:dyDescent="0.25">
      <c r="A395" s="15" t="s">
        <v>102</v>
      </c>
      <c r="B395" s="15" t="s">
        <v>386</v>
      </c>
      <c r="C395" s="15" t="s">
        <v>387</v>
      </c>
      <c r="D395" s="15" t="s">
        <v>398</v>
      </c>
      <c r="E395" s="15" t="s">
        <v>389</v>
      </c>
      <c r="F395" s="15"/>
      <c r="G395" s="15"/>
      <c r="H395" s="15"/>
      <c r="I395" s="15">
        <v>7030017.2700000023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</row>
    <row r="396" spans="1:17" ht="30" hidden="1" x14ac:dyDescent="0.25">
      <c r="A396" s="15" t="s">
        <v>156</v>
      </c>
      <c r="B396" s="15" t="s">
        <v>386</v>
      </c>
      <c r="C396" s="15" t="s">
        <v>387</v>
      </c>
      <c r="D396" s="15" t="s">
        <v>398</v>
      </c>
      <c r="E396" s="15" t="s">
        <v>389</v>
      </c>
      <c r="F396" s="15"/>
      <c r="G396" s="15"/>
      <c r="H396" s="15"/>
      <c r="I396" s="15">
        <v>348384027.26000243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</row>
    <row r="397" spans="1:17" ht="30" hidden="1" x14ac:dyDescent="0.25">
      <c r="A397" s="15" t="s">
        <v>18</v>
      </c>
      <c r="B397" s="15" t="s">
        <v>386</v>
      </c>
      <c r="C397" s="15" t="s">
        <v>387</v>
      </c>
      <c r="D397" s="15" t="s">
        <v>398</v>
      </c>
      <c r="E397" s="15" t="s">
        <v>389</v>
      </c>
      <c r="F397" s="15"/>
      <c r="G397" s="15"/>
      <c r="H397" s="15"/>
      <c r="I397" s="15">
        <v>66260277.17999991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</row>
    <row r="398" spans="1:17" ht="30" hidden="1" x14ac:dyDescent="0.25">
      <c r="A398" s="15" t="s">
        <v>105</v>
      </c>
      <c r="B398" s="15" t="s">
        <v>386</v>
      </c>
      <c r="C398" s="15" t="s">
        <v>387</v>
      </c>
      <c r="D398" s="15" t="s">
        <v>398</v>
      </c>
      <c r="E398" s="15" t="s">
        <v>389</v>
      </c>
      <c r="F398" s="15"/>
      <c r="G398" s="15"/>
      <c r="H398" s="15"/>
      <c r="I398" s="15">
        <v>339032466.54000002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</row>
    <row r="399" spans="1:17" ht="30" hidden="1" x14ac:dyDescent="0.25">
      <c r="A399" s="15" t="s">
        <v>154</v>
      </c>
      <c r="B399" s="15" t="s">
        <v>386</v>
      </c>
      <c r="C399" s="15" t="s">
        <v>387</v>
      </c>
      <c r="D399" s="15" t="s">
        <v>398</v>
      </c>
      <c r="E399" s="15" t="s">
        <v>389</v>
      </c>
      <c r="F399" s="15"/>
      <c r="G399" s="15"/>
      <c r="H399" s="15"/>
      <c r="I399" s="15">
        <v>182776693.56999993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</row>
    <row r="400" spans="1:17" ht="30" hidden="1" x14ac:dyDescent="0.25">
      <c r="A400" s="15" t="s">
        <v>432</v>
      </c>
      <c r="B400" s="15" t="s">
        <v>386</v>
      </c>
      <c r="C400" s="15" t="s">
        <v>387</v>
      </c>
      <c r="D400" s="15" t="s">
        <v>398</v>
      </c>
      <c r="E400" s="15" t="s">
        <v>389</v>
      </c>
      <c r="F400" s="15"/>
      <c r="G400" s="15"/>
      <c r="H400" s="15"/>
      <c r="I400" s="15">
        <v>614114.75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</row>
    <row r="401" spans="1:17" ht="30" hidden="1" x14ac:dyDescent="0.25">
      <c r="A401" s="15" t="s">
        <v>160</v>
      </c>
      <c r="B401" s="15" t="s">
        <v>386</v>
      </c>
      <c r="C401" s="15" t="s">
        <v>387</v>
      </c>
      <c r="D401" s="15" t="s">
        <v>398</v>
      </c>
      <c r="E401" s="15" t="s">
        <v>389</v>
      </c>
      <c r="F401" s="15"/>
      <c r="G401" s="15"/>
      <c r="H401" s="15"/>
      <c r="I401" s="15">
        <v>92721808.929999992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</row>
    <row r="402" spans="1:17" ht="30" hidden="1" x14ac:dyDescent="0.25">
      <c r="A402" s="15" t="s">
        <v>151</v>
      </c>
      <c r="B402" s="15" t="s">
        <v>386</v>
      </c>
      <c r="C402" s="15" t="s">
        <v>387</v>
      </c>
      <c r="D402" s="15" t="s">
        <v>398</v>
      </c>
      <c r="E402" s="15" t="s">
        <v>389</v>
      </c>
      <c r="F402" s="15"/>
      <c r="G402" s="15"/>
      <c r="H402" s="15"/>
      <c r="I402" s="15">
        <v>42349125.859999947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</row>
    <row r="403" spans="1:17" ht="30" hidden="1" x14ac:dyDescent="0.25">
      <c r="A403" s="15" t="s">
        <v>93</v>
      </c>
      <c r="B403" s="15" t="s">
        <v>386</v>
      </c>
      <c r="C403" s="15" t="s">
        <v>387</v>
      </c>
      <c r="D403" s="15" t="s">
        <v>398</v>
      </c>
      <c r="E403" s="15" t="s">
        <v>389</v>
      </c>
      <c r="F403" s="15"/>
      <c r="G403" s="15"/>
      <c r="H403" s="15"/>
      <c r="I403" s="15">
        <v>139760675.00000012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</row>
    <row r="404" spans="1:17" ht="30" hidden="1" x14ac:dyDescent="0.25">
      <c r="A404" s="15" t="s">
        <v>17</v>
      </c>
      <c r="B404" s="15" t="s">
        <v>386</v>
      </c>
      <c r="C404" s="15" t="s">
        <v>387</v>
      </c>
      <c r="D404" s="15" t="s">
        <v>398</v>
      </c>
      <c r="E404" s="15" t="s">
        <v>389</v>
      </c>
      <c r="F404" s="15"/>
      <c r="G404" s="15"/>
      <c r="H404" s="15"/>
      <c r="I404" s="15">
        <v>84690420.809999883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</row>
    <row r="405" spans="1:17" ht="30" hidden="1" x14ac:dyDescent="0.25">
      <c r="A405" s="15" t="s">
        <v>435</v>
      </c>
      <c r="B405" s="15" t="s">
        <v>386</v>
      </c>
      <c r="C405" s="15" t="s">
        <v>387</v>
      </c>
      <c r="D405" s="15" t="s">
        <v>398</v>
      </c>
      <c r="E405" s="15" t="s">
        <v>389</v>
      </c>
      <c r="F405" s="15"/>
      <c r="G405" s="15"/>
      <c r="H405" s="15"/>
      <c r="I405" s="15">
        <v>7703483.379999999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</row>
    <row r="406" spans="1:17" ht="30" hidden="1" x14ac:dyDescent="0.25">
      <c r="A406" s="15" t="s">
        <v>336</v>
      </c>
      <c r="B406" s="15" t="s">
        <v>386</v>
      </c>
      <c r="C406" s="15" t="s">
        <v>387</v>
      </c>
      <c r="D406" s="15" t="s">
        <v>398</v>
      </c>
      <c r="E406" s="15" t="s">
        <v>389</v>
      </c>
      <c r="F406" s="15"/>
      <c r="G406" s="15"/>
      <c r="H406" s="15"/>
      <c r="I406" s="15">
        <v>32976044.18999996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</row>
    <row r="407" spans="1:17" ht="30" hidden="1" x14ac:dyDescent="0.25">
      <c r="A407" s="15" t="s">
        <v>420</v>
      </c>
      <c r="B407" s="15" t="s">
        <v>386</v>
      </c>
      <c r="C407" s="15" t="s">
        <v>387</v>
      </c>
      <c r="D407" s="15" t="s">
        <v>436</v>
      </c>
      <c r="E407" s="15" t="s">
        <v>360</v>
      </c>
      <c r="F407" s="15"/>
      <c r="G407" s="15"/>
      <c r="H407" s="15"/>
      <c r="I407" s="15">
        <v>4386979.9100000029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</row>
    <row r="408" spans="1:17" ht="30" hidden="1" x14ac:dyDescent="0.25">
      <c r="A408" s="15" t="s">
        <v>383</v>
      </c>
      <c r="B408" s="15" t="s">
        <v>386</v>
      </c>
      <c r="C408" s="15" t="s">
        <v>387</v>
      </c>
      <c r="D408" s="15" t="s">
        <v>436</v>
      </c>
      <c r="E408" s="15" t="s">
        <v>360</v>
      </c>
      <c r="F408" s="15"/>
      <c r="G408" s="15"/>
      <c r="H408" s="15"/>
      <c r="I408" s="15">
        <v>108629205.9599967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</row>
    <row r="409" spans="1:17" ht="30" hidden="1" x14ac:dyDescent="0.25">
      <c r="A409" s="15" t="s">
        <v>353</v>
      </c>
      <c r="B409" s="15" t="s">
        <v>386</v>
      </c>
      <c r="C409" s="15" t="s">
        <v>387</v>
      </c>
      <c r="D409" s="15" t="s">
        <v>436</v>
      </c>
      <c r="E409" s="15" t="s">
        <v>360</v>
      </c>
      <c r="F409" s="15"/>
      <c r="G409" s="15"/>
      <c r="H409" s="15"/>
      <c r="I409" s="15">
        <v>255081129.14003366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</row>
    <row r="410" spans="1:17" ht="30" hidden="1" x14ac:dyDescent="0.25">
      <c r="A410" s="15" t="s">
        <v>155</v>
      </c>
      <c r="B410" s="15" t="s">
        <v>386</v>
      </c>
      <c r="C410" s="15" t="s">
        <v>387</v>
      </c>
      <c r="D410" s="15" t="s">
        <v>436</v>
      </c>
      <c r="E410" s="15" t="s">
        <v>360</v>
      </c>
      <c r="F410" s="15"/>
      <c r="G410" s="15"/>
      <c r="H410" s="15"/>
      <c r="I410" s="15">
        <v>1006884.1400000002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</row>
    <row r="411" spans="1:17" ht="30" hidden="1" x14ac:dyDescent="0.25">
      <c r="A411" s="15" t="s">
        <v>90</v>
      </c>
      <c r="B411" s="15" t="s">
        <v>386</v>
      </c>
      <c r="C411" s="15" t="s">
        <v>387</v>
      </c>
      <c r="D411" s="15" t="s">
        <v>436</v>
      </c>
      <c r="E411" s="15" t="s">
        <v>360</v>
      </c>
      <c r="F411" s="15"/>
      <c r="G411" s="15"/>
      <c r="H411" s="15"/>
      <c r="I411" s="15">
        <v>1220654.8799999994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</row>
    <row r="412" spans="1:17" ht="30" hidden="1" x14ac:dyDescent="0.25">
      <c r="A412" s="15" t="s">
        <v>344</v>
      </c>
      <c r="B412" s="15" t="s">
        <v>386</v>
      </c>
      <c r="C412" s="15" t="s">
        <v>387</v>
      </c>
      <c r="D412" s="15" t="s">
        <v>436</v>
      </c>
      <c r="E412" s="15" t="s">
        <v>360</v>
      </c>
      <c r="F412" s="15"/>
      <c r="G412" s="15"/>
      <c r="H412" s="15"/>
      <c r="I412" s="15">
        <v>238713553.10999355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</row>
    <row r="413" spans="1:17" ht="30" hidden="1" x14ac:dyDescent="0.25">
      <c r="A413" s="15" t="s">
        <v>42</v>
      </c>
      <c r="B413" s="15" t="s">
        <v>386</v>
      </c>
      <c r="C413" s="15" t="s">
        <v>387</v>
      </c>
      <c r="D413" s="15" t="s">
        <v>436</v>
      </c>
      <c r="E413" s="15" t="s">
        <v>360</v>
      </c>
      <c r="F413" s="15"/>
      <c r="G413" s="15"/>
      <c r="H413" s="15"/>
      <c r="I413" s="15">
        <v>911585.5900000002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</row>
    <row r="414" spans="1:17" ht="30" hidden="1" x14ac:dyDescent="0.25">
      <c r="A414" s="15" t="s">
        <v>173</v>
      </c>
      <c r="B414" s="15" t="s">
        <v>386</v>
      </c>
      <c r="C414" s="15" t="s">
        <v>387</v>
      </c>
      <c r="D414" s="15" t="s">
        <v>436</v>
      </c>
      <c r="E414" s="15" t="s">
        <v>360</v>
      </c>
      <c r="F414" s="15"/>
      <c r="G414" s="15"/>
      <c r="H414" s="15"/>
      <c r="I414" s="15">
        <v>2132240.4700000016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</row>
    <row r="415" spans="1:17" ht="30" hidden="1" x14ac:dyDescent="0.25">
      <c r="A415" s="15" t="s">
        <v>135</v>
      </c>
      <c r="B415" s="15" t="s">
        <v>386</v>
      </c>
      <c r="C415" s="15" t="s">
        <v>387</v>
      </c>
      <c r="D415" s="15" t="s">
        <v>436</v>
      </c>
      <c r="E415" s="15" t="s">
        <v>360</v>
      </c>
      <c r="F415" s="15"/>
      <c r="G415" s="15"/>
      <c r="H415" s="15"/>
      <c r="I415" s="15">
        <v>1220654.8799999997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</row>
    <row r="416" spans="1:17" ht="30" hidden="1" x14ac:dyDescent="0.25">
      <c r="A416" s="15" t="s">
        <v>111</v>
      </c>
      <c r="B416" s="15" t="s">
        <v>386</v>
      </c>
      <c r="C416" s="15" t="s">
        <v>387</v>
      </c>
      <c r="D416" s="15" t="s">
        <v>436</v>
      </c>
      <c r="E416" s="15" t="s">
        <v>360</v>
      </c>
      <c r="F416" s="15"/>
      <c r="G416" s="15"/>
      <c r="H416" s="15"/>
      <c r="I416" s="15">
        <v>62849378.649999693</v>
      </c>
      <c r="J416" s="15">
        <v>0</v>
      </c>
      <c r="K416" s="15">
        <v>0</v>
      </c>
      <c r="L416" s="15">
        <v>0</v>
      </c>
      <c r="M416" s="15">
        <v>0</v>
      </c>
      <c r="N416" s="15">
        <v>62849378.649999693</v>
      </c>
      <c r="O416" s="15">
        <v>0</v>
      </c>
      <c r="P416" s="15">
        <v>0</v>
      </c>
      <c r="Q416" s="15">
        <v>0</v>
      </c>
    </row>
    <row r="417" spans="1:17" ht="30" hidden="1" x14ac:dyDescent="0.25">
      <c r="A417" s="15" t="s">
        <v>345</v>
      </c>
      <c r="B417" s="15" t="s">
        <v>386</v>
      </c>
      <c r="C417" s="15" t="s">
        <v>387</v>
      </c>
      <c r="D417" s="15" t="s">
        <v>436</v>
      </c>
      <c r="E417" s="15" t="s">
        <v>360</v>
      </c>
      <c r="F417" s="15"/>
      <c r="G417" s="15"/>
      <c r="H417" s="15"/>
      <c r="I417" s="15">
        <v>3592537.7499999967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</row>
    <row r="418" spans="1:17" ht="30" hidden="1" x14ac:dyDescent="0.25">
      <c r="A418" s="15" t="s">
        <v>333</v>
      </c>
      <c r="B418" s="15" t="s">
        <v>386</v>
      </c>
      <c r="C418" s="15" t="s">
        <v>387</v>
      </c>
      <c r="D418" s="15" t="s">
        <v>436</v>
      </c>
      <c r="E418" s="15" t="s">
        <v>360</v>
      </c>
      <c r="F418" s="15"/>
      <c r="G418" s="15"/>
      <c r="H418" s="15"/>
      <c r="I418" s="15">
        <v>3020652.4200000013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</row>
    <row r="419" spans="1:17" ht="30" hidden="1" x14ac:dyDescent="0.25">
      <c r="A419" s="15" t="s">
        <v>127</v>
      </c>
      <c r="B419" s="15" t="s">
        <v>386</v>
      </c>
      <c r="C419" s="15" t="s">
        <v>387</v>
      </c>
      <c r="D419" s="15" t="s">
        <v>436</v>
      </c>
      <c r="E419" s="15" t="s">
        <v>360</v>
      </c>
      <c r="F419" s="15"/>
      <c r="G419" s="15"/>
      <c r="H419" s="15"/>
      <c r="I419" s="15">
        <v>300455001.50000781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</row>
    <row r="420" spans="1:17" ht="30" hidden="1" x14ac:dyDescent="0.25">
      <c r="A420" s="15" t="s">
        <v>123</v>
      </c>
      <c r="B420" s="15" t="s">
        <v>386</v>
      </c>
      <c r="C420" s="15" t="s">
        <v>387</v>
      </c>
      <c r="D420" s="15" t="s">
        <v>436</v>
      </c>
      <c r="E420" s="15" t="s">
        <v>360</v>
      </c>
      <c r="F420" s="15"/>
      <c r="G420" s="15"/>
      <c r="H420" s="15"/>
      <c r="I420" s="15">
        <v>1220654.8799999992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</row>
    <row r="421" spans="1:17" ht="30" hidden="1" x14ac:dyDescent="0.25">
      <c r="A421" s="15" t="s">
        <v>102</v>
      </c>
      <c r="B421" s="15" t="s">
        <v>386</v>
      </c>
      <c r="C421" s="15" t="s">
        <v>387</v>
      </c>
      <c r="D421" s="15" t="s">
        <v>436</v>
      </c>
      <c r="E421" s="15" t="s">
        <v>360</v>
      </c>
      <c r="F421" s="15"/>
      <c r="G421" s="15"/>
      <c r="H421" s="15"/>
      <c r="I421" s="15">
        <v>399077386.25999945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</row>
    <row r="422" spans="1:17" ht="30" hidden="1" x14ac:dyDescent="0.25">
      <c r="A422" s="15" t="s">
        <v>156</v>
      </c>
      <c r="B422" s="15" t="s">
        <v>386</v>
      </c>
      <c r="C422" s="15" t="s">
        <v>387</v>
      </c>
      <c r="D422" s="15" t="s">
        <v>436</v>
      </c>
      <c r="E422" s="15" t="s">
        <v>360</v>
      </c>
      <c r="F422" s="15"/>
      <c r="G422" s="15"/>
      <c r="H422" s="15"/>
      <c r="I422" s="15">
        <v>1006884.1399999999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</row>
    <row r="423" spans="1:17" ht="30" hidden="1" x14ac:dyDescent="0.25">
      <c r="A423" s="15" t="s">
        <v>346</v>
      </c>
      <c r="B423" s="15" t="s">
        <v>386</v>
      </c>
      <c r="C423" s="15" t="s">
        <v>387</v>
      </c>
      <c r="D423" s="15" t="s">
        <v>436</v>
      </c>
      <c r="E423" s="15" t="s">
        <v>360</v>
      </c>
      <c r="F423" s="15"/>
      <c r="G423" s="15"/>
      <c r="H423" s="15"/>
      <c r="I423" s="15">
        <v>1006884.1400000001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</row>
    <row r="424" spans="1:17" ht="30" hidden="1" x14ac:dyDescent="0.25">
      <c r="A424" s="15" t="s">
        <v>118</v>
      </c>
      <c r="B424" s="15" t="s">
        <v>386</v>
      </c>
      <c r="C424" s="15" t="s">
        <v>387</v>
      </c>
      <c r="D424" s="15" t="s">
        <v>436</v>
      </c>
      <c r="E424" s="15" t="s">
        <v>360</v>
      </c>
      <c r="F424" s="15">
        <v>1</v>
      </c>
      <c r="G424" s="15">
        <v>1</v>
      </c>
      <c r="H424" s="15" t="s">
        <v>343</v>
      </c>
      <c r="I424" s="15">
        <v>745246078.52010083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453601227.03999996</v>
      </c>
      <c r="P424" s="15">
        <v>0</v>
      </c>
      <c r="Q424" s="15">
        <v>0</v>
      </c>
    </row>
    <row r="425" spans="1:17" ht="30" hidden="1" x14ac:dyDescent="0.25">
      <c r="A425" s="15" t="s">
        <v>160</v>
      </c>
      <c r="B425" s="15" t="s">
        <v>386</v>
      </c>
      <c r="C425" s="15" t="s">
        <v>387</v>
      </c>
      <c r="D425" s="15" t="s">
        <v>436</v>
      </c>
      <c r="E425" s="15" t="s">
        <v>360</v>
      </c>
      <c r="F425" s="15"/>
      <c r="G425" s="15"/>
      <c r="H425" s="15"/>
      <c r="I425" s="15">
        <v>1006884.1400000001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</row>
    <row r="426" spans="1:17" ht="30" hidden="1" x14ac:dyDescent="0.25">
      <c r="A426" s="15" t="s">
        <v>93</v>
      </c>
      <c r="B426" s="15" t="s">
        <v>386</v>
      </c>
      <c r="C426" s="15" t="s">
        <v>387</v>
      </c>
      <c r="D426" s="15" t="s">
        <v>436</v>
      </c>
      <c r="E426" s="15" t="s">
        <v>360</v>
      </c>
      <c r="F426" s="15"/>
      <c r="G426" s="15"/>
      <c r="H426" s="15"/>
      <c r="I426" s="15">
        <v>9452726.7900000159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</row>
    <row r="427" spans="1:17" ht="30" hidden="1" x14ac:dyDescent="0.25">
      <c r="A427" s="15" t="s">
        <v>55</v>
      </c>
      <c r="B427" s="15" t="s">
        <v>386</v>
      </c>
      <c r="C427" s="15" t="s">
        <v>387</v>
      </c>
      <c r="D427" s="15" t="s">
        <v>436</v>
      </c>
      <c r="E427" s="15" t="s">
        <v>360</v>
      </c>
      <c r="F427" s="15"/>
      <c r="G427" s="15"/>
      <c r="H427" s="15"/>
      <c r="I427" s="15">
        <v>1006884.1399999999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</row>
    <row r="428" spans="1:17" ht="30" hidden="1" x14ac:dyDescent="0.25">
      <c r="A428" s="15" t="s">
        <v>133</v>
      </c>
      <c r="B428" s="15" t="s">
        <v>386</v>
      </c>
      <c r="C428" s="15" t="s">
        <v>387</v>
      </c>
      <c r="D428" s="15" t="s">
        <v>436</v>
      </c>
      <c r="E428" s="15" t="s">
        <v>360</v>
      </c>
      <c r="F428" s="15"/>
      <c r="G428" s="15"/>
      <c r="H428" s="15"/>
      <c r="I428" s="15">
        <v>22106208.609999988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</row>
    <row r="429" spans="1:17" ht="30" hidden="1" x14ac:dyDescent="0.25">
      <c r="A429" s="15" t="s">
        <v>120</v>
      </c>
      <c r="B429" s="15" t="s">
        <v>386</v>
      </c>
      <c r="C429" s="15" t="s">
        <v>387</v>
      </c>
      <c r="D429" s="15" t="s">
        <v>436</v>
      </c>
      <c r="E429" s="15" t="s">
        <v>360</v>
      </c>
      <c r="F429" s="15"/>
      <c r="G429" s="15"/>
      <c r="H429" s="15"/>
      <c r="I429" s="15">
        <v>212080190.05000722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</row>
    <row r="430" spans="1:17" ht="30" hidden="1" x14ac:dyDescent="0.25">
      <c r="A430" s="15" t="s">
        <v>385</v>
      </c>
      <c r="B430" s="15" t="s">
        <v>386</v>
      </c>
      <c r="C430" s="15" t="s">
        <v>387</v>
      </c>
      <c r="D430" s="15" t="s">
        <v>436</v>
      </c>
      <c r="E430" s="15" t="s">
        <v>360</v>
      </c>
      <c r="F430" s="15"/>
      <c r="G430" s="15"/>
      <c r="H430" s="15"/>
      <c r="I430" s="15">
        <v>33039185.340000134</v>
      </c>
      <c r="J430" s="15">
        <v>0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</row>
    <row r="431" spans="1:17" ht="30" hidden="1" x14ac:dyDescent="0.25">
      <c r="A431" s="15" t="s">
        <v>347</v>
      </c>
      <c r="B431" s="15" t="s">
        <v>386</v>
      </c>
      <c r="C431" s="15" t="s">
        <v>387</v>
      </c>
      <c r="D431" s="15" t="s">
        <v>436</v>
      </c>
      <c r="E431" s="15" t="s">
        <v>360</v>
      </c>
      <c r="F431" s="15"/>
      <c r="G431" s="15"/>
      <c r="H431" s="15"/>
      <c r="I431" s="15">
        <v>173307347.28000385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</row>
    <row r="432" spans="1:17" ht="30" hidden="1" x14ac:dyDescent="0.25">
      <c r="A432" s="15" t="s">
        <v>103</v>
      </c>
      <c r="B432" s="15" t="s">
        <v>386</v>
      </c>
      <c r="C432" s="15" t="s">
        <v>387</v>
      </c>
      <c r="D432" s="15" t="s">
        <v>436</v>
      </c>
      <c r="E432" s="15" t="s">
        <v>360</v>
      </c>
      <c r="F432" s="15"/>
      <c r="G432" s="15"/>
      <c r="H432" s="15"/>
      <c r="I432" s="15">
        <v>249482271.56004351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</row>
    <row r="433" spans="1:17" ht="30" hidden="1" x14ac:dyDescent="0.25">
      <c r="A433" s="15" t="s">
        <v>417</v>
      </c>
      <c r="B433" s="15" t="s">
        <v>386</v>
      </c>
      <c r="C433" s="15" t="s">
        <v>387</v>
      </c>
      <c r="D433" s="15" t="s">
        <v>436</v>
      </c>
      <c r="E433" s="15" t="s">
        <v>360</v>
      </c>
      <c r="F433" s="15"/>
      <c r="G433" s="15"/>
      <c r="H433" s="15"/>
      <c r="I433" s="15">
        <v>69327183.080001146</v>
      </c>
      <c r="J433" s="15">
        <v>0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</row>
    <row r="434" spans="1:17" hidden="1" x14ac:dyDescent="0.25">
      <c r="A434" s="15" t="s">
        <v>81</v>
      </c>
      <c r="B434" s="15" t="s">
        <v>438</v>
      </c>
      <c r="C434" s="15" t="s">
        <v>439</v>
      </c>
      <c r="D434" s="15" t="s">
        <v>440</v>
      </c>
      <c r="E434" s="15" t="s">
        <v>421</v>
      </c>
      <c r="F434" s="15"/>
      <c r="G434" s="15"/>
      <c r="H434" s="15"/>
      <c r="I434" s="15">
        <v>0</v>
      </c>
      <c r="J434" s="15">
        <v>0</v>
      </c>
      <c r="K434" s="15">
        <v>0</v>
      </c>
      <c r="L434" s="15">
        <v>208688.66999999998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</row>
    <row r="435" spans="1:17" hidden="1" x14ac:dyDescent="0.25">
      <c r="A435" s="15" t="s">
        <v>81</v>
      </c>
      <c r="B435" s="15" t="s">
        <v>438</v>
      </c>
      <c r="C435" s="15" t="s">
        <v>439</v>
      </c>
      <c r="D435" s="15" t="s">
        <v>441</v>
      </c>
      <c r="E435" s="15" t="s">
        <v>442</v>
      </c>
      <c r="F435" s="15"/>
      <c r="G435" s="15"/>
      <c r="H435" s="15"/>
      <c r="I435" s="15">
        <v>0</v>
      </c>
      <c r="J435" s="15">
        <v>0</v>
      </c>
      <c r="K435" s="15">
        <v>0</v>
      </c>
      <c r="L435" s="15">
        <v>11776760.620000001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</row>
    <row r="436" spans="1:17" hidden="1" x14ac:dyDescent="0.25">
      <c r="A436" s="15" t="s">
        <v>81</v>
      </c>
      <c r="B436" s="15" t="s">
        <v>438</v>
      </c>
      <c r="C436" s="15" t="s">
        <v>439</v>
      </c>
      <c r="D436" s="15" t="s">
        <v>441</v>
      </c>
      <c r="E436" s="15" t="s">
        <v>421</v>
      </c>
      <c r="F436" s="15"/>
      <c r="G436" s="15"/>
      <c r="H436" s="15" t="s">
        <v>343</v>
      </c>
      <c r="I436" s="15">
        <v>0</v>
      </c>
      <c r="J436" s="15">
        <v>153019583.42999998</v>
      </c>
      <c r="K436" s="15">
        <v>134970165.77000001</v>
      </c>
      <c r="L436" s="15">
        <v>322128488.81000018</v>
      </c>
      <c r="M436" s="15">
        <v>13117256.509999998</v>
      </c>
      <c r="N436" s="15">
        <v>27361099.270000003</v>
      </c>
      <c r="O436" s="15">
        <v>1989224.5970999999</v>
      </c>
      <c r="P436" s="15">
        <v>0</v>
      </c>
      <c r="Q436" s="15">
        <v>0</v>
      </c>
    </row>
    <row r="437" spans="1:17" hidden="1" x14ac:dyDescent="0.25">
      <c r="A437" s="15" t="s">
        <v>87</v>
      </c>
      <c r="B437" s="15" t="s">
        <v>438</v>
      </c>
      <c r="C437" s="15" t="s">
        <v>443</v>
      </c>
      <c r="D437" s="15" t="s">
        <v>444</v>
      </c>
      <c r="E437" s="15" t="s">
        <v>424</v>
      </c>
      <c r="F437" s="15"/>
      <c r="G437" s="15"/>
      <c r="H437" s="15" t="s">
        <v>377</v>
      </c>
      <c r="I437" s="15">
        <v>0</v>
      </c>
      <c r="J437" s="15">
        <v>6003235.9700000007</v>
      </c>
      <c r="K437" s="15">
        <v>221515033.27000004</v>
      </c>
      <c r="L437" s="15">
        <v>26051285.77999999</v>
      </c>
      <c r="M437" s="15">
        <v>43675974.810000084</v>
      </c>
      <c r="N437" s="15">
        <v>0</v>
      </c>
      <c r="O437" s="15">
        <v>43675974.810000084</v>
      </c>
      <c r="P437" s="15">
        <v>0</v>
      </c>
      <c r="Q437" s="15">
        <v>0</v>
      </c>
    </row>
    <row r="438" spans="1:17" hidden="1" x14ac:dyDescent="0.25">
      <c r="A438" s="15" t="s">
        <v>87</v>
      </c>
      <c r="B438" s="15" t="s">
        <v>438</v>
      </c>
      <c r="C438" s="15" t="s">
        <v>443</v>
      </c>
      <c r="D438" s="15" t="s">
        <v>445</v>
      </c>
      <c r="E438" s="15" t="s">
        <v>424</v>
      </c>
      <c r="F438" s="15"/>
      <c r="G438" s="15"/>
      <c r="H438" s="15"/>
      <c r="I438" s="15">
        <v>0</v>
      </c>
      <c r="J438" s="15">
        <v>23080630.669999998</v>
      </c>
      <c r="K438" s="15">
        <v>628783.19000000006</v>
      </c>
      <c r="L438" s="15">
        <v>141679553.97000003</v>
      </c>
      <c r="M438" s="15">
        <v>511490.75000000006</v>
      </c>
      <c r="N438" s="15">
        <v>0</v>
      </c>
      <c r="O438" s="15">
        <v>0</v>
      </c>
      <c r="P438" s="15">
        <v>0</v>
      </c>
      <c r="Q438" s="15">
        <v>0</v>
      </c>
    </row>
    <row r="439" spans="1:17" hidden="1" x14ac:dyDescent="0.25">
      <c r="A439" s="15" t="s">
        <v>87</v>
      </c>
      <c r="B439" s="15" t="s">
        <v>438</v>
      </c>
      <c r="C439" s="15" t="s">
        <v>443</v>
      </c>
      <c r="D439" s="15" t="s">
        <v>446</v>
      </c>
      <c r="E439" s="15" t="s">
        <v>424</v>
      </c>
      <c r="F439" s="15"/>
      <c r="G439" s="15"/>
      <c r="H439" s="15"/>
      <c r="I439" s="15">
        <v>0</v>
      </c>
      <c r="J439" s="15">
        <v>3048091.0600000005</v>
      </c>
      <c r="K439" s="15">
        <v>2767536.3699999996</v>
      </c>
      <c r="L439" s="15">
        <v>20306140.809999995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</row>
    <row r="440" spans="1:17" hidden="1" x14ac:dyDescent="0.25">
      <c r="A440" s="15" t="s">
        <v>87</v>
      </c>
      <c r="B440" s="15" t="s">
        <v>438</v>
      </c>
      <c r="C440" s="15" t="s">
        <v>447</v>
      </c>
      <c r="D440" s="15" t="s">
        <v>448</v>
      </c>
      <c r="E440" s="15" t="s">
        <v>424</v>
      </c>
      <c r="F440" s="15"/>
      <c r="G440" s="15"/>
      <c r="H440" s="15"/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179038670.03000003</v>
      </c>
    </row>
    <row r="441" spans="1:17" hidden="1" x14ac:dyDescent="0.25">
      <c r="A441" s="15" t="s">
        <v>449</v>
      </c>
      <c r="B441" s="15" t="s">
        <v>438</v>
      </c>
      <c r="C441" s="15" t="s">
        <v>439</v>
      </c>
      <c r="D441" s="15" t="s">
        <v>440</v>
      </c>
      <c r="E441" s="15" t="s">
        <v>450</v>
      </c>
      <c r="F441" s="15"/>
      <c r="G441" s="15"/>
      <c r="H441" s="15"/>
      <c r="I441" s="15">
        <v>0</v>
      </c>
      <c r="J441" s="15">
        <v>0</v>
      </c>
      <c r="K441" s="15">
        <v>0</v>
      </c>
      <c r="L441" s="15">
        <v>1185678.5599999998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</row>
    <row r="442" spans="1:17" hidden="1" x14ac:dyDescent="0.25">
      <c r="A442" s="15" t="s">
        <v>449</v>
      </c>
      <c r="B442" s="15" t="s">
        <v>438</v>
      </c>
      <c r="C442" s="15" t="s">
        <v>439</v>
      </c>
      <c r="D442" s="15" t="s">
        <v>451</v>
      </c>
      <c r="E442" s="15" t="s">
        <v>421</v>
      </c>
      <c r="F442" s="15"/>
      <c r="G442" s="15"/>
      <c r="H442" s="15"/>
      <c r="I442" s="15">
        <v>0</v>
      </c>
      <c r="J442" s="15">
        <v>0</v>
      </c>
      <c r="K442" s="15">
        <v>0</v>
      </c>
      <c r="L442" s="15">
        <v>60209490.649999976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</row>
    <row r="443" spans="1:17" hidden="1" x14ac:dyDescent="0.25">
      <c r="A443" s="15" t="s">
        <v>449</v>
      </c>
      <c r="B443" s="15" t="s">
        <v>438</v>
      </c>
      <c r="C443" s="15" t="s">
        <v>439</v>
      </c>
      <c r="D443" s="15" t="s">
        <v>440</v>
      </c>
      <c r="E443" s="15" t="s">
        <v>421</v>
      </c>
      <c r="F443" s="15"/>
      <c r="G443" s="15"/>
      <c r="H443" s="15" t="s">
        <v>343</v>
      </c>
      <c r="I443" s="15">
        <v>0</v>
      </c>
      <c r="J443" s="15">
        <v>34691444.800000004</v>
      </c>
      <c r="K443" s="15">
        <v>0</v>
      </c>
      <c r="L443" s="15">
        <v>0</v>
      </c>
      <c r="M443" s="15">
        <v>12714006.299999993</v>
      </c>
      <c r="N443" s="15">
        <v>19653666.589999996</v>
      </c>
      <c r="O443" s="15">
        <v>650000</v>
      </c>
      <c r="P443" s="15">
        <v>0</v>
      </c>
      <c r="Q443" s="15">
        <v>0</v>
      </c>
    </row>
    <row r="444" spans="1:17" hidden="1" x14ac:dyDescent="0.25">
      <c r="A444" s="15" t="s">
        <v>425</v>
      </c>
      <c r="B444" s="15" t="s">
        <v>438</v>
      </c>
      <c r="C444" s="15" t="s">
        <v>443</v>
      </c>
      <c r="D444" s="15" t="s">
        <v>452</v>
      </c>
      <c r="E444" s="15" t="s">
        <v>424</v>
      </c>
      <c r="F444" s="15"/>
      <c r="G444" s="15"/>
      <c r="H444" s="15" t="s">
        <v>377</v>
      </c>
      <c r="I444" s="15">
        <v>0</v>
      </c>
      <c r="J444" s="15">
        <v>121671430.49999997</v>
      </c>
      <c r="K444" s="15">
        <v>183658746.71000001</v>
      </c>
      <c r="L444" s="15">
        <v>227938901.79999974</v>
      </c>
      <c r="M444" s="15">
        <v>121867232.1300009</v>
      </c>
      <c r="N444" s="15">
        <v>0</v>
      </c>
      <c r="O444" s="15">
        <v>70488320.631299987</v>
      </c>
      <c r="P444" s="15">
        <v>0</v>
      </c>
      <c r="Q444" s="15">
        <v>0</v>
      </c>
    </row>
    <row r="445" spans="1:17" hidden="1" x14ac:dyDescent="0.25">
      <c r="A445" s="15" t="s">
        <v>425</v>
      </c>
      <c r="B445" s="15" t="s">
        <v>438</v>
      </c>
      <c r="C445" s="15" t="s">
        <v>447</v>
      </c>
      <c r="D445" s="15" t="s">
        <v>448</v>
      </c>
      <c r="E445" s="15" t="s">
        <v>424</v>
      </c>
      <c r="F445" s="15"/>
      <c r="G445" s="15"/>
      <c r="H445" s="15"/>
      <c r="I445" s="15">
        <v>0</v>
      </c>
      <c r="J445" s="15">
        <v>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120850016.12999998</v>
      </c>
    </row>
    <row r="446" spans="1:17" hidden="1" x14ac:dyDescent="0.25">
      <c r="A446" s="15" t="s">
        <v>90</v>
      </c>
      <c r="B446" s="15" t="s">
        <v>438</v>
      </c>
      <c r="C446" s="15" t="s">
        <v>443</v>
      </c>
      <c r="D446" s="15" t="s">
        <v>444</v>
      </c>
      <c r="E446" s="15" t="s">
        <v>424</v>
      </c>
      <c r="F446" s="15">
        <v>1</v>
      </c>
      <c r="G446" s="15">
        <v>2</v>
      </c>
      <c r="H446" s="15" t="s">
        <v>377</v>
      </c>
      <c r="I446" s="15">
        <v>0</v>
      </c>
      <c r="J446" s="15">
        <v>201600905.64000005</v>
      </c>
      <c r="K446" s="15">
        <v>46083759.960000001</v>
      </c>
      <c r="L446" s="15">
        <v>38379886.579999991</v>
      </c>
      <c r="M446" s="15">
        <v>311425467.55000055</v>
      </c>
      <c r="N446" s="15">
        <v>0</v>
      </c>
      <c r="O446" s="15">
        <v>296054124.14759994</v>
      </c>
      <c r="P446" s="15">
        <v>0</v>
      </c>
      <c r="Q446" s="15">
        <v>0</v>
      </c>
    </row>
    <row r="447" spans="1:17" hidden="1" x14ac:dyDescent="0.25">
      <c r="A447" s="15" t="s">
        <v>90</v>
      </c>
      <c r="B447" s="15" t="s">
        <v>438</v>
      </c>
      <c r="C447" s="15" t="s">
        <v>443</v>
      </c>
      <c r="D447" s="15" t="s">
        <v>445</v>
      </c>
      <c r="E447" s="15" t="s">
        <v>424</v>
      </c>
      <c r="F447" s="15"/>
      <c r="G447" s="15"/>
      <c r="H447" s="15"/>
      <c r="I447" s="15">
        <v>0</v>
      </c>
      <c r="J447" s="15">
        <v>104860578.90999995</v>
      </c>
      <c r="K447" s="15">
        <v>1722313.4900000002</v>
      </c>
      <c r="L447" s="15">
        <v>162118278.36999997</v>
      </c>
      <c r="M447" s="15">
        <v>0</v>
      </c>
      <c r="N447" s="15">
        <v>18110606.940000001</v>
      </c>
      <c r="O447" s="15">
        <v>0</v>
      </c>
      <c r="P447" s="15">
        <v>0</v>
      </c>
      <c r="Q447" s="15">
        <v>0</v>
      </c>
    </row>
    <row r="448" spans="1:17" hidden="1" x14ac:dyDescent="0.25">
      <c r="A448" s="15" t="s">
        <v>90</v>
      </c>
      <c r="B448" s="15" t="s">
        <v>438</v>
      </c>
      <c r="C448" s="15" t="s">
        <v>443</v>
      </c>
      <c r="D448" s="15" t="s">
        <v>446</v>
      </c>
      <c r="E448" s="15" t="s">
        <v>424</v>
      </c>
      <c r="F448" s="15"/>
      <c r="G448" s="15"/>
      <c r="H448" s="15" t="s">
        <v>377</v>
      </c>
      <c r="I448" s="15">
        <v>0</v>
      </c>
      <c r="J448" s="15">
        <v>441448884.41999984</v>
      </c>
      <c r="K448" s="15">
        <v>65985340.409999982</v>
      </c>
      <c r="L448" s="15">
        <v>262371949.57000005</v>
      </c>
      <c r="M448" s="15">
        <v>275845491.41999978</v>
      </c>
      <c r="N448" s="15">
        <v>0</v>
      </c>
      <c r="O448" s="15">
        <v>176294026.74129999</v>
      </c>
      <c r="P448" s="15">
        <v>0</v>
      </c>
      <c r="Q448" s="15">
        <v>0</v>
      </c>
    </row>
    <row r="449" spans="1:17" hidden="1" x14ac:dyDescent="0.25">
      <c r="A449" s="15" t="s">
        <v>90</v>
      </c>
      <c r="B449" s="15" t="s">
        <v>438</v>
      </c>
      <c r="C449" s="15" t="s">
        <v>453</v>
      </c>
      <c r="D449" s="15" t="s">
        <v>454</v>
      </c>
      <c r="E449" s="15" t="s">
        <v>424</v>
      </c>
      <c r="F449" s="15"/>
      <c r="G449" s="15"/>
      <c r="H449" s="15"/>
      <c r="I449" s="15">
        <v>0</v>
      </c>
      <c r="J449" s="15">
        <v>0</v>
      </c>
      <c r="K449" s="15">
        <v>0</v>
      </c>
      <c r="L449" s="15">
        <v>99500.459999999992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</row>
    <row r="450" spans="1:17" hidden="1" x14ac:dyDescent="0.25">
      <c r="A450" s="15" t="s">
        <v>90</v>
      </c>
      <c r="B450" s="15" t="s">
        <v>438</v>
      </c>
      <c r="C450" s="15" t="s">
        <v>447</v>
      </c>
      <c r="D450" s="15" t="s">
        <v>448</v>
      </c>
      <c r="E450" s="15" t="s">
        <v>424</v>
      </c>
      <c r="F450" s="15"/>
      <c r="G450" s="15"/>
      <c r="H450" s="15"/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535714473.38999999</v>
      </c>
    </row>
    <row r="451" spans="1:17" hidden="1" x14ac:dyDescent="0.25">
      <c r="A451" s="15" t="s">
        <v>427</v>
      </c>
      <c r="B451" s="15" t="s">
        <v>438</v>
      </c>
      <c r="C451" s="15" t="s">
        <v>453</v>
      </c>
      <c r="D451" s="15" t="s">
        <v>455</v>
      </c>
      <c r="E451" s="15" t="s">
        <v>421</v>
      </c>
      <c r="F451" s="15"/>
      <c r="G451" s="15"/>
      <c r="H451" s="15"/>
      <c r="I451" s="15">
        <v>0</v>
      </c>
      <c r="J451" s="15">
        <v>342333.52</v>
      </c>
      <c r="K451" s="15">
        <v>73470389.230000004</v>
      </c>
      <c r="L451" s="15">
        <v>129327350.88000001</v>
      </c>
      <c r="M451" s="15">
        <v>0</v>
      </c>
      <c r="N451" s="15">
        <v>51890853.25</v>
      </c>
      <c r="O451" s="15">
        <v>0</v>
      </c>
      <c r="P451" s="15">
        <v>0</v>
      </c>
      <c r="Q451" s="15">
        <v>0</v>
      </c>
    </row>
    <row r="452" spans="1:17" hidden="1" x14ac:dyDescent="0.25">
      <c r="A452" s="15" t="s">
        <v>66</v>
      </c>
      <c r="B452" s="15" t="s">
        <v>438</v>
      </c>
      <c r="C452" s="15" t="s">
        <v>453</v>
      </c>
      <c r="D452" s="15" t="s">
        <v>454</v>
      </c>
      <c r="E452" s="15" t="s">
        <v>450</v>
      </c>
      <c r="F452" s="15"/>
      <c r="G452" s="15"/>
      <c r="H452" s="15"/>
      <c r="I452" s="15">
        <v>0</v>
      </c>
      <c r="J452" s="15">
        <v>0</v>
      </c>
      <c r="K452" s="15">
        <v>0</v>
      </c>
      <c r="L452" s="15">
        <v>1138102.06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</row>
    <row r="453" spans="1:17" hidden="1" x14ac:dyDescent="0.25">
      <c r="A453" s="15" t="s">
        <v>66</v>
      </c>
      <c r="B453" s="15" t="s">
        <v>438</v>
      </c>
      <c r="C453" s="15" t="s">
        <v>453</v>
      </c>
      <c r="D453" s="15" t="s">
        <v>454</v>
      </c>
      <c r="E453" s="15" t="s">
        <v>421</v>
      </c>
      <c r="F453" s="15"/>
      <c r="G453" s="15"/>
      <c r="H453" s="15"/>
      <c r="I453" s="15">
        <v>0</v>
      </c>
      <c r="J453" s="15">
        <v>0</v>
      </c>
      <c r="K453" s="15">
        <v>0</v>
      </c>
      <c r="L453" s="15">
        <v>85490087.909999996</v>
      </c>
      <c r="M453" s="15">
        <v>0</v>
      </c>
      <c r="N453" s="15">
        <v>18132123.189999998</v>
      </c>
      <c r="O453" s="15">
        <v>0</v>
      </c>
      <c r="P453" s="15">
        <v>0</v>
      </c>
      <c r="Q453" s="15">
        <v>0</v>
      </c>
    </row>
    <row r="454" spans="1:17" hidden="1" x14ac:dyDescent="0.25">
      <c r="A454" s="15" t="s">
        <v>431</v>
      </c>
      <c r="B454" s="15" t="s">
        <v>438</v>
      </c>
      <c r="C454" s="15" t="s">
        <v>453</v>
      </c>
      <c r="D454" s="15" t="s">
        <v>456</v>
      </c>
      <c r="E454" s="15" t="s">
        <v>450</v>
      </c>
      <c r="F454" s="15">
        <v>1</v>
      </c>
      <c r="G454" s="15">
        <v>2</v>
      </c>
      <c r="H454" s="15" t="s">
        <v>343</v>
      </c>
      <c r="I454" s="15">
        <v>0</v>
      </c>
      <c r="J454" s="15">
        <v>162288104.04000002</v>
      </c>
      <c r="K454" s="15">
        <v>2795778.5500000003</v>
      </c>
      <c r="L454" s="15">
        <v>253464764.50999996</v>
      </c>
      <c r="M454" s="15">
        <v>42057506.110000044</v>
      </c>
      <c r="N454" s="15">
        <v>0</v>
      </c>
      <c r="O454" s="15">
        <v>42057506.110000044</v>
      </c>
      <c r="P454" s="15">
        <v>0</v>
      </c>
      <c r="Q454" s="15">
        <v>0</v>
      </c>
    </row>
    <row r="455" spans="1:17" hidden="1" x14ac:dyDescent="0.25">
      <c r="A455" s="15" t="s">
        <v>431</v>
      </c>
      <c r="B455" s="15" t="s">
        <v>438</v>
      </c>
      <c r="C455" s="15" t="s">
        <v>453</v>
      </c>
      <c r="D455" s="15" t="s">
        <v>456</v>
      </c>
      <c r="E455" s="15" t="s">
        <v>421</v>
      </c>
      <c r="F455" s="15"/>
      <c r="G455" s="15">
        <v>3</v>
      </c>
      <c r="H455" s="15"/>
      <c r="I455" s="15">
        <v>0</v>
      </c>
      <c r="J455" s="15">
        <v>72507901.849999994</v>
      </c>
      <c r="K455" s="15">
        <v>0</v>
      </c>
      <c r="L455" s="15">
        <v>11787053.539999999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</row>
    <row r="456" spans="1:17" hidden="1" x14ac:dyDescent="0.25">
      <c r="A456" s="15" t="s">
        <v>431</v>
      </c>
      <c r="B456" s="15" t="s">
        <v>438</v>
      </c>
      <c r="C456" s="15" t="s">
        <v>453</v>
      </c>
      <c r="D456" s="15" t="s">
        <v>457</v>
      </c>
      <c r="E456" s="15" t="s">
        <v>450</v>
      </c>
      <c r="F456" s="15"/>
      <c r="G456" s="15"/>
      <c r="H456" s="15"/>
      <c r="I456" s="15">
        <v>0</v>
      </c>
      <c r="J456" s="15">
        <v>108176429.54000001</v>
      </c>
      <c r="K456" s="15">
        <v>965889.3600000001</v>
      </c>
      <c r="L456" s="15">
        <v>153317268.61999995</v>
      </c>
      <c r="M456" s="15">
        <v>0</v>
      </c>
      <c r="N456" s="15">
        <v>112886230.99000001</v>
      </c>
      <c r="O456" s="15">
        <v>0</v>
      </c>
      <c r="P456" s="15">
        <v>0</v>
      </c>
      <c r="Q456" s="15">
        <v>0</v>
      </c>
    </row>
    <row r="457" spans="1:17" hidden="1" x14ac:dyDescent="0.25">
      <c r="A457" s="15" t="s">
        <v>431</v>
      </c>
      <c r="B457" s="15" t="s">
        <v>438</v>
      </c>
      <c r="C457" s="15" t="s">
        <v>453</v>
      </c>
      <c r="D457" s="15" t="s">
        <v>457</v>
      </c>
      <c r="E457" s="15" t="s">
        <v>421</v>
      </c>
      <c r="F457" s="15"/>
      <c r="G457" s="15"/>
      <c r="H457" s="15" t="s">
        <v>343</v>
      </c>
      <c r="I457" s="15">
        <v>0</v>
      </c>
      <c r="J457" s="15">
        <v>136311684.74000001</v>
      </c>
      <c r="K457" s="15">
        <v>0</v>
      </c>
      <c r="L457" s="15">
        <v>161329599.02000001</v>
      </c>
      <c r="M457" s="15">
        <v>85979673.750000238</v>
      </c>
      <c r="N457" s="15">
        <v>0</v>
      </c>
      <c r="O457" s="15">
        <v>52620015.693699993</v>
      </c>
      <c r="P457" s="15">
        <v>0</v>
      </c>
      <c r="Q457" s="15">
        <v>0</v>
      </c>
    </row>
    <row r="458" spans="1:17" hidden="1" x14ac:dyDescent="0.25">
      <c r="A458" s="15" t="s">
        <v>431</v>
      </c>
      <c r="B458" s="15" t="s">
        <v>438</v>
      </c>
      <c r="C458" s="15" t="s">
        <v>453</v>
      </c>
      <c r="D458" s="15" t="s">
        <v>454</v>
      </c>
      <c r="E458" s="15" t="s">
        <v>450</v>
      </c>
      <c r="F458" s="15"/>
      <c r="G458" s="15"/>
      <c r="H458" s="15" t="s">
        <v>343</v>
      </c>
      <c r="I458" s="15">
        <v>0</v>
      </c>
      <c r="J458" s="15">
        <v>124147509.69999997</v>
      </c>
      <c r="K458" s="15">
        <v>1186505.8400000001</v>
      </c>
      <c r="L458" s="15">
        <v>406056098.95000011</v>
      </c>
      <c r="M458" s="15">
        <v>73076719.090000346</v>
      </c>
      <c r="N458" s="15">
        <v>70473505.910000011</v>
      </c>
      <c r="O458" s="15">
        <v>44026513.027900003</v>
      </c>
      <c r="P458" s="15">
        <v>0</v>
      </c>
      <c r="Q458" s="15">
        <v>0</v>
      </c>
    </row>
    <row r="459" spans="1:17" hidden="1" x14ac:dyDescent="0.25">
      <c r="A459" s="15" t="s">
        <v>431</v>
      </c>
      <c r="B459" s="15" t="s">
        <v>438</v>
      </c>
      <c r="C459" s="15" t="s">
        <v>453</v>
      </c>
      <c r="D459" s="15" t="s">
        <v>454</v>
      </c>
      <c r="E459" s="15" t="s">
        <v>421</v>
      </c>
      <c r="F459" s="15"/>
      <c r="G459" s="15"/>
      <c r="H459" s="15"/>
      <c r="I459" s="15">
        <v>0</v>
      </c>
      <c r="J459" s="15">
        <v>144232227.30999997</v>
      </c>
      <c r="K459" s="15">
        <v>0</v>
      </c>
      <c r="L459" s="15">
        <v>5910.24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</row>
    <row r="460" spans="1:17" hidden="1" x14ac:dyDescent="0.25">
      <c r="A460" s="15" t="s">
        <v>431</v>
      </c>
      <c r="B460" s="15" t="s">
        <v>438</v>
      </c>
      <c r="C460" s="15" t="s">
        <v>447</v>
      </c>
      <c r="D460" s="15" t="s">
        <v>448</v>
      </c>
      <c r="E460" s="15" t="s">
        <v>450</v>
      </c>
      <c r="F460" s="15"/>
      <c r="G460" s="15"/>
      <c r="H460" s="15"/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306584396.88999999</v>
      </c>
    </row>
    <row r="461" spans="1:17" hidden="1" x14ac:dyDescent="0.25">
      <c r="A461" s="15" t="s">
        <v>431</v>
      </c>
      <c r="B461" s="15" t="s">
        <v>438</v>
      </c>
      <c r="C461" s="15" t="s">
        <v>447</v>
      </c>
      <c r="D461" s="15" t="s">
        <v>448</v>
      </c>
      <c r="E461" s="15" t="s">
        <v>421</v>
      </c>
      <c r="F461" s="15"/>
      <c r="G461" s="15"/>
      <c r="H461" s="15"/>
      <c r="I461" s="15">
        <v>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133764346.09999998</v>
      </c>
    </row>
    <row r="462" spans="1:17" hidden="1" x14ac:dyDescent="0.25">
      <c r="A462" s="15" t="s">
        <v>458</v>
      </c>
      <c r="B462" s="15" t="s">
        <v>438</v>
      </c>
      <c r="C462" s="15" t="s">
        <v>439</v>
      </c>
      <c r="D462" s="15" t="s">
        <v>459</v>
      </c>
      <c r="E462" s="15" t="s">
        <v>442</v>
      </c>
      <c r="F462" s="15">
        <v>1</v>
      </c>
      <c r="G462" s="15"/>
      <c r="H462" s="15" t="s">
        <v>343</v>
      </c>
      <c r="I462" s="15">
        <v>0</v>
      </c>
      <c r="J462" s="15">
        <v>0</v>
      </c>
      <c r="K462" s="15">
        <v>99588543.879999995</v>
      </c>
      <c r="L462" s="15">
        <v>304359569.74999988</v>
      </c>
      <c r="M462" s="15">
        <v>10295973.709999979</v>
      </c>
      <c r="N462" s="15">
        <v>41179517.719999999</v>
      </c>
      <c r="O462" s="15">
        <v>650000</v>
      </c>
      <c r="P462" s="15">
        <v>0</v>
      </c>
      <c r="Q462" s="15">
        <v>0</v>
      </c>
    </row>
    <row r="463" spans="1:17" hidden="1" x14ac:dyDescent="0.25">
      <c r="A463" s="15" t="s">
        <v>458</v>
      </c>
      <c r="B463" s="15" t="s">
        <v>438</v>
      </c>
      <c r="C463" s="15" t="s">
        <v>439</v>
      </c>
      <c r="D463" s="15" t="s">
        <v>459</v>
      </c>
      <c r="E463" s="15" t="s">
        <v>450</v>
      </c>
      <c r="F463" s="15"/>
      <c r="G463" s="15"/>
      <c r="H463" s="15"/>
      <c r="I463" s="15">
        <v>0</v>
      </c>
      <c r="J463" s="15">
        <v>0</v>
      </c>
      <c r="K463" s="15">
        <v>0</v>
      </c>
      <c r="L463" s="15">
        <v>4068172.7399999998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</row>
    <row r="464" spans="1:17" hidden="1" x14ac:dyDescent="0.25">
      <c r="A464" s="15" t="s">
        <v>458</v>
      </c>
      <c r="B464" s="15" t="s">
        <v>438</v>
      </c>
      <c r="C464" s="15" t="s">
        <v>439</v>
      </c>
      <c r="D464" s="15" t="s">
        <v>459</v>
      </c>
      <c r="E464" s="15" t="s">
        <v>421</v>
      </c>
      <c r="F464" s="15"/>
      <c r="G464" s="15"/>
      <c r="H464" s="15"/>
      <c r="I464" s="15">
        <v>0</v>
      </c>
      <c r="J464" s="15">
        <v>0</v>
      </c>
      <c r="K464" s="15">
        <v>0</v>
      </c>
      <c r="L464" s="15">
        <v>92672.789999999979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</row>
    <row r="465" spans="1:17" hidden="1" x14ac:dyDescent="0.25">
      <c r="A465" s="15" t="s">
        <v>65</v>
      </c>
      <c r="B465" s="15" t="s">
        <v>438</v>
      </c>
      <c r="C465" s="15" t="s">
        <v>453</v>
      </c>
      <c r="D465" s="15" t="s">
        <v>455</v>
      </c>
      <c r="E465" s="15" t="s">
        <v>450</v>
      </c>
      <c r="F465" s="15"/>
      <c r="G465" s="15"/>
      <c r="H465" s="15"/>
      <c r="I465" s="15">
        <v>0</v>
      </c>
      <c r="J465" s="15">
        <v>0</v>
      </c>
      <c r="K465" s="15">
        <v>0</v>
      </c>
      <c r="L465" s="15">
        <v>1571412.16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</row>
    <row r="466" spans="1:17" hidden="1" x14ac:dyDescent="0.25">
      <c r="A466" s="15" t="s">
        <v>65</v>
      </c>
      <c r="B466" s="15" t="s">
        <v>438</v>
      </c>
      <c r="C466" s="15" t="s">
        <v>453</v>
      </c>
      <c r="D466" s="15" t="s">
        <v>455</v>
      </c>
      <c r="E466" s="15" t="s">
        <v>421</v>
      </c>
      <c r="F466" s="15"/>
      <c r="G466" s="15"/>
      <c r="H466" s="15"/>
      <c r="I466" s="15">
        <v>0</v>
      </c>
      <c r="J466" s="15">
        <v>87513734.649999991</v>
      </c>
      <c r="K466" s="15">
        <v>0</v>
      </c>
      <c r="L466" s="15">
        <v>322766397.86999983</v>
      </c>
      <c r="M466" s="15">
        <v>0</v>
      </c>
      <c r="N466" s="15">
        <v>107271744.92999998</v>
      </c>
      <c r="O466" s="15">
        <v>0</v>
      </c>
      <c r="P466" s="15">
        <v>0</v>
      </c>
      <c r="Q466" s="15">
        <v>0</v>
      </c>
    </row>
    <row r="467" spans="1:17" hidden="1" x14ac:dyDescent="0.25">
      <c r="A467" s="15" t="s">
        <v>74</v>
      </c>
      <c r="B467" s="15" t="s">
        <v>438</v>
      </c>
      <c r="C467" s="15" t="s">
        <v>439</v>
      </c>
      <c r="D467" s="15" t="s">
        <v>440</v>
      </c>
      <c r="E467" s="15" t="s">
        <v>450</v>
      </c>
      <c r="F467" s="15"/>
      <c r="G467" s="15"/>
      <c r="H467" s="15"/>
      <c r="I467" s="15">
        <v>0</v>
      </c>
      <c r="J467" s="15">
        <v>72973257.709999979</v>
      </c>
      <c r="K467" s="15">
        <v>1069912.8400000001</v>
      </c>
      <c r="L467" s="15">
        <v>199166366.24000001</v>
      </c>
      <c r="M467" s="15">
        <v>0</v>
      </c>
      <c r="N467" s="15">
        <v>151412020.53999996</v>
      </c>
      <c r="O467" s="15">
        <v>0</v>
      </c>
      <c r="P467" s="15">
        <v>0</v>
      </c>
      <c r="Q467" s="15">
        <v>0</v>
      </c>
    </row>
    <row r="468" spans="1:17" hidden="1" x14ac:dyDescent="0.25">
      <c r="A468" s="15" t="s">
        <v>74</v>
      </c>
      <c r="B468" s="15" t="s">
        <v>438</v>
      </c>
      <c r="C468" s="15" t="s">
        <v>439</v>
      </c>
      <c r="D468" s="15" t="s">
        <v>440</v>
      </c>
      <c r="E468" s="15" t="s">
        <v>421</v>
      </c>
      <c r="F468" s="15">
        <v>1</v>
      </c>
      <c r="G468" s="15"/>
      <c r="H468" s="15" t="s">
        <v>343</v>
      </c>
      <c r="I468" s="15">
        <v>0</v>
      </c>
      <c r="J468" s="15">
        <v>272667604.43000001</v>
      </c>
      <c r="K468" s="15">
        <v>0</v>
      </c>
      <c r="L468" s="15">
        <v>71722248.539999992</v>
      </c>
      <c r="M468" s="15">
        <v>129002635.05000092</v>
      </c>
      <c r="N468" s="15">
        <v>0</v>
      </c>
      <c r="O468" s="15">
        <v>19381660.741299998</v>
      </c>
      <c r="P468" s="15">
        <v>0</v>
      </c>
      <c r="Q468" s="15">
        <v>0</v>
      </c>
    </row>
    <row r="469" spans="1:17" hidden="1" x14ac:dyDescent="0.25">
      <c r="A469" s="15" t="s">
        <v>74</v>
      </c>
      <c r="B469" s="15" t="s">
        <v>438</v>
      </c>
      <c r="C469" s="15" t="s">
        <v>439</v>
      </c>
      <c r="D469" s="15" t="s">
        <v>451</v>
      </c>
      <c r="E469" s="15" t="s">
        <v>450</v>
      </c>
      <c r="F469" s="15"/>
      <c r="G469" s="15"/>
      <c r="H469" s="15"/>
      <c r="I469" s="15">
        <v>0</v>
      </c>
      <c r="J469" s="15">
        <v>0</v>
      </c>
      <c r="K469" s="15">
        <v>0</v>
      </c>
      <c r="L469" s="15">
        <v>25022.84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</row>
    <row r="470" spans="1:17" hidden="1" x14ac:dyDescent="0.25">
      <c r="A470" s="15" t="s">
        <v>74</v>
      </c>
      <c r="B470" s="15" t="s">
        <v>438</v>
      </c>
      <c r="C470" s="15" t="s">
        <v>439</v>
      </c>
      <c r="D470" s="15" t="s">
        <v>451</v>
      </c>
      <c r="E470" s="15" t="s">
        <v>421</v>
      </c>
      <c r="F470" s="15"/>
      <c r="G470" s="15"/>
      <c r="H470" s="15" t="s">
        <v>343</v>
      </c>
      <c r="I470" s="15">
        <v>0</v>
      </c>
      <c r="J470" s="15">
        <v>180123255.57999998</v>
      </c>
      <c r="K470" s="15">
        <v>0</v>
      </c>
      <c r="L470" s="15">
        <v>105165021.79999992</v>
      </c>
      <c r="M470" s="15">
        <v>149308281.99999991</v>
      </c>
      <c r="N470" s="15">
        <v>17840405.869999994</v>
      </c>
      <c r="O470" s="15">
        <v>107753024.60259996</v>
      </c>
      <c r="P470" s="15">
        <v>0</v>
      </c>
      <c r="Q470" s="15">
        <v>0</v>
      </c>
    </row>
    <row r="471" spans="1:17" hidden="1" x14ac:dyDescent="0.25">
      <c r="A471" s="15" t="s">
        <v>74</v>
      </c>
      <c r="B471" s="15" t="s">
        <v>438</v>
      </c>
      <c r="C471" s="15" t="s">
        <v>447</v>
      </c>
      <c r="D471" s="15" t="s">
        <v>448</v>
      </c>
      <c r="E471" s="15" t="s">
        <v>450</v>
      </c>
      <c r="F471" s="15"/>
      <c r="G471" s="15"/>
      <c r="H471" s="15"/>
      <c r="I471" s="15">
        <v>0</v>
      </c>
      <c r="J471" s="15">
        <v>0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39536460.18</v>
      </c>
    </row>
    <row r="472" spans="1:17" hidden="1" x14ac:dyDescent="0.25">
      <c r="A472" s="15" t="s">
        <v>74</v>
      </c>
      <c r="B472" s="15" t="s">
        <v>438</v>
      </c>
      <c r="C472" s="15" t="s">
        <v>447</v>
      </c>
      <c r="D472" s="15" t="s">
        <v>448</v>
      </c>
      <c r="E472" s="15" t="s">
        <v>421</v>
      </c>
      <c r="F472" s="15"/>
      <c r="G472" s="15"/>
      <c r="H472" s="15"/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170304571.24000007</v>
      </c>
    </row>
    <row r="473" spans="1:17" hidden="1" x14ac:dyDescent="0.25">
      <c r="A473" s="15" t="s">
        <v>460</v>
      </c>
      <c r="B473" s="15" t="s">
        <v>438</v>
      </c>
      <c r="C473" s="15" t="s">
        <v>439</v>
      </c>
      <c r="D473" s="15" t="s">
        <v>440</v>
      </c>
      <c r="E473" s="15" t="s">
        <v>450</v>
      </c>
      <c r="F473" s="15"/>
      <c r="G473" s="15"/>
      <c r="H473" s="15"/>
      <c r="I473" s="15">
        <v>0</v>
      </c>
      <c r="J473" s="15">
        <v>0</v>
      </c>
      <c r="K473" s="15">
        <v>0</v>
      </c>
      <c r="L473" s="15">
        <v>1908716.2599999998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</row>
    <row r="474" spans="1:17" hidden="1" x14ac:dyDescent="0.25">
      <c r="A474" s="15" t="s">
        <v>460</v>
      </c>
      <c r="B474" s="15" t="s">
        <v>438</v>
      </c>
      <c r="C474" s="15" t="s">
        <v>439</v>
      </c>
      <c r="D474" s="15" t="s">
        <v>440</v>
      </c>
      <c r="E474" s="15" t="s">
        <v>421</v>
      </c>
      <c r="F474" s="15"/>
      <c r="G474" s="15"/>
      <c r="H474" s="15"/>
      <c r="I474" s="15">
        <v>0</v>
      </c>
      <c r="J474" s="15">
        <v>0</v>
      </c>
      <c r="K474" s="15">
        <v>0</v>
      </c>
      <c r="L474" s="15">
        <v>216311.05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</row>
    <row r="475" spans="1:17" hidden="1" x14ac:dyDescent="0.25">
      <c r="A475" s="15" t="s">
        <v>81</v>
      </c>
      <c r="B475" s="15" t="s">
        <v>438</v>
      </c>
      <c r="C475" s="15" t="s">
        <v>453</v>
      </c>
      <c r="D475" s="15" t="s">
        <v>461</v>
      </c>
      <c r="E475" s="15"/>
      <c r="F475" s="15"/>
      <c r="G475" s="15"/>
      <c r="H475" s="15"/>
      <c r="I475" s="15">
        <v>0</v>
      </c>
      <c r="J475" s="15">
        <v>0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13117256.510000009</v>
      </c>
      <c r="Q475" s="15">
        <v>0</v>
      </c>
    </row>
    <row r="476" spans="1:17" hidden="1" x14ac:dyDescent="0.25">
      <c r="A476" s="15" t="s">
        <v>87</v>
      </c>
      <c r="B476" s="15" t="s">
        <v>438</v>
      </c>
      <c r="C476" s="15" t="s">
        <v>453</v>
      </c>
      <c r="D476" s="15" t="s">
        <v>461</v>
      </c>
      <c r="E476" s="15"/>
      <c r="F476" s="15"/>
      <c r="G476" s="15"/>
      <c r="H476" s="15"/>
      <c r="I476" s="15">
        <v>0</v>
      </c>
      <c r="J476" s="15">
        <v>0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44187465.560000092</v>
      </c>
      <c r="Q476" s="15">
        <v>0</v>
      </c>
    </row>
    <row r="477" spans="1:17" hidden="1" x14ac:dyDescent="0.25">
      <c r="A477" s="15" t="s">
        <v>449</v>
      </c>
      <c r="B477" s="15" t="s">
        <v>438</v>
      </c>
      <c r="C477" s="15" t="s">
        <v>453</v>
      </c>
      <c r="D477" s="15" t="s">
        <v>461</v>
      </c>
      <c r="E477" s="15"/>
      <c r="F477" s="15"/>
      <c r="G477" s="15"/>
      <c r="H477" s="15"/>
      <c r="I477" s="15">
        <v>0</v>
      </c>
      <c r="J477" s="15">
        <v>0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12714006.299999991</v>
      </c>
      <c r="Q477" s="15">
        <v>0</v>
      </c>
    </row>
    <row r="478" spans="1:17" hidden="1" x14ac:dyDescent="0.25">
      <c r="A478" s="15" t="s">
        <v>425</v>
      </c>
      <c r="B478" s="15" t="s">
        <v>438</v>
      </c>
      <c r="C478" s="15" t="s">
        <v>453</v>
      </c>
      <c r="D478" s="15" t="s">
        <v>461</v>
      </c>
      <c r="E478" s="15"/>
      <c r="F478" s="15"/>
      <c r="G478" s="15"/>
      <c r="H478" s="15"/>
      <c r="I478" s="15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121867232.13000081</v>
      </c>
      <c r="Q478" s="15">
        <v>0</v>
      </c>
    </row>
    <row r="479" spans="1:17" hidden="1" x14ac:dyDescent="0.25">
      <c r="A479" s="15" t="s">
        <v>90</v>
      </c>
      <c r="B479" s="15" t="s">
        <v>438</v>
      </c>
      <c r="C479" s="15" t="s">
        <v>453</v>
      </c>
      <c r="D479" s="15" t="s">
        <v>461</v>
      </c>
      <c r="E479" s="15"/>
      <c r="F479" s="15"/>
      <c r="G479" s="15"/>
      <c r="H479" s="15"/>
      <c r="I479" s="15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304655540.56999564</v>
      </c>
      <c r="Q479" s="15">
        <v>0</v>
      </c>
    </row>
    <row r="480" spans="1:17" hidden="1" x14ac:dyDescent="0.25">
      <c r="A480" s="15" t="s">
        <v>431</v>
      </c>
      <c r="B480" s="15" t="s">
        <v>438</v>
      </c>
      <c r="C480" s="15" t="s">
        <v>453</v>
      </c>
      <c r="D480" s="15" t="s">
        <v>461</v>
      </c>
      <c r="E480" s="15"/>
      <c r="F480" s="15"/>
      <c r="G480" s="15"/>
      <c r="H480" s="15"/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201113898.94999927</v>
      </c>
      <c r="Q480" s="15">
        <v>0</v>
      </c>
    </row>
    <row r="481" spans="1:17" hidden="1" x14ac:dyDescent="0.25">
      <c r="A481" s="15" t="s">
        <v>458</v>
      </c>
      <c r="B481" s="15" t="s">
        <v>438</v>
      </c>
      <c r="C481" s="15" t="s">
        <v>453</v>
      </c>
      <c r="D481" s="15" t="s">
        <v>461</v>
      </c>
      <c r="E481" s="15"/>
      <c r="F481" s="15"/>
      <c r="G481" s="15"/>
      <c r="H481" s="15"/>
      <c r="I481" s="15">
        <v>0</v>
      </c>
      <c r="J481" s="15">
        <v>0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10295973.709999979</v>
      </c>
      <c r="Q481" s="15">
        <v>0</v>
      </c>
    </row>
    <row r="482" spans="1:17" hidden="1" x14ac:dyDescent="0.25">
      <c r="A482" s="15" t="s">
        <v>74</v>
      </c>
      <c r="B482" s="15" t="s">
        <v>438</v>
      </c>
      <c r="C482" s="15" t="s">
        <v>453</v>
      </c>
      <c r="D482" s="15" t="s">
        <v>461</v>
      </c>
      <c r="E482" s="15"/>
      <c r="F482" s="15"/>
      <c r="G482" s="15"/>
      <c r="H482" s="15"/>
      <c r="I482" s="15">
        <v>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278310917.04999495</v>
      </c>
      <c r="Q482" s="15">
        <v>0</v>
      </c>
    </row>
    <row r="483" spans="1:17" hidden="1" x14ac:dyDescent="0.25">
      <c r="A483" s="15" t="s">
        <v>81</v>
      </c>
      <c r="B483" s="15" t="s">
        <v>438</v>
      </c>
      <c r="C483" s="15" t="s">
        <v>462</v>
      </c>
      <c r="D483" s="15" t="s">
        <v>463</v>
      </c>
      <c r="E483" s="15" t="s">
        <v>421</v>
      </c>
      <c r="F483" s="15"/>
      <c r="G483" s="15"/>
      <c r="H483" s="15"/>
      <c r="I483" s="15">
        <v>27361099.270000003</v>
      </c>
      <c r="J483" s="15">
        <v>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37125393.990000002</v>
      </c>
    </row>
    <row r="484" spans="1:17" hidden="1" x14ac:dyDescent="0.25">
      <c r="A484" s="15" t="s">
        <v>87</v>
      </c>
      <c r="B484" s="15" t="s">
        <v>438</v>
      </c>
      <c r="C484" s="15" t="s">
        <v>462</v>
      </c>
      <c r="D484" s="15" t="s">
        <v>463</v>
      </c>
      <c r="E484" s="15" t="s">
        <v>424</v>
      </c>
      <c r="F484" s="15"/>
      <c r="G484" s="15"/>
      <c r="H484" s="15"/>
      <c r="I484" s="15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24916398.850000013</v>
      </c>
    </row>
    <row r="485" spans="1:17" hidden="1" x14ac:dyDescent="0.25">
      <c r="A485" s="15" t="s">
        <v>449</v>
      </c>
      <c r="B485" s="15" t="s">
        <v>438</v>
      </c>
      <c r="C485" s="15" t="s">
        <v>462</v>
      </c>
      <c r="D485" s="15" t="s">
        <v>463</v>
      </c>
      <c r="E485" s="15" t="s">
        <v>421</v>
      </c>
      <c r="F485" s="15"/>
      <c r="G485" s="15"/>
      <c r="H485" s="15"/>
      <c r="I485" s="15">
        <v>19653666.590000004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</row>
    <row r="486" spans="1:17" hidden="1" x14ac:dyDescent="0.25">
      <c r="A486" s="15" t="s">
        <v>425</v>
      </c>
      <c r="B486" s="15" t="s">
        <v>438</v>
      </c>
      <c r="C486" s="15" t="s">
        <v>462</v>
      </c>
      <c r="D486" s="15" t="s">
        <v>463</v>
      </c>
      <c r="E486" s="15" t="s">
        <v>424</v>
      </c>
      <c r="F486" s="15"/>
      <c r="G486" s="15"/>
      <c r="H486" s="15"/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16294318.680000011</v>
      </c>
    </row>
    <row r="487" spans="1:17" hidden="1" x14ac:dyDescent="0.25">
      <c r="A487" s="15" t="s">
        <v>90</v>
      </c>
      <c r="B487" s="15" t="s">
        <v>438</v>
      </c>
      <c r="C487" s="15" t="s">
        <v>462</v>
      </c>
      <c r="D487" s="15" t="s">
        <v>463</v>
      </c>
      <c r="E487" s="15" t="s">
        <v>424</v>
      </c>
      <c r="F487" s="15"/>
      <c r="G487" s="15"/>
      <c r="H487" s="15"/>
      <c r="I487" s="15">
        <v>18110606.940000001</v>
      </c>
      <c r="J487" s="15">
        <v>0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115017032.07000068</v>
      </c>
    </row>
    <row r="488" spans="1:17" hidden="1" x14ac:dyDescent="0.25">
      <c r="A488" s="15" t="s">
        <v>427</v>
      </c>
      <c r="B488" s="15" t="s">
        <v>438</v>
      </c>
      <c r="C488" s="15" t="s">
        <v>462</v>
      </c>
      <c r="D488" s="15" t="s">
        <v>463</v>
      </c>
      <c r="E488" s="15" t="s">
        <v>421</v>
      </c>
      <c r="F488" s="15"/>
      <c r="G488" s="15"/>
      <c r="H488" s="15"/>
      <c r="I488" s="15">
        <v>51890853.249999955</v>
      </c>
      <c r="J488" s="15">
        <v>0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</row>
    <row r="489" spans="1:17" hidden="1" x14ac:dyDescent="0.25">
      <c r="A489" s="15" t="s">
        <v>66</v>
      </c>
      <c r="B489" s="15" t="s">
        <v>438</v>
      </c>
      <c r="C489" s="15" t="s">
        <v>462</v>
      </c>
      <c r="D489" s="15" t="s">
        <v>463</v>
      </c>
      <c r="E489" s="15" t="s">
        <v>421</v>
      </c>
      <c r="F489" s="15"/>
      <c r="G489" s="15"/>
      <c r="H489" s="15"/>
      <c r="I489" s="15">
        <v>18132123.190000005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</row>
    <row r="490" spans="1:17" hidden="1" x14ac:dyDescent="0.25">
      <c r="A490" s="15" t="s">
        <v>431</v>
      </c>
      <c r="B490" s="15" t="s">
        <v>438</v>
      </c>
      <c r="C490" s="15" t="s">
        <v>462</v>
      </c>
      <c r="D490" s="15" t="s">
        <v>463</v>
      </c>
      <c r="E490" s="15" t="s">
        <v>450</v>
      </c>
      <c r="F490" s="15"/>
      <c r="G490" s="15">
        <v>1</v>
      </c>
      <c r="H490" s="15"/>
      <c r="I490" s="15">
        <v>411669864.01999992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88027646.390002668</v>
      </c>
    </row>
    <row r="491" spans="1:17" hidden="1" x14ac:dyDescent="0.25">
      <c r="A491" s="15" t="s">
        <v>458</v>
      </c>
      <c r="B491" s="15" t="s">
        <v>438</v>
      </c>
      <c r="C491" s="15" t="s">
        <v>462</v>
      </c>
      <c r="D491" s="15" t="s">
        <v>463</v>
      </c>
      <c r="E491" s="15" t="s">
        <v>442</v>
      </c>
      <c r="F491" s="15"/>
      <c r="G491" s="15"/>
      <c r="H491" s="15"/>
      <c r="I491" s="15">
        <v>41179517.719999976</v>
      </c>
      <c r="J491" s="15">
        <v>0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</row>
    <row r="492" spans="1:17" hidden="1" x14ac:dyDescent="0.25">
      <c r="A492" s="15" t="s">
        <v>65</v>
      </c>
      <c r="B492" s="15" t="s">
        <v>438</v>
      </c>
      <c r="C492" s="15" t="s">
        <v>462</v>
      </c>
      <c r="D492" s="15" t="s">
        <v>463</v>
      </c>
      <c r="E492" s="15" t="s">
        <v>421</v>
      </c>
      <c r="F492" s="15"/>
      <c r="G492" s="15"/>
      <c r="H492" s="15"/>
      <c r="I492" s="15">
        <v>107271744.92999998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57027462.479999512</v>
      </c>
    </row>
    <row r="493" spans="1:17" hidden="1" x14ac:dyDescent="0.25">
      <c r="A493" s="15" t="s">
        <v>74</v>
      </c>
      <c r="B493" s="15" t="s">
        <v>438</v>
      </c>
      <c r="C493" s="15" t="s">
        <v>462</v>
      </c>
      <c r="D493" s="15" t="s">
        <v>463</v>
      </c>
      <c r="E493" s="15" t="s">
        <v>450</v>
      </c>
      <c r="F493" s="15"/>
      <c r="G493" s="15"/>
      <c r="H493" s="15"/>
      <c r="I493" s="15">
        <v>151412020.53999996</v>
      </c>
      <c r="J493" s="15">
        <v>0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33436797.529999971</v>
      </c>
    </row>
    <row r="494" spans="1:17" hidden="1" x14ac:dyDescent="0.25">
      <c r="A494" s="15" t="s">
        <v>74</v>
      </c>
      <c r="B494" s="15" t="s">
        <v>438</v>
      </c>
      <c r="C494" s="15" t="s">
        <v>462</v>
      </c>
      <c r="D494" s="15" t="s">
        <v>463</v>
      </c>
      <c r="E494" s="15" t="s">
        <v>421</v>
      </c>
      <c r="F494" s="15"/>
      <c r="G494" s="15"/>
      <c r="H494" s="15"/>
      <c r="I494" s="15">
        <v>17840405.869999994</v>
      </c>
      <c r="J494" s="15">
        <v>0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56020149.88000001</v>
      </c>
    </row>
    <row r="495" spans="1:17" hidden="1" x14ac:dyDescent="0.25">
      <c r="A495" s="465" t="s">
        <v>420</v>
      </c>
      <c r="B495" s="15" t="s">
        <v>464</v>
      </c>
      <c r="C495" s="15" t="s">
        <v>465</v>
      </c>
      <c r="D495" s="15" t="s">
        <v>466</v>
      </c>
      <c r="E495" s="15"/>
      <c r="F495" s="15"/>
      <c r="G495" s="15"/>
      <c r="H495" s="15" t="s">
        <v>343</v>
      </c>
      <c r="I495" s="15">
        <v>0</v>
      </c>
      <c r="J495" s="15">
        <v>0</v>
      </c>
      <c r="K495" s="15">
        <v>0</v>
      </c>
      <c r="L495" s="15">
        <v>0</v>
      </c>
      <c r="M495" s="15">
        <v>26878553.780000001</v>
      </c>
      <c r="N495" s="15">
        <v>0</v>
      </c>
      <c r="O495" s="15">
        <v>16195212.219508626</v>
      </c>
      <c r="P495" s="15">
        <v>0</v>
      </c>
      <c r="Q495" s="15"/>
    </row>
    <row r="496" spans="1:17" hidden="1" x14ac:dyDescent="0.25">
      <c r="A496" s="465" t="s">
        <v>420</v>
      </c>
      <c r="B496" s="15" t="s">
        <v>464</v>
      </c>
      <c r="C496" s="15" t="s">
        <v>465</v>
      </c>
      <c r="D496" s="15" t="s">
        <v>467</v>
      </c>
      <c r="E496" s="15"/>
      <c r="F496" s="15"/>
      <c r="G496" s="15"/>
      <c r="H496" s="15" t="s">
        <v>343</v>
      </c>
      <c r="I496" s="15">
        <v>0</v>
      </c>
      <c r="J496" s="15">
        <v>0</v>
      </c>
      <c r="K496" s="15">
        <v>0</v>
      </c>
      <c r="L496" s="15">
        <v>0</v>
      </c>
      <c r="M496" s="15">
        <v>23322433.139999986</v>
      </c>
      <c r="N496" s="15">
        <v>0</v>
      </c>
      <c r="O496" s="15">
        <v>13664666.418945458</v>
      </c>
      <c r="P496" s="15">
        <v>0</v>
      </c>
      <c r="Q496" s="15"/>
    </row>
    <row r="497" spans="1:17" hidden="1" x14ac:dyDescent="0.25">
      <c r="A497" s="465" t="s">
        <v>383</v>
      </c>
      <c r="B497" s="15" t="s">
        <v>464</v>
      </c>
      <c r="C497" s="15" t="s">
        <v>465</v>
      </c>
      <c r="D497" s="15" t="s">
        <v>468</v>
      </c>
      <c r="E497" s="15"/>
      <c r="F497" s="15"/>
      <c r="G497" s="15"/>
      <c r="H497" s="15" t="s">
        <v>343</v>
      </c>
      <c r="I497" s="15">
        <v>0</v>
      </c>
      <c r="J497" s="15">
        <v>0</v>
      </c>
      <c r="K497" s="15">
        <v>0</v>
      </c>
      <c r="L497" s="15">
        <v>0</v>
      </c>
      <c r="M497" s="15">
        <v>332413436.29000008</v>
      </c>
      <c r="N497" s="15">
        <v>0</v>
      </c>
      <c r="O497" s="15">
        <v>174616680.01398039</v>
      </c>
      <c r="P497" s="15">
        <v>0</v>
      </c>
      <c r="Q497" s="15"/>
    </row>
    <row r="498" spans="1:17" hidden="1" x14ac:dyDescent="0.25">
      <c r="A498" s="465" t="s">
        <v>383</v>
      </c>
      <c r="B498" s="15" t="s">
        <v>464</v>
      </c>
      <c r="C498" s="15" t="s">
        <v>465</v>
      </c>
      <c r="D498" s="15" t="s">
        <v>466</v>
      </c>
      <c r="E498" s="15"/>
      <c r="F498" s="15"/>
      <c r="G498" s="15"/>
      <c r="H498" s="15" t="s">
        <v>343</v>
      </c>
      <c r="I498" s="15">
        <v>0</v>
      </c>
      <c r="J498" s="15">
        <v>0</v>
      </c>
      <c r="K498" s="15">
        <v>0</v>
      </c>
      <c r="L498" s="15">
        <v>0</v>
      </c>
      <c r="M498" s="15">
        <v>240333341.74999815</v>
      </c>
      <c r="N498" s="15">
        <v>0</v>
      </c>
      <c r="O498" s="15">
        <v>144155161.36722988</v>
      </c>
      <c r="P498" s="15">
        <v>0</v>
      </c>
      <c r="Q498" s="15"/>
    </row>
    <row r="499" spans="1:17" hidden="1" x14ac:dyDescent="0.25">
      <c r="A499" s="465" t="s">
        <v>383</v>
      </c>
      <c r="B499" s="15" t="s">
        <v>464</v>
      </c>
      <c r="C499" s="15" t="s">
        <v>465</v>
      </c>
      <c r="D499" s="15" t="s">
        <v>467</v>
      </c>
      <c r="E499" s="15"/>
      <c r="F499" s="15"/>
      <c r="G499" s="15"/>
      <c r="H499" s="15" t="s">
        <v>343</v>
      </c>
      <c r="I499" s="15">
        <v>0</v>
      </c>
      <c r="J499" s="15">
        <v>0</v>
      </c>
      <c r="K499" s="15">
        <v>0</v>
      </c>
      <c r="L499" s="15">
        <v>0</v>
      </c>
      <c r="M499" s="15">
        <v>397528163.22705197</v>
      </c>
      <c r="N499" s="15">
        <v>0</v>
      </c>
      <c r="O499" s="15">
        <v>214707919.45257866</v>
      </c>
      <c r="P499" s="15">
        <v>0</v>
      </c>
      <c r="Q499" s="15"/>
    </row>
    <row r="500" spans="1:17" hidden="1" x14ac:dyDescent="0.25">
      <c r="A500" s="465" t="s">
        <v>344</v>
      </c>
      <c r="B500" s="15" t="s">
        <v>464</v>
      </c>
      <c r="C500" s="15" t="s">
        <v>465</v>
      </c>
      <c r="D500" s="15" t="s">
        <v>468</v>
      </c>
      <c r="E500" s="15"/>
      <c r="F500" s="15"/>
      <c r="G500" s="15"/>
      <c r="H500" s="15" t="s">
        <v>343</v>
      </c>
      <c r="I500" s="15">
        <v>0</v>
      </c>
      <c r="J500" s="15">
        <v>0</v>
      </c>
      <c r="K500" s="15">
        <v>0</v>
      </c>
      <c r="L500" s="15">
        <v>0</v>
      </c>
      <c r="M500" s="15">
        <v>304780849.35999978</v>
      </c>
      <c r="N500" s="15">
        <v>0</v>
      </c>
      <c r="O500" s="15">
        <v>256886599.36924022</v>
      </c>
      <c r="P500" s="15">
        <v>0</v>
      </c>
      <c r="Q500" s="15"/>
    </row>
    <row r="501" spans="1:17" hidden="1" x14ac:dyDescent="0.25">
      <c r="A501" s="465" t="s">
        <v>344</v>
      </c>
      <c r="B501" s="15" t="s">
        <v>464</v>
      </c>
      <c r="C501" s="15" t="s">
        <v>465</v>
      </c>
      <c r="D501" s="15" t="s">
        <v>466</v>
      </c>
      <c r="E501" s="15"/>
      <c r="F501" s="15"/>
      <c r="G501" s="15"/>
      <c r="H501" s="15" t="s">
        <v>343</v>
      </c>
      <c r="I501" s="15">
        <v>0</v>
      </c>
      <c r="J501" s="15">
        <v>0</v>
      </c>
      <c r="K501" s="15">
        <v>0</v>
      </c>
      <c r="L501" s="15">
        <v>0</v>
      </c>
      <c r="M501" s="15">
        <v>495952707.25997794</v>
      </c>
      <c r="N501" s="15">
        <v>0</v>
      </c>
      <c r="O501" s="15">
        <v>364637232.31962079</v>
      </c>
      <c r="P501" s="15">
        <v>0</v>
      </c>
      <c r="Q501" s="15"/>
    </row>
    <row r="502" spans="1:17" hidden="1" x14ac:dyDescent="0.25">
      <c r="A502" s="465" t="s">
        <v>344</v>
      </c>
      <c r="B502" s="15" t="s">
        <v>464</v>
      </c>
      <c r="C502" s="15" t="s">
        <v>465</v>
      </c>
      <c r="D502" s="15" t="s">
        <v>467</v>
      </c>
      <c r="E502" s="15"/>
      <c r="F502" s="15"/>
      <c r="G502" s="15"/>
      <c r="H502" s="15" t="s">
        <v>343</v>
      </c>
      <c r="I502" s="15">
        <v>0</v>
      </c>
      <c r="J502" s="15">
        <v>0</v>
      </c>
      <c r="K502" s="15">
        <v>0</v>
      </c>
      <c r="L502" s="15">
        <v>0</v>
      </c>
      <c r="M502" s="15">
        <v>756592001.80682433</v>
      </c>
      <c r="N502" s="15">
        <v>0</v>
      </c>
      <c r="O502" s="15">
        <v>439291285.33328962</v>
      </c>
      <c r="P502" s="15">
        <v>0</v>
      </c>
      <c r="Q502" s="15"/>
    </row>
    <row r="503" spans="1:17" hidden="1" x14ac:dyDescent="0.25">
      <c r="A503" s="465" t="s">
        <v>135</v>
      </c>
      <c r="B503" s="15" t="s">
        <v>464</v>
      </c>
      <c r="C503" s="15" t="s">
        <v>465</v>
      </c>
      <c r="D503" s="15" t="s">
        <v>468</v>
      </c>
      <c r="E503" s="15"/>
      <c r="F503" s="15"/>
      <c r="G503" s="15"/>
      <c r="H503" s="15" t="s">
        <v>343</v>
      </c>
      <c r="I503" s="15">
        <v>0</v>
      </c>
      <c r="J503" s="15">
        <v>0</v>
      </c>
      <c r="K503" s="15">
        <v>0</v>
      </c>
      <c r="L503" s="15">
        <v>0</v>
      </c>
      <c r="M503" s="15">
        <v>495583291.13000023</v>
      </c>
      <c r="N503" s="15">
        <v>0</v>
      </c>
      <c r="O503" s="15">
        <v>376762477.31162196</v>
      </c>
      <c r="P503" s="15">
        <v>0</v>
      </c>
      <c r="Q503" s="15"/>
    </row>
    <row r="504" spans="1:17" hidden="1" x14ac:dyDescent="0.25">
      <c r="A504" s="465" t="s">
        <v>135</v>
      </c>
      <c r="B504" s="15" t="s">
        <v>464</v>
      </c>
      <c r="C504" s="15" t="s">
        <v>465</v>
      </c>
      <c r="D504" s="15" t="s">
        <v>466</v>
      </c>
      <c r="E504" s="15"/>
      <c r="F504" s="15"/>
      <c r="G504" s="15"/>
      <c r="H504" s="15" t="s">
        <v>343</v>
      </c>
      <c r="I504" s="15">
        <v>0</v>
      </c>
      <c r="J504" s="15">
        <v>0</v>
      </c>
      <c r="K504" s="15">
        <v>0</v>
      </c>
      <c r="L504" s="15">
        <v>0</v>
      </c>
      <c r="M504" s="15">
        <v>412164553.66998988</v>
      </c>
      <c r="N504" s="15">
        <v>0</v>
      </c>
      <c r="O504" s="15">
        <v>162136070.93284538</v>
      </c>
      <c r="P504" s="15">
        <v>0</v>
      </c>
      <c r="Q504" s="15"/>
    </row>
    <row r="505" spans="1:17" hidden="1" x14ac:dyDescent="0.25">
      <c r="A505" s="465" t="s">
        <v>135</v>
      </c>
      <c r="B505" s="15" t="s">
        <v>464</v>
      </c>
      <c r="C505" s="15" t="s">
        <v>465</v>
      </c>
      <c r="D505" s="15" t="s">
        <v>467</v>
      </c>
      <c r="E505" s="15"/>
      <c r="F505" s="15"/>
      <c r="G505" s="15"/>
      <c r="H505" s="15" t="s">
        <v>343</v>
      </c>
      <c r="I505" s="15">
        <v>0</v>
      </c>
      <c r="J505" s="15">
        <v>0</v>
      </c>
      <c r="K505" s="15">
        <v>0</v>
      </c>
      <c r="L505" s="15">
        <v>0</v>
      </c>
      <c r="M505" s="15">
        <v>345434227.77508652</v>
      </c>
      <c r="N505" s="15">
        <v>0</v>
      </c>
      <c r="O505" s="15">
        <v>109997293.42112722</v>
      </c>
      <c r="P505" s="15">
        <v>0</v>
      </c>
      <c r="Q505" s="15"/>
    </row>
    <row r="506" spans="1:17" hidden="1" x14ac:dyDescent="0.25">
      <c r="A506" s="465" t="s">
        <v>127</v>
      </c>
      <c r="B506" s="15" t="s">
        <v>464</v>
      </c>
      <c r="C506" s="15" t="s">
        <v>465</v>
      </c>
      <c r="D506" s="15" t="s">
        <v>468</v>
      </c>
      <c r="E506" s="15"/>
      <c r="F506" s="15"/>
      <c r="G506" s="15"/>
      <c r="H506" s="15" t="s">
        <v>343</v>
      </c>
      <c r="I506" s="15">
        <v>0</v>
      </c>
      <c r="J506" s="15">
        <v>0</v>
      </c>
      <c r="K506" s="15">
        <v>0</v>
      </c>
      <c r="L506" s="15">
        <v>0</v>
      </c>
      <c r="M506" s="15">
        <v>432450294.59999979</v>
      </c>
      <c r="N506" s="15">
        <v>0</v>
      </c>
      <c r="O506" s="15">
        <v>399355093.71045363</v>
      </c>
      <c r="P506" s="15">
        <v>0</v>
      </c>
      <c r="Q506" s="15"/>
    </row>
    <row r="507" spans="1:17" hidden="1" x14ac:dyDescent="0.25">
      <c r="A507" s="465" t="s">
        <v>127</v>
      </c>
      <c r="B507" s="15" t="s">
        <v>464</v>
      </c>
      <c r="C507" s="15" t="s">
        <v>465</v>
      </c>
      <c r="D507" s="15" t="s">
        <v>466</v>
      </c>
      <c r="E507" s="15"/>
      <c r="F507" s="15"/>
      <c r="G507" s="15"/>
      <c r="H507" s="15" t="s">
        <v>343</v>
      </c>
      <c r="I507" s="15">
        <v>0</v>
      </c>
      <c r="J507" s="15">
        <v>0</v>
      </c>
      <c r="K507" s="15">
        <v>0</v>
      </c>
      <c r="L507" s="15">
        <v>0</v>
      </c>
      <c r="M507" s="15">
        <v>720357330.67994857</v>
      </c>
      <c r="N507" s="15">
        <v>0</v>
      </c>
      <c r="O507" s="15">
        <v>457684038.42423284</v>
      </c>
      <c r="P507" s="15">
        <v>0</v>
      </c>
      <c r="Q507" s="15"/>
    </row>
    <row r="508" spans="1:17" hidden="1" x14ac:dyDescent="0.25">
      <c r="A508" s="465" t="s">
        <v>127</v>
      </c>
      <c r="B508" s="15" t="s">
        <v>464</v>
      </c>
      <c r="C508" s="15" t="s">
        <v>465</v>
      </c>
      <c r="D508" s="15" t="s">
        <v>467</v>
      </c>
      <c r="E508" s="15"/>
      <c r="F508" s="15"/>
      <c r="G508" s="15"/>
      <c r="H508" s="15" t="s">
        <v>343</v>
      </c>
      <c r="I508" s="15">
        <v>0</v>
      </c>
      <c r="J508" s="15">
        <v>0</v>
      </c>
      <c r="K508" s="15">
        <v>0</v>
      </c>
      <c r="L508" s="15">
        <v>0</v>
      </c>
      <c r="M508" s="15">
        <v>678890851.25582337</v>
      </c>
      <c r="N508" s="15">
        <v>0</v>
      </c>
      <c r="O508" s="15">
        <v>317998083.97826719</v>
      </c>
      <c r="P508" s="15">
        <v>0</v>
      </c>
      <c r="Q508" s="15"/>
    </row>
    <row r="509" spans="1:17" hidden="1" x14ac:dyDescent="0.25">
      <c r="A509" s="465" t="s">
        <v>123</v>
      </c>
      <c r="B509" s="15" t="s">
        <v>464</v>
      </c>
      <c r="C509" s="15" t="s">
        <v>465</v>
      </c>
      <c r="D509" s="15" t="s">
        <v>468</v>
      </c>
      <c r="E509" s="15"/>
      <c r="F509" s="15"/>
      <c r="G509" s="15"/>
      <c r="H509" s="15" t="s">
        <v>343</v>
      </c>
      <c r="I509" s="15">
        <v>0</v>
      </c>
      <c r="J509" s="15">
        <v>0</v>
      </c>
      <c r="K509" s="15">
        <v>0</v>
      </c>
      <c r="L509" s="15">
        <v>0</v>
      </c>
      <c r="M509" s="15">
        <v>391069588.05999988</v>
      </c>
      <c r="N509" s="15">
        <v>0</v>
      </c>
      <c r="O509" s="15">
        <v>270622904.49078172</v>
      </c>
      <c r="P509" s="15">
        <v>0</v>
      </c>
      <c r="Q509" s="15"/>
    </row>
    <row r="510" spans="1:17" hidden="1" x14ac:dyDescent="0.25">
      <c r="A510" s="465" t="s">
        <v>123</v>
      </c>
      <c r="B510" s="15" t="s">
        <v>464</v>
      </c>
      <c r="C510" s="15" t="s">
        <v>465</v>
      </c>
      <c r="D510" s="15" t="s">
        <v>466</v>
      </c>
      <c r="E510" s="15"/>
      <c r="F510" s="15"/>
      <c r="G510" s="15"/>
      <c r="H510" s="15" t="s">
        <v>343</v>
      </c>
      <c r="I510" s="15">
        <v>0</v>
      </c>
      <c r="J510" s="15">
        <v>0</v>
      </c>
      <c r="K510" s="15">
        <v>0</v>
      </c>
      <c r="L510" s="15">
        <v>0</v>
      </c>
      <c r="M510" s="15">
        <v>405930565.79998654</v>
      </c>
      <c r="N510" s="15">
        <v>0</v>
      </c>
      <c r="O510" s="15">
        <v>239646523.62898597</v>
      </c>
      <c r="P510" s="15">
        <v>0</v>
      </c>
      <c r="Q510" s="15"/>
    </row>
    <row r="511" spans="1:17" hidden="1" x14ac:dyDescent="0.25">
      <c r="A511" s="465" t="s">
        <v>123</v>
      </c>
      <c r="B511" s="15" t="s">
        <v>464</v>
      </c>
      <c r="C511" s="15" t="s">
        <v>465</v>
      </c>
      <c r="D511" s="15" t="s">
        <v>467</v>
      </c>
      <c r="E511" s="15"/>
      <c r="F511" s="15"/>
      <c r="G511" s="15"/>
      <c r="H511" s="15" t="s">
        <v>343</v>
      </c>
      <c r="I511" s="15">
        <v>0</v>
      </c>
      <c r="J511" s="15">
        <v>0</v>
      </c>
      <c r="K511" s="15">
        <v>0</v>
      </c>
      <c r="L511" s="15">
        <v>0</v>
      </c>
      <c r="M511" s="15">
        <v>667958742.03163064</v>
      </c>
      <c r="N511" s="15">
        <v>0</v>
      </c>
      <c r="O511" s="15">
        <v>372755289.98508257</v>
      </c>
      <c r="P511" s="15">
        <v>0</v>
      </c>
      <c r="Q511" s="15"/>
    </row>
    <row r="512" spans="1:17" hidden="1" x14ac:dyDescent="0.25">
      <c r="A512" s="465" t="s">
        <v>133</v>
      </c>
      <c r="B512" s="15" t="s">
        <v>464</v>
      </c>
      <c r="C512" s="15" t="s">
        <v>465</v>
      </c>
      <c r="D512" s="15" t="s">
        <v>468</v>
      </c>
      <c r="E512" s="15"/>
      <c r="F512" s="15"/>
      <c r="G512" s="15"/>
      <c r="H512" s="15" t="s">
        <v>343</v>
      </c>
      <c r="I512" s="15">
        <v>0</v>
      </c>
      <c r="J512" s="15">
        <v>0</v>
      </c>
      <c r="K512" s="15">
        <v>0</v>
      </c>
      <c r="L512" s="15">
        <v>0</v>
      </c>
      <c r="M512" s="15">
        <v>193965373.34000003</v>
      </c>
      <c r="N512" s="15">
        <v>0</v>
      </c>
      <c r="O512" s="15">
        <v>92070658.783025026</v>
      </c>
      <c r="P512" s="15">
        <v>0</v>
      </c>
      <c r="Q512" s="15"/>
    </row>
    <row r="513" spans="1:17" hidden="1" x14ac:dyDescent="0.25">
      <c r="A513" s="465" t="s">
        <v>133</v>
      </c>
      <c r="B513" s="15" t="s">
        <v>464</v>
      </c>
      <c r="C513" s="15" t="s">
        <v>465</v>
      </c>
      <c r="D513" s="15" t="s">
        <v>466</v>
      </c>
      <c r="E513" s="15"/>
      <c r="F513" s="15"/>
      <c r="G513" s="15"/>
      <c r="H513" s="15" t="s">
        <v>343</v>
      </c>
      <c r="I513" s="15">
        <v>0</v>
      </c>
      <c r="J513" s="15">
        <v>0</v>
      </c>
      <c r="K513" s="15">
        <v>0</v>
      </c>
      <c r="L513" s="15">
        <v>0</v>
      </c>
      <c r="M513" s="15">
        <v>174182560.96000022</v>
      </c>
      <c r="N513" s="15">
        <v>0</v>
      </c>
      <c r="O513" s="15">
        <v>79420634.167939931</v>
      </c>
      <c r="P513" s="15">
        <v>0</v>
      </c>
      <c r="Q513" s="15"/>
    </row>
    <row r="514" spans="1:17" hidden="1" x14ac:dyDescent="0.25">
      <c r="A514" s="465" t="s">
        <v>133</v>
      </c>
      <c r="B514" s="15" t="s">
        <v>464</v>
      </c>
      <c r="C514" s="15" t="s">
        <v>465</v>
      </c>
      <c r="D514" s="15" t="s">
        <v>467</v>
      </c>
      <c r="E514" s="15"/>
      <c r="F514" s="15"/>
      <c r="G514" s="15"/>
      <c r="H514" s="15" t="s">
        <v>343</v>
      </c>
      <c r="I514" s="15">
        <v>0</v>
      </c>
      <c r="J514" s="15">
        <v>0</v>
      </c>
      <c r="K514" s="15">
        <v>0</v>
      </c>
      <c r="L514" s="15">
        <v>0</v>
      </c>
      <c r="M514" s="15">
        <v>202035965.30119014</v>
      </c>
      <c r="N514" s="15">
        <v>0</v>
      </c>
      <c r="O514" s="15">
        <v>75843903.12156269</v>
      </c>
      <c r="P514" s="15">
        <v>0</v>
      </c>
      <c r="Q514" s="15"/>
    </row>
    <row r="515" spans="1:17" hidden="1" x14ac:dyDescent="0.25">
      <c r="A515" s="465" t="s">
        <v>139</v>
      </c>
      <c r="B515" s="15" t="s">
        <v>464</v>
      </c>
      <c r="C515" s="15" t="s">
        <v>465</v>
      </c>
      <c r="D515" s="15" t="s">
        <v>466</v>
      </c>
      <c r="E515" s="15"/>
      <c r="F515" s="15"/>
      <c r="G515" s="15"/>
      <c r="H515" s="15" t="s">
        <v>343</v>
      </c>
      <c r="I515" s="15">
        <v>0</v>
      </c>
      <c r="J515" s="15">
        <v>0</v>
      </c>
      <c r="K515" s="15">
        <v>0</v>
      </c>
      <c r="L515" s="15">
        <v>0</v>
      </c>
      <c r="M515" s="15">
        <v>5973567.5699999966</v>
      </c>
      <c r="N515" s="15">
        <v>0</v>
      </c>
      <c r="O515" s="15">
        <v>1647175.0264981817</v>
      </c>
      <c r="P515" s="15">
        <v>0</v>
      </c>
      <c r="Q515" s="15"/>
    </row>
    <row r="516" spans="1:17" hidden="1" x14ac:dyDescent="0.25">
      <c r="A516" s="465" t="s">
        <v>138</v>
      </c>
      <c r="B516" s="15" t="s">
        <v>464</v>
      </c>
      <c r="C516" s="15" t="s">
        <v>465</v>
      </c>
      <c r="D516" s="15" t="s">
        <v>466</v>
      </c>
      <c r="E516" s="15"/>
      <c r="F516" s="15"/>
      <c r="G516" s="15"/>
      <c r="H516" s="15" t="s">
        <v>343</v>
      </c>
      <c r="I516" s="15">
        <v>0</v>
      </c>
      <c r="J516" s="15">
        <v>0</v>
      </c>
      <c r="K516" s="15">
        <v>0</v>
      </c>
      <c r="L516" s="15">
        <v>0</v>
      </c>
      <c r="M516" s="15">
        <v>96871737.75000076</v>
      </c>
      <c r="N516" s="15">
        <v>0</v>
      </c>
      <c r="O516" s="15">
        <v>58048939.991533652</v>
      </c>
      <c r="P516" s="15">
        <v>0</v>
      </c>
      <c r="Q516" s="15"/>
    </row>
    <row r="517" spans="1:17" hidden="1" x14ac:dyDescent="0.25">
      <c r="A517" s="465" t="s">
        <v>138</v>
      </c>
      <c r="B517" s="15" t="s">
        <v>464</v>
      </c>
      <c r="C517" s="15" t="s">
        <v>465</v>
      </c>
      <c r="D517" s="15" t="s">
        <v>467</v>
      </c>
      <c r="E517" s="15"/>
      <c r="F517" s="15"/>
      <c r="G517" s="15"/>
      <c r="H517" s="15" t="s">
        <v>343</v>
      </c>
      <c r="I517" s="15">
        <v>0</v>
      </c>
      <c r="J517" s="15">
        <v>0</v>
      </c>
      <c r="K517" s="15">
        <v>0</v>
      </c>
      <c r="L517" s="15">
        <v>0</v>
      </c>
      <c r="M517" s="15">
        <v>39857025.539999969</v>
      </c>
      <c r="N517" s="15">
        <v>0</v>
      </c>
      <c r="O517" s="15">
        <v>20859020.983254999</v>
      </c>
      <c r="P517" s="15">
        <v>0</v>
      </c>
      <c r="Q517" s="15"/>
    </row>
    <row r="518" spans="1:17" hidden="1" x14ac:dyDescent="0.25">
      <c r="A518" s="15" t="s">
        <v>148</v>
      </c>
      <c r="B518" s="15" t="s">
        <v>464</v>
      </c>
      <c r="C518" s="15" t="s">
        <v>469</v>
      </c>
      <c r="D518" s="15" t="s">
        <v>470</v>
      </c>
      <c r="E518" s="15"/>
      <c r="F518" s="15"/>
      <c r="G518" s="15"/>
      <c r="H518" s="15" t="s">
        <v>343</v>
      </c>
      <c r="I518" s="15">
        <v>973063.07778321125</v>
      </c>
      <c r="J518" s="15">
        <v>0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15">
        <v>0</v>
      </c>
      <c r="Q518" s="15"/>
    </row>
    <row r="519" spans="1:17" hidden="1" x14ac:dyDescent="0.25">
      <c r="A519" s="15" t="s">
        <v>146</v>
      </c>
      <c r="B519" s="15" t="s">
        <v>464</v>
      </c>
      <c r="C519" s="15" t="s">
        <v>469</v>
      </c>
      <c r="D519" s="15" t="s">
        <v>470</v>
      </c>
      <c r="E519" s="15"/>
      <c r="F519" s="15"/>
      <c r="G519" s="15"/>
      <c r="H519" s="15" t="s">
        <v>343</v>
      </c>
      <c r="I519" s="15">
        <v>1284322.225178503</v>
      </c>
      <c r="J519" s="15">
        <v>0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15">
        <v>0</v>
      </c>
      <c r="Q519" s="15"/>
    </row>
    <row r="520" spans="1:17" hidden="1" x14ac:dyDescent="0.25">
      <c r="A520" s="15" t="s">
        <v>141</v>
      </c>
      <c r="B520" s="15" t="s">
        <v>464</v>
      </c>
      <c r="C520" s="15" t="s">
        <v>469</v>
      </c>
      <c r="D520" s="15" t="s">
        <v>470</v>
      </c>
      <c r="E520" s="15"/>
      <c r="F520" s="15"/>
      <c r="G520" s="15"/>
      <c r="H520" s="15" t="s">
        <v>343</v>
      </c>
      <c r="I520" s="15">
        <v>1732123.1739566694</v>
      </c>
      <c r="J520" s="15">
        <v>0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5">
        <v>0</v>
      </c>
      <c r="Q520" s="15"/>
    </row>
    <row r="521" spans="1:17" hidden="1" x14ac:dyDescent="0.25">
      <c r="A521" s="15" t="s">
        <v>145</v>
      </c>
      <c r="B521" s="15" t="s">
        <v>464</v>
      </c>
      <c r="C521" s="15" t="s">
        <v>469</v>
      </c>
      <c r="D521" s="15" t="s">
        <v>470</v>
      </c>
      <c r="E521" s="15"/>
      <c r="F521" s="15"/>
      <c r="G521" s="15"/>
      <c r="H521" s="15" t="s">
        <v>343</v>
      </c>
      <c r="I521" s="15">
        <v>1183998.7546954493</v>
      </c>
      <c r="J521" s="15">
        <v>0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/>
    </row>
    <row r="522" spans="1:17" hidden="1" x14ac:dyDescent="0.25">
      <c r="A522" s="15" t="s">
        <v>151</v>
      </c>
      <c r="B522" s="15" t="s">
        <v>464</v>
      </c>
      <c r="C522" s="15" t="s">
        <v>469</v>
      </c>
      <c r="D522" s="15" t="s">
        <v>470</v>
      </c>
      <c r="E522" s="15"/>
      <c r="F522" s="15"/>
      <c r="G522" s="15"/>
      <c r="H522" s="15" t="s">
        <v>343</v>
      </c>
      <c r="I522" s="15">
        <v>4528032.3227405883</v>
      </c>
      <c r="J522" s="15">
        <v>0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15">
        <v>0</v>
      </c>
      <c r="Q522" s="15"/>
    </row>
    <row r="523" spans="1:17" hidden="1" x14ac:dyDescent="0.25">
      <c r="A523" s="15" t="s">
        <v>118</v>
      </c>
      <c r="B523" s="15" t="s">
        <v>464</v>
      </c>
      <c r="C523" s="15" t="s">
        <v>469</v>
      </c>
      <c r="D523" s="15" t="s">
        <v>470</v>
      </c>
      <c r="E523" s="15"/>
      <c r="F523" s="15"/>
      <c r="G523" s="15"/>
      <c r="H523" s="15" t="s">
        <v>343</v>
      </c>
      <c r="I523" s="15">
        <v>2979722.6300543761</v>
      </c>
      <c r="J523" s="15">
        <v>0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15">
        <v>0</v>
      </c>
      <c r="Q523" s="15"/>
    </row>
    <row r="524" spans="1:17" hidden="1" x14ac:dyDescent="0.25">
      <c r="A524" s="15" t="s">
        <v>120</v>
      </c>
      <c r="B524" s="15" t="s">
        <v>464</v>
      </c>
      <c r="C524" s="15" t="s">
        <v>469</v>
      </c>
      <c r="D524" s="15" t="s">
        <v>470</v>
      </c>
      <c r="E524" s="15"/>
      <c r="F524" s="15"/>
      <c r="G524" s="15"/>
      <c r="H524" s="15" t="s">
        <v>343</v>
      </c>
      <c r="I524" s="15">
        <v>4739026.6542581888</v>
      </c>
      <c r="J524" s="15">
        <v>0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/>
    </row>
    <row r="525" spans="1:17" hidden="1" x14ac:dyDescent="0.25">
      <c r="A525" s="15" t="s">
        <v>102</v>
      </c>
      <c r="B525" s="15" t="s">
        <v>464</v>
      </c>
      <c r="C525" s="15" t="s">
        <v>469</v>
      </c>
      <c r="D525" s="15" t="s">
        <v>470</v>
      </c>
      <c r="E525" s="15"/>
      <c r="F525" s="15"/>
      <c r="G525" s="15"/>
      <c r="H525" s="15" t="s">
        <v>343</v>
      </c>
      <c r="I525" s="15">
        <v>4968506.8015938709</v>
      </c>
      <c r="J525" s="15">
        <v>0</v>
      </c>
      <c r="K525" s="15">
        <v>0</v>
      </c>
      <c r="L525" s="15">
        <v>0</v>
      </c>
      <c r="M525" s="15">
        <v>0</v>
      </c>
      <c r="N525" s="15">
        <v>0</v>
      </c>
      <c r="O525" s="15">
        <v>0</v>
      </c>
      <c r="P525" s="15">
        <v>0</v>
      </c>
      <c r="Q525" s="15"/>
    </row>
    <row r="526" spans="1:17" hidden="1" x14ac:dyDescent="0.25">
      <c r="A526" s="15" t="s">
        <v>103</v>
      </c>
      <c r="B526" s="15" t="s">
        <v>464</v>
      </c>
      <c r="C526" s="15" t="s">
        <v>469</v>
      </c>
      <c r="D526" s="15" t="s">
        <v>470</v>
      </c>
      <c r="E526" s="15"/>
      <c r="F526" s="15"/>
      <c r="G526" s="15"/>
      <c r="H526" s="15" t="s">
        <v>343</v>
      </c>
      <c r="I526" s="15">
        <v>2203885.0860657538</v>
      </c>
      <c r="J526" s="15">
        <v>0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15"/>
    </row>
    <row r="527" spans="1:17" hidden="1" x14ac:dyDescent="0.25">
      <c r="A527" s="15" t="s">
        <v>105</v>
      </c>
      <c r="B527" s="15" t="s">
        <v>464</v>
      </c>
      <c r="C527" s="15" t="s">
        <v>469</v>
      </c>
      <c r="D527" s="15" t="s">
        <v>470</v>
      </c>
      <c r="E527" s="15"/>
      <c r="F527" s="15"/>
      <c r="G527" s="15"/>
      <c r="H527" s="15" t="s">
        <v>343</v>
      </c>
      <c r="I527" s="15">
        <v>3042784.7210369534</v>
      </c>
      <c r="J527" s="15">
        <v>0</v>
      </c>
      <c r="K527" s="15">
        <v>0</v>
      </c>
      <c r="L527" s="15">
        <v>0</v>
      </c>
      <c r="M527" s="15">
        <v>0</v>
      </c>
      <c r="N527" s="15">
        <v>0</v>
      </c>
      <c r="O527" s="15">
        <v>0</v>
      </c>
      <c r="P527" s="15">
        <v>0</v>
      </c>
      <c r="Q527" s="15"/>
    </row>
    <row r="528" spans="1:17" hidden="1" x14ac:dyDescent="0.25">
      <c r="A528" s="15" t="s">
        <v>56</v>
      </c>
      <c r="B528" s="15" t="s">
        <v>464</v>
      </c>
      <c r="C528" s="15" t="s">
        <v>469</v>
      </c>
      <c r="D528" s="15" t="s">
        <v>470</v>
      </c>
      <c r="E528" s="15"/>
      <c r="F528" s="15"/>
      <c r="G528" s="15"/>
      <c r="H528" s="15" t="s">
        <v>343</v>
      </c>
      <c r="I528" s="15">
        <v>4023682.8871393208</v>
      </c>
      <c r="J528" s="15">
        <v>0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15">
        <v>0</v>
      </c>
      <c r="Q528" s="15"/>
    </row>
    <row r="529" spans="1:17" hidden="1" x14ac:dyDescent="0.25">
      <c r="A529" s="15" t="s">
        <v>55</v>
      </c>
      <c r="B529" s="15" t="s">
        <v>464</v>
      </c>
      <c r="C529" s="15" t="s">
        <v>469</v>
      </c>
      <c r="D529" s="15" t="s">
        <v>470</v>
      </c>
      <c r="E529" s="15"/>
      <c r="F529" s="15"/>
      <c r="G529" s="15"/>
      <c r="H529" s="15" t="s">
        <v>343</v>
      </c>
      <c r="I529" s="15">
        <v>1880421.7924100675</v>
      </c>
      <c r="J529" s="15">
        <v>0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15">
        <v>0</v>
      </c>
      <c r="Q529" s="15"/>
    </row>
    <row r="530" spans="1:17" hidden="1" x14ac:dyDescent="0.25">
      <c r="A530" s="15" t="s">
        <v>51</v>
      </c>
      <c r="B530" s="15" t="s">
        <v>464</v>
      </c>
      <c r="C530" s="15" t="s">
        <v>469</v>
      </c>
      <c r="D530" s="15" t="s">
        <v>470</v>
      </c>
      <c r="E530" s="15"/>
      <c r="F530" s="15"/>
      <c r="G530" s="15"/>
      <c r="H530" s="15" t="s">
        <v>343</v>
      </c>
      <c r="I530" s="15">
        <v>27130505.840957616</v>
      </c>
      <c r="J530" s="15">
        <v>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15"/>
    </row>
    <row r="531" spans="1:17" hidden="1" x14ac:dyDescent="0.25">
      <c r="A531" s="15" t="s">
        <v>55</v>
      </c>
      <c r="B531" s="15" t="s">
        <v>464</v>
      </c>
      <c r="C531" s="15" t="s">
        <v>469</v>
      </c>
      <c r="D531" s="15" t="s">
        <v>470</v>
      </c>
      <c r="E531" s="15"/>
      <c r="F531" s="15"/>
      <c r="G531" s="15"/>
      <c r="H531" s="15" t="s">
        <v>343</v>
      </c>
      <c r="I531" s="15">
        <v>8930720.8169237953</v>
      </c>
      <c r="J531" s="15">
        <v>0</v>
      </c>
      <c r="K531" s="15">
        <v>0</v>
      </c>
      <c r="L531" s="15">
        <v>0</v>
      </c>
      <c r="M531" s="15">
        <v>0</v>
      </c>
      <c r="N531" s="15">
        <v>0</v>
      </c>
      <c r="O531" s="15">
        <v>0</v>
      </c>
      <c r="P531" s="15">
        <v>0</v>
      </c>
      <c r="Q531" s="15"/>
    </row>
    <row r="532" spans="1:17" hidden="1" x14ac:dyDescent="0.25">
      <c r="A532" s="15" t="s">
        <v>333</v>
      </c>
      <c r="B532" s="15" t="s">
        <v>464</v>
      </c>
      <c r="C532" s="15" t="s">
        <v>469</v>
      </c>
      <c r="D532" s="15" t="s">
        <v>470</v>
      </c>
      <c r="E532" s="15"/>
      <c r="F532" s="15"/>
      <c r="G532" s="15"/>
      <c r="H532" s="15" t="s">
        <v>472</v>
      </c>
      <c r="I532" s="15">
        <v>193413695.79842499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/>
    </row>
    <row r="533" spans="1:17" hidden="1" x14ac:dyDescent="0.25">
      <c r="A533" s="15" t="s">
        <v>22</v>
      </c>
      <c r="B533" s="15" t="s">
        <v>464</v>
      </c>
      <c r="C533" s="15" t="s">
        <v>469</v>
      </c>
      <c r="D533" s="15" t="s">
        <v>470</v>
      </c>
      <c r="E533" s="15"/>
      <c r="F533" s="15"/>
      <c r="G533" s="15"/>
      <c r="H533" s="15" t="s">
        <v>472</v>
      </c>
      <c r="I533" s="15">
        <v>28521750.036892459</v>
      </c>
      <c r="J533" s="15">
        <v>0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15">
        <v>0</v>
      </c>
      <c r="Q533" s="15"/>
    </row>
    <row r="534" spans="1:17" hidden="1" x14ac:dyDescent="0.25">
      <c r="A534" s="15" t="s">
        <v>21</v>
      </c>
      <c r="B534" s="15" t="s">
        <v>464</v>
      </c>
      <c r="C534" s="15" t="s">
        <v>469</v>
      </c>
      <c r="D534" s="15" t="s">
        <v>470</v>
      </c>
      <c r="E534" s="15"/>
      <c r="F534" s="15"/>
      <c r="G534" s="15"/>
      <c r="H534" s="15" t="s">
        <v>472</v>
      </c>
      <c r="I534" s="15">
        <v>1384314.2112077558</v>
      </c>
      <c r="J534" s="15">
        <v>0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15"/>
    </row>
    <row r="535" spans="1:17" hidden="1" x14ac:dyDescent="0.25">
      <c r="A535" s="15" t="s">
        <v>17</v>
      </c>
      <c r="B535" s="15" t="s">
        <v>464</v>
      </c>
      <c r="C535" s="15" t="s">
        <v>469</v>
      </c>
      <c r="D535" s="15" t="s">
        <v>470</v>
      </c>
      <c r="E535" s="15"/>
      <c r="F535" s="15"/>
      <c r="G535" s="15"/>
      <c r="H535" s="15" t="s">
        <v>472</v>
      </c>
      <c r="I535" s="15">
        <v>22746542.853066351</v>
      </c>
      <c r="J535" s="15">
        <v>0</v>
      </c>
      <c r="K535" s="15">
        <v>0</v>
      </c>
      <c r="L535" s="15">
        <v>0</v>
      </c>
      <c r="M535" s="15">
        <v>0</v>
      </c>
      <c r="N535" s="15">
        <v>0</v>
      </c>
      <c r="O535" s="15">
        <v>0</v>
      </c>
      <c r="P535" s="15">
        <v>0</v>
      </c>
      <c r="Q535" s="15"/>
    </row>
    <row r="536" spans="1:17" hidden="1" x14ac:dyDescent="0.25">
      <c r="A536" s="15" t="s">
        <v>20</v>
      </c>
      <c r="B536" s="15" t="s">
        <v>464</v>
      </c>
      <c r="C536" s="15" t="s">
        <v>469</v>
      </c>
      <c r="D536" s="15" t="s">
        <v>470</v>
      </c>
      <c r="E536" s="15"/>
      <c r="F536" s="15"/>
      <c r="G536" s="15"/>
      <c r="H536" s="15" t="s">
        <v>472</v>
      </c>
      <c r="I536" s="15">
        <v>2348828.3742962028</v>
      </c>
      <c r="J536" s="15">
        <v>0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15"/>
    </row>
    <row r="537" spans="1:17" hidden="1" x14ac:dyDescent="0.25">
      <c r="A537" s="15" t="s">
        <v>150</v>
      </c>
      <c r="B537" s="15" t="s">
        <v>464</v>
      </c>
      <c r="C537" s="15" t="s">
        <v>469</v>
      </c>
      <c r="D537" s="15" t="s">
        <v>470</v>
      </c>
      <c r="E537" s="15"/>
      <c r="F537" s="15"/>
      <c r="G537" s="15"/>
      <c r="H537" s="15" t="s">
        <v>472</v>
      </c>
      <c r="I537" s="15">
        <v>1595653.2482846803</v>
      </c>
      <c r="J537" s="15">
        <v>0</v>
      </c>
      <c r="K537" s="15">
        <v>0</v>
      </c>
      <c r="L537" s="15">
        <v>0</v>
      </c>
      <c r="M537" s="15">
        <v>0</v>
      </c>
      <c r="N537" s="15">
        <v>0</v>
      </c>
      <c r="O537" s="15">
        <v>0</v>
      </c>
      <c r="P537" s="15">
        <v>0</v>
      </c>
      <c r="Q537" s="15"/>
    </row>
    <row r="538" spans="1:17" hidden="1" x14ac:dyDescent="0.25">
      <c r="A538" s="15" t="s">
        <v>18</v>
      </c>
      <c r="B538" s="15" t="s">
        <v>464</v>
      </c>
      <c r="C538" s="15" t="s">
        <v>469</v>
      </c>
      <c r="D538" s="15" t="s">
        <v>470</v>
      </c>
      <c r="E538" s="15"/>
      <c r="F538" s="15"/>
      <c r="G538" s="15"/>
      <c r="H538" s="15" t="s">
        <v>472</v>
      </c>
      <c r="I538" s="15">
        <v>11732044.909700001</v>
      </c>
      <c r="J538" s="15">
        <v>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/>
    </row>
    <row r="539" spans="1:17" hidden="1" x14ac:dyDescent="0.25">
      <c r="A539" s="15" t="s">
        <v>383</v>
      </c>
      <c r="B539" s="15" t="s">
        <v>464</v>
      </c>
      <c r="C539" s="15" t="s">
        <v>469</v>
      </c>
      <c r="D539" s="15" t="s">
        <v>470</v>
      </c>
      <c r="E539" s="15"/>
      <c r="F539" s="15"/>
      <c r="G539" s="15"/>
      <c r="H539" s="15" t="s">
        <v>343</v>
      </c>
      <c r="I539" s="15">
        <v>153865470.28550819</v>
      </c>
      <c r="J539" s="15">
        <v>0</v>
      </c>
      <c r="K539" s="15">
        <v>0</v>
      </c>
      <c r="L539" s="15">
        <v>0</v>
      </c>
      <c r="M539" s="15">
        <v>0</v>
      </c>
      <c r="N539" s="15">
        <v>0</v>
      </c>
      <c r="O539" s="15">
        <v>0</v>
      </c>
      <c r="P539" s="15">
        <v>0</v>
      </c>
      <c r="Q539" s="15"/>
    </row>
    <row r="540" spans="1:17" hidden="1" x14ac:dyDescent="0.25">
      <c r="A540" s="15" t="s">
        <v>344</v>
      </c>
      <c r="B540" s="15" t="s">
        <v>464</v>
      </c>
      <c r="C540" s="15" t="s">
        <v>469</v>
      </c>
      <c r="D540" s="15" t="s">
        <v>470</v>
      </c>
      <c r="E540" s="15"/>
      <c r="F540" s="15"/>
      <c r="G540" s="15"/>
      <c r="H540" s="15" t="s">
        <v>343</v>
      </c>
      <c r="I540" s="15">
        <v>300562568.50841665</v>
      </c>
      <c r="J540" s="15">
        <v>0</v>
      </c>
      <c r="K540" s="15">
        <v>0</v>
      </c>
      <c r="L540" s="15">
        <v>0</v>
      </c>
      <c r="M540" s="15">
        <v>0</v>
      </c>
      <c r="N540" s="15">
        <v>0</v>
      </c>
      <c r="O540" s="15">
        <v>0</v>
      </c>
      <c r="P540" s="15">
        <v>0</v>
      </c>
      <c r="Q540" s="15"/>
    </row>
    <row r="541" spans="1:17" hidden="1" x14ac:dyDescent="0.25">
      <c r="A541" s="15" t="s">
        <v>135</v>
      </c>
      <c r="B541" s="15" t="s">
        <v>464</v>
      </c>
      <c r="C541" s="15" t="s">
        <v>469</v>
      </c>
      <c r="D541" s="15" t="s">
        <v>470</v>
      </c>
      <c r="E541" s="15"/>
      <c r="F541" s="15"/>
      <c r="G541" s="15"/>
      <c r="H541" s="15" t="s">
        <v>343</v>
      </c>
      <c r="I541" s="15">
        <v>49400893.391934566</v>
      </c>
      <c r="J541" s="15">
        <v>0</v>
      </c>
      <c r="K541" s="15">
        <v>0</v>
      </c>
      <c r="L541" s="15">
        <v>0</v>
      </c>
      <c r="M541" s="15">
        <v>0</v>
      </c>
      <c r="N541" s="15">
        <v>0</v>
      </c>
      <c r="O541" s="15">
        <v>0</v>
      </c>
      <c r="P541" s="15">
        <v>0</v>
      </c>
      <c r="Q541" s="15"/>
    </row>
    <row r="542" spans="1:17" hidden="1" x14ac:dyDescent="0.25">
      <c r="A542" s="15" t="s">
        <v>127</v>
      </c>
      <c r="B542" s="15" t="s">
        <v>464</v>
      </c>
      <c r="C542" s="15" t="s">
        <v>469</v>
      </c>
      <c r="D542" s="15" t="s">
        <v>470</v>
      </c>
      <c r="E542" s="15"/>
      <c r="F542" s="15"/>
      <c r="G542" s="15"/>
      <c r="H542" s="15" t="s">
        <v>343</v>
      </c>
      <c r="I542" s="15">
        <v>282709671.91138828</v>
      </c>
      <c r="J542" s="15">
        <v>0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15">
        <v>0</v>
      </c>
      <c r="Q542" s="15"/>
    </row>
    <row r="543" spans="1:17" hidden="1" x14ac:dyDescent="0.25">
      <c r="A543" s="15" t="s">
        <v>123</v>
      </c>
      <c r="B543" s="15" t="s">
        <v>464</v>
      </c>
      <c r="C543" s="15" t="s">
        <v>469</v>
      </c>
      <c r="D543" s="15" t="s">
        <v>470</v>
      </c>
      <c r="E543" s="15"/>
      <c r="F543" s="15"/>
      <c r="G543" s="15"/>
      <c r="H543" s="15" t="s">
        <v>343</v>
      </c>
      <c r="I543" s="15">
        <v>117114145.83411548</v>
      </c>
      <c r="J543" s="15">
        <v>0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15">
        <v>0</v>
      </c>
      <c r="Q543" s="15"/>
    </row>
    <row r="544" spans="1:17" hidden="1" x14ac:dyDescent="0.25">
      <c r="A544" s="15" t="s">
        <v>133</v>
      </c>
      <c r="B544" s="15" t="s">
        <v>464</v>
      </c>
      <c r="C544" s="15" t="s">
        <v>469</v>
      </c>
      <c r="D544" s="15" t="s">
        <v>470</v>
      </c>
      <c r="E544" s="15"/>
      <c r="F544" s="15"/>
      <c r="G544" s="15">
        <v>1</v>
      </c>
      <c r="H544" s="15" t="s">
        <v>343</v>
      </c>
      <c r="I544" s="15">
        <v>228502433.21530333</v>
      </c>
      <c r="J544" s="15">
        <v>0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15">
        <v>0</v>
      </c>
      <c r="Q544" s="15"/>
    </row>
    <row r="545" spans="1:17" hidden="1" x14ac:dyDescent="0.25">
      <c r="A545" s="465" t="s">
        <v>383</v>
      </c>
      <c r="B545" s="15" t="s">
        <v>464</v>
      </c>
      <c r="C545" s="15" t="s">
        <v>465</v>
      </c>
      <c r="D545" s="15" t="s">
        <v>473</v>
      </c>
      <c r="E545" s="15"/>
      <c r="F545" s="15"/>
      <c r="G545" s="15"/>
      <c r="H545" s="15" t="s">
        <v>343</v>
      </c>
      <c r="I545" s="15">
        <v>0</v>
      </c>
      <c r="J545" s="15">
        <v>0</v>
      </c>
      <c r="K545" s="15">
        <v>0</v>
      </c>
      <c r="L545" s="15">
        <v>0</v>
      </c>
      <c r="M545" s="15">
        <v>0</v>
      </c>
      <c r="N545" s="15">
        <v>153865470.28550819</v>
      </c>
      <c r="O545" s="15">
        <v>116547393.0289679</v>
      </c>
      <c r="P545" s="15">
        <v>0</v>
      </c>
      <c r="Q545" s="15"/>
    </row>
    <row r="546" spans="1:17" hidden="1" x14ac:dyDescent="0.25">
      <c r="A546" s="465" t="s">
        <v>344</v>
      </c>
      <c r="B546" s="15" t="s">
        <v>464</v>
      </c>
      <c r="C546" s="15" t="s">
        <v>465</v>
      </c>
      <c r="D546" s="15" t="s">
        <v>473</v>
      </c>
      <c r="E546" s="15"/>
      <c r="F546" s="15"/>
      <c r="G546" s="15"/>
      <c r="H546" s="15" t="s">
        <v>343</v>
      </c>
      <c r="I546" s="15">
        <v>0</v>
      </c>
      <c r="J546" s="15">
        <v>0</v>
      </c>
      <c r="K546" s="15">
        <v>0</v>
      </c>
      <c r="L546" s="15">
        <v>0</v>
      </c>
      <c r="M546" s="15">
        <v>0</v>
      </c>
      <c r="N546" s="15">
        <v>300562568.50841665</v>
      </c>
      <c r="O546" s="15">
        <v>231806702.65685073</v>
      </c>
      <c r="P546" s="15">
        <v>0</v>
      </c>
      <c r="Q546" s="15"/>
    </row>
    <row r="547" spans="1:17" hidden="1" x14ac:dyDescent="0.25">
      <c r="A547" s="465" t="s">
        <v>135</v>
      </c>
      <c r="B547" s="15" t="s">
        <v>464</v>
      </c>
      <c r="C547" s="15" t="s">
        <v>465</v>
      </c>
      <c r="D547" s="15" t="s">
        <v>473</v>
      </c>
      <c r="E547" s="15"/>
      <c r="F547" s="15"/>
      <c r="G547" s="15"/>
      <c r="H547" s="15" t="s">
        <v>343</v>
      </c>
      <c r="I547" s="15">
        <v>0</v>
      </c>
      <c r="J547" s="15">
        <v>0</v>
      </c>
      <c r="K547" s="15">
        <v>0</v>
      </c>
      <c r="L547" s="15">
        <v>0</v>
      </c>
      <c r="M547" s="15">
        <v>0</v>
      </c>
      <c r="N547" s="15">
        <v>49400893.391934566</v>
      </c>
      <c r="O547" s="15">
        <v>13861067.775549101</v>
      </c>
      <c r="P547" s="15">
        <v>0</v>
      </c>
      <c r="Q547" s="15"/>
    </row>
    <row r="548" spans="1:17" hidden="1" x14ac:dyDescent="0.25">
      <c r="A548" s="465" t="s">
        <v>127</v>
      </c>
      <c r="B548" s="15" t="s">
        <v>464</v>
      </c>
      <c r="C548" s="15" t="s">
        <v>465</v>
      </c>
      <c r="D548" s="15" t="s">
        <v>473</v>
      </c>
      <c r="E548" s="15"/>
      <c r="F548" s="15"/>
      <c r="G548" s="15"/>
      <c r="H548" s="15" t="s">
        <v>343</v>
      </c>
      <c r="I548" s="15">
        <v>0</v>
      </c>
      <c r="J548" s="15">
        <v>0</v>
      </c>
      <c r="K548" s="15">
        <v>0</v>
      </c>
      <c r="L548" s="15">
        <v>0</v>
      </c>
      <c r="M548" s="15">
        <v>0</v>
      </c>
      <c r="N548" s="15">
        <v>282709671.91138828</v>
      </c>
      <c r="O548" s="15">
        <v>217785764.00050426</v>
      </c>
      <c r="P548" s="15">
        <v>0</v>
      </c>
      <c r="Q548" s="15"/>
    </row>
    <row r="549" spans="1:17" hidden="1" x14ac:dyDescent="0.25">
      <c r="A549" s="465" t="s">
        <v>123</v>
      </c>
      <c r="B549" s="15" t="s">
        <v>464</v>
      </c>
      <c r="C549" s="15" t="s">
        <v>465</v>
      </c>
      <c r="D549" s="15" t="s">
        <v>473</v>
      </c>
      <c r="E549" s="15"/>
      <c r="F549" s="15"/>
      <c r="G549" s="15"/>
      <c r="H549" s="15" t="s">
        <v>343</v>
      </c>
      <c r="I549" s="15">
        <v>0</v>
      </c>
      <c r="J549" s="15">
        <v>0</v>
      </c>
      <c r="K549" s="15">
        <v>0</v>
      </c>
      <c r="L549" s="15">
        <v>0</v>
      </c>
      <c r="M549" s="15">
        <v>0</v>
      </c>
      <c r="N549" s="15">
        <v>117114145.83411548</v>
      </c>
      <c r="O549" s="15">
        <v>76132782.152658641</v>
      </c>
      <c r="P549" s="15">
        <v>0</v>
      </c>
      <c r="Q549" s="15"/>
    </row>
    <row r="550" spans="1:17" hidden="1" x14ac:dyDescent="0.25">
      <c r="A550" s="465" t="s">
        <v>133</v>
      </c>
      <c r="B550" s="15" t="s">
        <v>464</v>
      </c>
      <c r="C550" s="15" t="s">
        <v>465</v>
      </c>
      <c r="D550" s="15" t="s">
        <v>473</v>
      </c>
      <c r="E550" s="15"/>
      <c r="F550" s="15"/>
      <c r="G550" s="15"/>
      <c r="H550" s="15" t="s">
        <v>343</v>
      </c>
      <c r="I550" s="15">
        <v>0</v>
      </c>
      <c r="J550" s="15">
        <v>0</v>
      </c>
      <c r="K550" s="15">
        <v>0</v>
      </c>
      <c r="L550" s="15">
        <v>0</v>
      </c>
      <c r="M550" s="15">
        <v>0</v>
      </c>
      <c r="N550" s="15">
        <v>228502433.21530333</v>
      </c>
      <c r="O550" s="15">
        <v>132744789.49687061</v>
      </c>
      <c r="P550" s="15">
        <v>0</v>
      </c>
      <c r="Q550" s="15"/>
    </row>
    <row r="551" spans="1:17" hidden="1" x14ac:dyDescent="0.25">
      <c r="A551" s="15" t="s">
        <v>383</v>
      </c>
      <c r="B551" s="15" t="s">
        <v>464</v>
      </c>
      <c r="C551" s="15" t="s">
        <v>469</v>
      </c>
      <c r="D551" s="15" t="s">
        <v>474</v>
      </c>
      <c r="E551" s="15"/>
      <c r="F551" s="15"/>
      <c r="G551" s="15">
        <v>1</v>
      </c>
      <c r="H551" s="15" t="s">
        <v>343</v>
      </c>
      <c r="I551" s="15">
        <v>594299663.16174626</v>
      </c>
      <c r="J551" s="15">
        <v>0</v>
      </c>
      <c r="K551" s="15">
        <v>0</v>
      </c>
      <c r="L551" s="15">
        <v>0</v>
      </c>
      <c r="M551" s="15">
        <v>0</v>
      </c>
      <c r="N551" s="15">
        <v>0</v>
      </c>
      <c r="O551" s="15">
        <v>0</v>
      </c>
      <c r="P551" s="15">
        <v>0</v>
      </c>
      <c r="Q551" s="15"/>
    </row>
    <row r="552" spans="1:17" hidden="1" x14ac:dyDescent="0.25">
      <c r="A552" s="15" t="s">
        <v>344</v>
      </c>
      <c r="B552" s="15" t="s">
        <v>464</v>
      </c>
      <c r="C552" s="15" t="s">
        <v>469</v>
      </c>
      <c r="D552" s="15" t="s">
        <v>474</v>
      </c>
      <c r="E552" s="15"/>
      <c r="F552" s="15"/>
      <c r="G552" s="15"/>
      <c r="H552" s="15" t="s">
        <v>343</v>
      </c>
      <c r="I552" s="15">
        <v>491515278.56228167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15"/>
    </row>
    <row r="553" spans="1:17" hidden="1" x14ac:dyDescent="0.25">
      <c r="A553" s="15" t="s">
        <v>127</v>
      </c>
      <c r="B553" s="15" t="s">
        <v>464</v>
      </c>
      <c r="C553" s="15" t="s">
        <v>469</v>
      </c>
      <c r="D553" s="15" t="s">
        <v>474</v>
      </c>
      <c r="E553" s="15"/>
      <c r="F553" s="15"/>
      <c r="G553" s="15"/>
      <c r="H553" s="15" t="s">
        <v>343</v>
      </c>
      <c r="I553" s="15">
        <v>321261802.06234795</v>
      </c>
      <c r="J553" s="15">
        <v>0</v>
      </c>
      <c r="K553" s="15">
        <v>0</v>
      </c>
      <c r="L553" s="15">
        <v>0</v>
      </c>
      <c r="M553" s="15">
        <v>0</v>
      </c>
      <c r="N553" s="15">
        <v>0</v>
      </c>
      <c r="O553" s="15">
        <v>0</v>
      </c>
      <c r="P553" s="15">
        <v>0</v>
      </c>
      <c r="Q553" s="15"/>
    </row>
    <row r="554" spans="1:17" hidden="1" x14ac:dyDescent="0.25">
      <c r="A554" s="15" t="s">
        <v>133</v>
      </c>
      <c r="B554" s="15" t="s">
        <v>464</v>
      </c>
      <c r="C554" s="15" t="s">
        <v>469</v>
      </c>
      <c r="D554" s="15" t="s">
        <v>474</v>
      </c>
      <c r="E554" s="15"/>
      <c r="F554" s="15"/>
      <c r="G554" s="15"/>
      <c r="H554" s="15" t="s">
        <v>343</v>
      </c>
      <c r="I554" s="15">
        <v>114883267.42855136</v>
      </c>
      <c r="J554" s="15">
        <v>0</v>
      </c>
      <c r="K554" s="15">
        <v>0</v>
      </c>
      <c r="L554" s="15">
        <v>0</v>
      </c>
      <c r="M554" s="15">
        <v>0</v>
      </c>
      <c r="N554" s="15">
        <v>0</v>
      </c>
      <c r="O554" s="15">
        <v>0</v>
      </c>
      <c r="P554" s="15">
        <v>0</v>
      </c>
      <c r="Q554" s="15"/>
    </row>
    <row r="555" spans="1:17" hidden="1" x14ac:dyDescent="0.25">
      <c r="A555" s="15" t="s">
        <v>420</v>
      </c>
      <c r="B555" s="15" t="s">
        <v>464</v>
      </c>
      <c r="C555" s="15" t="s">
        <v>469</v>
      </c>
      <c r="D555" s="15" t="s">
        <v>474</v>
      </c>
      <c r="E555" s="15"/>
      <c r="F555" s="15"/>
      <c r="G555" s="15"/>
      <c r="H555" s="15" t="s">
        <v>343</v>
      </c>
      <c r="I555" s="15">
        <v>24762485.965072762</v>
      </c>
      <c r="J555" s="15">
        <v>0</v>
      </c>
      <c r="K555" s="15">
        <v>0</v>
      </c>
      <c r="L555" s="15">
        <v>0</v>
      </c>
      <c r="M555" s="15">
        <v>0</v>
      </c>
      <c r="N555" s="15">
        <v>0</v>
      </c>
      <c r="O555" s="15">
        <v>0</v>
      </c>
      <c r="P555" s="15">
        <v>0</v>
      </c>
      <c r="Q555" s="15"/>
    </row>
    <row r="556" spans="1:17" hidden="1" x14ac:dyDescent="0.25">
      <c r="A556" s="465" t="s">
        <v>383</v>
      </c>
      <c r="B556" s="15" t="s">
        <v>464</v>
      </c>
      <c r="C556" s="15" t="s">
        <v>465</v>
      </c>
      <c r="D556" s="15" t="s">
        <v>473</v>
      </c>
      <c r="E556" s="15"/>
      <c r="F556" s="15"/>
      <c r="G556" s="15"/>
      <c r="H556" s="15" t="s">
        <v>343</v>
      </c>
      <c r="I556" s="15">
        <v>0</v>
      </c>
      <c r="J556" s="15">
        <v>0</v>
      </c>
      <c r="K556" s="15">
        <v>0</v>
      </c>
      <c r="L556" s="15">
        <v>0</v>
      </c>
      <c r="M556" s="15">
        <v>0</v>
      </c>
      <c r="N556" s="15">
        <v>594299663.16174626</v>
      </c>
      <c r="O556" s="15">
        <v>461572470.0557043</v>
      </c>
      <c r="P556" s="15">
        <v>0</v>
      </c>
      <c r="Q556" s="15"/>
    </row>
    <row r="557" spans="1:17" hidden="1" x14ac:dyDescent="0.25">
      <c r="A557" s="465" t="s">
        <v>344</v>
      </c>
      <c r="B557" s="15" t="s">
        <v>464</v>
      </c>
      <c r="C557" s="15" t="s">
        <v>465</v>
      </c>
      <c r="D557" s="15" t="s">
        <v>473</v>
      </c>
      <c r="E557" s="15"/>
      <c r="F557" s="15"/>
      <c r="G557" s="15"/>
      <c r="H557" s="15" t="s">
        <v>343</v>
      </c>
      <c r="I557" s="15">
        <v>0</v>
      </c>
      <c r="J557" s="15">
        <v>0</v>
      </c>
      <c r="K557" s="15">
        <v>0</v>
      </c>
      <c r="L557" s="15">
        <v>0</v>
      </c>
      <c r="M557" s="15">
        <v>0</v>
      </c>
      <c r="N557" s="15">
        <v>491515278.56228167</v>
      </c>
      <c r="O557" s="15">
        <v>368676205.98230016</v>
      </c>
      <c r="P557" s="15">
        <v>0</v>
      </c>
      <c r="Q557" s="15"/>
    </row>
    <row r="558" spans="1:17" hidden="1" x14ac:dyDescent="0.25">
      <c r="A558" s="465" t="s">
        <v>127</v>
      </c>
      <c r="B558" s="15" t="s">
        <v>464</v>
      </c>
      <c r="C558" s="15" t="s">
        <v>465</v>
      </c>
      <c r="D558" s="15" t="s">
        <v>473</v>
      </c>
      <c r="E558" s="15"/>
      <c r="F558" s="15"/>
      <c r="G558" s="15"/>
      <c r="H558" s="15" t="s">
        <v>343</v>
      </c>
      <c r="I558" s="15">
        <v>0</v>
      </c>
      <c r="J558" s="15">
        <v>0</v>
      </c>
      <c r="K558" s="15">
        <v>0</v>
      </c>
      <c r="L558" s="15">
        <v>0</v>
      </c>
      <c r="M558" s="15">
        <v>0</v>
      </c>
      <c r="N558" s="15">
        <v>321261802.06234795</v>
      </c>
      <c r="O558" s="15">
        <v>256180909.35876647</v>
      </c>
      <c r="P558" s="15">
        <v>0</v>
      </c>
      <c r="Q558" s="15"/>
    </row>
    <row r="559" spans="1:17" hidden="1" x14ac:dyDescent="0.25">
      <c r="A559" s="465" t="s">
        <v>133</v>
      </c>
      <c r="B559" s="15" t="s">
        <v>464</v>
      </c>
      <c r="C559" s="15" t="s">
        <v>465</v>
      </c>
      <c r="D559" s="15" t="s">
        <v>473</v>
      </c>
      <c r="E559" s="15"/>
      <c r="F559" s="15"/>
      <c r="G559" s="15"/>
      <c r="H559" s="15" t="s">
        <v>343</v>
      </c>
      <c r="I559" s="15">
        <v>0</v>
      </c>
      <c r="J559" s="15">
        <v>0</v>
      </c>
      <c r="K559" s="15">
        <v>0</v>
      </c>
      <c r="L559" s="15">
        <v>0</v>
      </c>
      <c r="M559" s="15">
        <v>0</v>
      </c>
      <c r="N559" s="15">
        <v>114883267.42855136</v>
      </c>
      <c r="O559" s="15">
        <v>68437168.244202793</v>
      </c>
      <c r="P559" s="15">
        <v>0</v>
      </c>
      <c r="Q559" s="15"/>
    </row>
    <row r="560" spans="1:17" hidden="1" x14ac:dyDescent="0.25">
      <c r="A560" s="465" t="s">
        <v>420</v>
      </c>
      <c r="B560" s="15" t="s">
        <v>464</v>
      </c>
      <c r="C560" s="15" t="s">
        <v>465</v>
      </c>
      <c r="D560" s="15" t="s">
        <v>473</v>
      </c>
      <c r="E560" s="15"/>
      <c r="F560" s="15"/>
      <c r="G560" s="15"/>
      <c r="H560" s="15" t="s">
        <v>343</v>
      </c>
      <c r="I560" s="15">
        <v>0</v>
      </c>
      <c r="J560" s="15">
        <v>0</v>
      </c>
      <c r="K560" s="15">
        <v>0</v>
      </c>
      <c r="L560" s="15">
        <v>0</v>
      </c>
      <c r="M560" s="15">
        <v>0</v>
      </c>
      <c r="N560" s="15">
        <v>24762485.965072762</v>
      </c>
      <c r="O560" s="15">
        <v>0</v>
      </c>
      <c r="P560" s="15">
        <v>0</v>
      </c>
      <c r="Q560" s="15"/>
    </row>
    <row r="561" spans="1:17" hidden="1" x14ac:dyDescent="0.25">
      <c r="A561" s="465" t="s">
        <v>420</v>
      </c>
      <c r="B561" s="15" t="s">
        <v>464</v>
      </c>
      <c r="C561" s="15" t="s">
        <v>465</v>
      </c>
      <c r="D561" s="15" t="s">
        <v>473</v>
      </c>
      <c r="E561" s="15"/>
      <c r="F561" s="15"/>
      <c r="G561" s="15"/>
      <c r="H561" s="15" t="s">
        <v>343</v>
      </c>
      <c r="I561" s="15">
        <v>0</v>
      </c>
      <c r="J561" s="15">
        <v>0</v>
      </c>
      <c r="K561" s="15">
        <v>0</v>
      </c>
      <c r="L561" s="15">
        <v>0</v>
      </c>
      <c r="M561" s="15">
        <v>0</v>
      </c>
      <c r="N561" s="15">
        <v>4386979.91</v>
      </c>
      <c r="O561" s="15">
        <v>0</v>
      </c>
      <c r="P561" s="15">
        <v>0</v>
      </c>
      <c r="Q561" s="15"/>
    </row>
    <row r="562" spans="1:17" hidden="1" x14ac:dyDescent="0.25">
      <c r="A562" s="465" t="s">
        <v>383</v>
      </c>
      <c r="B562" s="15" t="s">
        <v>464</v>
      </c>
      <c r="C562" s="15" t="s">
        <v>465</v>
      </c>
      <c r="D562" s="15" t="s">
        <v>473</v>
      </c>
      <c r="E562" s="15"/>
      <c r="F562" s="15"/>
      <c r="G562" s="15"/>
      <c r="H562" s="15" t="s">
        <v>343</v>
      </c>
      <c r="I562" s="15">
        <v>0</v>
      </c>
      <c r="J562" s="15">
        <v>0</v>
      </c>
      <c r="K562" s="15">
        <v>0</v>
      </c>
      <c r="L562" s="15">
        <v>0</v>
      </c>
      <c r="M562" s="15">
        <v>0</v>
      </c>
      <c r="N562" s="15">
        <v>108629205.9599995</v>
      </c>
      <c r="O562" s="15">
        <v>27587077.313190907</v>
      </c>
      <c r="P562" s="15">
        <v>0</v>
      </c>
      <c r="Q562" s="15"/>
    </row>
    <row r="563" spans="1:17" hidden="1" x14ac:dyDescent="0.25">
      <c r="A563" s="465" t="s">
        <v>344</v>
      </c>
      <c r="B563" s="15" t="s">
        <v>464</v>
      </c>
      <c r="C563" s="15" t="s">
        <v>465</v>
      </c>
      <c r="D563" s="15" t="s">
        <v>473</v>
      </c>
      <c r="E563" s="15"/>
      <c r="F563" s="15"/>
      <c r="G563" s="15"/>
      <c r="H563" s="15" t="s">
        <v>343</v>
      </c>
      <c r="I563" s="15">
        <v>0</v>
      </c>
      <c r="J563" s="15">
        <v>0</v>
      </c>
      <c r="K563" s="15">
        <v>0</v>
      </c>
      <c r="L563" s="15">
        <v>0</v>
      </c>
      <c r="M563" s="15">
        <v>0</v>
      </c>
      <c r="N563" s="15">
        <v>238713553.10999873</v>
      </c>
      <c r="O563" s="15">
        <v>160342343.65884095</v>
      </c>
      <c r="P563" s="15">
        <v>0</v>
      </c>
      <c r="Q563" s="15"/>
    </row>
    <row r="564" spans="1:17" hidden="1" x14ac:dyDescent="0.25">
      <c r="A564" s="465" t="s">
        <v>135</v>
      </c>
      <c r="B564" s="15" t="s">
        <v>464</v>
      </c>
      <c r="C564" s="15" t="s">
        <v>465</v>
      </c>
      <c r="D564" s="15" t="s">
        <v>473</v>
      </c>
      <c r="E564" s="15"/>
      <c r="F564" s="15"/>
      <c r="G564" s="15"/>
      <c r="H564" s="15" t="s">
        <v>343</v>
      </c>
      <c r="I564" s="15">
        <v>0</v>
      </c>
      <c r="J564" s="15">
        <v>0</v>
      </c>
      <c r="K564" s="15">
        <v>0</v>
      </c>
      <c r="L564" s="15">
        <v>0</v>
      </c>
      <c r="M564" s="15">
        <v>0</v>
      </c>
      <c r="N564" s="15">
        <v>1220654.8799999997</v>
      </c>
      <c r="O564" s="15">
        <v>0</v>
      </c>
      <c r="P564" s="15">
        <v>0</v>
      </c>
      <c r="Q564" s="15"/>
    </row>
    <row r="565" spans="1:17" hidden="1" x14ac:dyDescent="0.25">
      <c r="A565" s="465" t="s">
        <v>127</v>
      </c>
      <c r="B565" s="15" t="s">
        <v>464</v>
      </c>
      <c r="C565" s="15" t="s">
        <v>465</v>
      </c>
      <c r="D565" s="15" t="s">
        <v>473</v>
      </c>
      <c r="E565" s="15"/>
      <c r="F565" s="15"/>
      <c r="G565" s="15"/>
      <c r="H565" s="15" t="s">
        <v>343</v>
      </c>
      <c r="I565" s="15">
        <v>0</v>
      </c>
      <c r="J565" s="15">
        <v>0</v>
      </c>
      <c r="K565" s="15">
        <v>0</v>
      </c>
      <c r="L565" s="15">
        <v>0</v>
      </c>
      <c r="M565" s="15">
        <v>0</v>
      </c>
      <c r="N565" s="15">
        <v>300455001.49999845</v>
      </c>
      <c r="O565" s="15">
        <v>77923810.478209168</v>
      </c>
      <c r="P565" s="15">
        <v>0</v>
      </c>
      <c r="Q565" s="15"/>
    </row>
    <row r="566" spans="1:17" hidden="1" x14ac:dyDescent="0.25">
      <c r="A566" s="465" t="s">
        <v>123</v>
      </c>
      <c r="B566" s="15" t="s">
        <v>464</v>
      </c>
      <c r="C566" s="15" t="s">
        <v>465</v>
      </c>
      <c r="D566" s="15" t="s">
        <v>473</v>
      </c>
      <c r="E566" s="15"/>
      <c r="F566" s="15"/>
      <c r="G566" s="15"/>
      <c r="H566" s="15" t="s">
        <v>343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  <c r="N566" s="15">
        <v>1220654.8799999999</v>
      </c>
      <c r="O566" s="15">
        <v>0</v>
      </c>
      <c r="P566" s="15">
        <v>0</v>
      </c>
      <c r="Q566" s="15"/>
    </row>
    <row r="567" spans="1:17" hidden="1" x14ac:dyDescent="0.25">
      <c r="A567" s="465" t="s">
        <v>133</v>
      </c>
      <c r="B567" s="15" t="s">
        <v>464</v>
      </c>
      <c r="C567" s="15" t="s">
        <v>465</v>
      </c>
      <c r="D567" s="15" t="s">
        <v>473</v>
      </c>
      <c r="E567" s="15"/>
      <c r="F567" s="15"/>
      <c r="G567" s="15"/>
      <c r="H567" s="15" t="s">
        <v>343</v>
      </c>
      <c r="I567" s="15">
        <v>0</v>
      </c>
      <c r="J567" s="15">
        <v>0</v>
      </c>
      <c r="K567" s="15">
        <v>0</v>
      </c>
      <c r="L567" s="15">
        <v>0</v>
      </c>
      <c r="M567" s="15">
        <v>0</v>
      </c>
      <c r="N567" s="15">
        <v>22106208.609999988</v>
      </c>
      <c r="O567" s="15">
        <v>0</v>
      </c>
      <c r="P567" s="15">
        <v>0</v>
      </c>
      <c r="Q567" s="15"/>
    </row>
    <row r="568" spans="1:17" hidden="1" x14ac:dyDescent="0.25">
      <c r="A568" s="15" t="s">
        <v>135</v>
      </c>
      <c r="B568" s="15" t="s">
        <v>464</v>
      </c>
      <c r="C568" s="15" t="s">
        <v>469</v>
      </c>
      <c r="D568" s="15" t="s">
        <v>477</v>
      </c>
      <c r="E568" s="15" t="s">
        <v>478</v>
      </c>
      <c r="F568" s="15"/>
      <c r="G568" s="15">
        <v>1</v>
      </c>
      <c r="H568" s="15"/>
      <c r="I568" s="15">
        <v>190260307.72000337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v>0</v>
      </c>
      <c r="Q568" s="15"/>
    </row>
    <row r="569" spans="1:17" hidden="1" x14ac:dyDescent="0.25">
      <c r="A569" s="15" t="s">
        <v>138</v>
      </c>
      <c r="B569" s="15" t="s">
        <v>464</v>
      </c>
      <c r="C569" s="15" t="s">
        <v>469</v>
      </c>
      <c r="D569" s="15" t="s">
        <v>477</v>
      </c>
      <c r="E569" s="15" t="s">
        <v>478</v>
      </c>
      <c r="F569" s="15"/>
      <c r="G569" s="15"/>
      <c r="H569" s="15"/>
      <c r="I569" s="15">
        <v>29062463.519999985</v>
      </c>
      <c r="J569" s="15">
        <v>0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/>
    </row>
    <row r="570" spans="1:17" hidden="1" x14ac:dyDescent="0.25">
      <c r="A570" s="15" t="s">
        <v>135</v>
      </c>
      <c r="B570" s="15" t="s">
        <v>464</v>
      </c>
      <c r="C570" s="15" t="s">
        <v>469</v>
      </c>
      <c r="D570" s="15" t="s">
        <v>477</v>
      </c>
      <c r="E570" s="15" t="s">
        <v>478</v>
      </c>
      <c r="F570" s="15"/>
      <c r="G570" s="15">
        <v>1</v>
      </c>
      <c r="H570" s="15"/>
      <c r="I570" s="15">
        <v>398858193.26999992</v>
      </c>
      <c r="J570" s="15">
        <v>0</v>
      </c>
      <c r="K570" s="15">
        <v>0</v>
      </c>
      <c r="L570" s="15">
        <v>0</v>
      </c>
      <c r="M570" s="15">
        <v>0</v>
      </c>
      <c r="N570" s="15">
        <v>0</v>
      </c>
      <c r="O570" s="15">
        <v>0</v>
      </c>
      <c r="P570" s="15">
        <v>0</v>
      </c>
      <c r="Q570" s="15"/>
    </row>
    <row r="571" spans="1:17" hidden="1" x14ac:dyDescent="0.25">
      <c r="A571" s="465" t="s">
        <v>135</v>
      </c>
      <c r="B571" s="15" t="s">
        <v>464</v>
      </c>
      <c r="C571" s="15" t="s">
        <v>465</v>
      </c>
      <c r="D571" s="15" t="s">
        <v>473</v>
      </c>
      <c r="E571" s="15"/>
      <c r="F571" s="15"/>
      <c r="G571" s="15"/>
      <c r="H571" s="15" t="s">
        <v>343</v>
      </c>
      <c r="I571" s="15">
        <v>0</v>
      </c>
      <c r="J571" s="15">
        <v>0</v>
      </c>
      <c r="K571" s="15">
        <v>0</v>
      </c>
      <c r="L571" s="15">
        <v>0</v>
      </c>
      <c r="M571" s="15">
        <v>0</v>
      </c>
      <c r="N571" s="15">
        <v>190260307.72000337</v>
      </c>
      <c r="O571" s="15">
        <v>0</v>
      </c>
      <c r="P571" s="15">
        <v>0</v>
      </c>
      <c r="Q571" s="15"/>
    </row>
    <row r="572" spans="1:17" hidden="1" x14ac:dyDescent="0.25">
      <c r="A572" s="465" t="s">
        <v>138</v>
      </c>
      <c r="B572" s="15" t="s">
        <v>464</v>
      </c>
      <c r="C572" s="15" t="s">
        <v>465</v>
      </c>
      <c r="D572" s="15" t="s">
        <v>473</v>
      </c>
      <c r="E572" s="15"/>
      <c r="F572" s="15"/>
      <c r="G572" s="15"/>
      <c r="H572" s="15" t="s">
        <v>343</v>
      </c>
      <c r="I572" s="15">
        <v>0</v>
      </c>
      <c r="J572" s="15">
        <v>0</v>
      </c>
      <c r="K572" s="15">
        <v>0</v>
      </c>
      <c r="L572" s="15">
        <v>0</v>
      </c>
      <c r="M572" s="15">
        <v>0</v>
      </c>
      <c r="N572" s="15">
        <v>29062463.519999985</v>
      </c>
      <c r="O572" s="15">
        <v>0</v>
      </c>
      <c r="P572" s="15">
        <v>0</v>
      </c>
      <c r="Q572" s="15"/>
    </row>
    <row r="573" spans="1:17" hidden="1" x14ac:dyDescent="0.25">
      <c r="A573" s="465" t="s">
        <v>135</v>
      </c>
      <c r="B573" s="15" t="s">
        <v>464</v>
      </c>
      <c r="C573" s="15" t="s">
        <v>465</v>
      </c>
      <c r="D573" s="15" t="s">
        <v>473</v>
      </c>
      <c r="E573" s="15"/>
      <c r="F573" s="15"/>
      <c r="G573" s="15"/>
      <c r="H573" s="15" t="s">
        <v>343</v>
      </c>
      <c r="I573" s="15">
        <v>0</v>
      </c>
      <c r="J573" s="15">
        <v>0</v>
      </c>
      <c r="K573" s="15">
        <v>0</v>
      </c>
      <c r="L573" s="15">
        <v>0</v>
      </c>
      <c r="M573" s="15">
        <v>0</v>
      </c>
      <c r="N573" s="15">
        <v>398858193.26999992</v>
      </c>
      <c r="O573" s="15">
        <v>0</v>
      </c>
      <c r="P573" s="15">
        <v>0</v>
      </c>
      <c r="Q573" s="15"/>
    </row>
    <row r="574" spans="1:17" ht="30" hidden="1" x14ac:dyDescent="0.25">
      <c r="A574" s="15" t="s">
        <v>135</v>
      </c>
      <c r="B574" s="15" t="s">
        <v>464</v>
      </c>
      <c r="C574" s="15" t="s">
        <v>481</v>
      </c>
      <c r="D574" s="15" t="s">
        <v>482</v>
      </c>
      <c r="E574" s="15" t="s">
        <v>478</v>
      </c>
      <c r="F574" s="15">
        <v>1</v>
      </c>
      <c r="G574" s="15"/>
      <c r="H574" s="15"/>
      <c r="I574" s="15">
        <v>0</v>
      </c>
      <c r="J574" s="15">
        <v>283457019.83000004</v>
      </c>
      <c r="K574" s="15">
        <v>14201168.000000009</v>
      </c>
      <c r="L574" s="15">
        <v>196318626.89000005</v>
      </c>
      <c r="M574" s="15">
        <v>0</v>
      </c>
      <c r="N574" s="15">
        <v>0</v>
      </c>
      <c r="O574" s="15">
        <v>0</v>
      </c>
      <c r="P574" s="15">
        <v>0</v>
      </c>
      <c r="Q574" s="15"/>
    </row>
    <row r="575" spans="1:17" ht="30" hidden="1" x14ac:dyDescent="0.25">
      <c r="A575" s="15" t="s">
        <v>127</v>
      </c>
      <c r="B575" s="15" t="s">
        <v>464</v>
      </c>
      <c r="C575" s="15" t="s">
        <v>481</v>
      </c>
      <c r="D575" s="15" t="s">
        <v>483</v>
      </c>
      <c r="E575" s="15" t="s">
        <v>355</v>
      </c>
      <c r="F575" s="15">
        <v>1</v>
      </c>
      <c r="G575" s="15"/>
      <c r="H575" s="15"/>
      <c r="I575" s="15">
        <v>0</v>
      </c>
      <c r="J575" s="15">
        <v>34880558.810000002</v>
      </c>
      <c r="K575" s="15">
        <v>2091125.26</v>
      </c>
      <c r="L575" s="15">
        <v>139815950.95999998</v>
      </c>
      <c r="M575" s="15">
        <v>0</v>
      </c>
      <c r="N575" s="15">
        <v>0</v>
      </c>
      <c r="O575" s="15">
        <v>0</v>
      </c>
      <c r="P575" s="15">
        <v>0</v>
      </c>
      <c r="Q575" s="15"/>
    </row>
    <row r="576" spans="1:17" ht="30" hidden="1" x14ac:dyDescent="0.25">
      <c r="A576" s="15" t="s">
        <v>420</v>
      </c>
      <c r="B576" s="15" t="s">
        <v>464</v>
      </c>
      <c r="C576" s="15" t="s">
        <v>481</v>
      </c>
      <c r="D576" s="15" t="s">
        <v>484</v>
      </c>
      <c r="E576" s="15" t="s">
        <v>355</v>
      </c>
      <c r="F576" s="15"/>
      <c r="G576" s="15"/>
      <c r="H576" s="15"/>
      <c r="I576" s="15">
        <v>0</v>
      </c>
      <c r="J576" s="15">
        <v>7559280.2800000003</v>
      </c>
      <c r="K576" s="15">
        <v>293180.96000000002</v>
      </c>
      <c r="L576" s="15">
        <v>6270010.7999999998</v>
      </c>
      <c r="M576" s="15">
        <v>0</v>
      </c>
      <c r="N576" s="15">
        <v>0</v>
      </c>
      <c r="O576" s="15">
        <v>0</v>
      </c>
      <c r="P576" s="15">
        <v>0</v>
      </c>
      <c r="Q576" s="15"/>
    </row>
    <row r="577" spans="1:17" hidden="1" x14ac:dyDescent="0.25">
      <c r="A577" s="15" t="s">
        <v>420</v>
      </c>
      <c r="B577" s="15" t="s">
        <v>464</v>
      </c>
      <c r="C577" s="15" t="s">
        <v>469</v>
      </c>
      <c r="D577" s="15" t="s">
        <v>485</v>
      </c>
      <c r="E577" s="15" t="s">
        <v>355</v>
      </c>
      <c r="F577" s="15"/>
      <c r="G577" s="15"/>
      <c r="H577" s="15"/>
      <c r="I577" s="15">
        <v>0</v>
      </c>
      <c r="J577" s="15">
        <v>0</v>
      </c>
      <c r="K577" s="15">
        <v>8338655.9999999981</v>
      </c>
      <c r="L577" s="15">
        <v>0</v>
      </c>
      <c r="M577" s="15">
        <v>0</v>
      </c>
      <c r="N577" s="15">
        <v>8338655.9999999981</v>
      </c>
      <c r="O577" s="15">
        <v>0</v>
      </c>
      <c r="P577" s="15">
        <v>0</v>
      </c>
      <c r="Q577" s="15"/>
    </row>
    <row r="578" spans="1:17" ht="30" hidden="1" x14ac:dyDescent="0.25">
      <c r="A578" s="15" t="s">
        <v>383</v>
      </c>
      <c r="B578" s="15" t="s">
        <v>464</v>
      </c>
      <c r="C578" s="15" t="s">
        <v>481</v>
      </c>
      <c r="D578" s="15" t="s">
        <v>484</v>
      </c>
      <c r="E578" s="15" t="s">
        <v>355</v>
      </c>
      <c r="F578" s="15">
        <v>1</v>
      </c>
      <c r="G578" s="15"/>
      <c r="H578" s="15"/>
      <c r="I578" s="15">
        <v>0</v>
      </c>
      <c r="J578" s="15">
        <v>86102087.389999986</v>
      </c>
      <c r="K578" s="15">
        <v>2997710.13</v>
      </c>
      <c r="L578" s="15">
        <v>111635936.67000006</v>
      </c>
      <c r="M578" s="15">
        <v>0</v>
      </c>
      <c r="N578" s="15">
        <v>0</v>
      </c>
      <c r="O578" s="15">
        <v>0</v>
      </c>
      <c r="P578" s="15">
        <v>0</v>
      </c>
      <c r="Q578" s="15"/>
    </row>
    <row r="579" spans="1:17" ht="30" hidden="1" x14ac:dyDescent="0.25">
      <c r="A579" s="15" t="s">
        <v>383</v>
      </c>
      <c r="B579" s="15" t="s">
        <v>464</v>
      </c>
      <c r="C579" s="15" t="s">
        <v>481</v>
      </c>
      <c r="D579" s="15" t="s">
        <v>482</v>
      </c>
      <c r="E579" s="15" t="s">
        <v>478</v>
      </c>
      <c r="F579" s="15"/>
      <c r="G579" s="15"/>
      <c r="H579" s="15"/>
      <c r="I579" s="15">
        <v>0</v>
      </c>
      <c r="J579" s="15">
        <v>0</v>
      </c>
      <c r="K579" s="15">
        <v>0</v>
      </c>
      <c r="L579" s="15">
        <v>28433.079999999998</v>
      </c>
      <c r="M579" s="15">
        <v>0</v>
      </c>
      <c r="N579" s="15">
        <v>0</v>
      </c>
      <c r="O579" s="15">
        <v>0</v>
      </c>
      <c r="P579" s="15">
        <v>0</v>
      </c>
      <c r="Q579" s="15"/>
    </row>
    <row r="580" spans="1:17" ht="30" hidden="1" x14ac:dyDescent="0.25">
      <c r="A580" s="15" t="s">
        <v>383</v>
      </c>
      <c r="B580" s="15" t="s">
        <v>464</v>
      </c>
      <c r="C580" s="15" t="s">
        <v>481</v>
      </c>
      <c r="D580" s="15" t="s">
        <v>486</v>
      </c>
      <c r="E580" s="15" t="s">
        <v>428</v>
      </c>
      <c r="F580" s="15"/>
      <c r="G580" s="15"/>
      <c r="H580" s="15"/>
      <c r="I580" s="15">
        <v>0</v>
      </c>
      <c r="J580" s="15">
        <v>0</v>
      </c>
      <c r="K580" s="15">
        <v>0</v>
      </c>
      <c r="L580" s="15">
        <v>6889610.7199999969</v>
      </c>
      <c r="M580" s="15">
        <v>0</v>
      </c>
      <c r="N580" s="15">
        <v>0</v>
      </c>
      <c r="O580" s="15">
        <v>0</v>
      </c>
      <c r="P580" s="15">
        <v>0</v>
      </c>
      <c r="Q580" s="15"/>
    </row>
    <row r="581" spans="1:17" hidden="1" x14ac:dyDescent="0.25">
      <c r="A581" s="15" t="s">
        <v>383</v>
      </c>
      <c r="B581" s="15" t="s">
        <v>464</v>
      </c>
      <c r="C581" s="15" t="s">
        <v>469</v>
      </c>
      <c r="D581" s="15" t="s">
        <v>485</v>
      </c>
      <c r="E581" s="15" t="s">
        <v>355</v>
      </c>
      <c r="F581" s="15">
        <v>1</v>
      </c>
      <c r="G581" s="15"/>
      <c r="H581" s="15"/>
      <c r="I581" s="15">
        <v>0</v>
      </c>
      <c r="J581" s="15">
        <v>0</v>
      </c>
      <c r="K581" s="15">
        <v>55786787.809999935</v>
      </c>
      <c r="L581" s="15">
        <v>0</v>
      </c>
      <c r="M581" s="15">
        <v>0</v>
      </c>
      <c r="N581" s="15">
        <v>55786787.809999935</v>
      </c>
      <c r="O581" s="15">
        <v>0</v>
      </c>
      <c r="P581" s="15">
        <v>0</v>
      </c>
      <c r="Q581" s="15"/>
    </row>
    <row r="582" spans="1:17" ht="30" hidden="1" x14ac:dyDescent="0.25">
      <c r="A582" s="15" t="s">
        <v>383</v>
      </c>
      <c r="B582" s="15" t="s">
        <v>464</v>
      </c>
      <c r="C582" s="15" t="s">
        <v>481</v>
      </c>
      <c r="D582" s="15" t="s">
        <v>486</v>
      </c>
      <c r="E582" s="15" t="s">
        <v>430</v>
      </c>
      <c r="F582" s="15"/>
      <c r="G582" s="15"/>
      <c r="H582" s="15"/>
      <c r="I582" s="15">
        <v>0</v>
      </c>
      <c r="J582" s="15">
        <v>0</v>
      </c>
      <c r="K582" s="15">
        <v>2201971.15</v>
      </c>
      <c r="L582" s="15">
        <v>0</v>
      </c>
      <c r="M582" s="15">
        <v>0</v>
      </c>
      <c r="N582" s="15">
        <v>0</v>
      </c>
      <c r="O582" s="15">
        <v>0</v>
      </c>
      <c r="P582" s="15">
        <v>0</v>
      </c>
      <c r="Q582" s="15"/>
    </row>
    <row r="583" spans="1:17" ht="30" hidden="1" x14ac:dyDescent="0.25">
      <c r="A583" s="15" t="s">
        <v>344</v>
      </c>
      <c r="B583" s="15" t="s">
        <v>464</v>
      </c>
      <c r="C583" s="15" t="s">
        <v>481</v>
      </c>
      <c r="D583" s="15" t="s">
        <v>486</v>
      </c>
      <c r="E583" s="15" t="s">
        <v>428</v>
      </c>
      <c r="F583" s="15">
        <v>1</v>
      </c>
      <c r="G583" s="15"/>
      <c r="H583" s="15"/>
      <c r="I583" s="15">
        <v>0</v>
      </c>
      <c r="J583" s="15">
        <v>16476732.709999999</v>
      </c>
      <c r="K583" s="15">
        <v>4822398.8600000003</v>
      </c>
      <c r="L583" s="15">
        <v>58859998.560000047</v>
      </c>
      <c r="M583" s="15">
        <v>0</v>
      </c>
      <c r="N583" s="15">
        <v>0</v>
      </c>
      <c r="O583" s="15">
        <v>0</v>
      </c>
      <c r="P583" s="15">
        <v>0</v>
      </c>
      <c r="Q583" s="15"/>
    </row>
    <row r="584" spans="1:17" ht="30" hidden="1" x14ac:dyDescent="0.25">
      <c r="A584" s="15" t="s">
        <v>344</v>
      </c>
      <c r="B584" s="15" t="s">
        <v>464</v>
      </c>
      <c r="C584" s="15" t="s">
        <v>481</v>
      </c>
      <c r="D584" s="15" t="s">
        <v>486</v>
      </c>
      <c r="E584" s="15" t="s">
        <v>430</v>
      </c>
      <c r="F584" s="15"/>
      <c r="G584" s="15"/>
      <c r="H584" s="15"/>
      <c r="I584" s="15">
        <v>0</v>
      </c>
      <c r="J584" s="15">
        <v>0</v>
      </c>
      <c r="K584" s="15">
        <v>390935.39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15"/>
    </row>
    <row r="585" spans="1:17" hidden="1" x14ac:dyDescent="0.25">
      <c r="A585" s="15" t="s">
        <v>344</v>
      </c>
      <c r="B585" s="15" t="s">
        <v>464</v>
      </c>
      <c r="C585" s="15" t="s">
        <v>469</v>
      </c>
      <c r="D585" s="15" t="s">
        <v>485</v>
      </c>
      <c r="E585" s="15" t="s">
        <v>428</v>
      </c>
      <c r="F585" s="15">
        <v>1</v>
      </c>
      <c r="G585" s="15"/>
      <c r="H585" s="15"/>
      <c r="I585" s="15">
        <v>0</v>
      </c>
      <c r="J585" s="15">
        <v>0</v>
      </c>
      <c r="K585" s="15">
        <v>26885692.90000001</v>
      </c>
      <c r="L585" s="15">
        <v>0</v>
      </c>
      <c r="M585" s="15">
        <v>0</v>
      </c>
      <c r="N585" s="15">
        <v>26885692.90000001</v>
      </c>
      <c r="O585" s="15">
        <v>0</v>
      </c>
      <c r="P585" s="15">
        <v>0</v>
      </c>
      <c r="Q585" s="15"/>
    </row>
    <row r="586" spans="1:17" hidden="1" x14ac:dyDescent="0.25">
      <c r="A586" s="15" t="s">
        <v>344</v>
      </c>
      <c r="B586" s="15" t="s">
        <v>464</v>
      </c>
      <c r="C586" s="15" t="s">
        <v>469</v>
      </c>
      <c r="D586" s="15" t="s">
        <v>485</v>
      </c>
      <c r="E586" s="15" t="s">
        <v>355</v>
      </c>
      <c r="F586" s="15"/>
      <c r="G586" s="15"/>
      <c r="H586" s="15"/>
      <c r="I586" s="15">
        <v>0</v>
      </c>
      <c r="J586" s="15">
        <v>0</v>
      </c>
      <c r="K586" s="15">
        <v>47364394.949999921</v>
      </c>
      <c r="L586" s="15">
        <v>0</v>
      </c>
      <c r="M586" s="15">
        <v>0</v>
      </c>
      <c r="N586" s="15">
        <v>47364394.949999921</v>
      </c>
      <c r="O586" s="15">
        <v>0</v>
      </c>
      <c r="P586" s="15">
        <v>0</v>
      </c>
      <c r="Q586" s="15"/>
    </row>
    <row r="587" spans="1:17" ht="30" hidden="1" x14ac:dyDescent="0.25">
      <c r="A587" s="15" t="s">
        <v>344</v>
      </c>
      <c r="B587" s="15" t="s">
        <v>464</v>
      </c>
      <c r="C587" s="15" t="s">
        <v>481</v>
      </c>
      <c r="D587" s="15" t="s">
        <v>486</v>
      </c>
      <c r="E587" s="15" t="s">
        <v>355</v>
      </c>
      <c r="F587" s="15"/>
      <c r="G587" s="15"/>
      <c r="H587" s="15"/>
      <c r="I587" s="15">
        <v>0</v>
      </c>
      <c r="J587" s="15">
        <v>0</v>
      </c>
      <c r="K587" s="15">
        <v>0</v>
      </c>
      <c r="L587" s="15">
        <v>5225326.0500000007</v>
      </c>
      <c r="M587" s="15">
        <v>0</v>
      </c>
      <c r="N587" s="15">
        <v>0</v>
      </c>
      <c r="O587" s="15">
        <v>0</v>
      </c>
      <c r="P587" s="15">
        <v>0</v>
      </c>
      <c r="Q587" s="15"/>
    </row>
    <row r="588" spans="1:17" ht="30" hidden="1" x14ac:dyDescent="0.25">
      <c r="A588" s="15" t="s">
        <v>344</v>
      </c>
      <c r="B588" s="15" t="s">
        <v>464</v>
      </c>
      <c r="C588" s="15" t="s">
        <v>481</v>
      </c>
      <c r="D588" s="15" t="s">
        <v>482</v>
      </c>
      <c r="E588" s="15" t="s">
        <v>478</v>
      </c>
      <c r="F588" s="15"/>
      <c r="G588" s="15"/>
      <c r="H588" s="15"/>
      <c r="I588" s="15">
        <v>0</v>
      </c>
      <c r="J588" s="15">
        <v>0</v>
      </c>
      <c r="K588" s="15">
        <v>0</v>
      </c>
      <c r="L588" s="15">
        <v>9909.8700000000008</v>
      </c>
      <c r="M588" s="15">
        <v>0</v>
      </c>
      <c r="N588" s="15">
        <v>0</v>
      </c>
      <c r="O588" s="15">
        <v>0</v>
      </c>
      <c r="P588" s="15">
        <v>0</v>
      </c>
      <c r="Q588" s="15"/>
    </row>
    <row r="589" spans="1:17" ht="30" hidden="1" x14ac:dyDescent="0.25">
      <c r="A589" s="15" t="s">
        <v>344</v>
      </c>
      <c r="B589" s="15" t="s">
        <v>464</v>
      </c>
      <c r="C589" s="15" t="s">
        <v>481</v>
      </c>
      <c r="D589" s="15" t="s">
        <v>483</v>
      </c>
      <c r="E589" s="15" t="s">
        <v>428</v>
      </c>
      <c r="F589" s="15"/>
      <c r="G589" s="15"/>
      <c r="H589" s="15"/>
      <c r="I589" s="15">
        <v>0</v>
      </c>
      <c r="J589" s="15">
        <v>0</v>
      </c>
      <c r="K589" s="15">
        <v>0</v>
      </c>
      <c r="L589" s="15">
        <v>7785298.8700000001</v>
      </c>
      <c r="M589" s="15">
        <v>0</v>
      </c>
      <c r="N589" s="15">
        <v>0</v>
      </c>
      <c r="O589" s="15">
        <v>0</v>
      </c>
      <c r="P589" s="15">
        <v>0</v>
      </c>
      <c r="Q589" s="15"/>
    </row>
    <row r="590" spans="1:17" ht="30" hidden="1" x14ac:dyDescent="0.25">
      <c r="A590" s="15" t="s">
        <v>135</v>
      </c>
      <c r="B590" s="15" t="s">
        <v>464</v>
      </c>
      <c r="C590" s="15" t="s">
        <v>481</v>
      </c>
      <c r="D590" s="15" t="s">
        <v>482</v>
      </c>
      <c r="E590" s="15" t="s">
        <v>487</v>
      </c>
      <c r="F590" s="15">
        <v>1</v>
      </c>
      <c r="G590" s="15"/>
      <c r="H590" s="15"/>
      <c r="I590" s="15">
        <v>0</v>
      </c>
      <c r="J590" s="15">
        <v>0</v>
      </c>
      <c r="K590" s="15">
        <v>0</v>
      </c>
      <c r="L590" s="15">
        <v>109518113.71000004</v>
      </c>
      <c r="M590" s="15">
        <v>0</v>
      </c>
      <c r="N590" s="15">
        <v>0</v>
      </c>
      <c r="O590" s="15">
        <v>0</v>
      </c>
      <c r="P590" s="15">
        <v>0</v>
      </c>
      <c r="Q590" s="15"/>
    </row>
    <row r="591" spans="1:17" ht="30" hidden="1" x14ac:dyDescent="0.25">
      <c r="A591" s="15" t="s">
        <v>135</v>
      </c>
      <c r="B591" s="15" t="s">
        <v>464</v>
      </c>
      <c r="C591" s="15" t="s">
        <v>481</v>
      </c>
      <c r="D591" s="15" t="s">
        <v>483</v>
      </c>
      <c r="E591" s="15" t="s">
        <v>355</v>
      </c>
      <c r="F591" s="15"/>
      <c r="G591" s="15"/>
      <c r="H591" s="15"/>
      <c r="I591" s="15">
        <v>0</v>
      </c>
      <c r="J591" s="15">
        <v>0</v>
      </c>
      <c r="K591" s="15">
        <v>0</v>
      </c>
      <c r="L591" s="15">
        <v>3302547.12</v>
      </c>
      <c r="M591" s="15">
        <v>0</v>
      </c>
      <c r="N591" s="15">
        <v>0</v>
      </c>
      <c r="O591" s="15">
        <v>0</v>
      </c>
      <c r="P591" s="15">
        <v>0</v>
      </c>
      <c r="Q591" s="15"/>
    </row>
    <row r="592" spans="1:17" ht="30" hidden="1" x14ac:dyDescent="0.25">
      <c r="A592" s="15" t="s">
        <v>135</v>
      </c>
      <c r="B592" s="15" t="s">
        <v>464</v>
      </c>
      <c r="C592" s="15" t="s">
        <v>481</v>
      </c>
      <c r="D592" s="15" t="s">
        <v>483</v>
      </c>
      <c r="E592" s="15" t="s">
        <v>478</v>
      </c>
      <c r="F592" s="15"/>
      <c r="G592" s="15"/>
      <c r="H592" s="15"/>
      <c r="I592" s="15">
        <v>0</v>
      </c>
      <c r="J592" s="15">
        <v>19524447.250000004</v>
      </c>
      <c r="K592" s="15">
        <v>0</v>
      </c>
      <c r="L592" s="15">
        <v>65665.02</v>
      </c>
      <c r="M592" s="15">
        <v>0</v>
      </c>
      <c r="N592" s="15">
        <v>0</v>
      </c>
      <c r="O592" s="15">
        <v>0</v>
      </c>
      <c r="P592" s="15">
        <v>0</v>
      </c>
      <c r="Q592" s="15"/>
    </row>
    <row r="593" spans="1:17" ht="30" hidden="1" x14ac:dyDescent="0.25">
      <c r="A593" s="15" t="s">
        <v>127</v>
      </c>
      <c r="B593" s="15" t="s">
        <v>464</v>
      </c>
      <c r="C593" s="15" t="s">
        <v>481</v>
      </c>
      <c r="D593" s="15" t="s">
        <v>484</v>
      </c>
      <c r="E593" s="15" t="s">
        <v>355</v>
      </c>
      <c r="F593" s="15"/>
      <c r="G593" s="15"/>
      <c r="H593" s="15"/>
      <c r="I593" s="15">
        <v>0</v>
      </c>
      <c r="J593" s="15">
        <v>0</v>
      </c>
      <c r="K593" s="15">
        <v>0</v>
      </c>
      <c r="L593" s="15">
        <v>10775322.740000002</v>
      </c>
      <c r="M593" s="15">
        <v>0</v>
      </c>
      <c r="N593" s="15">
        <v>0</v>
      </c>
      <c r="O593" s="15">
        <v>0</v>
      </c>
      <c r="P593" s="15">
        <v>0</v>
      </c>
      <c r="Q593" s="15"/>
    </row>
    <row r="594" spans="1:17" hidden="1" x14ac:dyDescent="0.25">
      <c r="A594" s="15" t="s">
        <v>127</v>
      </c>
      <c r="B594" s="15" t="s">
        <v>464</v>
      </c>
      <c r="C594" s="15" t="s">
        <v>469</v>
      </c>
      <c r="D594" s="15" t="s">
        <v>485</v>
      </c>
      <c r="E594" s="15" t="s">
        <v>355</v>
      </c>
      <c r="F594" s="15">
        <v>1</v>
      </c>
      <c r="G594" s="15"/>
      <c r="H594" s="15"/>
      <c r="I594" s="15">
        <v>0</v>
      </c>
      <c r="J594" s="15">
        <v>0</v>
      </c>
      <c r="K594" s="15">
        <v>31316449.110000011</v>
      </c>
      <c r="L594" s="15">
        <v>0</v>
      </c>
      <c r="M594" s="15">
        <v>0</v>
      </c>
      <c r="N594" s="15">
        <v>31316449.110000011</v>
      </c>
      <c r="O594" s="15">
        <v>0</v>
      </c>
      <c r="P594" s="15">
        <v>0</v>
      </c>
      <c r="Q594" s="15"/>
    </row>
    <row r="595" spans="1:17" ht="30" hidden="1" x14ac:dyDescent="0.25">
      <c r="A595" s="15" t="s">
        <v>127</v>
      </c>
      <c r="B595" s="15" t="s">
        <v>464</v>
      </c>
      <c r="C595" s="15" t="s">
        <v>481</v>
      </c>
      <c r="D595" s="15" t="s">
        <v>486</v>
      </c>
      <c r="E595" s="15" t="s">
        <v>430</v>
      </c>
      <c r="F595" s="15"/>
      <c r="G595" s="15"/>
      <c r="H595" s="15"/>
      <c r="I595" s="15">
        <v>0</v>
      </c>
      <c r="J595" s="15">
        <v>0</v>
      </c>
      <c r="K595" s="15">
        <v>16367163.050000001</v>
      </c>
      <c r="L595" s="15">
        <v>0</v>
      </c>
      <c r="M595" s="15">
        <v>0</v>
      </c>
      <c r="N595" s="15">
        <v>0</v>
      </c>
      <c r="O595" s="15">
        <v>0</v>
      </c>
      <c r="P595" s="15">
        <v>0</v>
      </c>
      <c r="Q595" s="15"/>
    </row>
    <row r="596" spans="1:17" ht="30" hidden="1" x14ac:dyDescent="0.25">
      <c r="A596" s="15" t="s">
        <v>127</v>
      </c>
      <c r="B596" s="15" t="s">
        <v>464</v>
      </c>
      <c r="C596" s="15" t="s">
        <v>481</v>
      </c>
      <c r="D596" s="15" t="s">
        <v>483</v>
      </c>
      <c r="E596" s="15" t="s">
        <v>478</v>
      </c>
      <c r="F596" s="15"/>
      <c r="G596" s="15"/>
      <c r="H596" s="15"/>
      <c r="I596" s="15">
        <v>0</v>
      </c>
      <c r="J596" s="15">
        <v>0</v>
      </c>
      <c r="K596" s="15">
        <v>0</v>
      </c>
      <c r="L596" s="15">
        <v>15694.580000000002</v>
      </c>
      <c r="M596" s="15">
        <v>0</v>
      </c>
      <c r="N596" s="15">
        <v>0</v>
      </c>
      <c r="O596" s="15">
        <v>0</v>
      </c>
      <c r="P596" s="15">
        <v>0</v>
      </c>
      <c r="Q596" s="15"/>
    </row>
    <row r="597" spans="1:17" ht="30" hidden="1" x14ac:dyDescent="0.25">
      <c r="A597" s="15" t="s">
        <v>127</v>
      </c>
      <c r="B597" s="15" t="s">
        <v>464</v>
      </c>
      <c r="C597" s="15" t="s">
        <v>481</v>
      </c>
      <c r="D597" s="15" t="s">
        <v>483</v>
      </c>
      <c r="E597" s="15" t="s">
        <v>428</v>
      </c>
      <c r="F597" s="15"/>
      <c r="G597" s="15"/>
      <c r="H597" s="15"/>
      <c r="I597" s="15">
        <v>0</v>
      </c>
      <c r="J597" s="15">
        <v>0</v>
      </c>
      <c r="K597" s="15">
        <v>0</v>
      </c>
      <c r="L597" s="15">
        <v>31116021.569999993</v>
      </c>
      <c r="M597" s="15">
        <v>0</v>
      </c>
      <c r="N597" s="15">
        <v>0</v>
      </c>
      <c r="O597" s="15">
        <v>0</v>
      </c>
      <c r="P597" s="15">
        <v>0</v>
      </c>
      <c r="Q597" s="15"/>
    </row>
    <row r="598" spans="1:17" ht="30" hidden="1" x14ac:dyDescent="0.25">
      <c r="A598" s="15" t="s">
        <v>123</v>
      </c>
      <c r="B598" s="15" t="s">
        <v>464</v>
      </c>
      <c r="C598" s="15" t="s">
        <v>481</v>
      </c>
      <c r="D598" s="15" t="s">
        <v>486</v>
      </c>
      <c r="E598" s="15" t="s">
        <v>430</v>
      </c>
      <c r="F598" s="15">
        <v>1</v>
      </c>
      <c r="G598" s="15"/>
      <c r="H598" s="15"/>
      <c r="I598" s="15">
        <v>0</v>
      </c>
      <c r="J598" s="15">
        <v>14587671.609999998</v>
      </c>
      <c r="K598" s="15">
        <v>84991549.110000074</v>
      </c>
      <c r="L598" s="15">
        <v>61231694.460000016</v>
      </c>
      <c r="M598" s="15">
        <v>0</v>
      </c>
      <c r="N598" s="15">
        <v>0</v>
      </c>
      <c r="O598" s="15">
        <v>0</v>
      </c>
      <c r="P598" s="15">
        <v>0</v>
      </c>
      <c r="Q598" s="15"/>
    </row>
    <row r="599" spans="1:17" hidden="1" x14ac:dyDescent="0.25">
      <c r="A599" s="15" t="s">
        <v>133</v>
      </c>
      <c r="B599" s="15" t="s">
        <v>464</v>
      </c>
      <c r="C599" s="15" t="s">
        <v>469</v>
      </c>
      <c r="D599" s="15" t="s">
        <v>485</v>
      </c>
      <c r="E599" s="15" t="s">
        <v>428</v>
      </c>
      <c r="F599" s="15">
        <v>1</v>
      </c>
      <c r="G599" s="15"/>
      <c r="H599" s="15"/>
      <c r="I599" s="15">
        <v>0</v>
      </c>
      <c r="J599" s="15">
        <v>0</v>
      </c>
      <c r="K599" s="15">
        <v>87333646.37999998</v>
      </c>
      <c r="L599" s="15">
        <v>0</v>
      </c>
      <c r="M599" s="15">
        <v>0</v>
      </c>
      <c r="N599" s="15">
        <v>87333646.37999998</v>
      </c>
      <c r="O599" s="15">
        <v>0</v>
      </c>
      <c r="P599" s="15">
        <v>0</v>
      </c>
      <c r="Q599" s="15"/>
    </row>
    <row r="600" spans="1:17" hidden="1" x14ac:dyDescent="0.25">
      <c r="A600" s="15" t="s">
        <v>133</v>
      </c>
      <c r="B600" s="15" t="s">
        <v>464</v>
      </c>
      <c r="C600" s="15" t="s">
        <v>469</v>
      </c>
      <c r="D600" s="15" t="s">
        <v>485</v>
      </c>
      <c r="E600" s="15" t="s">
        <v>355</v>
      </c>
      <c r="F600" s="15"/>
      <c r="G600" s="15"/>
      <c r="H600" s="15"/>
      <c r="I600" s="15">
        <v>0</v>
      </c>
      <c r="J600" s="15">
        <v>0</v>
      </c>
      <c r="K600" s="15">
        <v>855691.44000000006</v>
      </c>
      <c r="L600" s="15">
        <v>0</v>
      </c>
      <c r="M600" s="15">
        <v>0</v>
      </c>
      <c r="N600" s="15">
        <v>855691.44000000006</v>
      </c>
      <c r="O600" s="15">
        <v>0</v>
      </c>
      <c r="P600" s="15">
        <v>0</v>
      </c>
      <c r="Q600" s="15"/>
    </row>
    <row r="601" spans="1:17" ht="30" hidden="1" x14ac:dyDescent="0.25">
      <c r="A601" s="15" t="s">
        <v>133</v>
      </c>
      <c r="B601" s="15" t="s">
        <v>464</v>
      </c>
      <c r="C601" s="15" t="s">
        <v>481</v>
      </c>
      <c r="D601" s="15" t="s">
        <v>483</v>
      </c>
      <c r="E601" s="15" t="s">
        <v>355</v>
      </c>
      <c r="F601" s="15"/>
      <c r="G601" s="15"/>
      <c r="H601" s="15"/>
      <c r="I601" s="15">
        <v>0</v>
      </c>
      <c r="J601" s="15">
        <v>0</v>
      </c>
      <c r="K601" s="15">
        <v>0</v>
      </c>
      <c r="L601" s="15">
        <v>508431.55999999994</v>
      </c>
      <c r="M601" s="15">
        <v>0</v>
      </c>
      <c r="N601" s="15">
        <v>0</v>
      </c>
      <c r="O601" s="15">
        <v>0</v>
      </c>
      <c r="P601" s="15">
        <v>0</v>
      </c>
      <c r="Q601" s="15"/>
    </row>
    <row r="602" spans="1:17" ht="30" hidden="1" x14ac:dyDescent="0.25">
      <c r="A602" s="15" t="s">
        <v>133</v>
      </c>
      <c r="B602" s="15" t="s">
        <v>464</v>
      </c>
      <c r="C602" s="15" t="s">
        <v>481</v>
      </c>
      <c r="D602" s="15" t="s">
        <v>486</v>
      </c>
      <c r="E602" s="15" t="s">
        <v>428</v>
      </c>
      <c r="F602" s="15">
        <v>1</v>
      </c>
      <c r="G602" s="15"/>
      <c r="H602" s="15"/>
      <c r="I602" s="15">
        <v>0</v>
      </c>
      <c r="J602" s="15">
        <v>6077749.5899999999</v>
      </c>
      <c r="K602" s="15">
        <v>982012.08</v>
      </c>
      <c r="L602" s="15">
        <v>47188551.959999993</v>
      </c>
      <c r="M602" s="15">
        <v>0</v>
      </c>
      <c r="N602" s="15">
        <v>0</v>
      </c>
      <c r="O602" s="15">
        <v>0</v>
      </c>
      <c r="P602" s="15">
        <v>0</v>
      </c>
      <c r="Q602" s="15"/>
    </row>
    <row r="603" spans="1:17" ht="30" hidden="1" x14ac:dyDescent="0.25">
      <c r="A603" s="15" t="s">
        <v>133</v>
      </c>
      <c r="B603" s="15" t="s">
        <v>464</v>
      </c>
      <c r="C603" s="15" t="s">
        <v>481</v>
      </c>
      <c r="D603" s="15" t="s">
        <v>483</v>
      </c>
      <c r="E603" s="15" t="s">
        <v>428</v>
      </c>
      <c r="F603" s="15"/>
      <c r="G603" s="15"/>
      <c r="H603" s="15"/>
      <c r="I603" s="15">
        <v>0</v>
      </c>
      <c r="J603" s="15">
        <v>6196445.6400000006</v>
      </c>
      <c r="K603" s="15">
        <v>0</v>
      </c>
      <c r="L603" s="15">
        <v>1588019.9799999997</v>
      </c>
      <c r="M603" s="15">
        <v>0</v>
      </c>
      <c r="N603" s="15">
        <v>0</v>
      </c>
      <c r="O603" s="15">
        <v>0</v>
      </c>
      <c r="P603" s="15">
        <v>0</v>
      </c>
      <c r="Q603" s="15"/>
    </row>
    <row r="604" spans="1:17" ht="30" hidden="1" x14ac:dyDescent="0.25">
      <c r="A604" s="15" t="s">
        <v>139</v>
      </c>
      <c r="B604" s="15" t="s">
        <v>464</v>
      </c>
      <c r="C604" s="15" t="s">
        <v>481</v>
      </c>
      <c r="D604" s="15" t="s">
        <v>482</v>
      </c>
      <c r="E604" s="15" t="s">
        <v>478</v>
      </c>
      <c r="F604" s="15"/>
      <c r="G604" s="15"/>
      <c r="H604" s="15"/>
      <c r="I604" s="15">
        <v>0</v>
      </c>
      <c r="J604" s="15">
        <v>7522983.4700000007</v>
      </c>
      <c r="K604" s="15">
        <v>98786.069999999992</v>
      </c>
      <c r="L604" s="15">
        <v>9930056.3099999987</v>
      </c>
      <c r="M604" s="15">
        <v>0</v>
      </c>
      <c r="N604" s="15">
        <v>0</v>
      </c>
      <c r="O604" s="15">
        <v>0</v>
      </c>
      <c r="P604" s="15">
        <v>0</v>
      </c>
      <c r="Q604" s="15"/>
    </row>
    <row r="605" spans="1:17" ht="30" hidden="1" x14ac:dyDescent="0.25">
      <c r="A605" s="15" t="s">
        <v>138</v>
      </c>
      <c r="B605" s="15" t="s">
        <v>464</v>
      </c>
      <c r="C605" s="15" t="s">
        <v>481</v>
      </c>
      <c r="D605" s="15" t="s">
        <v>482</v>
      </c>
      <c r="E605" s="15" t="s">
        <v>478</v>
      </c>
      <c r="F605" s="15">
        <v>1</v>
      </c>
      <c r="G605" s="15"/>
      <c r="H605" s="15"/>
      <c r="I605" s="15">
        <v>0</v>
      </c>
      <c r="J605" s="15">
        <v>31451267.149999999</v>
      </c>
      <c r="K605" s="15">
        <v>1880603.23</v>
      </c>
      <c r="L605" s="15">
        <v>94654020.920000017</v>
      </c>
      <c r="M605" s="15">
        <v>0</v>
      </c>
      <c r="N605" s="15">
        <v>0</v>
      </c>
      <c r="O605" s="15">
        <v>0</v>
      </c>
      <c r="P605" s="15">
        <v>0</v>
      </c>
      <c r="Q605" s="15"/>
    </row>
    <row r="606" spans="1:17" hidden="1" x14ac:dyDescent="0.25">
      <c r="A606" s="15" t="s">
        <v>90</v>
      </c>
      <c r="B606" s="15" t="s">
        <v>464</v>
      </c>
      <c r="C606" s="15" t="s">
        <v>469</v>
      </c>
      <c r="D606" s="15" t="s">
        <v>477</v>
      </c>
      <c r="E606" s="15" t="s">
        <v>424</v>
      </c>
      <c r="F606" s="15"/>
      <c r="G606" s="15"/>
      <c r="H606" s="15"/>
      <c r="I606" s="15">
        <v>34087387.920000017</v>
      </c>
      <c r="J606" s="15">
        <v>0</v>
      </c>
      <c r="K606" s="15">
        <v>0</v>
      </c>
      <c r="L606" s="15">
        <v>0</v>
      </c>
      <c r="M606" s="15">
        <v>0</v>
      </c>
      <c r="N606" s="15">
        <v>0</v>
      </c>
      <c r="O606" s="15">
        <v>0</v>
      </c>
      <c r="P606" s="15">
        <v>0</v>
      </c>
      <c r="Q606" s="15"/>
    </row>
    <row r="607" spans="1:17" hidden="1" x14ac:dyDescent="0.25">
      <c r="A607" s="15" t="s">
        <v>90</v>
      </c>
      <c r="B607" s="15" t="s">
        <v>464</v>
      </c>
      <c r="C607" s="15" t="s">
        <v>469</v>
      </c>
      <c r="D607" s="15" t="s">
        <v>477</v>
      </c>
      <c r="E607" s="15" t="s">
        <v>424</v>
      </c>
      <c r="F607" s="15"/>
      <c r="G607" s="15"/>
      <c r="H607" s="15"/>
      <c r="I607" s="15">
        <v>100115674.67999995</v>
      </c>
      <c r="J607" s="15">
        <v>0</v>
      </c>
      <c r="K607" s="15">
        <v>0</v>
      </c>
      <c r="L607" s="15">
        <v>0</v>
      </c>
      <c r="M607" s="15">
        <v>0</v>
      </c>
      <c r="N607" s="15">
        <v>0</v>
      </c>
      <c r="O607" s="15">
        <v>0</v>
      </c>
      <c r="P607" s="15">
        <v>0</v>
      </c>
      <c r="Q607" s="15"/>
    </row>
    <row r="608" spans="1:17" hidden="1" x14ac:dyDescent="0.25">
      <c r="A608" s="15" t="s">
        <v>167</v>
      </c>
      <c r="B608" s="15" t="s">
        <v>489</v>
      </c>
      <c r="C608" s="15" t="s">
        <v>490</v>
      </c>
      <c r="D608" s="15" t="s">
        <v>491</v>
      </c>
      <c r="E608" s="15" t="s">
        <v>492</v>
      </c>
      <c r="F608" s="15">
        <v>1</v>
      </c>
      <c r="G608" s="15"/>
      <c r="H608" s="15" t="s">
        <v>342</v>
      </c>
      <c r="I608" s="15">
        <v>0</v>
      </c>
      <c r="J608" s="15">
        <v>0</v>
      </c>
      <c r="K608" s="15">
        <v>0</v>
      </c>
      <c r="L608" s="15">
        <v>227263261.77000019</v>
      </c>
      <c r="M608" s="15">
        <v>1176382.5</v>
      </c>
      <c r="N608" s="15">
        <v>0</v>
      </c>
      <c r="O608" s="15">
        <v>0</v>
      </c>
      <c r="P608" s="15">
        <v>0</v>
      </c>
      <c r="Q608" s="15"/>
    </row>
    <row r="609" spans="1:17" hidden="1" x14ac:dyDescent="0.25">
      <c r="A609" s="15" t="s">
        <v>493</v>
      </c>
      <c r="B609" s="15" t="s">
        <v>489</v>
      </c>
      <c r="C609" s="15" t="s">
        <v>490</v>
      </c>
      <c r="D609" s="15" t="s">
        <v>491</v>
      </c>
      <c r="E609" s="15" t="s">
        <v>492</v>
      </c>
      <c r="F609" s="15"/>
      <c r="G609" s="15"/>
      <c r="H609" s="15" t="s">
        <v>342</v>
      </c>
      <c r="I609" s="15">
        <v>0</v>
      </c>
      <c r="J609" s="15">
        <v>0</v>
      </c>
      <c r="K609" s="15">
        <v>0</v>
      </c>
      <c r="L609" s="15">
        <v>16462739.199999999</v>
      </c>
      <c r="M609" s="15">
        <v>30322114.23</v>
      </c>
      <c r="N609" s="15">
        <v>0</v>
      </c>
      <c r="O609" s="15">
        <v>0</v>
      </c>
      <c r="P609" s="15">
        <v>0</v>
      </c>
      <c r="Q609" s="15"/>
    </row>
    <row r="610" spans="1:17" hidden="1" x14ac:dyDescent="0.25">
      <c r="A610" s="15" t="s">
        <v>171</v>
      </c>
      <c r="B610" s="15" t="s">
        <v>489</v>
      </c>
      <c r="C610" s="15" t="s">
        <v>490</v>
      </c>
      <c r="D610" s="15" t="s">
        <v>491</v>
      </c>
      <c r="E610" s="15" t="s">
        <v>494</v>
      </c>
      <c r="F610" s="15">
        <v>1</v>
      </c>
      <c r="G610" s="15"/>
      <c r="H610" s="15" t="s">
        <v>342</v>
      </c>
      <c r="I610" s="15">
        <v>0</v>
      </c>
      <c r="J610" s="15">
        <v>0</v>
      </c>
      <c r="K610" s="15">
        <v>0</v>
      </c>
      <c r="L610" s="15">
        <v>169980065.36999968</v>
      </c>
      <c r="M610" s="15">
        <v>231789435.21883488</v>
      </c>
      <c r="N610" s="15">
        <v>0</v>
      </c>
      <c r="O610" s="15">
        <v>0</v>
      </c>
      <c r="P610" s="15">
        <v>0</v>
      </c>
      <c r="Q610" s="15"/>
    </row>
    <row r="611" spans="1:17" hidden="1" x14ac:dyDescent="0.25">
      <c r="A611" s="15" t="s">
        <v>341</v>
      </c>
      <c r="B611" s="15" t="s">
        <v>489</v>
      </c>
      <c r="C611" s="15" t="s">
        <v>495</v>
      </c>
      <c r="D611" s="15" t="s">
        <v>496</v>
      </c>
      <c r="E611" s="15" t="s">
        <v>497</v>
      </c>
      <c r="F611" s="15"/>
      <c r="G611" s="15"/>
      <c r="H611" s="15"/>
      <c r="I611" s="15">
        <v>0</v>
      </c>
      <c r="J611" s="15">
        <v>9630012.4900000021</v>
      </c>
      <c r="K611" s="15">
        <v>17548196.280000009</v>
      </c>
      <c r="L611" s="15">
        <v>65743240.020000026</v>
      </c>
      <c r="M611" s="15">
        <v>0</v>
      </c>
      <c r="N611" s="15">
        <v>0</v>
      </c>
      <c r="O611" s="15">
        <v>0</v>
      </c>
      <c r="P611" s="15">
        <v>0</v>
      </c>
      <c r="Q611" s="15"/>
    </row>
    <row r="612" spans="1:17" hidden="1" x14ac:dyDescent="0.25">
      <c r="A612" s="15" t="s">
        <v>141</v>
      </c>
      <c r="B612" s="15" t="s">
        <v>489</v>
      </c>
      <c r="C612" s="15" t="s">
        <v>495</v>
      </c>
      <c r="D612" s="15" t="s">
        <v>496</v>
      </c>
      <c r="E612" s="15" t="s">
        <v>497</v>
      </c>
      <c r="F612" s="15"/>
      <c r="G612" s="15"/>
      <c r="H612" s="15"/>
      <c r="I612" s="15">
        <v>0</v>
      </c>
      <c r="J612" s="15">
        <v>4048926.66</v>
      </c>
      <c r="K612" s="15">
        <v>9623118.0900000036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/>
    </row>
    <row r="613" spans="1:17" hidden="1" x14ac:dyDescent="0.25">
      <c r="A613" s="15" t="s">
        <v>148</v>
      </c>
      <c r="B613" s="15" t="s">
        <v>489</v>
      </c>
      <c r="C613" s="15" t="s">
        <v>495</v>
      </c>
      <c r="D613" s="15" t="s">
        <v>496</v>
      </c>
      <c r="E613" s="15" t="s">
        <v>497</v>
      </c>
      <c r="F613" s="15"/>
      <c r="G613" s="15"/>
      <c r="H613" s="15"/>
      <c r="I613" s="15">
        <v>0</v>
      </c>
      <c r="J613" s="15">
        <v>5071280.9400000013</v>
      </c>
      <c r="K613" s="15">
        <v>5044642.3100000024</v>
      </c>
      <c r="L613" s="15">
        <v>423235.34</v>
      </c>
      <c r="M613" s="15">
        <v>0</v>
      </c>
      <c r="N613" s="15">
        <v>0</v>
      </c>
      <c r="O613" s="15">
        <v>0</v>
      </c>
      <c r="P613" s="15">
        <v>0</v>
      </c>
      <c r="Q613" s="15"/>
    </row>
    <row r="614" spans="1:17" hidden="1" x14ac:dyDescent="0.25">
      <c r="A614" s="15" t="s">
        <v>20</v>
      </c>
      <c r="B614" s="15" t="s">
        <v>489</v>
      </c>
      <c r="C614" s="15" t="s">
        <v>495</v>
      </c>
      <c r="D614" s="15" t="s">
        <v>496</v>
      </c>
      <c r="E614" s="15" t="s">
        <v>497</v>
      </c>
      <c r="F614" s="15"/>
      <c r="G614" s="15"/>
      <c r="H614" s="15"/>
      <c r="I614" s="15">
        <v>0</v>
      </c>
      <c r="J614" s="15">
        <v>0</v>
      </c>
      <c r="K614" s="15">
        <v>1842842.9100000006</v>
      </c>
      <c r="L614" s="15">
        <v>0</v>
      </c>
      <c r="M614" s="15">
        <v>0</v>
      </c>
      <c r="N614" s="15">
        <v>0</v>
      </c>
      <c r="O614" s="15">
        <v>0</v>
      </c>
      <c r="P614" s="15">
        <v>0</v>
      </c>
      <c r="Q614" s="15"/>
    </row>
    <row r="615" spans="1:17" hidden="1" x14ac:dyDescent="0.25">
      <c r="A615" s="15" t="s">
        <v>146</v>
      </c>
      <c r="B615" s="15" t="s">
        <v>489</v>
      </c>
      <c r="C615" s="15" t="s">
        <v>495</v>
      </c>
      <c r="D615" s="15" t="s">
        <v>496</v>
      </c>
      <c r="E615" s="15" t="s">
        <v>497</v>
      </c>
      <c r="F615" s="15">
        <v>1</v>
      </c>
      <c r="G615" s="15">
        <v>1</v>
      </c>
      <c r="H615" s="15"/>
      <c r="I615" s="15">
        <v>0</v>
      </c>
      <c r="J615" s="15">
        <v>331967808.94</v>
      </c>
      <c r="K615" s="15">
        <v>22487563.250000011</v>
      </c>
      <c r="L615" s="15">
        <v>54774882.81000001</v>
      </c>
      <c r="M615" s="15">
        <v>0</v>
      </c>
      <c r="N615" s="15">
        <v>0</v>
      </c>
      <c r="O615" s="15">
        <v>0</v>
      </c>
      <c r="P615" s="15">
        <v>0</v>
      </c>
      <c r="Q615" s="15"/>
    </row>
    <row r="616" spans="1:17" hidden="1" x14ac:dyDescent="0.25">
      <c r="A616" s="15" t="s">
        <v>150</v>
      </c>
      <c r="B616" s="15" t="s">
        <v>489</v>
      </c>
      <c r="C616" s="15" t="s">
        <v>495</v>
      </c>
      <c r="D616" s="15" t="s">
        <v>496</v>
      </c>
      <c r="E616" s="15" t="s">
        <v>497</v>
      </c>
      <c r="F616" s="15"/>
      <c r="G616" s="15"/>
      <c r="H616" s="15"/>
      <c r="I616" s="15">
        <v>0</v>
      </c>
      <c r="J616" s="15">
        <v>5013011.4000000013</v>
      </c>
      <c r="K616" s="15">
        <v>8840937.0700000059</v>
      </c>
      <c r="L616" s="15">
        <v>51865.83</v>
      </c>
      <c r="M616" s="15">
        <v>0</v>
      </c>
      <c r="N616" s="15">
        <v>0</v>
      </c>
      <c r="O616" s="15">
        <v>0</v>
      </c>
      <c r="P616" s="15">
        <v>0</v>
      </c>
      <c r="Q616" s="15"/>
    </row>
    <row r="617" spans="1:17" hidden="1" x14ac:dyDescent="0.25">
      <c r="A617" s="15" t="s">
        <v>145</v>
      </c>
      <c r="B617" s="15" t="s">
        <v>489</v>
      </c>
      <c r="C617" s="15" t="s">
        <v>495</v>
      </c>
      <c r="D617" s="15" t="s">
        <v>496</v>
      </c>
      <c r="E617" s="15" t="s">
        <v>497</v>
      </c>
      <c r="F617" s="15"/>
      <c r="G617" s="15"/>
      <c r="H617" s="15"/>
      <c r="I617" s="15">
        <v>0</v>
      </c>
      <c r="J617" s="15">
        <v>10686714.570000002</v>
      </c>
      <c r="K617" s="15">
        <v>7538965.8100000042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/>
    </row>
    <row r="618" spans="1:17" hidden="1" x14ac:dyDescent="0.25">
      <c r="A618" s="15" t="s">
        <v>18</v>
      </c>
      <c r="B618" s="15" t="s">
        <v>489</v>
      </c>
      <c r="C618" s="15" t="s">
        <v>495</v>
      </c>
      <c r="D618" s="15" t="s">
        <v>496</v>
      </c>
      <c r="E618" s="15" t="s">
        <v>497</v>
      </c>
      <c r="F618" s="15"/>
      <c r="G618" s="15"/>
      <c r="H618" s="15"/>
      <c r="I618" s="15">
        <v>0</v>
      </c>
      <c r="J618" s="15">
        <v>2385267.1800000006</v>
      </c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>
        <v>0</v>
      </c>
      <c r="Q618" s="15"/>
    </row>
    <row r="619" spans="1:17" hidden="1" x14ac:dyDescent="0.25">
      <c r="A619" s="15" t="s">
        <v>58</v>
      </c>
      <c r="B619" s="15" t="s">
        <v>489</v>
      </c>
      <c r="C619" s="15" t="s">
        <v>495</v>
      </c>
      <c r="D619" s="15" t="s">
        <v>496</v>
      </c>
      <c r="E619" s="15" t="s">
        <v>497</v>
      </c>
      <c r="F619" s="15"/>
      <c r="G619" s="15"/>
      <c r="H619" s="15"/>
      <c r="I619" s="15">
        <v>0</v>
      </c>
      <c r="J619" s="15">
        <v>0</v>
      </c>
      <c r="K619" s="15">
        <v>3476324.0200000023</v>
      </c>
      <c r="L619" s="15">
        <v>0</v>
      </c>
      <c r="M619" s="15">
        <v>0</v>
      </c>
      <c r="N619" s="15">
        <v>0</v>
      </c>
      <c r="O619" s="15">
        <v>0</v>
      </c>
      <c r="P619" s="15">
        <v>0</v>
      </c>
      <c r="Q619" s="15"/>
    </row>
    <row r="620" spans="1:17" hidden="1" x14ac:dyDescent="0.25">
      <c r="A620" s="15" t="s">
        <v>151</v>
      </c>
      <c r="B620" s="15" t="s">
        <v>489</v>
      </c>
      <c r="C620" s="15" t="s">
        <v>495</v>
      </c>
      <c r="D620" s="15" t="s">
        <v>496</v>
      </c>
      <c r="E620" s="15" t="s">
        <v>497</v>
      </c>
      <c r="F620" s="15"/>
      <c r="G620" s="15"/>
      <c r="H620" s="15"/>
      <c r="I620" s="15">
        <v>0</v>
      </c>
      <c r="J620" s="15">
        <v>4475652.3499999996</v>
      </c>
      <c r="K620" s="15">
        <v>2618541.3100000019</v>
      </c>
      <c r="L620" s="15">
        <v>0</v>
      </c>
      <c r="M620" s="15">
        <v>0</v>
      </c>
      <c r="N620" s="15">
        <v>0</v>
      </c>
      <c r="O620" s="15">
        <v>0</v>
      </c>
      <c r="P620" s="15">
        <v>0</v>
      </c>
      <c r="Q620" s="15"/>
    </row>
    <row r="621" spans="1:17" hidden="1" x14ac:dyDescent="0.25">
      <c r="A621" s="15" t="s">
        <v>17</v>
      </c>
      <c r="B621" s="15" t="s">
        <v>489</v>
      </c>
      <c r="C621" s="15" t="s">
        <v>495</v>
      </c>
      <c r="D621" s="15" t="s">
        <v>496</v>
      </c>
      <c r="E621" s="15" t="s">
        <v>497</v>
      </c>
      <c r="F621" s="15"/>
      <c r="G621" s="15"/>
      <c r="H621" s="15"/>
      <c r="I621" s="15">
        <v>0</v>
      </c>
      <c r="J621" s="15">
        <v>0</v>
      </c>
      <c r="K621" s="15">
        <v>4029235.5400000019</v>
      </c>
      <c r="L621" s="15">
        <v>0</v>
      </c>
      <c r="M621" s="15">
        <v>0</v>
      </c>
      <c r="N621" s="15">
        <v>0</v>
      </c>
      <c r="O621" s="15">
        <v>0</v>
      </c>
      <c r="P621" s="15">
        <v>0</v>
      </c>
      <c r="Q621" s="15"/>
    </row>
    <row r="622" spans="1:17" hidden="1" x14ac:dyDescent="0.25">
      <c r="A622" s="15" t="s">
        <v>141</v>
      </c>
      <c r="B622" s="15" t="s">
        <v>489</v>
      </c>
      <c r="C622" s="15" t="s">
        <v>495</v>
      </c>
      <c r="D622" s="15" t="s">
        <v>498</v>
      </c>
      <c r="E622" s="15" t="s">
        <v>497</v>
      </c>
      <c r="F622" s="15"/>
      <c r="G622" s="15"/>
      <c r="H622" s="15"/>
      <c r="I622" s="15">
        <v>0</v>
      </c>
      <c r="J622" s="15">
        <v>0</v>
      </c>
      <c r="K622" s="15">
        <v>0</v>
      </c>
      <c r="L622" s="15">
        <v>58509460.75</v>
      </c>
      <c r="M622" s="15">
        <v>0</v>
      </c>
      <c r="N622" s="15">
        <v>0</v>
      </c>
      <c r="O622" s="15">
        <v>0</v>
      </c>
      <c r="P622" s="15">
        <v>0</v>
      </c>
      <c r="Q622" s="15"/>
    </row>
    <row r="623" spans="1:17" hidden="1" x14ac:dyDescent="0.25">
      <c r="A623" s="15" t="s">
        <v>145</v>
      </c>
      <c r="B623" s="15" t="s">
        <v>489</v>
      </c>
      <c r="C623" s="15" t="s">
        <v>495</v>
      </c>
      <c r="D623" s="15" t="s">
        <v>498</v>
      </c>
      <c r="E623" s="15" t="s">
        <v>497</v>
      </c>
      <c r="F623" s="15"/>
      <c r="G623" s="15"/>
      <c r="H623" s="15"/>
      <c r="I623" s="15">
        <v>0</v>
      </c>
      <c r="J623" s="15">
        <v>0</v>
      </c>
      <c r="K623" s="15">
        <v>0</v>
      </c>
      <c r="L623" s="15">
        <v>42690834.829999998</v>
      </c>
      <c r="M623" s="15">
        <v>0</v>
      </c>
      <c r="N623" s="15">
        <v>0</v>
      </c>
      <c r="O623" s="15">
        <v>0</v>
      </c>
      <c r="P623" s="15">
        <v>0</v>
      </c>
      <c r="Q623" s="15"/>
    </row>
    <row r="624" spans="1:17" hidden="1" x14ac:dyDescent="0.25">
      <c r="A624" s="15" t="s">
        <v>434</v>
      </c>
      <c r="B624" s="15" t="s">
        <v>489</v>
      </c>
      <c r="C624" s="15" t="s">
        <v>490</v>
      </c>
      <c r="D624" s="15" t="s">
        <v>499</v>
      </c>
      <c r="E624" s="15" t="s">
        <v>419</v>
      </c>
      <c r="F624" s="15"/>
      <c r="G624" s="15"/>
      <c r="H624" s="15"/>
      <c r="I624" s="15">
        <v>0</v>
      </c>
      <c r="J624" s="15">
        <v>0</v>
      </c>
      <c r="K624" s="15">
        <v>9007988.3699999992</v>
      </c>
      <c r="L624" s="15">
        <v>0</v>
      </c>
      <c r="M624" s="15">
        <v>0</v>
      </c>
      <c r="N624" s="15">
        <v>0</v>
      </c>
      <c r="O624" s="15">
        <v>0</v>
      </c>
      <c r="P624" s="15">
        <v>0</v>
      </c>
      <c r="Q624" s="15"/>
    </row>
    <row r="625" spans="1:17" hidden="1" x14ac:dyDescent="0.25">
      <c r="A625" s="15" t="s">
        <v>173</v>
      </c>
      <c r="B625" s="15" t="s">
        <v>489</v>
      </c>
      <c r="C625" s="15" t="s">
        <v>490</v>
      </c>
      <c r="D625" s="15" t="s">
        <v>499</v>
      </c>
      <c r="E625" s="15" t="s">
        <v>419</v>
      </c>
      <c r="F625" s="15"/>
      <c r="G625" s="15"/>
      <c r="H625" s="15" t="s">
        <v>342</v>
      </c>
      <c r="I625" s="15">
        <v>0</v>
      </c>
      <c r="J625" s="15">
        <v>19610069.489999998</v>
      </c>
      <c r="K625" s="15">
        <v>0</v>
      </c>
      <c r="L625" s="15">
        <v>87453026.309999973</v>
      </c>
      <c r="M625" s="15">
        <v>0</v>
      </c>
      <c r="N625" s="15">
        <v>0</v>
      </c>
      <c r="O625" s="15">
        <v>0</v>
      </c>
      <c r="P625" s="15">
        <v>0</v>
      </c>
      <c r="Q625" s="15"/>
    </row>
    <row r="626" spans="1:17" hidden="1" x14ac:dyDescent="0.25">
      <c r="A626" s="15" t="s">
        <v>180</v>
      </c>
      <c r="B626" s="15" t="s">
        <v>489</v>
      </c>
      <c r="C626" s="15" t="s">
        <v>490</v>
      </c>
      <c r="D626" s="15" t="s">
        <v>499</v>
      </c>
      <c r="E626" s="15" t="s">
        <v>419</v>
      </c>
      <c r="F626" s="15">
        <v>1</v>
      </c>
      <c r="G626" s="15"/>
      <c r="H626" s="15" t="s">
        <v>342</v>
      </c>
      <c r="I626" s="15">
        <v>0</v>
      </c>
      <c r="J626" s="15">
        <v>8664932.9100000001</v>
      </c>
      <c r="K626" s="15">
        <v>0</v>
      </c>
      <c r="L626" s="15">
        <v>176490389.13000005</v>
      </c>
      <c r="M626" s="15">
        <v>108346020.1999999</v>
      </c>
      <c r="N626" s="15">
        <v>0</v>
      </c>
      <c r="O626" s="15">
        <v>0</v>
      </c>
      <c r="P626" s="15">
        <v>0</v>
      </c>
      <c r="Q626" s="15"/>
    </row>
    <row r="627" spans="1:17" hidden="1" x14ac:dyDescent="0.25">
      <c r="A627" s="15" t="s">
        <v>500</v>
      </c>
      <c r="B627" s="15" t="s">
        <v>489</v>
      </c>
      <c r="C627" s="15" t="s">
        <v>490</v>
      </c>
      <c r="D627" s="15" t="s">
        <v>499</v>
      </c>
      <c r="E627" s="15" t="s">
        <v>419</v>
      </c>
      <c r="F627" s="15"/>
      <c r="G627" s="15"/>
      <c r="H627" s="15"/>
      <c r="I627" s="15">
        <v>0</v>
      </c>
      <c r="J627" s="15">
        <v>0</v>
      </c>
      <c r="K627" s="15">
        <v>862676.57000000007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/>
    </row>
    <row r="628" spans="1:17" hidden="1" x14ac:dyDescent="0.25">
      <c r="A628" s="15" t="s">
        <v>432</v>
      </c>
      <c r="B628" s="15" t="s">
        <v>489</v>
      </c>
      <c r="C628" s="15" t="s">
        <v>490</v>
      </c>
      <c r="D628" s="15" t="s">
        <v>499</v>
      </c>
      <c r="E628" s="15" t="s">
        <v>419</v>
      </c>
      <c r="F628" s="15"/>
      <c r="G628" s="15"/>
      <c r="H628" s="15" t="s">
        <v>342</v>
      </c>
      <c r="I628" s="15">
        <v>0</v>
      </c>
      <c r="J628" s="15">
        <v>926090.49</v>
      </c>
      <c r="K628" s="15">
        <v>1738562.6699999997</v>
      </c>
      <c r="L628" s="15">
        <v>128342701.22</v>
      </c>
      <c r="M628" s="15">
        <v>22129635.599999979</v>
      </c>
      <c r="N628" s="15">
        <v>0</v>
      </c>
      <c r="O628" s="15">
        <v>0</v>
      </c>
      <c r="P628" s="15">
        <v>0</v>
      </c>
      <c r="Q628" s="15"/>
    </row>
    <row r="629" spans="1:17" hidden="1" x14ac:dyDescent="0.25">
      <c r="A629" s="15" t="s">
        <v>180</v>
      </c>
      <c r="B629" s="15" t="s">
        <v>489</v>
      </c>
      <c r="C629" s="15" t="s">
        <v>490</v>
      </c>
      <c r="D629" s="15" t="s">
        <v>501</v>
      </c>
      <c r="E629" s="15" t="s">
        <v>419</v>
      </c>
      <c r="F629" s="15"/>
      <c r="G629" s="15"/>
      <c r="H629" s="15"/>
      <c r="I629" s="15">
        <v>0</v>
      </c>
      <c r="J629" s="15">
        <v>140474182.20999998</v>
      </c>
      <c r="K629" s="15">
        <v>452439335.18000209</v>
      </c>
      <c r="L629" s="15">
        <v>0</v>
      </c>
      <c r="M629" s="15">
        <v>0</v>
      </c>
      <c r="N629" s="15">
        <v>0</v>
      </c>
      <c r="O629" s="15">
        <v>0</v>
      </c>
      <c r="P629" s="15">
        <v>0</v>
      </c>
      <c r="Q629" s="15"/>
    </row>
    <row r="630" spans="1:17" hidden="1" x14ac:dyDescent="0.25">
      <c r="A630" s="15" t="s">
        <v>432</v>
      </c>
      <c r="B630" s="15" t="s">
        <v>489</v>
      </c>
      <c r="C630" s="15" t="s">
        <v>490</v>
      </c>
      <c r="D630" s="15" t="s">
        <v>501</v>
      </c>
      <c r="E630" s="15" t="s">
        <v>419</v>
      </c>
      <c r="F630" s="15"/>
      <c r="G630" s="15"/>
      <c r="H630" s="15"/>
      <c r="I630" s="15">
        <v>0</v>
      </c>
      <c r="J630" s="15">
        <v>23247288.98</v>
      </c>
      <c r="K630" s="15">
        <v>133489459.22000003</v>
      </c>
      <c r="L630" s="15">
        <v>0</v>
      </c>
      <c r="M630" s="15">
        <v>0</v>
      </c>
      <c r="N630" s="15">
        <v>0</v>
      </c>
      <c r="O630" s="15">
        <v>0</v>
      </c>
      <c r="P630" s="15">
        <v>0</v>
      </c>
      <c r="Q630" s="15"/>
    </row>
    <row r="631" spans="1:17" hidden="1" x14ac:dyDescent="0.25">
      <c r="A631" s="15" t="s">
        <v>174</v>
      </c>
      <c r="B631" s="15" t="s">
        <v>489</v>
      </c>
      <c r="C631" s="15" t="s">
        <v>490</v>
      </c>
      <c r="D631" s="15" t="s">
        <v>502</v>
      </c>
      <c r="E631" s="15" t="s">
        <v>419</v>
      </c>
      <c r="F631" s="15"/>
      <c r="G631" s="15"/>
      <c r="H631" s="15"/>
      <c r="I631" s="15">
        <v>0</v>
      </c>
      <c r="J631" s="15">
        <v>44163988.920000002</v>
      </c>
      <c r="K631" s="15">
        <v>0</v>
      </c>
      <c r="L631" s="15">
        <v>0</v>
      </c>
      <c r="M631" s="15">
        <v>0</v>
      </c>
      <c r="N631" s="15">
        <v>0</v>
      </c>
      <c r="O631" s="15">
        <v>0</v>
      </c>
      <c r="P631" s="15">
        <v>0</v>
      </c>
      <c r="Q631" s="15"/>
    </row>
    <row r="632" spans="1:17" hidden="1" x14ac:dyDescent="0.25">
      <c r="A632" s="15" t="s">
        <v>434</v>
      </c>
      <c r="B632" s="15" t="s">
        <v>489</v>
      </c>
      <c r="C632" s="15" t="s">
        <v>503</v>
      </c>
      <c r="D632" s="15" t="s">
        <v>504</v>
      </c>
      <c r="E632" s="15" t="s">
        <v>354</v>
      </c>
      <c r="F632" s="15"/>
      <c r="G632" s="15"/>
      <c r="H632" s="15"/>
      <c r="I632" s="15">
        <v>0</v>
      </c>
      <c r="J632" s="15">
        <v>0</v>
      </c>
      <c r="K632" s="15">
        <v>0</v>
      </c>
      <c r="L632" s="15">
        <v>1104480.68</v>
      </c>
      <c r="M632" s="15">
        <v>0</v>
      </c>
      <c r="N632" s="15">
        <v>0</v>
      </c>
      <c r="O632" s="15">
        <v>0</v>
      </c>
      <c r="P632" s="15">
        <v>0</v>
      </c>
      <c r="Q632" s="15"/>
    </row>
    <row r="633" spans="1:17" hidden="1" x14ac:dyDescent="0.25">
      <c r="A633" s="15" t="s">
        <v>173</v>
      </c>
      <c r="B633" s="15" t="s">
        <v>489</v>
      </c>
      <c r="C633" s="15" t="s">
        <v>503</v>
      </c>
      <c r="D633" s="15" t="s">
        <v>504</v>
      </c>
      <c r="E633" s="15" t="s">
        <v>354</v>
      </c>
      <c r="F633" s="15"/>
      <c r="G633" s="15"/>
      <c r="H633" s="15"/>
      <c r="I633" s="15">
        <v>0</v>
      </c>
      <c r="J633" s="15">
        <v>0</v>
      </c>
      <c r="K633" s="15">
        <v>0</v>
      </c>
      <c r="L633" s="15">
        <v>24991736.36999999</v>
      </c>
      <c r="M633" s="15">
        <v>0</v>
      </c>
      <c r="N633" s="15">
        <v>0</v>
      </c>
      <c r="O633" s="15">
        <v>0</v>
      </c>
      <c r="P633" s="15">
        <v>0</v>
      </c>
      <c r="Q633" s="15"/>
    </row>
    <row r="634" spans="1:17" hidden="1" x14ac:dyDescent="0.25">
      <c r="A634" s="15" t="s">
        <v>156</v>
      </c>
      <c r="B634" s="15" t="s">
        <v>489</v>
      </c>
      <c r="C634" s="15" t="s">
        <v>503</v>
      </c>
      <c r="D634" s="15" t="s">
        <v>504</v>
      </c>
      <c r="E634" s="15" t="s">
        <v>354</v>
      </c>
      <c r="F634" s="15">
        <v>1</v>
      </c>
      <c r="G634" s="15"/>
      <c r="H634" s="15"/>
      <c r="I634" s="15">
        <v>0</v>
      </c>
      <c r="J634" s="15">
        <v>109650428.40999998</v>
      </c>
      <c r="K634" s="15">
        <v>178509407.2299999</v>
      </c>
      <c r="L634" s="15">
        <v>134460850.65000001</v>
      </c>
      <c r="M634" s="15">
        <v>0</v>
      </c>
      <c r="N634" s="15">
        <v>0</v>
      </c>
      <c r="O634" s="15">
        <v>0</v>
      </c>
      <c r="P634" s="15">
        <v>0</v>
      </c>
      <c r="Q634" s="15"/>
    </row>
    <row r="635" spans="1:17" hidden="1" x14ac:dyDescent="0.25">
      <c r="A635" s="15" t="s">
        <v>165</v>
      </c>
      <c r="B635" s="15" t="s">
        <v>489</v>
      </c>
      <c r="C635" s="15" t="s">
        <v>503</v>
      </c>
      <c r="D635" s="15" t="s">
        <v>504</v>
      </c>
      <c r="E635" s="15" t="s">
        <v>354</v>
      </c>
      <c r="F635" s="15"/>
      <c r="G635" s="15"/>
      <c r="H635" s="15"/>
      <c r="I635" s="15">
        <v>0</v>
      </c>
      <c r="J635" s="15">
        <v>0</v>
      </c>
      <c r="K635" s="15">
        <v>0</v>
      </c>
      <c r="L635" s="15">
        <v>335637.49</v>
      </c>
      <c r="M635" s="15">
        <v>0</v>
      </c>
      <c r="N635" s="15">
        <v>0</v>
      </c>
      <c r="O635" s="15">
        <v>0</v>
      </c>
      <c r="P635" s="15">
        <v>0</v>
      </c>
      <c r="Q635" s="15"/>
    </row>
    <row r="636" spans="1:17" hidden="1" x14ac:dyDescent="0.25">
      <c r="A636" s="15" t="s">
        <v>173</v>
      </c>
      <c r="B636" s="15" t="s">
        <v>489</v>
      </c>
      <c r="C636" s="15" t="s">
        <v>503</v>
      </c>
      <c r="D636" s="15" t="s">
        <v>505</v>
      </c>
      <c r="E636" s="15" t="s">
        <v>354</v>
      </c>
      <c r="F636" s="15"/>
      <c r="G636" s="15"/>
      <c r="H636" s="15" t="s">
        <v>342</v>
      </c>
      <c r="I636" s="15">
        <v>0</v>
      </c>
      <c r="J636" s="15">
        <v>0</v>
      </c>
      <c r="K636" s="15">
        <v>11059.08</v>
      </c>
      <c r="L636" s="15">
        <v>65360653.509999998</v>
      </c>
      <c r="M636" s="15">
        <v>889574794.65997851</v>
      </c>
      <c r="N636" s="15">
        <v>0</v>
      </c>
      <c r="O636" s="15">
        <v>577762884.74320006</v>
      </c>
      <c r="P636" s="15">
        <v>0</v>
      </c>
      <c r="Q636" s="15"/>
    </row>
    <row r="637" spans="1:17" hidden="1" x14ac:dyDescent="0.25">
      <c r="A637" s="15" t="s">
        <v>506</v>
      </c>
      <c r="B637" s="15" t="s">
        <v>489</v>
      </c>
      <c r="C637" s="15" t="s">
        <v>503</v>
      </c>
      <c r="D637" s="15" t="s">
        <v>505</v>
      </c>
      <c r="E637" s="15" t="s">
        <v>354</v>
      </c>
      <c r="F637" s="15"/>
      <c r="G637" s="15"/>
      <c r="H637" s="15"/>
      <c r="I637" s="15">
        <v>0</v>
      </c>
      <c r="J637" s="15">
        <v>0</v>
      </c>
      <c r="K637" s="15">
        <v>0</v>
      </c>
      <c r="L637" s="15">
        <v>4263920.2100000018</v>
      </c>
      <c r="M637" s="15">
        <v>0</v>
      </c>
      <c r="N637" s="15">
        <v>0</v>
      </c>
      <c r="O637" s="15">
        <v>0</v>
      </c>
      <c r="P637" s="15">
        <v>0</v>
      </c>
      <c r="Q637" s="15"/>
    </row>
    <row r="638" spans="1:17" hidden="1" x14ac:dyDescent="0.25">
      <c r="A638" s="15" t="s">
        <v>174</v>
      </c>
      <c r="B638" s="15" t="s">
        <v>489</v>
      </c>
      <c r="C638" s="15" t="s">
        <v>507</v>
      </c>
      <c r="D638" s="15" t="s">
        <v>508</v>
      </c>
      <c r="E638" s="15"/>
      <c r="F638" s="15"/>
      <c r="G638" s="15"/>
      <c r="H638" s="15" t="s">
        <v>342</v>
      </c>
      <c r="I638" s="15">
        <v>0</v>
      </c>
      <c r="J638" s="15">
        <v>0</v>
      </c>
      <c r="K638" s="15">
        <v>0</v>
      </c>
      <c r="L638" s="15">
        <v>0</v>
      </c>
      <c r="M638" s="15">
        <v>59940865.589999959</v>
      </c>
      <c r="N638" s="15">
        <v>0</v>
      </c>
      <c r="O638" s="15">
        <v>23887809.095800001</v>
      </c>
      <c r="P638" s="15">
        <v>2065790674.7799973</v>
      </c>
      <c r="Q638" s="15"/>
    </row>
    <row r="639" spans="1:17" hidden="1" x14ac:dyDescent="0.25">
      <c r="A639" s="15" t="s">
        <v>174</v>
      </c>
      <c r="B639" s="15" t="s">
        <v>489</v>
      </c>
      <c r="C639" s="15" t="s">
        <v>490</v>
      </c>
      <c r="D639" s="15" t="s">
        <v>491</v>
      </c>
      <c r="E639" s="15" t="s">
        <v>96</v>
      </c>
      <c r="F639" s="15"/>
      <c r="G639" s="15"/>
      <c r="H639" s="15" t="s">
        <v>342</v>
      </c>
      <c r="I639" s="15">
        <v>0</v>
      </c>
      <c r="J639" s="15">
        <v>1673944.2999999998</v>
      </c>
      <c r="K639" s="15">
        <v>5644864.1600000011</v>
      </c>
      <c r="L639" s="15">
        <v>17962969.829999998</v>
      </c>
      <c r="M639" s="15">
        <v>279412824.3448205</v>
      </c>
      <c r="N639" s="15">
        <v>0</v>
      </c>
      <c r="O639" s="15">
        <v>147977785.23060003</v>
      </c>
      <c r="P639" s="15">
        <v>0</v>
      </c>
      <c r="Q639" s="15"/>
    </row>
    <row r="640" spans="1:17" hidden="1" x14ac:dyDescent="0.25">
      <c r="A640" s="15" t="s">
        <v>166</v>
      </c>
      <c r="B640" s="15" t="s">
        <v>489</v>
      </c>
      <c r="C640" s="15" t="s">
        <v>509</v>
      </c>
      <c r="D640" s="15" t="s">
        <v>510</v>
      </c>
      <c r="E640" s="15"/>
      <c r="F640" s="15"/>
      <c r="G640" s="15"/>
      <c r="H640" s="15" t="s">
        <v>342</v>
      </c>
      <c r="I640" s="15">
        <v>0</v>
      </c>
      <c r="J640" s="15">
        <v>0</v>
      </c>
      <c r="K640" s="15">
        <v>0</v>
      </c>
      <c r="L640" s="15">
        <v>0</v>
      </c>
      <c r="M640" s="15">
        <v>790815852.52475572</v>
      </c>
      <c r="N640" s="15">
        <v>0</v>
      </c>
      <c r="O640" s="15">
        <v>544184205.98619974</v>
      </c>
      <c r="P640" s="15">
        <v>6441328980.5292301</v>
      </c>
      <c r="Q640" s="15"/>
    </row>
    <row r="641" spans="1:17" hidden="1" x14ac:dyDescent="0.25">
      <c r="A641" s="15" t="s">
        <v>341</v>
      </c>
      <c r="B641" s="15" t="s">
        <v>489</v>
      </c>
      <c r="C641" s="15" t="s">
        <v>509</v>
      </c>
      <c r="D641" s="15" t="s">
        <v>511</v>
      </c>
      <c r="E641" s="15"/>
      <c r="F641" s="15"/>
      <c r="G641" s="15"/>
      <c r="H641" s="15" t="s">
        <v>342</v>
      </c>
      <c r="I641" s="15">
        <v>0</v>
      </c>
      <c r="J641" s="15">
        <v>0</v>
      </c>
      <c r="K641" s="15">
        <v>0</v>
      </c>
      <c r="L641" s="15">
        <v>0</v>
      </c>
      <c r="M641" s="15">
        <v>506111051.7499826</v>
      </c>
      <c r="N641" s="15">
        <v>0</v>
      </c>
      <c r="O641" s="15">
        <v>280737179.26800001</v>
      </c>
      <c r="P641" s="15">
        <v>8562904904.0596447</v>
      </c>
      <c r="Q641" s="15"/>
    </row>
    <row r="642" spans="1:17" hidden="1" x14ac:dyDescent="0.25">
      <c r="A642" s="15" t="s">
        <v>141</v>
      </c>
      <c r="B642" s="15" t="s">
        <v>489</v>
      </c>
      <c r="C642" s="15" t="s">
        <v>509</v>
      </c>
      <c r="D642" s="15" t="s">
        <v>511</v>
      </c>
      <c r="E642" s="15"/>
      <c r="F642" s="15"/>
      <c r="G642" s="15"/>
      <c r="H642" s="15" t="s">
        <v>342</v>
      </c>
      <c r="I642" s="15">
        <v>0</v>
      </c>
      <c r="J642" s="15">
        <v>0</v>
      </c>
      <c r="K642" s="15">
        <v>0</v>
      </c>
      <c r="L642" s="15">
        <v>0</v>
      </c>
      <c r="M642" s="15">
        <v>363427541.97998726</v>
      </c>
      <c r="N642" s="15">
        <v>0</v>
      </c>
      <c r="O642" s="15">
        <v>221090062.43870005</v>
      </c>
      <c r="P642" s="15">
        <v>0</v>
      </c>
      <c r="Q642" s="15"/>
    </row>
    <row r="643" spans="1:17" hidden="1" x14ac:dyDescent="0.25">
      <c r="A643" s="15" t="s">
        <v>155</v>
      </c>
      <c r="B643" s="15" t="s">
        <v>489</v>
      </c>
      <c r="C643" s="15" t="s">
        <v>509</v>
      </c>
      <c r="D643" s="15" t="s">
        <v>510</v>
      </c>
      <c r="E643" s="15"/>
      <c r="F643" s="15"/>
      <c r="G643" s="15"/>
      <c r="H643" s="15" t="s">
        <v>342</v>
      </c>
      <c r="I643" s="15">
        <v>0</v>
      </c>
      <c r="J643" s="15">
        <v>0</v>
      </c>
      <c r="K643" s="15">
        <v>0</v>
      </c>
      <c r="L643" s="15">
        <v>0</v>
      </c>
      <c r="M643" s="15">
        <v>1704417290.2950521</v>
      </c>
      <c r="N643" s="15">
        <v>0</v>
      </c>
      <c r="O643" s="15">
        <v>1131603727.040801</v>
      </c>
      <c r="P643" s="15">
        <v>0</v>
      </c>
      <c r="Q643" s="15"/>
    </row>
    <row r="644" spans="1:17" hidden="1" x14ac:dyDescent="0.25">
      <c r="A644" s="15" t="s">
        <v>148</v>
      </c>
      <c r="B644" s="15" t="s">
        <v>489</v>
      </c>
      <c r="C644" s="15" t="s">
        <v>509</v>
      </c>
      <c r="D644" s="15" t="s">
        <v>511</v>
      </c>
      <c r="E644" s="15"/>
      <c r="F644" s="15"/>
      <c r="G644" s="15"/>
      <c r="H644" s="15" t="s">
        <v>342</v>
      </c>
      <c r="I644" s="15">
        <v>0</v>
      </c>
      <c r="J644" s="15">
        <v>0</v>
      </c>
      <c r="K644" s="15">
        <v>0</v>
      </c>
      <c r="L644" s="15">
        <v>0</v>
      </c>
      <c r="M644" s="15">
        <v>794455738.63996136</v>
      </c>
      <c r="N644" s="15">
        <v>0</v>
      </c>
      <c r="O644" s="15">
        <v>573647981.04380012</v>
      </c>
      <c r="P644" s="15">
        <v>0</v>
      </c>
      <c r="Q644" s="15"/>
    </row>
    <row r="645" spans="1:17" hidden="1" x14ac:dyDescent="0.25">
      <c r="A645" s="15" t="s">
        <v>512</v>
      </c>
      <c r="B645" s="15" t="s">
        <v>489</v>
      </c>
      <c r="C645" s="15" t="s">
        <v>507</v>
      </c>
      <c r="D645" s="15" t="s">
        <v>513</v>
      </c>
      <c r="E645" s="15"/>
      <c r="F645" s="15"/>
      <c r="G645" s="15"/>
      <c r="H645" s="15" t="s">
        <v>342</v>
      </c>
      <c r="I645" s="15">
        <v>0</v>
      </c>
      <c r="J645" s="15">
        <v>0</v>
      </c>
      <c r="K645" s="15">
        <v>0</v>
      </c>
      <c r="L645" s="15">
        <v>0</v>
      </c>
      <c r="M645" s="15">
        <v>256667592.99931648</v>
      </c>
      <c r="N645" s="15">
        <v>0</v>
      </c>
      <c r="O645" s="15">
        <v>136655603.58450004</v>
      </c>
      <c r="P645" s="15">
        <v>0</v>
      </c>
      <c r="Q645" s="15"/>
    </row>
    <row r="646" spans="1:17" hidden="1" x14ac:dyDescent="0.25">
      <c r="A646" s="15" t="s">
        <v>165</v>
      </c>
      <c r="B646" s="15" t="s">
        <v>489</v>
      </c>
      <c r="C646" s="15" t="s">
        <v>509</v>
      </c>
      <c r="D646" s="15" t="s">
        <v>510</v>
      </c>
      <c r="E646" s="15"/>
      <c r="F646" s="15"/>
      <c r="G646" s="15"/>
      <c r="H646" s="15" t="s">
        <v>342</v>
      </c>
      <c r="I646" s="15">
        <v>0</v>
      </c>
      <c r="J646" s="15">
        <v>0</v>
      </c>
      <c r="K646" s="15">
        <v>0</v>
      </c>
      <c r="L646" s="15">
        <v>0</v>
      </c>
      <c r="M646" s="15">
        <v>92954906.814622194</v>
      </c>
      <c r="N646" s="15">
        <v>0</v>
      </c>
      <c r="O646" s="15">
        <v>51890148.134499997</v>
      </c>
      <c r="P646" s="15">
        <v>0</v>
      </c>
      <c r="Q646" s="15"/>
    </row>
    <row r="647" spans="1:17" hidden="1" x14ac:dyDescent="0.25">
      <c r="A647" s="15" t="s">
        <v>514</v>
      </c>
      <c r="B647" s="15" t="s">
        <v>489</v>
      </c>
      <c r="C647" s="15" t="s">
        <v>507</v>
      </c>
      <c r="D647" s="15" t="s">
        <v>513</v>
      </c>
      <c r="E647" s="15"/>
      <c r="F647" s="15"/>
      <c r="G647" s="15"/>
      <c r="H647" s="15" t="s">
        <v>342</v>
      </c>
      <c r="I647" s="15">
        <v>0</v>
      </c>
      <c r="J647" s="15">
        <v>0</v>
      </c>
      <c r="K647" s="15">
        <v>0</v>
      </c>
      <c r="L647" s="15">
        <v>0</v>
      </c>
      <c r="M647" s="15">
        <v>144770267.3128247</v>
      </c>
      <c r="N647" s="15">
        <v>0</v>
      </c>
      <c r="O647" s="15">
        <v>85552599.98739998</v>
      </c>
      <c r="P647" s="15">
        <v>0</v>
      </c>
      <c r="Q647" s="15"/>
    </row>
    <row r="648" spans="1:17" hidden="1" x14ac:dyDescent="0.25">
      <c r="A648" s="15" t="s">
        <v>173</v>
      </c>
      <c r="B648" s="15" t="s">
        <v>489</v>
      </c>
      <c r="C648" s="15" t="s">
        <v>507</v>
      </c>
      <c r="D648" s="15" t="s">
        <v>508</v>
      </c>
      <c r="E648" s="15"/>
      <c r="F648" s="15"/>
      <c r="G648" s="15"/>
      <c r="H648" s="15" t="s">
        <v>342</v>
      </c>
      <c r="I648" s="15">
        <v>0</v>
      </c>
      <c r="J648" s="15">
        <v>0</v>
      </c>
      <c r="K648" s="15">
        <v>0</v>
      </c>
      <c r="L648" s="15">
        <v>0</v>
      </c>
      <c r="M648" s="15">
        <v>2721243855.1642342</v>
      </c>
      <c r="N648" s="15">
        <v>0</v>
      </c>
      <c r="O648" s="15">
        <v>1938906834.9962986</v>
      </c>
      <c r="P648" s="15">
        <v>0</v>
      </c>
      <c r="Q648" s="15"/>
    </row>
    <row r="649" spans="1:17" hidden="1" x14ac:dyDescent="0.25">
      <c r="A649" s="15" t="s">
        <v>173</v>
      </c>
      <c r="B649" s="15" t="s">
        <v>489</v>
      </c>
      <c r="C649" s="15" t="s">
        <v>507</v>
      </c>
      <c r="D649" s="15" t="s">
        <v>515</v>
      </c>
      <c r="E649" s="15"/>
      <c r="F649" s="15"/>
      <c r="G649" s="15"/>
      <c r="H649" s="15" t="s">
        <v>342</v>
      </c>
      <c r="I649" s="15">
        <v>0</v>
      </c>
      <c r="J649" s="15">
        <v>0</v>
      </c>
      <c r="K649" s="15">
        <v>0</v>
      </c>
      <c r="L649" s="15">
        <v>0</v>
      </c>
      <c r="M649" s="15">
        <v>261404870.19377583</v>
      </c>
      <c r="N649" s="15">
        <v>0</v>
      </c>
      <c r="O649" s="15">
        <v>105970379.57999998</v>
      </c>
      <c r="P649" s="15">
        <v>6441328980.5292301</v>
      </c>
      <c r="Q649" s="15"/>
    </row>
    <row r="650" spans="1:17" hidden="1" x14ac:dyDescent="0.25">
      <c r="A650" s="15" t="s">
        <v>146</v>
      </c>
      <c r="B650" s="15" t="s">
        <v>489</v>
      </c>
      <c r="C650" s="15" t="s">
        <v>509</v>
      </c>
      <c r="D650" s="15" t="s">
        <v>511</v>
      </c>
      <c r="E650" s="15"/>
      <c r="F650" s="15"/>
      <c r="G650" s="15"/>
      <c r="H650" s="15" t="s">
        <v>342</v>
      </c>
      <c r="I650" s="15">
        <v>0</v>
      </c>
      <c r="J650" s="15">
        <v>0</v>
      </c>
      <c r="K650" s="15">
        <v>0</v>
      </c>
      <c r="L650" s="15">
        <v>0</v>
      </c>
      <c r="M650" s="15">
        <v>407168168.51999384</v>
      </c>
      <c r="N650" s="15">
        <v>0</v>
      </c>
      <c r="O650" s="15">
        <v>242263446.25079992</v>
      </c>
      <c r="P650" s="15">
        <v>0</v>
      </c>
      <c r="Q650" s="15"/>
    </row>
    <row r="651" spans="1:17" hidden="1" x14ac:dyDescent="0.25">
      <c r="A651" s="15" t="s">
        <v>150</v>
      </c>
      <c r="B651" s="15" t="s">
        <v>489</v>
      </c>
      <c r="C651" s="15" t="s">
        <v>509</v>
      </c>
      <c r="D651" s="15" t="s">
        <v>511</v>
      </c>
      <c r="E651" s="15"/>
      <c r="F651" s="15"/>
      <c r="G651" s="15"/>
      <c r="H651" s="15" t="s">
        <v>342</v>
      </c>
      <c r="I651" s="15">
        <v>0</v>
      </c>
      <c r="J651" s="15">
        <v>0</v>
      </c>
      <c r="K651" s="15">
        <v>0</v>
      </c>
      <c r="L651" s="15">
        <v>0</v>
      </c>
      <c r="M651" s="15">
        <v>482326588.95998514</v>
      </c>
      <c r="N651" s="15">
        <v>0</v>
      </c>
      <c r="O651" s="15">
        <v>362534982.53960001</v>
      </c>
      <c r="P651" s="15">
        <v>0</v>
      </c>
      <c r="Q651" s="15"/>
    </row>
    <row r="652" spans="1:17" hidden="1" x14ac:dyDescent="0.25">
      <c r="A652" s="15" t="s">
        <v>145</v>
      </c>
      <c r="B652" s="15" t="s">
        <v>489</v>
      </c>
      <c r="C652" s="15" t="s">
        <v>509</v>
      </c>
      <c r="D652" s="15" t="s">
        <v>511</v>
      </c>
      <c r="E652" s="15"/>
      <c r="F652" s="15"/>
      <c r="G652" s="15"/>
      <c r="H652" s="15" t="s">
        <v>342</v>
      </c>
      <c r="I652" s="15">
        <v>0</v>
      </c>
      <c r="J652" s="15">
        <v>0</v>
      </c>
      <c r="K652" s="15">
        <v>0</v>
      </c>
      <c r="L652" s="15">
        <v>0</v>
      </c>
      <c r="M652" s="15">
        <v>274661986.03999752</v>
      </c>
      <c r="N652" s="15">
        <v>0</v>
      </c>
      <c r="O652" s="15">
        <v>181023400.17449993</v>
      </c>
      <c r="P652" s="15">
        <v>0</v>
      </c>
      <c r="Q652" s="15"/>
    </row>
    <row r="653" spans="1:17" hidden="1" x14ac:dyDescent="0.25">
      <c r="A653" s="15" t="s">
        <v>152</v>
      </c>
      <c r="B653" s="15" t="s">
        <v>489</v>
      </c>
      <c r="C653" s="15" t="s">
        <v>509</v>
      </c>
      <c r="D653" s="15" t="s">
        <v>516</v>
      </c>
      <c r="E653" s="15"/>
      <c r="F653" s="15"/>
      <c r="G653" s="15"/>
      <c r="H653" s="15" t="s">
        <v>342</v>
      </c>
      <c r="I653" s="15">
        <v>0</v>
      </c>
      <c r="J653" s="15">
        <v>0</v>
      </c>
      <c r="K653" s="15">
        <v>0</v>
      </c>
      <c r="L653" s="15">
        <v>0</v>
      </c>
      <c r="M653" s="15">
        <v>777585366.91837251</v>
      </c>
      <c r="N653" s="15">
        <v>0</v>
      </c>
      <c r="O653" s="15">
        <v>381960960.90099984</v>
      </c>
      <c r="P653" s="15">
        <v>333354165.76000047</v>
      </c>
      <c r="Q653" s="15"/>
    </row>
    <row r="654" spans="1:17" hidden="1" x14ac:dyDescent="0.25">
      <c r="A654" s="15" t="s">
        <v>156</v>
      </c>
      <c r="B654" s="15" t="s">
        <v>489</v>
      </c>
      <c r="C654" s="15" t="s">
        <v>507</v>
      </c>
      <c r="D654" s="15" t="s">
        <v>515</v>
      </c>
      <c r="E654" s="15"/>
      <c r="F654" s="15"/>
      <c r="G654" s="15"/>
      <c r="H654" s="15" t="s">
        <v>342</v>
      </c>
      <c r="I654" s="15">
        <v>0</v>
      </c>
      <c r="J654" s="15">
        <v>0</v>
      </c>
      <c r="K654" s="15">
        <v>0</v>
      </c>
      <c r="L654" s="15">
        <v>0</v>
      </c>
      <c r="M654" s="15">
        <v>4631433153.9692402</v>
      </c>
      <c r="N654" s="15">
        <v>0</v>
      </c>
      <c r="O654" s="15">
        <v>2969791621.8204007</v>
      </c>
      <c r="P654" s="15">
        <v>0</v>
      </c>
      <c r="Q654" s="15"/>
    </row>
    <row r="655" spans="1:17" hidden="1" x14ac:dyDescent="0.25">
      <c r="A655" s="15" t="s">
        <v>154</v>
      </c>
      <c r="B655" s="15" t="s">
        <v>489</v>
      </c>
      <c r="C655" s="15" t="s">
        <v>509</v>
      </c>
      <c r="D655" s="15" t="s">
        <v>516</v>
      </c>
      <c r="E655" s="15"/>
      <c r="F655" s="15"/>
      <c r="G655" s="15"/>
      <c r="H655" s="15" t="s">
        <v>342</v>
      </c>
      <c r="I655" s="15">
        <v>0</v>
      </c>
      <c r="J655" s="15">
        <v>0</v>
      </c>
      <c r="K655" s="15">
        <v>0</v>
      </c>
      <c r="L655" s="15">
        <v>0</v>
      </c>
      <c r="M655" s="15">
        <v>1690562926.0115399</v>
      </c>
      <c r="N655" s="15">
        <v>0</v>
      </c>
      <c r="O655" s="15">
        <v>1050024310.0880005</v>
      </c>
      <c r="P655" s="15">
        <v>0</v>
      </c>
      <c r="Q655" s="15"/>
    </row>
    <row r="656" spans="1:17" hidden="1" x14ac:dyDescent="0.25">
      <c r="A656" s="15" t="s">
        <v>517</v>
      </c>
      <c r="B656" s="15" t="s">
        <v>489</v>
      </c>
      <c r="C656" s="15" t="s">
        <v>507</v>
      </c>
      <c r="D656" s="15" t="s">
        <v>513</v>
      </c>
      <c r="E656" s="15"/>
      <c r="F656" s="15"/>
      <c r="G656" s="15"/>
      <c r="H656" s="15" t="s">
        <v>342</v>
      </c>
      <c r="I656" s="15">
        <v>0</v>
      </c>
      <c r="J656" s="15">
        <v>0</v>
      </c>
      <c r="K656" s="15">
        <v>0</v>
      </c>
      <c r="L656" s="15">
        <v>0</v>
      </c>
      <c r="M656" s="15">
        <v>300363427.39183956</v>
      </c>
      <c r="N656" s="15">
        <v>0</v>
      </c>
      <c r="O656" s="15">
        <v>195799301.25860009</v>
      </c>
      <c r="P656" s="15">
        <v>0</v>
      </c>
      <c r="Q656" s="15"/>
    </row>
    <row r="657" spans="1:17" hidden="1" x14ac:dyDescent="0.25">
      <c r="A657" s="15" t="s">
        <v>160</v>
      </c>
      <c r="B657" s="15" t="s">
        <v>489</v>
      </c>
      <c r="C657" s="15" t="s">
        <v>507</v>
      </c>
      <c r="D657" s="15" t="s">
        <v>513</v>
      </c>
      <c r="E657" s="15"/>
      <c r="F657" s="15"/>
      <c r="G657" s="15"/>
      <c r="H657" s="15" t="s">
        <v>342</v>
      </c>
      <c r="I657" s="15">
        <v>0</v>
      </c>
      <c r="J657" s="15">
        <v>0</v>
      </c>
      <c r="K657" s="15">
        <v>0</v>
      </c>
      <c r="L657" s="15">
        <v>0</v>
      </c>
      <c r="M657" s="15">
        <v>1748815591.954936</v>
      </c>
      <c r="N657" s="15">
        <v>0</v>
      </c>
      <c r="O657" s="15">
        <v>1113203080.3724992</v>
      </c>
      <c r="P657" s="15">
        <v>0</v>
      </c>
      <c r="Q657" s="15"/>
    </row>
    <row r="658" spans="1:17" hidden="1" x14ac:dyDescent="0.25">
      <c r="A658" s="15" t="s">
        <v>151</v>
      </c>
      <c r="B658" s="15" t="s">
        <v>489</v>
      </c>
      <c r="C658" s="15" t="s">
        <v>509</v>
      </c>
      <c r="D658" s="15" t="s">
        <v>511</v>
      </c>
      <c r="E658" s="15"/>
      <c r="F658" s="15"/>
      <c r="G658" s="15"/>
      <c r="H658" s="15" t="s">
        <v>342</v>
      </c>
      <c r="I658" s="15">
        <v>0</v>
      </c>
      <c r="J658" s="15">
        <v>0</v>
      </c>
      <c r="K658" s="15">
        <v>0</v>
      </c>
      <c r="L658" s="15">
        <v>0</v>
      </c>
      <c r="M658" s="15">
        <v>320497709.13999486</v>
      </c>
      <c r="N658" s="15">
        <v>0</v>
      </c>
      <c r="O658" s="15">
        <v>193982358.73899996</v>
      </c>
      <c r="P658" s="15">
        <v>0</v>
      </c>
      <c r="Q658" s="15"/>
    </row>
    <row r="659" spans="1:17" hidden="1" x14ac:dyDescent="0.25">
      <c r="A659" s="15" t="s">
        <v>341</v>
      </c>
      <c r="B659" s="15" t="s">
        <v>489</v>
      </c>
      <c r="C659" s="15" t="s">
        <v>509</v>
      </c>
      <c r="D659" s="15" t="s">
        <v>518</v>
      </c>
      <c r="E659" s="15"/>
      <c r="F659" s="15"/>
      <c r="G659" s="15"/>
      <c r="H659" s="15" t="s">
        <v>342</v>
      </c>
      <c r="I659" s="15">
        <v>0</v>
      </c>
      <c r="J659" s="15">
        <v>0</v>
      </c>
      <c r="K659" s="15">
        <v>0</v>
      </c>
      <c r="L659" s="15">
        <v>0</v>
      </c>
      <c r="M659" s="15">
        <v>686433526.75362909</v>
      </c>
      <c r="N659" s="15">
        <v>0</v>
      </c>
      <c r="O659" s="15">
        <v>383589624.24380004</v>
      </c>
      <c r="P659" s="15">
        <v>1264255297.0799983</v>
      </c>
      <c r="Q659" s="15"/>
    </row>
    <row r="660" spans="1:17" hidden="1" x14ac:dyDescent="0.25">
      <c r="A660" s="15" t="s">
        <v>141</v>
      </c>
      <c r="B660" s="15" t="s">
        <v>489</v>
      </c>
      <c r="C660" s="15" t="s">
        <v>509</v>
      </c>
      <c r="D660" s="15" t="s">
        <v>518</v>
      </c>
      <c r="E660" s="15"/>
      <c r="F660" s="15"/>
      <c r="G660" s="15"/>
      <c r="H660" s="15" t="s">
        <v>342</v>
      </c>
      <c r="I660" s="15">
        <v>0</v>
      </c>
      <c r="J660" s="15">
        <v>0</v>
      </c>
      <c r="K660" s="15">
        <v>0</v>
      </c>
      <c r="L660" s="15">
        <v>0</v>
      </c>
      <c r="M660" s="15">
        <v>588019498.70052648</v>
      </c>
      <c r="N660" s="15">
        <v>0</v>
      </c>
      <c r="O660" s="15">
        <v>319467848.86250019</v>
      </c>
      <c r="P660" s="15">
        <v>0</v>
      </c>
      <c r="Q660" s="15"/>
    </row>
    <row r="661" spans="1:17" hidden="1" x14ac:dyDescent="0.25">
      <c r="A661" s="15" t="s">
        <v>148</v>
      </c>
      <c r="B661" s="15" t="s">
        <v>489</v>
      </c>
      <c r="C661" s="15" t="s">
        <v>509</v>
      </c>
      <c r="D661" s="15" t="s">
        <v>518</v>
      </c>
      <c r="E661" s="15"/>
      <c r="F661" s="15"/>
      <c r="G661" s="15"/>
      <c r="H661" s="15" t="s">
        <v>342</v>
      </c>
      <c r="I661" s="15">
        <v>0</v>
      </c>
      <c r="J661" s="15">
        <v>0</v>
      </c>
      <c r="K661" s="15">
        <v>0</v>
      </c>
      <c r="L661" s="15">
        <v>0</v>
      </c>
      <c r="M661" s="15">
        <v>949621290.1921854</v>
      </c>
      <c r="N661" s="15">
        <v>0</v>
      </c>
      <c r="O661" s="15">
        <v>577722381.09299958</v>
      </c>
      <c r="P661" s="15">
        <v>0</v>
      </c>
      <c r="Q661" s="15"/>
    </row>
    <row r="662" spans="1:17" hidden="1" x14ac:dyDescent="0.25">
      <c r="A662" s="15" t="s">
        <v>173</v>
      </c>
      <c r="B662" s="15" t="s">
        <v>489</v>
      </c>
      <c r="C662" s="15" t="s">
        <v>509</v>
      </c>
      <c r="D662" s="15" t="s">
        <v>510</v>
      </c>
      <c r="E662" s="15"/>
      <c r="F662" s="15"/>
      <c r="G662" s="15"/>
      <c r="H662" s="15" t="s">
        <v>342</v>
      </c>
      <c r="I662" s="15">
        <v>0</v>
      </c>
      <c r="J662" s="15">
        <v>0</v>
      </c>
      <c r="K662" s="15">
        <v>0</v>
      </c>
      <c r="L662" s="15">
        <v>0</v>
      </c>
      <c r="M662" s="15">
        <v>1494673.280976</v>
      </c>
      <c r="N662" s="15">
        <v>0</v>
      </c>
      <c r="O662" s="15">
        <v>0</v>
      </c>
      <c r="P662" s="15">
        <v>0</v>
      </c>
      <c r="Q662" s="15"/>
    </row>
    <row r="663" spans="1:17" hidden="1" x14ac:dyDescent="0.25">
      <c r="A663" s="15" t="s">
        <v>146</v>
      </c>
      <c r="B663" s="15" t="s">
        <v>489</v>
      </c>
      <c r="C663" s="15" t="s">
        <v>509</v>
      </c>
      <c r="D663" s="15" t="s">
        <v>518</v>
      </c>
      <c r="E663" s="15"/>
      <c r="F663" s="15"/>
      <c r="G663" s="15"/>
      <c r="H663" s="15" t="s">
        <v>342</v>
      </c>
      <c r="I663" s="15">
        <v>0</v>
      </c>
      <c r="J663" s="15">
        <v>0</v>
      </c>
      <c r="K663" s="15">
        <v>0</v>
      </c>
      <c r="L663" s="15">
        <v>0</v>
      </c>
      <c r="M663" s="15">
        <v>439515234.61708415</v>
      </c>
      <c r="N663" s="15">
        <v>0</v>
      </c>
      <c r="O663" s="15">
        <v>244595402.85570005</v>
      </c>
      <c r="P663" s="15">
        <v>0</v>
      </c>
      <c r="Q663" s="15"/>
    </row>
    <row r="664" spans="1:17" hidden="1" x14ac:dyDescent="0.25">
      <c r="A664" s="15" t="s">
        <v>150</v>
      </c>
      <c r="B664" s="15" t="s">
        <v>489</v>
      </c>
      <c r="C664" s="15" t="s">
        <v>509</v>
      </c>
      <c r="D664" s="15" t="s">
        <v>518</v>
      </c>
      <c r="E664" s="15"/>
      <c r="F664" s="15"/>
      <c r="G664" s="15"/>
      <c r="H664" s="15" t="s">
        <v>342</v>
      </c>
      <c r="I664" s="15">
        <v>0</v>
      </c>
      <c r="J664" s="15">
        <v>0</v>
      </c>
      <c r="K664" s="15">
        <v>0</v>
      </c>
      <c r="L664" s="15">
        <v>0</v>
      </c>
      <c r="M664" s="15">
        <v>384967335.97932667</v>
      </c>
      <c r="N664" s="15">
        <v>0</v>
      </c>
      <c r="O664" s="15">
        <v>238600337.93050003</v>
      </c>
      <c r="P664" s="15">
        <v>0</v>
      </c>
      <c r="Q664" s="15"/>
    </row>
    <row r="665" spans="1:17" hidden="1" x14ac:dyDescent="0.25">
      <c r="A665" s="15" t="s">
        <v>145</v>
      </c>
      <c r="B665" s="15" t="s">
        <v>489</v>
      </c>
      <c r="C665" s="15" t="s">
        <v>509</v>
      </c>
      <c r="D665" s="15" t="s">
        <v>518</v>
      </c>
      <c r="E665" s="15"/>
      <c r="F665" s="15"/>
      <c r="G665" s="15"/>
      <c r="H665" s="15" t="s">
        <v>342</v>
      </c>
      <c r="I665" s="15">
        <v>0</v>
      </c>
      <c r="J665" s="15">
        <v>0</v>
      </c>
      <c r="K665" s="15">
        <v>0</v>
      </c>
      <c r="L665" s="15">
        <v>0</v>
      </c>
      <c r="M665" s="15">
        <v>332584151.66513157</v>
      </c>
      <c r="N665" s="15">
        <v>0</v>
      </c>
      <c r="O665" s="15">
        <v>175410934.04640001</v>
      </c>
      <c r="P665" s="15">
        <v>0</v>
      </c>
      <c r="Q665" s="15"/>
    </row>
    <row r="666" spans="1:17" hidden="1" x14ac:dyDescent="0.25">
      <c r="A666" s="15" t="s">
        <v>154</v>
      </c>
      <c r="B666" s="15" t="s">
        <v>489</v>
      </c>
      <c r="C666" s="15" t="s">
        <v>509</v>
      </c>
      <c r="D666" s="15" t="s">
        <v>510</v>
      </c>
      <c r="E666" s="15"/>
      <c r="F666" s="15"/>
      <c r="G666" s="15"/>
      <c r="H666" s="15" t="s">
        <v>342</v>
      </c>
      <c r="I666" s="15">
        <v>0</v>
      </c>
      <c r="J666" s="15">
        <v>0</v>
      </c>
      <c r="K666" s="15">
        <v>0</v>
      </c>
      <c r="L666" s="15">
        <v>0</v>
      </c>
      <c r="M666" s="15">
        <v>347336.67000000004</v>
      </c>
      <c r="N666" s="15">
        <v>0</v>
      </c>
      <c r="O666" s="15">
        <v>3357900</v>
      </c>
      <c r="P666" s="15">
        <v>0</v>
      </c>
      <c r="Q666" s="15"/>
    </row>
    <row r="667" spans="1:17" hidden="1" x14ac:dyDescent="0.25">
      <c r="A667" s="15" t="s">
        <v>151</v>
      </c>
      <c r="B667" s="15" t="s">
        <v>489</v>
      </c>
      <c r="C667" s="15" t="s">
        <v>509</v>
      </c>
      <c r="D667" s="15" t="s">
        <v>516</v>
      </c>
      <c r="E667" s="15"/>
      <c r="F667" s="15"/>
      <c r="G667" s="15"/>
      <c r="H667" s="15" t="s">
        <v>342</v>
      </c>
      <c r="I667" s="15">
        <v>0</v>
      </c>
      <c r="J667" s="15">
        <v>0</v>
      </c>
      <c r="K667" s="15">
        <v>0</v>
      </c>
      <c r="L667" s="15">
        <v>0</v>
      </c>
      <c r="M667" s="15">
        <v>382313707.37538594</v>
      </c>
      <c r="N667" s="15">
        <v>0</v>
      </c>
      <c r="O667" s="15">
        <v>191982465.48129994</v>
      </c>
      <c r="P667" s="15">
        <v>0</v>
      </c>
      <c r="Q667" s="15"/>
    </row>
    <row r="668" spans="1:17" hidden="1" x14ac:dyDescent="0.25">
      <c r="A668" s="15" t="s">
        <v>174</v>
      </c>
      <c r="B668" s="15" t="s">
        <v>489</v>
      </c>
      <c r="C668" s="15" t="s">
        <v>490</v>
      </c>
      <c r="D668" s="15" t="s">
        <v>502</v>
      </c>
      <c r="E668" s="15" t="s">
        <v>96</v>
      </c>
      <c r="F668" s="15"/>
      <c r="G668" s="15"/>
      <c r="H668" s="15"/>
      <c r="I668" s="15">
        <v>0</v>
      </c>
      <c r="J668" s="15">
        <v>2328586.79</v>
      </c>
      <c r="K668" s="15">
        <v>13130.27</v>
      </c>
      <c r="L668" s="15">
        <v>806469.12999999989</v>
      </c>
      <c r="M668" s="15">
        <v>0</v>
      </c>
      <c r="N668" s="15">
        <v>90879464.679999992</v>
      </c>
      <c r="O668" s="15">
        <v>0</v>
      </c>
      <c r="P668" s="15">
        <v>0</v>
      </c>
      <c r="Q668" s="15"/>
    </row>
    <row r="669" spans="1:17" hidden="1" x14ac:dyDescent="0.25">
      <c r="A669" s="15" t="s">
        <v>341</v>
      </c>
      <c r="B669" s="15" t="s">
        <v>489</v>
      </c>
      <c r="C669" s="15" t="s">
        <v>495</v>
      </c>
      <c r="D669" s="15" t="s">
        <v>496</v>
      </c>
      <c r="E669" s="15" t="s">
        <v>96</v>
      </c>
      <c r="F669" s="15"/>
      <c r="G669" s="15"/>
      <c r="H669" s="15"/>
      <c r="I669" s="15">
        <v>0</v>
      </c>
      <c r="J669" s="15">
        <v>13742490.699999999</v>
      </c>
      <c r="K669" s="15">
        <v>3022022.7600000002</v>
      </c>
      <c r="L669" s="15">
        <v>400453.30999999994</v>
      </c>
      <c r="M669" s="15">
        <v>0</v>
      </c>
      <c r="N669" s="15">
        <v>42349125.859999992</v>
      </c>
      <c r="O669" s="15">
        <v>0</v>
      </c>
      <c r="P669" s="15">
        <v>0</v>
      </c>
      <c r="Q669" s="15"/>
    </row>
    <row r="670" spans="1:17" hidden="1" x14ac:dyDescent="0.25">
      <c r="A670" s="15" t="s">
        <v>341</v>
      </c>
      <c r="B670" s="15" t="s">
        <v>489</v>
      </c>
      <c r="C670" s="15" t="s">
        <v>495</v>
      </c>
      <c r="D670" s="15" t="s">
        <v>498</v>
      </c>
      <c r="E670" s="15" t="s">
        <v>96</v>
      </c>
      <c r="F670" s="15"/>
      <c r="G670" s="15"/>
      <c r="H670" s="15"/>
      <c r="I670" s="15">
        <v>0</v>
      </c>
      <c r="J670" s="15">
        <v>0</v>
      </c>
      <c r="K670" s="15">
        <v>0</v>
      </c>
      <c r="L670" s="15">
        <v>1361356.9399999995</v>
      </c>
      <c r="M670" s="15">
        <v>0</v>
      </c>
      <c r="N670" s="15">
        <v>0</v>
      </c>
      <c r="O670" s="15">
        <v>0</v>
      </c>
      <c r="P670" s="15">
        <v>0</v>
      </c>
      <c r="Q670" s="15"/>
    </row>
    <row r="671" spans="1:17" hidden="1" x14ac:dyDescent="0.25">
      <c r="A671" s="15" t="s">
        <v>141</v>
      </c>
      <c r="B671" s="15" t="s">
        <v>489</v>
      </c>
      <c r="C671" s="15" t="s">
        <v>495</v>
      </c>
      <c r="D671" s="15" t="s">
        <v>496</v>
      </c>
      <c r="E671" s="15" t="s">
        <v>96</v>
      </c>
      <c r="F671" s="15"/>
      <c r="G671" s="15"/>
      <c r="H671" s="15"/>
      <c r="I671" s="15">
        <v>0</v>
      </c>
      <c r="J671" s="15">
        <v>8182930.8999999994</v>
      </c>
      <c r="K671" s="15">
        <v>0</v>
      </c>
      <c r="L671" s="15">
        <v>0</v>
      </c>
      <c r="M671" s="15">
        <v>0</v>
      </c>
      <c r="N671" s="15">
        <v>12460186.710000001</v>
      </c>
      <c r="O671" s="15">
        <v>0</v>
      </c>
      <c r="P671" s="15">
        <v>0</v>
      </c>
      <c r="Q671" s="15"/>
    </row>
    <row r="672" spans="1:17" hidden="1" x14ac:dyDescent="0.25">
      <c r="A672" s="15" t="s">
        <v>148</v>
      </c>
      <c r="B672" s="15" t="s">
        <v>489</v>
      </c>
      <c r="C672" s="15" t="s">
        <v>495</v>
      </c>
      <c r="D672" s="15" t="s">
        <v>496</v>
      </c>
      <c r="E672" s="15" t="s">
        <v>96</v>
      </c>
      <c r="F672" s="15">
        <v>1</v>
      </c>
      <c r="G672" s="15"/>
      <c r="H672" s="15"/>
      <c r="I672" s="15">
        <v>0</v>
      </c>
      <c r="J672" s="15">
        <v>526862.52</v>
      </c>
      <c r="K672" s="15">
        <v>0</v>
      </c>
      <c r="L672" s="15">
        <v>1241115.1800000004</v>
      </c>
      <c r="M672" s="15">
        <v>0</v>
      </c>
      <c r="N672" s="15">
        <v>130075043.87999995</v>
      </c>
      <c r="O672" s="15">
        <v>0</v>
      </c>
      <c r="P672" s="15">
        <v>0</v>
      </c>
      <c r="Q672" s="15"/>
    </row>
    <row r="673" spans="1:17" hidden="1" x14ac:dyDescent="0.25">
      <c r="A673" s="15" t="s">
        <v>148</v>
      </c>
      <c r="B673" s="15" t="s">
        <v>489</v>
      </c>
      <c r="C673" s="15" t="s">
        <v>495</v>
      </c>
      <c r="D673" s="15" t="s">
        <v>498</v>
      </c>
      <c r="E673" s="15" t="s">
        <v>96</v>
      </c>
      <c r="F673" s="15"/>
      <c r="G673" s="15"/>
      <c r="H673" s="15"/>
      <c r="I673" s="15">
        <v>0</v>
      </c>
      <c r="J673" s="15">
        <v>8536955.5500000007</v>
      </c>
      <c r="K673" s="15">
        <v>5757796.0499999989</v>
      </c>
      <c r="L673" s="15">
        <v>78761623.449999958</v>
      </c>
      <c r="M673" s="15">
        <v>0</v>
      </c>
      <c r="N673" s="15">
        <v>0</v>
      </c>
      <c r="O673" s="15">
        <v>0</v>
      </c>
      <c r="P673" s="15">
        <v>0</v>
      </c>
      <c r="Q673" s="15"/>
    </row>
    <row r="674" spans="1:17" hidden="1" x14ac:dyDescent="0.25">
      <c r="A674" s="15" t="s">
        <v>171</v>
      </c>
      <c r="B674" s="15" t="s">
        <v>489</v>
      </c>
      <c r="C674" s="15" t="s">
        <v>490</v>
      </c>
      <c r="D674" s="15" t="s">
        <v>491</v>
      </c>
      <c r="E674" s="15" t="s">
        <v>96</v>
      </c>
      <c r="F674" s="15"/>
      <c r="G674" s="15"/>
      <c r="H674" s="15"/>
      <c r="I674" s="15">
        <v>0</v>
      </c>
      <c r="J674" s="15">
        <v>0</v>
      </c>
      <c r="K674" s="15">
        <v>0</v>
      </c>
      <c r="L674" s="15">
        <v>492352.85000000003</v>
      </c>
      <c r="M674" s="15">
        <v>0</v>
      </c>
      <c r="N674" s="15">
        <v>0</v>
      </c>
      <c r="O674" s="15">
        <v>104971901.41360001</v>
      </c>
      <c r="P674" s="15">
        <v>0</v>
      </c>
      <c r="Q674" s="15"/>
    </row>
    <row r="675" spans="1:17" hidden="1" x14ac:dyDescent="0.25">
      <c r="A675" s="15" t="s">
        <v>434</v>
      </c>
      <c r="B675" s="15" t="s">
        <v>489</v>
      </c>
      <c r="C675" s="15" t="s">
        <v>490</v>
      </c>
      <c r="D675" s="15" t="s">
        <v>502</v>
      </c>
      <c r="E675" s="15" t="s">
        <v>96</v>
      </c>
      <c r="F675" s="15"/>
      <c r="G675" s="15"/>
      <c r="H675" s="15"/>
      <c r="I675" s="15">
        <v>0</v>
      </c>
      <c r="J675" s="15">
        <v>0</v>
      </c>
      <c r="K675" s="15">
        <v>0</v>
      </c>
      <c r="L675" s="15">
        <v>2874266.73</v>
      </c>
      <c r="M675" s="15">
        <v>0</v>
      </c>
      <c r="N675" s="15">
        <v>8317598.1300000008</v>
      </c>
      <c r="O675" s="15">
        <v>0</v>
      </c>
      <c r="P675" s="15">
        <v>0</v>
      </c>
      <c r="Q675" s="15"/>
    </row>
    <row r="676" spans="1:17" hidden="1" x14ac:dyDescent="0.25">
      <c r="A676" s="15" t="s">
        <v>20</v>
      </c>
      <c r="B676" s="15" t="s">
        <v>489</v>
      </c>
      <c r="C676" s="15" t="s">
        <v>495</v>
      </c>
      <c r="D676" s="15" t="s">
        <v>496</v>
      </c>
      <c r="E676" s="15" t="s">
        <v>96</v>
      </c>
      <c r="F676" s="15"/>
      <c r="G676" s="15"/>
      <c r="H676" s="15"/>
      <c r="I676" s="15">
        <v>0</v>
      </c>
      <c r="J676" s="15">
        <v>0</v>
      </c>
      <c r="K676" s="15">
        <v>0</v>
      </c>
      <c r="L676" s="15">
        <v>0</v>
      </c>
      <c r="M676" s="15">
        <v>0</v>
      </c>
      <c r="N676" s="15">
        <v>19951807.690000005</v>
      </c>
      <c r="O676" s="15">
        <v>0</v>
      </c>
      <c r="P676" s="15">
        <v>0</v>
      </c>
      <c r="Q676" s="15"/>
    </row>
    <row r="677" spans="1:17" hidden="1" x14ac:dyDescent="0.25">
      <c r="A677" s="15" t="s">
        <v>173</v>
      </c>
      <c r="B677" s="15" t="s">
        <v>489</v>
      </c>
      <c r="C677" s="15" t="s">
        <v>490</v>
      </c>
      <c r="D677" s="15" t="s">
        <v>499</v>
      </c>
      <c r="E677" s="15" t="s">
        <v>96</v>
      </c>
      <c r="F677" s="15">
        <v>1</v>
      </c>
      <c r="G677" s="15"/>
      <c r="H677" s="15"/>
      <c r="I677" s="15">
        <v>0</v>
      </c>
      <c r="J677" s="15">
        <v>0</v>
      </c>
      <c r="K677" s="15">
        <v>0</v>
      </c>
      <c r="L677" s="15">
        <v>10295643.300000003</v>
      </c>
      <c r="M677" s="15">
        <v>0</v>
      </c>
      <c r="N677" s="15">
        <v>0</v>
      </c>
      <c r="O677" s="15">
        <v>0</v>
      </c>
      <c r="P677" s="15">
        <v>0</v>
      </c>
      <c r="Q677" s="15"/>
    </row>
    <row r="678" spans="1:17" hidden="1" x14ac:dyDescent="0.25">
      <c r="A678" s="15" t="s">
        <v>173</v>
      </c>
      <c r="B678" s="15" t="s">
        <v>489</v>
      </c>
      <c r="C678" s="15" t="s">
        <v>490</v>
      </c>
      <c r="D678" s="15" t="s">
        <v>502</v>
      </c>
      <c r="E678" s="15" t="s">
        <v>96</v>
      </c>
      <c r="F678" s="15"/>
      <c r="G678" s="15"/>
      <c r="H678" s="15"/>
      <c r="I678" s="15">
        <v>0</v>
      </c>
      <c r="J678" s="15">
        <v>4270575.3600000003</v>
      </c>
      <c r="K678" s="15">
        <v>111221156.59</v>
      </c>
      <c r="L678" s="15">
        <v>637981612.9000001</v>
      </c>
      <c r="M678" s="15">
        <v>0</v>
      </c>
      <c r="N678" s="15">
        <v>541872107.94999981</v>
      </c>
      <c r="O678" s="15">
        <v>0</v>
      </c>
      <c r="P678" s="15">
        <v>0</v>
      </c>
      <c r="Q678" s="15"/>
    </row>
    <row r="679" spans="1:17" hidden="1" x14ac:dyDescent="0.25">
      <c r="A679" s="15" t="s">
        <v>173</v>
      </c>
      <c r="B679" s="15" t="s">
        <v>489</v>
      </c>
      <c r="C679" s="15" t="s">
        <v>503</v>
      </c>
      <c r="D679" s="15" t="s">
        <v>504</v>
      </c>
      <c r="E679" s="15" t="s">
        <v>96</v>
      </c>
      <c r="F679" s="15"/>
      <c r="G679" s="15"/>
      <c r="H679" s="15"/>
      <c r="I679" s="15">
        <v>0</v>
      </c>
      <c r="J679" s="15">
        <v>8978605.0899999999</v>
      </c>
      <c r="K679" s="15">
        <v>0</v>
      </c>
      <c r="L679" s="15">
        <v>1849561.63</v>
      </c>
      <c r="M679" s="15">
        <v>0</v>
      </c>
      <c r="N679" s="15">
        <v>8931712.879999999</v>
      </c>
      <c r="O679" s="15">
        <v>0</v>
      </c>
      <c r="P679" s="15">
        <v>0</v>
      </c>
      <c r="Q679" s="15"/>
    </row>
    <row r="680" spans="1:17" hidden="1" x14ac:dyDescent="0.25">
      <c r="A680" s="15" t="s">
        <v>173</v>
      </c>
      <c r="B680" s="15" t="s">
        <v>489</v>
      </c>
      <c r="C680" s="15" t="s">
        <v>503</v>
      </c>
      <c r="D680" s="15" t="s">
        <v>505</v>
      </c>
      <c r="E680" s="15" t="s">
        <v>96</v>
      </c>
      <c r="F680" s="15"/>
      <c r="G680" s="15"/>
      <c r="H680" s="15"/>
      <c r="I680" s="15">
        <v>0</v>
      </c>
      <c r="J680" s="15">
        <v>3701884.3000000007</v>
      </c>
      <c r="K680" s="15">
        <v>1630364.4800000007</v>
      </c>
      <c r="L680" s="15">
        <v>1121129.4099999999</v>
      </c>
      <c r="M680" s="15">
        <v>0</v>
      </c>
      <c r="N680" s="15">
        <v>614114.75</v>
      </c>
      <c r="O680" s="15">
        <v>0</v>
      </c>
      <c r="P680" s="15">
        <v>0</v>
      </c>
      <c r="Q680" s="15"/>
    </row>
    <row r="681" spans="1:17" hidden="1" x14ac:dyDescent="0.25">
      <c r="A681" s="15" t="s">
        <v>173</v>
      </c>
      <c r="B681" s="15" t="s">
        <v>489</v>
      </c>
      <c r="C681" s="15" t="s">
        <v>490</v>
      </c>
      <c r="D681" s="15" t="s">
        <v>491</v>
      </c>
      <c r="E681" s="15" t="s">
        <v>96</v>
      </c>
      <c r="F681" s="15"/>
      <c r="G681" s="15"/>
      <c r="H681" s="15" t="s">
        <v>342</v>
      </c>
      <c r="I681" s="15">
        <v>0</v>
      </c>
      <c r="J681" s="15">
        <v>16025621.889999999</v>
      </c>
      <c r="K681" s="15">
        <v>9900680.1600000001</v>
      </c>
      <c r="L681" s="15">
        <v>163356771.46999994</v>
      </c>
      <c r="M681" s="15">
        <v>1467439433.5898113</v>
      </c>
      <c r="N681" s="15">
        <v>10774057.129999999</v>
      </c>
      <c r="O681" s="15">
        <v>663558106.29289997</v>
      </c>
      <c r="P681" s="15">
        <v>0</v>
      </c>
      <c r="Q681" s="15"/>
    </row>
    <row r="682" spans="1:17" hidden="1" x14ac:dyDescent="0.25">
      <c r="A682" s="15" t="s">
        <v>180</v>
      </c>
      <c r="B682" s="15" t="s">
        <v>489</v>
      </c>
      <c r="C682" s="15" t="s">
        <v>490</v>
      </c>
      <c r="D682" s="15" t="s">
        <v>499</v>
      </c>
      <c r="E682" s="15" t="s">
        <v>96</v>
      </c>
      <c r="F682" s="15"/>
      <c r="G682" s="15"/>
      <c r="H682" s="15"/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4912918.0000000009</v>
      </c>
      <c r="O682" s="15">
        <v>162486690.05530003</v>
      </c>
      <c r="P682" s="15">
        <v>0</v>
      </c>
      <c r="Q682" s="15"/>
    </row>
    <row r="683" spans="1:17" hidden="1" x14ac:dyDescent="0.25">
      <c r="A683" s="15" t="s">
        <v>180</v>
      </c>
      <c r="B683" s="15" t="s">
        <v>489</v>
      </c>
      <c r="C683" s="15" t="s">
        <v>490</v>
      </c>
      <c r="D683" s="15" t="s">
        <v>502</v>
      </c>
      <c r="E683" s="15" t="s">
        <v>96</v>
      </c>
      <c r="F683" s="15"/>
      <c r="G683" s="15"/>
      <c r="H683" s="15"/>
      <c r="I683" s="15">
        <v>0</v>
      </c>
      <c r="J683" s="15">
        <v>0</v>
      </c>
      <c r="K683" s="15">
        <v>0</v>
      </c>
      <c r="L683" s="15">
        <v>173787.44</v>
      </c>
      <c r="M683" s="15">
        <v>0</v>
      </c>
      <c r="N683" s="15">
        <v>165112851.97999996</v>
      </c>
      <c r="O683" s="15">
        <v>0</v>
      </c>
      <c r="P683" s="15">
        <v>0</v>
      </c>
      <c r="Q683" s="15"/>
    </row>
    <row r="684" spans="1:17" hidden="1" x14ac:dyDescent="0.25">
      <c r="A684" s="15" t="s">
        <v>146</v>
      </c>
      <c r="B684" s="15" t="s">
        <v>489</v>
      </c>
      <c r="C684" s="15" t="s">
        <v>495</v>
      </c>
      <c r="D684" s="15" t="s">
        <v>496</v>
      </c>
      <c r="E684" s="15" t="s">
        <v>96</v>
      </c>
      <c r="F684" s="15"/>
      <c r="G684" s="15"/>
      <c r="H684" s="15"/>
      <c r="I684" s="15">
        <v>0</v>
      </c>
      <c r="J684" s="15">
        <v>0</v>
      </c>
      <c r="K684" s="15">
        <v>313148.25</v>
      </c>
      <c r="L684" s="15">
        <v>0</v>
      </c>
      <c r="M684" s="15">
        <v>0</v>
      </c>
      <c r="N684" s="15">
        <v>60282489.349999987</v>
      </c>
      <c r="O684" s="15">
        <v>0</v>
      </c>
      <c r="P684" s="15">
        <v>0</v>
      </c>
      <c r="Q684" s="15"/>
    </row>
    <row r="685" spans="1:17" hidden="1" x14ac:dyDescent="0.25">
      <c r="A685" s="15" t="s">
        <v>146</v>
      </c>
      <c r="B685" s="15" t="s">
        <v>489</v>
      </c>
      <c r="C685" s="15" t="s">
        <v>495</v>
      </c>
      <c r="D685" s="15" t="s">
        <v>498</v>
      </c>
      <c r="E685" s="15" t="s">
        <v>96</v>
      </c>
      <c r="F685" s="15"/>
      <c r="G685" s="15"/>
      <c r="H685" s="15"/>
      <c r="I685" s="15">
        <v>0</v>
      </c>
      <c r="J685" s="15">
        <v>0</v>
      </c>
      <c r="K685" s="15">
        <v>0</v>
      </c>
      <c r="L685" s="15">
        <v>21807.65</v>
      </c>
      <c r="M685" s="15">
        <v>0</v>
      </c>
      <c r="N685" s="15">
        <v>0</v>
      </c>
      <c r="O685" s="15">
        <v>0</v>
      </c>
      <c r="P685" s="15">
        <v>0</v>
      </c>
      <c r="Q685" s="15"/>
    </row>
    <row r="686" spans="1:17" hidden="1" x14ac:dyDescent="0.25">
      <c r="A686" s="15" t="s">
        <v>150</v>
      </c>
      <c r="B686" s="15" t="s">
        <v>489</v>
      </c>
      <c r="C686" s="15" t="s">
        <v>495</v>
      </c>
      <c r="D686" s="15" t="s">
        <v>496</v>
      </c>
      <c r="E686" s="15" t="s">
        <v>96</v>
      </c>
      <c r="F686" s="15"/>
      <c r="G686" s="15"/>
      <c r="H686" s="15"/>
      <c r="I686" s="15">
        <v>0</v>
      </c>
      <c r="J686" s="15">
        <v>4388912.41</v>
      </c>
      <c r="K686" s="15">
        <v>1236435.1200000001</v>
      </c>
      <c r="L686" s="15">
        <v>2294897.2300000004</v>
      </c>
      <c r="M686" s="15">
        <v>0</v>
      </c>
      <c r="N686" s="15">
        <v>103135696.96999998</v>
      </c>
      <c r="O686" s="15">
        <v>0</v>
      </c>
      <c r="P686" s="15">
        <v>0</v>
      </c>
      <c r="Q686" s="15"/>
    </row>
    <row r="687" spans="1:17" hidden="1" x14ac:dyDescent="0.25">
      <c r="A687" s="15" t="s">
        <v>150</v>
      </c>
      <c r="B687" s="15" t="s">
        <v>489</v>
      </c>
      <c r="C687" s="15" t="s">
        <v>495</v>
      </c>
      <c r="D687" s="15" t="s">
        <v>498</v>
      </c>
      <c r="E687" s="15" t="s">
        <v>96</v>
      </c>
      <c r="F687" s="15"/>
      <c r="G687" s="15"/>
      <c r="H687" s="15"/>
      <c r="I687" s="15">
        <v>0</v>
      </c>
      <c r="J687" s="15">
        <v>0</v>
      </c>
      <c r="K687" s="15">
        <v>0</v>
      </c>
      <c r="L687" s="15">
        <v>13155875.800000003</v>
      </c>
      <c r="M687" s="15">
        <v>0</v>
      </c>
      <c r="N687" s="15">
        <v>0</v>
      </c>
      <c r="O687" s="15">
        <v>0</v>
      </c>
      <c r="P687" s="15">
        <v>0</v>
      </c>
      <c r="Q687" s="15"/>
    </row>
    <row r="688" spans="1:17" hidden="1" x14ac:dyDescent="0.25">
      <c r="A688" s="15" t="s">
        <v>500</v>
      </c>
      <c r="B688" s="15" t="s">
        <v>489</v>
      </c>
      <c r="C688" s="15" t="s">
        <v>490</v>
      </c>
      <c r="D688" s="15" t="s">
        <v>502</v>
      </c>
      <c r="E688" s="15" t="s">
        <v>96</v>
      </c>
      <c r="F688" s="15"/>
      <c r="G688" s="15"/>
      <c r="H688" s="15"/>
      <c r="I688" s="15">
        <v>0</v>
      </c>
      <c r="J688" s="15">
        <v>0</v>
      </c>
      <c r="K688" s="15">
        <v>0</v>
      </c>
      <c r="L688" s="15">
        <v>16108388.52</v>
      </c>
      <c r="M688" s="15">
        <v>0</v>
      </c>
      <c r="N688" s="15">
        <v>0</v>
      </c>
      <c r="O688" s="15">
        <v>0</v>
      </c>
      <c r="P688" s="15">
        <v>0</v>
      </c>
      <c r="Q688" s="15"/>
    </row>
    <row r="689" spans="1:17" hidden="1" x14ac:dyDescent="0.25">
      <c r="A689" s="15" t="s">
        <v>7</v>
      </c>
      <c r="B689" s="15" t="s">
        <v>489</v>
      </c>
      <c r="C689" s="15" t="s">
        <v>495</v>
      </c>
      <c r="D689" s="15" t="s">
        <v>496</v>
      </c>
      <c r="E689" s="15" t="s">
        <v>96</v>
      </c>
      <c r="F689" s="15"/>
      <c r="G689" s="15"/>
      <c r="H689" s="15"/>
      <c r="I689" s="15">
        <v>0</v>
      </c>
      <c r="J689" s="15">
        <v>0</v>
      </c>
      <c r="K689" s="15">
        <v>0</v>
      </c>
      <c r="L689" s="15">
        <v>0</v>
      </c>
      <c r="M689" s="15">
        <v>0</v>
      </c>
      <c r="N689" s="15">
        <v>5977787.8299999991</v>
      </c>
      <c r="O689" s="15">
        <v>0</v>
      </c>
      <c r="P689" s="15">
        <v>0</v>
      </c>
      <c r="Q689" s="15"/>
    </row>
    <row r="690" spans="1:17" hidden="1" x14ac:dyDescent="0.25">
      <c r="A690" s="15" t="s">
        <v>145</v>
      </c>
      <c r="B690" s="15" t="s">
        <v>489</v>
      </c>
      <c r="C690" s="15" t="s">
        <v>495</v>
      </c>
      <c r="D690" s="15" t="s">
        <v>496</v>
      </c>
      <c r="E690" s="15" t="s">
        <v>96</v>
      </c>
      <c r="F690" s="15"/>
      <c r="G690" s="15"/>
      <c r="H690" s="15"/>
      <c r="I690" s="15">
        <v>0</v>
      </c>
      <c r="J690" s="15">
        <v>66978.099999999991</v>
      </c>
      <c r="K690" s="15">
        <v>0</v>
      </c>
      <c r="L690" s="15">
        <v>0</v>
      </c>
      <c r="M690" s="15">
        <v>0</v>
      </c>
      <c r="N690" s="15">
        <v>36875949.079999991</v>
      </c>
      <c r="O690" s="15">
        <v>0</v>
      </c>
      <c r="P690" s="15">
        <v>0</v>
      </c>
      <c r="Q690" s="15"/>
    </row>
    <row r="691" spans="1:17" hidden="1" x14ac:dyDescent="0.25">
      <c r="A691" s="15" t="s">
        <v>145</v>
      </c>
      <c r="B691" s="15" t="s">
        <v>489</v>
      </c>
      <c r="C691" s="15" t="s">
        <v>495</v>
      </c>
      <c r="D691" s="15" t="s">
        <v>498</v>
      </c>
      <c r="E691" s="15" t="s">
        <v>96</v>
      </c>
      <c r="F691" s="15"/>
      <c r="G691" s="15"/>
      <c r="H691" s="15"/>
      <c r="I691" s="15">
        <v>0</v>
      </c>
      <c r="J691" s="15">
        <v>0</v>
      </c>
      <c r="K691" s="15">
        <v>0</v>
      </c>
      <c r="L691" s="15">
        <v>965432.04999999993</v>
      </c>
      <c r="M691" s="15">
        <v>0</v>
      </c>
      <c r="N691" s="15">
        <v>0</v>
      </c>
      <c r="O691" s="15">
        <v>0</v>
      </c>
      <c r="P691" s="15">
        <v>0</v>
      </c>
      <c r="Q691" s="15"/>
    </row>
    <row r="692" spans="1:17" hidden="1" x14ac:dyDescent="0.25">
      <c r="A692" s="15" t="s">
        <v>156</v>
      </c>
      <c r="B692" s="15" t="s">
        <v>489</v>
      </c>
      <c r="C692" s="15" t="s">
        <v>490</v>
      </c>
      <c r="D692" s="15" t="s">
        <v>502</v>
      </c>
      <c r="E692" s="15" t="s">
        <v>96</v>
      </c>
      <c r="F692" s="15"/>
      <c r="G692" s="15"/>
      <c r="H692" s="15"/>
      <c r="I692" s="15">
        <v>0</v>
      </c>
      <c r="J692" s="15">
        <v>0</v>
      </c>
      <c r="K692" s="15">
        <v>0</v>
      </c>
      <c r="L692" s="15">
        <v>0</v>
      </c>
      <c r="M692" s="15">
        <v>0</v>
      </c>
      <c r="N692" s="15">
        <v>154349675.96999997</v>
      </c>
      <c r="O692" s="15">
        <v>0</v>
      </c>
      <c r="P692" s="15">
        <v>0</v>
      </c>
      <c r="Q692" s="15"/>
    </row>
    <row r="693" spans="1:17" hidden="1" x14ac:dyDescent="0.25">
      <c r="A693" s="15" t="s">
        <v>156</v>
      </c>
      <c r="B693" s="15" t="s">
        <v>489</v>
      </c>
      <c r="C693" s="15" t="s">
        <v>495</v>
      </c>
      <c r="D693" s="15" t="s">
        <v>519</v>
      </c>
      <c r="E693" s="15" t="s">
        <v>96</v>
      </c>
      <c r="F693" s="15"/>
      <c r="G693" s="15"/>
      <c r="H693" s="15"/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97457606.640000045</v>
      </c>
      <c r="O693" s="15">
        <v>0</v>
      </c>
      <c r="P693" s="15">
        <v>0</v>
      </c>
      <c r="Q693" s="15"/>
    </row>
    <row r="694" spans="1:17" hidden="1" x14ac:dyDescent="0.25">
      <c r="A694" s="15" t="s">
        <v>156</v>
      </c>
      <c r="B694" s="15" t="s">
        <v>489</v>
      </c>
      <c r="C694" s="15" t="s">
        <v>503</v>
      </c>
      <c r="D694" s="15" t="s">
        <v>504</v>
      </c>
      <c r="E694" s="15" t="s">
        <v>96</v>
      </c>
      <c r="F694" s="15"/>
      <c r="G694" s="15"/>
      <c r="H694" s="15"/>
      <c r="I694" s="15">
        <v>0</v>
      </c>
      <c r="J694" s="15">
        <v>647650.96</v>
      </c>
      <c r="K694" s="15">
        <v>0</v>
      </c>
      <c r="L694" s="15">
        <v>2343202.3099999996</v>
      </c>
      <c r="M694" s="15">
        <v>0</v>
      </c>
      <c r="N694" s="15">
        <v>96576744.649999991</v>
      </c>
      <c r="O694" s="15">
        <v>0</v>
      </c>
      <c r="P694" s="15">
        <v>0</v>
      </c>
      <c r="Q694" s="15"/>
    </row>
    <row r="695" spans="1:17" hidden="1" x14ac:dyDescent="0.25">
      <c r="A695" s="15" t="s">
        <v>18</v>
      </c>
      <c r="B695" s="15" t="s">
        <v>561</v>
      </c>
      <c r="C695" s="15" t="s">
        <v>318</v>
      </c>
      <c r="D695" s="15" t="s">
        <v>319</v>
      </c>
      <c r="E695" s="15" t="s">
        <v>96</v>
      </c>
      <c r="F695" s="15"/>
      <c r="G695" s="15"/>
      <c r="H695" s="15"/>
      <c r="I695" s="15">
        <v>0</v>
      </c>
      <c r="J695" s="15">
        <v>0</v>
      </c>
      <c r="K695" s="15">
        <v>0</v>
      </c>
      <c r="L695" s="15">
        <v>0</v>
      </c>
      <c r="M695" s="15">
        <v>0</v>
      </c>
      <c r="N695" s="15">
        <v>66260277.179999992</v>
      </c>
      <c r="O695" s="15">
        <v>0</v>
      </c>
      <c r="P695" s="15">
        <v>0</v>
      </c>
      <c r="Q695" s="15"/>
    </row>
    <row r="696" spans="1:17" hidden="1" x14ac:dyDescent="0.25">
      <c r="A696" s="15" t="s">
        <v>432</v>
      </c>
      <c r="B696" s="15" t="s">
        <v>489</v>
      </c>
      <c r="C696" s="15" t="s">
        <v>490</v>
      </c>
      <c r="D696" s="15" t="s">
        <v>499</v>
      </c>
      <c r="E696" s="15" t="s">
        <v>96</v>
      </c>
      <c r="F696" s="15"/>
      <c r="G696" s="15"/>
      <c r="H696" s="15"/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614114.75000000012</v>
      </c>
      <c r="O696" s="15">
        <v>0</v>
      </c>
      <c r="P696" s="15">
        <v>0</v>
      </c>
      <c r="Q696" s="15"/>
    </row>
    <row r="697" spans="1:17" hidden="1" x14ac:dyDescent="0.25">
      <c r="A697" s="15" t="s">
        <v>151</v>
      </c>
      <c r="B697" s="15" t="s">
        <v>489</v>
      </c>
      <c r="C697" s="15" t="s">
        <v>495</v>
      </c>
      <c r="D697" s="15" t="s">
        <v>496</v>
      </c>
      <c r="E697" s="15" t="s">
        <v>96</v>
      </c>
      <c r="F697" s="15"/>
      <c r="G697" s="15"/>
      <c r="H697" s="15"/>
      <c r="I697" s="15">
        <v>0</v>
      </c>
      <c r="J697" s="15">
        <v>3728265.5199999996</v>
      </c>
      <c r="K697" s="15">
        <v>690778.12</v>
      </c>
      <c r="L697" s="15">
        <v>14242540.309999997</v>
      </c>
      <c r="M697" s="15">
        <v>0</v>
      </c>
      <c r="N697" s="15">
        <v>42349125.859999992</v>
      </c>
      <c r="O697" s="15">
        <v>0</v>
      </c>
      <c r="P697" s="15">
        <v>0</v>
      </c>
      <c r="Q697" s="15"/>
    </row>
    <row r="698" spans="1:17" hidden="1" x14ac:dyDescent="0.25">
      <c r="A698" s="15" t="s">
        <v>151</v>
      </c>
      <c r="B698" s="15" t="s">
        <v>489</v>
      </c>
      <c r="C698" s="15" t="s">
        <v>495</v>
      </c>
      <c r="D698" s="15" t="s">
        <v>498</v>
      </c>
      <c r="E698" s="15" t="s">
        <v>96</v>
      </c>
      <c r="F698" s="15"/>
      <c r="G698" s="15"/>
      <c r="H698" s="15"/>
      <c r="I698" s="15">
        <v>0</v>
      </c>
      <c r="J698" s="15">
        <v>0</v>
      </c>
      <c r="K698" s="15">
        <v>0</v>
      </c>
      <c r="L698" s="15">
        <v>20217879.569999993</v>
      </c>
      <c r="M698" s="15">
        <v>0</v>
      </c>
      <c r="N698" s="15">
        <v>0</v>
      </c>
      <c r="O698" s="15">
        <v>0</v>
      </c>
      <c r="P698" s="15">
        <v>0</v>
      </c>
      <c r="Q698" s="15"/>
    </row>
    <row r="699" spans="1:17" hidden="1" x14ac:dyDescent="0.25">
      <c r="A699" s="15" t="s">
        <v>151</v>
      </c>
      <c r="B699" s="15" t="s">
        <v>489</v>
      </c>
      <c r="C699" s="15" t="s">
        <v>495</v>
      </c>
      <c r="D699" s="15" t="s">
        <v>519</v>
      </c>
      <c r="E699" s="15" t="s">
        <v>96</v>
      </c>
      <c r="F699" s="15"/>
      <c r="G699" s="15"/>
      <c r="H699" s="15"/>
      <c r="I699" s="15">
        <v>0</v>
      </c>
      <c r="J699" s="15">
        <v>0</v>
      </c>
      <c r="K699" s="15">
        <v>915017.40000000014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/>
    </row>
    <row r="700" spans="1:17" hidden="1" x14ac:dyDescent="0.25">
      <c r="A700" s="15" t="s">
        <v>17</v>
      </c>
      <c r="B700" s="15" t="s">
        <v>561</v>
      </c>
      <c r="C700" s="15" t="s">
        <v>318</v>
      </c>
      <c r="D700" s="15" t="s">
        <v>331</v>
      </c>
      <c r="E700" s="15" t="s">
        <v>96</v>
      </c>
      <c r="F700" s="15"/>
      <c r="G700" s="15"/>
      <c r="H700" s="15"/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84690420.809999987</v>
      </c>
      <c r="O700" s="15">
        <v>0</v>
      </c>
      <c r="P700" s="15">
        <v>0</v>
      </c>
      <c r="Q700" s="15"/>
    </row>
    <row r="701" spans="1:17" hidden="1" x14ac:dyDescent="0.25">
      <c r="A701" s="15" t="s">
        <v>167</v>
      </c>
      <c r="B701" s="15" t="s">
        <v>489</v>
      </c>
      <c r="C701" s="15" t="s">
        <v>490</v>
      </c>
      <c r="D701" s="15" t="s">
        <v>491</v>
      </c>
      <c r="E701" s="15" t="s">
        <v>96</v>
      </c>
      <c r="F701" s="15"/>
      <c r="G701" s="15"/>
      <c r="H701" s="15"/>
      <c r="I701" s="15">
        <v>0</v>
      </c>
      <c r="J701" s="15">
        <v>0</v>
      </c>
      <c r="K701" s="15">
        <v>0</v>
      </c>
      <c r="L701" s="15">
        <v>7100323.7600000007</v>
      </c>
      <c r="M701" s="15">
        <v>0</v>
      </c>
      <c r="N701" s="15">
        <v>0</v>
      </c>
      <c r="O701" s="15">
        <v>0</v>
      </c>
      <c r="P701" s="15">
        <v>0</v>
      </c>
      <c r="Q701" s="15"/>
    </row>
    <row r="702" spans="1:17" hidden="1" x14ac:dyDescent="0.25">
      <c r="A702" s="15" t="s">
        <v>154</v>
      </c>
      <c r="B702" s="15" t="s">
        <v>489</v>
      </c>
      <c r="C702" s="15" t="s">
        <v>495</v>
      </c>
      <c r="D702" s="15" t="s">
        <v>519</v>
      </c>
      <c r="E702" s="15" t="s">
        <v>96</v>
      </c>
      <c r="F702" s="15">
        <v>1</v>
      </c>
      <c r="G702" s="15"/>
      <c r="H702" s="15"/>
      <c r="I702" s="15">
        <v>0</v>
      </c>
      <c r="J702" s="15">
        <v>5206415.1100000003</v>
      </c>
      <c r="K702" s="15">
        <v>19855977.530000001</v>
      </c>
      <c r="L702" s="15">
        <v>55258671.310000002</v>
      </c>
      <c r="M702" s="15">
        <v>0</v>
      </c>
      <c r="N702" s="15">
        <v>88824023.780000031</v>
      </c>
      <c r="O702" s="15">
        <v>0</v>
      </c>
      <c r="P702" s="15">
        <v>0</v>
      </c>
      <c r="Q702" s="15"/>
    </row>
    <row r="703" spans="1:17" hidden="1" x14ac:dyDescent="0.25">
      <c r="A703" s="15" t="s">
        <v>333</v>
      </c>
      <c r="B703" s="15" t="s">
        <v>489</v>
      </c>
      <c r="C703" s="15" t="s">
        <v>495</v>
      </c>
      <c r="D703" s="15" t="s">
        <v>496</v>
      </c>
      <c r="E703" s="15" t="s">
        <v>96</v>
      </c>
      <c r="F703" s="15"/>
      <c r="G703" s="15"/>
      <c r="H703" s="15"/>
      <c r="I703" s="15">
        <v>0</v>
      </c>
      <c r="J703" s="15">
        <v>0</v>
      </c>
      <c r="K703" s="15">
        <v>0</v>
      </c>
      <c r="L703" s="15">
        <v>0</v>
      </c>
      <c r="M703" s="15">
        <v>0</v>
      </c>
      <c r="N703" s="15">
        <v>181352079.10000005</v>
      </c>
      <c r="O703" s="15">
        <v>0</v>
      </c>
      <c r="P703" s="15">
        <v>0</v>
      </c>
      <c r="Q703" s="15"/>
    </row>
    <row r="704" spans="1:17" hidden="1" x14ac:dyDescent="0.25">
      <c r="A704" s="15" t="s">
        <v>152</v>
      </c>
      <c r="B704" s="15" t="s">
        <v>489</v>
      </c>
      <c r="C704" s="15" t="s">
        <v>490</v>
      </c>
      <c r="D704" s="15" t="s">
        <v>502</v>
      </c>
      <c r="E704" s="15" t="s">
        <v>96</v>
      </c>
      <c r="F704" s="15">
        <v>1</v>
      </c>
      <c r="G704" s="15"/>
      <c r="H704" s="15"/>
      <c r="I704" s="15">
        <v>0</v>
      </c>
      <c r="J704" s="15">
        <v>0</v>
      </c>
      <c r="K704" s="15">
        <v>0</v>
      </c>
      <c r="L704" s="15">
        <v>11634677.039999999</v>
      </c>
      <c r="M704" s="15">
        <v>0</v>
      </c>
      <c r="N704" s="15">
        <v>0</v>
      </c>
      <c r="O704" s="15">
        <v>0</v>
      </c>
      <c r="P704" s="15">
        <v>0</v>
      </c>
      <c r="Q704" s="15"/>
    </row>
    <row r="705" spans="1:17" hidden="1" x14ac:dyDescent="0.25">
      <c r="A705" s="15" t="s">
        <v>152</v>
      </c>
      <c r="B705" s="15" t="s">
        <v>489</v>
      </c>
      <c r="C705" s="15" t="s">
        <v>495</v>
      </c>
      <c r="D705" s="15" t="s">
        <v>519</v>
      </c>
      <c r="E705" s="15" t="s">
        <v>96</v>
      </c>
      <c r="F705" s="15"/>
      <c r="G705" s="15"/>
      <c r="H705" s="15"/>
      <c r="I705" s="15">
        <v>0</v>
      </c>
      <c r="J705" s="15">
        <v>1620898.13</v>
      </c>
      <c r="K705" s="15">
        <v>124765002.74000025</v>
      </c>
      <c r="L705" s="15">
        <v>230945526.10000005</v>
      </c>
      <c r="M705" s="15">
        <v>0</v>
      </c>
      <c r="N705" s="15">
        <v>1009222.0999999999</v>
      </c>
      <c r="O705" s="15">
        <v>1117306.8829000001</v>
      </c>
      <c r="P705" s="15">
        <v>0</v>
      </c>
      <c r="Q705" s="15"/>
    </row>
    <row r="706" spans="1:17" hidden="1" x14ac:dyDescent="0.25">
      <c r="A706" s="15" t="s">
        <v>107</v>
      </c>
      <c r="B706" s="15" t="s">
        <v>489</v>
      </c>
      <c r="C706" s="15" t="s">
        <v>495</v>
      </c>
      <c r="D706" s="15" t="s">
        <v>519</v>
      </c>
      <c r="E706" s="15" t="s">
        <v>96</v>
      </c>
      <c r="F706" s="15"/>
      <c r="G706" s="15"/>
      <c r="H706" s="15"/>
      <c r="I706" s="15">
        <v>0</v>
      </c>
      <c r="J706" s="15">
        <v>0</v>
      </c>
      <c r="K706" s="15">
        <v>11906702.150000004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/>
    </row>
    <row r="707" spans="1:17" hidden="1" x14ac:dyDescent="0.25">
      <c r="A707" s="15" t="s">
        <v>27</v>
      </c>
      <c r="B707" s="15" t="s">
        <v>489</v>
      </c>
      <c r="C707" s="15" t="s">
        <v>495</v>
      </c>
      <c r="D707" s="15" t="s">
        <v>519</v>
      </c>
      <c r="E707" s="15" t="s">
        <v>96</v>
      </c>
      <c r="F707" s="15"/>
      <c r="G707" s="15"/>
      <c r="H707" s="15"/>
      <c r="I707" s="15">
        <v>0</v>
      </c>
      <c r="J707" s="15">
        <v>0</v>
      </c>
      <c r="K707" s="15">
        <v>6405121.8000000017</v>
      </c>
      <c r="L707" s="15">
        <v>0</v>
      </c>
      <c r="M707" s="15">
        <v>0</v>
      </c>
      <c r="N707" s="15">
        <v>0</v>
      </c>
      <c r="O707" s="15">
        <v>0</v>
      </c>
      <c r="P707" s="15">
        <v>0</v>
      </c>
      <c r="Q707" s="15"/>
    </row>
    <row r="708" spans="1:17" hidden="1" x14ac:dyDescent="0.25">
      <c r="A708" s="15" t="s">
        <v>105</v>
      </c>
      <c r="B708" s="15" t="s">
        <v>489</v>
      </c>
      <c r="C708" s="15" t="s">
        <v>495</v>
      </c>
      <c r="D708" s="15" t="s">
        <v>519</v>
      </c>
      <c r="E708" s="15" t="s">
        <v>96</v>
      </c>
      <c r="F708" s="15"/>
      <c r="G708" s="15"/>
      <c r="H708" s="15"/>
      <c r="I708" s="15">
        <v>0</v>
      </c>
      <c r="J708" s="15">
        <v>0</v>
      </c>
      <c r="K708" s="15">
        <v>12810243.600000003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/>
    </row>
    <row r="709" spans="1:17" hidden="1" x14ac:dyDescent="0.25">
      <c r="A709" s="15" t="s">
        <v>512</v>
      </c>
      <c r="B709" s="15" t="s">
        <v>489</v>
      </c>
      <c r="C709" s="15" t="s">
        <v>503</v>
      </c>
      <c r="D709" s="15" t="s">
        <v>520</v>
      </c>
      <c r="E709" s="15" t="s">
        <v>96</v>
      </c>
      <c r="F709" s="15"/>
      <c r="G709" s="15"/>
      <c r="H709" s="15"/>
      <c r="I709" s="15">
        <v>0</v>
      </c>
      <c r="J709" s="15">
        <v>0</v>
      </c>
      <c r="K709" s="15">
        <v>0</v>
      </c>
      <c r="L709" s="15">
        <v>24907468.829999991</v>
      </c>
      <c r="M709" s="15">
        <v>0</v>
      </c>
      <c r="N709" s="15">
        <v>0</v>
      </c>
      <c r="O709" s="15">
        <v>0</v>
      </c>
      <c r="P709" s="15">
        <v>0</v>
      </c>
      <c r="Q709" s="15"/>
    </row>
    <row r="710" spans="1:17" hidden="1" x14ac:dyDescent="0.25">
      <c r="A710" s="15" t="s">
        <v>517</v>
      </c>
      <c r="B710" s="15" t="s">
        <v>489</v>
      </c>
      <c r="C710" s="15" t="s">
        <v>503</v>
      </c>
      <c r="D710" s="15" t="s">
        <v>520</v>
      </c>
      <c r="E710" s="15" t="s">
        <v>96</v>
      </c>
      <c r="F710" s="15"/>
      <c r="G710" s="15"/>
      <c r="H710" s="15"/>
      <c r="I710" s="15">
        <v>0</v>
      </c>
      <c r="J710" s="15">
        <v>0</v>
      </c>
      <c r="K710" s="15">
        <v>0</v>
      </c>
      <c r="L710" s="15">
        <v>30155136.449999988</v>
      </c>
      <c r="M710" s="15">
        <v>0</v>
      </c>
      <c r="N710" s="15">
        <v>0</v>
      </c>
      <c r="O710" s="15">
        <v>0</v>
      </c>
      <c r="P710" s="15">
        <v>0</v>
      </c>
      <c r="Q710" s="15"/>
    </row>
    <row r="711" spans="1:17" hidden="1" x14ac:dyDescent="0.25">
      <c r="A711" s="15" t="s">
        <v>160</v>
      </c>
      <c r="B711" s="15" t="s">
        <v>489</v>
      </c>
      <c r="C711" s="15" t="s">
        <v>490</v>
      </c>
      <c r="D711" s="15" t="s">
        <v>502</v>
      </c>
      <c r="E711" s="15" t="s">
        <v>96</v>
      </c>
      <c r="F711" s="15">
        <v>1</v>
      </c>
      <c r="G711" s="15"/>
      <c r="H711" s="15"/>
      <c r="I711" s="15">
        <v>0</v>
      </c>
      <c r="J711" s="15">
        <v>0</v>
      </c>
      <c r="K711" s="15">
        <v>0</v>
      </c>
      <c r="L711" s="15">
        <v>0</v>
      </c>
      <c r="M711" s="15">
        <v>0</v>
      </c>
      <c r="N711" s="15">
        <v>89037120.429999992</v>
      </c>
      <c r="O711" s="15">
        <v>0</v>
      </c>
      <c r="P711" s="15">
        <v>0</v>
      </c>
      <c r="Q711" s="15"/>
    </row>
    <row r="712" spans="1:17" hidden="1" x14ac:dyDescent="0.25">
      <c r="A712" s="15" t="s">
        <v>160</v>
      </c>
      <c r="B712" s="15" t="s">
        <v>489</v>
      </c>
      <c r="C712" s="15" t="s">
        <v>503</v>
      </c>
      <c r="D712" s="15" t="s">
        <v>520</v>
      </c>
      <c r="E712" s="15" t="s">
        <v>96</v>
      </c>
      <c r="F712" s="15"/>
      <c r="G712" s="15"/>
      <c r="H712" s="15"/>
      <c r="I712" s="15">
        <v>0</v>
      </c>
      <c r="J712" s="15">
        <v>10314526.239999991</v>
      </c>
      <c r="K712" s="15">
        <v>24605835.830000002</v>
      </c>
      <c r="L712" s="15">
        <v>109960896.36000003</v>
      </c>
      <c r="M712" s="15">
        <v>0</v>
      </c>
      <c r="N712" s="15">
        <v>3684688.5000000005</v>
      </c>
      <c r="O712" s="15">
        <v>0</v>
      </c>
      <c r="P712" s="15">
        <v>0</v>
      </c>
      <c r="Q712" s="15"/>
    </row>
    <row r="713" spans="1:17" hidden="1" x14ac:dyDescent="0.25">
      <c r="A713" s="15" t="s">
        <v>514</v>
      </c>
      <c r="B713" s="15" t="s">
        <v>489</v>
      </c>
      <c r="C713" s="15" t="s">
        <v>503</v>
      </c>
      <c r="D713" s="15" t="s">
        <v>520</v>
      </c>
      <c r="E713" s="15" t="s">
        <v>96</v>
      </c>
      <c r="F713" s="15"/>
      <c r="G713" s="15"/>
      <c r="H713" s="15"/>
      <c r="I713" s="15">
        <v>0</v>
      </c>
      <c r="J713" s="15">
        <v>0</v>
      </c>
      <c r="K713" s="15">
        <v>0</v>
      </c>
      <c r="L713" s="15">
        <v>14702241.270000007</v>
      </c>
      <c r="M713" s="15">
        <v>0</v>
      </c>
      <c r="N713" s="15">
        <v>0</v>
      </c>
      <c r="O713" s="15">
        <v>0</v>
      </c>
      <c r="P713" s="15">
        <v>0</v>
      </c>
      <c r="Q713" s="15"/>
    </row>
    <row r="714" spans="1:17" hidden="1" x14ac:dyDescent="0.25">
      <c r="A714" s="15" t="s">
        <v>165</v>
      </c>
      <c r="B714" s="15" t="s">
        <v>489</v>
      </c>
      <c r="C714" s="15" t="s">
        <v>495</v>
      </c>
      <c r="D714" s="15" t="s">
        <v>519</v>
      </c>
      <c r="E714" s="15" t="s">
        <v>96</v>
      </c>
      <c r="F714" s="15"/>
      <c r="G714" s="15"/>
      <c r="H714" s="15"/>
      <c r="I714" s="15">
        <v>0</v>
      </c>
      <c r="J714" s="15">
        <v>0</v>
      </c>
      <c r="K714" s="15">
        <v>237522.24999999997</v>
      </c>
      <c r="L714" s="15">
        <v>2479073.3599999994</v>
      </c>
      <c r="M714" s="15">
        <v>0</v>
      </c>
      <c r="N714" s="15">
        <v>0</v>
      </c>
      <c r="O714" s="15">
        <v>0</v>
      </c>
      <c r="P714" s="15">
        <v>0</v>
      </c>
      <c r="Q714" s="15"/>
    </row>
    <row r="715" spans="1:17" hidden="1" x14ac:dyDescent="0.25">
      <c r="A715" s="15" t="s">
        <v>22</v>
      </c>
      <c r="B715" s="15" t="s">
        <v>561</v>
      </c>
      <c r="C715" s="15" t="s">
        <v>318</v>
      </c>
      <c r="D715" s="15" t="s">
        <v>319</v>
      </c>
      <c r="E715" s="15" t="s">
        <v>96</v>
      </c>
      <c r="F715" s="15"/>
      <c r="G715" s="15"/>
      <c r="H715" s="15"/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1513833.15</v>
      </c>
      <c r="O715" s="15">
        <v>0</v>
      </c>
      <c r="P715" s="15">
        <v>0</v>
      </c>
      <c r="Q715" s="15"/>
    </row>
    <row r="716" spans="1:17" hidden="1" x14ac:dyDescent="0.25">
      <c r="A716" s="15" t="s">
        <v>155</v>
      </c>
      <c r="B716" s="15" t="s">
        <v>489</v>
      </c>
      <c r="C716" s="15" t="s">
        <v>495</v>
      </c>
      <c r="D716" s="15" t="s">
        <v>519</v>
      </c>
      <c r="E716" s="15" t="s">
        <v>96</v>
      </c>
      <c r="F716" s="15">
        <v>1</v>
      </c>
      <c r="G716" s="15"/>
      <c r="H716" s="15"/>
      <c r="I716" s="15">
        <v>0</v>
      </c>
      <c r="J716" s="15">
        <v>3727231.7300000004</v>
      </c>
      <c r="K716" s="15">
        <v>10856478.960000003</v>
      </c>
      <c r="L716" s="15">
        <v>50522859.790000044</v>
      </c>
      <c r="M716" s="15">
        <v>0</v>
      </c>
      <c r="N716" s="15">
        <v>242485214.68999997</v>
      </c>
      <c r="O716" s="15">
        <v>0</v>
      </c>
      <c r="P716" s="15">
        <v>0</v>
      </c>
      <c r="Q716" s="15"/>
    </row>
    <row r="717" spans="1:17" hidden="1" x14ac:dyDescent="0.25">
      <c r="A717" s="15" t="s">
        <v>166</v>
      </c>
      <c r="B717" s="15" t="s">
        <v>489</v>
      </c>
      <c r="C717" s="15" t="s">
        <v>495</v>
      </c>
      <c r="D717" s="15" t="s">
        <v>519</v>
      </c>
      <c r="E717" s="15" t="s">
        <v>96</v>
      </c>
      <c r="F717" s="15"/>
      <c r="G717" s="15"/>
      <c r="H717" s="15"/>
      <c r="I717" s="15">
        <v>0</v>
      </c>
      <c r="J717" s="15">
        <v>1669261.73</v>
      </c>
      <c r="K717" s="15">
        <v>1934370.9699999997</v>
      </c>
      <c r="L717" s="15">
        <v>41914160.969999999</v>
      </c>
      <c r="M717" s="15">
        <v>0</v>
      </c>
      <c r="N717" s="15">
        <v>10828622.960000001</v>
      </c>
      <c r="O717" s="15">
        <v>2678030.1171000004</v>
      </c>
      <c r="P717" s="15">
        <v>0</v>
      </c>
      <c r="Q717" s="15"/>
    </row>
    <row r="718" spans="1:17" hidden="1" x14ac:dyDescent="0.25">
      <c r="A718" s="15" t="s">
        <v>435</v>
      </c>
      <c r="B718" s="15" t="s">
        <v>489</v>
      </c>
      <c r="C718" s="15" t="s">
        <v>490</v>
      </c>
      <c r="D718" s="15" t="s">
        <v>502</v>
      </c>
      <c r="E718" s="15" t="s">
        <v>96</v>
      </c>
      <c r="F718" s="15"/>
      <c r="G718" s="15"/>
      <c r="H718" s="15"/>
      <c r="I718" s="15">
        <v>0</v>
      </c>
      <c r="J718" s="15">
        <v>0</v>
      </c>
      <c r="K718" s="15">
        <v>0</v>
      </c>
      <c r="L718" s="15">
        <v>899894.52</v>
      </c>
      <c r="M718" s="15">
        <v>0</v>
      </c>
      <c r="N718" s="15">
        <v>7703483.3799999999</v>
      </c>
      <c r="O718" s="15">
        <v>0</v>
      </c>
      <c r="P718" s="15">
        <v>0</v>
      </c>
      <c r="Q718" s="15"/>
    </row>
    <row r="719" spans="1:17" hidden="1" x14ac:dyDescent="0.25">
      <c r="A719" s="15" t="s">
        <v>521</v>
      </c>
      <c r="B719" s="15" t="s">
        <v>489</v>
      </c>
      <c r="C719" s="15" t="s">
        <v>490</v>
      </c>
      <c r="D719" s="15" t="s">
        <v>502</v>
      </c>
      <c r="E719" s="15" t="s">
        <v>96</v>
      </c>
      <c r="F719" s="15"/>
      <c r="G719" s="15"/>
      <c r="H719" s="15"/>
      <c r="I719" s="15">
        <v>0</v>
      </c>
      <c r="J719" s="15">
        <v>0</v>
      </c>
      <c r="K719" s="15">
        <v>0</v>
      </c>
      <c r="L719" s="15">
        <v>3774807.22</v>
      </c>
      <c r="M719" s="15">
        <v>0</v>
      </c>
      <c r="N719" s="15">
        <v>0</v>
      </c>
      <c r="O719" s="15">
        <v>0</v>
      </c>
      <c r="P719" s="15">
        <v>0</v>
      </c>
      <c r="Q719" s="15"/>
    </row>
    <row r="720" spans="1:17" hidden="1" x14ac:dyDescent="0.25">
      <c r="A720" s="15" t="s">
        <v>18</v>
      </c>
      <c r="B720" s="15" t="s">
        <v>561</v>
      </c>
      <c r="C720" s="15" t="s">
        <v>318</v>
      </c>
      <c r="D720" s="15" t="s">
        <v>319</v>
      </c>
      <c r="E720" s="15" t="s">
        <v>96</v>
      </c>
      <c r="F720" s="15"/>
      <c r="G720" s="15"/>
      <c r="H720" s="15"/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1761030.0499999998</v>
      </c>
      <c r="O720" s="15">
        <v>0</v>
      </c>
      <c r="P720" s="15">
        <v>0</v>
      </c>
      <c r="Q720" s="15"/>
    </row>
    <row r="721" spans="1:17" hidden="1" x14ac:dyDescent="0.25">
      <c r="A721" s="15" t="s">
        <v>17</v>
      </c>
      <c r="B721" s="15" t="s">
        <v>561</v>
      </c>
      <c r="C721" s="15" t="s">
        <v>318</v>
      </c>
      <c r="D721" s="15" t="s">
        <v>522</v>
      </c>
      <c r="E721" s="15" t="s">
        <v>96</v>
      </c>
      <c r="F721" s="15"/>
      <c r="G721" s="15"/>
      <c r="H721" s="15"/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1871080</v>
      </c>
      <c r="O721" s="15">
        <v>0</v>
      </c>
      <c r="P721" s="15">
        <v>0</v>
      </c>
      <c r="Q721" s="15"/>
    </row>
    <row r="722" spans="1:17" hidden="1" x14ac:dyDescent="0.25">
      <c r="A722" s="15" t="s">
        <v>20</v>
      </c>
      <c r="B722" s="15" t="s">
        <v>561</v>
      </c>
      <c r="C722" s="15" t="s">
        <v>323</v>
      </c>
      <c r="D722" s="15" t="s">
        <v>324</v>
      </c>
      <c r="E722" s="15" t="s">
        <v>96</v>
      </c>
      <c r="F722" s="15"/>
      <c r="G722" s="15"/>
      <c r="H722" s="15"/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1402526.35</v>
      </c>
      <c r="O722" s="15">
        <v>0</v>
      </c>
      <c r="P722" s="15">
        <v>0</v>
      </c>
      <c r="Q722" s="15"/>
    </row>
    <row r="723" spans="1:17" hidden="1" x14ac:dyDescent="0.25">
      <c r="A723" s="15" t="s">
        <v>525</v>
      </c>
      <c r="B723" s="15" t="s">
        <v>526</v>
      </c>
      <c r="C723" s="15" t="s">
        <v>527</v>
      </c>
      <c r="D723" s="15" t="s">
        <v>528</v>
      </c>
      <c r="E723" s="15" t="s">
        <v>423</v>
      </c>
      <c r="F723" s="15"/>
      <c r="G723" s="15"/>
      <c r="H723" s="15"/>
      <c r="I723" s="15">
        <v>98053376.850000009</v>
      </c>
      <c r="J723" s="15">
        <v>6208890.4699999997</v>
      </c>
      <c r="K723" s="15">
        <v>0</v>
      </c>
      <c r="L723" s="15">
        <v>124811072.15000001</v>
      </c>
      <c r="M723" s="15">
        <v>0</v>
      </c>
      <c r="N723" s="15">
        <v>0</v>
      </c>
      <c r="O723" s="15">
        <v>1119300</v>
      </c>
      <c r="P723" s="15">
        <v>0</v>
      </c>
      <c r="Q723" s="15"/>
    </row>
    <row r="724" spans="1:17" hidden="1" x14ac:dyDescent="0.25">
      <c r="A724" s="15" t="s">
        <v>525</v>
      </c>
      <c r="B724" s="15" t="s">
        <v>526</v>
      </c>
      <c r="C724" s="15" t="s">
        <v>529</v>
      </c>
      <c r="D724" s="15" t="s">
        <v>530</v>
      </c>
      <c r="E724" s="15" t="s">
        <v>351</v>
      </c>
      <c r="F724" s="15"/>
      <c r="G724" s="15"/>
      <c r="H724" s="15"/>
      <c r="I724" s="15">
        <v>0</v>
      </c>
      <c r="J724" s="15">
        <v>0</v>
      </c>
      <c r="K724" s="15">
        <v>323974269.37999994</v>
      </c>
      <c r="L724" s="15">
        <v>163844.40999999997</v>
      </c>
      <c r="M724" s="15">
        <v>0</v>
      </c>
      <c r="N724" s="15">
        <v>0</v>
      </c>
      <c r="O724" s="15">
        <v>0</v>
      </c>
      <c r="P724" s="15">
        <v>0</v>
      </c>
      <c r="Q724" s="15"/>
    </row>
    <row r="725" spans="1:17" hidden="1" x14ac:dyDescent="0.25">
      <c r="A725" s="15" t="s">
        <v>531</v>
      </c>
      <c r="B725" s="15" t="s">
        <v>526</v>
      </c>
      <c r="C725" s="15" t="s">
        <v>527</v>
      </c>
      <c r="D725" s="15" t="s">
        <v>532</v>
      </c>
      <c r="E725" s="15" t="s">
        <v>426</v>
      </c>
      <c r="F725" s="15"/>
      <c r="G725" s="15"/>
      <c r="H725" s="15"/>
      <c r="I725" s="15">
        <v>0</v>
      </c>
      <c r="J725" s="15">
        <v>0</v>
      </c>
      <c r="K725" s="15">
        <v>0</v>
      </c>
      <c r="L725" s="15">
        <v>29118.399999999994</v>
      </c>
      <c r="M725" s="15">
        <v>0</v>
      </c>
      <c r="N725" s="15">
        <v>0</v>
      </c>
      <c r="O725" s="15">
        <v>0</v>
      </c>
      <c r="P725" s="15">
        <v>0</v>
      </c>
      <c r="Q725" s="15"/>
    </row>
    <row r="726" spans="1:17" hidden="1" x14ac:dyDescent="0.25">
      <c r="A726" s="15" t="s">
        <v>533</v>
      </c>
      <c r="B726" s="15" t="s">
        <v>526</v>
      </c>
      <c r="C726" s="15" t="s">
        <v>527</v>
      </c>
      <c r="D726" s="15" t="s">
        <v>532</v>
      </c>
      <c r="E726" s="15" t="s">
        <v>426</v>
      </c>
      <c r="F726" s="15"/>
      <c r="G726" s="15"/>
      <c r="H726" s="15"/>
      <c r="I726" s="15">
        <v>0</v>
      </c>
      <c r="J726" s="15">
        <v>0</v>
      </c>
      <c r="K726" s="15">
        <v>0</v>
      </c>
      <c r="L726" s="15">
        <v>1899221.75</v>
      </c>
      <c r="M726" s="15">
        <v>0</v>
      </c>
      <c r="N726" s="15">
        <v>0</v>
      </c>
      <c r="O726" s="15">
        <v>0</v>
      </c>
      <c r="P726" s="15">
        <v>0</v>
      </c>
      <c r="Q726" s="15"/>
    </row>
    <row r="727" spans="1:17" hidden="1" x14ac:dyDescent="0.25">
      <c r="A727" s="15" t="s">
        <v>534</v>
      </c>
      <c r="B727" s="15" t="s">
        <v>526</v>
      </c>
      <c r="C727" s="15" t="s">
        <v>527</v>
      </c>
      <c r="D727" s="15" t="s">
        <v>532</v>
      </c>
      <c r="E727" s="15" t="s">
        <v>426</v>
      </c>
      <c r="F727" s="15"/>
      <c r="G727" s="15"/>
      <c r="H727" s="15"/>
      <c r="I727" s="15">
        <v>0</v>
      </c>
      <c r="J727" s="15">
        <v>0</v>
      </c>
      <c r="K727" s="15">
        <v>0</v>
      </c>
      <c r="L727" s="15">
        <v>152530.80999999997</v>
      </c>
      <c r="M727" s="15">
        <v>0</v>
      </c>
      <c r="N727" s="15">
        <v>0</v>
      </c>
      <c r="O727" s="15">
        <v>0</v>
      </c>
      <c r="P727" s="15">
        <v>0</v>
      </c>
      <c r="Q727" s="15"/>
    </row>
    <row r="728" spans="1:17" hidden="1" x14ac:dyDescent="0.25">
      <c r="A728" s="15" t="s">
        <v>534</v>
      </c>
      <c r="B728" s="15" t="s">
        <v>526</v>
      </c>
      <c r="C728" s="15" t="s">
        <v>527</v>
      </c>
      <c r="D728" s="15" t="s">
        <v>528</v>
      </c>
      <c r="E728" s="15" t="s">
        <v>423</v>
      </c>
      <c r="F728" s="15">
        <v>1</v>
      </c>
      <c r="G728" s="15">
        <v>1</v>
      </c>
      <c r="H728" s="15"/>
      <c r="I728" s="15">
        <v>248808684.2100001</v>
      </c>
      <c r="J728" s="15">
        <v>1833537.3800000001</v>
      </c>
      <c r="K728" s="15">
        <v>0</v>
      </c>
      <c r="L728" s="15">
        <v>270601609.64999998</v>
      </c>
      <c r="M728" s="15">
        <v>0</v>
      </c>
      <c r="N728" s="15">
        <v>0</v>
      </c>
      <c r="O728" s="15">
        <v>0</v>
      </c>
      <c r="P728" s="15">
        <v>0</v>
      </c>
      <c r="Q728" s="15"/>
    </row>
    <row r="729" spans="1:17" hidden="1" x14ac:dyDescent="0.25">
      <c r="A729" s="15" t="s">
        <v>533</v>
      </c>
      <c r="B729" s="15" t="s">
        <v>526</v>
      </c>
      <c r="C729" s="15" t="s">
        <v>527</v>
      </c>
      <c r="D729" s="15" t="s">
        <v>535</v>
      </c>
      <c r="E729" s="15" t="s">
        <v>426</v>
      </c>
      <c r="F729" s="15">
        <v>1</v>
      </c>
      <c r="G729" s="15"/>
      <c r="H729" s="15"/>
      <c r="I729" s="15">
        <v>0</v>
      </c>
      <c r="J729" s="15">
        <v>14108514.950000038</v>
      </c>
      <c r="K729" s="15">
        <v>26769822.289999992</v>
      </c>
      <c r="L729" s="15">
        <v>19226500.279999997</v>
      </c>
      <c r="M729" s="15">
        <v>0</v>
      </c>
      <c r="N729" s="15">
        <v>0</v>
      </c>
      <c r="O729" s="15">
        <v>0</v>
      </c>
      <c r="P729" s="15">
        <v>0</v>
      </c>
      <c r="Q729" s="15"/>
    </row>
    <row r="730" spans="1:17" hidden="1" x14ac:dyDescent="0.25">
      <c r="A730" s="15" t="s">
        <v>536</v>
      </c>
      <c r="B730" s="15" t="s">
        <v>526</v>
      </c>
      <c r="C730" s="15" t="s">
        <v>529</v>
      </c>
      <c r="D730" s="15" t="s">
        <v>537</v>
      </c>
      <c r="E730" s="15" t="s">
        <v>538</v>
      </c>
      <c r="F730" s="15">
        <v>1</v>
      </c>
      <c r="G730" s="15"/>
      <c r="H730" s="15"/>
      <c r="I730" s="15">
        <v>455626091.64999998</v>
      </c>
      <c r="J730" s="15">
        <v>240569215.74000001</v>
      </c>
      <c r="K730" s="15">
        <v>130862903.00999998</v>
      </c>
      <c r="L730" s="15">
        <v>352208206.12</v>
      </c>
      <c r="M730" s="15">
        <v>0</v>
      </c>
      <c r="N730" s="15">
        <v>0</v>
      </c>
      <c r="O730" s="15">
        <v>398605680.44700003</v>
      </c>
      <c r="P730" s="15">
        <v>0</v>
      </c>
      <c r="Q730" s="15"/>
    </row>
    <row r="731" spans="1:17" hidden="1" x14ac:dyDescent="0.25">
      <c r="A731" s="15" t="s">
        <v>539</v>
      </c>
      <c r="B731" s="15" t="s">
        <v>526</v>
      </c>
      <c r="C731" s="15" t="s">
        <v>529</v>
      </c>
      <c r="D731" s="15" t="s">
        <v>530</v>
      </c>
      <c r="E731" s="15" t="s">
        <v>351</v>
      </c>
      <c r="F731" s="15"/>
      <c r="G731" s="15"/>
      <c r="H731" s="15"/>
      <c r="I731" s="15">
        <v>0</v>
      </c>
      <c r="J731" s="15">
        <v>5204.96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15">
        <v>0</v>
      </c>
      <c r="Q731" s="15"/>
    </row>
    <row r="732" spans="1:17" hidden="1" x14ac:dyDescent="0.25">
      <c r="A732" s="15" t="s">
        <v>539</v>
      </c>
      <c r="B732" s="15" t="s">
        <v>526</v>
      </c>
      <c r="C732" s="15" t="s">
        <v>529</v>
      </c>
      <c r="D732" s="15" t="s">
        <v>540</v>
      </c>
      <c r="E732" s="15" t="s">
        <v>351</v>
      </c>
      <c r="F732" s="15"/>
      <c r="G732" s="15"/>
      <c r="H732" s="15"/>
      <c r="I732" s="15">
        <v>0</v>
      </c>
      <c r="J732" s="15">
        <v>3642683.0799999996</v>
      </c>
      <c r="K732" s="15">
        <v>33326363.230000008</v>
      </c>
      <c r="L732" s="15">
        <v>43984312.290000007</v>
      </c>
      <c r="M732" s="15">
        <v>0</v>
      </c>
      <c r="N732" s="15">
        <v>0</v>
      </c>
      <c r="O732" s="15">
        <v>0</v>
      </c>
      <c r="P732" s="15">
        <v>0</v>
      </c>
      <c r="Q732" s="15"/>
    </row>
    <row r="733" spans="1:17" hidden="1" x14ac:dyDescent="0.25">
      <c r="A733" s="15" t="s">
        <v>541</v>
      </c>
      <c r="B733" s="15" t="s">
        <v>526</v>
      </c>
      <c r="C733" s="15" t="s">
        <v>527</v>
      </c>
      <c r="D733" s="15" t="s">
        <v>528</v>
      </c>
      <c r="E733" s="15" t="s">
        <v>429</v>
      </c>
      <c r="F733" s="15">
        <v>1</v>
      </c>
      <c r="G733" s="15"/>
      <c r="H733" s="15"/>
      <c r="I733" s="15">
        <v>0</v>
      </c>
      <c r="J733" s="15">
        <v>497928.87999999995</v>
      </c>
      <c r="K733" s="15">
        <v>0</v>
      </c>
      <c r="L733" s="15">
        <v>56459824.24000001</v>
      </c>
      <c r="M733" s="15">
        <v>0</v>
      </c>
      <c r="N733" s="15">
        <v>0</v>
      </c>
      <c r="O733" s="15">
        <v>0</v>
      </c>
      <c r="P733" s="15">
        <v>0</v>
      </c>
      <c r="Q733" s="15"/>
    </row>
    <row r="734" spans="1:17" hidden="1" x14ac:dyDescent="0.25">
      <c r="A734" s="15" t="s">
        <v>542</v>
      </c>
      <c r="B734" s="15" t="s">
        <v>526</v>
      </c>
      <c r="C734" s="15" t="s">
        <v>527</v>
      </c>
      <c r="D734" s="15" t="s">
        <v>532</v>
      </c>
      <c r="E734" s="15" t="s">
        <v>426</v>
      </c>
      <c r="F734" s="15"/>
      <c r="G734" s="15"/>
      <c r="H734" s="15"/>
      <c r="I734" s="15">
        <v>0</v>
      </c>
      <c r="J734" s="15">
        <v>0</v>
      </c>
      <c r="K734" s="15">
        <v>132750834.23999995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/>
    </row>
    <row r="735" spans="1:17" hidden="1" x14ac:dyDescent="0.25">
      <c r="A735" s="15" t="s">
        <v>542</v>
      </c>
      <c r="B735" s="15" t="s">
        <v>526</v>
      </c>
      <c r="C735" s="15" t="s">
        <v>527</v>
      </c>
      <c r="D735" s="15" t="s">
        <v>535</v>
      </c>
      <c r="E735" s="15" t="s">
        <v>426</v>
      </c>
      <c r="F735" s="15"/>
      <c r="G735" s="15"/>
      <c r="H735" s="15"/>
      <c r="I735" s="15">
        <v>0</v>
      </c>
      <c r="J735" s="15">
        <v>217936.43</v>
      </c>
      <c r="K735" s="15">
        <v>199150953.43999991</v>
      </c>
      <c r="L735" s="15">
        <v>25826029.060000006</v>
      </c>
      <c r="M735" s="15">
        <v>0</v>
      </c>
      <c r="N735" s="15">
        <v>0</v>
      </c>
      <c r="O735" s="15">
        <v>0</v>
      </c>
      <c r="P735" s="15">
        <v>0</v>
      </c>
      <c r="Q735" s="15"/>
    </row>
    <row r="736" spans="1:17" hidden="1" x14ac:dyDescent="0.25">
      <c r="A736" s="15" t="s">
        <v>543</v>
      </c>
      <c r="B736" s="15" t="s">
        <v>526</v>
      </c>
      <c r="C736" s="15" t="s">
        <v>529</v>
      </c>
      <c r="D736" s="15" t="s">
        <v>530</v>
      </c>
      <c r="E736" s="15" t="s">
        <v>351</v>
      </c>
      <c r="F736" s="15"/>
      <c r="G736" s="15"/>
      <c r="H736" s="15"/>
      <c r="I736" s="15">
        <v>0</v>
      </c>
      <c r="J736" s="15">
        <v>3967429.6400000006</v>
      </c>
      <c r="K736" s="15">
        <v>0</v>
      </c>
      <c r="L736" s="15">
        <v>16454309.859999999</v>
      </c>
      <c r="M736" s="15">
        <v>0</v>
      </c>
      <c r="N736" s="15">
        <v>0</v>
      </c>
      <c r="O736" s="15">
        <v>0</v>
      </c>
      <c r="P736" s="15">
        <v>0</v>
      </c>
      <c r="Q736" s="15"/>
    </row>
    <row r="737" spans="1:17" hidden="1" x14ac:dyDescent="0.25">
      <c r="A737" s="15" t="s">
        <v>543</v>
      </c>
      <c r="B737" s="15" t="s">
        <v>526</v>
      </c>
      <c r="C737" s="15" t="s">
        <v>529</v>
      </c>
      <c r="D737" s="15" t="s">
        <v>540</v>
      </c>
      <c r="E737" s="15" t="s">
        <v>351</v>
      </c>
      <c r="F737" s="15"/>
      <c r="G737" s="15"/>
      <c r="H737" s="15"/>
      <c r="I737" s="15">
        <v>0</v>
      </c>
      <c r="J737" s="15">
        <v>14267249.269999998</v>
      </c>
      <c r="K737" s="15">
        <v>577223.67999999993</v>
      </c>
      <c r="L737" s="15">
        <v>52068124.899999984</v>
      </c>
      <c r="M737" s="15">
        <v>0</v>
      </c>
      <c r="N737" s="15">
        <v>0</v>
      </c>
      <c r="O737" s="15">
        <v>14550900</v>
      </c>
      <c r="P737" s="15">
        <v>0</v>
      </c>
      <c r="Q737" s="15"/>
    </row>
    <row r="738" spans="1:17" hidden="1" x14ac:dyDescent="0.25">
      <c r="A738" s="15" t="s">
        <v>543</v>
      </c>
      <c r="B738" s="15" t="s">
        <v>526</v>
      </c>
      <c r="C738" s="15" t="s">
        <v>529</v>
      </c>
      <c r="D738" s="15" t="s">
        <v>544</v>
      </c>
      <c r="E738" s="15" t="s">
        <v>351</v>
      </c>
      <c r="F738" s="15"/>
      <c r="G738" s="15"/>
      <c r="H738" s="15"/>
      <c r="I738" s="15">
        <v>164492870.23000002</v>
      </c>
      <c r="J738" s="15">
        <v>0</v>
      </c>
      <c r="K738" s="15">
        <v>0</v>
      </c>
      <c r="L738" s="15">
        <v>1102.44</v>
      </c>
      <c r="M738" s="15">
        <v>0</v>
      </c>
      <c r="N738" s="15">
        <v>0</v>
      </c>
      <c r="O738" s="15">
        <v>0</v>
      </c>
      <c r="P738" s="15">
        <v>0</v>
      </c>
      <c r="Q738" s="15"/>
    </row>
    <row r="739" spans="1:17" hidden="1" x14ac:dyDescent="0.25">
      <c r="A739" s="15" t="s">
        <v>545</v>
      </c>
      <c r="B739" s="15" t="s">
        <v>526</v>
      </c>
      <c r="C739" s="15" t="s">
        <v>527</v>
      </c>
      <c r="D739" s="15" t="s">
        <v>532</v>
      </c>
      <c r="E739" s="15" t="s">
        <v>426</v>
      </c>
      <c r="F739" s="15"/>
      <c r="G739" s="15"/>
      <c r="H739" s="15"/>
      <c r="I739" s="15">
        <v>0</v>
      </c>
      <c r="J739" s="15">
        <v>0</v>
      </c>
      <c r="K739" s="15">
        <v>0</v>
      </c>
      <c r="L739" s="15">
        <v>226.72</v>
      </c>
      <c r="M739" s="15">
        <v>0</v>
      </c>
      <c r="N739" s="15">
        <v>0</v>
      </c>
      <c r="O739" s="15">
        <v>0</v>
      </c>
      <c r="P739" s="15">
        <v>0</v>
      </c>
      <c r="Q739" s="15"/>
    </row>
    <row r="740" spans="1:17" hidden="1" x14ac:dyDescent="0.25">
      <c r="A740" s="15" t="s">
        <v>545</v>
      </c>
      <c r="B740" s="15" t="s">
        <v>526</v>
      </c>
      <c r="C740" s="15" t="s">
        <v>527</v>
      </c>
      <c r="D740" s="15" t="s">
        <v>535</v>
      </c>
      <c r="E740" s="15" t="s">
        <v>426</v>
      </c>
      <c r="F740" s="15"/>
      <c r="G740" s="15"/>
      <c r="H740" s="15"/>
      <c r="I740" s="15">
        <v>0</v>
      </c>
      <c r="J740" s="15">
        <v>7225392.2900000028</v>
      </c>
      <c r="K740" s="15">
        <v>0</v>
      </c>
      <c r="L740" s="15">
        <v>18155.52</v>
      </c>
      <c r="M740" s="15">
        <v>0</v>
      </c>
      <c r="N740" s="15">
        <v>0</v>
      </c>
      <c r="O740" s="15">
        <v>0</v>
      </c>
      <c r="P740" s="15">
        <v>0</v>
      </c>
      <c r="Q740" s="15"/>
    </row>
    <row r="741" spans="1:17" hidden="1" x14ac:dyDescent="0.25">
      <c r="A741" s="15" t="s">
        <v>545</v>
      </c>
      <c r="B741" s="15" t="s">
        <v>526</v>
      </c>
      <c r="C741" s="15" t="s">
        <v>529</v>
      </c>
      <c r="D741" s="15" t="s">
        <v>544</v>
      </c>
      <c r="E741" s="15" t="s">
        <v>351</v>
      </c>
      <c r="F741" s="15"/>
      <c r="G741" s="15"/>
      <c r="H741" s="15"/>
      <c r="I741" s="15">
        <v>0</v>
      </c>
      <c r="J741" s="15">
        <v>0</v>
      </c>
      <c r="K741" s="15">
        <v>2886118.4000000004</v>
      </c>
      <c r="L741" s="15">
        <v>0</v>
      </c>
      <c r="M741" s="15">
        <v>0</v>
      </c>
      <c r="N741" s="15">
        <v>0</v>
      </c>
      <c r="O741" s="15">
        <v>0</v>
      </c>
      <c r="P741" s="15">
        <v>0</v>
      </c>
      <c r="Q741" s="15"/>
    </row>
    <row r="742" spans="1:17" hidden="1" x14ac:dyDescent="0.25">
      <c r="A742" s="15" t="s">
        <v>545</v>
      </c>
      <c r="B742" s="15" t="s">
        <v>526</v>
      </c>
      <c r="C742" s="15" t="s">
        <v>527</v>
      </c>
      <c r="D742" s="15" t="s">
        <v>532</v>
      </c>
      <c r="E742" s="15" t="s">
        <v>426</v>
      </c>
      <c r="F742" s="15"/>
      <c r="G742" s="15"/>
      <c r="H742" s="15"/>
      <c r="I742" s="15">
        <v>0</v>
      </c>
      <c r="J742" s="15">
        <v>0</v>
      </c>
      <c r="K742" s="15">
        <v>0</v>
      </c>
      <c r="L742" s="15">
        <v>2602.48</v>
      </c>
      <c r="M742" s="15">
        <v>0</v>
      </c>
      <c r="N742" s="15">
        <v>0</v>
      </c>
      <c r="O742" s="15">
        <v>0</v>
      </c>
      <c r="P742" s="15">
        <v>0</v>
      </c>
      <c r="Q742" s="15"/>
    </row>
    <row r="743" spans="1:17" hidden="1" x14ac:dyDescent="0.25">
      <c r="A743" s="15" t="s">
        <v>545</v>
      </c>
      <c r="B743" s="15" t="s">
        <v>526</v>
      </c>
      <c r="C743" s="15" t="s">
        <v>527</v>
      </c>
      <c r="D743" s="15" t="s">
        <v>535</v>
      </c>
      <c r="E743" s="15" t="s">
        <v>426</v>
      </c>
      <c r="F743" s="15"/>
      <c r="G743" s="15"/>
      <c r="H743" s="15"/>
      <c r="I743" s="15">
        <v>0</v>
      </c>
      <c r="J743" s="15">
        <v>0</v>
      </c>
      <c r="K743" s="15">
        <v>2602.48</v>
      </c>
      <c r="L743" s="15">
        <v>21753.73</v>
      </c>
      <c r="M743" s="15">
        <v>0</v>
      </c>
      <c r="N743" s="15">
        <v>0</v>
      </c>
      <c r="O743" s="15">
        <v>0</v>
      </c>
      <c r="P743" s="15">
        <v>0</v>
      </c>
      <c r="Q743" s="15"/>
    </row>
    <row r="744" spans="1:17" hidden="1" x14ac:dyDescent="0.25">
      <c r="A744" s="15" t="s">
        <v>546</v>
      </c>
      <c r="B744" s="15" t="s">
        <v>526</v>
      </c>
      <c r="C744" s="15" t="s">
        <v>529</v>
      </c>
      <c r="D744" s="15" t="s">
        <v>530</v>
      </c>
      <c r="E744" s="15" t="s">
        <v>351</v>
      </c>
      <c r="F744" s="15"/>
      <c r="G744" s="15"/>
      <c r="H744" s="15"/>
      <c r="I744" s="15">
        <v>0</v>
      </c>
      <c r="J744" s="15">
        <v>0</v>
      </c>
      <c r="K744" s="15">
        <v>577223.67999999993</v>
      </c>
      <c r="L744" s="15">
        <v>0</v>
      </c>
      <c r="M744" s="15">
        <v>0</v>
      </c>
      <c r="N744" s="15">
        <v>0</v>
      </c>
      <c r="O744" s="15">
        <v>0</v>
      </c>
      <c r="P744" s="15">
        <v>0</v>
      </c>
      <c r="Q744" s="15"/>
    </row>
    <row r="745" spans="1:17" hidden="1" x14ac:dyDescent="0.25">
      <c r="A745" s="15" t="s">
        <v>546</v>
      </c>
      <c r="B745" s="15" t="s">
        <v>526</v>
      </c>
      <c r="C745" s="15" t="s">
        <v>529</v>
      </c>
      <c r="D745" s="15" t="s">
        <v>544</v>
      </c>
      <c r="E745" s="15" t="s">
        <v>351</v>
      </c>
      <c r="F745" s="15"/>
      <c r="G745" s="15"/>
      <c r="H745" s="15"/>
      <c r="I745" s="15">
        <v>0</v>
      </c>
      <c r="J745" s="15">
        <v>0</v>
      </c>
      <c r="K745" s="15">
        <v>5772236.169999999</v>
      </c>
      <c r="L745" s="15">
        <v>0</v>
      </c>
      <c r="M745" s="15">
        <v>0</v>
      </c>
      <c r="N745" s="15">
        <v>0</v>
      </c>
      <c r="O745" s="15">
        <v>0</v>
      </c>
      <c r="P745" s="15">
        <v>0</v>
      </c>
      <c r="Q745" s="15"/>
    </row>
    <row r="746" spans="1:17" hidden="1" x14ac:dyDescent="0.25">
      <c r="A746" s="15" t="s">
        <v>547</v>
      </c>
      <c r="B746" s="15" t="s">
        <v>526</v>
      </c>
      <c r="C746" s="15" t="s">
        <v>529</v>
      </c>
      <c r="D746" s="15" t="s">
        <v>530</v>
      </c>
      <c r="E746" s="15" t="s">
        <v>351</v>
      </c>
      <c r="F746" s="15"/>
      <c r="G746" s="15"/>
      <c r="H746" s="15"/>
      <c r="I746" s="15">
        <v>0</v>
      </c>
      <c r="J746" s="15">
        <v>2148542.7700000005</v>
      </c>
      <c r="K746" s="15">
        <v>0</v>
      </c>
      <c r="L746" s="15">
        <v>20448323.419999998</v>
      </c>
      <c r="M746" s="15">
        <v>0</v>
      </c>
      <c r="N746" s="15">
        <v>0</v>
      </c>
      <c r="O746" s="15">
        <v>1119300</v>
      </c>
      <c r="P746" s="15">
        <v>0</v>
      </c>
      <c r="Q746" s="15"/>
    </row>
    <row r="747" spans="1:17" hidden="1" x14ac:dyDescent="0.25">
      <c r="A747" s="15" t="s">
        <v>548</v>
      </c>
      <c r="B747" s="15" t="s">
        <v>526</v>
      </c>
      <c r="C747" s="15" t="s">
        <v>527</v>
      </c>
      <c r="D747" s="15" t="s">
        <v>528</v>
      </c>
      <c r="E747" s="15" t="s">
        <v>423</v>
      </c>
      <c r="F747" s="15"/>
      <c r="G747" s="15"/>
      <c r="H747" s="15"/>
      <c r="I747" s="15">
        <v>0</v>
      </c>
      <c r="J747" s="15">
        <v>0</v>
      </c>
      <c r="K747" s="15">
        <v>0</v>
      </c>
      <c r="L747" s="15">
        <v>5930871.1500000004</v>
      </c>
      <c r="M747" s="15">
        <v>0</v>
      </c>
      <c r="N747" s="15">
        <v>0</v>
      </c>
      <c r="O747" s="15">
        <v>0</v>
      </c>
      <c r="P747" s="15">
        <v>0</v>
      </c>
      <c r="Q747" s="15"/>
    </row>
    <row r="748" spans="1:17" hidden="1" x14ac:dyDescent="0.25">
      <c r="A748" s="15" t="s">
        <v>548</v>
      </c>
      <c r="B748" s="15" t="s">
        <v>526</v>
      </c>
      <c r="C748" s="15" t="s">
        <v>527</v>
      </c>
      <c r="D748" s="15" t="s">
        <v>528</v>
      </c>
      <c r="E748" s="15" t="s">
        <v>429</v>
      </c>
      <c r="F748" s="15"/>
      <c r="G748" s="15"/>
      <c r="H748" s="15"/>
      <c r="I748" s="15">
        <v>0</v>
      </c>
      <c r="J748" s="15">
        <v>0</v>
      </c>
      <c r="K748" s="15">
        <v>154394419.58000001</v>
      </c>
      <c r="L748" s="15">
        <v>11272.92</v>
      </c>
      <c r="M748" s="15">
        <v>0</v>
      </c>
      <c r="N748" s="15">
        <v>0</v>
      </c>
      <c r="O748" s="15">
        <v>0</v>
      </c>
      <c r="P748" s="15">
        <v>0</v>
      </c>
      <c r="Q748" s="15"/>
    </row>
    <row r="749" spans="1:17" hidden="1" x14ac:dyDescent="0.25">
      <c r="A749" s="15" t="s">
        <v>549</v>
      </c>
      <c r="B749" s="15" t="s">
        <v>526</v>
      </c>
      <c r="C749" s="15" t="s">
        <v>529</v>
      </c>
      <c r="D749" s="15" t="s">
        <v>530</v>
      </c>
      <c r="E749" s="15" t="s">
        <v>351</v>
      </c>
      <c r="F749" s="15"/>
      <c r="G749" s="15"/>
      <c r="H749" s="15"/>
      <c r="I749" s="15">
        <v>0</v>
      </c>
      <c r="J749" s="15">
        <v>58695919.390000023</v>
      </c>
      <c r="K749" s="15">
        <v>3463342.0800000001</v>
      </c>
      <c r="L749" s="15">
        <v>50107053.129999988</v>
      </c>
      <c r="M749" s="15">
        <v>0</v>
      </c>
      <c r="N749" s="15">
        <v>0</v>
      </c>
      <c r="O749" s="15">
        <v>0</v>
      </c>
      <c r="P749" s="15">
        <v>0</v>
      </c>
      <c r="Q749" s="15"/>
    </row>
    <row r="750" spans="1:17" hidden="1" x14ac:dyDescent="0.25">
      <c r="A750" s="15" t="s">
        <v>546</v>
      </c>
      <c r="B750" s="15" t="s">
        <v>526</v>
      </c>
      <c r="C750" s="15" t="s">
        <v>527</v>
      </c>
      <c r="D750" s="15" t="s">
        <v>532</v>
      </c>
      <c r="E750" s="15" t="s">
        <v>426</v>
      </c>
      <c r="F750" s="15"/>
      <c r="G750" s="15"/>
      <c r="H750" s="15"/>
      <c r="I750" s="15">
        <v>0</v>
      </c>
      <c r="J750" s="15">
        <v>0</v>
      </c>
      <c r="K750" s="15">
        <v>1706.04</v>
      </c>
      <c r="L750" s="15">
        <v>0</v>
      </c>
      <c r="M750" s="15">
        <v>0</v>
      </c>
      <c r="N750" s="15">
        <v>0</v>
      </c>
      <c r="O750" s="15">
        <v>0</v>
      </c>
      <c r="P750" s="15">
        <v>0</v>
      </c>
      <c r="Q750" s="15"/>
    </row>
    <row r="751" spans="1:17" hidden="1" x14ac:dyDescent="0.25">
      <c r="A751" s="15" t="s">
        <v>546</v>
      </c>
      <c r="B751" s="15" t="s">
        <v>526</v>
      </c>
      <c r="C751" s="15" t="s">
        <v>529</v>
      </c>
      <c r="D751" s="15" t="s">
        <v>544</v>
      </c>
      <c r="E751" s="15" t="s">
        <v>351</v>
      </c>
      <c r="F751" s="15"/>
      <c r="G751" s="15"/>
      <c r="H751" s="15"/>
      <c r="I751" s="15">
        <v>0</v>
      </c>
      <c r="J751" s="15">
        <v>0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/>
    </row>
    <row r="752" spans="1:17" hidden="1" x14ac:dyDescent="0.25">
      <c r="A752" s="15" t="s">
        <v>346</v>
      </c>
      <c r="B752" s="15" t="s">
        <v>526</v>
      </c>
      <c r="C752" s="15" t="s">
        <v>529</v>
      </c>
      <c r="D752" s="15" t="s">
        <v>530</v>
      </c>
      <c r="E752" s="15" t="s">
        <v>351</v>
      </c>
      <c r="F752" s="15">
        <v>1</v>
      </c>
      <c r="G752" s="15"/>
      <c r="H752" s="15"/>
      <c r="I752" s="15">
        <v>0</v>
      </c>
      <c r="J752" s="15">
        <v>32393444.969999995</v>
      </c>
      <c r="K752" s="15">
        <v>933137.57000000007</v>
      </c>
      <c r="L752" s="15">
        <v>38392610.00999999</v>
      </c>
      <c r="M752" s="15">
        <v>0</v>
      </c>
      <c r="N752" s="15">
        <v>0</v>
      </c>
      <c r="O752" s="15">
        <v>66047800</v>
      </c>
      <c r="P752" s="15">
        <v>0</v>
      </c>
      <c r="Q752" s="15"/>
    </row>
    <row r="753" spans="1:17" hidden="1" x14ac:dyDescent="0.25">
      <c r="A753" s="15" t="s">
        <v>346</v>
      </c>
      <c r="B753" s="15" t="s">
        <v>526</v>
      </c>
      <c r="C753" s="15" t="s">
        <v>529</v>
      </c>
      <c r="D753" s="15" t="s">
        <v>540</v>
      </c>
      <c r="E753" s="15" t="s">
        <v>351</v>
      </c>
      <c r="F753" s="15">
        <v>1</v>
      </c>
      <c r="G753" s="15"/>
      <c r="H753" s="15"/>
      <c r="I753" s="15">
        <v>0</v>
      </c>
      <c r="J753" s="15">
        <v>296693840.26999998</v>
      </c>
      <c r="K753" s="15">
        <v>52911435.689999998</v>
      </c>
      <c r="L753" s="15">
        <v>58847600.110000007</v>
      </c>
      <c r="M753" s="15">
        <v>0</v>
      </c>
      <c r="N753" s="15">
        <v>0</v>
      </c>
      <c r="O753" s="15">
        <v>11475100</v>
      </c>
      <c r="P753" s="15">
        <v>0</v>
      </c>
      <c r="Q753" s="15"/>
    </row>
    <row r="754" spans="1:17" hidden="1" x14ac:dyDescent="0.25">
      <c r="A754" s="15" t="s">
        <v>346</v>
      </c>
      <c r="B754" s="15" t="s">
        <v>526</v>
      </c>
      <c r="C754" s="15" t="s">
        <v>529</v>
      </c>
      <c r="D754" s="15" t="s">
        <v>544</v>
      </c>
      <c r="E754" s="15" t="s">
        <v>351</v>
      </c>
      <c r="F754" s="15">
        <v>1</v>
      </c>
      <c r="G754" s="15">
        <v>1</v>
      </c>
      <c r="H754" s="15"/>
      <c r="I754" s="15">
        <v>386058892.07000017</v>
      </c>
      <c r="J754" s="15">
        <v>20589477.049999982</v>
      </c>
      <c r="K754" s="15">
        <v>0</v>
      </c>
      <c r="L754" s="15">
        <v>0</v>
      </c>
      <c r="M754" s="15">
        <v>0</v>
      </c>
      <c r="N754" s="15">
        <v>0</v>
      </c>
      <c r="O754" s="15">
        <v>41486900</v>
      </c>
      <c r="P754" s="15">
        <v>0</v>
      </c>
      <c r="Q754" s="15"/>
    </row>
    <row r="755" spans="1:17" hidden="1" x14ac:dyDescent="0.25">
      <c r="A755" s="15" t="s">
        <v>531</v>
      </c>
      <c r="B755" s="15" t="s">
        <v>526</v>
      </c>
      <c r="C755" s="15" t="s">
        <v>527</v>
      </c>
      <c r="D755" s="15" t="s">
        <v>532</v>
      </c>
      <c r="E755" s="15" t="s">
        <v>426</v>
      </c>
      <c r="F755" s="15"/>
      <c r="G755" s="15"/>
      <c r="H755" s="15"/>
      <c r="I755" s="15">
        <v>0</v>
      </c>
      <c r="J755" s="15">
        <v>0</v>
      </c>
      <c r="K755" s="15">
        <v>291668161.47000003</v>
      </c>
      <c r="L755" s="15">
        <v>2953223.4999999995</v>
      </c>
      <c r="M755" s="15">
        <v>0</v>
      </c>
      <c r="N755" s="15">
        <v>0</v>
      </c>
      <c r="O755" s="15">
        <v>0</v>
      </c>
      <c r="P755" s="15">
        <v>0</v>
      </c>
      <c r="Q755" s="15"/>
    </row>
    <row r="756" spans="1:17" hidden="1" x14ac:dyDescent="0.25">
      <c r="A756" s="15" t="s">
        <v>545</v>
      </c>
      <c r="B756" s="15" t="s">
        <v>526</v>
      </c>
      <c r="C756" s="15" t="s">
        <v>527</v>
      </c>
      <c r="D756" s="15" t="s">
        <v>535</v>
      </c>
      <c r="E756" s="15" t="s">
        <v>426</v>
      </c>
      <c r="F756" s="15"/>
      <c r="G756" s="15"/>
      <c r="H756" s="15" t="s">
        <v>377</v>
      </c>
      <c r="I756" s="15">
        <v>0</v>
      </c>
      <c r="J756" s="15">
        <v>372200.5</v>
      </c>
      <c r="K756" s="15">
        <v>57536.499999999993</v>
      </c>
      <c r="L756" s="15">
        <v>91160814.329999998</v>
      </c>
      <c r="M756" s="15">
        <v>0</v>
      </c>
      <c r="N756" s="15">
        <v>0</v>
      </c>
      <c r="O756" s="15">
        <v>0</v>
      </c>
      <c r="P756" s="15">
        <v>0</v>
      </c>
      <c r="Q756" s="15"/>
    </row>
    <row r="757" spans="1:17" hidden="1" x14ac:dyDescent="0.25">
      <c r="A757" s="15" t="s">
        <v>545</v>
      </c>
      <c r="B757" s="15" t="s">
        <v>526</v>
      </c>
      <c r="C757" s="15" t="s">
        <v>529</v>
      </c>
      <c r="D757" s="15" t="s">
        <v>540</v>
      </c>
      <c r="E757" s="15" t="s">
        <v>351</v>
      </c>
      <c r="F757" s="15"/>
      <c r="G757" s="15"/>
      <c r="H757" s="15"/>
      <c r="I757" s="15">
        <v>0</v>
      </c>
      <c r="J757" s="15">
        <v>4078128.26</v>
      </c>
      <c r="K757" s="15">
        <v>17222382.179999996</v>
      </c>
      <c r="L757" s="15">
        <v>231481.23</v>
      </c>
      <c r="M757" s="15">
        <v>0</v>
      </c>
      <c r="N757" s="15">
        <v>0</v>
      </c>
      <c r="O757" s="15">
        <v>0</v>
      </c>
      <c r="P757" s="15">
        <v>0</v>
      </c>
      <c r="Q757" s="15"/>
    </row>
    <row r="758" spans="1:17" hidden="1" x14ac:dyDescent="0.25">
      <c r="A758" s="15" t="s">
        <v>417</v>
      </c>
      <c r="B758" s="15" t="s">
        <v>526</v>
      </c>
      <c r="C758" s="15" t="s">
        <v>527</v>
      </c>
      <c r="D758" s="15" t="s">
        <v>528</v>
      </c>
      <c r="E758" s="15" t="s">
        <v>429</v>
      </c>
      <c r="F758" s="15"/>
      <c r="G758" s="15"/>
      <c r="H758" s="15"/>
      <c r="I758" s="15">
        <v>0</v>
      </c>
      <c r="J758" s="15">
        <v>0</v>
      </c>
      <c r="K758" s="15">
        <v>0</v>
      </c>
      <c r="L758" s="15">
        <v>350170504.11000001</v>
      </c>
      <c r="M758" s="15">
        <v>0</v>
      </c>
      <c r="N758" s="15">
        <v>0</v>
      </c>
      <c r="O758" s="15">
        <v>0</v>
      </c>
      <c r="P758" s="15">
        <v>0</v>
      </c>
      <c r="Q758" s="15"/>
    </row>
    <row r="759" spans="1:17" ht="45" hidden="1" x14ac:dyDescent="0.25">
      <c r="A759" s="15" t="s">
        <v>550</v>
      </c>
      <c r="B759" s="15" t="s">
        <v>526</v>
      </c>
      <c r="C759" s="15" t="s">
        <v>527</v>
      </c>
      <c r="D759" s="15" t="s">
        <v>528</v>
      </c>
      <c r="E759" s="15" t="s">
        <v>429</v>
      </c>
      <c r="F759" s="15"/>
      <c r="G759" s="15"/>
      <c r="H759" s="15"/>
      <c r="I759" s="15">
        <v>0</v>
      </c>
      <c r="J759" s="15">
        <v>0</v>
      </c>
      <c r="K759" s="15">
        <v>0</v>
      </c>
      <c r="L759" s="15">
        <v>72525.900000000009</v>
      </c>
      <c r="M759" s="15">
        <v>0</v>
      </c>
      <c r="N759" s="15">
        <v>0</v>
      </c>
      <c r="O759" s="15">
        <v>0</v>
      </c>
      <c r="P759" s="15">
        <v>0</v>
      </c>
      <c r="Q759" s="15"/>
    </row>
    <row r="760" spans="1:17" hidden="1" x14ac:dyDescent="0.25">
      <c r="A760" s="15" t="s">
        <v>551</v>
      </c>
      <c r="B760" s="15" t="s">
        <v>526</v>
      </c>
      <c r="C760" s="15" t="s">
        <v>527</v>
      </c>
      <c r="D760" s="15" t="s">
        <v>532</v>
      </c>
      <c r="E760" s="15" t="s">
        <v>426</v>
      </c>
      <c r="F760" s="15"/>
      <c r="G760" s="15"/>
      <c r="H760" s="15"/>
      <c r="I760" s="15">
        <v>0</v>
      </c>
      <c r="J760" s="15">
        <v>0</v>
      </c>
      <c r="K760" s="15">
        <v>2267890.4699999997</v>
      </c>
      <c r="L760" s="15">
        <v>0</v>
      </c>
      <c r="M760" s="15">
        <v>0</v>
      </c>
      <c r="N760" s="15">
        <v>0</v>
      </c>
      <c r="O760" s="15">
        <v>0</v>
      </c>
      <c r="P760" s="15">
        <v>0</v>
      </c>
      <c r="Q760" s="15"/>
    </row>
    <row r="761" spans="1:17" hidden="1" x14ac:dyDescent="0.25">
      <c r="A761" s="15" t="s">
        <v>551</v>
      </c>
      <c r="B761" s="15" t="s">
        <v>526</v>
      </c>
      <c r="C761" s="15" t="s">
        <v>527</v>
      </c>
      <c r="D761" s="15" t="s">
        <v>535</v>
      </c>
      <c r="E761" s="15" t="s">
        <v>426</v>
      </c>
      <c r="F761" s="15"/>
      <c r="G761" s="15"/>
      <c r="H761" s="15"/>
      <c r="I761" s="15">
        <v>0</v>
      </c>
      <c r="J761" s="15">
        <v>1319912.03</v>
      </c>
      <c r="K761" s="15">
        <v>0</v>
      </c>
      <c r="L761" s="15">
        <v>26874644.050000004</v>
      </c>
      <c r="M761" s="15">
        <v>0</v>
      </c>
      <c r="N761" s="15">
        <v>0</v>
      </c>
      <c r="O761" s="15">
        <v>0</v>
      </c>
      <c r="P761" s="15">
        <v>0</v>
      </c>
      <c r="Q761" s="15"/>
    </row>
    <row r="762" spans="1:17" hidden="1" x14ac:dyDescent="0.25">
      <c r="A762" s="15" t="s">
        <v>525</v>
      </c>
      <c r="B762" s="15" t="s">
        <v>526</v>
      </c>
      <c r="C762" s="15" t="s">
        <v>552</v>
      </c>
      <c r="D762" s="15" t="s">
        <v>553</v>
      </c>
      <c r="E762" s="15"/>
      <c r="F762" s="15"/>
      <c r="G762" s="15"/>
      <c r="H762" s="15" t="s">
        <v>377</v>
      </c>
      <c r="I762" s="15">
        <v>0</v>
      </c>
      <c r="J762" s="15">
        <v>0</v>
      </c>
      <c r="K762" s="15">
        <v>0</v>
      </c>
      <c r="L762" s="15">
        <v>0</v>
      </c>
      <c r="M762" s="15">
        <v>836729573.17709005</v>
      </c>
      <c r="N762" s="15">
        <v>0</v>
      </c>
      <c r="O762" s="15">
        <v>473767979.99310005</v>
      </c>
      <c r="P762" s="15">
        <v>797692429.12999988</v>
      </c>
      <c r="Q762" s="15"/>
    </row>
    <row r="763" spans="1:17" hidden="1" x14ac:dyDescent="0.25">
      <c r="A763" s="15" t="s">
        <v>534</v>
      </c>
      <c r="B763" s="15" t="s">
        <v>526</v>
      </c>
      <c r="C763" s="15" t="s">
        <v>552</v>
      </c>
      <c r="D763" s="15" t="s">
        <v>554</v>
      </c>
      <c r="E763" s="15"/>
      <c r="F763" s="15"/>
      <c r="G763" s="15"/>
      <c r="H763" s="15" t="s">
        <v>377</v>
      </c>
      <c r="I763" s="15">
        <v>0</v>
      </c>
      <c r="J763" s="15">
        <v>0</v>
      </c>
      <c r="K763" s="15">
        <v>0</v>
      </c>
      <c r="L763" s="15">
        <v>0</v>
      </c>
      <c r="M763" s="15">
        <v>875989074.51481271</v>
      </c>
      <c r="N763" s="15">
        <v>0</v>
      </c>
      <c r="O763" s="15">
        <v>464654798.07890016</v>
      </c>
      <c r="P763" s="15">
        <v>0</v>
      </c>
      <c r="Q763" s="15"/>
    </row>
    <row r="764" spans="1:17" hidden="1" x14ac:dyDescent="0.25">
      <c r="A764" s="15" t="s">
        <v>533</v>
      </c>
      <c r="B764" s="15" t="s">
        <v>526</v>
      </c>
      <c r="C764" s="15" t="s">
        <v>552</v>
      </c>
      <c r="D764" s="15" t="s">
        <v>553</v>
      </c>
      <c r="E764" s="15"/>
      <c r="F764" s="15"/>
      <c r="G764" s="15"/>
      <c r="H764" s="15" t="s">
        <v>377</v>
      </c>
      <c r="I764" s="15">
        <v>0</v>
      </c>
      <c r="J764" s="15">
        <v>0</v>
      </c>
      <c r="K764" s="15">
        <v>0</v>
      </c>
      <c r="L764" s="15">
        <v>0</v>
      </c>
      <c r="M764" s="15">
        <v>972681258.01652825</v>
      </c>
      <c r="N764" s="15">
        <v>0</v>
      </c>
      <c r="O764" s="15">
        <v>0</v>
      </c>
      <c r="P764" s="15">
        <v>441584308.78997934</v>
      </c>
      <c r="Q764" s="15"/>
    </row>
    <row r="765" spans="1:17" hidden="1" x14ac:dyDescent="0.25">
      <c r="A765" s="15" t="s">
        <v>542</v>
      </c>
      <c r="B765" s="15" t="s">
        <v>526</v>
      </c>
      <c r="C765" s="15" t="s">
        <v>552</v>
      </c>
      <c r="D765" s="15" t="s">
        <v>555</v>
      </c>
      <c r="E765" s="15"/>
      <c r="F765" s="15"/>
      <c r="G765" s="15"/>
      <c r="H765" s="15" t="s">
        <v>377</v>
      </c>
      <c r="I765" s="15">
        <v>0</v>
      </c>
      <c r="J765" s="15">
        <v>0</v>
      </c>
      <c r="K765" s="15">
        <v>0</v>
      </c>
      <c r="L765" s="15">
        <v>0</v>
      </c>
      <c r="M765" s="15">
        <v>411849664.02079684</v>
      </c>
      <c r="N765" s="15">
        <v>0</v>
      </c>
      <c r="O765" s="15">
        <v>201456929.39970002</v>
      </c>
      <c r="P765" s="15">
        <v>0</v>
      </c>
      <c r="Q765" s="15"/>
    </row>
    <row r="766" spans="1:17" hidden="1" x14ac:dyDescent="0.25">
      <c r="A766" s="15" t="s">
        <v>543</v>
      </c>
      <c r="B766" s="15" t="s">
        <v>526</v>
      </c>
      <c r="C766" s="15" t="s">
        <v>556</v>
      </c>
      <c r="D766" s="15" t="s">
        <v>557</v>
      </c>
      <c r="E766" s="15"/>
      <c r="F766" s="15"/>
      <c r="G766" s="15"/>
      <c r="H766" s="15" t="s">
        <v>377</v>
      </c>
      <c r="I766" s="15">
        <v>0</v>
      </c>
      <c r="J766" s="15">
        <v>0</v>
      </c>
      <c r="K766" s="15">
        <v>0</v>
      </c>
      <c r="L766" s="15">
        <v>0</v>
      </c>
      <c r="M766" s="15">
        <v>888852025.48993647</v>
      </c>
      <c r="N766" s="15">
        <v>0</v>
      </c>
      <c r="O766" s="15">
        <v>543043386.05659974</v>
      </c>
      <c r="P766" s="15">
        <v>6981487904.4999857</v>
      </c>
      <c r="Q766" s="15"/>
    </row>
    <row r="767" spans="1:17" hidden="1" x14ac:dyDescent="0.25">
      <c r="A767" s="15" t="s">
        <v>543</v>
      </c>
      <c r="B767" s="15" t="s">
        <v>526</v>
      </c>
      <c r="C767" s="15" t="s">
        <v>556</v>
      </c>
      <c r="D767" s="15" t="s">
        <v>558</v>
      </c>
      <c r="E767" s="15"/>
      <c r="F767" s="15"/>
      <c r="G767" s="15"/>
      <c r="H767" s="15" t="s">
        <v>377</v>
      </c>
      <c r="I767" s="15">
        <v>0</v>
      </c>
      <c r="J767" s="15">
        <v>0</v>
      </c>
      <c r="K767" s="15">
        <v>0</v>
      </c>
      <c r="L767" s="15">
        <v>0</v>
      </c>
      <c r="M767" s="15">
        <v>667890310.36386871</v>
      </c>
      <c r="N767" s="15">
        <v>1006884.1399999999</v>
      </c>
      <c r="O767" s="15">
        <v>567872517.65789998</v>
      </c>
      <c r="P767" s="15">
        <v>1812890091.9499843</v>
      </c>
      <c r="Q767" s="15"/>
    </row>
    <row r="768" spans="1:17" hidden="1" x14ac:dyDescent="0.25">
      <c r="A768" s="15" t="s">
        <v>547</v>
      </c>
      <c r="B768" s="15" t="s">
        <v>526</v>
      </c>
      <c r="C768" s="15" t="s">
        <v>552</v>
      </c>
      <c r="D768" s="15" t="s">
        <v>553</v>
      </c>
      <c r="E768" s="15"/>
      <c r="F768" s="15"/>
      <c r="G768" s="15"/>
      <c r="H768" s="15" t="s">
        <v>377</v>
      </c>
      <c r="I768" s="15">
        <v>0</v>
      </c>
      <c r="J768" s="15">
        <v>0</v>
      </c>
      <c r="K768" s="15">
        <v>0</v>
      </c>
      <c r="L768" s="15">
        <v>0</v>
      </c>
      <c r="M768" s="15">
        <v>689776942.79219866</v>
      </c>
      <c r="N768" s="15">
        <v>0</v>
      </c>
      <c r="O768" s="15">
        <v>534932683.48779994</v>
      </c>
      <c r="P768" s="15">
        <v>0</v>
      </c>
      <c r="Q768" s="15"/>
    </row>
    <row r="769" spans="1:17" hidden="1" x14ac:dyDescent="0.25">
      <c r="A769" s="15" t="s">
        <v>547</v>
      </c>
      <c r="B769" s="15" t="s">
        <v>526</v>
      </c>
      <c r="C769" s="15" t="s">
        <v>556</v>
      </c>
      <c r="D769" s="15" t="s">
        <v>557</v>
      </c>
      <c r="E769" s="15"/>
      <c r="F769" s="15"/>
      <c r="G769" s="15"/>
      <c r="H769" s="15" t="s">
        <v>377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  <c r="N769" s="15">
        <v>0</v>
      </c>
      <c r="O769" s="15">
        <v>1785014.0099999998</v>
      </c>
      <c r="P769" s="15">
        <v>0</v>
      </c>
      <c r="Q769" s="15"/>
    </row>
    <row r="770" spans="1:17" hidden="1" x14ac:dyDescent="0.25">
      <c r="A770" s="15" t="s">
        <v>549</v>
      </c>
      <c r="B770" s="15" t="s">
        <v>526</v>
      </c>
      <c r="C770" s="15" t="s">
        <v>556</v>
      </c>
      <c r="D770" s="15" t="s">
        <v>558</v>
      </c>
      <c r="E770" s="15"/>
      <c r="F770" s="15"/>
      <c r="G770" s="15"/>
      <c r="H770" s="15" t="s">
        <v>377</v>
      </c>
      <c r="I770" s="15">
        <v>0</v>
      </c>
      <c r="J770" s="15">
        <v>0</v>
      </c>
      <c r="K770" s="15">
        <v>0</v>
      </c>
      <c r="L770" s="15">
        <v>0</v>
      </c>
      <c r="M770" s="15">
        <v>802225334.26869702</v>
      </c>
      <c r="N770" s="15">
        <v>0</v>
      </c>
      <c r="O770" s="15">
        <v>607576306.9467001</v>
      </c>
      <c r="P770" s="15">
        <v>0</v>
      </c>
      <c r="Q770" s="15"/>
    </row>
    <row r="771" spans="1:17" hidden="1" x14ac:dyDescent="0.25">
      <c r="A771" s="15" t="s">
        <v>546</v>
      </c>
      <c r="B771" s="15" t="s">
        <v>526</v>
      </c>
      <c r="C771" s="15" t="s">
        <v>556</v>
      </c>
      <c r="D771" s="15" t="s">
        <v>558</v>
      </c>
      <c r="E771" s="15"/>
      <c r="F771" s="15"/>
      <c r="G771" s="15"/>
      <c r="H771" s="15" t="s">
        <v>377</v>
      </c>
      <c r="I771" s="15">
        <v>0</v>
      </c>
      <c r="J771" s="15">
        <v>0</v>
      </c>
      <c r="K771" s="15">
        <v>0</v>
      </c>
      <c r="L771" s="15">
        <v>0</v>
      </c>
      <c r="M771" s="15">
        <v>797723901.73658943</v>
      </c>
      <c r="N771" s="15">
        <v>0</v>
      </c>
      <c r="O771" s="15">
        <v>489575548.97810006</v>
      </c>
      <c r="P771" s="15">
        <v>0</v>
      </c>
      <c r="Q771" s="15"/>
    </row>
    <row r="772" spans="1:17" hidden="1" x14ac:dyDescent="0.25">
      <c r="A772" s="15" t="s">
        <v>539</v>
      </c>
      <c r="B772" s="15" t="s">
        <v>526</v>
      </c>
      <c r="C772" s="15" t="s">
        <v>552</v>
      </c>
      <c r="D772" s="15" t="s">
        <v>554</v>
      </c>
      <c r="E772" s="15"/>
      <c r="F772" s="15"/>
      <c r="G772" s="15"/>
      <c r="H772" s="15" t="s">
        <v>377</v>
      </c>
      <c r="I772" s="15">
        <v>0</v>
      </c>
      <c r="J772" s="15">
        <v>0</v>
      </c>
      <c r="K772" s="15">
        <v>0</v>
      </c>
      <c r="L772" s="15">
        <v>0</v>
      </c>
      <c r="M772" s="15">
        <v>655412059.29759574</v>
      </c>
      <c r="N772" s="15">
        <v>0</v>
      </c>
      <c r="O772" s="15">
        <v>371177128.75099981</v>
      </c>
      <c r="P772" s="15">
        <v>0</v>
      </c>
      <c r="Q772" s="15"/>
    </row>
    <row r="773" spans="1:17" hidden="1" x14ac:dyDescent="0.25">
      <c r="A773" s="15" t="s">
        <v>541</v>
      </c>
      <c r="B773" s="15" t="s">
        <v>526</v>
      </c>
      <c r="C773" s="15" t="s">
        <v>552</v>
      </c>
      <c r="D773" s="15" t="s">
        <v>554</v>
      </c>
      <c r="E773" s="15"/>
      <c r="F773" s="15"/>
      <c r="G773" s="15"/>
      <c r="H773" s="15" t="s">
        <v>377</v>
      </c>
      <c r="I773" s="15">
        <v>0</v>
      </c>
      <c r="J773" s="15">
        <v>0</v>
      </c>
      <c r="K773" s="15">
        <v>0</v>
      </c>
      <c r="L773" s="15">
        <v>0</v>
      </c>
      <c r="M773" s="15">
        <v>658081627.3988291</v>
      </c>
      <c r="N773" s="15">
        <v>0</v>
      </c>
      <c r="O773" s="15">
        <v>340990386.10000014</v>
      </c>
      <c r="P773" s="15">
        <v>0</v>
      </c>
      <c r="Q773" s="15"/>
    </row>
    <row r="774" spans="1:17" hidden="1" x14ac:dyDescent="0.25">
      <c r="A774" s="464" t="s">
        <v>346</v>
      </c>
      <c r="B774" s="15" t="s">
        <v>526</v>
      </c>
      <c r="C774" s="15" t="s">
        <v>556</v>
      </c>
      <c r="D774" s="15" t="s">
        <v>557</v>
      </c>
      <c r="E774" s="15"/>
      <c r="F774" s="15"/>
      <c r="G774" s="15"/>
      <c r="H774" s="15" t="s">
        <v>377</v>
      </c>
      <c r="I774" s="15">
        <v>0</v>
      </c>
      <c r="J774" s="15">
        <v>0</v>
      </c>
      <c r="K774" s="15">
        <v>0</v>
      </c>
      <c r="L774" s="15">
        <v>0</v>
      </c>
      <c r="M774" s="15">
        <v>1348240045.9498818</v>
      </c>
      <c r="N774" s="15">
        <v>0</v>
      </c>
      <c r="O774" s="15">
        <v>1256610687.3800988</v>
      </c>
      <c r="P774" s="15">
        <v>0</v>
      </c>
      <c r="Q774" s="15"/>
    </row>
    <row r="775" spans="1:17" hidden="1" x14ac:dyDescent="0.25">
      <c r="A775" s="15" t="s">
        <v>531</v>
      </c>
      <c r="B775" s="15" t="s">
        <v>526</v>
      </c>
      <c r="C775" s="15" t="s">
        <v>552</v>
      </c>
      <c r="D775" s="15" t="s">
        <v>559</v>
      </c>
      <c r="E775" s="15"/>
      <c r="F775" s="15"/>
      <c r="G775" s="15"/>
      <c r="H775" s="15" t="s">
        <v>377</v>
      </c>
      <c r="I775" s="15">
        <v>0</v>
      </c>
      <c r="J775" s="15">
        <v>0</v>
      </c>
      <c r="K775" s="15">
        <v>0</v>
      </c>
      <c r="L775" s="15">
        <v>0</v>
      </c>
      <c r="M775" s="15">
        <v>1052771590.1537045</v>
      </c>
      <c r="N775" s="15">
        <v>0</v>
      </c>
      <c r="O775" s="15">
        <v>638591919.81389999</v>
      </c>
      <c r="P775" s="15">
        <v>0</v>
      </c>
      <c r="Q775" s="15"/>
    </row>
    <row r="776" spans="1:17" x14ac:dyDescent="0.25">
      <c r="A776" s="15" t="s">
        <v>545</v>
      </c>
      <c r="B776" s="15" t="s">
        <v>526</v>
      </c>
      <c r="C776" s="15" t="s">
        <v>552</v>
      </c>
      <c r="D776" s="15" t="s">
        <v>559</v>
      </c>
      <c r="E776" s="15"/>
      <c r="F776" s="15"/>
      <c r="G776" s="15"/>
      <c r="H776" s="15" t="s">
        <v>377</v>
      </c>
      <c r="I776" s="15">
        <v>0</v>
      </c>
      <c r="J776" s="15">
        <v>0</v>
      </c>
      <c r="K776" s="15">
        <v>0</v>
      </c>
      <c r="L776" s="15">
        <v>0</v>
      </c>
      <c r="M776" s="15">
        <v>1510694794.0663226</v>
      </c>
      <c r="N776" s="15">
        <v>0</v>
      </c>
      <c r="O776" s="15">
        <v>970857482.53520048</v>
      </c>
      <c r="P776" s="15">
        <v>0</v>
      </c>
      <c r="Q776" s="15"/>
    </row>
    <row r="777" spans="1:17" hidden="1" x14ac:dyDescent="0.25">
      <c r="A777" s="15" t="s">
        <v>551</v>
      </c>
      <c r="B777" s="15" t="s">
        <v>526</v>
      </c>
      <c r="C777" s="15" t="s">
        <v>552</v>
      </c>
      <c r="D777" s="15" t="s">
        <v>555</v>
      </c>
      <c r="E777" s="15"/>
      <c r="F777" s="15"/>
      <c r="G777" s="15"/>
      <c r="H777" s="15" t="s">
        <v>377</v>
      </c>
      <c r="I777" s="15">
        <v>0</v>
      </c>
      <c r="J777" s="15">
        <v>0</v>
      </c>
      <c r="K777" s="15">
        <v>0</v>
      </c>
      <c r="L777" s="15">
        <v>0</v>
      </c>
      <c r="M777" s="15">
        <v>1516920046.1571732</v>
      </c>
      <c r="N777" s="15">
        <v>27130505.840957616</v>
      </c>
      <c r="O777" s="15">
        <v>1097746765.7857997</v>
      </c>
      <c r="P777" s="15">
        <v>0</v>
      </c>
      <c r="Q777" s="15"/>
    </row>
    <row r="778" spans="1:17" hidden="1" x14ac:dyDescent="0.25">
      <c r="A778" s="15" t="s">
        <v>543</v>
      </c>
      <c r="B778" s="15" t="s">
        <v>526</v>
      </c>
      <c r="C778" s="15" t="s">
        <v>556</v>
      </c>
      <c r="D778" s="15" t="s">
        <v>560</v>
      </c>
      <c r="E778" s="15"/>
      <c r="F778" s="15"/>
      <c r="G778" s="15"/>
      <c r="H778" s="15" t="s">
        <v>377</v>
      </c>
      <c r="I778" s="15">
        <v>0</v>
      </c>
      <c r="J778" s="15">
        <v>0</v>
      </c>
      <c r="K778" s="15">
        <v>0</v>
      </c>
      <c r="L778" s="15">
        <v>0</v>
      </c>
      <c r="M778" s="15">
        <v>1047083677.2343158</v>
      </c>
      <c r="N778" s="15">
        <v>0</v>
      </c>
      <c r="O778" s="15">
        <v>561781057.31280017</v>
      </c>
      <c r="P778" s="15">
        <v>7861104101.8997154</v>
      </c>
      <c r="Q778" s="15"/>
    </row>
    <row r="779" spans="1:17" hidden="1" x14ac:dyDescent="0.25">
      <c r="A779" s="15" t="s">
        <v>346</v>
      </c>
      <c r="B779" s="15" t="s">
        <v>526</v>
      </c>
      <c r="C779" s="15" t="s">
        <v>556</v>
      </c>
      <c r="D779" s="15" t="s">
        <v>560</v>
      </c>
      <c r="E779" s="15"/>
      <c r="F779" s="15"/>
      <c r="G779" s="15"/>
      <c r="H779" s="15" t="s">
        <v>377</v>
      </c>
      <c r="I779" s="15">
        <v>0</v>
      </c>
      <c r="J779" s="15">
        <v>0</v>
      </c>
      <c r="K779" s="15">
        <v>0</v>
      </c>
      <c r="L779" s="15">
        <v>0</v>
      </c>
      <c r="M779" s="15">
        <v>1198289819.5309277</v>
      </c>
      <c r="N779" s="15">
        <v>0</v>
      </c>
      <c r="O779" s="15">
        <v>705518663.33519995</v>
      </c>
      <c r="P779" s="15">
        <v>0</v>
      </c>
      <c r="Q779" s="15"/>
    </row>
    <row r="780" spans="1:17" x14ac:dyDescent="0.25">
      <c r="A780" s="15" t="s">
        <v>545</v>
      </c>
      <c r="B780" s="15" t="s">
        <v>526</v>
      </c>
      <c r="C780" s="15" t="s">
        <v>552</v>
      </c>
      <c r="D780" s="15" t="s">
        <v>555</v>
      </c>
      <c r="E780" s="15"/>
      <c r="F780" s="15"/>
      <c r="G780" s="15"/>
      <c r="H780" s="15" t="s">
        <v>377</v>
      </c>
      <c r="I780" s="15">
        <v>0</v>
      </c>
      <c r="J780" s="15">
        <v>0</v>
      </c>
      <c r="K780" s="15">
        <v>0</v>
      </c>
      <c r="L780" s="15">
        <v>0</v>
      </c>
      <c r="M780" s="15">
        <v>38543446.49000001</v>
      </c>
      <c r="N780" s="15">
        <v>0</v>
      </c>
      <c r="O780" s="15">
        <v>0</v>
      </c>
      <c r="P780" s="15">
        <v>0</v>
      </c>
      <c r="Q780" s="15"/>
    </row>
    <row r="781" spans="1:17" hidden="1" x14ac:dyDescent="0.25">
      <c r="A781" s="15" t="s">
        <v>346</v>
      </c>
      <c r="B781" s="15" t="s">
        <v>526</v>
      </c>
      <c r="C781" s="15" t="s">
        <v>556</v>
      </c>
      <c r="D781" s="15" t="s">
        <v>558</v>
      </c>
      <c r="E781" s="15"/>
      <c r="F781" s="15"/>
      <c r="G781" s="15"/>
      <c r="H781" s="15" t="s">
        <v>377</v>
      </c>
      <c r="I781" s="15">
        <v>0</v>
      </c>
      <c r="J781" s="15">
        <v>0</v>
      </c>
      <c r="K781" s="15">
        <v>0</v>
      </c>
      <c r="L781" s="15">
        <v>0</v>
      </c>
      <c r="M781" s="15">
        <v>1069481198.1399873</v>
      </c>
      <c r="N781" s="15">
        <v>2013768.2799999998</v>
      </c>
      <c r="O781" s="15">
        <v>886176641.00030005</v>
      </c>
      <c r="P781" s="15">
        <v>0</v>
      </c>
      <c r="Q781" s="15"/>
    </row>
    <row r="782" spans="1:17" hidden="1" x14ac:dyDescent="0.25">
      <c r="A782" s="15" t="s">
        <v>533</v>
      </c>
      <c r="B782" s="15" t="s">
        <v>526</v>
      </c>
      <c r="C782" s="15" t="s">
        <v>552</v>
      </c>
      <c r="D782" s="15" t="s">
        <v>559</v>
      </c>
      <c r="E782" s="15"/>
      <c r="F782" s="15"/>
      <c r="G782" s="15"/>
      <c r="H782" s="15"/>
      <c r="I782" s="15">
        <v>0</v>
      </c>
      <c r="J782" s="15">
        <v>0</v>
      </c>
      <c r="K782" s="15">
        <v>0</v>
      </c>
      <c r="L782" s="15">
        <v>0</v>
      </c>
      <c r="M782" s="15">
        <v>0</v>
      </c>
      <c r="N782" s="15">
        <v>0</v>
      </c>
      <c r="O782" s="15">
        <v>0</v>
      </c>
      <c r="P782" s="15">
        <v>0</v>
      </c>
      <c r="Q782" s="15"/>
    </row>
    <row r="783" spans="1:17" hidden="1" x14ac:dyDescent="0.25">
      <c r="A783" s="15" t="s">
        <v>534</v>
      </c>
      <c r="B783" s="15" t="s">
        <v>526</v>
      </c>
      <c r="C783" s="15" t="s">
        <v>527</v>
      </c>
      <c r="D783" s="15" t="s">
        <v>528</v>
      </c>
      <c r="E783" s="15"/>
      <c r="F783" s="15"/>
      <c r="G783" s="15"/>
      <c r="H783" s="15"/>
      <c r="I783" s="15">
        <v>16316055.810000001</v>
      </c>
      <c r="J783" s="15">
        <v>0</v>
      </c>
      <c r="K783" s="15">
        <v>0</v>
      </c>
      <c r="L783" s="15">
        <v>0</v>
      </c>
      <c r="M783" s="15">
        <v>0</v>
      </c>
      <c r="N783" s="15">
        <v>0</v>
      </c>
      <c r="O783" s="15">
        <v>0</v>
      </c>
      <c r="P783" s="15">
        <v>0</v>
      </c>
      <c r="Q783" s="15"/>
    </row>
    <row r="784" spans="1:17" hidden="1" x14ac:dyDescent="0.25">
      <c r="A784" s="15" t="s">
        <v>551</v>
      </c>
      <c r="B784" s="15" t="s">
        <v>526</v>
      </c>
      <c r="C784" s="15" t="s">
        <v>527</v>
      </c>
      <c r="D784" s="15" t="s">
        <v>528</v>
      </c>
      <c r="E784" s="15"/>
      <c r="F784" s="15"/>
      <c r="G784" s="15"/>
      <c r="H784" s="15"/>
      <c r="I784" s="15">
        <v>27312790.859999999</v>
      </c>
      <c r="J784" s="15">
        <v>0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15">
        <v>0</v>
      </c>
      <c r="Q784" s="15"/>
    </row>
    <row r="785" spans="1:17" hidden="1" x14ac:dyDescent="0.25">
      <c r="A785" s="15" t="s">
        <v>547</v>
      </c>
      <c r="B785" s="15" t="s">
        <v>526</v>
      </c>
      <c r="C785" s="15" t="s">
        <v>529</v>
      </c>
      <c r="D785" s="15" t="s">
        <v>544</v>
      </c>
      <c r="E785" s="15" t="s">
        <v>351</v>
      </c>
      <c r="F785" s="15"/>
      <c r="G785" s="15"/>
      <c r="H785" s="15"/>
      <c r="I785" s="15">
        <v>0</v>
      </c>
      <c r="J785" s="15">
        <v>1456400.8099999996</v>
      </c>
      <c r="K785" s="15">
        <v>0</v>
      </c>
      <c r="L785" s="15">
        <v>0</v>
      </c>
      <c r="M785" s="15">
        <v>0</v>
      </c>
      <c r="N785" s="15">
        <v>0</v>
      </c>
      <c r="O785" s="15">
        <v>0</v>
      </c>
      <c r="P785" s="15">
        <v>0</v>
      </c>
      <c r="Q785" s="15"/>
    </row>
    <row r="786" spans="1:17" hidden="1" x14ac:dyDescent="0.25">
      <c r="A786" s="15" t="s">
        <v>533</v>
      </c>
      <c r="B786" s="15" t="s">
        <v>526</v>
      </c>
      <c r="C786" s="15" t="s">
        <v>552</v>
      </c>
      <c r="D786" s="15" t="s">
        <v>555</v>
      </c>
      <c r="E786" s="15"/>
      <c r="F786" s="15"/>
      <c r="G786" s="15"/>
      <c r="H786" s="15" t="s">
        <v>377</v>
      </c>
      <c r="I786" s="15">
        <v>0</v>
      </c>
      <c r="J786" s="15">
        <v>0</v>
      </c>
      <c r="K786" s="15">
        <v>0</v>
      </c>
      <c r="L786" s="15">
        <v>0</v>
      </c>
      <c r="M786" s="15">
        <v>0</v>
      </c>
      <c r="N786" s="15">
        <v>0</v>
      </c>
      <c r="O786" s="15">
        <v>668377808.25270033</v>
      </c>
      <c r="P786" s="15">
        <v>0</v>
      </c>
      <c r="Q786" s="15"/>
    </row>
    <row r="790" spans="1:17" x14ac:dyDescent="0.25">
      <c r="A790" s="461"/>
      <c r="B790" s="461"/>
    </row>
    <row r="791" spans="1:17" x14ac:dyDescent="0.25">
      <c r="A791" s="461"/>
      <c r="B791" s="461"/>
    </row>
    <row r="792" spans="1:17" x14ac:dyDescent="0.25">
      <c r="A792" s="461"/>
      <c r="B792" s="461"/>
    </row>
    <row r="793" spans="1:17" x14ac:dyDescent="0.25">
      <c r="A793" s="461"/>
      <c r="B793" s="461"/>
    </row>
    <row r="794" spans="1:17" x14ac:dyDescent="0.25">
      <c r="A794" s="461"/>
      <c r="B794" s="461"/>
    </row>
    <row r="795" spans="1:17" x14ac:dyDescent="0.25">
      <c r="A795" s="461"/>
      <c r="B795" s="461"/>
    </row>
    <row r="796" spans="1:17" x14ac:dyDescent="0.25">
      <c r="A796" s="461"/>
      <c r="B796" s="461"/>
    </row>
    <row r="797" spans="1:17" x14ac:dyDescent="0.25">
      <c r="A797" s="461"/>
      <c r="B797" s="461"/>
    </row>
    <row r="798" spans="1:17" x14ac:dyDescent="0.25">
      <c r="A798" s="461"/>
      <c r="B798" s="461"/>
    </row>
    <row r="799" spans="1:17" x14ac:dyDescent="0.25">
      <c r="A799" s="461"/>
      <c r="B799" s="461"/>
    </row>
    <row r="800" spans="1:17" x14ac:dyDescent="0.25">
      <c r="A800" s="461"/>
      <c r="B800" s="461"/>
      <c r="E800" s="15">
        <v>0</v>
      </c>
      <c r="F800" s="15">
        <v>16476732.709999999</v>
      </c>
      <c r="G800" s="15">
        <v>4822398.8600000003</v>
      </c>
      <c r="H800" s="15">
        <v>58859998.560000047</v>
      </c>
      <c r="I800" s="15">
        <v>0</v>
      </c>
    </row>
    <row r="801" spans="1:9" x14ac:dyDescent="0.25">
      <c r="A801" s="461"/>
      <c r="B801" s="461"/>
      <c r="E801" s="15">
        <v>0</v>
      </c>
      <c r="F801" s="15">
        <v>0</v>
      </c>
      <c r="G801" s="15">
        <v>390935.39</v>
      </c>
      <c r="H801" s="15">
        <v>0</v>
      </c>
      <c r="I801" s="15">
        <v>0</v>
      </c>
    </row>
    <row r="802" spans="1:9" x14ac:dyDescent="0.25">
      <c r="A802" s="461"/>
      <c r="B802" s="461"/>
    </row>
    <row r="803" spans="1:9" x14ac:dyDescent="0.25">
      <c r="A803" s="461"/>
      <c r="B803" s="461"/>
    </row>
    <row r="804" spans="1:9" x14ac:dyDescent="0.25">
      <c r="A804" s="461"/>
      <c r="B804" s="461"/>
    </row>
    <row r="805" spans="1:9" x14ac:dyDescent="0.25">
      <c r="A805" s="461"/>
      <c r="B805" s="461"/>
    </row>
    <row r="806" spans="1:9" x14ac:dyDescent="0.25">
      <c r="A806" s="461"/>
      <c r="B806" s="461"/>
    </row>
    <row r="807" spans="1:9" x14ac:dyDescent="0.25">
      <c r="A807" s="461"/>
      <c r="B807" s="461"/>
    </row>
    <row r="808" spans="1:9" x14ac:dyDescent="0.25">
      <c r="A808" s="461"/>
      <c r="B808" s="461"/>
    </row>
    <row r="809" spans="1:9" x14ac:dyDescent="0.25">
      <c r="A809" s="461"/>
      <c r="B809" s="461"/>
    </row>
    <row r="810" spans="1:9" x14ac:dyDescent="0.25">
      <c r="A810" s="461"/>
      <c r="B810" s="461"/>
    </row>
    <row r="811" spans="1:9" x14ac:dyDescent="0.25">
      <c r="A811" s="461"/>
      <c r="B811" s="461"/>
    </row>
    <row r="812" spans="1:9" x14ac:dyDescent="0.25">
      <c r="A812" s="461"/>
      <c r="B812" s="461"/>
    </row>
    <row r="813" spans="1:9" x14ac:dyDescent="0.25">
      <c r="A813" s="461"/>
      <c r="B813" s="461"/>
    </row>
    <row r="814" spans="1:9" x14ac:dyDescent="0.25">
      <c r="A814" s="461"/>
      <c r="B814" s="461"/>
    </row>
    <row r="815" spans="1:9" x14ac:dyDescent="0.25">
      <c r="A815" s="461"/>
      <c r="B815" s="461"/>
    </row>
    <row r="816" spans="1:9" x14ac:dyDescent="0.25">
      <c r="A816" s="462"/>
      <c r="B816" s="462"/>
    </row>
  </sheetData>
  <autoFilter ref="A1:Q786" xr:uid="{9CE123FB-CEA7-44A7-9963-9B13BC48808D}">
    <filterColumn colId="0">
      <filters>
        <filter val="Тверская"/>
        <filter val="Тверская область"/>
      </filters>
    </filterColumn>
    <filterColumn colId="3">
      <filters>
        <filter val="KADL NOR NA Ivanovo Yaroslavl Kostroma"/>
        <filter val="KADL NOR NA Smolensk Tver"/>
      </filters>
    </filterColumn>
  </autoFilter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8479-2A44-483F-8F78-CB6DD0E7E6CC}">
  <sheetPr>
    <tabColor rgb="FF92D050"/>
  </sheetPr>
  <dimension ref="A1:AN268"/>
  <sheetViews>
    <sheetView topLeftCell="F1" zoomScale="60" zoomScaleNormal="60" workbookViewId="0">
      <pane ySplit="3" topLeftCell="A4" activePane="bottomLeft" state="frozen"/>
      <selection pane="bottomLeft" activeCell="Q1" sqref="I1:Q1048576"/>
    </sheetView>
  </sheetViews>
  <sheetFormatPr defaultColWidth="8.85546875" defaultRowHeight="15" x14ac:dyDescent="0.25"/>
  <cols>
    <col min="1" max="1" width="28.85546875" style="1" customWidth="1"/>
    <col min="2" max="2" width="12.85546875" style="1" customWidth="1"/>
    <col min="3" max="3" width="44" style="1" bestFit="1" customWidth="1"/>
    <col min="4" max="4" width="25.140625" style="1" bestFit="1" customWidth="1"/>
    <col min="5" max="5" width="28.42578125" style="1" customWidth="1"/>
    <col min="6" max="7" width="11.140625" style="2" customWidth="1"/>
    <col min="8" max="8" width="11.140625" style="1" customWidth="1"/>
    <col min="9" max="9" width="13.140625" bestFit="1" customWidth="1"/>
    <col min="10" max="10" width="18.7109375" bestFit="1" customWidth="1"/>
    <col min="11" max="11" width="20.7109375" bestFit="1" customWidth="1"/>
    <col min="12" max="12" width="21.28515625" bestFit="1" customWidth="1"/>
    <col min="13" max="13" width="25.42578125" bestFit="1" customWidth="1"/>
    <col min="14" max="14" width="25.140625" bestFit="1" customWidth="1"/>
    <col min="15" max="15" width="23.28515625" bestFit="1" customWidth="1"/>
    <col min="16" max="16" width="18.28515625" bestFit="1" customWidth="1"/>
    <col min="17" max="17" width="19.28515625" bestFit="1" customWidth="1"/>
    <col min="18" max="18" width="17" style="29" customWidth="1"/>
    <col min="19" max="19" width="11.140625" style="29" customWidth="1"/>
    <col min="20" max="20" width="17.140625" style="29" customWidth="1"/>
    <col min="21" max="22" width="21.85546875" style="29" customWidth="1"/>
    <col min="23" max="23" width="19.5703125" style="29" customWidth="1"/>
    <col min="24" max="24" width="20.140625" style="29" customWidth="1"/>
    <col min="25" max="25" width="21.140625" style="29" customWidth="1"/>
    <col min="26" max="26" width="19.85546875" style="29" customWidth="1"/>
    <col min="27" max="27" width="16" style="29" customWidth="1"/>
    <col min="28" max="28" width="16.140625" style="29" customWidth="1"/>
    <col min="29" max="29" width="17.140625" style="1" customWidth="1"/>
    <col min="30" max="30" width="17" style="1" customWidth="1"/>
    <col min="31" max="31" width="16.140625" style="1" customWidth="1"/>
    <col min="32" max="32" width="15.42578125" style="1" customWidth="1"/>
    <col min="33" max="33" width="15.5703125" style="1" bestFit="1" customWidth="1"/>
    <col min="34" max="34" width="16.85546875" style="1" bestFit="1" customWidth="1"/>
    <col min="35" max="35" width="10.85546875" style="1" customWidth="1"/>
    <col min="36" max="36" width="11.85546875" style="1" customWidth="1"/>
    <col min="37" max="16384" width="8.85546875" style="1"/>
  </cols>
  <sheetData>
    <row r="1" spans="1:39" ht="15" customHeight="1" thickBot="1" x14ac:dyDescent="0.3">
      <c r="A1" s="14" t="s">
        <v>182</v>
      </c>
      <c r="I1" s="1"/>
      <c r="J1" s="1"/>
      <c r="K1" s="1"/>
      <c r="L1" s="1"/>
      <c r="M1" s="1"/>
      <c r="N1" s="1"/>
      <c r="O1" s="1"/>
      <c r="P1" s="1"/>
      <c r="Q1" s="1"/>
      <c r="R1" s="504" t="s">
        <v>184</v>
      </c>
      <c r="S1" s="508"/>
      <c r="T1" s="508"/>
      <c r="U1" s="508"/>
      <c r="V1" s="508"/>
      <c r="W1" s="508"/>
      <c r="X1" s="508"/>
      <c r="Y1" s="508"/>
      <c r="Z1" s="508"/>
      <c r="AA1" s="508"/>
      <c r="AB1" s="509"/>
      <c r="AC1" s="504" t="s">
        <v>185</v>
      </c>
      <c r="AD1" s="508"/>
      <c r="AE1" s="508"/>
      <c r="AF1" s="508"/>
      <c r="AG1" s="508"/>
      <c r="AH1" s="508"/>
      <c r="AI1" s="508"/>
      <c r="AJ1" s="508"/>
      <c r="AK1" s="508"/>
      <c r="AL1" s="508"/>
      <c r="AM1" s="509"/>
    </row>
    <row r="2" spans="1:39" s="3" customFormat="1" ht="59.45" customHeight="1" thickBot="1" x14ac:dyDescent="0.3">
      <c r="I2" s="13" t="s">
        <v>290</v>
      </c>
      <c r="J2" s="490" t="s">
        <v>291</v>
      </c>
      <c r="K2" s="490"/>
      <c r="L2" s="490"/>
      <c r="M2" s="490" t="s">
        <v>292</v>
      </c>
      <c r="N2" s="490"/>
      <c r="O2" s="490"/>
      <c r="P2" s="490"/>
      <c r="Q2" s="491"/>
      <c r="R2" s="505" t="s">
        <v>186</v>
      </c>
      <c r="S2" s="511"/>
      <c r="T2" s="4" t="s">
        <v>187</v>
      </c>
      <c r="U2" s="3" t="s">
        <v>187</v>
      </c>
      <c r="V2" s="5" t="s">
        <v>187</v>
      </c>
      <c r="W2" s="3" t="s">
        <v>188</v>
      </c>
      <c r="X2" s="3" t="s">
        <v>188</v>
      </c>
      <c r="Y2" s="3" t="s">
        <v>188</v>
      </c>
      <c r="Z2" s="3" t="s">
        <v>188</v>
      </c>
      <c r="AA2" s="3" t="s">
        <v>188</v>
      </c>
      <c r="AB2" s="5" t="s">
        <v>188</v>
      </c>
      <c r="AC2" s="505" t="s">
        <v>189</v>
      </c>
      <c r="AD2" s="512"/>
      <c r="AE2" s="512"/>
      <c r="AF2" s="512"/>
      <c r="AG2" s="512"/>
      <c r="AH2" s="512"/>
      <c r="AI2" s="512"/>
      <c r="AJ2" s="511"/>
      <c r="AK2" s="505" t="s">
        <v>293</v>
      </c>
      <c r="AL2" s="512"/>
      <c r="AM2" s="511"/>
    </row>
    <row r="3" spans="1:39" s="13" customFormat="1" ht="60.75" thickBot="1" x14ac:dyDescent="0.3">
      <c r="A3" s="10" t="s">
        <v>190</v>
      </c>
      <c r="B3" s="11" t="s">
        <v>191</v>
      </c>
      <c r="C3" s="11" t="s">
        <v>192</v>
      </c>
      <c r="D3" s="12" t="s">
        <v>193</v>
      </c>
      <c r="E3" s="10" t="s">
        <v>194</v>
      </c>
      <c r="F3" s="12" t="s">
        <v>195</v>
      </c>
      <c r="G3" s="17" t="s">
        <v>196</v>
      </c>
      <c r="H3" s="17" t="s">
        <v>197</v>
      </c>
      <c r="I3" s="231" t="s">
        <v>290</v>
      </c>
      <c r="J3" s="231" t="s">
        <v>294</v>
      </c>
      <c r="K3" s="231" t="s">
        <v>295</v>
      </c>
      <c r="L3" s="231" t="s">
        <v>296</v>
      </c>
      <c r="M3" s="231" t="s">
        <v>297</v>
      </c>
      <c r="N3" s="231" t="s">
        <v>298</v>
      </c>
      <c r="O3" s="231" t="s">
        <v>299</v>
      </c>
      <c r="P3" s="231" t="s">
        <v>300</v>
      </c>
      <c r="Q3" s="231" t="s">
        <v>301</v>
      </c>
      <c r="R3" s="10" t="s">
        <v>302</v>
      </c>
      <c r="S3" s="12" t="s">
        <v>303</v>
      </c>
      <c r="T3" s="10" t="s">
        <v>304</v>
      </c>
      <c r="U3" s="11" t="s">
        <v>305</v>
      </c>
      <c r="V3" s="12" t="s">
        <v>201</v>
      </c>
      <c r="W3" s="11" t="s">
        <v>202</v>
      </c>
      <c r="X3" s="11" t="s">
        <v>204</v>
      </c>
      <c r="Y3" s="11" t="s">
        <v>205</v>
      </c>
      <c r="Z3" s="11" t="s">
        <v>206</v>
      </c>
      <c r="AA3" s="11" t="s">
        <v>207</v>
      </c>
      <c r="AB3" s="12" t="s">
        <v>208</v>
      </c>
      <c r="AC3" s="10" t="s">
        <v>306</v>
      </c>
      <c r="AD3" s="11" t="s">
        <v>307</v>
      </c>
      <c r="AE3" s="11" t="s">
        <v>308</v>
      </c>
      <c r="AF3" s="11" t="s">
        <v>309</v>
      </c>
      <c r="AG3" s="11" t="s">
        <v>310</v>
      </c>
      <c r="AH3" s="10" t="s">
        <v>311</v>
      </c>
      <c r="AI3" s="10" t="s">
        <v>312</v>
      </c>
      <c r="AJ3" s="12" t="s">
        <v>313</v>
      </c>
      <c r="AK3" s="10" t="s">
        <v>306</v>
      </c>
      <c r="AL3" s="11" t="s">
        <v>307</v>
      </c>
      <c r="AM3" s="12" t="s">
        <v>314</v>
      </c>
    </row>
    <row r="4" spans="1:39" ht="14.1" customHeight="1" x14ac:dyDescent="0.25">
      <c r="A4" s="16" t="s">
        <v>420</v>
      </c>
      <c r="B4" s="16" t="s">
        <v>464</v>
      </c>
      <c r="C4" s="16" t="s">
        <v>465</v>
      </c>
      <c r="D4" s="16" t="s">
        <v>466</v>
      </c>
      <c r="E4" s="16"/>
      <c r="F4" s="18"/>
      <c r="G4" s="18"/>
      <c r="H4" s="24" t="s">
        <v>343</v>
      </c>
      <c r="I4" s="219">
        <f>SUM(R4:S4)</f>
        <v>0</v>
      </c>
      <c r="J4" s="219">
        <f>SUM(T4:V4)</f>
        <v>0</v>
      </c>
      <c r="K4" s="219">
        <f>W4</f>
        <v>0</v>
      </c>
      <c r="L4" s="232">
        <f>SUM(X4:AB4)</f>
        <v>0</v>
      </c>
      <c r="M4" s="219">
        <f>SUM(AC4:AE4)</f>
        <v>26878553.780000001</v>
      </c>
      <c r="N4" s="219">
        <f>AG4</f>
        <v>0</v>
      </c>
      <c r="O4" s="219">
        <f>AH4</f>
        <v>16195212.219508626</v>
      </c>
      <c r="P4" s="219">
        <f>SUM(AK4:AM4)</f>
        <v>0</v>
      </c>
      <c r="Q4" s="219"/>
      <c r="R4" s="30"/>
      <c r="S4" s="30"/>
      <c r="T4" s="20"/>
      <c r="U4" s="20"/>
      <c r="V4" s="20"/>
      <c r="W4" s="20"/>
      <c r="X4" s="20"/>
      <c r="Y4" s="20"/>
      <c r="Z4" s="20"/>
      <c r="AA4" s="20"/>
      <c r="AB4" s="20"/>
      <c r="AC4" s="22">
        <v>26878553.780000001</v>
      </c>
      <c r="AD4" s="22">
        <v>0</v>
      </c>
      <c r="AE4" s="22">
        <v>0</v>
      </c>
      <c r="AF4" s="22"/>
      <c r="AG4" s="16"/>
      <c r="AH4" s="125">
        <v>16195212.219508626</v>
      </c>
      <c r="AI4" s="16"/>
      <c r="AJ4" s="16"/>
      <c r="AK4" s="16"/>
      <c r="AL4" s="16"/>
      <c r="AM4" s="16"/>
    </row>
    <row r="5" spans="1:39" ht="14.1" customHeight="1" x14ac:dyDescent="0.25">
      <c r="A5" s="15" t="s">
        <v>420</v>
      </c>
      <c r="B5" s="15" t="s">
        <v>464</v>
      </c>
      <c r="C5" s="15" t="s">
        <v>465</v>
      </c>
      <c r="D5" s="15" t="s">
        <v>467</v>
      </c>
      <c r="E5" s="15"/>
      <c r="F5" s="19"/>
      <c r="G5" s="19"/>
      <c r="H5" s="25" t="s">
        <v>343</v>
      </c>
      <c r="I5" s="219">
        <f t="shared" ref="I5:I68" si="0">SUM(R5:S5)</f>
        <v>0</v>
      </c>
      <c r="J5" s="219">
        <f t="shared" ref="J5:J68" si="1">SUM(T5:V5)</f>
        <v>0</v>
      </c>
      <c r="K5" s="219">
        <f t="shared" ref="K5:K68" si="2">W5</f>
        <v>0</v>
      </c>
      <c r="L5" s="232">
        <f t="shared" ref="L5:L68" si="3">SUM(X5:AB5)</f>
        <v>0</v>
      </c>
      <c r="M5" s="219">
        <f t="shared" ref="M5:M68" si="4">SUM(AC5:AE5)</f>
        <v>23322433.139999986</v>
      </c>
      <c r="N5" s="219">
        <f t="shared" ref="N5:N68" si="5">AG5</f>
        <v>0</v>
      </c>
      <c r="O5" s="219">
        <f t="shared" ref="O5:O68" si="6">AH5</f>
        <v>13664666.418945458</v>
      </c>
      <c r="P5" s="219">
        <f t="shared" ref="P5:P68" si="7">SUM(AK5:AM5)</f>
        <v>0</v>
      </c>
      <c r="Q5" s="219"/>
      <c r="R5" s="26"/>
      <c r="S5" s="26"/>
      <c r="T5" s="21"/>
      <c r="U5" s="21"/>
      <c r="V5" s="21"/>
      <c r="W5" s="21"/>
      <c r="X5" s="21"/>
      <c r="Y5" s="21"/>
      <c r="Z5" s="21"/>
      <c r="AA5" s="21"/>
      <c r="AB5" s="21"/>
      <c r="AC5" s="23"/>
      <c r="AD5" s="23">
        <v>23322433.139999986</v>
      </c>
      <c r="AE5" s="23">
        <v>0</v>
      </c>
      <c r="AF5" s="23"/>
      <c r="AG5" s="15"/>
      <c r="AH5" s="27">
        <v>13664666.418945458</v>
      </c>
      <c r="AI5" s="15"/>
      <c r="AJ5" s="15"/>
      <c r="AK5" s="15"/>
      <c r="AL5" s="15"/>
      <c r="AM5" s="15"/>
    </row>
    <row r="6" spans="1:39" ht="14.1" customHeight="1" x14ac:dyDescent="0.25">
      <c r="A6" s="15" t="s">
        <v>383</v>
      </c>
      <c r="B6" s="15" t="s">
        <v>464</v>
      </c>
      <c r="C6" s="15" t="s">
        <v>465</v>
      </c>
      <c r="D6" s="15" t="s">
        <v>468</v>
      </c>
      <c r="E6" s="15"/>
      <c r="F6" s="19"/>
      <c r="G6" s="19"/>
      <c r="H6" s="25" t="s">
        <v>343</v>
      </c>
      <c r="I6" s="219">
        <f t="shared" si="0"/>
        <v>0</v>
      </c>
      <c r="J6" s="219">
        <f t="shared" si="1"/>
        <v>0</v>
      </c>
      <c r="K6" s="219">
        <f t="shared" si="2"/>
        <v>0</v>
      </c>
      <c r="L6" s="232">
        <f t="shared" si="3"/>
        <v>0</v>
      </c>
      <c r="M6" s="219">
        <f t="shared" si="4"/>
        <v>332413436.29000008</v>
      </c>
      <c r="N6" s="219">
        <f t="shared" si="5"/>
        <v>0</v>
      </c>
      <c r="O6" s="219">
        <f t="shared" si="6"/>
        <v>174616680.01398039</v>
      </c>
      <c r="P6" s="219">
        <f t="shared" si="7"/>
        <v>0</v>
      </c>
      <c r="Q6" s="219"/>
      <c r="R6" s="26"/>
      <c r="S6" s="26"/>
      <c r="T6" s="21"/>
      <c r="U6" s="21"/>
      <c r="V6" s="21"/>
      <c r="W6" s="21"/>
      <c r="X6" s="21"/>
      <c r="Y6" s="21"/>
      <c r="Z6" s="21"/>
      <c r="AA6" s="21"/>
      <c r="AB6" s="21"/>
      <c r="AC6" s="23"/>
      <c r="AD6" s="23">
        <v>0</v>
      </c>
      <c r="AE6" s="23">
        <v>332413436.29000008</v>
      </c>
      <c r="AF6" s="23"/>
      <c r="AG6" s="15"/>
      <c r="AH6" s="27">
        <v>174616680.01398039</v>
      </c>
      <c r="AI6" s="15"/>
      <c r="AJ6" s="15"/>
      <c r="AK6" s="15"/>
      <c r="AL6" s="15"/>
      <c r="AM6" s="15"/>
    </row>
    <row r="7" spans="1:39" ht="14.1" customHeight="1" x14ac:dyDescent="0.25">
      <c r="A7" s="15" t="s">
        <v>383</v>
      </c>
      <c r="B7" s="15" t="s">
        <v>464</v>
      </c>
      <c r="C7" s="15" t="s">
        <v>465</v>
      </c>
      <c r="D7" s="15" t="s">
        <v>466</v>
      </c>
      <c r="E7" s="15"/>
      <c r="F7" s="19"/>
      <c r="G7" s="19"/>
      <c r="H7" s="25" t="s">
        <v>343</v>
      </c>
      <c r="I7" s="219">
        <f t="shared" si="0"/>
        <v>0</v>
      </c>
      <c r="J7" s="219">
        <f t="shared" si="1"/>
        <v>0</v>
      </c>
      <c r="K7" s="219">
        <f t="shared" si="2"/>
        <v>0</v>
      </c>
      <c r="L7" s="232">
        <f t="shared" si="3"/>
        <v>0</v>
      </c>
      <c r="M7" s="219">
        <f t="shared" si="4"/>
        <v>240333341.74999815</v>
      </c>
      <c r="N7" s="219">
        <f t="shared" si="5"/>
        <v>0</v>
      </c>
      <c r="O7" s="219">
        <f t="shared" si="6"/>
        <v>144155161.36722988</v>
      </c>
      <c r="P7" s="219">
        <f t="shared" si="7"/>
        <v>0</v>
      </c>
      <c r="Q7" s="219"/>
      <c r="R7" s="26"/>
      <c r="S7" s="26"/>
      <c r="T7" s="21"/>
      <c r="U7" s="21"/>
      <c r="V7" s="21"/>
      <c r="W7" s="21"/>
      <c r="X7" s="21"/>
      <c r="Y7" s="21"/>
      <c r="Z7" s="21"/>
      <c r="AA7" s="21"/>
      <c r="AB7" s="21"/>
      <c r="AC7" s="23">
        <v>240333341.74999815</v>
      </c>
      <c r="AD7" s="23">
        <v>0</v>
      </c>
      <c r="AE7" s="23">
        <v>0</v>
      </c>
      <c r="AF7" s="23">
        <v>68692091.669999957</v>
      </c>
      <c r="AG7" s="15"/>
      <c r="AH7" s="27">
        <v>144155161.36722988</v>
      </c>
      <c r="AI7" s="15"/>
      <c r="AJ7" s="15"/>
      <c r="AK7" s="15"/>
      <c r="AL7" s="15"/>
      <c r="AM7" s="15"/>
    </row>
    <row r="8" spans="1:39" ht="14.1" customHeight="1" x14ac:dyDescent="0.25">
      <c r="A8" s="15" t="s">
        <v>383</v>
      </c>
      <c r="B8" s="15" t="s">
        <v>464</v>
      </c>
      <c r="C8" s="15" t="s">
        <v>465</v>
      </c>
      <c r="D8" s="15" t="s">
        <v>467</v>
      </c>
      <c r="E8" s="15"/>
      <c r="F8" s="19"/>
      <c r="G8" s="19"/>
      <c r="H8" s="25" t="s">
        <v>343</v>
      </c>
      <c r="I8" s="219">
        <f t="shared" si="0"/>
        <v>0</v>
      </c>
      <c r="J8" s="219">
        <f t="shared" si="1"/>
        <v>0</v>
      </c>
      <c r="K8" s="219">
        <f t="shared" si="2"/>
        <v>0</v>
      </c>
      <c r="L8" s="232">
        <f t="shared" si="3"/>
        <v>0</v>
      </c>
      <c r="M8" s="219">
        <f t="shared" si="4"/>
        <v>397528163.22705197</v>
      </c>
      <c r="N8" s="219">
        <f t="shared" si="5"/>
        <v>0</v>
      </c>
      <c r="O8" s="219">
        <f t="shared" si="6"/>
        <v>214707919.45257866</v>
      </c>
      <c r="P8" s="219">
        <f t="shared" si="7"/>
        <v>0</v>
      </c>
      <c r="Q8" s="219"/>
      <c r="R8" s="26"/>
      <c r="S8" s="26"/>
      <c r="T8" s="21"/>
      <c r="U8" s="21"/>
      <c r="V8" s="21"/>
      <c r="W8" s="21"/>
      <c r="X8" s="21"/>
      <c r="Y8" s="21"/>
      <c r="Z8" s="21"/>
      <c r="AA8" s="21"/>
      <c r="AB8" s="21"/>
      <c r="AC8" s="23"/>
      <c r="AD8" s="23">
        <v>397528163.22705197</v>
      </c>
      <c r="AE8" s="23">
        <v>0</v>
      </c>
      <c r="AF8" s="23"/>
      <c r="AG8" s="15"/>
      <c r="AH8" s="27">
        <v>214707919.45257866</v>
      </c>
      <c r="AI8" s="15"/>
      <c r="AJ8" s="15">
        <v>1</v>
      </c>
      <c r="AK8" s="15"/>
      <c r="AL8" s="15"/>
      <c r="AM8" s="15"/>
    </row>
    <row r="9" spans="1:39" ht="14.1" customHeight="1" x14ac:dyDescent="0.25">
      <c r="A9" s="15" t="s">
        <v>344</v>
      </c>
      <c r="B9" s="15" t="s">
        <v>464</v>
      </c>
      <c r="C9" s="15" t="s">
        <v>465</v>
      </c>
      <c r="D9" s="15" t="s">
        <v>468</v>
      </c>
      <c r="E9" s="15"/>
      <c r="F9" s="19"/>
      <c r="G9" s="19"/>
      <c r="H9" s="25" t="s">
        <v>343</v>
      </c>
      <c r="I9" s="219">
        <f t="shared" si="0"/>
        <v>0</v>
      </c>
      <c r="J9" s="219">
        <f t="shared" si="1"/>
        <v>0</v>
      </c>
      <c r="K9" s="219">
        <f t="shared" si="2"/>
        <v>0</v>
      </c>
      <c r="L9" s="232">
        <f t="shared" si="3"/>
        <v>0</v>
      </c>
      <c r="M9" s="219">
        <f t="shared" si="4"/>
        <v>304780849.35999978</v>
      </c>
      <c r="N9" s="219">
        <f t="shared" si="5"/>
        <v>0</v>
      </c>
      <c r="O9" s="219">
        <f t="shared" si="6"/>
        <v>256886599.36924022</v>
      </c>
      <c r="P9" s="219">
        <f t="shared" si="7"/>
        <v>0</v>
      </c>
      <c r="Q9" s="219"/>
      <c r="R9" s="26"/>
      <c r="S9" s="26"/>
      <c r="T9" s="21"/>
      <c r="U9" s="21"/>
      <c r="V9" s="21"/>
      <c r="W9" s="21"/>
      <c r="X9" s="21"/>
      <c r="Y9" s="21"/>
      <c r="Z9" s="21"/>
      <c r="AA9" s="21"/>
      <c r="AB9" s="21"/>
      <c r="AC9" s="23"/>
      <c r="AD9" s="23">
        <v>0</v>
      </c>
      <c r="AE9" s="23">
        <v>304780849.35999978</v>
      </c>
      <c r="AF9" s="23"/>
      <c r="AG9" s="15"/>
      <c r="AH9" s="27">
        <v>256886599.36924022</v>
      </c>
      <c r="AI9" s="15"/>
      <c r="AJ9" s="15"/>
      <c r="AK9" s="15"/>
      <c r="AL9" s="15"/>
      <c r="AM9" s="15"/>
    </row>
    <row r="10" spans="1:39" ht="14.1" customHeight="1" x14ac:dyDescent="0.25">
      <c r="A10" s="15" t="s">
        <v>344</v>
      </c>
      <c r="B10" s="15" t="s">
        <v>464</v>
      </c>
      <c r="C10" s="15" t="s">
        <v>465</v>
      </c>
      <c r="D10" s="15" t="s">
        <v>466</v>
      </c>
      <c r="E10" s="15"/>
      <c r="F10" s="19"/>
      <c r="G10" s="19"/>
      <c r="H10" s="25" t="s">
        <v>343</v>
      </c>
      <c r="I10" s="219">
        <f t="shared" si="0"/>
        <v>0</v>
      </c>
      <c r="J10" s="219">
        <f t="shared" si="1"/>
        <v>0</v>
      </c>
      <c r="K10" s="219">
        <f t="shared" si="2"/>
        <v>0</v>
      </c>
      <c r="L10" s="232">
        <f t="shared" si="3"/>
        <v>0</v>
      </c>
      <c r="M10" s="219">
        <f t="shared" si="4"/>
        <v>495952707.25997794</v>
      </c>
      <c r="N10" s="219">
        <f t="shared" si="5"/>
        <v>0</v>
      </c>
      <c r="O10" s="219">
        <f t="shared" si="6"/>
        <v>364637232.31962079</v>
      </c>
      <c r="P10" s="219">
        <f t="shared" si="7"/>
        <v>0</v>
      </c>
      <c r="Q10" s="219"/>
      <c r="R10" s="26"/>
      <c r="S10" s="26"/>
      <c r="T10" s="21"/>
      <c r="U10" s="21"/>
      <c r="V10" s="21"/>
      <c r="W10" s="21"/>
      <c r="X10" s="21"/>
      <c r="Y10" s="21"/>
      <c r="Z10" s="21"/>
      <c r="AA10" s="21"/>
      <c r="AB10" s="21"/>
      <c r="AC10" s="23">
        <v>495952707.25997794</v>
      </c>
      <c r="AD10" s="23">
        <v>0</v>
      </c>
      <c r="AE10" s="23">
        <v>0</v>
      </c>
      <c r="AF10" s="23">
        <v>150119776.62000006</v>
      </c>
      <c r="AG10" s="15"/>
      <c r="AH10" s="27">
        <v>364637232.31962079</v>
      </c>
      <c r="AI10" s="15"/>
      <c r="AJ10" s="15"/>
      <c r="AK10" s="15"/>
      <c r="AL10" s="15"/>
      <c r="AM10" s="15"/>
    </row>
    <row r="11" spans="1:39" ht="14.1" customHeight="1" x14ac:dyDescent="0.25">
      <c r="A11" s="15" t="s">
        <v>344</v>
      </c>
      <c r="B11" s="15" t="s">
        <v>464</v>
      </c>
      <c r="C11" s="15" t="s">
        <v>465</v>
      </c>
      <c r="D11" s="15" t="s">
        <v>467</v>
      </c>
      <c r="E11" s="15"/>
      <c r="F11" s="19"/>
      <c r="G11" s="19"/>
      <c r="H11" s="25" t="s">
        <v>343</v>
      </c>
      <c r="I11" s="219">
        <f t="shared" si="0"/>
        <v>0</v>
      </c>
      <c r="J11" s="219">
        <f t="shared" si="1"/>
        <v>0</v>
      </c>
      <c r="K11" s="219">
        <f t="shared" si="2"/>
        <v>0</v>
      </c>
      <c r="L11" s="232">
        <f t="shared" si="3"/>
        <v>0</v>
      </c>
      <c r="M11" s="219">
        <f t="shared" si="4"/>
        <v>756592001.80682433</v>
      </c>
      <c r="N11" s="219">
        <f t="shared" si="5"/>
        <v>0</v>
      </c>
      <c r="O11" s="219">
        <f t="shared" si="6"/>
        <v>439291285.33328962</v>
      </c>
      <c r="P11" s="219">
        <f t="shared" si="7"/>
        <v>0</v>
      </c>
      <c r="Q11" s="219"/>
      <c r="R11" s="26"/>
      <c r="S11" s="26"/>
      <c r="T11" s="21"/>
      <c r="U11" s="21"/>
      <c r="V11" s="21"/>
      <c r="W11" s="21"/>
      <c r="X11" s="21"/>
      <c r="Y11" s="21"/>
      <c r="Z11" s="21"/>
      <c r="AA11" s="21"/>
      <c r="AB11" s="21"/>
      <c r="AC11" s="23"/>
      <c r="AD11" s="23">
        <v>756592001.80682433</v>
      </c>
      <c r="AE11" s="23">
        <v>0</v>
      </c>
      <c r="AF11" s="23"/>
      <c r="AG11" s="15"/>
      <c r="AH11" s="27">
        <v>439291285.33328962</v>
      </c>
      <c r="AI11" s="15"/>
      <c r="AJ11" s="15">
        <v>1</v>
      </c>
      <c r="AK11" s="15"/>
      <c r="AL11" s="15"/>
      <c r="AM11" s="15"/>
    </row>
    <row r="12" spans="1:39" ht="14.1" customHeight="1" x14ac:dyDescent="0.25">
      <c r="A12" s="15" t="s">
        <v>135</v>
      </c>
      <c r="B12" s="15" t="s">
        <v>464</v>
      </c>
      <c r="C12" s="15" t="s">
        <v>465</v>
      </c>
      <c r="D12" s="15" t="s">
        <v>468</v>
      </c>
      <c r="E12" s="15"/>
      <c r="F12" s="19"/>
      <c r="G12" s="19"/>
      <c r="H12" s="25" t="s">
        <v>343</v>
      </c>
      <c r="I12" s="219">
        <f t="shared" si="0"/>
        <v>0</v>
      </c>
      <c r="J12" s="219">
        <f t="shared" si="1"/>
        <v>0</v>
      </c>
      <c r="K12" s="219">
        <f t="shared" si="2"/>
        <v>0</v>
      </c>
      <c r="L12" s="232">
        <f t="shared" si="3"/>
        <v>0</v>
      </c>
      <c r="M12" s="219">
        <f t="shared" si="4"/>
        <v>495583291.13000023</v>
      </c>
      <c r="N12" s="219">
        <f t="shared" si="5"/>
        <v>0</v>
      </c>
      <c r="O12" s="219">
        <f t="shared" si="6"/>
        <v>376762477.31162196</v>
      </c>
      <c r="P12" s="219">
        <f t="shared" si="7"/>
        <v>0</v>
      </c>
      <c r="Q12" s="219"/>
      <c r="R12" s="26"/>
      <c r="S12" s="26"/>
      <c r="T12" s="21"/>
      <c r="U12" s="21"/>
      <c r="V12" s="21"/>
      <c r="W12" s="21"/>
      <c r="X12" s="21"/>
      <c r="Y12" s="21"/>
      <c r="Z12" s="21"/>
      <c r="AA12" s="21"/>
      <c r="AB12" s="21"/>
      <c r="AC12" s="23"/>
      <c r="AD12" s="23">
        <v>0</v>
      </c>
      <c r="AE12" s="23">
        <v>495583291.13000023</v>
      </c>
      <c r="AF12" s="23"/>
      <c r="AG12" s="15"/>
      <c r="AH12" s="27">
        <v>376762477.31162196</v>
      </c>
      <c r="AI12" s="15"/>
      <c r="AJ12" s="15"/>
      <c r="AK12" s="15"/>
      <c r="AL12" s="15"/>
      <c r="AM12" s="15"/>
    </row>
    <row r="13" spans="1:39" ht="14.1" customHeight="1" x14ac:dyDescent="0.25">
      <c r="A13" s="15" t="s">
        <v>135</v>
      </c>
      <c r="B13" s="15" t="s">
        <v>464</v>
      </c>
      <c r="C13" s="15" t="s">
        <v>465</v>
      </c>
      <c r="D13" s="15" t="s">
        <v>466</v>
      </c>
      <c r="E13" s="15"/>
      <c r="F13" s="19"/>
      <c r="G13" s="19"/>
      <c r="H13" s="25" t="s">
        <v>343</v>
      </c>
      <c r="I13" s="219">
        <f t="shared" si="0"/>
        <v>0</v>
      </c>
      <c r="J13" s="219">
        <f t="shared" si="1"/>
        <v>0</v>
      </c>
      <c r="K13" s="219">
        <f t="shared" si="2"/>
        <v>0</v>
      </c>
      <c r="L13" s="232">
        <f t="shared" si="3"/>
        <v>0</v>
      </c>
      <c r="M13" s="219">
        <f t="shared" si="4"/>
        <v>412164553.66998988</v>
      </c>
      <c r="N13" s="219">
        <f t="shared" si="5"/>
        <v>0</v>
      </c>
      <c r="O13" s="219">
        <f t="shared" si="6"/>
        <v>162136070.93284538</v>
      </c>
      <c r="P13" s="219">
        <f t="shared" si="7"/>
        <v>0</v>
      </c>
      <c r="Q13" s="219"/>
      <c r="R13" s="26"/>
      <c r="S13" s="26"/>
      <c r="T13" s="21"/>
      <c r="U13" s="21"/>
      <c r="V13" s="21"/>
      <c r="W13" s="21"/>
      <c r="X13" s="21"/>
      <c r="Y13" s="21"/>
      <c r="Z13" s="21"/>
      <c r="AA13" s="21"/>
      <c r="AB13" s="21"/>
      <c r="AC13" s="23">
        <v>412164553.66998988</v>
      </c>
      <c r="AD13" s="23">
        <v>0</v>
      </c>
      <c r="AE13" s="23">
        <v>0</v>
      </c>
      <c r="AF13" s="23"/>
      <c r="AG13" s="15"/>
      <c r="AH13" s="27">
        <v>162136070.93284538</v>
      </c>
      <c r="AI13" s="15"/>
      <c r="AJ13" s="15"/>
      <c r="AK13" s="15"/>
      <c r="AL13" s="15"/>
      <c r="AM13" s="15"/>
    </row>
    <row r="14" spans="1:39" ht="14.1" customHeight="1" x14ac:dyDescent="0.25">
      <c r="A14" s="15" t="s">
        <v>135</v>
      </c>
      <c r="B14" s="15" t="s">
        <v>464</v>
      </c>
      <c r="C14" s="15" t="s">
        <v>465</v>
      </c>
      <c r="D14" s="15" t="s">
        <v>467</v>
      </c>
      <c r="E14" s="15"/>
      <c r="F14" s="19"/>
      <c r="G14" s="19"/>
      <c r="H14" s="25" t="s">
        <v>343</v>
      </c>
      <c r="I14" s="219">
        <f t="shared" si="0"/>
        <v>0</v>
      </c>
      <c r="J14" s="219">
        <f t="shared" si="1"/>
        <v>0</v>
      </c>
      <c r="K14" s="219">
        <f t="shared" si="2"/>
        <v>0</v>
      </c>
      <c r="L14" s="232">
        <f t="shared" si="3"/>
        <v>0</v>
      </c>
      <c r="M14" s="219">
        <f t="shared" si="4"/>
        <v>345434227.77508652</v>
      </c>
      <c r="N14" s="219">
        <f t="shared" si="5"/>
        <v>0</v>
      </c>
      <c r="O14" s="219">
        <f t="shared" si="6"/>
        <v>109997293.42112722</v>
      </c>
      <c r="P14" s="219">
        <f t="shared" si="7"/>
        <v>0</v>
      </c>
      <c r="Q14" s="219"/>
      <c r="R14" s="26"/>
      <c r="S14" s="26"/>
      <c r="T14" s="21"/>
      <c r="U14" s="21"/>
      <c r="V14" s="21"/>
      <c r="W14" s="21"/>
      <c r="X14" s="21"/>
      <c r="Y14" s="21"/>
      <c r="Z14" s="21"/>
      <c r="AA14" s="21"/>
      <c r="AB14" s="21"/>
      <c r="AC14" s="23"/>
      <c r="AD14" s="23">
        <v>345434227.77508652</v>
      </c>
      <c r="AE14" s="23">
        <v>0</v>
      </c>
      <c r="AF14" s="23"/>
      <c r="AG14" s="15"/>
      <c r="AH14" s="27">
        <v>109997293.42112722</v>
      </c>
      <c r="AI14" s="15"/>
      <c r="AJ14" s="15">
        <v>1</v>
      </c>
      <c r="AK14" s="15"/>
      <c r="AL14" s="15"/>
      <c r="AM14" s="15"/>
    </row>
    <row r="15" spans="1:39" ht="14.1" customHeight="1" x14ac:dyDescent="0.25">
      <c r="A15" s="15" t="s">
        <v>127</v>
      </c>
      <c r="B15" s="15" t="s">
        <v>464</v>
      </c>
      <c r="C15" s="15" t="s">
        <v>465</v>
      </c>
      <c r="D15" s="15" t="s">
        <v>468</v>
      </c>
      <c r="E15" s="15"/>
      <c r="F15" s="19"/>
      <c r="G15" s="19"/>
      <c r="H15" s="25" t="s">
        <v>343</v>
      </c>
      <c r="I15" s="219">
        <f t="shared" si="0"/>
        <v>0</v>
      </c>
      <c r="J15" s="219">
        <f t="shared" si="1"/>
        <v>0</v>
      </c>
      <c r="K15" s="219">
        <f t="shared" si="2"/>
        <v>0</v>
      </c>
      <c r="L15" s="232">
        <f t="shared" si="3"/>
        <v>0</v>
      </c>
      <c r="M15" s="219">
        <f t="shared" si="4"/>
        <v>432450294.59999979</v>
      </c>
      <c r="N15" s="219">
        <f t="shared" si="5"/>
        <v>0</v>
      </c>
      <c r="O15" s="219">
        <f t="shared" si="6"/>
        <v>399355093.71045363</v>
      </c>
      <c r="P15" s="219">
        <f t="shared" si="7"/>
        <v>0</v>
      </c>
      <c r="Q15" s="219"/>
      <c r="R15" s="26"/>
      <c r="S15" s="26"/>
      <c r="T15" s="21"/>
      <c r="U15" s="21"/>
      <c r="V15" s="21"/>
      <c r="W15" s="21"/>
      <c r="X15" s="21"/>
      <c r="Y15" s="21"/>
      <c r="Z15" s="21"/>
      <c r="AA15" s="21"/>
      <c r="AB15" s="21"/>
      <c r="AC15" s="23"/>
      <c r="AD15" s="23">
        <v>0</v>
      </c>
      <c r="AE15" s="23">
        <v>432450294.59999979</v>
      </c>
      <c r="AF15" s="23"/>
      <c r="AG15" s="15"/>
      <c r="AH15" s="27">
        <v>399355093.71045363</v>
      </c>
      <c r="AI15" s="15"/>
      <c r="AJ15" s="15"/>
      <c r="AK15" s="15"/>
      <c r="AL15" s="15"/>
      <c r="AM15" s="15"/>
    </row>
    <row r="16" spans="1:39" ht="14.1" customHeight="1" x14ac:dyDescent="0.25">
      <c r="A16" s="15" t="s">
        <v>127</v>
      </c>
      <c r="B16" s="15" t="s">
        <v>464</v>
      </c>
      <c r="C16" s="15" t="s">
        <v>465</v>
      </c>
      <c r="D16" s="15" t="s">
        <v>466</v>
      </c>
      <c r="E16" s="15"/>
      <c r="F16" s="19"/>
      <c r="G16" s="19"/>
      <c r="H16" s="25" t="s">
        <v>343</v>
      </c>
      <c r="I16" s="219">
        <f t="shared" si="0"/>
        <v>0</v>
      </c>
      <c r="J16" s="219">
        <f t="shared" si="1"/>
        <v>0</v>
      </c>
      <c r="K16" s="219">
        <f t="shared" si="2"/>
        <v>0</v>
      </c>
      <c r="L16" s="232">
        <f t="shared" si="3"/>
        <v>0</v>
      </c>
      <c r="M16" s="219">
        <f t="shared" si="4"/>
        <v>720357330.67994857</v>
      </c>
      <c r="N16" s="219">
        <f t="shared" si="5"/>
        <v>0</v>
      </c>
      <c r="O16" s="219">
        <f t="shared" si="6"/>
        <v>457684038.42423284</v>
      </c>
      <c r="P16" s="219">
        <f t="shared" si="7"/>
        <v>0</v>
      </c>
      <c r="Q16" s="219"/>
      <c r="R16" s="26"/>
      <c r="S16" s="26"/>
      <c r="T16" s="21"/>
      <c r="U16" s="21"/>
      <c r="V16" s="21"/>
      <c r="W16" s="21"/>
      <c r="X16" s="21"/>
      <c r="Y16" s="21"/>
      <c r="Z16" s="21"/>
      <c r="AA16" s="21"/>
      <c r="AB16" s="21"/>
      <c r="AC16" s="23">
        <v>720357330.67994857</v>
      </c>
      <c r="AD16" s="23">
        <v>0</v>
      </c>
      <c r="AE16" s="23">
        <v>0</v>
      </c>
      <c r="AF16" s="23">
        <v>177296908.53000015</v>
      </c>
      <c r="AG16" s="15"/>
      <c r="AH16" s="27">
        <v>457684038.42423284</v>
      </c>
      <c r="AI16" s="15">
        <v>1</v>
      </c>
      <c r="AJ16" s="15"/>
      <c r="AK16" s="15"/>
      <c r="AL16" s="15"/>
      <c r="AM16" s="15"/>
    </row>
    <row r="17" spans="1:40" ht="14.1" customHeight="1" x14ac:dyDescent="0.25">
      <c r="A17" s="15" t="s">
        <v>127</v>
      </c>
      <c r="B17" s="15" t="s">
        <v>464</v>
      </c>
      <c r="C17" s="15" t="s">
        <v>465</v>
      </c>
      <c r="D17" s="15" t="s">
        <v>467</v>
      </c>
      <c r="E17" s="15"/>
      <c r="F17" s="19"/>
      <c r="G17" s="19"/>
      <c r="H17" s="25" t="s">
        <v>343</v>
      </c>
      <c r="I17" s="219">
        <f t="shared" si="0"/>
        <v>0</v>
      </c>
      <c r="J17" s="219">
        <f t="shared" si="1"/>
        <v>0</v>
      </c>
      <c r="K17" s="219">
        <f t="shared" si="2"/>
        <v>0</v>
      </c>
      <c r="L17" s="232">
        <f t="shared" si="3"/>
        <v>0</v>
      </c>
      <c r="M17" s="219">
        <f t="shared" si="4"/>
        <v>678890851.25582337</v>
      </c>
      <c r="N17" s="219">
        <f t="shared" si="5"/>
        <v>0</v>
      </c>
      <c r="O17" s="219">
        <f t="shared" si="6"/>
        <v>317998083.97826719</v>
      </c>
      <c r="P17" s="219">
        <f t="shared" si="7"/>
        <v>0</v>
      </c>
      <c r="Q17" s="219"/>
      <c r="R17" s="26"/>
      <c r="S17" s="26"/>
      <c r="T17" s="21"/>
      <c r="U17" s="21"/>
      <c r="V17" s="21"/>
      <c r="W17" s="21"/>
      <c r="X17" s="21"/>
      <c r="Y17" s="21"/>
      <c r="Z17" s="21"/>
      <c r="AA17" s="21"/>
      <c r="AB17" s="21"/>
      <c r="AC17" s="23"/>
      <c r="AD17" s="23">
        <v>678890851.25582337</v>
      </c>
      <c r="AE17" s="23">
        <v>0</v>
      </c>
      <c r="AF17" s="23"/>
      <c r="AG17" s="15"/>
      <c r="AH17" s="27">
        <v>317998083.97826719</v>
      </c>
      <c r="AI17" s="15"/>
      <c r="AJ17" s="15">
        <v>2</v>
      </c>
      <c r="AK17" s="15"/>
      <c r="AL17" s="15"/>
      <c r="AM17" s="15"/>
    </row>
    <row r="18" spans="1:40" ht="14.1" customHeight="1" x14ac:dyDescent="0.25">
      <c r="A18" s="15" t="s">
        <v>123</v>
      </c>
      <c r="B18" s="15" t="s">
        <v>464</v>
      </c>
      <c r="C18" s="15" t="s">
        <v>465</v>
      </c>
      <c r="D18" s="15" t="s">
        <v>468</v>
      </c>
      <c r="E18" s="15"/>
      <c r="F18" s="19"/>
      <c r="G18" s="19"/>
      <c r="H18" s="25" t="s">
        <v>343</v>
      </c>
      <c r="I18" s="219">
        <f t="shared" si="0"/>
        <v>0</v>
      </c>
      <c r="J18" s="219">
        <f t="shared" si="1"/>
        <v>0</v>
      </c>
      <c r="K18" s="219">
        <f t="shared" si="2"/>
        <v>0</v>
      </c>
      <c r="L18" s="232">
        <f t="shared" si="3"/>
        <v>0</v>
      </c>
      <c r="M18" s="219">
        <f t="shared" si="4"/>
        <v>391069588.05999988</v>
      </c>
      <c r="N18" s="219">
        <f t="shared" si="5"/>
        <v>0</v>
      </c>
      <c r="O18" s="219">
        <f t="shared" si="6"/>
        <v>270622904.49078172</v>
      </c>
      <c r="P18" s="219">
        <f t="shared" si="7"/>
        <v>0</v>
      </c>
      <c r="Q18" s="219"/>
      <c r="R18" s="26"/>
      <c r="S18" s="26"/>
      <c r="T18" s="21"/>
      <c r="U18" s="21"/>
      <c r="V18" s="21"/>
      <c r="W18" s="21"/>
      <c r="X18" s="21"/>
      <c r="Y18" s="21"/>
      <c r="Z18" s="21"/>
      <c r="AA18" s="21"/>
      <c r="AB18" s="21"/>
      <c r="AC18" s="23"/>
      <c r="AD18" s="23">
        <v>0</v>
      </c>
      <c r="AE18" s="23">
        <v>391069588.05999988</v>
      </c>
      <c r="AF18" s="23"/>
      <c r="AG18" s="15"/>
      <c r="AH18" s="27">
        <v>270622904.49078172</v>
      </c>
      <c r="AI18" s="15"/>
      <c r="AJ18" s="15"/>
      <c r="AK18" s="15"/>
      <c r="AL18" s="15"/>
      <c r="AM18" s="15"/>
    </row>
    <row r="19" spans="1:40" ht="14.1" customHeight="1" x14ac:dyDescent="0.25">
      <c r="A19" s="15" t="s">
        <v>123</v>
      </c>
      <c r="B19" s="15" t="s">
        <v>464</v>
      </c>
      <c r="C19" s="15" t="s">
        <v>465</v>
      </c>
      <c r="D19" s="15" t="s">
        <v>466</v>
      </c>
      <c r="E19" s="15"/>
      <c r="F19" s="19"/>
      <c r="G19" s="19"/>
      <c r="H19" s="25" t="s">
        <v>343</v>
      </c>
      <c r="I19" s="219">
        <f t="shared" si="0"/>
        <v>0</v>
      </c>
      <c r="J19" s="219">
        <f t="shared" si="1"/>
        <v>0</v>
      </c>
      <c r="K19" s="219">
        <f t="shared" si="2"/>
        <v>0</v>
      </c>
      <c r="L19" s="232">
        <f t="shared" si="3"/>
        <v>0</v>
      </c>
      <c r="M19" s="219">
        <f t="shared" si="4"/>
        <v>405930565.79998654</v>
      </c>
      <c r="N19" s="219">
        <f t="shared" si="5"/>
        <v>0</v>
      </c>
      <c r="O19" s="219">
        <f t="shared" si="6"/>
        <v>239646523.62898597</v>
      </c>
      <c r="P19" s="219">
        <f t="shared" si="7"/>
        <v>0</v>
      </c>
      <c r="Q19" s="219"/>
      <c r="R19" s="26"/>
      <c r="S19" s="26"/>
      <c r="T19" s="21"/>
      <c r="U19" s="21"/>
      <c r="V19" s="21"/>
      <c r="W19" s="21"/>
      <c r="X19" s="21"/>
      <c r="Y19" s="21"/>
      <c r="Z19" s="21"/>
      <c r="AA19" s="21"/>
      <c r="AB19" s="21"/>
      <c r="AC19" s="23">
        <v>405930565.79998654</v>
      </c>
      <c r="AD19" s="23">
        <v>0</v>
      </c>
      <c r="AE19" s="23">
        <v>0</v>
      </c>
      <c r="AF19" s="23"/>
      <c r="AG19" s="15"/>
      <c r="AH19" s="27">
        <v>239646523.62898597</v>
      </c>
      <c r="AI19" s="15"/>
      <c r="AJ19" s="15"/>
      <c r="AK19" s="15"/>
      <c r="AL19" s="15"/>
      <c r="AM19" s="15"/>
    </row>
    <row r="20" spans="1:40" ht="14.1" customHeight="1" x14ac:dyDescent="0.25">
      <c r="A20" s="15" t="s">
        <v>123</v>
      </c>
      <c r="B20" s="15" t="s">
        <v>464</v>
      </c>
      <c r="C20" s="15" t="s">
        <v>465</v>
      </c>
      <c r="D20" s="15" t="s">
        <v>467</v>
      </c>
      <c r="E20" s="15"/>
      <c r="F20" s="19"/>
      <c r="G20" s="19"/>
      <c r="H20" s="25" t="s">
        <v>343</v>
      </c>
      <c r="I20" s="219">
        <f t="shared" si="0"/>
        <v>0</v>
      </c>
      <c r="J20" s="219">
        <f t="shared" si="1"/>
        <v>0</v>
      </c>
      <c r="K20" s="219">
        <f t="shared" si="2"/>
        <v>0</v>
      </c>
      <c r="L20" s="232">
        <f t="shared" si="3"/>
        <v>0</v>
      </c>
      <c r="M20" s="219">
        <f t="shared" si="4"/>
        <v>667958742.03163064</v>
      </c>
      <c r="N20" s="219">
        <f t="shared" si="5"/>
        <v>0</v>
      </c>
      <c r="O20" s="219">
        <f t="shared" si="6"/>
        <v>372755289.98508257</v>
      </c>
      <c r="P20" s="219">
        <f t="shared" si="7"/>
        <v>0</v>
      </c>
      <c r="Q20" s="219"/>
      <c r="R20" s="26"/>
      <c r="S20" s="26"/>
      <c r="T20" s="21"/>
      <c r="U20" s="21"/>
      <c r="V20" s="21"/>
      <c r="W20" s="21"/>
      <c r="X20" s="21"/>
      <c r="Y20" s="21"/>
      <c r="Z20" s="21"/>
      <c r="AA20" s="21"/>
      <c r="AB20" s="21"/>
      <c r="AC20" s="23"/>
      <c r="AD20" s="23">
        <v>667958742.03163064</v>
      </c>
      <c r="AE20" s="23">
        <v>0</v>
      </c>
      <c r="AF20" s="23"/>
      <c r="AG20" s="15"/>
      <c r="AH20" s="27">
        <v>372755289.98508257</v>
      </c>
      <c r="AI20" s="15"/>
      <c r="AJ20" s="15"/>
      <c r="AK20" s="15"/>
      <c r="AL20" s="15"/>
      <c r="AM20" s="15"/>
    </row>
    <row r="21" spans="1:40" ht="14.1" customHeight="1" x14ac:dyDescent="0.25">
      <c r="A21" s="15" t="s">
        <v>133</v>
      </c>
      <c r="B21" s="15" t="s">
        <v>464</v>
      </c>
      <c r="C21" s="15" t="s">
        <v>465</v>
      </c>
      <c r="D21" s="15" t="s">
        <v>468</v>
      </c>
      <c r="E21" s="15"/>
      <c r="F21" s="19"/>
      <c r="G21" s="19"/>
      <c r="H21" s="25" t="s">
        <v>343</v>
      </c>
      <c r="I21" s="219">
        <f t="shared" si="0"/>
        <v>0</v>
      </c>
      <c r="J21" s="219">
        <f t="shared" si="1"/>
        <v>0</v>
      </c>
      <c r="K21" s="219">
        <f t="shared" si="2"/>
        <v>0</v>
      </c>
      <c r="L21" s="232">
        <f t="shared" si="3"/>
        <v>0</v>
      </c>
      <c r="M21" s="219">
        <f t="shared" si="4"/>
        <v>193965373.34000003</v>
      </c>
      <c r="N21" s="219">
        <f t="shared" si="5"/>
        <v>0</v>
      </c>
      <c r="O21" s="219">
        <f t="shared" si="6"/>
        <v>92070658.783025026</v>
      </c>
      <c r="P21" s="219">
        <f t="shared" si="7"/>
        <v>0</v>
      </c>
      <c r="Q21" s="219"/>
      <c r="R21" s="26"/>
      <c r="S21" s="26"/>
      <c r="T21" s="21"/>
      <c r="U21" s="21"/>
      <c r="V21" s="21"/>
      <c r="W21" s="21"/>
      <c r="X21" s="21"/>
      <c r="Y21" s="21"/>
      <c r="Z21" s="21"/>
      <c r="AA21" s="21"/>
      <c r="AB21" s="21"/>
      <c r="AC21" s="23"/>
      <c r="AD21" s="23">
        <v>0</v>
      </c>
      <c r="AE21" s="23">
        <v>193965373.34000003</v>
      </c>
      <c r="AF21" s="23"/>
      <c r="AG21" s="15"/>
      <c r="AH21" s="27">
        <v>92070658.783025026</v>
      </c>
      <c r="AI21" s="15"/>
      <c r="AJ21" s="15"/>
      <c r="AK21" s="15"/>
      <c r="AL21" s="15"/>
      <c r="AM21" s="15"/>
    </row>
    <row r="22" spans="1:40" ht="14.1" customHeight="1" x14ac:dyDescent="0.25">
      <c r="A22" s="15" t="s">
        <v>133</v>
      </c>
      <c r="B22" s="15" t="s">
        <v>464</v>
      </c>
      <c r="C22" s="15" t="s">
        <v>465</v>
      </c>
      <c r="D22" s="15" t="s">
        <v>466</v>
      </c>
      <c r="E22" s="15"/>
      <c r="F22" s="19"/>
      <c r="G22" s="19"/>
      <c r="H22" s="25" t="s">
        <v>343</v>
      </c>
      <c r="I22" s="219">
        <f t="shared" si="0"/>
        <v>0</v>
      </c>
      <c r="J22" s="219">
        <f t="shared" si="1"/>
        <v>0</v>
      </c>
      <c r="K22" s="219">
        <f t="shared" si="2"/>
        <v>0</v>
      </c>
      <c r="L22" s="232">
        <f t="shared" si="3"/>
        <v>0</v>
      </c>
      <c r="M22" s="219">
        <f t="shared" si="4"/>
        <v>174182560.96000022</v>
      </c>
      <c r="N22" s="219">
        <f t="shared" si="5"/>
        <v>0</v>
      </c>
      <c r="O22" s="219">
        <f t="shared" si="6"/>
        <v>79420634.167939931</v>
      </c>
      <c r="P22" s="219">
        <f t="shared" si="7"/>
        <v>0</v>
      </c>
      <c r="Q22" s="219"/>
      <c r="R22" s="26"/>
      <c r="S22" s="26"/>
      <c r="T22" s="21"/>
      <c r="U22" s="21"/>
      <c r="V22" s="21"/>
      <c r="W22" s="21"/>
      <c r="X22" s="21"/>
      <c r="Y22" s="21"/>
      <c r="Z22" s="21"/>
      <c r="AA22" s="21"/>
      <c r="AB22" s="21"/>
      <c r="AC22" s="23">
        <v>174182560.96000022</v>
      </c>
      <c r="AD22" s="23">
        <v>0</v>
      </c>
      <c r="AE22" s="23">
        <v>0</v>
      </c>
      <c r="AF22" s="23">
        <v>39016657.920000002</v>
      </c>
      <c r="AG22" s="15"/>
      <c r="AH22" s="27">
        <v>79420634.167939931</v>
      </c>
      <c r="AI22" s="15"/>
      <c r="AJ22" s="15"/>
      <c r="AK22" s="15"/>
      <c r="AL22" s="15"/>
      <c r="AM22" s="15"/>
    </row>
    <row r="23" spans="1:40" ht="14.1" customHeight="1" x14ac:dyDescent="0.25">
      <c r="A23" s="15" t="s">
        <v>133</v>
      </c>
      <c r="B23" s="15" t="s">
        <v>464</v>
      </c>
      <c r="C23" s="15" t="s">
        <v>465</v>
      </c>
      <c r="D23" s="15" t="s">
        <v>467</v>
      </c>
      <c r="E23" s="15"/>
      <c r="F23" s="19"/>
      <c r="G23" s="19"/>
      <c r="H23" s="25" t="s">
        <v>343</v>
      </c>
      <c r="I23" s="219">
        <f t="shared" si="0"/>
        <v>0</v>
      </c>
      <c r="J23" s="219">
        <f t="shared" si="1"/>
        <v>0</v>
      </c>
      <c r="K23" s="219">
        <f t="shared" si="2"/>
        <v>0</v>
      </c>
      <c r="L23" s="232">
        <f t="shared" si="3"/>
        <v>0</v>
      </c>
      <c r="M23" s="219">
        <f t="shared" si="4"/>
        <v>202035965.30119014</v>
      </c>
      <c r="N23" s="219">
        <f t="shared" si="5"/>
        <v>0</v>
      </c>
      <c r="O23" s="219">
        <f t="shared" si="6"/>
        <v>75843903.12156269</v>
      </c>
      <c r="P23" s="219">
        <f t="shared" si="7"/>
        <v>0</v>
      </c>
      <c r="Q23" s="219"/>
      <c r="R23" s="26"/>
      <c r="S23" s="26"/>
      <c r="T23" s="21"/>
      <c r="U23" s="21"/>
      <c r="V23" s="21"/>
      <c r="W23" s="21"/>
      <c r="X23" s="21"/>
      <c r="Y23" s="21"/>
      <c r="Z23" s="21"/>
      <c r="AA23" s="21"/>
      <c r="AB23" s="21"/>
      <c r="AC23" s="23"/>
      <c r="AD23" s="23">
        <v>202035965.30119014</v>
      </c>
      <c r="AE23" s="23">
        <v>0</v>
      </c>
      <c r="AF23" s="23"/>
      <c r="AG23" s="15"/>
      <c r="AH23" s="27">
        <v>75843903.12156269</v>
      </c>
      <c r="AI23" s="15"/>
      <c r="AJ23" s="15"/>
      <c r="AK23" s="15"/>
      <c r="AL23" s="15"/>
      <c r="AM23" s="15"/>
    </row>
    <row r="24" spans="1:40" ht="14.1" customHeight="1" x14ac:dyDescent="0.25">
      <c r="A24" s="15" t="s">
        <v>139</v>
      </c>
      <c r="B24" s="15" t="s">
        <v>464</v>
      </c>
      <c r="C24" s="15" t="s">
        <v>465</v>
      </c>
      <c r="D24" s="15" t="s">
        <v>466</v>
      </c>
      <c r="E24" s="15"/>
      <c r="F24" s="19"/>
      <c r="G24" s="19"/>
      <c r="H24" s="25" t="s">
        <v>343</v>
      </c>
      <c r="I24" s="219">
        <f t="shared" si="0"/>
        <v>0</v>
      </c>
      <c r="J24" s="219">
        <f t="shared" si="1"/>
        <v>0</v>
      </c>
      <c r="K24" s="219">
        <f t="shared" si="2"/>
        <v>0</v>
      </c>
      <c r="L24" s="232">
        <f t="shared" si="3"/>
        <v>0</v>
      </c>
      <c r="M24" s="219">
        <f t="shared" si="4"/>
        <v>5973567.5699999966</v>
      </c>
      <c r="N24" s="219">
        <f t="shared" si="5"/>
        <v>0</v>
      </c>
      <c r="O24" s="219">
        <f t="shared" si="6"/>
        <v>1647175.0264981817</v>
      </c>
      <c r="P24" s="219">
        <f t="shared" si="7"/>
        <v>0</v>
      </c>
      <c r="Q24" s="219"/>
      <c r="R24" s="26"/>
      <c r="S24" s="26"/>
      <c r="T24" s="21"/>
      <c r="U24" s="21"/>
      <c r="V24" s="21"/>
      <c r="W24" s="21"/>
      <c r="X24" s="21"/>
      <c r="Y24" s="21"/>
      <c r="Z24" s="21"/>
      <c r="AA24" s="21"/>
      <c r="AB24" s="21"/>
      <c r="AC24" s="23">
        <v>5973567.5699999966</v>
      </c>
      <c r="AD24" s="23">
        <v>0</v>
      </c>
      <c r="AE24" s="23">
        <v>0</v>
      </c>
      <c r="AF24" s="23"/>
      <c r="AG24" s="15"/>
      <c r="AH24" s="27">
        <v>1647175.0264981817</v>
      </c>
      <c r="AI24" s="15"/>
      <c r="AJ24" s="15"/>
      <c r="AK24" s="15"/>
      <c r="AL24" s="15"/>
      <c r="AM24" s="15"/>
    </row>
    <row r="25" spans="1:40" ht="14.1" customHeight="1" x14ac:dyDescent="0.25">
      <c r="A25" s="15" t="s">
        <v>138</v>
      </c>
      <c r="B25" s="15" t="s">
        <v>464</v>
      </c>
      <c r="C25" s="15" t="s">
        <v>465</v>
      </c>
      <c r="D25" s="15" t="s">
        <v>466</v>
      </c>
      <c r="E25" s="15"/>
      <c r="F25" s="19"/>
      <c r="G25" s="19"/>
      <c r="H25" s="25" t="s">
        <v>343</v>
      </c>
      <c r="I25" s="219">
        <f t="shared" si="0"/>
        <v>0</v>
      </c>
      <c r="J25" s="219">
        <f t="shared" si="1"/>
        <v>0</v>
      </c>
      <c r="K25" s="219">
        <f t="shared" si="2"/>
        <v>0</v>
      </c>
      <c r="L25" s="232">
        <f t="shared" si="3"/>
        <v>0</v>
      </c>
      <c r="M25" s="219">
        <f t="shared" si="4"/>
        <v>96871737.75000076</v>
      </c>
      <c r="N25" s="219">
        <f t="shared" si="5"/>
        <v>0</v>
      </c>
      <c r="O25" s="219">
        <f t="shared" si="6"/>
        <v>58048939.991533652</v>
      </c>
      <c r="P25" s="219">
        <f t="shared" si="7"/>
        <v>0</v>
      </c>
      <c r="Q25" s="219"/>
      <c r="R25" s="26"/>
      <c r="S25" s="26"/>
      <c r="T25" s="21"/>
      <c r="U25" s="21"/>
      <c r="V25" s="21"/>
      <c r="W25" s="21"/>
      <c r="X25" s="21"/>
      <c r="Y25" s="21"/>
      <c r="Z25" s="21"/>
      <c r="AA25" s="21"/>
      <c r="AB25" s="21"/>
      <c r="AC25" s="23">
        <v>96871737.75000076</v>
      </c>
      <c r="AD25" s="23">
        <v>0</v>
      </c>
      <c r="AE25" s="23">
        <v>0</v>
      </c>
      <c r="AF25" s="23"/>
      <c r="AG25" s="15"/>
      <c r="AH25" s="27">
        <v>58048939.991533652</v>
      </c>
      <c r="AI25" s="15"/>
      <c r="AJ25" s="15"/>
      <c r="AK25" s="15"/>
      <c r="AL25" s="15"/>
      <c r="AM25" s="15"/>
    </row>
    <row r="26" spans="1:40" ht="14.1" customHeight="1" x14ac:dyDescent="0.25">
      <c r="A26" s="15" t="s">
        <v>138</v>
      </c>
      <c r="B26" s="15" t="s">
        <v>464</v>
      </c>
      <c r="C26" s="15" t="s">
        <v>465</v>
      </c>
      <c r="D26" s="15" t="s">
        <v>467</v>
      </c>
      <c r="E26" s="15"/>
      <c r="F26" s="19"/>
      <c r="G26" s="19"/>
      <c r="H26" s="25" t="s">
        <v>343</v>
      </c>
      <c r="I26" s="219">
        <f t="shared" si="0"/>
        <v>0</v>
      </c>
      <c r="J26" s="219">
        <f t="shared" si="1"/>
        <v>0</v>
      </c>
      <c r="K26" s="219">
        <f t="shared" si="2"/>
        <v>0</v>
      </c>
      <c r="L26" s="232">
        <f t="shared" si="3"/>
        <v>0</v>
      </c>
      <c r="M26" s="219">
        <f t="shared" si="4"/>
        <v>39857025.539999969</v>
      </c>
      <c r="N26" s="219">
        <f t="shared" si="5"/>
        <v>0</v>
      </c>
      <c r="O26" s="219">
        <f t="shared" si="6"/>
        <v>20859020.983254999</v>
      </c>
      <c r="P26" s="219">
        <f t="shared" si="7"/>
        <v>0</v>
      </c>
      <c r="Q26" s="219"/>
      <c r="R26" s="26"/>
      <c r="S26" s="26"/>
      <c r="T26" s="21"/>
      <c r="U26" s="21"/>
      <c r="V26" s="21"/>
      <c r="W26" s="21"/>
      <c r="X26" s="21"/>
      <c r="Y26" s="21"/>
      <c r="Z26" s="21"/>
      <c r="AA26" s="21"/>
      <c r="AB26" s="21"/>
      <c r="AC26" s="23"/>
      <c r="AD26" s="23">
        <v>39857025.539999969</v>
      </c>
      <c r="AE26" s="23">
        <v>0</v>
      </c>
      <c r="AF26" s="23"/>
      <c r="AG26" s="15"/>
      <c r="AH26" s="27">
        <v>20859020.983254999</v>
      </c>
      <c r="AI26" s="15"/>
      <c r="AJ26" s="15"/>
      <c r="AK26" s="15"/>
      <c r="AL26" s="15"/>
      <c r="AM26" s="15"/>
    </row>
    <row r="27" spans="1:40" ht="14.1" customHeight="1" x14ac:dyDescent="0.25">
      <c r="A27" s="15" t="s">
        <v>148</v>
      </c>
      <c r="B27" s="15" t="s">
        <v>464</v>
      </c>
      <c r="C27" s="15" t="s">
        <v>469</v>
      </c>
      <c r="D27" s="15" t="s">
        <v>470</v>
      </c>
      <c r="E27" s="15"/>
      <c r="F27" s="19"/>
      <c r="G27" s="19"/>
      <c r="H27" s="25" t="s">
        <v>343</v>
      </c>
      <c r="I27" s="219">
        <f t="shared" si="0"/>
        <v>973063.07778321125</v>
      </c>
      <c r="J27" s="219">
        <f t="shared" si="1"/>
        <v>0</v>
      </c>
      <c r="K27" s="219">
        <f t="shared" si="2"/>
        <v>0</v>
      </c>
      <c r="L27" s="232">
        <f t="shared" si="3"/>
        <v>0</v>
      </c>
      <c r="M27" s="219">
        <f t="shared" si="4"/>
        <v>0</v>
      </c>
      <c r="N27" s="219">
        <f t="shared" si="5"/>
        <v>0</v>
      </c>
      <c r="O27" s="219">
        <f t="shared" si="6"/>
        <v>0</v>
      </c>
      <c r="P27" s="219">
        <f t="shared" si="7"/>
        <v>0</v>
      </c>
      <c r="Q27" s="219"/>
      <c r="R27" s="26">
        <v>973063.07778321125</v>
      </c>
      <c r="S27" s="26"/>
      <c r="T27" s="21"/>
      <c r="U27" s="21"/>
      <c r="V27" s="21"/>
      <c r="W27" s="21"/>
      <c r="X27" s="21"/>
      <c r="Y27" s="21"/>
      <c r="Z27" s="21"/>
      <c r="AA27" s="21"/>
      <c r="AB27" s="21"/>
      <c r="AC27" s="23"/>
      <c r="AD27" s="23"/>
      <c r="AE27" s="23"/>
      <c r="AF27" s="23"/>
      <c r="AG27" s="15"/>
      <c r="AH27" s="15"/>
      <c r="AI27" s="15"/>
      <c r="AJ27" s="15"/>
      <c r="AK27" s="15"/>
      <c r="AL27" s="15"/>
      <c r="AM27" s="15"/>
      <c r="AN27" s="1" t="s">
        <v>471</v>
      </c>
    </row>
    <row r="28" spans="1:40" ht="14.1" customHeight="1" x14ac:dyDescent="0.25">
      <c r="A28" s="15" t="s">
        <v>146</v>
      </c>
      <c r="B28" s="15" t="s">
        <v>464</v>
      </c>
      <c r="C28" s="15" t="s">
        <v>469</v>
      </c>
      <c r="D28" s="15" t="s">
        <v>470</v>
      </c>
      <c r="E28" s="15"/>
      <c r="F28" s="19"/>
      <c r="G28" s="19"/>
      <c r="H28" s="25" t="s">
        <v>343</v>
      </c>
      <c r="I28" s="219">
        <f t="shared" si="0"/>
        <v>1284322.225178503</v>
      </c>
      <c r="J28" s="219">
        <f t="shared" si="1"/>
        <v>0</v>
      </c>
      <c r="K28" s="219">
        <f t="shared" si="2"/>
        <v>0</v>
      </c>
      <c r="L28" s="232">
        <f t="shared" si="3"/>
        <v>0</v>
      </c>
      <c r="M28" s="219">
        <f t="shared" si="4"/>
        <v>0</v>
      </c>
      <c r="N28" s="219">
        <f t="shared" si="5"/>
        <v>0</v>
      </c>
      <c r="O28" s="219">
        <f t="shared" si="6"/>
        <v>0</v>
      </c>
      <c r="P28" s="219">
        <f t="shared" si="7"/>
        <v>0</v>
      </c>
      <c r="Q28" s="219"/>
      <c r="R28" s="26">
        <v>1284322.225178503</v>
      </c>
      <c r="S28" s="26"/>
      <c r="T28" s="21"/>
      <c r="U28" s="21"/>
      <c r="V28" s="21"/>
      <c r="W28" s="21"/>
      <c r="X28" s="21"/>
      <c r="Y28" s="21"/>
      <c r="Z28" s="21"/>
      <c r="AA28" s="21"/>
      <c r="AB28" s="21"/>
      <c r="AC28" s="23"/>
      <c r="AD28" s="23"/>
      <c r="AE28" s="23"/>
      <c r="AF28" s="23"/>
      <c r="AG28" s="15"/>
      <c r="AH28" s="15"/>
      <c r="AI28" s="15"/>
      <c r="AJ28" s="15"/>
      <c r="AK28" s="15"/>
      <c r="AL28" s="15"/>
      <c r="AM28" s="15"/>
      <c r="AN28" s="1" t="s">
        <v>471</v>
      </c>
    </row>
    <row r="29" spans="1:40" ht="14.1" customHeight="1" x14ac:dyDescent="0.25">
      <c r="A29" s="15" t="s">
        <v>141</v>
      </c>
      <c r="B29" s="15" t="s">
        <v>464</v>
      </c>
      <c r="C29" s="15" t="s">
        <v>469</v>
      </c>
      <c r="D29" s="15" t="s">
        <v>470</v>
      </c>
      <c r="E29" s="15"/>
      <c r="F29" s="19"/>
      <c r="G29" s="19"/>
      <c r="H29" s="25" t="s">
        <v>343</v>
      </c>
      <c r="I29" s="219">
        <f t="shared" si="0"/>
        <v>1732123.1739566694</v>
      </c>
      <c r="J29" s="219">
        <f t="shared" si="1"/>
        <v>0</v>
      </c>
      <c r="K29" s="219">
        <f t="shared" si="2"/>
        <v>0</v>
      </c>
      <c r="L29" s="232">
        <f t="shared" si="3"/>
        <v>0</v>
      </c>
      <c r="M29" s="219">
        <f t="shared" si="4"/>
        <v>0</v>
      </c>
      <c r="N29" s="219">
        <f t="shared" si="5"/>
        <v>0</v>
      </c>
      <c r="O29" s="219">
        <f t="shared" si="6"/>
        <v>0</v>
      </c>
      <c r="P29" s="219">
        <f t="shared" si="7"/>
        <v>0</v>
      </c>
      <c r="Q29" s="219"/>
      <c r="R29" s="26">
        <v>1732123.1739566694</v>
      </c>
      <c r="S29" s="26"/>
      <c r="T29" s="21"/>
      <c r="U29" s="21"/>
      <c r="V29" s="21"/>
      <c r="W29" s="21"/>
      <c r="X29" s="21"/>
      <c r="Y29" s="21"/>
      <c r="Z29" s="21"/>
      <c r="AA29" s="21"/>
      <c r="AB29" s="21"/>
      <c r="AC29" s="23"/>
      <c r="AD29" s="23"/>
      <c r="AE29" s="23"/>
      <c r="AF29" s="23"/>
      <c r="AG29" s="15"/>
      <c r="AH29" s="15"/>
      <c r="AI29" s="15"/>
      <c r="AJ29" s="15"/>
      <c r="AK29" s="15"/>
      <c r="AL29" s="15"/>
      <c r="AM29" s="15"/>
      <c r="AN29" s="1" t="s">
        <v>471</v>
      </c>
    </row>
    <row r="30" spans="1:40" ht="14.1" customHeight="1" x14ac:dyDescent="0.25">
      <c r="A30" s="15" t="s">
        <v>145</v>
      </c>
      <c r="B30" s="15" t="s">
        <v>464</v>
      </c>
      <c r="C30" s="15" t="s">
        <v>469</v>
      </c>
      <c r="D30" s="15" t="s">
        <v>470</v>
      </c>
      <c r="E30" s="15"/>
      <c r="F30" s="19"/>
      <c r="G30" s="19"/>
      <c r="H30" s="25" t="s">
        <v>343</v>
      </c>
      <c r="I30" s="219">
        <f t="shared" si="0"/>
        <v>1183998.7546954493</v>
      </c>
      <c r="J30" s="219">
        <f t="shared" si="1"/>
        <v>0</v>
      </c>
      <c r="K30" s="219">
        <f t="shared" si="2"/>
        <v>0</v>
      </c>
      <c r="L30" s="232">
        <f t="shared" si="3"/>
        <v>0</v>
      </c>
      <c r="M30" s="219">
        <f t="shared" si="4"/>
        <v>0</v>
      </c>
      <c r="N30" s="219">
        <f t="shared" si="5"/>
        <v>0</v>
      </c>
      <c r="O30" s="219">
        <f t="shared" si="6"/>
        <v>0</v>
      </c>
      <c r="P30" s="219">
        <f t="shared" si="7"/>
        <v>0</v>
      </c>
      <c r="Q30" s="219"/>
      <c r="R30" s="26">
        <v>1183998.7546954493</v>
      </c>
      <c r="S30" s="26"/>
      <c r="T30" s="21"/>
      <c r="U30" s="21"/>
      <c r="V30" s="21"/>
      <c r="W30" s="21"/>
      <c r="X30" s="21"/>
      <c r="Y30" s="21"/>
      <c r="Z30" s="21"/>
      <c r="AA30" s="21"/>
      <c r="AB30" s="21"/>
      <c r="AC30" s="23"/>
      <c r="AD30" s="23"/>
      <c r="AE30" s="23"/>
      <c r="AF30" s="23"/>
      <c r="AG30" s="15"/>
      <c r="AH30" s="15"/>
      <c r="AI30" s="15"/>
      <c r="AJ30" s="15"/>
      <c r="AK30" s="15"/>
      <c r="AL30" s="15"/>
      <c r="AM30" s="15"/>
      <c r="AN30" s="1" t="s">
        <v>471</v>
      </c>
    </row>
    <row r="31" spans="1:40" ht="14.1" customHeight="1" x14ac:dyDescent="0.25">
      <c r="A31" s="15" t="s">
        <v>151</v>
      </c>
      <c r="B31" s="15" t="s">
        <v>464</v>
      </c>
      <c r="C31" s="15" t="s">
        <v>469</v>
      </c>
      <c r="D31" s="15" t="s">
        <v>470</v>
      </c>
      <c r="E31" s="15"/>
      <c r="F31" s="19"/>
      <c r="G31" s="19"/>
      <c r="H31" s="25" t="s">
        <v>343</v>
      </c>
      <c r="I31" s="219">
        <f t="shared" si="0"/>
        <v>4528032.3227405883</v>
      </c>
      <c r="J31" s="219">
        <f t="shared" si="1"/>
        <v>0</v>
      </c>
      <c r="K31" s="219">
        <f t="shared" si="2"/>
        <v>0</v>
      </c>
      <c r="L31" s="232">
        <f t="shared" si="3"/>
        <v>0</v>
      </c>
      <c r="M31" s="219">
        <f t="shared" si="4"/>
        <v>0</v>
      </c>
      <c r="N31" s="219">
        <f t="shared" si="5"/>
        <v>0</v>
      </c>
      <c r="O31" s="219">
        <f t="shared" si="6"/>
        <v>0</v>
      </c>
      <c r="P31" s="219">
        <f t="shared" si="7"/>
        <v>0</v>
      </c>
      <c r="Q31" s="219"/>
      <c r="R31" s="26">
        <v>4528032.3227405883</v>
      </c>
      <c r="S31" s="26"/>
      <c r="T31" s="21"/>
      <c r="U31" s="21"/>
      <c r="V31" s="21"/>
      <c r="W31" s="21"/>
      <c r="X31" s="21"/>
      <c r="Y31" s="21"/>
      <c r="Z31" s="21"/>
      <c r="AA31" s="21"/>
      <c r="AB31" s="21"/>
      <c r="AC31" s="23"/>
      <c r="AD31" s="23"/>
      <c r="AE31" s="23"/>
      <c r="AF31" s="23"/>
      <c r="AG31" s="15"/>
      <c r="AH31" s="15"/>
      <c r="AI31" s="15"/>
      <c r="AJ31" s="15"/>
      <c r="AK31" s="15"/>
      <c r="AL31" s="15"/>
      <c r="AM31" s="15"/>
      <c r="AN31" s="1" t="s">
        <v>471</v>
      </c>
    </row>
    <row r="32" spans="1:40" ht="14.1" customHeight="1" x14ac:dyDescent="0.25">
      <c r="A32" s="15" t="s">
        <v>118</v>
      </c>
      <c r="B32" s="15" t="s">
        <v>464</v>
      </c>
      <c r="C32" s="15" t="s">
        <v>469</v>
      </c>
      <c r="D32" s="15" t="s">
        <v>470</v>
      </c>
      <c r="E32" s="15"/>
      <c r="F32" s="19"/>
      <c r="G32" s="19"/>
      <c r="H32" s="25" t="s">
        <v>343</v>
      </c>
      <c r="I32" s="219">
        <f t="shared" si="0"/>
        <v>2979722.6300543761</v>
      </c>
      <c r="J32" s="219">
        <f t="shared" si="1"/>
        <v>0</v>
      </c>
      <c r="K32" s="219">
        <f t="shared" si="2"/>
        <v>0</v>
      </c>
      <c r="L32" s="232">
        <f t="shared" si="3"/>
        <v>0</v>
      </c>
      <c r="M32" s="219">
        <f t="shared" si="4"/>
        <v>0</v>
      </c>
      <c r="N32" s="219">
        <f t="shared" si="5"/>
        <v>0</v>
      </c>
      <c r="O32" s="219">
        <f t="shared" si="6"/>
        <v>0</v>
      </c>
      <c r="P32" s="219">
        <f t="shared" si="7"/>
        <v>0</v>
      </c>
      <c r="Q32" s="219"/>
      <c r="R32" s="26">
        <v>2979722.6300543761</v>
      </c>
      <c r="S32" s="26"/>
      <c r="T32" s="21"/>
      <c r="U32" s="21"/>
      <c r="V32" s="21"/>
      <c r="W32" s="21"/>
      <c r="X32" s="21"/>
      <c r="Y32" s="21"/>
      <c r="Z32" s="21"/>
      <c r="AA32" s="21"/>
      <c r="AB32" s="21"/>
      <c r="AC32" s="23"/>
      <c r="AD32" s="23"/>
      <c r="AE32" s="23"/>
      <c r="AF32" s="23"/>
      <c r="AG32" s="15"/>
      <c r="AH32" s="15"/>
      <c r="AI32" s="15"/>
      <c r="AJ32" s="15"/>
      <c r="AK32" s="15"/>
      <c r="AL32" s="15"/>
      <c r="AM32" s="15"/>
      <c r="AN32" s="1" t="s">
        <v>471</v>
      </c>
    </row>
    <row r="33" spans="1:40" ht="14.1" customHeight="1" x14ac:dyDescent="0.25">
      <c r="A33" s="15" t="s">
        <v>120</v>
      </c>
      <c r="B33" s="15" t="s">
        <v>464</v>
      </c>
      <c r="C33" s="15" t="s">
        <v>469</v>
      </c>
      <c r="D33" s="15" t="s">
        <v>470</v>
      </c>
      <c r="E33" s="15"/>
      <c r="F33" s="19"/>
      <c r="G33" s="19"/>
      <c r="H33" s="25" t="s">
        <v>343</v>
      </c>
      <c r="I33" s="219">
        <f t="shared" si="0"/>
        <v>4739026.6542581888</v>
      </c>
      <c r="J33" s="219">
        <f t="shared" si="1"/>
        <v>0</v>
      </c>
      <c r="K33" s="219">
        <f t="shared" si="2"/>
        <v>0</v>
      </c>
      <c r="L33" s="232">
        <f t="shared" si="3"/>
        <v>0</v>
      </c>
      <c r="M33" s="219">
        <f t="shared" si="4"/>
        <v>0</v>
      </c>
      <c r="N33" s="219">
        <f t="shared" si="5"/>
        <v>0</v>
      </c>
      <c r="O33" s="219">
        <f t="shared" si="6"/>
        <v>0</v>
      </c>
      <c r="P33" s="219">
        <f t="shared" si="7"/>
        <v>0</v>
      </c>
      <c r="Q33" s="219"/>
      <c r="R33" s="26">
        <v>4739026.6542581888</v>
      </c>
      <c r="S33" s="26"/>
      <c r="T33" s="21"/>
      <c r="U33" s="21"/>
      <c r="V33" s="21"/>
      <c r="W33" s="21"/>
      <c r="X33" s="21"/>
      <c r="Y33" s="21"/>
      <c r="Z33" s="21"/>
      <c r="AA33" s="21"/>
      <c r="AB33" s="21"/>
      <c r="AC33" s="23"/>
      <c r="AD33" s="23"/>
      <c r="AE33" s="23"/>
      <c r="AF33" s="23"/>
      <c r="AG33" s="15"/>
      <c r="AH33" s="15"/>
      <c r="AI33" s="15"/>
      <c r="AJ33" s="15"/>
      <c r="AK33" s="15"/>
      <c r="AL33" s="15"/>
      <c r="AM33" s="15"/>
      <c r="AN33" s="1" t="s">
        <v>471</v>
      </c>
    </row>
    <row r="34" spans="1:40" ht="14.1" customHeight="1" x14ac:dyDescent="0.25">
      <c r="A34" s="15" t="s">
        <v>102</v>
      </c>
      <c r="B34" s="15" t="s">
        <v>464</v>
      </c>
      <c r="C34" s="15" t="s">
        <v>469</v>
      </c>
      <c r="D34" s="15" t="s">
        <v>470</v>
      </c>
      <c r="E34" s="15"/>
      <c r="F34" s="19"/>
      <c r="G34" s="19"/>
      <c r="H34" s="25" t="s">
        <v>343</v>
      </c>
      <c r="I34" s="219">
        <f t="shared" si="0"/>
        <v>4968506.8015938709</v>
      </c>
      <c r="J34" s="219">
        <f t="shared" si="1"/>
        <v>0</v>
      </c>
      <c r="K34" s="219">
        <f t="shared" si="2"/>
        <v>0</v>
      </c>
      <c r="L34" s="232">
        <f t="shared" si="3"/>
        <v>0</v>
      </c>
      <c r="M34" s="219">
        <f t="shared" si="4"/>
        <v>0</v>
      </c>
      <c r="N34" s="219">
        <f t="shared" si="5"/>
        <v>0</v>
      </c>
      <c r="O34" s="219">
        <f t="shared" si="6"/>
        <v>0</v>
      </c>
      <c r="P34" s="219">
        <f t="shared" si="7"/>
        <v>0</v>
      </c>
      <c r="Q34" s="219"/>
      <c r="R34" s="26">
        <v>4968506.8015938709</v>
      </c>
      <c r="S34" s="26"/>
      <c r="T34" s="21"/>
      <c r="U34" s="21"/>
      <c r="V34" s="21"/>
      <c r="W34" s="21"/>
      <c r="X34" s="21"/>
      <c r="Y34" s="21"/>
      <c r="Z34" s="21"/>
      <c r="AA34" s="21"/>
      <c r="AB34" s="21"/>
      <c r="AC34" s="23"/>
      <c r="AD34" s="23"/>
      <c r="AE34" s="23"/>
      <c r="AF34" s="23"/>
      <c r="AG34" s="15"/>
      <c r="AH34" s="15"/>
      <c r="AI34" s="15"/>
      <c r="AJ34" s="15"/>
      <c r="AK34" s="15"/>
      <c r="AL34" s="15"/>
      <c r="AM34" s="15"/>
      <c r="AN34" s="1" t="s">
        <v>471</v>
      </c>
    </row>
    <row r="35" spans="1:40" ht="14.1" customHeight="1" x14ac:dyDescent="0.25">
      <c r="A35" s="15" t="s">
        <v>103</v>
      </c>
      <c r="B35" s="15" t="s">
        <v>464</v>
      </c>
      <c r="C35" s="15" t="s">
        <v>469</v>
      </c>
      <c r="D35" s="15" t="s">
        <v>470</v>
      </c>
      <c r="E35" s="15"/>
      <c r="F35" s="19"/>
      <c r="G35" s="19"/>
      <c r="H35" s="25" t="s">
        <v>343</v>
      </c>
      <c r="I35" s="219">
        <f t="shared" si="0"/>
        <v>2203885.0860657538</v>
      </c>
      <c r="J35" s="219">
        <f t="shared" si="1"/>
        <v>0</v>
      </c>
      <c r="K35" s="219">
        <f t="shared" si="2"/>
        <v>0</v>
      </c>
      <c r="L35" s="232">
        <f t="shared" si="3"/>
        <v>0</v>
      </c>
      <c r="M35" s="219">
        <f t="shared" si="4"/>
        <v>0</v>
      </c>
      <c r="N35" s="219">
        <f t="shared" si="5"/>
        <v>0</v>
      </c>
      <c r="O35" s="219">
        <f t="shared" si="6"/>
        <v>0</v>
      </c>
      <c r="P35" s="219">
        <f t="shared" si="7"/>
        <v>0</v>
      </c>
      <c r="Q35" s="219"/>
      <c r="R35" s="26">
        <v>2203885.0860657538</v>
      </c>
      <c r="S35" s="26"/>
      <c r="T35" s="21"/>
      <c r="U35" s="21"/>
      <c r="V35" s="21"/>
      <c r="W35" s="21"/>
      <c r="X35" s="21"/>
      <c r="Y35" s="21"/>
      <c r="Z35" s="21"/>
      <c r="AA35" s="21"/>
      <c r="AB35" s="21"/>
      <c r="AC35" s="23"/>
      <c r="AD35" s="23"/>
      <c r="AE35" s="23"/>
      <c r="AF35" s="23"/>
      <c r="AG35" s="15"/>
      <c r="AH35" s="15"/>
      <c r="AI35" s="15"/>
      <c r="AJ35" s="15"/>
      <c r="AK35" s="15"/>
      <c r="AL35" s="15"/>
      <c r="AM35" s="15"/>
      <c r="AN35" s="1" t="s">
        <v>471</v>
      </c>
    </row>
    <row r="36" spans="1:40" ht="14.1" customHeight="1" x14ac:dyDescent="0.25">
      <c r="A36" s="15" t="s">
        <v>105</v>
      </c>
      <c r="B36" s="15" t="s">
        <v>464</v>
      </c>
      <c r="C36" s="15" t="s">
        <v>469</v>
      </c>
      <c r="D36" s="15" t="s">
        <v>470</v>
      </c>
      <c r="E36" s="15"/>
      <c r="F36" s="19"/>
      <c r="G36" s="19"/>
      <c r="H36" s="25" t="s">
        <v>343</v>
      </c>
      <c r="I36" s="219">
        <f t="shared" si="0"/>
        <v>3042784.7210369534</v>
      </c>
      <c r="J36" s="219">
        <f t="shared" si="1"/>
        <v>0</v>
      </c>
      <c r="K36" s="219">
        <f t="shared" si="2"/>
        <v>0</v>
      </c>
      <c r="L36" s="232">
        <f t="shared" si="3"/>
        <v>0</v>
      </c>
      <c r="M36" s="219">
        <f t="shared" si="4"/>
        <v>0</v>
      </c>
      <c r="N36" s="219">
        <f t="shared" si="5"/>
        <v>0</v>
      </c>
      <c r="O36" s="219">
        <f t="shared" si="6"/>
        <v>0</v>
      </c>
      <c r="P36" s="219">
        <f t="shared" si="7"/>
        <v>0</v>
      </c>
      <c r="Q36" s="219"/>
      <c r="R36" s="26">
        <v>3042784.7210369534</v>
      </c>
      <c r="S36" s="26"/>
      <c r="T36" s="21"/>
      <c r="U36" s="21"/>
      <c r="V36" s="21"/>
      <c r="W36" s="21"/>
      <c r="X36" s="21"/>
      <c r="Y36" s="21"/>
      <c r="Z36" s="21"/>
      <c r="AA36" s="21"/>
      <c r="AB36" s="21"/>
      <c r="AC36" s="23"/>
      <c r="AD36" s="23"/>
      <c r="AE36" s="23"/>
      <c r="AF36" s="23"/>
      <c r="AG36" s="15"/>
      <c r="AH36" s="15"/>
      <c r="AI36" s="15"/>
      <c r="AJ36" s="15"/>
      <c r="AK36" s="15"/>
      <c r="AL36" s="15"/>
      <c r="AM36" s="15"/>
      <c r="AN36" s="1" t="s">
        <v>471</v>
      </c>
    </row>
    <row r="37" spans="1:40" ht="14.1" customHeight="1" x14ac:dyDescent="0.25">
      <c r="A37" s="15" t="s">
        <v>56</v>
      </c>
      <c r="B37" s="15" t="s">
        <v>464</v>
      </c>
      <c r="C37" s="15" t="s">
        <v>469</v>
      </c>
      <c r="D37" s="15" t="s">
        <v>470</v>
      </c>
      <c r="E37" s="15"/>
      <c r="F37" s="19"/>
      <c r="G37" s="19"/>
      <c r="H37" s="25" t="s">
        <v>343</v>
      </c>
      <c r="I37" s="219">
        <f t="shared" si="0"/>
        <v>4023682.8871393208</v>
      </c>
      <c r="J37" s="219">
        <f t="shared" si="1"/>
        <v>0</v>
      </c>
      <c r="K37" s="219">
        <f t="shared" si="2"/>
        <v>0</v>
      </c>
      <c r="L37" s="232">
        <f t="shared" si="3"/>
        <v>0</v>
      </c>
      <c r="M37" s="219">
        <f t="shared" si="4"/>
        <v>0</v>
      </c>
      <c r="N37" s="219">
        <f t="shared" si="5"/>
        <v>0</v>
      </c>
      <c r="O37" s="219">
        <f t="shared" si="6"/>
        <v>0</v>
      </c>
      <c r="P37" s="219">
        <f t="shared" si="7"/>
        <v>0</v>
      </c>
      <c r="Q37" s="219"/>
      <c r="R37" s="26">
        <v>4023682.8871393208</v>
      </c>
      <c r="S37" s="26"/>
      <c r="T37" s="21"/>
      <c r="U37" s="21"/>
      <c r="V37" s="21"/>
      <c r="W37" s="21"/>
      <c r="X37" s="21"/>
      <c r="Y37" s="21"/>
      <c r="Z37" s="21"/>
      <c r="AA37" s="21"/>
      <c r="AB37" s="21"/>
      <c r="AC37" s="23"/>
      <c r="AD37" s="23"/>
      <c r="AE37" s="23"/>
      <c r="AF37" s="23"/>
      <c r="AG37" s="15"/>
      <c r="AH37" s="15"/>
      <c r="AI37" s="15"/>
      <c r="AJ37" s="15"/>
      <c r="AK37" s="15"/>
      <c r="AL37" s="15"/>
      <c r="AM37" s="15"/>
      <c r="AN37" s="1" t="s">
        <v>471</v>
      </c>
    </row>
    <row r="38" spans="1:40" ht="14.1" customHeight="1" x14ac:dyDescent="0.25">
      <c r="A38" s="15" t="s">
        <v>55</v>
      </c>
      <c r="B38" s="15" t="s">
        <v>464</v>
      </c>
      <c r="C38" s="15" t="s">
        <v>469</v>
      </c>
      <c r="D38" s="15" t="s">
        <v>470</v>
      </c>
      <c r="E38" s="15"/>
      <c r="F38" s="19"/>
      <c r="G38" s="19"/>
      <c r="H38" s="25" t="s">
        <v>343</v>
      </c>
      <c r="I38" s="219">
        <f t="shared" si="0"/>
        <v>1880421.7924100675</v>
      </c>
      <c r="J38" s="219">
        <f t="shared" si="1"/>
        <v>0</v>
      </c>
      <c r="K38" s="219">
        <f t="shared" si="2"/>
        <v>0</v>
      </c>
      <c r="L38" s="232">
        <f t="shared" si="3"/>
        <v>0</v>
      </c>
      <c r="M38" s="219">
        <f t="shared" si="4"/>
        <v>0</v>
      </c>
      <c r="N38" s="219">
        <f t="shared" si="5"/>
        <v>0</v>
      </c>
      <c r="O38" s="219">
        <f t="shared" si="6"/>
        <v>0</v>
      </c>
      <c r="P38" s="219">
        <f t="shared" si="7"/>
        <v>0</v>
      </c>
      <c r="Q38" s="219"/>
      <c r="R38" s="26">
        <v>1880421.7924100675</v>
      </c>
      <c r="S38" s="26"/>
      <c r="T38" s="21"/>
      <c r="U38" s="21"/>
      <c r="V38" s="21"/>
      <c r="W38" s="21"/>
      <c r="X38" s="21"/>
      <c r="Y38" s="21"/>
      <c r="Z38" s="21"/>
      <c r="AA38" s="21"/>
      <c r="AB38" s="21"/>
      <c r="AC38" s="23"/>
      <c r="AD38" s="23"/>
      <c r="AE38" s="23"/>
      <c r="AF38" s="23"/>
      <c r="AG38" s="15"/>
      <c r="AH38" s="15"/>
      <c r="AI38" s="15"/>
      <c r="AJ38" s="15"/>
      <c r="AK38" s="15"/>
      <c r="AL38" s="15"/>
      <c r="AM38" s="15"/>
      <c r="AN38" s="1" t="s">
        <v>471</v>
      </c>
    </row>
    <row r="39" spans="1:40" ht="14.1" customHeight="1" x14ac:dyDescent="0.25">
      <c r="A39" s="15" t="s">
        <v>51</v>
      </c>
      <c r="B39" s="15" t="s">
        <v>464</v>
      </c>
      <c r="C39" s="15" t="s">
        <v>469</v>
      </c>
      <c r="D39" s="15" t="s">
        <v>470</v>
      </c>
      <c r="E39" s="15"/>
      <c r="F39" s="19"/>
      <c r="G39" s="19"/>
      <c r="H39" s="25" t="s">
        <v>343</v>
      </c>
      <c r="I39" s="219">
        <f t="shared" si="0"/>
        <v>27130505.840957616</v>
      </c>
      <c r="J39" s="219">
        <f t="shared" si="1"/>
        <v>0</v>
      </c>
      <c r="K39" s="219">
        <f t="shared" si="2"/>
        <v>0</v>
      </c>
      <c r="L39" s="232">
        <f t="shared" si="3"/>
        <v>0</v>
      </c>
      <c r="M39" s="219">
        <f t="shared" si="4"/>
        <v>0</v>
      </c>
      <c r="N39" s="219">
        <f t="shared" si="5"/>
        <v>0</v>
      </c>
      <c r="O39" s="219">
        <f t="shared" si="6"/>
        <v>0</v>
      </c>
      <c r="P39" s="219">
        <f t="shared" si="7"/>
        <v>0</v>
      </c>
      <c r="Q39" s="219"/>
      <c r="R39" s="26">
        <v>27130505.840957616</v>
      </c>
      <c r="S39" s="26"/>
      <c r="T39" s="21"/>
      <c r="U39" s="21"/>
      <c r="V39" s="21"/>
      <c r="W39" s="21"/>
      <c r="X39" s="21"/>
      <c r="Y39" s="21"/>
      <c r="Z39" s="21"/>
      <c r="AA39" s="21"/>
      <c r="AB39" s="21"/>
      <c r="AC39" s="23"/>
      <c r="AD39" s="23"/>
      <c r="AE39" s="23"/>
      <c r="AF39" s="23"/>
      <c r="AG39" s="15"/>
      <c r="AH39" s="15"/>
      <c r="AI39" s="15"/>
      <c r="AJ39" s="15"/>
      <c r="AK39" s="15"/>
      <c r="AL39" s="15"/>
      <c r="AM39" s="15"/>
      <c r="AN39" s="1" t="s">
        <v>471</v>
      </c>
    </row>
    <row r="40" spans="1:40" ht="14.1" customHeight="1" x14ac:dyDescent="0.25">
      <c r="A40" s="15" t="s">
        <v>55</v>
      </c>
      <c r="B40" s="15" t="s">
        <v>464</v>
      </c>
      <c r="C40" s="15" t="s">
        <v>469</v>
      </c>
      <c r="D40" s="15" t="s">
        <v>470</v>
      </c>
      <c r="E40" s="15"/>
      <c r="F40" s="19"/>
      <c r="G40" s="19"/>
      <c r="H40" s="25" t="s">
        <v>343</v>
      </c>
      <c r="I40" s="219">
        <f t="shared" si="0"/>
        <v>8930720.8169237953</v>
      </c>
      <c r="J40" s="219">
        <f t="shared" si="1"/>
        <v>0</v>
      </c>
      <c r="K40" s="219">
        <f t="shared" si="2"/>
        <v>0</v>
      </c>
      <c r="L40" s="232">
        <f t="shared" si="3"/>
        <v>0</v>
      </c>
      <c r="M40" s="219">
        <f t="shared" si="4"/>
        <v>0</v>
      </c>
      <c r="N40" s="219">
        <f t="shared" si="5"/>
        <v>0</v>
      </c>
      <c r="O40" s="219">
        <f t="shared" si="6"/>
        <v>0</v>
      </c>
      <c r="P40" s="219">
        <f t="shared" si="7"/>
        <v>0</v>
      </c>
      <c r="Q40" s="219"/>
      <c r="R40" s="26">
        <v>8930720.8169237953</v>
      </c>
      <c r="S40" s="26"/>
      <c r="T40" s="21"/>
      <c r="U40" s="21"/>
      <c r="V40" s="21"/>
      <c r="W40" s="21"/>
      <c r="X40" s="21"/>
      <c r="Y40" s="21"/>
      <c r="Z40" s="21"/>
      <c r="AA40" s="21"/>
      <c r="AB40" s="21"/>
      <c r="AC40" s="23"/>
      <c r="AD40" s="23"/>
      <c r="AE40" s="23"/>
      <c r="AF40" s="23"/>
      <c r="AG40" s="15"/>
      <c r="AH40" s="15"/>
      <c r="AI40" s="15"/>
      <c r="AJ40" s="15"/>
      <c r="AK40" s="15"/>
      <c r="AL40" s="15"/>
      <c r="AM40" s="15"/>
      <c r="AN40" s="1" t="s">
        <v>471</v>
      </c>
    </row>
    <row r="41" spans="1:40" ht="14.1" customHeight="1" x14ac:dyDescent="0.25">
      <c r="A41" s="15" t="s">
        <v>333</v>
      </c>
      <c r="B41" s="15" t="s">
        <v>464</v>
      </c>
      <c r="C41" s="15" t="s">
        <v>469</v>
      </c>
      <c r="D41" s="15" t="s">
        <v>470</v>
      </c>
      <c r="E41" s="15"/>
      <c r="F41" s="19"/>
      <c r="G41" s="19"/>
      <c r="H41" s="25" t="s">
        <v>472</v>
      </c>
      <c r="I41" s="219">
        <f t="shared" si="0"/>
        <v>193413695.79842499</v>
      </c>
      <c r="J41" s="219">
        <f t="shared" si="1"/>
        <v>0</v>
      </c>
      <c r="K41" s="219">
        <f t="shared" si="2"/>
        <v>0</v>
      </c>
      <c r="L41" s="232">
        <f t="shared" si="3"/>
        <v>0</v>
      </c>
      <c r="M41" s="219">
        <f t="shared" si="4"/>
        <v>0</v>
      </c>
      <c r="N41" s="219">
        <f t="shared" si="5"/>
        <v>0</v>
      </c>
      <c r="O41" s="219">
        <f t="shared" si="6"/>
        <v>0</v>
      </c>
      <c r="P41" s="219">
        <f t="shared" si="7"/>
        <v>0</v>
      </c>
      <c r="Q41" s="219"/>
      <c r="R41" s="26">
        <v>193413695.79842499</v>
      </c>
      <c r="S41" s="26"/>
      <c r="T41" s="21"/>
      <c r="U41" s="21"/>
      <c r="V41" s="21"/>
      <c r="W41" s="21"/>
      <c r="X41" s="21"/>
      <c r="Y41" s="21"/>
      <c r="Z41" s="21"/>
      <c r="AA41" s="21"/>
      <c r="AB41" s="21"/>
      <c r="AC41" s="23"/>
      <c r="AD41" s="23"/>
      <c r="AE41" s="23"/>
      <c r="AF41" s="23"/>
      <c r="AG41" s="15"/>
      <c r="AH41" s="15"/>
      <c r="AI41" s="15"/>
      <c r="AJ41" s="15"/>
      <c r="AK41" s="15"/>
      <c r="AL41" s="15"/>
      <c r="AM41" s="15"/>
      <c r="AN41" s="1" t="s">
        <v>471</v>
      </c>
    </row>
    <row r="42" spans="1:40" ht="14.1" customHeight="1" x14ac:dyDescent="0.25">
      <c r="A42" s="15" t="s">
        <v>22</v>
      </c>
      <c r="B42" s="15" t="s">
        <v>464</v>
      </c>
      <c r="C42" s="15" t="s">
        <v>469</v>
      </c>
      <c r="D42" s="15" t="s">
        <v>470</v>
      </c>
      <c r="E42" s="15"/>
      <c r="F42" s="19"/>
      <c r="G42" s="19"/>
      <c r="H42" s="25" t="s">
        <v>472</v>
      </c>
      <c r="I42" s="219">
        <f t="shared" si="0"/>
        <v>28521750.036892459</v>
      </c>
      <c r="J42" s="219">
        <f t="shared" si="1"/>
        <v>0</v>
      </c>
      <c r="K42" s="219">
        <f t="shared" si="2"/>
        <v>0</v>
      </c>
      <c r="L42" s="232">
        <f t="shared" si="3"/>
        <v>0</v>
      </c>
      <c r="M42" s="219">
        <f t="shared" si="4"/>
        <v>0</v>
      </c>
      <c r="N42" s="219">
        <f t="shared" si="5"/>
        <v>0</v>
      </c>
      <c r="O42" s="219">
        <f t="shared" si="6"/>
        <v>0</v>
      </c>
      <c r="P42" s="219">
        <f t="shared" si="7"/>
        <v>0</v>
      </c>
      <c r="Q42" s="219"/>
      <c r="R42" s="26">
        <v>28521750.036892459</v>
      </c>
      <c r="S42" s="26"/>
      <c r="T42" s="21"/>
      <c r="U42" s="21"/>
      <c r="V42" s="21"/>
      <c r="W42" s="21"/>
      <c r="X42" s="21"/>
      <c r="Y42" s="21"/>
      <c r="Z42" s="21"/>
      <c r="AA42" s="21"/>
      <c r="AB42" s="21"/>
      <c r="AC42" s="23"/>
      <c r="AD42" s="23"/>
      <c r="AE42" s="23"/>
      <c r="AF42" s="23"/>
      <c r="AG42" s="15"/>
      <c r="AH42" s="15"/>
      <c r="AI42" s="15"/>
      <c r="AJ42" s="15"/>
      <c r="AK42" s="15"/>
      <c r="AL42" s="15"/>
      <c r="AM42" s="15"/>
      <c r="AN42" s="1" t="s">
        <v>471</v>
      </c>
    </row>
    <row r="43" spans="1:40" ht="14.1" customHeight="1" x14ac:dyDescent="0.25">
      <c r="A43" s="15" t="s">
        <v>21</v>
      </c>
      <c r="B43" s="15" t="s">
        <v>464</v>
      </c>
      <c r="C43" s="15" t="s">
        <v>469</v>
      </c>
      <c r="D43" s="15" t="s">
        <v>470</v>
      </c>
      <c r="E43" s="15"/>
      <c r="F43" s="19"/>
      <c r="G43" s="19"/>
      <c r="H43" s="25" t="s">
        <v>472</v>
      </c>
      <c r="I43" s="219">
        <f t="shared" si="0"/>
        <v>1384314.2112077558</v>
      </c>
      <c r="J43" s="219">
        <f t="shared" si="1"/>
        <v>0</v>
      </c>
      <c r="K43" s="219">
        <f t="shared" si="2"/>
        <v>0</v>
      </c>
      <c r="L43" s="232">
        <f t="shared" si="3"/>
        <v>0</v>
      </c>
      <c r="M43" s="219">
        <f t="shared" si="4"/>
        <v>0</v>
      </c>
      <c r="N43" s="219">
        <f t="shared" si="5"/>
        <v>0</v>
      </c>
      <c r="O43" s="219">
        <f t="shared" si="6"/>
        <v>0</v>
      </c>
      <c r="P43" s="219">
        <f t="shared" si="7"/>
        <v>0</v>
      </c>
      <c r="Q43" s="219"/>
      <c r="R43" s="26">
        <v>1384314.2112077558</v>
      </c>
      <c r="S43" s="26"/>
      <c r="T43" s="21"/>
      <c r="U43" s="21"/>
      <c r="V43" s="21"/>
      <c r="W43" s="21"/>
      <c r="X43" s="21"/>
      <c r="Y43" s="21"/>
      <c r="Z43" s="21"/>
      <c r="AA43" s="21"/>
      <c r="AB43" s="21"/>
      <c r="AC43" s="23"/>
      <c r="AD43" s="23"/>
      <c r="AE43" s="23"/>
      <c r="AF43" s="23"/>
      <c r="AG43" s="15"/>
      <c r="AH43" s="15"/>
      <c r="AI43" s="15"/>
      <c r="AJ43" s="15"/>
      <c r="AK43" s="15"/>
      <c r="AL43" s="15"/>
      <c r="AM43" s="15"/>
      <c r="AN43" s="1" t="s">
        <v>471</v>
      </c>
    </row>
    <row r="44" spans="1:40" ht="14.1" customHeight="1" x14ac:dyDescent="0.25">
      <c r="A44" s="15" t="s">
        <v>17</v>
      </c>
      <c r="B44" s="15" t="s">
        <v>464</v>
      </c>
      <c r="C44" s="15" t="s">
        <v>469</v>
      </c>
      <c r="D44" s="15" t="s">
        <v>470</v>
      </c>
      <c r="E44" s="15"/>
      <c r="F44" s="19"/>
      <c r="G44" s="19"/>
      <c r="H44" s="25" t="s">
        <v>472</v>
      </c>
      <c r="I44" s="219">
        <f t="shared" si="0"/>
        <v>22746542.853066351</v>
      </c>
      <c r="J44" s="219">
        <f t="shared" si="1"/>
        <v>0</v>
      </c>
      <c r="K44" s="219">
        <f t="shared" si="2"/>
        <v>0</v>
      </c>
      <c r="L44" s="232">
        <f t="shared" si="3"/>
        <v>0</v>
      </c>
      <c r="M44" s="219">
        <f t="shared" si="4"/>
        <v>0</v>
      </c>
      <c r="N44" s="219">
        <f t="shared" si="5"/>
        <v>0</v>
      </c>
      <c r="O44" s="219">
        <f t="shared" si="6"/>
        <v>0</v>
      </c>
      <c r="P44" s="219">
        <f t="shared" si="7"/>
        <v>0</v>
      </c>
      <c r="Q44" s="219"/>
      <c r="R44" s="26">
        <v>22746542.853066351</v>
      </c>
      <c r="S44" s="26"/>
      <c r="T44" s="21"/>
      <c r="U44" s="21"/>
      <c r="V44" s="21"/>
      <c r="W44" s="21"/>
      <c r="X44" s="21"/>
      <c r="Y44" s="21"/>
      <c r="Z44" s="21"/>
      <c r="AA44" s="21"/>
      <c r="AB44" s="21"/>
      <c r="AC44" s="23"/>
      <c r="AD44" s="23"/>
      <c r="AE44" s="23"/>
      <c r="AF44" s="23"/>
      <c r="AG44" s="15"/>
      <c r="AH44" s="15"/>
      <c r="AI44" s="15"/>
      <c r="AJ44" s="15"/>
      <c r="AK44" s="15"/>
      <c r="AL44" s="15"/>
      <c r="AM44" s="15"/>
      <c r="AN44" s="1" t="s">
        <v>471</v>
      </c>
    </row>
    <row r="45" spans="1:40" ht="14.1" customHeight="1" x14ac:dyDescent="0.25">
      <c r="A45" s="15" t="s">
        <v>20</v>
      </c>
      <c r="B45" s="15" t="s">
        <v>464</v>
      </c>
      <c r="C45" s="15" t="s">
        <v>469</v>
      </c>
      <c r="D45" s="15" t="s">
        <v>470</v>
      </c>
      <c r="E45" s="15"/>
      <c r="F45" s="19"/>
      <c r="G45" s="19"/>
      <c r="H45" s="25" t="s">
        <v>472</v>
      </c>
      <c r="I45" s="219">
        <f t="shared" si="0"/>
        <v>2348828.3742962028</v>
      </c>
      <c r="J45" s="219">
        <f t="shared" si="1"/>
        <v>0</v>
      </c>
      <c r="K45" s="219">
        <f t="shared" si="2"/>
        <v>0</v>
      </c>
      <c r="L45" s="232">
        <f t="shared" si="3"/>
        <v>0</v>
      </c>
      <c r="M45" s="219">
        <f t="shared" si="4"/>
        <v>0</v>
      </c>
      <c r="N45" s="219">
        <f t="shared" si="5"/>
        <v>0</v>
      </c>
      <c r="O45" s="219">
        <f t="shared" si="6"/>
        <v>0</v>
      </c>
      <c r="P45" s="219">
        <f t="shared" si="7"/>
        <v>0</v>
      </c>
      <c r="Q45" s="219"/>
      <c r="R45" s="26">
        <v>2348828.3742962028</v>
      </c>
      <c r="S45" s="26"/>
      <c r="T45" s="21"/>
      <c r="U45" s="21"/>
      <c r="V45" s="21"/>
      <c r="W45" s="21"/>
      <c r="X45" s="21"/>
      <c r="Y45" s="21"/>
      <c r="Z45" s="21"/>
      <c r="AA45" s="21"/>
      <c r="AB45" s="21"/>
      <c r="AC45" s="23"/>
      <c r="AD45" s="23"/>
      <c r="AE45" s="23"/>
      <c r="AF45" s="23"/>
      <c r="AG45" s="15"/>
      <c r="AH45" s="15"/>
      <c r="AI45" s="15"/>
      <c r="AJ45" s="15"/>
      <c r="AK45" s="15"/>
      <c r="AL45" s="15"/>
      <c r="AM45" s="15"/>
      <c r="AN45" s="1" t="s">
        <v>471</v>
      </c>
    </row>
    <row r="46" spans="1:40" ht="14.1" customHeight="1" x14ac:dyDescent="0.25">
      <c r="A46" s="15" t="s">
        <v>150</v>
      </c>
      <c r="B46" s="15" t="s">
        <v>464</v>
      </c>
      <c r="C46" s="15" t="s">
        <v>469</v>
      </c>
      <c r="D46" s="15" t="s">
        <v>470</v>
      </c>
      <c r="E46" s="15"/>
      <c r="F46" s="19"/>
      <c r="G46" s="19"/>
      <c r="H46" s="25" t="s">
        <v>472</v>
      </c>
      <c r="I46" s="219">
        <f t="shared" si="0"/>
        <v>1595653.2482846803</v>
      </c>
      <c r="J46" s="219">
        <f t="shared" si="1"/>
        <v>0</v>
      </c>
      <c r="K46" s="219">
        <f t="shared" si="2"/>
        <v>0</v>
      </c>
      <c r="L46" s="232">
        <f t="shared" si="3"/>
        <v>0</v>
      </c>
      <c r="M46" s="219">
        <f t="shared" si="4"/>
        <v>0</v>
      </c>
      <c r="N46" s="219">
        <f t="shared" si="5"/>
        <v>0</v>
      </c>
      <c r="O46" s="219">
        <f t="shared" si="6"/>
        <v>0</v>
      </c>
      <c r="P46" s="219">
        <f t="shared" si="7"/>
        <v>0</v>
      </c>
      <c r="Q46" s="219"/>
      <c r="R46" s="26">
        <v>1595653.2482846803</v>
      </c>
      <c r="S46" s="26"/>
      <c r="T46" s="21"/>
      <c r="U46" s="21"/>
      <c r="V46" s="21"/>
      <c r="W46" s="21"/>
      <c r="X46" s="21"/>
      <c r="Y46" s="21"/>
      <c r="Z46" s="21"/>
      <c r="AA46" s="21"/>
      <c r="AB46" s="21"/>
      <c r="AC46" s="23"/>
      <c r="AD46" s="23"/>
      <c r="AE46" s="23"/>
      <c r="AF46" s="23"/>
      <c r="AG46" s="15"/>
      <c r="AH46" s="15"/>
      <c r="AI46" s="15"/>
      <c r="AJ46" s="15"/>
      <c r="AK46" s="15"/>
      <c r="AL46" s="15"/>
      <c r="AM46" s="15"/>
      <c r="AN46" s="1" t="s">
        <v>471</v>
      </c>
    </row>
    <row r="47" spans="1:40" ht="14.1" customHeight="1" x14ac:dyDescent="0.25">
      <c r="A47" s="15" t="s">
        <v>18</v>
      </c>
      <c r="B47" s="15" t="s">
        <v>464</v>
      </c>
      <c r="C47" s="15" t="s">
        <v>469</v>
      </c>
      <c r="D47" s="15" t="s">
        <v>470</v>
      </c>
      <c r="E47" s="15"/>
      <c r="F47" s="19"/>
      <c r="G47" s="19"/>
      <c r="H47" s="25" t="s">
        <v>472</v>
      </c>
      <c r="I47" s="219">
        <f t="shared" si="0"/>
        <v>11732044.909700001</v>
      </c>
      <c r="J47" s="219">
        <f t="shared" si="1"/>
        <v>0</v>
      </c>
      <c r="K47" s="219">
        <f t="shared" si="2"/>
        <v>0</v>
      </c>
      <c r="L47" s="232">
        <f t="shared" si="3"/>
        <v>0</v>
      </c>
      <c r="M47" s="219">
        <f t="shared" si="4"/>
        <v>0</v>
      </c>
      <c r="N47" s="219">
        <f t="shared" si="5"/>
        <v>0</v>
      </c>
      <c r="O47" s="219">
        <f t="shared" si="6"/>
        <v>0</v>
      </c>
      <c r="P47" s="219">
        <f t="shared" si="7"/>
        <v>0</v>
      </c>
      <c r="Q47" s="219"/>
      <c r="R47" s="26">
        <v>11732044.909700001</v>
      </c>
      <c r="S47" s="26"/>
      <c r="T47" s="21"/>
      <c r="U47" s="21"/>
      <c r="V47" s="21"/>
      <c r="W47" s="21"/>
      <c r="X47" s="21"/>
      <c r="Y47" s="21"/>
      <c r="Z47" s="21"/>
      <c r="AA47" s="21"/>
      <c r="AB47" s="21"/>
      <c r="AC47" s="23"/>
      <c r="AD47" s="23"/>
      <c r="AE47" s="23"/>
      <c r="AF47" s="23"/>
      <c r="AG47" s="15"/>
      <c r="AH47" s="15"/>
      <c r="AI47" s="15"/>
      <c r="AJ47" s="15"/>
      <c r="AK47" s="15"/>
      <c r="AL47" s="15"/>
      <c r="AM47" s="15"/>
      <c r="AN47" s="1" t="s">
        <v>471</v>
      </c>
    </row>
    <row r="48" spans="1:40" ht="14.1" customHeight="1" x14ac:dyDescent="0.25">
      <c r="A48" s="15" t="s">
        <v>383</v>
      </c>
      <c r="B48" s="15" t="s">
        <v>464</v>
      </c>
      <c r="C48" s="15" t="s">
        <v>469</v>
      </c>
      <c r="D48" s="15" t="s">
        <v>470</v>
      </c>
      <c r="E48" s="15"/>
      <c r="F48" s="19"/>
      <c r="G48" s="19"/>
      <c r="H48" s="25" t="s">
        <v>343</v>
      </c>
      <c r="I48" s="219">
        <f t="shared" si="0"/>
        <v>153865470.28550819</v>
      </c>
      <c r="J48" s="219">
        <f t="shared" si="1"/>
        <v>0</v>
      </c>
      <c r="K48" s="219">
        <f t="shared" si="2"/>
        <v>0</v>
      </c>
      <c r="L48" s="232">
        <f t="shared" si="3"/>
        <v>0</v>
      </c>
      <c r="M48" s="219">
        <f t="shared" si="4"/>
        <v>0</v>
      </c>
      <c r="N48" s="219">
        <f t="shared" si="5"/>
        <v>0</v>
      </c>
      <c r="O48" s="219">
        <f t="shared" si="6"/>
        <v>0</v>
      </c>
      <c r="P48" s="219">
        <f t="shared" si="7"/>
        <v>0</v>
      </c>
      <c r="Q48" s="219"/>
      <c r="R48" s="26">
        <v>153865470.28550819</v>
      </c>
      <c r="S48" s="26"/>
      <c r="T48" s="21"/>
      <c r="U48" s="21"/>
      <c r="V48" s="21"/>
      <c r="W48" s="21"/>
      <c r="X48" s="21"/>
      <c r="Y48" s="21"/>
      <c r="Z48" s="21"/>
      <c r="AA48" s="21"/>
      <c r="AB48" s="21"/>
      <c r="AC48" s="23"/>
      <c r="AD48" s="23"/>
      <c r="AE48" s="23"/>
      <c r="AF48" s="23"/>
      <c r="AG48" s="15"/>
      <c r="AH48" s="15"/>
      <c r="AI48" s="15"/>
      <c r="AJ48" s="15"/>
      <c r="AK48" s="15"/>
      <c r="AL48" s="15"/>
      <c r="AM48" s="15"/>
      <c r="AN48" s="1" t="s">
        <v>471</v>
      </c>
    </row>
    <row r="49" spans="1:40" ht="14.1" customHeight="1" x14ac:dyDescent="0.25">
      <c r="A49" s="15" t="s">
        <v>344</v>
      </c>
      <c r="B49" s="15" t="s">
        <v>464</v>
      </c>
      <c r="C49" s="15" t="s">
        <v>469</v>
      </c>
      <c r="D49" s="15" t="s">
        <v>470</v>
      </c>
      <c r="E49" s="15"/>
      <c r="F49" s="19"/>
      <c r="G49" s="19"/>
      <c r="H49" s="25" t="s">
        <v>343</v>
      </c>
      <c r="I49" s="219">
        <f t="shared" si="0"/>
        <v>300562568.50841665</v>
      </c>
      <c r="J49" s="219">
        <f t="shared" si="1"/>
        <v>0</v>
      </c>
      <c r="K49" s="219">
        <f t="shared" si="2"/>
        <v>0</v>
      </c>
      <c r="L49" s="232">
        <f t="shared" si="3"/>
        <v>0</v>
      </c>
      <c r="M49" s="219">
        <f t="shared" si="4"/>
        <v>0</v>
      </c>
      <c r="N49" s="219">
        <f t="shared" si="5"/>
        <v>0</v>
      </c>
      <c r="O49" s="219">
        <f t="shared" si="6"/>
        <v>0</v>
      </c>
      <c r="P49" s="219">
        <f t="shared" si="7"/>
        <v>0</v>
      </c>
      <c r="Q49" s="219"/>
      <c r="R49" s="26">
        <v>300562568.50841665</v>
      </c>
      <c r="S49" s="26"/>
      <c r="T49" s="21"/>
      <c r="U49" s="21"/>
      <c r="V49" s="21"/>
      <c r="W49" s="21"/>
      <c r="X49" s="21"/>
      <c r="Y49" s="21"/>
      <c r="Z49" s="21"/>
      <c r="AA49" s="21"/>
      <c r="AB49" s="21"/>
      <c r="AC49" s="23"/>
      <c r="AD49" s="23"/>
      <c r="AE49" s="23"/>
      <c r="AF49" s="23"/>
      <c r="AG49" s="15"/>
      <c r="AH49" s="15"/>
      <c r="AI49" s="15"/>
      <c r="AJ49" s="15"/>
      <c r="AK49" s="15"/>
      <c r="AL49" s="15"/>
      <c r="AM49" s="15"/>
      <c r="AN49" s="1" t="s">
        <v>471</v>
      </c>
    </row>
    <row r="50" spans="1:40" ht="14.1" customHeight="1" x14ac:dyDescent="0.25">
      <c r="A50" s="15" t="s">
        <v>135</v>
      </c>
      <c r="B50" s="15" t="s">
        <v>464</v>
      </c>
      <c r="C50" s="15" t="s">
        <v>469</v>
      </c>
      <c r="D50" s="15" t="s">
        <v>470</v>
      </c>
      <c r="E50" s="15"/>
      <c r="F50" s="19"/>
      <c r="G50" s="19"/>
      <c r="H50" s="25" t="s">
        <v>343</v>
      </c>
      <c r="I50" s="219">
        <f t="shared" si="0"/>
        <v>49400893.391934566</v>
      </c>
      <c r="J50" s="219">
        <f t="shared" si="1"/>
        <v>0</v>
      </c>
      <c r="K50" s="219">
        <f t="shared" si="2"/>
        <v>0</v>
      </c>
      <c r="L50" s="232">
        <f t="shared" si="3"/>
        <v>0</v>
      </c>
      <c r="M50" s="219">
        <f t="shared" si="4"/>
        <v>0</v>
      </c>
      <c r="N50" s="219">
        <f t="shared" si="5"/>
        <v>0</v>
      </c>
      <c r="O50" s="219">
        <f t="shared" si="6"/>
        <v>0</v>
      </c>
      <c r="P50" s="219">
        <f t="shared" si="7"/>
        <v>0</v>
      </c>
      <c r="Q50" s="219"/>
      <c r="R50" s="26">
        <v>49400893.391934566</v>
      </c>
      <c r="S50" s="26"/>
      <c r="T50" s="21"/>
      <c r="U50" s="21"/>
      <c r="V50" s="21"/>
      <c r="W50" s="21"/>
      <c r="X50" s="21"/>
      <c r="Y50" s="21"/>
      <c r="Z50" s="21"/>
      <c r="AA50" s="21"/>
      <c r="AB50" s="21"/>
      <c r="AC50" s="23"/>
      <c r="AD50" s="23"/>
      <c r="AE50" s="23"/>
      <c r="AF50" s="23"/>
      <c r="AG50" s="15"/>
      <c r="AH50" s="15"/>
      <c r="AI50" s="15"/>
      <c r="AJ50" s="15"/>
      <c r="AK50" s="15"/>
      <c r="AL50" s="15"/>
      <c r="AM50" s="15"/>
      <c r="AN50" s="1" t="s">
        <v>471</v>
      </c>
    </row>
    <row r="51" spans="1:40" ht="14.1" customHeight="1" x14ac:dyDescent="0.25">
      <c r="A51" s="15" t="s">
        <v>127</v>
      </c>
      <c r="B51" s="15" t="s">
        <v>464</v>
      </c>
      <c r="C51" s="15" t="s">
        <v>469</v>
      </c>
      <c r="D51" s="15" t="s">
        <v>470</v>
      </c>
      <c r="E51" s="15"/>
      <c r="F51" s="19"/>
      <c r="G51" s="19"/>
      <c r="H51" s="25" t="s">
        <v>343</v>
      </c>
      <c r="I51" s="219">
        <f t="shared" si="0"/>
        <v>282709671.91138828</v>
      </c>
      <c r="J51" s="219">
        <f t="shared" si="1"/>
        <v>0</v>
      </c>
      <c r="K51" s="219">
        <f t="shared" si="2"/>
        <v>0</v>
      </c>
      <c r="L51" s="232">
        <f t="shared" si="3"/>
        <v>0</v>
      </c>
      <c r="M51" s="219">
        <f t="shared" si="4"/>
        <v>0</v>
      </c>
      <c r="N51" s="219">
        <f t="shared" si="5"/>
        <v>0</v>
      </c>
      <c r="O51" s="219">
        <f t="shared" si="6"/>
        <v>0</v>
      </c>
      <c r="P51" s="219">
        <f t="shared" si="7"/>
        <v>0</v>
      </c>
      <c r="Q51" s="219"/>
      <c r="R51" s="26">
        <v>282709671.91138828</v>
      </c>
      <c r="S51" s="26"/>
      <c r="T51" s="21"/>
      <c r="U51" s="21"/>
      <c r="V51" s="21"/>
      <c r="W51" s="21"/>
      <c r="X51" s="21"/>
      <c r="Y51" s="21"/>
      <c r="Z51" s="21"/>
      <c r="AA51" s="21"/>
      <c r="AB51" s="21"/>
      <c r="AC51" s="23"/>
      <c r="AD51" s="23"/>
      <c r="AE51" s="23"/>
      <c r="AF51" s="23"/>
      <c r="AG51" s="15"/>
      <c r="AH51" s="15"/>
      <c r="AI51" s="15"/>
      <c r="AJ51" s="15"/>
      <c r="AK51" s="15"/>
      <c r="AL51" s="15"/>
      <c r="AM51" s="15"/>
      <c r="AN51" s="1" t="s">
        <v>471</v>
      </c>
    </row>
    <row r="52" spans="1:40" ht="14.1" customHeight="1" x14ac:dyDescent="0.25">
      <c r="A52" s="15" t="s">
        <v>123</v>
      </c>
      <c r="B52" s="15" t="s">
        <v>464</v>
      </c>
      <c r="C52" s="15" t="s">
        <v>469</v>
      </c>
      <c r="D52" s="15" t="s">
        <v>470</v>
      </c>
      <c r="E52" s="15"/>
      <c r="F52" s="19"/>
      <c r="G52" s="19"/>
      <c r="H52" s="25" t="s">
        <v>343</v>
      </c>
      <c r="I52" s="219">
        <f t="shared" si="0"/>
        <v>117114145.83411548</v>
      </c>
      <c r="J52" s="219">
        <f t="shared" si="1"/>
        <v>0</v>
      </c>
      <c r="K52" s="219">
        <f t="shared" si="2"/>
        <v>0</v>
      </c>
      <c r="L52" s="232">
        <f t="shared" si="3"/>
        <v>0</v>
      </c>
      <c r="M52" s="219">
        <f t="shared" si="4"/>
        <v>0</v>
      </c>
      <c r="N52" s="219">
        <f t="shared" si="5"/>
        <v>0</v>
      </c>
      <c r="O52" s="219">
        <f t="shared" si="6"/>
        <v>0</v>
      </c>
      <c r="P52" s="219">
        <f t="shared" si="7"/>
        <v>0</v>
      </c>
      <c r="Q52" s="219"/>
      <c r="R52" s="26">
        <v>117114145.83411548</v>
      </c>
      <c r="S52" s="26"/>
      <c r="T52" s="21"/>
      <c r="U52" s="21"/>
      <c r="V52" s="21"/>
      <c r="W52" s="21"/>
      <c r="X52" s="21"/>
      <c r="Y52" s="21"/>
      <c r="Z52" s="21"/>
      <c r="AA52" s="21"/>
      <c r="AB52" s="21"/>
      <c r="AC52" s="23"/>
      <c r="AD52" s="23"/>
      <c r="AE52" s="23"/>
      <c r="AF52" s="23"/>
      <c r="AG52" s="15"/>
      <c r="AH52" s="15"/>
      <c r="AI52" s="15"/>
      <c r="AJ52" s="15"/>
      <c r="AK52" s="15"/>
      <c r="AL52" s="15"/>
      <c r="AM52" s="15"/>
      <c r="AN52" s="1" t="s">
        <v>471</v>
      </c>
    </row>
    <row r="53" spans="1:40" ht="14.1" customHeight="1" x14ac:dyDescent="0.25">
      <c r="A53" s="15" t="s">
        <v>133</v>
      </c>
      <c r="B53" s="15" t="s">
        <v>464</v>
      </c>
      <c r="C53" s="15" t="s">
        <v>469</v>
      </c>
      <c r="D53" s="15" t="s">
        <v>470</v>
      </c>
      <c r="E53" s="15"/>
      <c r="F53" s="19"/>
      <c r="G53" s="19">
        <v>1</v>
      </c>
      <c r="H53" s="25" t="s">
        <v>343</v>
      </c>
      <c r="I53" s="219">
        <f t="shared" si="0"/>
        <v>228502433.21530333</v>
      </c>
      <c r="J53" s="219">
        <f t="shared" si="1"/>
        <v>0</v>
      </c>
      <c r="K53" s="219">
        <f t="shared" si="2"/>
        <v>0</v>
      </c>
      <c r="L53" s="232">
        <f t="shared" si="3"/>
        <v>0</v>
      </c>
      <c r="M53" s="219">
        <f t="shared" si="4"/>
        <v>0</v>
      </c>
      <c r="N53" s="219">
        <f t="shared" si="5"/>
        <v>0</v>
      </c>
      <c r="O53" s="219">
        <f t="shared" si="6"/>
        <v>0</v>
      </c>
      <c r="P53" s="219">
        <f t="shared" si="7"/>
        <v>0</v>
      </c>
      <c r="Q53" s="219"/>
      <c r="R53" s="26">
        <v>228502433.21530333</v>
      </c>
      <c r="S53" s="26"/>
      <c r="T53" s="21"/>
      <c r="U53" s="21"/>
      <c r="V53" s="21"/>
      <c r="W53" s="21"/>
      <c r="X53" s="21"/>
      <c r="Y53" s="21"/>
      <c r="Z53" s="21"/>
      <c r="AA53" s="21"/>
      <c r="AB53" s="21"/>
      <c r="AC53" s="23"/>
      <c r="AD53" s="23"/>
      <c r="AE53" s="23"/>
      <c r="AF53" s="23"/>
      <c r="AG53" s="15"/>
      <c r="AH53" s="15"/>
      <c r="AI53" s="15"/>
      <c r="AJ53" s="15"/>
      <c r="AK53" s="15"/>
      <c r="AL53" s="15"/>
      <c r="AM53" s="15"/>
      <c r="AN53" s="1" t="s">
        <v>471</v>
      </c>
    </row>
    <row r="54" spans="1:40" ht="14.1" customHeight="1" x14ac:dyDescent="0.25">
      <c r="A54" s="15" t="s">
        <v>383</v>
      </c>
      <c r="B54" s="15" t="s">
        <v>464</v>
      </c>
      <c r="C54" s="15" t="s">
        <v>465</v>
      </c>
      <c r="D54" s="15" t="s">
        <v>473</v>
      </c>
      <c r="E54" s="15"/>
      <c r="F54" s="19"/>
      <c r="G54" s="19"/>
      <c r="H54" s="25" t="s">
        <v>343</v>
      </c>
      <c r="I54" s="219">
        <f t="shared" si="0"/>
        <v>0</v>
      </c>
      <c r="J54" s="219">
        <f t="shared" si="1"/>
        <v>0</v>
      </c>
      <c r="K54" s="219">
        <f t="shared" si="2"/>
        <v>0</v>
      </c>
      <c r="L54" s="232">
        <f t="shared" si="3"/>
        <v>0</v>
      </c>
      <c r="M54" s="219">
        <f t="shared" si="4"/>
        <v>0</v>
      </c>
      <c r="N54" s="219">
        <f t="shared" si="5"/>
        <v>153865470.28550819</v>
      </c>
      <c r="O54" s="219">
        <f t="shared" si="6"/>
        <v>116547393.0289679</v>
      </c>
      <c r="P54" s="219">
        <f t="shared" si="7"/>
        <v>0</v>
      </c>
      <c r="Q54" s="219"/>
      <c r="R54" s="26"/>
      <c r="S54" s="26"/>
      <c r="T54" s="21"/>
      <c r="U54" s="21"/>
      <c r="V54" s="21"/>
      <c r="W54" s="21"/>
      <c r="X54" s="21"/>
      <c r="Y54" s="21"/>
      <c r="Z54" s="21"/>
      <c r="AA54" s="21"/>
      <c r="AB54" s="21"/>
      <c r="AC54" s="23"/>
      <c r="AD54" s="23"/>
      <c r="AE54" s="23"/>
      <c r="AF54" s="23"/>
      <c r="AG54" s="27">
        <v>153865470.28550819</v>
      </c>
      <c r="AH54" s="27">
        <v>116547393.0289679</v>
      </c>
      <c r="AI54" s="15"/>
      <c r="AJ54" s="15"/>
      <c r="AK54" s="15"/>
      <c r="AL54" s="15"/>
      <c r="AM54" s="15"/>
      <c r="AN54" s="1" t="s">
        <v>471</v>
      </c>
    </row>
    <row r="55" spans="1:40" ht="14.1" customHeight="1" x14ac:dyDescent="0.25">
      <c r="A55" s="15" t="s">
        <v>344</v>
      </c>
      <c r="B55" s="15" t="s">
        <v>464</v>
      </c>
      <c r="C55" s="15" t="s">
        <v>465</v>
      </c>
      <c r="D55" s="15" t="s">
        <v>473</v>
      </c>
      <c r="E55" s="15"/>
      <c r="F55" s="19"/>
      <c r="G55" s="19"/>
      <c r="H55" s="25" t="s">
        <v>343</v>
      </c>
      <c r="I55" s="219">
        <f t="shared" si="0"/>
        <v>0</v>
      </c>
      <c r="J55" s="219">
        <f t="shared" si="1"/>
        <v>0</v>
      </c>
      <c r="K55" s="219">
        <f t="shared" si="2"/>
        <v>0</v>
      </c>
      <c r="L55" s="232">
        <f t="shared" si="3"/>
        <v>0</v>
      </c>
      <c r="M55" s="219">
        <f t="shared" si="4"/>
        <v>0</v>
      </c>
      <c r="N55" s="219">
        <f t="shared" si="5"/>
        <v>300562568.50841665</v>
      </c>
      <c r="O55" s="219">
        <f t="shared" si="6"/>
        <v>231806702.65685073</v>
      </c>
      <c r="P55" s="219">
        <f t="shared" si="7"/>
        <v>0</v>
      </c>
      <c r="Q55" s="219"/>
      <c r="R55" s="26"/>
      <c r="S55" s="26"/>
      <c r="T55" s="21"/>
      <c r="U55" s="21"/>
      <c r="V55" s="21"/>
      <c r="W55" s="21"/>
      <c r="X55" s="21"/>
      <c r="Y55" s="21"/>
      <c r="Z55" s="21"/>
      <c r="AA55" s="21"/>
      <c r="AB55" s="21"/>
      <c r="AC55" s="23"/>
      <c r="AD55" s="23"/>
      <c r="AE55" s="23"/>
      <c r="AF55" s="23"/>
      <c r="AG55" s="27">
        <v>300562568.50841665</v>
      </c>
      <c r="AH55" s="27">
        <v>231806702.65685073</v>
      </c>
      <c r="AI55" s="15"/>
      <c r="AJ55" s="15"/>
      <c r="AK55" s="15"/>
      <c r="AL55" s="15"/>
      <c r="AM55" s="15"/>
      <c r="AN55" s="1" t="s">
        <v>471</v>
      </c>
    </row>
    <row r="56" spans="1:40" ht="14.1" customHeight="1" x14ac:dyDescent="0.25">
      <c r="A56" s="15" t="s">
        <v>135</v>
      </c>
      <c r="B56" s="15" t="s">
        <v>464</v>
      </c>
      <c r="C56" s="15" t="s">
        <v>465</v>
      </c>
      <c r="D56" s="15" t="s">
        <v>473</v>
      </c>
      <c r="E56" s="15"/>
      <c r="F56" s="19"/>
      <c r="G56" s="19"/>
      <c r="H56" s="25" t="s">
        <v>343</v>
      </c>
      <c r="I56" s="219">
        <f t="shared" si="0"/>
        <v>0</v>
      </c>
      <c r="J56" s="219">
        <f t="shared" si="1"/>
        <v>0</v>
      </c>
      <c r="K56" s="219">
        <f t="shared" si="2"/>
        <v>0</v>
      </c>
      <c r="L56" s="232">
        <f t="shared" si="3"/>
        <v>0</v>
      </c>
      <c r="M56" s="219">
        <f t="shared" si="4"/>
        <v>0</v>
      </c>
      <c r="N56" s="219">
        <f t="shared" si="5"/>
        <v>49400893.391934566</v>
      </c>
      <c r="O56" s="219">
        <f t="shared" si="6"/>
        <v>13861067.77554908</v>
      </c>
      <c r="P56" s="219">
        <f t="shared" si="7"/>
        <v>0</v>
      </c>
      <c r="Q56" s="219"/>
      <c r="R56" s="26"/>
      <c r="S56" s="26"/>
      <c r="T56" s="21"/>
      <c r="U56" s="21"/>
      <c r="V56" s="21"/>
      <c r="W56" s="21"/>
      <c r="X56" s="21"/>
      <c r="Y56" s="21"/>
      <c r="Z56" s="21"/>
      <c r="AA56" s="21"/>
      <c r="AB56" s="21"/>
      <c r="AC56" s="23"/>
      <c r="AD56" s="23"/>
      <c r="AE56" s="23"/>
      <c r="AF56" s="23"/>
      <c r="AG56" s="27">
        <v>49400893.391934566</v>
      </c>
      <c r="AH56" s="27">
        <v>13861067.77554908</v>
      </c>
      <c r="AI56" s="15"/>
      <c r="AJ56" s="15"/>
      <c r="AK56" s="15"/>
      <c r="AL56" s="15"/>
      <c r="AM56" s="15"/>
      <c r="AN56" s="1" t="s">
        <v>471</v>
      </c>
    </row>
    <row r="57" spans="1:40" ht="14.1" customHeight="1" x14ac:dyDescent="0.25">
      <c r="A57" s="15" t="s">
        <v>127</v>
      </c>
      <c r="B57" s="15" t="s">
        <v>464</v>
      </c>
      <c r="C57" s="15" t="s">
        <v>465</v>
      </c>
      <c r="D57" s="15" t="s">
        <v>473</v>
      </c>
      <c r="E57" s="15"/>
      <c r="F57" s="19"/>
      <c r="G57" s="19"/>
      <c r="H57" s="25" t="s">
        <v>343</v>
      </c>
      <c r="I57" s="219">
        <f t="shared" si="0"/>
        <v>0</v>
      </c>
      <c r="J57" s="219">
        <f t="shared" si="1"/>
        <v>0</v>
      </c>
      <c r="K57" s="219">
        <f t="shared" si="2"/>
        <v>0</v>
      </c>
      <c r="L57" s="232">
        <f t="shared" si="3"/>
        <v>0</v>
      </c>
      <c r="M57" s="219">
        <f t="shared" si="4"/>
        <v>0</v>
      </c>
      <c r="N57" s="219">
        <f t="shared" si="5"/>
        <v>282709671.91138828</v>
      </c>
      <c r="O57" s="219">
        <f t="shared" si="6"/>
        <v>217785764.00050426</v>
      </c>
      <c r="P57" s="219">
        <f t="shared" si="7"/>
        <v>0</v>
      </c>
      <c r="Q57" s="219"/>
      <c r="R57" s="26"/>
      <c r="S57" s="26"/>
      <c r="T57" s="21"/>
      <c r="U57" s="21"/>
      <c r="V57" s="21"/>
      <c r="W57" s="21"/>
      <c r="X57" s="21"/>
      <c r="Y57" s="21"/>
      <c r="Z57" s="21"/>
      <c r="AA57" s="21"/>
      <c r="AB57" s="21"/>
      <c r="AC57" s="23"/>
      <c r="AD57" s="23"/>
      <c r="AE57" s="23"/>
      <c r="AF57" s="23"/>
      <c r="AG57" s="27">
        <v>282709671.91138828</v>
      </c>
      <c r="AH57" s="27">
        <v>217785764.00050426</v>
      </c>
      <c r="AI57" s="15"/>
      <c r="AJ57" s="15"/>
      <c r="AK57" s="15"/>
      <c r="AL57" s="15"/>
      <c r="AM57" s="15"/>
      <c r="AN57" s="1" t="s">
        <v>471</v>
      </c>
    </row>
    <row r="58" spans="1:40" ht="14.1" customHeight="1" x14ac:dyDescent="0.25">
      <c r="A58" s="15" t="s">
        <v>123</v>
      </c>
      <c r="B58" s="15" t="s">
        <v>464</v>
      </c>
      <c r="C58" s="15" t="s">
        <v>465</v>
      </c>
      <c r="D58" s="15" t="s">
        <v>473</v>
      </c>
      <c r="E58" s="15"/>
      <c r="F58" s="19"/>
      <c r="G58" s="19"/>
      <c r="H58" s="25" t="s">
        <v>343</v>
      </c>
      <c r="I58" s="219">
        <f t="shared" si="0"/>
        <v>0</v>
      </c>
      <c r="J58" s="219">
        <f t="shared" si="1"/>
        <v>0</v>
      </c>
      <c r="K58" s="219">
        <f t="shared" si="2"/>
        <v>0</v>
      </c>
      <c r="L58" s="232">
        <f t="shared" si="3"/>
        <v>0</v>
      </c>
      <c r="M58" s="219">
        <f t="shared" si="4"/>
        <v>0</v>
      </c>
      <c r="N58" s="219">
        <f t="shared" si="5"/>
        <v>117114145.83411548</v>
      </c>
      <c r="O58" s="219">
        <f t="shared" si="6"/>
        <v>76132782.152658641</v>
      </c>
      <c r="P58" s="219">
        <f t="shared" si="7"/>
        <v>0</v>
      </c>
      <c r="Q58" s="219"/>
      <c r="R58" s="26"/>
      <c r="S58" s="26"/>
      <c r="T58" s="21"/>
      <c r="U58" s="21"/>
      <c r="V58" s="21"/>
      <c r="W58" s="21"/>
      <c r="X58" s="21"/>
      <c r="Y58" s="21"/>
      <c r="Z58" s="21"/>
      <c r="AA58" s="21"/>
      <c r="AB58" s="21"/>
      <c r="AC58" s="23"/>
      <c r="AD58" s="23"/>
      <c r="AE58" s="23"/>
      <c r="AF58" s="23"/>
      <c r="AG58" s="27">
        <v>117114145.83411548</v>
      </c>
      <c r="AH58" s="27">
        <v>76132782.152658641</v>
      </c>
      <c r="AI58" s="15"/>
      <c r="AJ58" s="15"/>
      <c r="AK58" s="15"/>
      <c r="AL58" s="15"/>
      <c r="AM58" s="15"/>
      <c r="AN58" s="1" t="s">
        <v>471</v>
      </c>
    </row>
    <row r="59" spans="1:40" ht="14.1" customHeight="1" x14ac:dyDescent="0.25">
      <c r="A59" s="15" t="s">
        <v>133</v>
      </c>
      <c r="B59" s="15" t="s">
        <v>464</v>
      </c>
      <c r="C59" s="15" t="s">
        <v>465</v>
      </c>
      <c r="D59" s="15" t="s">
        <v>473</v>
      </c>
      <c r="E59" s="15"/>
      <c r="F59" s="19"/>
      <c r="G59" s="19"/>
      <c r="H59" s="25" t="s">
        <v>343</v>
      </c>
      <c r="I59" s="219">
        <f t="shared" si="0"/>
        <v>0</v>
      </c>
      <c r="J59" s="219">
        <f t="shared" si="1"/>
        <v>0</v>
      </c>
      <c r="K59" s="219">
        <f t="shared" si="2"/>
        <v>0</v>
      </c>
      <c r="L59" s="232">
        <f t="shared" si="3"/>
        <v>0</v>
      </c>
      <c r="M59" s="219">
        <f t="shared" si="4"/>
        <v>0</v>
      </c>
      <c r="N59" s="219">
        <f t="shared" si="5"/>
        <v>228502433.21530333</v>
      </c>
      <c r="O59" s="219">
        <f t="shared" si="6"/>
        <v>132744789.49687061</v>
      </c>
      <c r="P59" s="219">
        <f t="shared" si="7"/>
        <v>0</v>
      </c>
      <c r="Q59" s="219"/>
      <c r="R59" s="26"/>
      <c r="S59" s="26"/>
      <c r="T59" s="21"/>
      <c r="U59" s="21"/>
      <c r="V59" s="21"/>
      <c r="W59" s="21"/>
      <c r="X59" s="21"/>
      <c r="Y59" s="21"/>
      <c r="Z59" s="21"/>
      <c r="AA59" s="21"/>
      <c r="AB59" s="21"/>
      <c r="AC59" s="23"/>
      <c r="AD59" s="23"/>
      <c r="AE59" s="23"/>
      <c r="AF59" s="23"/>
      <c r="AG59" s="27">
        <v>228502433.21530333</v>
      </c>
      <c r="AH59" s="27">
        <v>132744789.49687061</v>
      </c>
      <c r="AI59" s="15"/>
      <c r="AJ59" s="15"/>
      <c r="AK59" s="15"/>
      <c r="AL59" s="15"/>
      <c r="AM59" s="15"/>
      <c r="AN59" s="1" t="s">
        <v>471</v>
      </c>
    </row>
    <row r="60" spans="1:40" ht="14.1" customHeight="1" x14ac:dyDescent="0.25">
      <c r="A60" s="15" t="s">
        <v>383</v>
      </c>
      <c r="B60" s="15" t="s">
        <v>464</v>
      </c>
      <c r="C60" s="15" t="s">
        <v>469</v>
      </c>
      <c r="D60" s="15" t="s">
        <v>474</v>
      </c>
      <c r="E60" s="15"/>
      <c r="F60" s="19"/>
      <c r="G60" s="19">
        <v>1</v>
      </c>
      <c r="H60" s="25" t="s">
        <v>343</v>
      </c>
      <c r="I60" s="219">
        <f t="shared" si="0"/>
        <v>594299663.16174626</v>
      </c>
      <c r="J60" s="219">
        <f t="shared" si="1"/>
        <v>0</v>
      </c>
      <c r="K60" s="219">
        <f t="shared" si="2"/>
        <v>0</v>
      </c>
      <c r="L60" s="232">
        <f t="shared" si="3"/>
        <v>0</v>
      </c>
      <c r="M60" s="219">
        <f t="shared" si="4"/>
        <v>0</v>
      </c>
      <c r="N60" s="219">
        <f t="shared" si="5"/>
        <v>0</v>
      </c>
      <c r="O60" s="219">
        <f t="shared" si="6"/>
        <v>0</v>
      </c>
      <c r="P60" s="219">
        <f t="shared" si="7"/>
        <v>0</v>
      </c>
      <c r="Q60" s="219"/>
      <c r="R60" s="26">
        <v>594299663.16174626</v>
      </c>
      <c r="S60" s="26"/>
      <c r="T60" s="21"/>
      <c r="U60" s="21"/>
      <c r="V60" s="21"/>
      <c r="W60" s="21"/>
      <c r="X60" s="21"/>
      <c r="Y60" s="21"/>
      <c r="Z60" s="21"/>
      <c r="AA60" s="21"/>
      <c r="AB60" s="21"/>
      <c r="AC60" s="23"/>
      <c r="AD60" s="23"/>
      <c r="AE60" s="23"/>
      <c r="AF60" s="23"/>
      <c r="AG60" s="15"/>
      <c r="AH60" s="15"/>
      <c r="AI60" s="15"/>
      <c r="AJ60" s="15"/>
      <c r="AK60" s="15"/>
      <c r="AL60" s="15"/>
      <c r="AM60" s="15"/>
      <c r="AN60" s="1" t="s">
        <v>475</v>
      </c>
    </row>
    <row r="61" spans="1:40" ht="14.1" customHeight="1" x14ac:dyDescent="0.25">
      <c r="A61" s="15" t="s">
        <v>344</v>
      </c>
      <c r="B61" s="15" t="s">
        <v>464</v>
      </c>
      <c r="C61" s="15" t="s">
        <v>469</v>
      </c>
      <c r="D61" s="15" t="s">
        <v>474</v>
      </c>
      <c r="E61" s="15"/>
      <c r="F61" s="19"/>
      <c r="G61" s="19"/>
      <c r="H61" s="25" t="s">
        <v>343</v>
      </c>
      <c r="I61" s="219">
        <f t="shared" si="0"/>
        <v>491515278.56228167</v>
      </c>
      <c r="J61" s="219">
        <f t="shared" si="1"/>
        <v>0</v>
      </c>
      <c r="K61" s="219">
        <f t="shared" si="2"/>
        <v>0</v>
      </c>
      <c r="L61" s="232">
        <f t="shared" si="3"/>
        <v>0</v>
      </c>
      <c r="M61" s="219">
        <f t="shared" si="4"/>
        <v>0</v>
      </c>
      <c r="N61" s="219">
        <f t="shared" si="5"/>
        <v>0</v>
      </c>
      <c r="O61" s="219">
        <f t="shared" si="6"/>
        <v>0</v>
      </c>
      <c r="P61" s="219">
        <f t="shared" si="7"/>
        <v>0</v>
      </c>
      <c r="Q61" s="219"/>
      <c r="R61" s="26">
        <v>491515278.56228167</v>
      </c>
      <c r="S61" s="26"/>
      <c r="T61" s="21"/>
      <c r="U61" s="21"/>
      <c r="V61" s="21"/>
      <c r="W61" s="21"/>
      <c r="X61" s="21"/>
      <c r="Y61" s="21"/>
      <c r="Z61" s="21"/>
      <c r="AA61" s="21"/>
      <c r="AB61" s="21"/>
      <c r="AC61" s="23"/>
      <c r="AD61" s="23"/>
      <c r="AE61" s="23"/>
      <c r="AF61" s="23"/>
      <c r="AG61" s="15"/>
      <c r="AH61" s="15"/>
      <c r="AI61" s="15"/>
      <c r="AJ61" s="15"/>
      <c r="AK61" s="15"/>
      <c r="AL61" s="15"/>
      <c r="AM61" s="15"/>
      <c r="AN61" s="1" t="s">
        <v>475</v>
      </c>
    </row>
    <row r="62" spans="1:40" ht="14.1" customHeight="1" x14ac:dyDescent="0.25">
      <c r="A62" s="15" t="s">
        <v>127</v>
      </c>
      <c r="B62" s="15" t="s">
        <v>464</v>
      </c>
      <c r="C62" s="15" t="s">
        <v>469</v>
      </c>
      <c r="D62" s="15" t="s">
        <v>474</v>
      </c>
      <c r="E62" s="15"/>
      <c r="F62" s="19"/>
      <c r="G62" s="19"/>
      <c r="H62" s="25" t="s">
        <v>343</v>
      </c>
      <c r="I62" s="219">
        <f t="shared" si="0"/>
        <v>321261802.06234795</v>
      </c>
      <c r="J62" s="219">
        <f t="shared" si="1"/>
        <v>0</v>
      </c>
      <c r="K62" s="219">
        <f t="shared" si="2"/>
        <v>0</v>
      </c>
      <c r="L62" s="232">
        <f t="shared" si="3"/>
        <v>0</v>
      </c>
      <c r="M62" s="219">
        <f t="shared" si="4"/>
        <v>0</v>
      </c>
      <c r="N62" s="219">
        <f t="shared" si="5"/>
        <v>0</v>
      </c>
      <c r="O62" s="219">
        <f t="shared" si="6"/>
        <v>0</v>
      </c>
      <c r="P62" s="219">
        <f t="shared" si="7"/>
        <v>0</v>
      </c>
      <c r="Q62" s="219"/>
      <c r="R62" s="26">
        <v>321261802.06234795</v>
      </c>
      <c r="S62" s="26"/>
      <c r="T62" s="21"/>
      <c r="U62" s="21"/>
      <c r="V62" s="21"/>
      <c r="W62" s="21"/>
      <c r="X62" s="21"/>
      <c r="Y62" s="21"/>
      <c r="Z62" s="21"/>
      <c r="AA62" s="21"/>
      <c r="AB62" s="21"/>
      <c r="AC62" s="23"/>
      <c r="AD62" s="23"/>
      <c r="AE62" s="23"/>
      <c r="AF62" s="23"/>
      <c r="AG62" s="15"/>
      <c r="AH62" s="15"/>
      <c r="AI62" s="15"/>
      <c r="AJ62" s="15"/>
      <c r="AK62" s="15"/>
      <c r="AL62" s="15"/>
      <c r="AM62" s="15"/>
      <c r="AN62" s="1" t="s">
        <v>475</v>
      </c>
    </row>
    <row r="63" spans="1:40" ht="14.1" customHeight="1" x14ac:dyDescent="0.25">
      <c r="A63" s="15" t="s">
        <v>133</v>
      </c>
      <c r="B63" s="15" t="s">
        <v>464</v>
      </c>
      <c r="C63" s="15" t="s">
        <v>469</v>
      </c>
      <c r="D63" s="15" t="s">
        <v>474</v>
      </c>
      <c r="E63" s="15"/>
      <c r="F63" s="19"/>
      <c r="G63" s="19"/>
      <c r="H63" s="25" t="s">
        <v>343</v>
      </c>
      <c r="I63" s="219">
        <f t="shared" si="0"/>
        <v>114883267.42855136</v>
      </c>
      <c r="J63" s="219">
        <f t="shared" si="1"/>
        <v>0</v>
      </c>
      <c r="K63" s="219">
        <f t="shared" si="2"/>
        <v>0</v>
      </c>
      <c r="L63" s="232">
        <f t="shared" si="3"/>
        <v>0</v>
      </c>
      <c r="M63" s="219">
        <f t="shared" si="4"/>
        <v>0</v>
      </c>
      <c r="N63" s="219">
        <f t="shared" si="5"/>
        <v>0</v>
      </c>
      <c r="O63" s="219">
        <f t="shared" si="6"/>
        <v>0</v>
      </c>
      <c r="P63" s="219">
        <f t="shared" si="7"/>
        <v>0</v>
      </c>
      <c r="Q63" s="219"/>
      <c r="R63" s="26">
        <v>114883267.42855136</v>
      </c>
      <c r="S63" s="26"/>
      <c r="T63" s="21"/>
      <c r="U63" s="21"/>
      <c r="V63" s="21"/>
      <c r="W63" s="21"/>
      <c r="X63" s="21"/>
      <c r="Y63" s="21"/>
      <c r="Z63" s="21"/>
      <c r="AA63" s="21"/>
      <c r="AB63" s="21"/>
      <c r="AC63" s="23"/>
      <c r="AD63" s="23"/>
      <c r="AE63" s="23"/>
      <c r="AF63" s="23"/>
      <c r="AG63" s="15"/>
      <c r="AH63" s="15"/>
      <c r="AI63" s="15"/>
      <c r="AJ63" s="15"/>
      <c r="AK63" s="15"/>
      <c r="AL63" s="15"/>
      <c r="AM63" s="15"/>
      <c r="AN63" s="1" t="s">
        <v>475</v>
      </c>
    </row>
    <row r="64" spans="1:40" ht="14.1" customHeight="1" x14ac:dyDescent="0.25">
      <c r="A64" s="15" t="s">
        <v>420</v>
      </c>
      <c r="B64" s="15" t="s">
        <v>464</v>
      </c>
      <c r="C64" s="15" t="s">
        <v>469</v>
      </c>
      <c r="D64" s="15" t="s">
        <v>474</v>
      </c>
      <c r="E64" s="15"/>
      <c r="F64" s="19"/>
      <c r="G64" s="19"/>
      <c r="H64" s="25" t="s">
        <v>343</v>
      </c>
      <c r="I64" s="219">
        <f t="shared" si="0"/>
        <v>24762485.965072762</v>
      </c>
      <c r="J64" s="219">
        <f t="shared" si="1"/>
        <v>0</v>
      </c>
      <c r="K64" s="219">
        <f t="shared" si="2"/>
        <v>0</v>
      </c>
      <c r="L64" s="232">
        <f t="shared" si="3"/>
        <v>0</v>
      </c>
      <c r="M64" s="219">
        <f t="shared" si="4"/>
        <v>0</v>
      </c>
      <c r="N64" s="219">
        <f t="shared" si="5"/>
        <v>0</v>
      </c>
      <c r="O64" s="219">
        <f t="shared" si="6"/>
        <v>0</v>
      </c>
      <c r="P64" s="219">
        <f t="shared" si="7"/>
        <v>0</v>
      </c>
      <c r="Q64" s="219"/>
      <c r="R64" s="26">
        <v>24762485.965072762</v>
      </c>
      <c r="S64" s="26"/>
      <c r="T64" s="21"/>
      <c r="U64" s="21"/>
      <c r="V64" s="21"/>
      <c r="W64" s="21"/>
      <c r="X64" s="21"/>
      <c r="Y64" s="21"/>
      <c r="Z64" s="21"/>
      <c r="AA64" s="21"/>
      <c r="AB64" s="21"/>
      <c r="AC64" s="23"/>
      <c r="AD64" s="23"/>
      <c r="AE64" s="23"/>
      <c r="AF64" s="23"/>
      <c r="AG64" s="15"/>
      <c r="AH64" s="15"/>
      <c r="AI64" s="15"/>
      <c r="AJ64" s="15"/>
      <c r="AK64" s="15"/>
      <c r="AL64" s="15"/>
      <c r="AM64" s="15"/>
      <c r="AN64" s="1" t="s">
        <v>475</v>
      </c>
    </row>
    <row r="65" spans="1:40" ht="14.1" customHeight="1" x14ac:dyDescent="0.25">
      <c r="A65" s="15" t="s">
        <v>383</v>
      </c>
      <c r="B65" s="15" t="s">
        <v>464</v>
      </c>
      <c r="C65" s="15" t="s">
        <v>465</v>
      </c>
      <c r="D65" s="15" t="s">
        <v>473</v>
      </c>
      <c r="E65" s="15"/>
      <c r="F65" s="19"/>
      <c r="G65" s="19"/>
      <c r="H65" s="25" t="s">
        <v>343</v>
      </c>
      <c r="I65" s="219">
        <f t="shared" si="0"/>
        <v>0</v>
      </c>
      <c r="J65" s="219">
        <f t="shared" si="1"/>
        <v>0</v>
      </c>
      <c r="K65" s="219">
        <f t="shared" si="2"/>
        <v>0</v>
      </c>
      <c r="L65" s="232">
        <f t="shared" si="3"/>
        <v>0</v>
      </c>
      <c r="M65" s="219">
        <f t="shared" si="4"/>
        <v>0</v>
      </c>
      <c r="N65" s="219">
        <f t="shared" si="5"/>
        <v>594299663.16174626</v>
      </c>
      <c r="O65" s="219">
        <f t="shared" si="6"/>
        <v>461572470.0557043</v>
      </c>
      <c r="P65" s="219">
        <f t="shared" si="7"/>
        <v>0</v>
      </c>
      <c r="Q65" s="219"/>
      <c r="R65" s="26"/>
      <c r="S65" s="26"/>
      <c r="T65" s="21"/>
      <c r="U65" s="21"/>
      <c r="V65" s="21"/>
      <c r="W65" s="21"/>
      <c r="X65" s="21"/>
      <c r="Y65" s="21"/>
      <c r="Z65" s="21"/>
      <c r="AA65" s="21"/>
      <c r="AB65" s="21"/>
      <c r="AC65" s="23"/>
      <c r="AD65" s="23"/>
      <c r="AE65" s="23"/>
      <c r="AF65" s="23"/>
      <c r="AG65" s="27">
        <v>594299663.16174626</v>
      </c>
      <c r="AH65" s="27">
        <v>461572470.0557043</v>
      </c>
      <c r="AI65" s="15"/>
      <c r="AJ65" s="15"/>
      <c r="AK65" s="15"/>
      <c r="AL65" s="15"/>
      <c r="AM65" s="15"/>
      <c r="AN65" s="1" t="s">
        <v>475</v>
      </c>
    </row>
    <row r="66" spans="1:40" ht="14.1" customHeight="1" x14ac:dyDescent="0.25">
      <c r="A66" s="15" t="s">
        <v>344</v>
      </c>
      <c r="B66" s="15" t="s">
        <v>464</v>
      </c>
      <c r="C66" s="15" t="s">
        <v>465</v>
      </c>
      <c r="D66" s="15" t="s">
        <v>473</v>
      </c>
      <c r="E66" s="15"/>
      <c r="F66" s="19"/>
      <c r="G66" s="19"/>
      <c r="H66" s="25" t="s">
        <v>343</v>
      </c>
      <c r="I66" s="219">
        <f t="shared" si="0"/>
        <v>0</v>
      </c>
      <c r="J66" s="219">
        <f t="shared" si="1"/>
        <v>0</v>
      </c>
      <c r="K66" s="219">
        <f t="shared" si="2"/>
        <v>0</v>
      </c>
      <c r="L66" s="232">
        <f t="shared" si="3"/>
        <v>0</v>
      </c>
      <c r="M66" s="219">
        <f t="shared" si="4"/>
        <v>0</v>
      </c>
      <c r="N66" s="219">
        <f t="shared" si="5"/>
        <v>491515278.56228167</v>
      </c>
      <c r="O66" s="219">
        <f t="shared" si="6"/>
        <v>368676205.98230016</v>
      </c>
      <c r="P66" s="219">
        <f t="shared" si="7"/>
        <v>0</v>
      </c>
      <c r="Q66" s="219"/>
      <c r="R66" s="26"/>
      <c r="S66" s="26"/>
      <c r="T66" s="21"/>
      <c r="U66" s="21"/>
      <c r="V66" s="21"/>
      <c r="W66" s="21"/>
      <c r="X66" s="21"/>
      <c r="Y66" s="21"/>
      <c r="Z66" s="21"/>
      <c r="AA66" s="21"/>
      <c r="AB66" s="21"/>
      <c r="AC66" s="23"/>
      <c r="AD66" s="23"/>
      <c r="AE66" s="23"/>
      <c r="AF66" s="23"/>
      <c r="AG66" s="27">
        <v>491515278.56228167</v>
      </c>
      <c r="AH66" s="27">
        <v>368676205.98230016</v>
      </c>
      <c r="AI66" s="15"/>
      <c r="AJ66" s="15"/>
      <c r="AK66" s="15"/>
      <c r="AL66" s="15"/>
      <c r="AM66" s="15"/>
      <c r="AN66" s="1" t="s">
        <v>475</v>
      </c>
    </row>
    <row r="67" spans="1:40" ht="14.1" customHeight="1" x14ac:dyDescent="0.25">
      <c r="A67" s="15" t="s">
        <v>127</v>
      </c>
      <c r="B67" s="15" t="s">
        <v>464</v>
      </c>
      <c r="C67" s="15" t="s">
        <v>465</v>
      </c>
      <c r="D67" s="15" t="s">
        <v>473</v>
      </c>
      <c r="E67" s="15"/>
      <c r="F67" s="19"/>
      <c r="G67" s="19"/>
      <c r="H67" s="25" t="s">
        <v>343</v>
      </c>
      <c r="I67" s="219">
        <f t="shared" si="0"/>
        <v>0</v>
      </c>
      <c r="J67" s="219">
        <f t="shared" si="1"/>
        <v>0</v>
      </c>
      <c r="K67" s="219">
        <f t="shared" si="2"/>
        <v>0</v>
      </c>
      <c r="L67" s="232">
        <f t="shared" si="3"/>
        <v>0</v>
      </c>
      <c r="M67" s="219">
        <f t="shared" si="4"/>
        <v>0</v>
      </c>
      <c r="N67" s="219">
        <f t="shared" si="5"/>
        <v>321261802.06234795</v>
      </c>
      <c r="O67" s="219">
        <f t="shared" si="6"/>
        <v>256180909.35876647</v>
      </c>
      <c r="P67" s="219">
        <f t="shared" si="7"/>
        <v>0</v>
      </c>
      <c r="Q67" s="219"/>
      <c r="R67" s="26"/>
      <c r="S67" s="26"/>
      <c r="T67" s="21"/>
      <c r="U67" s="21"/>
      <c r="V67" s="21"/>
      <c r="W67" s="21"/>
      <c r="X67" s="21"/>
      <c r="Y67" s="21"/>
      <c r="Z67" s="21"/>
      <c r="AA67" s="21"/>
      <c r="AB67" s="21"/>
      <c r="AC67" s="23"/>
      <c r="AD67" s="23"/>
      <c r="AE67" s="23"/>
      <c r="AF67" s="23"/>
      <c r="AG67" s="27">
        <v>321261802.06234795</v>
      </c>
      <c r="AH67" s="27">
        <v>256180909.35876647</v>
      </c>
      <c r="AI67" s="15"/>
      <c r="AJ67" s="15"/>
      <c r="AK67" s="15"/>
      <c r="AL67" s="15"/>
      <c r="AM67" s="15"/>
      <c r="AN67" s="1" t="s">
        <v>475</v>
      </c>
    </row>
    <row r="68" spans="1:40" ht="14.1" customHeight="1" x14ac:dyDescent="0.25">
      <c r="A68" s="15" t="s">
        <v>133</v>
      </c>
      <c r="B68" s="15" t="s">
        <v>464</v>
      </c>
      <c r="C68" s="15" t="s">
        <v>465</v>
      </c>
      <c r="D68" s="15" t="s">
        <v>473</v>
      </c>
      <c r="E68" s="15"/>
      <c r="F68" s="19"/>
      <c r="G68" s="19"/>
      <c r="H68" s="25" t="s">
        <v>343</v>
      </c>
      <c r="I68" s="219">
        <f t="shared" si="0"/>
        <v>0</v>
      </c>
      <c r="J68" s="219">
        <f t="shared" si="1"/>
        <v>0</v>
      </c>
      <c r="K68" s="219">
        <f t="shared" si="2"/>
        <v>0</v>
      </c>
      <c r="L68" s="232">
        <f t="shared" si="3"/>
        <v>0</v>
      </c>
      <c r="M68" s="219">
        <f t="shared" si="4"/>
        <v>0</v>
      </c>
      <c r="N68" s="219">
        <f t="shared" si="5"/>
        <v>114883267.42855136</v>
      </c>
      <c r="O68" s="219">
        <f t="shared" si="6"/>
        <v>68437168.244202793</v>
      </c>
      <c r="P68" s="219">
        <f t="shared" si="7"/>
        <v>0</v>
      </c>
      <c r="Q68" s="219"/>
      <c r="R68" s="26"/>
      <c r="S68" s="26"/>
      <c r="T68" s="21"/>
      <c r="U68" s="21"/>
      <c r="V68" s="21"/>
      <c r="W68" s="21"/>
      <c r="X68" s="21"/>
      <c r="Y68" s="21"/>
      <c r="Z68" s="21"/>
      <c r="AA68" s="21"/>
      <c r="AB68" s="21"/>
      <c r="AC68" s="23"/>
      <c r="AD68" s="23"/>
      <c r="AE68" s="23"/>
      <c r="AF68" s="23"/>
      <c r="AG68" s="27">
        <v>114883267.42855136</v>
      </c>
      <c r="AH68" s="27">
        <v>68437168.244202793</v>
      </c>
      <c r="AI68" s="15"/>
      <c r="AJ68" s="15"/>
      <c r="AK68" s="15"/>
      <c r="AL68" s="15"/>
      <c r="AM68" s="15"/>
      <c r="AN68" s="1" t="s">
        <v>475</v>
      </c>
    </row>
    <row r="69" spans="1:40" ht="14.1" customHeight="1" x14ac:dyDescent="0.25">
      <c r="A69" s="15" t="s">
        <v>420</v>
      </c>
      <c r="B69" s="15" t="s">
        <v>464</v>
      </c>
      <c r="C69" s="15" t="s">
        <v>465</v>
      </c>
      <c r="D69" s="15" t="s">
        <v>473</v>
      </c>
      <c r="E69" s="15"/>
      <c r="F69" s="19"/>
      <c r="G69" s="19"/>
      <c r="H69" s="25" t="s">
        <v>343</v>
      </c>
      <c r="I69" s="219">
        <f t="shared" ref="I69:I132" si="8">SUM(R69:S69)</f>
        <v>0</v>
      </c>
      <c r="J69" s="219">
        <f t="shared" ref="J69:J132" si="9">SUM(T69:V69)</f>
        <v>0</v>
      </c>
      <c r="K69" s="219">
        <f t="shared" ref="K69:K132" si="10">W69</f>
        <v>0</v>
      </c>
      <c r="L69" s="232">
        <f t="shared" ref="L69:L132" si="11">SUM(X69:AB69)</f>
        <v>0</v>
      </c>
      <c r="M69" s="219">
        <f t="shared" ref="M69:M132" si="12">SUM(AC69:AE69)</f>
        <v>0</v>
      </c>
      <c r="N69" s="219">
        <f t="shared" ref="N69:N132" si="13">AG69</f>
        <v>24762485.965072762</v>
      </c>
      <c r="O69" s="219">
        <f t="shared" ref="O69:O132" si="14">AH69</f>
        <v>0</v>
      </c>
      <c r="P69" s="219">
        <f t="shared" ref="P69:P132" si="15">SUM(AK69:AM69)</f>
        <v>0</v>
      </c>
      <c r="Q69" s="219"/>
      <c r="R69" s="26"/>
      <c r="S69" s="26"/>
      <c r="T69" s="21"/>
      <c r="U69" s="21"/>
      <c r="V69" s="21"/>
      <c r="W69" s="21"/>
      <c r="X69" s="21"/>
      <c r="Y69" s="21"/>
      <c r="Z69" s="21"/>
      <c r="AA69" s="21"/>
      <c r="AB69" s="21"/>
      <c r="AC69" s="23"/>
      <c r="AD69" s="23"/>
      <c r="AE69" s="23"/>
      <c r="AF69" s="23"/>
      <c r="AG69" s="28">
        <v>24762485.965072762</v>
      </c>
      <c r="AH69" s="27">
        <v>0</v>
      </c>
      <c r="AI69" s="15"/>
      <c r="AJ69" s="15"/>
      <c r="AK69" s="15"/>
      <c r="AL69" s="15"/>
      <c r="AM69" s="15"/>
      <c r="AN69" s="1" t="s">
        <v>475</v>
      </c>
    </row>
    <row r="70" spans="1:40" ht="14.1" customHeight="1" x14ac:dyDescent="0.25">
      <c r="A70" s="15" t="s">
        <v>420</v>
      </c>
      <c r="B70" s="15" t="s">
        <v>464</v>
      </c>
      <c r="C70" s="15" t="s">
        <v>465</v>
      </c>
      <c r="D70" s="15" t="s">
        <v>473</v>
      </c>
      <c r="E70" s="15"/>
      <c r="F70" s="19"/>
      <c r="G70" s="19"/>
      <c r="H70" s="25" t="s">
        <v>343</v>
      </c>
      <c r="I70" s="219">
        <f t="shared" si="8"/>
        <v>0</v>
      </c>
      <c r="J70" s="219">
        <f t="shared" si="9"/>
        <v>0</v>
      </c>
      <c r="K70" s="219">
        <f t="shared" si="10"/>
        <v>0</v>
      </c>
      <c r="L70" s="232">
        <f t="shared" si="11"/>
        <v>0</v>
      </c>
      <c r="M70" s="219">
        <f t="shared" si="12"/>
        <v>0</v>
      </c>
      <c r="N70" s="219">
        <f t="shared" si="13"/>
        <v>4386979.91</v>
      </c>
      <c r="O70" s="219">
        <f t="shared" si="14"/>
        <v>0</v>
      </c>
      <c r="P70" s="219">
        <f t="shared" si="15"/>
        <v>0</v>
      </c>
      <c r="Q70" s="219"/>
      <c r="R70" s="26"/>
      <c r="S70" s="26"/>
      <c r="T70" s="21"/>
      <c r="U70" s="21"/>
      <c r="V70" s="21"/>
      <c r="W70" s="21"/>
      <c r="X70" s="21"/>
      <c r="Y70" s="21"/>
      <c r="Z70" s="21"/>
      <c r="AA70" s="21"/>
      <c r="AB70" s="21"/>
      <c r="AC70" s="23"/>
      <c r="AD70" s="23"/>
      <c r="AE70" s="23"/>
      <c r="AF70" s="23"/>
      <c r="AG70" s="27">
        <v>4386979.91</v>
      </c>
      <c r="AH70" s="27">
        <v>0</v>
      </c>
      <c r="AI70" s="15"/>
      <c r="AJ70" s="15"/>
      <c r="AK70" s="15"/>
      <c r="AL70" s="15"/>
      <c r="AM70" s="15"/>
      <c r="AN70" s="1" t="s">
        <v>476</v>
      </c>
    </row>
    <row r="71" spans="1:40" ht="14.1" customHeight="1" x14ac:dyDescent="0.25">
      <c r="A71" s="15" t="s">
        <v>383</v>
      </c>
      <c r="B71" s="15" t="s">
        <v>464</v>
      </c>
      <c r="C71" s="15" t="s">
        <v>465</v>
      </c>
      <c r="D71" s="15" t="s">
        <v>473</v>
      </c>
      <c r="E71" s="15"/>
      <c r="F71" s="19"/>
      <c r="G71" s="19"/>
      <c r="H71" s="25" t="s">
        <v>343</v>
      </c>
      <c r="I71" s="219">
        <f t="shared" si="8"/>
        <v>0</v>
      </c>
      <c r="J71" s="219">
        <f t="shared" si="9"/>
        <v>0</v>
      </c>
      <c r="K71" s="219">
        <f t="shared" si="10"/>
        <v>0</v>
      </c>
      <c r="L71" s="232">
        <f t="shared" si="11"/>
        <v>0</v>
      </c>
      <c r="M71" s="219">
        <f t="shared" si="12"/>
        <v>0</v>
      </c>
      <c r="N71" s="219">
        <f t="shared" si="13"/>
        <v>108629205.9599995</v>
      </c>
      <c r="O71" s="219">
        <f t="shared" si="14"/>
        <v>27587077.313190907</v>
      </c>
      <c r="P71" s="219">
        <f t="shared" si="15"/>
        <v>0</v>
      </c>
      <c r="Q71" s="219"/>
      <c r="R71" s="26"/>
      <c r="S71" s="26"/>
      <c r="T71" s="21"/>
      <c r="U71" s="21"/>
      <c r="V71" s="21"/>
      <c r="W71" s="21"/>
      <c r="X71" s="21"/>
      <c r="Y71" s="21"/>
      <c r="Z71" s="21"/>
      <c r="AA71" s="21"/>
      <c r="AB71" s="21"/>
      <c r="AC71" s="23"/>
      <c r="AD71" s="23"/>
      <c r="AE71" s="23"/>
      <c r="AF71" s="23"/>
      <c r="AG71" s="27">
        <v>108629205.9599995</v>
      </c>
      <c r="AH71" s="27">
        <v>27587077.313190907</v>
      </c>
      <c r="AI71" s="15"/>
      <c r="AJ71" s="15"/>
      <c r="AK71" s="15"/>
      <c r="AL71" s="15"/>
      <c r="AM71" s="15"/>
      <c r="AN71" s="1" t="s">
        <v>476</v>
      </c>
    </row>
    <row r="72" spans="1:40" ht="14.1" customHeight="1" x14ac:dyDescent="0.25">
      <c r="A72" s="15" t="s">
        <v>344</v>
      </c>
      <c r="B72" s="15" t="s">
        <v>464</v>
      </c>
      <c r="C72" s="15" t="s">
        <v>465</v>
      </c>
      <c r="D72" s="15" t="s">
        <v>473</v>
      </c>
      <c r="E72" s="15"/>
      <c r="F72" s="19"/>
      <c r="G72" s="19"/>
      <c r="H72" s="25" t="s">
        <v>343</v>
      </c>
      <c r="I72" s="219">
        <f t="shared" si="8"/>
        <v>0</v>
      </c>
      <c r="J72" s="219">
        <f t="shared" si="9"/>
        <v>0</v>
      </c>
      <c r="K72" s="219">
        <f t="shared" si="10"/>
        <v>0</v>
      </c>
      <c r="L72" s="232">
        <f t="shared" si="11"/>
        <v>0</v>
      </c>
      <c r="M72" s="219">
        <f t="shared" si="12"/>
        <v>0</v>
      </c>
      <c r="N72" s="219">
        <f t="shared" si="13"/>
        <v>238713553.10999873</v>
      </c>
      <c r="O72" s="219">
        <f t="shared" si="14"/>
        <v>160342343.65884095</v>
      </c>
      <c r="P72" s="219">
        <f t="shared" si="15"/>
        <v>0</v>
      </c>
      <c r="Q72" s="219"/>
      <c r="R72" s="26"/>
      <c r="S72" s="26"/>
      <c r="T72" s="21"/>
      <c r="U72" s="21"/>
      <c r="V72" s="21"/>
      <c r="W72" s="21"/>
      <c r="X72" s="21"/>
      <c r="Y72" s="21"/>
      <c r="Z72" s="21"/>
      <c r="AA72" s="21"/>
      <c r="AB72" s="21"/>
      <c r="AC72" s="23"/>
      <c r="AD72" s="23"/>
      <c r="AE72" s="23"/>
      <c r="AF72" s="23"/>
      <c r="AG72" s="27">
        <v>238713553.10999873</v>
      </c>
      <c r="AH72" s="27">
        <v>160342343.65884095</v>
      </c>
      <c r="AI72" s="15"/>
      <c r="AJ72" s="15"/>
      <c r="AK72" s="15"/>
      <c r="AL72" s="15"/>
      <c r="AM72" s="15"/>
      <c r="AN72" s="1" t="s">
        <v>476</v>
      </c>
    </row>
    <row r="73" spans="1:40" ht="14.1" customHeight="1" x14ac:dyDescent="0.25">
      <c r="A73" s="15" t="s">
        <v>135</v>
      </c>
      <c r="B73" s="15" t="s">
        <v>464</v>
      </c>
      <c r="C73" s="15" t="s">
        <v>465</v>
      </c>
      <c r="D73" s="15" t="s">
        <v>473</v>
      </c>
      <c r="E73" s="15"/>
      <c r="F73" s="19"/>
      <c r="G73" s="19"/>
      <c r="H73" s="25" t="s">
        <v>343</v>
      </c>
      <c r="I73" s="219">
        <f t="shared" si="8"/>
        <v>0</v>
      </c>
      <c r="J73" s="219">
        <f t="shared" si="9"/>
        <v>0</v>
      </c>
      <c r="K73" s="219">
        <f t="shared" si="10"/>
        <v>0</v>
      </c>
      <c r="L73" s="232">
        <f t="shared" si="11"/>
        <v>0</v>
      </c>
      <c r="M73" s="219">
        <f t="shared" si="12"/>
        <v>0</v>
      </c>
      <c r="N73" s="219">
        <f t="shared" si="13"/>
        <v>1220654.8799999997</v>
      </c>
      <c r="O73" s="219">
        <f t="shared" si="14"/>
        <v>0</v>
      </c>
      <c r="P73" s="219">
        <f t="shared" si="15"/>
        <v>0</v>
      </c>
      <c r="Q73" s="219"/>
      <c r="R73" s="26"/>
      <c r="S73" s="26"/>
      <c r="T73" s="21"/>
      <c r="U73" s="21"/>
      <c r="V73" s="21"/>
      <c r="W73" s="21"/>
      <c r="X73" s="21"/>
      <c r="Y73" s="21"/>
      <c r="Z73" s="21"/>
      <c r="AA73" s="21"/>
      <c r="AB73" s="21"/>
      <c r="AC73" s="23"/>
      <c r="AD73" s="23"/>
      <c r="AE73" s="23"/>
      <c r="AF73" s="23"/>
      <c r="AG73" s="27">
        <v>1220654.8799999997</v>
      </c>
      <c r="AH73" s="27">
        <v>0</v>
      </c>
      <c r="AI73" s="15"/>
      <c r="AJ73" s="15"/>
      <c r="AK73" s="15"/>
      <c r="AL73" s="15"/>
      <c r="AM73" s="15"/>
      <c r="AN73" s="1" t="s">
        <v>476</v>
      </c>
    </row>
    <row r="74" spans="1:40" ht="14.1" customHeight="1" x14ac:dyDescent="0.25">
      <c r="A74" s="15" t="s">
        <v>127</v>
      </c>
      <c r="B74" s="15" t="s">
        <v>464</v>
      </c>
      <c r="C74" s="15" t="s">
        <v>465</v>
      </c>
      <c r="D74" s="15" t="s">
        <v>473</v>
      </c>
      <c r="E74" s="15"/>
      <c r="F74" s="19"/>
      <c r="G74" s="19"/>
      <c r="H74" s="25" t="s">
        <v>343</v>
      </c>
      <c r="I74" s="219">
        <f t="shared" si="8"/>
        <v>0</v>
      </c>
      <c r="J74" s="219">
        <f t="shared" si="9"/>
        <v>0</v>
      </c>
      <c r="K74" s="219">
        <f t="shared" si="10"/>
        <v>0</v>
      </c>
      <c r="L74" s="232">
        <f t="shared" si="11"/>
        <v>0</v>
      </c>
      <c r="M74" s="219">
        <f t="shared" si="12"/>
        <v>0</v>
      </c>
      <c r="N74" s="219">
        <f t="shared" si="13"/>
        <v>300455001.49999845</v>
      </c>
      <c r="O74" s="219">
        <f t="shared" si="14"/>
        <v>77923810.478209168</v>
      </c>
      <c r="P74" s="219">
        <f t="shared" si="15"/>
        <v>0</v>
      </c>
      <c r="Q74" s="219"/>
      <c r="R74" s="26"/>
      <c r="S74" s="26"/>
      <c r="T74" s="21"/>
      <c r="U74" s="21"/>
      <c r="V74" s="21"/>
      <c r="W74" s="21"/>
      <c r="X74" s="21"/>
      <c r="Y74" s="21"/>
      <c r="Z74" s="21"/>
      <c r="AA74" s="21"/>
      <c r="AB74" s="21"/>
      <c r="AC74" s="23"/>
      <c r="AD74" s="23"/>
      <c r="AE74" s="23"/>
      <c r="AF74" s="23"/>
      <c r="AG74" s="27">
        <v>300455001.49999845</v>
      </c>
      <c r="AH74" s="27">
        <v>77923810.478209168</v>
      </c>
      <c r="AI74" s="15"/>
      <c r="AJ74" s="15"/>
      <c r="AK74" s="15"/>
      <c r="AL74" s="15"/>
      <c r="AM74" s="15"/>
      <c r="AN74" s="1" t="s">
        <v>476</v>
      </c>
    </row>
    <row r="75" spans="1:40" ht="14.1" customHeight="1" x14ac:dyDescent="0.25">
      <c r="A75" s="15" t="s">
        <v>123</v>
      </c>
      <c r="B75" s="15" t="s">
        <v>464</v>
      </c>
      <c r="C75" s="15" t="s">
        <v>465</v>
      </c>
      <c r="D75" s="15" t="s">
        <v>473</v>
      </c>
      <c r="E75" s="15"/>
      <c r="F75" s="19"/>
      <c r="G75" s="19"/>
      <c r="H75" s="25" t="s">
        <v>343</v>
      </c>
      <c r="I75" s="219">
        <f t="shared" si="8"/>
        <v>0</v>
      </c>
      <c r="J75" s="219">
        <f t="shared" si="9"/>
        <v>0</v>
      </c>
      <c r="K75" s="219">
        <f t="shared" si="10"/>
        <v>0</v>
      </c>
      <c r="L75" s="232">
        <f t="shared" si="11"/>
        <v>0</v>
      </c>
      <c r="M75" s="219">
        <f t="shared" si="12"/>
        <v>0</v>
      </c>
      <c r="N75" s="219">
        <f t="shared" si="13"/>
        <v>1220654.8799999999</v>
      </c>
      <c r="O75" s="219">
        <f t="shared" si="14"/>
        <v>0</v>
      </c>
      <c r="P75" s="219">
        <f t="shared" si="15"/>
        <v>0</v>
      </c>
      <c r="Q75" s="219"/>
      <c r="R75" s="26"/>
      <c r="S75" s="26"/>
      <c r="T75" s="21"/>
      <c r="U75" s="21"/>
      <c r="V75" s="21"/>
      <c r="W75" s="21"/>
      <c r="X75" s="21"/>
      <c r="Y75" s="21"/>
      <c r="Z75" s="21"/>
      <c r="AA75" s="21"/>
      <c r="AB75" s="21"/>
      <c r="AC75" s="23"/>
      <c r="AD75" s="23"/>
      <c r="AE75" s="23"/>
      <c r="AF75" s="23"/>
      <c r="AG75" s="27">
        <v>1220654.8799999999</v>
      </c>
      <c r="AH75" s="27">
        <v>0</v>
      </c>
      <c r="AI75" s="15"/>
      <c r="AJ75" s="15"/>
      <c r="AK75" s="15"/>
      <c r="AL75" s="15"/>
      <c r="AM75" s="15"/>
      <c r="AN75" s="1" t="s">
        <v>476</v>
      </c>
    </row>
    <row r="76" spans="1:40" ht="14.1" customHeight="1" x14ac:dyDescent="0.25">
      <c r="A76" s="15" t="s">
        <v>133</v>
      </c>
      <c r="B76" s="15" t="s">
        <v>464</v>
      </c>
      <c r="C76" s="15" t="s">
        <v>465</v>
      </c>
      <c r="D76" s="15" t="s">
        <v>473</v>
      </c>
      <c r="E76" s="15"/>
      <c r="F76" s="19"/>
      <c r="G76" s="19"/>
      <c r="H76" s="25" t="s">
        <v>343</v>
      </c>
      <c r="I76" s="219">
        <f t="shared" si="8"/>
        <v>0</v>
      </c>
      <c r="J76" s="219">
        <f t="shared" si="9"/>
        <v>0</v>
      </c>
      <c r="K76" s="219">
        <f t="shared" si="10"/>
        <v>0</v>
      </c>
      <c r="L76" s="232">
        <f t="shared" si="11"/>
        <v>0</v>
      </c>
      <c r="M76" s="219">
        <f t="shared" si="12"/>
        <v>0</v>
      </c>
      <c r="N76" s="219">
        <f t="shared" si="13"/>
        <v>22106208.609999988</v>
      </c>
      <c r="O76" s="219">
        <f t="shared" si="14"/>
        <v>0</v>
      </c>
      <c r="P76" s="219">
        <f t="shared" si="15"/>
        <v>0</v>
      </c>
      <c r="Q76" s="219"/>
      <c r="R76" s="26"/>
      <c r="S76" s="26"/>
      <c r="T76" s="21"/>
      <c r="U76" s="21"/>
      <c r="V76" s="21"/>
      <c r="W76" s="21"/>
      <c r="X76" s="21"/>
      <c r="Y76" s="21"/>
      <c r="Z76" s="21"/>
      <c r="AA76" s="21"/>
      <c r="AB76" s="21"/>
      <c r="AC76" s="23"/>
      <c r="AD76" s="23"/>
      <c r="AE76" s="23"/>
      <c r="AF76" s="23"/>
      <c r="AG76" s="27">
        <v>22106208.609999988</v>
      </c>
      <c r="AH76" s="27">
        <v>0</v>
      </c>
      <c r="AI76" s="15"/>
      <c r="AJ76" s="15"/>
      <c r="AK76" s="15"/>
      <c r="AL76" s="15"/>
      <c r="AM76" s="15"/>
      <c r="AN76" s="1" t="s">
        <v>476</v>
      </c>
    </row>
    <row r="77" spans="1:40" ht="14.1" customHeight="1" x14ac:dyDescent="0.25">
      <c r="A77" s="15" t="s">
        <v>135</v>
      </c>
      <c r="B77" s="15" t="s">
        <v>464</v>
      </c>
      <c r="C77" s="15" t="s">
        <v>469</v>
      </c>
      <c r="D77" s="15" t="s">
        <v>477</v>
      </c>
      <c r="E77" s="15" t="s">
        <v>478</v>
      </c>
      <c r="F77" s="19"/>
      <c r="G77" s="19">
        <v>1</v>
      </c>
      <c r="H77" s="25"/>
      <c r="I77" s="219">
        <f t="shared" si="8"/>
        <v>190260307.72000337</v>
      </c>
      <c r="J77" s="219">
        <f t="shared" si="9"/>
        <v>0</v>
      </c>
      <c r="K77" s="219">
        <f t="shared" si="10"/>
        <v>0</v>
      </c>
      <c r="L77" s="232">
        <f t="shared" si="11"/>
        <v>0</v>
      </c>
      <c r="M77" s="219">
        <f t="shared" si="12"/>
        <v>0</v>
      </c>
      <c r="N77" s="219">
        <f t="shared" si="13"/>
        <v>0</v>
      </c>
      <c r="O77" s="219">
        <f t="shared" si="14"/>
        <v>0</v>
      </c>
      <c r="P77" s="219">
        <f t="shared" si="15"/>
        <v>0</v>
      </c>
      <c r="Q77" s="219"/>
      <c r="R77" s="26">
        <v>190260307.72000337</v>
      </c>
      <c r="S77" s="26"/>
      <c r="T77" s="21"/>
      <c r="U77" s="21"/>
      <c r="V77" s="21"/>
      <c r="W77" s="21"/>
      <c r="X77" s="21"/>
      <c r="Y77" s="21"/>
      <c r="Z77" s="21"/>
      <c r="AA77" s="21"/>
      <c r="AB77" s="21"/>
      <c r="AC77" s="23"/>
      <c r="AD77" s="23"/>
      <c r="AE77" s="23"/>
      <c r="AF77" s="23"/>
      <c r="AG77" s="15"/>
      <c r="AH77" s="15"/>
      <c r="AI77" s="15"/>
      <c r="AJ77" s="15"/>
      <c r="AK77" s="15"/>
      <c r="AL77" s="15"/>
      <c r="AM77" s="15"/>
      <c r="AN77" s="1" t="s">
        <v>479</v>
      </c>
    </row>
    <row r="78" spans="1:40" ht="14.1" customHeight="1" x14ac:dyDescent="0.25">
      <c r="A78" s="15" t="s">
        <v>138</v>
      </c>
      <c r="B78" s="15" t="s">
        <v>464</v>
      </c>
      <c r="C78" s="15" t="s">
        <v>469</v>
      </c>
      <c r="D78" s="15" t="s">
        <v>477</v>
      </c>
      <c r="E78" s="15" t="s">
        <v>478</v>
      </c>
      <c r="F78" s="19"/>
      <c r="G78" s="19"/>
      <c r="H78" s="25"/>
      <c r="I78" s="219">
        <f t="shared" si="8"/>
        <v>29062463.519999985</v>
      </c>
      <c r="J78" s="219">
        <f t="shared" si="9"/>
        <v>0</v>
      </c>
      <c r="K78" s="219">
        <f t="shared" si="10"/>
        <v>0</v>
      </c>
      <c r="L78" s="232">
        <f t="shared" si="11"/>
        <v>0</v>
      </c>
      <c r="M78" s="219">
        <f t="shared" si="12"/>
        <v>0</v>
      </c>
      <c r="N78" s="219">
        <f t="shared" si="13"/>
        <v>0</v>
      </c>
      <c r="O78" s="219">
        <f t="shared" si="14"/>
        <v>0</v>
      </c>
      <c r="P78" s="219">
        <f t="shared" si="15"/>
        <v>0</v>
      </c>
      <c r="Q78" s="219"/>
      <c r="R78" s="26">
        <v>29062463.519999985</v>
      </c>
      <c r="S78" s="26"/>
      <c r="T78" s="21"/>
      <c r="U78" s="21"/>
      <c r="V78" s="21"/>
      <c r="W78" s="21"/>
      <c r="X78" s="21"/>
      <c r="Y78" s="21"/>
      <c r="Z78" s="21"/>
      <c r="AA78" s="21"/>
      <c r="AB78" s="21"/>
      <c r="AC78" s="23"/>
      <c r="AD78" s="23"/>
      <c r="AE78" s="23"/>
      <c r="AF78" s="23"/>
      <c r="AG78" s="15"/>
      <c r="AH78" s="15"/>
      <c r="AI78" s="15"/>
      <c r="AJ78" s="15"/>
      <c r="AK78" s="15"/>
      <c r="AL78" s="15"/>
      <c r="AM78" s="15"/>
      <c r="AN78" s="1" t="s">
        <v>479</v>
      </c>
    </row>
    <row r="79" spans="1:40" ht="14.1" customHeight="1" x14ac:dyDescent="0.25">
      <c r="A79" s="15" t="s">
        <v>135</v>
      </c>
      <c r="B79" s="15" t="s">
        <v>464</v>
      </c>
      <c r="C79" s="15" t="s">
        <v>469</v>
      </c>
      <c r="D79" s="15" t="s">
        <v>477</v>
      </c>
      <c r="E79" s="15" t="s">
        <v>478</v>
      </c>
      <c r="F79" s="19"/>
      <c r="G79" s="19">
        <v>1</v>
      </c>
      <c r="H79" s="25"/>
      <c r="I79" s="219">
        <f t="shared" si="8"/>
        <v>398858193.26999992</v>
      </c>
      <c r="J79" s="219">
        <f t="shared" si="9"/>
        <v>0</v>
      </c>
      <c r="K79" s="219">
        <f t="shared" si="10"/>
        <v>0</v>
      </c>
      <c r="L79" s="232">
        <f t="shared" si="11"/>
        <v>0</v>
      </c>
      <c r="M79" s="219">
        <f t="shared" si="12"/>
        <v>0</v>
      </c>
      <c r="N79" s="219">
        <f t="shared" si="13"/>
        <v>0</v>
      </c>
      <c r="O79" s="219">
        <f t="shared" si="14"/>
        <v>0</v>
      </c>
      <c r="P79" s="219">
        <f t="shared" si="15"/>
        <v>0</v>
      </c>
      <c r="Q79" s="219"/>
      <c r="R79" s="26">
        <v>398858193.26999992</v>
      </c>
      <c r="S79" s="26"/>
      <c r="T79" s="21"/>
      <c r="U79" s="21"/>
      <c r="V79" s="21"/>
      <c r="W79" s="21"/>
      <c r="X79" s="21"/>
      <c r="Y79" s="21"/>
      <c r="Z79" s="21"/>
      <c r="AA79" s="21"/>
      <c r="AB79" s="21"/>
      <c r="AC79" s="23"/>
      <c r="AD79" s="23"/>
      <c r="AE79" s="23"/>
      <c r="AF79" s="23"/>
      <c r="AG79" s="15"/>
      <c r="AH79" s="15"/>
      <c r="AI79" s="15"/>
      <c r="AJ79" s="15"/>
      <c r="AK79" s="15"/>
      <c r="AL79" s="15"/>
      <c r="AM79" s="15"/>
      <c r="AN79" s="1" t="s">
        <v>480</v>
      </c>
    </row>
    <row r="80" spans="1:40" ht="14.1" customHeight="1" x14ac:dyDescent="0.25">
      <c r="A80" s="15" t="s">
        <v>135</v>
      </c>
      <c r="B80" s="15" t="s">
        <v>464</v>
      </c>
      <c r="C80" s="15" t="s">
        <v>465</v>
      </c>
      <c r="D80" s="15" t="s">
        <v>473</v>
      </c>
      <c r="E80" s="15"/>
      <c r="F80" s="19"/>
      <c r="G80" s="19"/>
      <c r="H80" s="25" t="s">
        <v>343</v>
      </c>
      <c r="I80" s="219">
        <f t="shared" si="8"/>
        <v>0</v>
      </c>
      <c r="J80" s="219">
        <f t="shared" si="9"/>
        <v>0</v>
      </c>
      <c r="K80" s="219">
        <f t="shared" si="10"/>
        <v>0</v>
      </c>
      <c r="L80" s="232">
        <f t="shared" si="11"/>
        <v>0</v>
      </c>
      <c r="M80" s="219">
        <f t="shared" si="12"/>
        <v>0</v>
      </c>
      <c r="N80" s="219">
        <f t="shared" si="13"/>
        <v>190260307.72000337</v>
      </c>
      <c r="O80" s="219">
        <f t="shared" si="14"/>
        <v>0</v>
      </c>
      <c r="P80" s="219">
        <f t="shared" si="15"/>
        <v>0</v>
      </c>
      <c r="Q80" s="219"/>
      <c r="R80" s="26"/>
      <c r="S80" s="26"/>
      <c r="T80" s="21"/>
      <c r="U80" s="21"/>
      <c r="V80" s="21"/>
      <c r="W80" s="21"/>
      <c r="X80" s="21"/>
      <c r="Y80" s="21"/>
      <c r="Z80" s="21"/>
      <c r="AA80" s="21"/>
      <c r="AB80" s="21"/>
      <c r="AC80" s="23"/>
      <c r="AD80" s="23"/>
      <c r="AE80" s="23"/>
      <c r="AF80" s="23"/>
      <c r="AG80" s="27">
        <v>190260307.72000337</v>
      </c>
      <c r="AH80" s="27"/>
      <c r="AI80" s="15"/>
      <c r="AJ80" s="15"/>
      <c r="AK80" s="15"/>
      <c r="AL80" s="15"/>
      <c r="AM80" s="15"/>
    </row>
    <row r="81" spans="1:39" ht="14.1" customHeight="1" x14ac:dyDescent="0.25">
      <c r="A81" s="15" t="s">
        <v>138</v>
      </c>
      <c r="B81" s="15" t="s">
        <v>464</v>
      </c>
      <c r="C81" s="15" t="s">
        <v>465</v>
      </c>
      <c r="D81" s="15" t="s">
        <v>473</v>
      </c>
      <c r="E81" s="15"/>
      <c r="F81" s="19"/>
      <c r="G81" s="19"/>
      <c r="H81" s="25" t="s">
        <v>343</v>
      </c>
      <c r="I81" s="219">
        <f t="shared" si="8"/>
        <v>0</v>
      </c>
      <c r="J81" s="219">
        <f t="shared" si="9"/>
        <v>0</v>
      </c>
      <c r="K81" s="219">
        <f t="shared" si="10"/>
        <v>0</v>
      </c>
      <c r="L81" s="232">
        <f t="shared" si="11"/>
        <v>0</v>
      </c>
      <c r="M81" s="219">
        <f t="shared" si="12"/>
        <v>0</v>
      </c>
      <c r="N81" s="219">
        <f t="shared" si="13"/>
        <v>29062463.519999985</v>
      </c>
      <c r="O81" s="219">
        <f t="shared" si="14"/>
        <v>0</v>
      </c>
      <c r="P81" s="219">
        <f t="shared" si="15"/>
        <v>0</v>
      </c>
      <c r="Q81" s="219"/>
      <c r="R81" s="26"/>
      <c r="S81" s="26"/>
      <c r="T81" s="21"/>
      <c r="U81" s="21"/>
      <c r="V81" s="21"/>
      <c r="W81" s="21"/>
      <c r="X81" s="21"/>
      <c r="Y81" s="21"/>
      <c r="Z81" s="21"/>
      <c r="AA81" s="21"/>
      <c r="AB81" s="21"/>
      <c r="AC81" s="23"/>
      <c r="AD81" s="23"/>
      <c r="AE81" s="23"/>
      <c r="AF81" s="23"/>
      <c r="AG81" s="27">
        <v>29062463.519999985</v>
      </c>
      <c r="AH81" s="27"/>
      <c r="AI81" s="15"/>
      <c r="AJ81" s="15"/>
      <c r="AK81" s="15"/>
      <c r="AL81" s="15"/>
      <c r="AM81" s="15"/>
    </row>
    <row r="82" spans="1:39" ht="14.1" customHeight="1" x14ac:dyDescent="0.25">
      <c r="A82" s="15" t="s">
        <v>135</v>
      </c>
      <c r="B82" s="15" t="s">
        <v>464</v>
      </c>
      <c r="C82" s="15" t="s">
        <v>465</v>
      </c>
      <c r="D82" s="15" t="s">
        <v>473</v>
      </c>
      <c r="E82" s="15"/>
      <c r="F82" s="19"/>
      <c r="G82" s="19"/>
      <c r="H82" s="25" t="s">
        <v>343</v>
      </c>
      <c r="I82" s="219">
        <f t="shared" si="8"/>
        <v>0</v>
      </c>
      <c r="J82" s="219">
        <f t="shared" si="9"/>
        <v>0</v>
      </c>
      <c r="K82" s="219">
        <f t="shared" si="10"/>
        <v>0</v>
      </c>
      <c r="L82" s="232">
        <f t="shared" si="11"/>
        <v>0</v>
      </c>
      <c r="M82" s="219">
        <f t="shared" si="12"/>
        <v>0</v>
      </c>
      <c r="N82" s="219">
        <f t="shared" si="13"/>
        <v>398858193.26999992</v>
      </c>
      <c r="O82" s="219">
        <f t="shared" si="14"/>
        <v>0</v>
      </c>
      <c r="P82" s="219">
        <f t="shared" si="15"/>
        <v>0</v>
      </c>
      <c r="Q82" s="219"/>
      <c r="R82" s="26"/>
      <c r="S82" s="26"/>
      <c r="T82" s="21"/>
      <c r="U82" s="21"/>
      <c r="V82" s="21"/>
      <c r="W82" s="21"/>
      <c r="X82" s="21"/>
      <c r="Y82" s="21"/>
      <c r="Z82" s="21"/>
      <c r="AA82" s="21"/>
      <c r="AB82" s="21"/>
      <c r="AC82" s="23"/>
      <c r="AD82" s="23"/>
      <c r="AE82" s="23"/>
      <c r="AF82" s="23"/>
      <c r="AG82" s="27">
        <v>398858193.26999992</v>
      </c>
      <c r="AH82" s="27"/>
      <c r="AI82" s="15"/>
      <c r="AJ82" s="15"/>
      <c r="AK82" s="15"/>
      <c r="AL82" s="15"/>
      <c r="AM82" s="15"/>
    </row>
    <row r="83" spans="1:39" ht="14.1" customHeight="1" x14ac:dyDescent="0.25">
      <c r="A83" s="15" t="s">
        <v>135</v>
      </c>
      <c r="B83" s="15" t="s">
        <v>464</v>
      </c>
      <c r="C83" s="15" t="s">
        <v>481</v>
      </c>
      <c r="D83" s="15" t="s">
        <v>482</v>
      </c>
      <c r="E83" s="15" t="s">
        <v>478</v>
      </c>
      <c r="F83" s="19">
        <v>1</v>
      </c>
      <c r="G83" s="19"/>
      <c r="H83" s="25"/>
      <c r="I83" s="219">
        <f t="shared" si="8"/>
        <v>0</v>
      </c>
      <c r="J83" s="219">
        <f t="shared" si="9"/>
        <v>283457019.83000004</v>
      </c>
      <c r="K83" s="219">
        <f t="shared" si="10"/>
        <v>14201168.000000009</v>
      </c>
      <c r="L83" s="232">
        <f t="shared" si="11"/>
        <v>196318626.89000005</v>
      </c>
      <c r="M83" s="219">
        <f t="shared" si="12"/>
        <v>0</v>
      </c>
      <c r="N83" s="219">
        <f t="shared" si="13"/>
        <v>0</v>
      </c>
      <c r="O83" s="219">
        <f t="shared" si="14"/>
        <v>0</v>
      </c>
      <c r="P83" s="219">
        <f t="shared" si="15"/>
        <v>0</v>
      </c>
      <c r="Q83" s="219"/>
      <c r="R83" s="26"/>
      <c r="S83" s="26"/>
      <c r="T83" s="21">
        <v>276632979.85000002</v>
      </c>
      <c r="U83" s="21">
        <v>6824039.9799999986</v>
      </c>
      <c r="V83" s="21">
        <v>0</v>
      </c>
      <c r="W83" s="21">
        <v>14201168.000000009</v>
      </c>
      <c r="X83" s="21">
        <v>15696080.730000002</v>
      </c>
      <c r="Y83" s="21">
        <v>17635733.169999998</v>
      </c>
      <c r="Z83" s="21">
        <v>0</v>
      </c>
      <c r="AA83" s="21">
        <v>56507335.220000096</v>
      </c>
      <c r="AB83" s="21">
        <v>106479477.76999995</v>
      </c>
      <c r="AC83" s="23"/>
      <c r="AD83" s="23"/>
      <c r="AE83" s="23"/>
      <c r="AF83" s="23"/>
      <c r="AG83" s="15"/>
      <c r="AH83" s="15"/>
      <c r="AI83" s="15"/>
      <c r="AJ83" s="15"/>
      <c r="AK83" s="15"/>
      <c r="AL83" s="15"/>
      <c r="AM83" s="15"/>
    </row>
    <row r="84" spans="1:39" ht="14.1" customHeight="1" x14ac:dyDescent="0.25">
      <c r="A84" s="15" t="s">
        <v>127</v>
      </c>
      <c r="B84" s="15" t="s">
        <v>464</v>
      </c>
      <c r="C84" s="15" t="s">
        <v>481</v>
      </c>
      <c r="D84" s="15" t="s">
        <v>483</v>
      </c>
      <c r="E84" s="15" t="s">
        <v>355</v>
      </c>
      <c r="F84" s="19">
        <v>1</v>
      </c>
      <c r="G84" s="19"/>
      <c r="H84" s="25"/>
      <c r="I84" s="219">
        <f t="shared" si="8"/>
        <v>0</v>
      </c>
      <c r="J84" s="219">
        <f t="shared" si="9"/>
        <v>34880558.810000002</v>
      </c>
      <c r="K84" s="219">
        <f t="shared" si="10"/>
        <v>2091125.26</v>
      </c>
      <c r="L84" s="232">
        <f t="shared" si="11"/>
        <v>139815950.95999998</v>
      </c>
      <c r="M84" s="219">
        <f t="shared" si="12"/>
        <v>0</v>
      </c>
      <c r="N84" s="219">
        <f t="shared" si="13"/>
        <v>0</v>
      </c>
      <c r="O84" s="219">
        <f t="shared" si="14"/>
        <v>0</v>
      </c>
      <c r="P84" s="219">
        <f t="shared" si="15"/>
        <v>0</v>
      </c>
      <c r="Q84" s="219"/>
      <c r="R84" s="26"/>
      <c r="S84" s="26"/>
      <c r="T84" s="21">
        <v>13879757.34</v>
      </c>
      <c r="U84" s="21">
        <v>11217073.379999999</v>
      </c>
      <c r="V84" s="21">
        <v>9783728.0899999999</v>
      </c>
      <c r="W84" s="21">
        <v>2091125.26</v>
      </c>
      <c r="X84" s="21">
        <v>8331156.3100000024</v>
      </c>
      <c r="Y84" s="21">
        <v>12428283.960000001</v>
      </c>
      <c r="Z84" s="21">
        <v>310139.44999999995</v>
      </c>
      <c r="AA84" s="21">
        <v>10678521.919999968</v>
      </c>
      <c r="AB84" s="21">
        <v>108067849.32000001</v>
      </c>
      <c r="AC84" s="23"/>
      <c r="AD84" s="23"/>
      <c r="AE84" s="23"/>
      <c r="AF84" s="23"/>
      <c r="AG84" s="15"/>
      <c r="AH84" s="15"/>
      <c r="AI84" s="15"/>
      <c r="AJ84" s="15"/>
      <c r="AK84" s="15"/>
      <c r="AL84" s="15"/>
      <c r="AM84" s="15"/>
    </row>
    <row r="85" spans="1:39" ht="14.1" customHeight="1" x14ac:dyDescent="0.25">
      <c r="A85" s="15" t="s">
        <v>420</v>
      </c>
      <c r="B85" s="15" t="s">
        <v>464</v>
      </c>
      <c r="C85" s="15" t="s">
        <v>481</v>
      </c>
      <c r="D85" s="15" t="s">
        <v>484</v>
      </c>
      <c r="E85" s="15" t="s">
        <v>355</v>
      </c>
      <c r="F85" s="19"/>
      <c r="G85" s="19"/>
      <c r="H85" s="25"/>
      <c r="I85" s="219">
        <f t="shared" si="8"/>
        <v>0</v>
      </c>
      <c r="J85" s="219">
        <f t="shared" si="9"/>
        <v>7559280.2800000003</v>
      </c>
      <c r="K85" s="219">
        <f t="shared" si="10"/>
        <v>293180.96000000002</v>
      </c>
      <c r="L85" s="232">
        <f t="shared" si="11"/>
        <v>6270010.7999999998</v>
      </c>
      <c r="M85" s="219">
        <f t="shared" si="12"/>
        <v>0</v>
      </c>
      <c r="N85" s="219">
        <f t="shared" si="13"/>
        <v>0</v>
      </c>
      <c r="O85" s="219">
        <f t="shared" si="14"/>
        <v>0</v>
      </c>
      <c r="P85" s="219">
        <f t="shared" si="15"/>
        <v>0</v>
      </c>
      <c r="Q85" s="219"/>
      <c r="R85" s="26"/>
      <c r="S85" s="26"/>
      <c r="T85" s="21">
        <v>5171714.540000001</v>
      </c>
      <c r="U85" s="21">
        <v>2387565.7399999993</v>
      </c>
      <c r="V85" s="21">
        <v>0</v>
      </c>
      <c r="W85" s="21">
        <v>293180.96000000002</v>
      </c>
      <c r="X85" s="21">
        <v>2958596.0900000003</v>
      </c>
      <c r="Y85" s="21">
        <v>157219.89000000001</v>
      </c>
      <c r="Z85" s="21">
        <v>0</v>
      </c>
      <c r="AA85" s="21">
        <v>2570081.4799999995</v>
      </c>
      <c r="AB85" s="21">
        <v>584113.33999999985</v>
      </c>
      <c r="AC85" s="23"/>
      <c r="AD85" s="23"/>
      <c r="AE85" s="23"/>
      <c r="AF85" s="23"/>
      <c r="AG85" s="15"/>
      <c r="AH85" s="15"/>
      <c r="AI85" s="15"/>
      <c r="AJ85" s="15"/>
      <c r="AK85" s="15"/>
      <c r="AL85" s="15"/>
      <c r="AM85" s="15"/>
    </row>
    <row r="86" spans="1:39" ht="14.1" customHeight="1" x14ac:dyDescent="0.25">
      <c r="A86" s="15" t="s">
        <v>420</v>
      </c>
      <c r="B86" s="15" t="s">
        <v>464</v>
      </c>
      <c r="C86" s="15" t="s">
        <v>469</v>
      </c>
      <c r="D86" s="15" t="s">
        <v>485</v>
      </c>
      <c r="E86" s="15" t="s">
        <v>355</v>
      </c>
      <c r="F86" s="19"/>
      <c r="G86" s="19"/>
      <c r="H86" s="25"/>
      <c r="I86" s="219">
        <f t="shared" si="8"/>
        <v>0</v>
      </c>
      <c r="J86" s="219">
        <f t="shared" si="9"/>
        <v>0</v>
      </c>
      <c r="K86" s="219">
        <f t="shared" si="10"/>
        <v>8338655.9999999981</v>
      </c>
      <c r="L86" s="232">
        <f t="shared" si="11"/>
        <v>0</v>
      </c>
      <c r="M86" s="219">
        <f t="shared" si="12"/>
        <v>0</v>
      </c>
      <c r="N86" s="219">
        <f t="shared" si="13"/>
        <v>8338655.9999999981</v>
      </c>
      <c r="O86" s="219">
        <f t="shared" si="14"/>
        <v>0</v>
      </c>
      <c r="P86" s="219">
        <f t="shared" si="15"/>
        <v>0</v>
      </c>
      <c r="Q86" s="219"/>
      <c r="R86" s="26"/>
      <c r="S86" s="26"/>
      <c r="T86" s="21">
        <v>0</v>
      </c>
      <c r="U86" s="21">
        <v>0</v>
      </c>
      <c r="V86" s="21">
        <v>0</v>
      </c>
      <c r="W86" s="21">
        <v>8338655.9999999981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3"/>
      <c r="AD86" s="23"/>
      <c r="AE86" s="23"/>
      <c r="AF86" s="23"/>
      <c r="AG86" s="23">
        <v>8338655.9999999981</v>
      </c>
      <c r="AH86" s="15"/>
      <c r="AI86" s="15"/>
      <c r="AJ86" s="15"/>
      <c r="AK86" s="15"/>
      <c r="AL86" s="15"/>
      <c r="AM86" s="15"/>
    </row>
    <row r="87" spans="1:39" ht="14.1" customHeight="1" x14ac:dyDescent="0.25">
      <c r="A87" s="15" t="s">
        <v>383</v>
      </c>
      <c r="B87" s="15" t="s">
        <v>464</v>
      </c>
      <c r="C87" s="15" t="s">
        <v>481</v>
      </c>
      <c r="D87" s="15" t="s">
        <v>484</v>
      </c>
      <c r="E87" s="15" t="s">
        <v>355</v>
      </c>
      <c r="F87" s="19">
        <v>1</v>
      </c>
      <c r="G87" s="19"/>
      <c r="H87" s="25"/>
      <c r="I87" s="219">
        <f t="shared" si="8"/>
        <v>0</v>
      </c>
      <c r="J87" s="219">
        <f t="shared" si="9"/>
        <v>86102087.389999986</v>
      </c>
      <c r="K87" s="219">
        <f t="shared" si="10"/>
        <v>2997710.13</v>
      </c>
      <c r="L87" s="232">
        <f t="shared" si="11"/>
        <v>111635936.67000006</v>
      </c>
      <c r="M87" s="219">
        <f t="shared" si="12"/>
        <v>0</v>
      </c>
      <c r="N87" s="219">
        <f t="shared" si="13"/>
        <v>0</v>
      </c>
      <c r="O87" s="219">
        <f t="shared" si="14"/>
        <v>0</v>
      </c>
      <c r="P87" s="219">
        <f t="shared" si="15"/>
        <v>0</v>
      </c>
      <c r="Q87" s="219"/>
      <c r="R87" s="26"/>
      <c r="S87" s="26"/>
      <c r="T87" s="21">
        <v>21806119.280000001</v>
      </c>
      <c r="U87" s="21">
        <v>60639841.979999997</v>
      </c>
      <c r="V87" s="21">
        <v>3656126.1299999985</v>
      </c>
      <c r="W87" s="21">
        <v>2997710.13</v>
      </c>
      <c r="X87" s="21">
        <v>29385599.409999996</v>
      </c>
      <c r="Y87" s="21">
        <v>8385257.7099999981</v>
      </c>
      <c r="Z87" s="21">
        <v>150462.06</v>
      </c>
      <c r="AA87" s="21">
        <v>24113920.040000062</v>
      </c>
      <c r="AB87" s="21">
        <v>49600697.450000003</v>
      </c>
      <c r="AC87" s="23"/>
      <c r="AD87" s="23"/>
      <c r="AE87" s="23"/>
      <c r="AF87" s="23"/>
      <c r="AG87" s="15"/>
      <c r="AH87" s="15"/>
      <c r="AI87" s="15"/>
      <c r="AJ87" s="15"/>
      <c r="AK87" s="15"/>
      <c r="AL87" s="15"/>
      <c r="AM87" s="15"/>
    </row>
    <row r="88" spans="1:39" ht="14.1" customHeight="1" x14ac:dyDescent="0.25">
      <c r="A88" s="15" t="s">
        <v>383</v>
      </c>
      <c r="B88" s="15" t="s">
        <v>464</v>
      </c>
      <c r="C88" s="15" t="s">
        <v>481</v>
      </c>
      <c r="D88" s="15" t="s">
        <v>482</v>
      </c>
      <c r="E88" s="15" t="s">
        <v>478</v>
      </c>
      <c r="F88" s="19"/>
      <c r="G88" s="19"/>
      <c r="H88" s="25"/>
      <c r="I88" s="219">
        <f t="shared" si="8"/>
        <v>0</v>
      </c>
      <c r="J88" s="219">
        <f t="shared" si="9"/>
        <v>0</v>
      </c>
      <c r="K88" s="219">
        <f t="shared" si="10"/>
        <v>0</v>
      </c>
      <c r="L88" s="232">
        <f t="shared" si="11"/>
        <v>28433.079999999998</v>
      </c>
      <c r="M88" s="219">
        <f t="shared" si="12"/>
        <v>0</v>
      </c>
      <c r="N88" s="219">
        <f t="shared" si="13"/>
        <v>0</v>
      </c>
      <c r="O88" s="219">
        <f t="shared" si="14"/>
        <v>0</v>
      </c>
      <c r="P88" s="219">
        <f t="shared" si="15"/>
        <v>0</v>
      </c>
      <c r="Q88" s="219"/>
      <c r="R88" s="26"/>
      <c r="S88" s="26"/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28433.079999999998</v>
      </c>
      <c r="AB88" s="21">
        <v>0</v>
      </c>
      <c r="AC88" s="23"/>
      <c r="AD88" s="23"/>
      <c r="AE88" s="23"/>
      <c r="AF88" s="23"/>
      <c r="AG88" s="15"/>
      <c r="AH88" s="15"/>
      <c r="AI88" s="15"/>
      <c r="AJ88" s="15"/>
      <c r="AK88" s="15"/>
      <c r="AL88" s="15"/>
      <c r="AM88" s="15"/>
    </row>
    <row r="89" spans="1:39" ht="14.1" customHeight="1" x14ac:dyDescent="0.25">
      <c r="A89" s="15" t="s">
        <v>383</v>
      </c>
      <c r="B89" s="15" t="s">
        <v>464</v>
      </c>
      <c r="C89" s="15" t="s">
        <v>481</v>
      </c>
      <c r="D89" s="15" t="s">
        <v>486</v>
      </c>
      <c r="E89" s="15" t="s">
        <v>428</v>
      </c>
      <c r="F89" s="19"/>
      <c r="G89" s="19"/>
      <c r="H89" s="25"/>
      <c r="I89" s="219">
        <f t="shared" si="8"/>
        <v>0</v>
      </c>
      <c r="J89" s="219">
        <f t="shared" si="9"/>
        <v>0</v>
      </c>
      <c r="K89" s="219">
        <f t="shared" si="10"/>
        <v>0</v>
      </c>
      <c r="L89" s="232">
        <f t="shared" si="11"/>
        <v>6889610.7199999969</v>
      </c>
      <c r="M89" s="219">
        <f t="shared" si="12"/>
        <v>0</v>
      </c>
      <c r="N89" s="219">
        <f t="shared" si="13"/>
        <v>0</v>
      </c>
      <c r="O89" s="219">
        <f t="shared" si="14"/>
        <v>0</v>
      </c>
      <c r="P89" s="219">
        <f t="shared" si="15"/>
        <v>0</v>
      </c>
      <c r="Q89" s="219"/>
      <c r="R89" s="26"/>
      <c r="S89" s="26"/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6889610.7199999969</v>
      </c>
      <c r="AC89" s="23"/>
      <c r="AD89" s="23"/>
      <c r="AE89" s="23"/>
      <c r="AF89" s="23"/>
      <c r="AG89" s="15"/>
      <c r="AH89" s="15"/>
      <c r="AI89" s="15"/>
      <c r="AJ89" s="15"/>
      <c r="AK89" s="15"/>
      <c r="AL89" s="15"/>
      <c r="AM89" s="15"/>
    </row>
    <row r="90" spans="1:39" ht="14.1" customHeight="1" x14ac:dyDescent="0.25">
      <c r="A90" s="15" t="s">
        <v>383</v>
      </c>
      <c r="B90" s="15" t="s">
        <v>464</v>
      </c>
      <c r="C90" s="15" t="s">
        <v>469</v>
      </c>
      <c r="D90" s="15" t="s">
        <v>485</v>
      </c>
      <c r="E90" s="15" t="s">
        <v>355</v>
      </c>
      <c r="F90" s="19">
        <v>1</v>
      </c>
      <c r="G90" s="19"/>
      <c r="H90" s="25"/>
      <c r="I90" s="219">
        <f t="shared" si="8"/>
        <v>0</v>
      </c>
      <c r="J90" s="219">
        <f t="shared" si="9"/>
        <v>0</v>
      </c>
      <c r="K90" s="219">
        <f t="shared" si="10"/>
        <v>55786787.809999935</v>
      </c>
      <c r="L90" s="232">
        <f t="shared" si="11"/>
        <v>0</v>
      </c>
      <c r="M90" s="219">
        <f t="shared" si="12"/>
        <v>0</v>
      </c>
      <c r="N90" s="219">
        <f t="shared" si="13"/>
        <v>55786787.809999935</v>
      </c>
      <c r="O90" s="219">
        <f t="shared" si="14"/>
        <v>0</v>
      </c>
      <c r="P90" s="219">
        <f t="shared" si="15"/>
        <v>0</v>
      </c>
      <c r="Q90" s="219"/>
      <c r="R90" s="26"/>
      <c r="S90" s="26"/>
      <c r="T90" s="21">
        <v>0</v>
      </c>
      <c r="U90" s="21">
        <v>0</v>
      </c>
      <c r="V90" s="21">
        <v>0</v>
      </c>
      <c r="W90" s="21">
        <v>55786787.809999935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3"/>
      <c r="AD90" s="23"/>
      <c r="AE90" s="23"/>
      <c r="AF90" s="23"/>
      <c r="AG90" s="21">
        <v>55786787.809999935</v>
      </c>
      <c r="AH90" s="15"/>
      <c r="AI90" s="15"/>
      <c r="AJ90" s="15"/>
      <c r="AK90" s="15"/>
      <c r="AL90" s="15"/>
      <c r="AM90" s="15"/>
    </row>
    <row r="91" spans="1:39" ht="14.1" customHeight="1" x14ac:dyDescent="0.25">
      <c r="A91" s="15" t="s">
        <v>383</v>
      </c>
      <c r="B91" s="15" t="s">
        <v>464</v>
      </c>
      <c r="C91" s="15" t="s">
        <v>481</v>
      </c>
      <c r="D91" s="15" t="s">
        <v>486</v>
      </c>
      <c r="E91" s="15" t="s">
        <v>430</v>
      </c>
      <c r="F91" s="19"/>
      <c r="G91" s="19"/>
      <c r="H91" s="25"/>
      <c r="I91" s="219">
        <f t="shared" si="8"/>
        <v>0</v>
      </c>
      <c r="J91" s="219">
        <f t="shared" si="9"/>
        <v>0</v>
      </c>
      <c r="K91" s="219">
        <f t="shared" si="10"/>
        <v>2201971.15</v>
      </c>
      <c r="L91" s="232">
        <f t="shared" si="11"/>
        <v>0</v>
      </c>
      <c r="M91" s="219">
        <f t="shared" si="12"/>
        <v>0</v>
      </c>
      <c r="N91" s="219">
        <f t="shared" si="13"/>
        <v>0</v>
      </c>
      <c r="O91" s="219">
        <f t="shared" si="14"/>
        <v>0</v>
      </c>
      <c r="P91" s="219">
        <f t="shared" si="15"/>
        <v>0</v>
      </c>
      <c r="Q91" s="219"/>
      <c r="R91" s="26"/>
      <c r="S91" s="26"/>
      <c r="T91" s="21">
        <v>0</v>
      </c>
      <c r="U91" s="21">
        <v>0</v>
      </c>
      <c r="V91" s="21">
        <v>0</v>
      </c>
      <c r="W91" s="21">
        <v>2201971.15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3"/>
      <c r="AD91" s="23"/>
      <c r="AE91" s="23"/>
      <c r="AF91" s="23"/>
      <c r="AG91" s="23"/>
      <c r="AH91" s="15"/>
      <c r="AI91" s="15"/>
      <c r="AJ91" s="15"/>
      <c r="AK91" s="15"/>
      <c r="AL91" s="15"/>
      <c r="AM91" s="15"/>
    </row>
    <row r="92" spans="1:39" ht="14.1" customHeight="1" x14ac:dyDescent="0.25">
      <c r="A92" s="15" t="s">
        <v>344</v>
      </c>
      <c r="B92" s="15" t="s">
        <v>464</v>
      </c>
      <c r="C92" s="15" t="s">
        <v>481</v>
      </c>
      <c r="D92" s="15" t="s">
        <v>486</v>
      </c>
      <c r="E92" s="15" t="s">
        <v>428</v>
      </c>
      <c r="F92" s="19">
        <v>1</v>
      </c>
      <c r="G92" s="19"/>
      <c r="H92" s="25"/>
      <c r="I92" s="219">
        <f t="shared" si="8"/>
        <v>0</v>
      </c>
      <c r="J92" s="219">
        <f t="shared" si="9"/>
        <v>16476732.709999999</v>
      </c>
      <c r="K92" s="219">
        <f t="shared" si="10"/>
        <v>4822398.8600000003</v>
      </c>
      <c r="L92" s="232">
        <f t="shared" si="11"/>
        <v>58859998.560000047</v>
      </c>
      <c r="M92" s="219">
        <f t="shared" si="12"/>
        <v>0</v>
      </c>
      <c r="N92" s="219">
        <f t="shared" si="13"/>
        <v>0</v>
      </c>
      <c r="O92" s="219">
        <f t="shared" si="14"/>
        <v>0</v>
      </c>
      <c r="P92" s="219">
        <f t="shared" si="15"/>
        <v>0</v>
      </c>
      <c r="Q92" s="219"/>
      <c r="R92" s="26"/>
      <c r="S92" s="26"/>
      <c r="T92" s="21">
        <v>16476732.709999999</v>
      </c>
      <c r="U92" s="21">
        <v>0</v>
      </c>
      <c r="V92" s="21">
        <v>0</v>
      </c>
      <c r="W92" s="21">
        <v>4822398.8600000003</v>
      </c>
      <c r="X92" s="21">
        <v>4066794.26</v>
      </c>
      <c r="Y92" s="21">
        <v>11509027.369999997</v>
      </c>
      <c r="Z92" s="21">
        <v>1244835.1199999999</v>
      </c>
      <c r="AA92" s="21">
        <v>23564487.640000045</v>
      </c>
      <c r="AB92" s="21">
        <v>18474854.170000002</v>
      </c>
      <c r="AC92" s="23"/>
      <c r="AD92" s="23"/>
      <c r="AE92" s="23"/>
      <c r="AF92" s="23"/>
      <c r="AG92" s="23"/>
      <c r="AH92" s="15"/>
      <c r="AI92" s="15"/>
      <c r="AJ92" s="15"/>
      <c r="AK92" s="15"/>
      <c r="AL92" s="15"/>
      <c r="AM92" s="15"/>
    </row>
    <row r="93" spans="1:39" ht="14.1" customHeight="1" x14ac:dyDescent="0.25">
      <c r="A93" s="15" t="s">
        <v>344</v>
      </c>
      <c r="B93" s="15" t="s">
        <v>464</v>
      </c>
      <c r="C93" s="15" t="s">
        <v>481</v>
      </c>
      <c r="D93" s="15" t="s">
        <v>486</v>
      </c>
      <c r="E93" s="15" t="s">
        <v>430</v>
      </c>
      <c r="F93" s="19"/>
      <c r="G93" s="19"/>
      <c r="H93" s="25"/>
      <c r="I93" s="219">
        <f t="shared" si="8"/>
        <v>0</v>
      </c>
      <c r="J93" s="219">
        <f t="shared" si="9"/>
        <v>0</v>
      </c>
      <c r="K93" s="219">
        <f t="shared" si="10"/>
        <v>390935.39</v>
      </c>
      <c r="L93" s="232">
        <f t="shared" si="11"/>
        <v>0</v>
      </c>
      <c r="M93" s="219">
        <f t="shared" si="12"/>
        <v>0</v>
      </c>
      <c r="N93" s="219">
        <f t="shared" si="13"/>
        <v>0</v>
      </c>
      <c r="O93" s="219">
        <f t="shared" si="14"/>
        <v>0</v>
      </c>
      <c r="P93" s="219">
        <f t="shared" si="15"/>
        <v>0</v>
      </c>
      <c r="Q93" s="219"/>
      <c r="R93" s="26"/>
      <c r="S93" s="26"/>
      <c r="T93" s="21">
        <v>0</v>
      </c>
      <c r="U93" s="21">
        <v>0</v>
      </c>
      <c r="V93" s="21">
        <v>0</v>
      </c>
      <c r="W93" s="21">
        <v>390935.39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3"/>
      <c r="AD93" s="23"/>
      <c r="AE93" s="23"/>
      <c r="AF93" s="23"/>
      <c r="AG93" s="23"/>
      <c r="AH93" s="15"/>
      <c r="AI93" s="15"/>
      <c r="AJ93" s="15"/>
      <c r="AK93" s="15"/>
      <c r="AL93" s="15"/>
      <c r="AM93" s="15"/>
    </row>
    <row r="94" spans="1:39" ht="14.1" customHeight="1" x14ac:dyDescent="0.25">
      <c r="A94" s="15" t="s">
        <v>344</v>
      </c>
      <c r="B94" s="15" t="s">
        <v>464</v>
      </c>
      <c r="C94" s="15" t="s">
        <v>469</v>
      </c>
      <c r="D94" s="15" t="s">
        <v>485</v>
      </c>
      <c r="E94" s="15" t="s">
        <v>428</v>
      </c>
      <c r="F94" s="19">
        <v>1</v>
      </c>
      <c r="G94" s="19"/>
      <c r="H94" s="25"/>
      <c r="I94" s="219">
        <f t="shared" si="8"/>
        <v>0</v>
      </c>
      <c r="J94" s="219">
        <f t="shared" si="9"/>
        <v>0</v>
      </c>
      <c r="K94" s="219">
        <f t="shared" si="10"/>
        <v>26885692.90000001</v>
      </c>
      <c r="L94" s="232">
        <f t="shared" si="11"/>
        <v>0</v>
      </c>
      <c r="M94" s="219">
        <f t="shared" si="12"/>
        <v>0</v>
      </c>
      <c r="N94" s="219">
        <f t="shared" si="13"/>
        <v>26885692.90000001</v>
      </c>
      <c r="O94" s="219">
        <f t="shared" si="14"/>
        <v>0</v>
      </c>
      <c r="P94" s="219">
        <f t="shared" si="15"/>
        <v>0</v>
      </c>
      <c r="Q94" s="219"/>
      <c r="R94" s="26"/>
      <c r="S94" s="26"/>
      <c r="T94" s="21">
        <v>0</v>
      </c>
      <c r="U94" s="21">
        <v>0</v>
      </c>
      <c r="V94" s="21">
        <v>0</v>
      </c>
      <c r="W94" s="21">
        <v>26885692.90000001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3"/>
      <c r="AD94" s="23"/>
      <c r="AE94" s="23"/>
      <c r="AF94" s="23"/>
      <c r="AG94" s="21">
        <v>26885692.90000001</v>
      </c>
      <c r="AH94" s="15"/>
      <c r="AI94" s="15"/>
      <c r="AJ94" s="15"/>
      <c r="AK94" s="15"/>
      <c r="AL94" s="15"/>
      <c r="AM94" s="15"/>
    </row>
    <row r="95" spans="1:39" ht="14.1" customHeight="1" x14ac:dyDescent="0.25">
      <c r="A95" s="15" t="s">
        <v>344</v>
      </c>
      <c r="B95" s="15" t="s">
        <v>464</v>
      </c>
      <c r="C95" s="15" t="s">
        <v>469</v>
      </c>
      <c r="D95" s="15" t="s">
        <v>485</v>
      </c>
      <c r="E95" s="15" t="s">
        <v>355</v>
      </c>
      <c r="F95" s="19"/>
      <c r="G95" s="19"/>
      <c r="H95" s="25"/>
      <c r="I95" s="219">
        <f t="shared" si="8"/>
        <v>0</v>
      </c>
      <c r="J95" s="219">
        <f t="shared" si="9"/>
        <v>0</v>
      </c>
      <c r="K95" s="219">
        <f t="shared" si="10"/>
        <v>47364394.949999921</v>
      </c>
      <c r="L95" s="232">
        <f t="shared" si="11"/>
        <v>0</v>
      </c>
      <c r="M95" s="219">
        <f t="shared" si="12"/>
        <v>0</v>
      </c>
      <c r="N95" s="219">
        <f t="shared" si="13"/>
        <v>47364394.949999921</v>
      </c>
      <c r="O95" s="219">
        <f t="shared" si="14"/>
        <v>0</v>
      </c>
      <c r="P95" s="219">
        <f t="shared" si="15"/>
        <v>0</v>
      </c>
      <c r="Q95" s="219"/>
      <c r="R95" s="26"/>
      <c r="S95" s="26"/>
      <c r="T95" s="21">
        <v>0</v>
      </c>
      <c r="U95" s="21">
        <v>0</v>
      </c>
      <c r="V95" s="21">
        <v>0</v>
      </c>
      <c r="W95" s="21">
        <v>47364394.949999921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3"/>
      <c r="AD95" s="23"/>
      <c r="AE95" s="23"/>
      <c r="AF95" s="23"/>
      <c r="AG95" s="21">
        <v>47364394.949999921</v>
      </c>
      <c r="AH95" s="15"/>
      <c r="AI95" s="15"/>
      <c r="AJ95" s="15"/>
      <c r="AK95" s="15"/>
      <c r="AL95" s="15"/>
      <c r="AM95" s="15"/>
    </row>
    <row r="96" spans="1:39" ht="14.1" customHeight="1" x14ac:dyDescent="0.25">
      <c r="A96" s="15" t="s">
        <v>344</v>
      </c>
      <c r="B96" s="15" t="s">
        <v>464</v>
      </c>
      <c r="C96" s="15" t="s">
        <v>481</v>
      </c>
      <c r="D96" s="15" t="s">
        <v>486</v>
      </c>
      <c r="E96" s="15" t="s">
        <v>355</v>
      </c>
      <c r="F96" s="19"/>
      <c r="G96" s="19"/>
      <c r="H96" s="25"/>
      <c r="I96" s="219">
        <f t="shared" si="8"/>
        <v>0</v>
      </c>
      <c r="J96" s="219">
        <f t="shared" si="9"/>
        <v>0</v>
      </c>
      <c r="K96" s="219">
        <f t="shared" si="10"/>
        <v>0</v>
      </c>
      <c r="L96" s="232">
        <f t="shared" si="11"/>
        <v>5225326.0500000007</v>
      </c>
      <c r="M96" s="219">
        <f t="shared" si="12"/>
        <v>0</v>
      </c>
      <c r="N96" s="219">
        <f t="shared" si="13"/>
        <v>0</v>
      </c>
      <c r="O96" s="219">
        <f t="shared" si="14"/>
        <v>0</v>
      </c>
      <c r="P96" s="219">
        <f t="shared" si="15"/>
        <v>0</v>
      </c>
      <c r="Q96" s="219"/>
      <c r="R96" s="26"/>
      <c r="S96" s="26"/>
      <c r="T96" s="21">
        <v>0</v>
      </c>
      <c r="U96" s="21">
        <v>0</v>
      </c>
      <c r="V96" s="21">
        <v>0</v>
      </c>
      <c r="W96" s="21">
        <v>0</v>
      </c>
      <c r="X96" s="21">
        <v>4504874.2200000007</v>
      </c>
      <c r="Y96" s="21">
        <v>0</v>
      </c>
      <c r="Z96" s="21">
        <v>0</v>
      </c>
      <c r="AA96" s="21">
        <v>720451.83</v>
      </c>
      <c r="AB96" s="21">
        <v>0</v>
      </c>
      <c r="AC96" s="23"/>
      <c r="AD96" s="23"/>
      <c r="AE96" s="23"/>
      <c r="AF96" s="23"/>
      <c r="AG96" s="23"/>
      <c r="AH96" s="15"/>
      <c r="AI96" s="15"/>
      <c r="AJ96" s="15"/>
      <c r="AK96" s="15"/>
      <c r="AL96" s="15"/>
      <c r="AM96" s="15"/>
    </row>
    <row r="97" spans="1:39" ht="14.1" customHeight="1" x14ac:dyDescent="0.25">
      <c r="A97" s="15" t="s">
        <v>344</v>
      </c>
      <c r="B97" s="15" t="s">
        <v>464</v>
      </c>
      <c r="C97" s="15" t="s">
        <v>481</v>
      </c>
      <c r="D97" s="15" t="s">
        <v>482</v>
      </c>
      <c r="E97" s="15" t="s">
        <v>478</v>
      </c>
      <c r="F97" s="19"/>
      <c r="G97" s="19"/>
      <c r="H97" s="25"/>
      <c r="I97" s="219">
        <f t="shared" si="8"/>
        <v>0</v>
      </c>
      <c r="J97" s="219">
        <f t="shared" si="9"/>
        <v>0</v>
      </c>
      <c r="K97" s="219">
        <f t="shared" si="10"/>
        <v>0</v>
      </c>
      <c r="L97" s="232">
        <f t="shared" si="11"/>
        <v>9909.8700000000008</v>
      </c>
      <c r="M97" s="219">
        <f t="shared" si="12"/>
        <v>0</v>
      </c>
      <c r="N97" s="219">
        <f t="shared" si="13"/>
        <v>0</v>
      </c>
      <c r="O97" s="219">
        <f t="shared" si="14"/>
        <v>0</v>
      </c>
      <c r="P97" s="219">
        <f t="shared" si="15"/>
        <v>0</v>
      </c>
      <c r="Q97" s="219"/>
      <c r="R97" s="26"/>
      <c r="S97" s="26"/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9909.8700000000008</v>
      </c>
      <c r="AB97" s="21">
        <v>0</v>
      </c>
      <c r="AC97" s="23"/>
      <c r="AD97" s="23"/>
      <c r="AE97" s="23"/>
      <c r="AF97" s="23"/>
      <c r="AG97" s="23"/>
      <c r="AH97" s="15"/>
      <c r="AI97" s="15"/>
      <c r="AJ97" s="15"/>
      <c r="AK97" s="15"/>
      <c r="AL97" s="15"/>
      <c r="AM97" s="15"/>
    </row>
    <row r="98" spans="1:39" ht="14.1" customHeight="1" x14ac:dyDescent="0.25">
      <c r="A98" s="15" t="s">
        <v>344</v>
      </c>
      <c r="B98" s="15" t="s">
        <v>464</v>
      </c>
      <c r="C98" s="15" t="s">
        <v>481</v>
      </c>
      <c r="D98" s="15" t="s">
        <v>483</v>
      </c>
      <c r="E98" s="15" t="s">
        <v>428</v>
      </c>
      <c r="F98" s="19"/>
      <c r="G98" s="19"/>
      <c r="H98" s="25"/>
      <c r="I98" s="219">
        <f t="shared" si="8"/>
        <v>0</v>
      </c>
      <c r="J98" s="219">
        <f t="shared" si="9"/>
        <v>0</v>
      </c>
      <c r="K98" s="219">
        <f t="shared" si="10"/>
        <v>0</v>
      </c>
      <c r="L98" s="232">
        <f t="shared" si="11"/>
        <v>7785298.8700000001</v>
      </c>
      <c r="M98" s="219">
        <f t="shared" si="12"/>
        <v>0</v>
      </c>
      <c r="N98" s="219">
        <f t="shared" si="13"/>
        <v>0</v>
      </c>
      <c r="O98" s="219">
        <f t="shared" si="14"/>
        <v>0</v>
      </c>
      <c r="P98" s="219">
        <f t="shared" si="15"/>
        <v>0</v>
      </c>
      <c r="Q98" s="219"/>
      <c r="R98" s="26"/>
      <c r="S98" s="26"/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7785298.8700000001</v>
      </c>
      <c r="Z98" s="21">
        <v>0</v>
      </c>
      <c r="AA98" s="21">
        <v>0</v>
      </c>
      <c r="AB98" s="21">
        <v>0</v>
      </c>
      <c r="AC98" s="23"/>
      <c r="AD98" s="23"/>
      <c r="AE98" s="23"/>
      <c r="AF98" s="23"/>
      <c r="AG98" s="23"/>
      <c r="AH98" s="15"/>
      <c r="AI98" s="15"/>
      <c r="AJ98" s="15"/>
      <c r="AK98" s="15"/>
      <c r="AL98" s="15"/>
      <c r="AM98" s="15"/>
    </row>
    <row r="99" spans="1:39" ht="14.1" customHeight="1" x14ac:dyDescent="0.25">
      <c r="A99" s="15" t="s">
        <v>135</v>
      </c>
      <c r="B99" s="15" t="s">
        <v>464</v>
      </c>
      <c r="C99" s="15" t="s">
        <v>481</v>
      </c>
      <c r="D99" s="15" t="s">
        <v>482</v>
      </c>
      <c r="E99" s="15" t="s">
        <v>487</v>
      </c>
      <c r="F99" s="19">
        <v>1</v>
      </c>
      <c r="G99" s="19"/>
      <c r="H99" s="25"/>
      <c r="I99" s="219">
        <f t="shared" si="8"/>
        <v>0</v>
      </c>
      <c r="J99" s="219">
        <f t="shared" si="9"/>
        <v>0</v>
      </c>
      <c r="K99" s="219">
        <f t="shared" si="10"/>
        <v>0</v>
      </c>
      <c r="L99" s="232">
        <f t="shared" si="11"/>
        <v>109518113.71000004</v>
      </c>
      <c r="M99" s="219">
        <f t="shared" si="12"/>
        <v>0</v>
      </c>
      <c r="N99" s="219">
        <f t="shared" si="13"/>
        <v>0</v>
      </c>
      <c r="O99" s="219">
        <f t="shared" si="14"/>
        <v>0</v>
      </c>
      <c r="P99" s="219">
        <f t="shared" si="15"/>
        <v>0</v>
      </c>
      <c r="Q99" s="219"/>
      <c r="R99" s="26"/>
      <c r="S99" s="26"/>
      <c r="T99" s="21">
        <v>0</v>
      </c>
      <c r="U99" s="21">
        <v>0</v>
      </c>
      <c r="V99" s="21">
        <v>0</v>
      </c>
      <c r="W99" s="21">
        <v>0</v>
      </c>
      <c r="X99" s="21">
        <v>86692869.090000033</v>
      </c>
      <c r="Y99" s="21">
        <v>4301816.5600000005</v>
      </c>
      <c r="Z99" s="21">
        <v>0</v>
      </c>
      <c r="AA99" s="21">
        <v>18523428.060000002</v>
      </c>
      <c r="AB99" s="21">
        <v>0</v>
      </c>
      <c r="AC99" s="23"/>
      <c r="AD99" s="23"/>
      <c r="AE99" s="23"/>
      <c r="AF99" s="23"/>
      <c r="AG99" s="23"/>
      <c r="AH99" s="15"/>
      <c r="AI99" s="15"/>
      <c r="AJ99" s="15"/>
      <c r="AK99" s="15"/>
      <c r="AL99" s="15"/>
      <c r="AM99" s="15"/>
    </row>
    <row r="100" spans="1:39" ht="14.1" customHeight="1" x14ac:dyDescent="0.25">
      <c r="A100" s="15" t="s">
        <v>135</v>
      </c>
      <c r="B100" s="15" t="s">
        <v>464</v>
      </c>
      <c r="C100" s="15" t="s">
        <v>481</v>
      </c>
      <c r="D100" s="15" t="s">
        <v>483</v>
      </c>
      <c r="E100" s="15" t="s">
        <v>355</v>
      </c>
      <c r="F100" s="19"/>
      <c r="G100" s="19"/>
      <c r="H100" s="25"/>
      <c r="I100" s="219">
        <f t="shared" si="8"/>
        <v>0</v>
      </c>
      <c r="J100" s="219">
        <f t="shared" si="9"/>
        <v>0</v>
      </c>
      <c r="K100" s="219">
        <f t="shared" si="10"/>
        <v>0</v>
      </c>
      <c r="L100" s="232">
        <f t="shared" si="11"/>
        <v>3302547.12</v>
      </c>
      <c r="M100" s="219">
        <f t="shared" si="12"/>
        <v>0</v>
      </c>
      <c r="N100" s="219">
        <f t="shared" si="13"/>
        <v>0</v>
      </c>
      <c r="O100" s="219">
        <f t="shared" si="14"/>
        <v>0</v>
      </c>
      <c r="P100" s="219">
        <f t="shared" si="15"/>
        <v>0</v>
      </c>
      <c r="Q100" s="219"/>
      <c r="R100" s="26"/>
      <c r="S100" s="26"/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3302547.12</v>
      </c>
      <c r="AC100" s="23"/>
      <c r="AD100" s="23"/>
      <c r="AE100" s="23"/>
      <c r="AF100" s="23"/>
      <c r="AG100" s="23"/>
      <c r="AH100" s="15"/>
      <c r="AI100" s="15"/>
      <c r="AJ100" s="15"/>
      <c r="AK100" s="15"/>
      <c r="AL100" s="15"/>
      <c r="AM100" s="15"/>
    </row>
    <row r="101" spans="1:39" ht="14.1" customHeight="1" x14ac:dyDescent="0.25">
      <c r="A101" s="15" t="s">
        <v>135</v>
      </c>
      <c r="B101" s="15" t="s">
        <v>464</v>
      </c>
      <c r="C101" s="15" t="s">
        <v>481</v>
      </c>
      <c r="D101" s="15" t="s">
        <v>483</v>
      </c>
      <c r="E101" s="15" t="s">
        <v>478</v>
      </c>
      <c r="F101" s="19"/>
      <c r="G101" s="19"/>
      <c r="H101" s="25"/>
      <c r="I101" s="219">
        <f t="shared" si="8"/>
        <v>0</v>
      </c>
      <c r="J101" s="219">
        <f t="shared" si="9"/>
        <v>19524447.250000004</v>
      </c>
      <c r="K101" s="219">
        <f t="shared" si="10"/>
        <v>0</v>
      </c>
      <c r="L101" s="232">
        <f t="shared" si="11"/>
        <v>65665.02</v>
      </c>
      <c r="M101" s="219">
        <f t="shared" si="12"/>
        <v>0</v>
      </c>
      <c r="N101" s="219">
        <f t="shared" si="13"/>
        <v>0</v>
      </c>
      <c r="O101" s="219">
        <f t="shared" si="14"/>
        <v>0</v>
      </c>
      <c r="P101" s="219">
        <f t="shared" si="15"/>
        <v>0</v>
      </c>
      <c r="Q101" s="219"/>
      <c r="R101" s="26"/>
      <c r="S101" s="26"/>
      <c r="T101" s="21">
        <v>0</v>
      </c>
      <c r="U101" s="21">
        <v>19524447.250000004</v>
      </c>
      <c r="V101" s="21">
        <v>0</v>
      </c>
      <c r="W101" s="21">
        <v>0</v>
      </c>
      <c r="X101" s="21">
        <v>0</v>
      </c>
      <c r="Y101" s="21">
        <v>65665.02</v>
      </c>
      <c r="Z101" s="21">
        <v>0</v>
      </c>
      <c r="AA101" s="21">
        <v>0</v>
      </c>
      <c r="AB101" s="21">
        <v>0</v>
      </c>
      <c r="AC101" s="23"/>
      <c r="AD101" s="23"/>
      <c r="AE101" s="23"/>
      <c r="AF101" s="23"/>
      <c r="AG101" s="23"/>
      <c r="AH101" s="15"/>
      <c r="AI101" s="15"/>
      <c r="AJ101" s="15"/>
      <c r="AK101" s="15"/>
      <c r="AL101" s="15"/>
      <c r="AM101" s="15"/>
    </row>
    <row r="102" spans="1:39" ht="14.1" customHeight="1" x14ac:dyDescent="0.25">
      <c r="A102" s="15" t="s">
        <v>127</v>
      </c>
      <c r="B102" s="15" t="s">
        <v>464</v>
      </c>
      <c r="C102" s="15" t="s">
        <v>481</v>
      </c>
      <c r="D102" s="15" t="s">
        <v>484</v>
      </c>
      <c r="E102" s="15" t="s">
        <v>355</v>
      </c>
      <c r="F102" s="19"/>
      <c r="G102" s="19"/>
      <c r="H102" s="25"/>
      <c r="I102" s="219">
        <f t="shared" si="8"/>
        <v>0</v>
      </c>
      <c r="J102" s="219">
        <f t="shared" si="9"/>
        <v>0</v>
      </c>
      <c r="K102" s="219">
        <f t="shared" si="10"/>
        <v>0</v>
      </c>
      <c r="L102" s="232">
        <f t="shared" si="11"/>
        <v>10775322.740000002</v>
      </c>
      <c r="M102" s="219">
        <f t="shared" si="12"/>
        <v>0</v>
      </c>
      <c r="N102" s="219">
        <f t="shared" si="13"/>
        <v>0</v>
      </c>
      <c r="O102" s="219">
        <f t="shared" si="14"/>
        <v>0</v>
      </c>
      <c r="P102" s="219">
        <f t="shared" si="15"/>
        <v>0</v>
      </c>
      <c r="Q102" s="219"/>
      <c r="R102" s="26"/>
      <c r="S102" s="26"/>
      <c r="T102" s="21">
        <v>0</v>
      </c>
      <c r="U102" s="21">
        <v>0</v>
      </c>
      <c r="V102" s="21">
        <v>0</v>
      </c>
      <c r="W102" s="21">
        <v>0</v>
      </c>
      <c r="X102" s="21">
        <v>10775322.740000002</v>
      </c>
      <c r="Y102" s="21">
        <v>0</v>
      </c>
      <c r="Z102" s="21">
        <v>0</v>
      </c>
      <c r="AA102" s="21">
        <v>0</v>
      </c>
      <c r="AB102" s="21">
        <v>0</v>
      </c>
      <c r="AC102" s="23"/>
      <c r="AD102" s="23"/>
      <c r="AE102" s="23"/>
      <c r="AF102" s="23"/>
      <c r="AG102" s="23"/>
      <c r="AH102" s="15"/>
      <c r="AI102" s="15"/>
      <c r="AJ102" s="15"/>
      <c r="AK102" s="15"/>
      <c r="AL102" s="15"/>
      <c r="AM102" s="15"/>
    </row>
    <row r="103" spans="1:39" ht="14.1" customHeight="1" x14ac:dyDescent="0.25">
      <c r="A103" s="15" t="s">
        <v>127</v>
      </c>
      <c r="B103" s="15" t="s">
        <v>464</v>
      </c>
      <c r="C103" s="15" t="s">
        <v>469</v>
      </c>
      <c r="D103" s="15" t="s">
        <v>485</v>
      </c>
      <c r="E103" s="15" t="s">
        <v>355</v>
      </c>
      <c r="F103" s="19">
        <v>1</v>
      </c>
      <c r="G103" s="19"/>
      <c r="H103" s="25"/>
      <c r="I103" s="219">
        <f t="shared" si="8"/>
        <v>0</v>
      </c>
      <c r="J103" s="219">
        <f t="shared" si="9"/>
        <v>0</v>
      </c>
      <c r="K103" s="219">
        <f t="shared" si="10"/>
        <v>31316449.110000011</v>
      </c>
      <c r="L103" s="232">
        <f t="shared" si="11"/>
        <v>0</v>
      </c>
      <c r="M103" s="219">
        <f t="shared" si="12"/>
        <v>0</v>
      </c>
      <c r="N103" s="219">
        <f t="shared" si="13"/>
        <v>31316449.110000011</v>
      </c>
      <c r="O103" s="219">
        <f t="shared" si="14"/>
        <v>0</v>
      </c>
      <c r="P103" s="219">
        <f t="shared" si="15"/>
        <v>0</v>
      </c>
      <c r="Q103" s="219"/>
      <c r="R103" s="26"/>
      <c r="S103" s="26"/>
      <c r="T103" s="21">
        <v>0</v>
      </c>
      <c r="U103" s="21">
        <v>0</v>
      </c>
      <c r="V103" s="21">
        <v>0</v>
      </c>
      <c r="W103" s="21">
        <v>31316449.110000011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3"/>
      <c r="AD103" s="23"/>
      <c r="AE103" s="23"/>
      <c r="AF103" s="23"/>
      <c r="AG103" s="21">
        <v>31316449.110000011</v>
      </c>
      <c r="AH103" s="15"/>
      <c r="AI103" s="15"/>
      <c r="AJ103" s="15"/>
      <c r="AK103" s="15"/>
      <c r="AL103" s="15"/>
      <c r="AM103" s="15"/>
    </row>
    <row r="104" spans="1:39" ht="14.1" customHeight="1" x14ac:dyDescent="0.25">
      <c r="A104" s="15" t="s">
        <v>127</v>
      </c>
      <c r="B104" s="15" t="s">
        <v>464</v>
      </c>
      <c r="C104" s="15" t="s">
        <v>481</v>
      </c>
      <c r="D104" s="15" t="s">
        <v>486</v>
      </c>
      <c r="E104" s="15" t="s">
        <v>430</v>
      </c>
      <c r="F104" s="19"/>
      <c r="G104" s="19"/>
      <c r="H104" s="25"/>
      <c r="I104" s="219">
        <f t="shared" si="8"/>
        <v>0</v>
      </c>
      <c r="J104" s="219">
        <f t="shared" si="9"/>
        <v>0</v>
      </c>
      <c r="K104" s="219">
        <f t="shared" si="10"/>
        <v>16367163.050000001</v>
      </c>
      <c r="L104" s="232">
        <f t="shared" si="11"/>
        <v>0</v>
      </c>
      <c r="M104" s="219">
        <f t="shared" si="12"/>
        <v>0</v>
      </c>
      <c r="N104" s="219">
        <f t="shared" si="13"/>
        <v>0</v>
      </c>
      <c r="O104" s="219">
        <f t="shared" si="14"/>
        <v>0</v>
      </c>
      <c r="P104" s="219">
        <f t="shared" si="15"/>
        <v>0</v>
      </c>
      <c r="Q104" s="219"/>
      <c r="R104" s="26"/>
      <c r="S104" s="26"/>
      <c r="T104" s="21">
        <v>0</v>
      </c>
      <c r="U104" s="21">
        <v>0</v>
      </c>
      <c r="V104" s="21">
        <v>0</v>
      </c>
      <c r="W104" s="21">
        <v>16367163.050000001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3"/>
      <c r="AD104" s="23"/>
      <c r="AE104" s="23"/>
      <c r="AF104" s="23"/>
      <c r="AG104" s="23"/>
      <c r="AH104" s="15"/>
      <c r="AI104" s="15"/>
      <c r="AJ104" s="15"/>
      <c r="AK104" s="15"/>
      <c r="AL104" s="15"/>
      <c r="AM104" s="15"/>
    </row>
    <row r="105" spans="1:39" ht="14.1" customHeight="1" x14ac:dyDescent="0.25">
      <c r="A105" s="15" t="s">
        <v>127</v>
      </c>
      <c r="B105" s="15" t="s">
        <v>464</v>
      </c>
      <c r="C105" s="15" t="s">
        <v>481</v>
      </c>
      <c r="D105" s="15" t="s">
        <v>483</v>
      </c>
      <c r="E105" s="15" t="s">
        <v>478</v>
      </c>
      <c r="F105" s="19"/>
      <c r="G105" s="19"/>
      <c r="H105" s="25"/>
      <c r="I105" s="219">
        <f t="shared" si="8"/>
        <v>0</v>
      </c>
      <c r="J105" s="219">
        <f t="shared" si="9"/>
        <v>0</v>
      </c>
      <c r="K105" s="219">
        <f t="shared" si="10"/>
        <v>0</v>
      </c>
      <c r="L105" s="232">
        <f t="shared" si="11"/>
        <v>15694.580000000002</v>
      </c>
      <c r="M105" s="219">
        <f t="shared" si="12"/>
        <v>0</v>
      </c>
      <c r="N105" s="219">
        <f t="shared" si="13"/>
        <v>0</v>
      </c>
      <c r="O105" s="219">
        <f t="shared" si="14"/>
        <v>0</v>
      </c>
      <c r="P105" s="219">
        <f t="shared" si="15"/>
        <v>0</v>
      </c>
      <c r="Q105" s="219"/>
      <c r="R105" s="26"/>
      <c r="S105" s="26"/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15694.580000000002</v>
      </c>
      <c r="AB105" s="21">
        <v>0</v>
      </c>
      <c r="AC105" s="23"/>
      <c r="AD105" s="23"/>
      <c r="AE105" s="23"/>
      <c r="AF105" s="23"/>
      <c r="AG105" s="23"/>
      <c r="AH105" s="15"/>
      <c r="AI105" s="15"/>
      <c r="AJ105" s="15"/>
      <c r="AK105" s="15"/>
      <c r="AL105" s="15"/>
      <c r="AM105" s="15"/>
    </row>
    <row r="106" spans="1:39" ht="14.1" customHeight="1" x14ac:dyDescent="0.25">
      <c r="A106" s="15" t="s">
        <v>127</v>
      </c>
      <c r="B106" s="15" t="s">
        <v>464</v>
      </c>
      <c r="C106" s="15" t="s">
        <v>481</v>
      </c>
      <c r="D106" s="15" t="s">
        <v>483</v>
      </c>
      <c r="E106" s="15" t="s">
        <v>428</v>
      </c>
      <c r="F106" s="19"/>
      <c r="G106" s="19"/>
      <c r="H106" s="25"/>
      <c r="I106" s="219">
        <f t="shared" si="8"/>
        <v>0</v>
      </c>
      <c r="J106" s="219">
        <f t="shared" si="9"/>
        <v>0</v>
      </c>
      <c r="K106" s="219">
        <f t="shared" si="10"/>
        <v>0</v>
      </c>
      <c r="L106" s="232">
        <f t="shared" si="11"/>
        <v>31116021.569999993</v>
      </c>
      <c r="M106" s="219">
        <f t="shared" si="12"/>
        <v>0</v>
      </c>
      <c r="N106" s="219">
        <f t="shared" si="13"/>
        <v>0</v>
      </c>
      <c r="O106" s="219">
        <f t="shared" si="14"/>
        <v>0</v>
      </c>
      <c r="P106" s="219">
        <f t="shared" si="15"/>
        <v>0</v>
      </c>
      <c r="Q106" s="219"/>
      <c r="R106" s="26"/>
      <c r="S106" s="26"/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78903.149999999994</v>
      </c>
      <c r="AB106" s="21">
        <v>31037118.419999994</v>
      </c>
      <c r="AC106" s="23"/>
      <c r="AD106" s="23"/>
      <c r="AE106" s="23"/>
      <c r="AF106" s="23"/>
      <c r="AG106" s="23"/>
      <c r="AH106" s="15"/>
      <c r="AI106" s="15"/>
      <c r="AJ106" s="15"/>
      <c r="AK106" s="15"/>
      <c r="AL106" s="15"/>
      <c r="AM106" s="15"/>
    </row>
    <row r="107" spans="1:39" ht="14.1" customHeight="1" x14ac:dyDescent="0.25">
      <c r="A107" s="15" t="s">
        <v>123</v>
      </c>
      <c r="B107" s="15" t="s">
        <v>464</v>
      </c>
      <c r="C107" s="15" t="s">
        <v>481</v>
      </c>
      <c r="D107" s="15" t="s">
        <v>486</v>
      </c>
      <c r="E107" s="15" t="s">
        <v>430</v>
      </c>
      <c r="F107" s="19">
        <v>1</v>
      </c>
      <c r="G107" s="19"/>
      <c r="H107" s="25"/>
      <c r="I107" s="219">
        <f t="shared" si="8"/>
        <v>0</v>
      </c>
      <c r="J107" s="219">
        <f t="shared" si="9"/>
        <v>14587671.609999998</v>
      </c>
      <c r="K107" s="219">
        <f t="shared" si="10"/>
        <v>84991549.110000074</v>
      </c>
      <c r="L107" s="232">
        <f t="shared" si="11"/>
        <v>61231694.460000016</v>
      </c>
      <c r="M107" s="219">
        <f t="shared" si="12"/>
        <v>0</v>
      </c>
      <c r="N107" s="219">
        <f t="shared" si="13"/>
        <v>0</v>
      </c>
      <c r="O107" s="219">
        <f t="shared" si="14"/>
        <v>0</v>
      </c>
      <c r="P107" s="219">
        <f t="shared" si="15"/>
        <v>0</v>
      </c>
      <c r="Q107" s="219"/>
      <c r="R107" s="26"/>
      <c r="S107" s="26"/>
      <c r="T107" s="21">
        <v>13379034.709999997</v>
      </c>
      <c r="U107" s="21">
        <v>1208636.9000000001</v>
      </c>
      <c r="V107" s="21">
        <v>0</v>
      </c>
      <c r="W107" s="21">
        <v>84991549.110000074</v>
      </c>
      <c r="X107" s="21">
        <v>903403.1100000001</v>
      </c>
      <c r="Y107" s="21">
        <v>17161031.190000001</v>
      </c>
      <c r="Z107" s="21">
        <v>0</v>
      </c>
      <c r="AA107" s="21">
        <v>8152832.7700000051</v>
      </c>
      <c r="AB107" s="21">
        <v>35014427.390000008</v>
      </c>
      <c r="AC107" s="23"/>
      <c r="AD107" s="23"/>
      <c r="AE107" s="23"/>
      <c r="AF107" s="23"/>
      <c r="AG107" s="23"/>
      <c r="AH107" s="15"/>
      <c r="AI107" s="15"/>
      <c r="AJ107" s="15"/>
      <c r="AK107" s="15"/>
      <c r="AL107" s="15"/>
      <c r="AM107" s="15"/>
    </row>
    <row r="108" spans="1:39" ht="14.1" customHeight="1" x14ac:dyDescent="0.25">
      <c r="A108" s="15" t="s">
        <v>133</v>
      </c>
      <c r="B108" s="15" t="s">
        <v>464</v>
      </c>
      <c r="C108" s="15" t="s">
        <v>469</v>
      </c>
      <c r="D108" s="15" t="s">
        <v>485</v>
      </c>
      <c r="E108" s="15" t="s">
        <v>428</v>
      </c>
      <c r="F108" s="19">
        <v>1</v>
      </c>
      <c r="G108" s="19"/>
      <c r="H108" s="25"/>
      <c r="I108" s="219">
        <f t="shared" si="8"/>
        <v>0</v>
      </c>
      <c r="J108" s="219">
        <f t="shared" si="9"/>
        <v>0</v>
      </c>
      <c r="K108" s="219">
        <f t="shared" si="10"/>
        <v>87333646.37999998</v>
      </c>
      <c r="L108" s="232">
        <f t="shared" si="11"/>
        <v>0</v>
      </c>
      <c r="M108" s="219">
        <f t="shared" si="12"/>
        <v>0</v>
      </c>
      <c r="N108" s="219">
        <f t="shared" si="13"/>
        <v>87333646.37999998</v>
      </c>
      <c r="O108" s="219">
        <f t="shared" si="14"/>
        <v>0</v>
      </c>
      <c r="P108" s="219">
        <f t="shared" si="15"/>
        <v>0</v>
      </c>
      <c r="Q108" s="219"/>
      <c r="R108" s="26"/>
      <c r="S108" s="26"/>
      <c r="T108" s="21">
        <v>0</v>
      </c>
      <c r="U108" s="21">
        <v>0</v>
      </c>
      <c r="V108" s="21">
        <v>0</v>
      </c>
      <c r="W108" s="21">
        <v>87333646.37999998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3"/>
      <c r="AD108" s="23"/>
      <c r="AE108" s="23"/>
      <c r="AF108" s="23"/>
      <c r="AG108" s="21">
        <v>87333646.37999998</v>
      </c>
      <c r="AH108" s="15"/>
      <c r="AI108" s="15"/>
      <c r="AJ108" s="15"/>
      <c r="AK108" s="15"/>
      <c r="AL108" s="15"/>
      <c r="AM108" s="15"/>
    </row>
    <row r="109" spans="1:39" ht="14.1" customHeight="1" x14ac:dyDescent="0.25">
      <c r="A109" s="15" t="s">
        <v>133</v>
      </c>
      <c r="B109" s="15" t="s">
        <v>464</v>
      </c>
      <c r="C109" s="15" t="s">
        <v>469</v>
      </c>
      <c r="D109" s="15" t="s">
        <v>485</v>
      </c>
      <c r="E109" s="15" t="s">
        <v>355</v>
      </c>
      <c r="F109" s="19"/>
      <c r="G109" s="19"/>
      <c r="H109" s="25"/>
      <c r="I109" s="219">
        <f t="shared" si="8"/>
        <v>0</v>
      </c>
      <c r="J109" s="219">
        <f t="shared" si="9"/>
        <v>0</v>
      </c>
      <c r="K109" s="219">
        <f t="shared" si="10"/>
        <v>855691.44000000006</v>
      </c>
      <c r="L109" s="232">
        <f t="shared" si="11"/>
        <v>0</v>
      </c>
      <c r="M109" s="219">
        <f t="shared" si="12"/>
        <v>0</v>
      </c>
      <c r="N109" s="219">
        <f t="shared" si="13"/>
        <v>855691.44000000006</v>
      </c>
      <c r="O109" s="219">
        <f t="shared" si="14"/>
        <v>0</v>
      </c>
      <c r="P109" s="219">
        <f t="shared" si="15"/>
        <v>0</v>
      </c>
      <c r="Q109" s="219"/>
      <c r="R109" s="26"/>
      <c r="S109" s="26"/>
      <c r="T109" s="21">
        <v>0</v>
      </c>
      <c r="U109" s="21">
        <v>0</v>
      </c>
      <c r="V109" s="21">
        <v>0</v>
      </c>
      <c r="W109" s="21">
        <v>855691.44000000006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3"/>
      <c r="AD109" s="23"/>
      <c r="AE109" s="23"/>
      <c r="AF109" s="23"/>
      <c r="AG109" s="21">
        <v>855691.44000000006</v>
      </c>
      <c r="AH109" s="15"/>
      <c r="AI109" s="15"/>
      <c r="AJ109" s="15"/>
      <c r="AK109" s="15"/>
      <c r="AL109" s="15"/>
      <c r="AM109" s="15"/>
    </row>
    <row r="110" spans="1:39" ht="14.1" customHeight="1" x14ac:dyDescent="0.25">
      <c r="A110" s="15" t="s">
        <v>133</v>
      </c>
      <c r="B110" s="15" t="s">
        <v>464</v>
      </c>
      <c r="C110" s="15" t="s">
        <v>481</v>
      </c>
      <c r="D110" s="15" t="s">
        <v>483</v>
      </c>
      <c r="E110" s="15" t="s">
        <v>355</v>
      </c>
      <c r="F110" s="19"/>
      <c r="G110" s="19"/>
      <c r="H110" s="25"/>
      <c r="I110" s="219">
        <f t="shared" si="8"/>
        <v>0</v>
      </c>
      <c r="J110" s="219">
        <f t="shared" si="9"/>
        <v>0</v>
      </c>
      <c r="K110" s="219">
        <f t="shared" si="10"/>
        <v>0</v>
      </c>
      <c r="L110" s="232">
        <f t="shared" si="11"/>
        <v>508431.55999999994</v>
      </c>
      <c r="M110" s="219">
        <f t="shared" si="12"/>
        <v>0</v>
      </c>
      <c r="N110" s="219">
        <f t="shared" si="13"/>
        <v>0</v>
      </c>
      <c r="O110" s="219">
        <f t="shared" si="14"/>
        <v>0</v>
      </c>
      <c r="P110" s="219">
        <f t="shared" si="15"/>
        <v>0</v>
      </c>
      <c r="Q110" s="219"/>
      <c r="R110" s="26"/>
      <c r="S110" s="26"/>
      <c r="T110" s="21">
        <v>0</v>
      </c>
      <c r="U110" s="21">
        <v>0</v>
      </c>
      <c r="V110" s="21">
        <v>0</v>
      </c>
      <c r="W110" s="21">
        <v>0</v>
      </c>
      <c r="X110" s="21">
        <v>508431.55999999994</v>
      </c>
      <c r="Y110" s="21">
        <v>0</v>
      </c>
      <c r="Z110" s="21">
        <v>0</v>
      </c>
      <c r="AA110" s="21">
        <v>0</v>
      </c>
      <c r="AB110" s="21">
        <v>0</v>
      </c>
      <c r="AC110" s="23"/>
      <c r="AD110" s="23"/>
      <c r="AE110" s="23"/>
      <c r="AF110" s="23"/>
      <c r="AG110" s="15"/>
      <c r="AH110" s="15"/>
      <c r="AI110" s="15"/>
      <c r="AJ110" s="15"/>
      <c r="AK110" s="15"/>
      <c r="AL110" s="15"/>
      <c r="AM110" s="15"/>
    </row>
    <row r="111" spans="1:39" ht="14.1" customHeight="1" x14ac:dyDescent="0.25">
      <c r="A111" s="15" t="s">
        <v>133</v>
      </c>
      <c r="B111" s="15" t="s">
        <v>464</v>
      </c>
      <c r="C111" s="15" t="s">
        <v>481</v>
      </c>
      <c r="D111" s="15" t="s">
        <v>486</v>
      </c>
      <c r="E111" s="15" t="s">
        <v>428</v>
      </c>
      <c r="F111" s="19">
        <v>1</v>
      </c>
      <c r="G111" s="19"/>
      <c r="H111" s="25"/>
      <c r="I111" s="219">
        <f t="shared" si="8"/>
        <v>0</v>
      </c>
      <c r="J111" s="219">
        <f t="shared" si="9"/>
        <v>6077749.5899999999</v>
      </c>
      <c r="K111" s="219">
        <f t="shared" si="10"/>
        <v>982012.08</v>
      </c>
      <c r="L111" s="232">
        <f t="shared" si="11"/>
        <v>47188551.959999993</v>
      </c>
      <c r="M111" s="219">
        <f t="shared" si="12"/>
        <v>0</v>
      </c>
      <c r="N111" s="219">
        <f t="shared" si="13"/>
        <v>0</v>
      </c>
      <c r="O111" s="219">
        <f t="shared" si="14"/>
        <v>0</v>
      </c>
      <c r="P111" s="219">
        <f t="shared" si="15"/>
        <v>0</v>
      </c>
      <c r="Q111" s="219"/>
      <c r="R111" s="26"/>
      <c r="S111" s="26"/>
      <c r="T111" s="21">
        <v>6077749.5899999999</v>
      </c>
      <c r="U111" s="21">
        <v>0</v>
      </c>
      <c r="V111" s="21">
        <v>0</v>
      </c>
      <c r="W111" s="21">
        <v>982012.08</v>
      </c>
      <c r="X111" s="21">
        <v>3443212.4599999995</v>
      </c>
      <c r="Y111" s="21">
        <v>6989677.290000001</v>
      </c>
      <c r="Z111" s="21">
        <v>2037874.27</v>
      </c>
      <c r="AA111" s="21">
        <v>15762558.589999992</v>
      </c>
      <c r="AB111" s="21">
        <v>18955229.350000005</v>
      </c>
      <c r="AC111" s="23"/>
      <c r="AD111" s="23"/>
      <c r="AE111" s="23"/>
      <c r="AF111" s="23"/>
      <c r="AG111" s="15"/>
      <c r="AH111" s="15"/>
      <c r="AI111" s="15"/>
      <c r="AJ111" s="15"/>
      <c r="AK111" s="15"/>
      <c r="AL111" s="15"/>
      <c r="AM111" s="15"/>
    </row>
    <row r="112" spans="1:39" ht="14.1" customHeight="1" x14ac:dyDescent="0.25">
      <c r="A112" s="15" t="s">
        <v>133</v>
      </c>
      <c r="B112" s="15" t="s">
        <v>464</v>
      </c>
      <c r="C112" s="15" t="s">
        <v>481</v>
      </c>
      <c r="D112" s="15" t="s">
        <v>483</v>
      </c>
      <c r="E112" s="15" t="s">
        <v>428</v>
      </c>
      <c r="F112" s="19"/>
      <c r="G112" s="19"/>
      <c r="H112" s="25"/>
      <c r="I112" s="219">
        <f t="shared" si="8"/>
        <v>0</v>
      </c>
      <c r="J112" s="219">
        <f t="shared" si="9"/>
        <v>6196445.6400000006</v>
      </c>
      <c r="K112" s="219">
        <f t="shared" si="10"/>
        <v>0</v>
      </c>
      <c r="L112" s="232">
        <f t="shared" si="11"/>
        <v>1588019.9799999997</v>
      </c>
      <c r="M112" s="219">
        <f t="shared" si="12"/>
        <v>0</v>
      </c>
      <c r="N112" s="219">
        <f t="shared" si="13"/>
        <v>0</v>
      </c>
      <c r="O112" s="219">
        <f t="shared" si="14"/>
        <v>0</v>
      </c>
      <c r="P112" s="219">
        <f t="shared" si="15"/>
        <v>0</v>
      </c>
      <c r="Q112" s="219"/>
      <c r="R112" s="26"/>
      <c r="S112" s="26"/>
      <c r="T112" s="21">
        <v>0</v>
      </c>
      <c r="U112" s="21">
        <v>6196445.6400000006</v>
      </c>
      <c r="V112" s="21">
        <v>0</v>
      </c>
      <c r="W112" s="21">
        <v>0</v>
      </c>
      <c r="X112" s="21">
        <v>0</v>
      </c>
      <c r="Y112" s="21">
        <v>1588019.9799999997</v>
      </c>
      <c r="Z112" s="21">
        <v>0</v>
      </c>
      <c r="AA112" s="21">
        <v>0</v>
      </c>
      <c r="AB112" s="21">
        <v>0</v>
      </c>
      <c r="AC112" s="23"/>
      <c r="AD112" s="23"/>
      <c r="AE112" s="23"/>
      <c r="AF112" s="23"/>
      <c r="AG112" s="15"/>
      <c r="AH112" s="15"/>
      <c r="AI112" s="15"/>
      <c r="AJ112" s="15"/>
      <c r="AK112" s="15"/>
      <c r="AL112" s="15"/>
      <c r="AM112" s="15"/>
    </row>
    <row r="113" spans="1:40" ht="14.1" customHeight="1" x14ac:dyDescent="0.25">
      <c r="A113" s="15" t="s">
        <v>139</v>
      </c>
      <c r="B113" s="15" t="s">
        <v>464</v>
      </c>
      <c r="C113" s="15" t="s">
        <v>481</v>
      </c>
      <c r="D113" s="15" t="s">
        <v>482</v>
      </c>
      <c r="E113" s="15" t="s">
        <v>478</v>
      </c>
      <c r="F113" s="19"/>
      <c r="G113" s="19"/>
      <c r="H113" s="25"/>
      <c r="I113" s="219">
        <f t="shared" si="8"/>
        <v>0</v>
      </c>
      <c r="J113" s="219">
        <f t="shared" si="9"/>
        <v>7522983.4700000007</v>
      </c>
      <c r="K113" s="219">
        <f t="shared" si="10"/>
        <v>98786.069999999992</v>
      </c>
      <c r="L113" s="232">
        <f t="shared" si="11"/>
        <v>9930056.3099999987</v>
      </c>
      <c r="M113" s="219">
        <f t="shared" si="12"/>
        <v>0</v>
      </c>
      <c r="N113" s="219">
        <f t="shared" si="13"/>
        <v>0</v>
      </c>
      <c r="O113" s="219">
        <f t="shared" si="14"/>
        <v>0</v>
      </c>
      <c r="P113" s="219">
        <f t="shared" si="15"/>
        <v>0</v>
      </c>
      <c r="Q113" s="219"/>
      <c r="R113" s="26"/>
      <c r="S113" s="26"/>
      <c r="T113" s="21">
        <v>7522983.4700000007</v>
      </c>
      <c r="U113" s="21"/>
      <c r="V113" s="21"/>
      <c r="W113" s="21">
        <v>98786.069999999992</v>
      </c>
      <c r="X113" s="21">
        <v>2126318.75</v>
      </c>
      <c r="Y113" s="21">
        <v>34862.129999999997</v>
      </c>
      <c r="Z113" s="21">
        <v>0</v>
      </c>
      <c r="AA113" s="21">
        <v>3804085.9099999997</v>
      </c>
      <c r="AB113" s="21">
        <v>3964789.5199999996</v>
      </c>
      <c r="AC113" s="23"/>
      <c r="AD113" s="23"/>
      <c r="AE113" s="23"/>
      <c r="AF113" s="23"/>
      <c r="AG113" s="15"/>
      <c r="AH113" s="15"/>
      <c r="AI113" s="15"/>
      <c r="AJ113" s="15"/>
      <c r="AK113" s="15"/>
      <c r="AL113" s="15"/>
      <c r="AM113" s="15"/>
    </row>
    <row r="114" spans="1:40" ht="14.1" customHeight="1" x14ac:dyDescent="0.25">
      <c r="A114" s="15" t="s">
        <v>138</v>
      </c>
      <c r="B114" s="15" t="s">
        <v>464</v>
      </c>
      <c r="C114" s="15" t="s">
        <v>481</v>
      </c>
      <c r="D114" s="15" t="s">
        <v>482</v>
      </c>
      <c r="E114" s="15" t="s">
        <v>478</v>
      </c>
      <c r="F114" s="19">
        <v>1</v>
      </c>
      <c r="G114" s="19"/>
      <c r="H114" s="25"/>
      <c r="I114" s="219">
        <f t="shared" si="8"/>
        <v>0</v>
      </c>
      <c r="J114" s="219">
        <f t="shared" si="9"/>
        <v>31451267.149999999</v>
      </c>
      <c r="K114" s="219">
        <f t="shared" si="10"/>
        <v>1880603.23</v>
      </c>
      <c r="L114" s="232">
        <f t="shared" si="11"/>
        <v>94654020.920000017</v>
      </c>
      <c r="M114" s="219">
        <f t="shared" si="12"/>
        <v>0</v>
      </c>
      <c r="N114" s="219">
        <f t="shared" si="13"/>
        <v>0</v>
      </c>
      <c r="O114" s="219">
        <f t="shared" si="14"/>
        <v>0</v>
      </c>
      <c r="P114" s="219">
        <f t="shared" si="15"/>
        <v>0</v>
      </c>
      <c r="Q114" s="219"/>
      <c r="R114" s="26"/>
      <c r="S114" s="26"/>
      <c r="T114" s="21">
        <v>31451267.149999999</v>
      </c>
      <c r="U114" s="21">
        <v>0</v>
      </c>
      <c r="V114" s="21">
        <v>0</v>
      </c>
      <c r="W114" s="21">
        <v>1880603.23</v>
      </c>
      <c r="X114" s="21">
        <v>5776037.3800000008</v>
      </c>
      <c r="Y114" s="21">
        <v>7732129.9400000023</v>
      </c>
      <c r="Z114" s="21">
        <v>0</v>
      </c>
      <c r="AA114" s="21">
        <v>17829784.870000005</v>
      </c>
      <c r="AB114" s="21">
        <v>63316068.730000012</v>
      </c>
      <c r="AC114" s="23"/>
      <c r="AD114" s="23"/>
      <c r="AE114" s="23"/>
      <c r="AF114" s="23"/>
      <c r="AG114" s="15"/>
      <c r="AH114" s="15"/>
      <c r="AI114" s="15"/>
      <c r="AJ114" s="15"/>
      <c r="AK114" s="15"/>
      <c r="AL114" s="15"/>
      <c r="AM114" s="15"/>
    </row>
    <row r="115" spans="1:40" ht="14.1" customHeight="1" x14ac:dyDescent="0.25">
      <c r="A115" s="15" t="s">
        <v>90</v>
      </c>
      <c r="B115" s="15" t="s">
        <v>464</v>
      </c>
      <c r="C115" s="15" t="s">
        <v>469</v>
      </c>
      <c r="D115" s="15" t="s">
        <v>477</v>
      </c>
      <c r="E115" s="15" t="s">
        <v>424</v>
      </c>
      <c r="F115" s="19"/>
      <c r="G115" s="19"/>
      <c r="H115" s="25"/>
      <c r="I115" s="219">
        <f t="shared" si="8"/>
        <v>34087387.920000017</v>
      </c>
      <c r="J115" s="219">
        <f t="shared" si="9"/>
        <v>0</v>
      </c>
      <c r="K115" s="219">
        <f t="shared" si="10"/>
        <v>0</v>
      </c>
      <c r="L115" s="232">
        <f t="shared" si="11"/>
        <v>0</v>
      </c>
      <c r="M115" s="219">
        <f t="shared" si="12"/>
        <v>0</v>
      </c>
      <c r="N115" s="219">
        <f t="shared" si="13"/>
        <v>0</v>
      </c>
      <c r="O115" s="219">
        <f t="shared" si="14"/>
        <v>0</v>
      </c>
      <c r="P115" s="219">
        <f t="shared" si="15"/>
        <v>0</v>
      </c>
      <c r="Q115" s="219"/>
      <c r="R115" s="21">
        <v>34087387.920000017</v>
      </c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3"/>
      <c r="AD115" s="23"/>
      <c r="AE115" s="23"/>
      <c r="AF115" s="23"/>
      <c r="AG115" s="15"/>
      <c r="AH115" s="15"/>
      <c r="AI115" s="15"/>
      <c r="AJ115" s="15"/>
      <c r="AK115" s="15"/>
      <c r="AL115" s="15"/>
      <c r="AM115" s="15"/>
      <c r="AN115" s="1" t="s">
        <v>479</v>
      </c>
    </row>
    <row r="116" spans="1:40" ht="14.1" customHeight="1" x14ac:dyDescent="0.25">
      <c r="A116" s="15" t="s">
        <v>90</v>
      </c>
      <c r="B116" s="15" t="s">
        <v>464</v>
      </c>
      <c r="C116" s="15" t="s">
        <v>469</v>
      </c>
      <c r="D116" s="15" t="s">
        <v>477</v>
      </c>
      <c r="E116" s="15" t="s">
        <v>424</v>
      </c>
      <c r="F116" s="19"/>
      <c r="G116" s="19"/>
      <c r="H116" s="25"/>
      <c r="I116" s="219">
        <f t="shared" si="8"/>
        <v>100115674.67999995</v>
      </c>
      <c r="J116" s="219">
        <f t="shared" si="9"/>
        <v>0</v>
      </c>
      <c r="K116" s="219">
        <f t="shared" si="10"/>
        <v>0</v>
      </c>
      <c r="L116" s="232">
        <f t="shared" si="11"/>
        <v>0</v>
      </c>
      <c r="M116" s="219">
        <f t="shared" si="12"/>
        <v>0</v>
      </c>
      <c r="N116" s="219">
        <f t="shared" si="13"/>
        <v>0</v>
      </c>
      <c r="O116" s="219">
        <f t="shared" si="14"/>
        <v>0</v>
      </c>
      <c r="P116" s="219">
        <f t="shared" si="15"/>
        <v>0</v>
      </c>
      <c r="Q116" s="219"/>
      <c r="R116" s="21">
        <v>100115674.67999995</v>
      </c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3"/>
      <c r="AD116" s="23"/>
      <c r="AE116" s="23"/>
      <c r="AF116" s="23"/>
      <c r="AG116" s="15"/>
      <c r="AH116" s="15"/>
      <c r="AI116" s="15"/>
      <c r="AJ116" s="15"/>
      <c r="AK116" s="15"/>
      <c r="AL116" s="15"/>
      <c r="AM116" s="15"/>
      <c r="AN116" s="1" t="s">
        <v>488</v>
      </c>
    </row>
    <row r="117" spans="1:40" x14ac:dyDescent="0.25">
      <c r="I117" s="219">
        <f t="shared" si="8"/>
        <v>0</v>
      </c>
      <c r="J117" s="219">
        <f t="shared" si="9"/>
        <v>0</v>
      </c>
      <c r="K117" s="219">
        <f t="shared" si="10"/>
        <v>0</v>
      </c>
      <c r="L117" s="232">
        <f t="shared" si="11"/>
        <v>0</v>
      </c>
      <c r="M117" s="219">
        <f t="shared" si="12"/>
        <v>0</v>
      </c>
      <c r="N117" s="219">
        <f t="shared" si="13"/>
        <v>0</v>
      </c>
      <c r="O117" s="219">
        <f t="shared" si="14"/>
        <v>0</v>
      </c>
      <c r="P117" s="219">
        <f t="shared" si="15"/>
        <v>0</v>
      </c>
      <c r="Q117" s="219"/>
    </row>
    <row r="118" spans="1:40" x14ac:dyDescent="0.25">
      <c r="I118" s="219">
        <f t="shared" si="8"/>
        <v>0</v>
      </c>
      <c r="J118" s="219">
        <f t="shared" si="9"/>
        <v>0</v>
      </c>
      <c r="K118" s="219">
        <f t="shared" si="10"/>
        <v>0</v>
      </c>
      <c r="L118" s="232">
        <f t="shared" si="11"/>
        <v>0</v>
      </c>
      <c r="M118" s="219">
        <f t="shared" si="12"/>
        <v>0</v>
      </c>
      <c r="N118" s="219">
        <f t="shared" si="13"/>
        <v>0</v>
      </c>
      <c r="O118" s="219">
        <f t="shared" si="14"/>
        <v>0</v>
      </c>
      <c r="P118" s="219">
        <f t="shared" si="15"/>
        <v>0</v>
      </c>
      <c r="Q118" s="219"/>
    </row>
    <row r="119" spans="1:40" x14ac:dyDescent="0.25">
      <c r="I119" s="219">
        <f t="shared" si="8"/>
        <v>0</v>
      </c>
      <c r="J119" s="219">
        <f t="shared" si="9"/>
        <v>0</v>
      </c>
      <c r="K119" s="219">
        <f t="shared" si="10"/>
        <v>0</v>
      </c>
      <c r="L119" s="232">
        <f t="shared" si="11"/>
        <v>0</v>
      </c>
      <c r="M119" s="219">
        <f t="shared" si="12"/>
        <v>0</v>
      </c>
      <c r="N119" s="219">
        <f t="shared" si="13"/>
        <v>0</v>
      </c>
      <c r="O119" s="219">
        <f t="shared" si="14"/>
        <v>0</v>
      </c>
      <c r="P119" s="219">
        <f t="shared" si="15"/>
        <v>0</v>
      </c>
      <c r="Q119" s="219"/>
    </row>
    <row r="120" spans="1:40" x14ac:dyDescent="0.25">
      <c r="I120" s="219">
        <f t="shared" si="8"/>
        <v>0</v>
      </c>
      <c r="J120" s="219">
        <f t="shared" si="9"/>
        <v>0</v>
      </c>
      <c r="K120" s="219">
        <f t="shared" si="10"/>
        <v>0</v>
      </c>
      <c r="L120" s="232">
        <f t="shared" si="11"/>
        <v>0</v>
      </c>
      <c r="M120" s="219">
        <f t="shared" si="12"/>
        <v>0</v>
      </c>
      <c r="N120" s="219">
        <f t="shared" si="13"/>
        <v>0</v>
      </c>
      <c r="O120" s="219">
        <f t="shared" si="14"/>
        <v>0</v>
      </c>
      <c r="P120" s="219">
        <f t="shared" si="15"/>
        <v>0</v>
      </c>
      <c r="Q120" s="219"/>
    </row>
    <row r="121" spans="1:40" x14ac:dyDescent="0.25">
      <c r="I121" s="219">
        <f t="shared" si="8"/>
        <v>0</v>
      </c>
      <c r="J121" s="219">
        <f t="shared" si="9"/>
        <v>0</v>
      </c>
      <c r="K121" s="219">
        <f t="shared" si="10"/>
        <v>0</v>
      </c>
      <c r="L121" s="232">
        <f t="shared" si="11"/>
        <v>0</v>
      </c>
      <c r="M121" s="219">
        <f t="shared" si="12"/>
        <v>0</v>
      </c>
      <c r="N121" s="219">
        <f t="shared" si="13"/>
        <v>0</v>
      </c>
      <c r="O121" s="219">
        <f t="shared" si="14"/>
        <v>0</v>
      </c>
      <c r="P121" s="219">
        <f t="shared" si="15"/>
        <v>0</v>
      </c>
      <c r="Q121" s="219"/>
    </row>
    <row r="122" spans="1:40" x14ac:dyDescent="0.25">
      <c r="I122" s="219">
        <f t="shared" si="8"/>
        <v>0</v>
      </c>
      <c r="J122" s="219">
        <f t="shared" si="9"/>
        <v>0</v>
      </c>
      <c r="K122" s="219">
        <f t="shared" si="10"/>
        <v>0</v>
      </c>
      <c r="L122" s="232">
        <f t="shared" si="11"/>
        <v>0</v>
      </c>
      <c r="M122" s="219">
        <f t="shared" si="12"/>
        <v>0</v>
      </c>
      <c r="N122" s="219">
        <f t="shared" si="13"/>
        <v>0</v>
      </c>
      <c r="O122" s="219">
        <f t="shared" si="14"/>
        <v>0</v>
      </c>
      <c r="P122" s="219">
        <f t="shared" si="15"/>
        <v>0</v>
      </c>
      <c r="Q122" s="219"/>
    </row>
    <row r="123" spans="1:40" x14ac:dyDescent="0.25">
      <c r="I123" s="219">
        <f t="shared" si="8"/>
        <v>0</v>
      </c>
      <c r="J123" s="219">
        <f t="shared" si="9"/>
        <v>0</v>
      </c>
      <c r="K123" s="219">
        <f t="shared" si="10"/>
        <v>0</v>
      </c>
      <c r="L123" s="232">
        <f t="shared" si="11"/>
        <v>0</v>
      </c>
      <c r="M123" s="219">
        <f t="shared" si="12"/>
        <v>0</v>
      </c>
      <c r="N123" s="219">
        <f t="shared" si="13"/>
        <v>0</v>
      </c>
      <c r="O123" s="219">
        <f t="shared" si="14"/>
        <v>0</v>
      </c>
      <c r="P123" s="219">
        <f t="shared" si="15"/>
        <v>0</v>
      </c>
      <c r="Q123" s="219"/>
    </row>
    <row r="124" spans="1:40" x14ac:dyDescent="0.25">
      <c r="I124" s="219">
        <f t="shared" si="8"/>
        <v>0</v>
      </c>
      <c r="J124" s="219">
        <f t="shared" si="9"/>
        <v>0</v>
      </c>
      <c r="K124" s="219">
        <f t="shared" si="10"/>
        <v>0</v>
      </c>
      <c r="L124" s="232">
        <f t="shared" si="11"/>
        <v>0</v>
      </c>
      <c r="M124" s="219">
        <f t="shared" si="12"/>
        <v>0</v>
      </c>
      <c r="N124" s="219">
        <f t="shared" si="13"/>
        <v>0</v>
      </c>
      <c r="O124" s="219">
        <f t="shared" si="14"/>
        <v>0</v>
      </c>
      <c r="P124" s="219">
        <f t="shared" si="15"/>
        <v>0</v>
      </c>
      <c r="Q124" s="219"/>
    </row>
    <row r="125" spans="1:40" x14ac:dyDescent="0.25">
      <c r="I125" s="219">
        <f t="shared" si="8"/>
        <v>0</v>
      </c>
      <c r="J125" s="219">
        <f t="shared" si="9"/>
        <v>0</v>
      </c>
      <c r="K125" s="219">
        <f t="shared" si="10"/>
        <v>0</v>
      </c>
      <c r="L125" s="232">
        <f t="shared" si="11"/>
        <v>0</v>
      </c>
      <c r="M125" s="219">
        <f t="shared" si="12"/>
        <v>0</v>
      </c>
      <c r="N125" s="219">
        <f t="shared" si="13"/>
        <v>0</v>
      </c>
      <c r="O125" s="219">
        <f t="shared" si="14"/>
        <v>0</v>
      </c>
      <c r="P125" s="219">
        <f t="shared" si="15"/>
        <v>0</v>
      </c>
      <c r="Q125" s="219"/>
    </row>
    <row r="126" spans="1:40" x14ac:dyDescent="0.25">
      <c r="I126" s="219">
        <f t="shared" si="8"/>
        <v>0</v>
      </c>
      <c r="J126" s="219">
        <f t="shared" si="9"/>
        <v>0</v>
      </c>
      <c r="K126" s="219">
        <f t="shared" si="10"/>
        <v>0</v>
      </c>
      <c r="L126" s="232">
        <f t="shared" si="11"/>
        <v>0</v>
      </c>
      <c r="M126" s="219">
        <f t="shared" si="12"/>
        <v>0</v>
      </c>
      <c r="N126" s="219">
        <f t="shared" si="13"/>
        <v>0</v>
      </c>
      <c r="O126" s="219">
        <f t="shared" si="14"/>
        <v>0</v>
      </c>
      <c r="P126" s="219">
        <f t="shared" si="15"/>
        <v>0</v>
      </c>
      <c r="Q126" s="219"/>
    </row>
    <row r="127" spans="1:40" x14ac:dyDescent="0.25">
      <c r="I127" s="219">
        <f t="shared" si="8"/>
        <v>0</v>
      </c>
      <c r="J127" s="219">
        <f t="shared" si="9"/>
        <v>0</v>
      </c>
      <c r="K127" s="219">
        <f t="shared" si="10"/>
        <v>0</v>
      </c>
      <c r="L127" s="232">
        <f t="shared" si="11"/>
        <v>0</v>
      </c>
      <c r="M127" s="219">
        <f t="shared" si="12"/>
        <v>0</v>
      </c>
      <c r="N127" s="219">
        <f t="shared" si="13"/>
        <v>0</v>
      </c>
      <c r="O127" s="219">
        <f t="shared" si="14"/>
        <v>0</v>
      </c>
      <c r="P127" s="219">
        <f t="shared" si="15"/>
        <v>0</v>
      </c>
      <c r="Q127" s="219"/>
    </row>
    <row r="128" spans="1:40" x14ac:dyDescent="0.25">
      <c r="I128" s="219">
        <f t="shared" si="8"/>
        <v>0</v>
      </c>
      <c r="J128" s="219">
        <f t="shared" si="9"/>
        <v>0</v>
      </c>
      <c r="K128" s="219">
        <f t="shared" si="10"/>
        <v>0</v>
      </c>
      <c r="L128" s="232">
        <f t="shared" si="11"/>
        <v>0</v>
      </c>
      <c r="M128" s="219">
        <f t="shared" si="12"/>
        <v>0</v>
      </c>
      <c r="N128" s="219">
        <f t="shared" si="13"/>
        <v>0</v>
      </c>
      <c r="O128" s="219">
        <f t="shared" si="14"/>
        <v>0</v>
      </c>
      <c r="P128" s="219">
        <f t="shared" si="15"/>
        <v>0</v>
      </c>
      <c r="Q128" s="219"/>
    </row>
    <row r="129" spans="9:17" x14ac:dyDescent="0.25">
      <c r="I129" s="219">
        <f t="shared" si="8"/>
        <v>0</v>
      </c>
      <c r="J129" s="219">
        <f t="shared" si="9"/>
        <v>0</v>
      </c>
      <c r="K129" s="219">
        <f t="shared" si="10"/>
        <v>0</v>
      </c>
      <c r="L129" s="232">
        <f t="shared" si="11"/>
        <v>0</v>
      </c>
      <c r="M129" s="219">
        <f t="shared" si="12"/>
        <v>0</v>
      </c>
      <c r="N129" s="219">
        <f t="shared" si="13"/>
        <v>0</v>
      </c>
      <c r="O129" s="219">
        <f t="shared" si="14"/>
        <v>0</v>
      </c>
      <c r="P129" s="219">
        <f t="shared" si="15"/>
        <v>0</v>
      </c>
      <c r="Q129" s="219"/>
    </row>
    <row r="130" spans="9:17" x14ac:dyDescent="0.25">
      <c r="I130" s="219">
        <f t="shared" si="8"/>
        <v>0</v>
      </c>
      <c r="J130" s="219">
        <f t="shared" si="9"/>
        <v>0</v>
      </c>
      <c r="K130" s="219">
        <f t="shared" si="10"/>
        <v>0</v>
      </c>
      <c r="L130" s="232">
        <f t="shared" si="11"/>
        <v>0</v>
      </c>
      <c r="M130" s="219">
        <f t="shared" si="12"/>
        <v>0</v>
      </c>
      <c r="N130" s="219">
        <f t="shared" si="13"/>
        <v>0</v>
      </c>
      <c r="O130" s="219">
        <f t="shared" si="14"/>
        <v>0</v>
      </c>
      <c r="P130" s="219">
        <f t="shared" si="15"/>
        <v>0</v>
      </c>
      <c r="Q130" s="219"/>
    </row>
    <row r="131" spans="9:17" x14ac:dyDescent="0.25">
      <c r="I131" s="219">
        <f t="shared" si="8"/>
        <v>0</v>
      </c>
      <c r="J131" s="219">
        <f t="shared" si="9"/>
        <v>0</v>
      </c>
      <c r="K131" s="219">
        <f t="shared" si="10"/>
        <v>0</v>
      </c>
      <c r="L131" s="232">
        <f t="shared" si="11"/>
        <v>0</v>
      </c>
      <c r="M131" s="219">
        <f t="shared" si="12"/>
        <v>0</v>
      </c>
      <c r="N131" s="219">
        <f t="shared" si="13"/>
        <v>0</v>
      </c>
      <c r="O131" s="219">
        <f t="shared" si="14"/>
        <v>0</v>
      </c>
      <c r="P131" s="219">
        <f t="shared" si="15"/>
        <v>0</v>
      </c>
      <c r="Q131" s="219"/>
    </row>
    <row r="132" spans="9:17" x14ac:dyDescent="0.25">
      <c r="I132" s="219">
        <f t="shared" si="8"/>
        <v>0</v>
      </c>
      <c r="J132" s="219">
        <f t="shared" si="9"/>
        <v>0</v>
      </c>
      <c r="K132" s="219">
        <f t="shared" si="10"/>
        <v>0</v>
      </c>
      <c r="L132" s="232">
        <f t="shared" si="11"/>
        <v>0</v>
      </c>
      <c r="M132" s="219">
        <f t="shared" si="12"/>
        <v>0</v>
      </c>
      <c r="N132" s="219">
        <f t="shared" si="13"/>
        <v>0</v>
      </c>
      <c r="O132" s="219">
        <f t="shared" si="14"/>
        <v>0</v>
      </c>
      <c r="P132" s="219">
        <f t="shared" si="15"/>
        <v>0</v>
      </c>
      <c r="Q132" s="219"/>
    </row>
    <row r="133" spans="9:17" x14ac:dyDescent="0.25">
      <c r="I133" s="219">
        <f t="shared" ref="I133:I196" si="16">SUM(R133:S133)</f>
        <v>0</v>
      </c>
      <c r="J133" s="219">
        <f t="shared" ref="J133:J196" si="17">SUM(T133:V133)</f>
        <v>0</v>
      </c>
      <c r="K133" s="219">
        <f t="shared" ref="K133:K196" si="18">W133</f>
        <v>0</v>
      </c>
      <c r="L133" s="232">
        <f t="shared" ref="L133:L196" si="19">SUM(X133:AB133)</f>
        <v>0</v>
      </c>
      <c r="M133" s="219">
        <f t="shared" ref="M133:M196" si="20">SUM(AC133:AE133)</f>
        <v>0</v>
      </c>
      <c r="N133" s="219">
        <f t="shared" ref="N133:N196" si="21">AG133</f>
        <v>0</v>
      </c>
      <c r="O133" s="219">
        <f t="shared" ref="O133:O196" si="22">AH133</f>
        <v>0</v>
      </c>
      <c r="P133" s="219">
        <f t="shared" ref="P133:P196" si="23">SUM(AK133:AM133)</f>
        <v>0</v>
      </c>
      <c r="Q133" s="219"/>
    </row>
    <row r="134" spans="9:17" x14ac:dyDescent="0.25">
      <c r="I134" s="219">
        <f t="shared" si="16"/>
        <v>0</v>
      </c>
      <c r="J134" s="219">
        <f t="shared" si="17"/>
        <v>0</v>
      </c>
      <c r="K134" s="219">
        <f t="shared" si="18"/>
        <v>0</v>
      </c>
      <c r="L134" s="232">
        <f t="shared" si="19"/>
        <v>0</v>
      </c>
      <c r="M134" s="219">
        <f t="shared" si="20"/>
        <v>0</v>
      </c>
      <c r="N134" s="219">
        <f t="shared" si="21"/>
        <v>0</v>
      </c>
      <c r="O134" s="219">
        <f t="shared" si="22"/>
        <v>0</v>
      </c>
      <c r="P134" s="219">
        <f t="shared" si="23"/>
        <v>0</v>
      </c>
      <c r="Q134" s="219"/>
    </row>
    <row r="135" spans="9:17" x14ac:dyDescent="0.25">
      <c r="I135" s="219">
        <f t="shared" si="16"/>
        <v>0</v>
      </c>
      <c r="J135" s="219">
        <f t="shared" si="17"/>
        <v>0</v>
      </c>
      <c r="K135" s="219">
        <f t="shared" si="18"/>
        <v>0</v>
      </c>
      <c r="L135" s="232">
        <f t="shared" si="19"/>
        <v>0</v>
      </c>
      <c r="M135" s="219">
        <f t="shared" si="20"/>
        <v>0</v>
      </c>
      <c r="N135" s="219">
        <f t="shared" si="21"/>
        <v>0</v>
      </c>
      <c r="O135" s="219">
        <f t="shared" si="22"/>
        <v>0</v>
      </c>
      <c r="P135" s="219">
        <f t="shared" si="23"/>
        <v>0</v>
      </c>
      <c r="Q135" s="219"/>
    </row>
    <row r="136" spans="9:17" x14ac:dyDescent="0.25">
      <c r="I136" s="219">
        <f t="shared" si="16"/>
        <v>0</v>
      </c>
      <c r="J136" s="219">
        <f t="shared" si="17"/>
        <v>0</v>
      </c>
      <c r="K136" s="219">
        <f t="shared" si="18"/>
        <v>0</v>
      </c>
      <c r="L136" s="232">
        <f t="shared" si="19"/>
        <v>0</v>
      </c>
      <c r="M136" s="219">
        <f t="shared" si="20"/>
        <v>0</v>
      </c>
      <c r="N136" s="219">
        <f t="shared" si="21"/>
        <v>0</v>
      </c>
      <c r="O136" s="219">
        <f t="shared" si="22"/>
        <v>0</v>
      </c>
      <c r="P136" s="219">
        <f t="shared" si="23"/>
        <v>0</v>
      </c>
      <c r="Q136" s="219"/>
    </row>
    <row r="137" spans="9:17" x14ac:dyDescent="0.25">
      <c r="I137" s="219">
        <f t="shared" si="16"/>
        <v>0</v>
      </c>
      <c r="J137" s="219">
        <f t="shared" si="17"/>
        <v>0</v>
      </c>
      <c r="K137" s="219">
        <f t="shared" si="18"/>
        <v>0</v>
      </c>
      <c r="L137" s="232">
        <f t="shared" si="19"/>
        <v>0</v>
      </c>
      <c r="M137" s="219">
        <f t="shared" si="20"/>
        <v>0</v>
      </c>
      <c r="N137" s="219">
        <f t="shared" si="21"/>
        <v>0</v>
      </c>
      <c r="O137" s="219">
        <f t="shared" si="22"/>
        <v>0</v>
      </c>
      <c r="P137" s="219">
        <f t="shared" si="23"/>
        <v>0</v>
      </c>
      <c r="Q137" s="219"/>
    </row>
    <row r="138" spans="9:17" x14ac:dyDescent="0.25">
      <c r="I138" s="219">
        <f t="shared" si="16"/>
        <v>0</v>
      </c>
      <c r="J138" s="219">
        <f t="shared" si="17"/>
        <v>0</v>
      </c>
      <c r="K138" s="219">
        <f t="shared" si="18"/>
        <v>0</v>
      </c>
      <c r="L138" s="232">
        <f t="shared" si="19"/>
        <v>0</v>
      </c>
      <c r="M138" s="219">
        <f t="shared" si="20"/>
        <v>0</v>
      </c>
      <c r="N138" s="219">
        <f t="shared" si="21"/>
        <v>0</v>
      </c>
      <c r="O138" s="219">
        <f t="shared" si="22"/>
        <v>0</v>
      </c>
      <c r="P138" s="219">
        <f t="shared" si="23"/>
        <v>0</v>
      </c>
      <c r="Q138" s="219"/>
    </row>
    <row r="139" spans="9:17" x14ac:dyDescent="0.25">
      <c r="I139" s="219">
        <f t="shared" si="16"/>
        <v>0</v>
      </c>
      <c r="J139" s="219">
        <f t="shared" si="17"/>
        <v>0</v>
      </c>
      <c r="K139" s="219">
        <f t="shared" si="18"/>
        <v>0</v>
      </c>
      <c r="L139" s="232">
        <f t="shared" si="19"/>
        <v>0</v>
      </c>
      <c r="M139" s="219">
        <f t="shared" si="20"/>
        <v>0</v>
      </c>
      <c r="N139" s="219">
        <f t="shared" si="21"/>
        <v>0</v>
      </c>
      <c r="O139" s="219">
        <f t="shared" si="22"/>
        <v>0</v>
      </c>
      <c r="P139" s="219">
        <f t="shared" si="23"/>
        <v>0</v>
      </c>
      <c r="Q139" s="219"/>
    </row>
    <row r="140" spans="9:17" x14ac:dyDescent="0.25">
      <c r="I140" s="219">
        <f t="shared" si="16"/>
        <v>0</v>
      </c>
      <c r="J140" s="219">
        <f t="shared" si="17"/>
        <v>0</v>
      </c>
      <c r="K140" s="219">
        <f t="shared" si="18"/>
        <v>0</v>
      </c>
      <c r="L140" s="232">
        <f t="shared" si="19"/>
        <v>0</v>
      </c>
      <c r="M140" s="219">
        <f t="shared" si="20"/>
        <v>0</v>
      </c>
      <c r="N140" s="219">
        <f t="shared" si="21"/>
        <v>0</v>
      </c>
      <c r="O140" s="219">
        <f t="shared" si="22"/>
        <v>0</v>
      </c>
      <c r="P140" s="219">
        <f t="shared" si="23"/>
        <v>0</v>
      </c>
      <c r="Q140" s="219"/>
    </row>
    <row r="141" spans="9:17" x14ac:dyDescent="0.25">
      <c r="I141" s="219">
        <f t="shared" si="16"/>
        <v>0</v>
      </c>
      <c r="J141" s="219">
        <f t="shared" si="17"/>
        <v>0</v>
      </c>
      <c r="K141" s="219">
        <f t="shared" si="18"/>
        <v>0</v>
      </c>
      <c r="L141" s="232">
        <f t="shared" si="19"/>
        <v>0</v>
      </c>
      <c r="M141" s="219">
        <f t="shared" si="20"/>
        <v>0</v>
      </c>
      <c r="N141" s="219">
        <f t="shared" si="21"/>
        <v>0</v>
      </c>
      <c r="O141" s="219">
        <f t="shared" si="22"/>
        <v>0</v>
      </c>
      <c r="P141" s="219">
        <f t="shared" si="23"/>
        <v>0</v>
      </c>
      <c r="Q141" s="219"/>
    </row>
    <row r="142" spans="9:17" x14ac:dyDescent="0.25">
      <c r="I142" s="219">
        <f t="shared" si="16"/>
        <v>0</v>
      </c>
      <c r="J142" s="219">
        <f t="shared" si="17"/>
        <v>0</v>
      </c>
      <c r="K142" s="219">
        <f t="shared" si="18"/>
        <v>0</v>
      </c>
      <c r="L142" s="232">
        <f t="shared" si="19"/>
        <v>0</v>
      </c>
      <c r="M142" s="219">
        <f t="shared" si="20"/>
        <v>0</v>
      </c>
      <c r="N142" s="219">
        <f t="shared" si="21"/>
        <v>0</v>
      </c>
      <c r="O142" s="219">
        <f t="shared" si="22"/>
        <v>0</v>
      </c>
      <c r="P142" s="219">
        <f t="shared" si="23"/>
        <v>0</v>
      </c>
      <c r="Q142" s="219"/>
    </row>
    <row r="143" spans="9:17" x14ac:dyDescent="0.25">
      <c r="I143" s="219">
        <f t="shared" si="16"/>
        <v>0</v>
      </c>
      <c r="J143" s="219">
        <f t="shared" si="17"/>
        <v>0</v>
      </c>
      <c r="K143" s="219">
        <f t="shared" si="18"/>
        <v>0</v>
      </c>
      <c r="L143" s="232">
        <f t="shared" si="19"/>
        <v>0</v>
      </c>
      <c r="M143" s="219">
        <f t="shared" si="20"/>
        <v>0</v>
      </c>
      <c r="N143" s="219">
        <f t="shared" si="21"/>
        <v>0</v>
      </c>
      <c r="O143" s="219">
        <f t="shared" si="22"/>
        <v>0</v>
      </c>
      <c r="P143" s="219">
        <f t="shared" si="23"/>
        <v>0</v>
      </c>
      <c r="Q143" s="219"/>
    </row>
    <row r="144" spans="9:17" x14ac:dyDescent="0.25">
      <c r="I144" s="219">
        <f t="shared" si="16"/>
        <v>0</v>
      </c>
      <c r="J144" s="219">
        <f t="shared" si="17"/>
        <v>0</v>
      </c>
      <c r="K144" s="219">
        <f t="shared" si="18"/>
        <v>0</v>
      </c>
      <c r="L144" s="232">
        <f t="shared" si="19"/>
        <v>0</v>
      </c>
      <c r="M144" s="219">
        <f t="shared" si="20"/>
        <v>0</v>
      </c>
      <c r="N144" s="219">
        <f t="shared" si="21"/>
        <v>0</v>
      </c>
      <c r="O144" s="219">
        <f t="shared" si="22"/>
        <v>0</v>
      </c>
      <c r="P144" s="219">
        <f t="shared" si="23"/>
        <v>0</v>
      </c>
      <c r="Q144" s="219"/>
    </row>
    <row r="145" spans="9:17" x14ac:dyDescent="0.25">
      <c r="I145" s="219">
        <f t="shared" si="16"/>
        <v>0</v>
      </c>
      <c r="J145" s="219">
        <f t="shared" si="17"/>
        <v>0</v>
      </c>
      <c r="K145" s="219">
        <f t="shared" si="18"/>
        <v>0</v>
      </c>
      <c r="L145" s="232">
        <f t="shared" si="19"/>
        <v>0</v>
      </c>
      <c r="M145" s="219">
        <f t="shared" si="20"/>
        <v>0</v>
      </c>
      <c r="N145" s="219">
        <f t="shared" si="21"/>
        <v>0</v>
      </c>
      <c r="O145" s="219">
        <f t="shared" si="22"/>
        <v>0</v>
      </c>
      <c r="P145" s="219">
        <f t="shared" si="23"/>
        <v>0</v>
      </c>
      <c r="Q145" s="219"/>
    </row>
    <row r="146" spans="9:17" x14ac:dyDescent="0.25">
      <c r="I146" s="219">
        <f t="shared" si="16"/>
        <v>0</v>
      </c>
      <c r="J146" s="219">
        <f t="shared" si="17"/>
        <v>0</v>
      </c>
      <c r="K146" s="219">
        <f t="shared" si="18"/>
        <v>0</v>
      </c>
      <c r="L146" s="232">
        <f t="shared" si="19"/>
        <v>0</v>
      </c>
      <c r="M146" s="219">
        <f t="shared" si="20"/>
        <v>0</v>
      </c>
      <c r="N146" s="219">
        <f t="shared" si="21"/>
        <v>0</v>
      </c>
      <c r="O146" s="219">
        <f t="shared" si="22"/>
        <v>0</v>
      </c>
      <c r="P146" s="219">
        <f t="shared" si="23"/>
        <v>0</v>
      </c>
      <c r="Q146" s="219"/>
    </row>
    <row r="147" spans="9:17" x14ac:dyDescent="0.25">
      <c r="I147" s="219">
        <f t="shared" si="16"/>
        <v>0</v>
      </c>
      <c r="J147" s="219">
        <f t="shared" si="17"/>
        <v>0</v>
      </c>
      <c r="K147" s="219">
        <f t="shared" si="18"/>
        <v>0</v>
      </c>
      <c r="L147" s="232">
        <f t="shared" si="19"/>
        <v>0</v>
      </c>
      <c r="M147" s="219">
        <f t="shared" si="20"/>
        <v>0</v>
      </c>
      <c r="N147" s="219">
        <f t="shared" si="21"/>
        <v>0</v>
      </c>
      <c r="O147" s="219">
        <f t="shared" si="22"/>
        <v>0</v>
      </c>
      <c r="P147" s="219">
        <f t="shared" si="23"/>
        <v>0</v>
      </c>
      <c r="Q147" s="219"/>
    </row>
    <row r="148" spans="9:17" x14ac:dyDescent="0.25">
      <c r="I148" s="219">
        <f t="shared" si="16"/>
        <v>0</v>
      </c>
      <c r="J148" s="219">
        <f t="shared" si="17"/>
        <v>0</v>
      </c>
      <c r="K148" s="219">
        <f t="shared" si="18"/>
        <v>0</v>
      </c>
      <c r="L148" s="232">
        <f t="shared" si="19"/>
        <v>0</v>
      </c>
      <c r="M148" s="219">
        <f t="shared" si="20"/>
        <v>0</v>
      </c>
      <c r="N148" s="219">
        <f t="shared" si="21"/>
        <v>0</v>
      </c>
      <c r="O148" s="219">
        <f t="shared" si="22"/>
        <v>0</v>
      </c>
      <c r="P148" s="219">
        <f t="shared" si="23"/>
        <v>0</v>
      </c>
      <c r="Q148" s="219"/>
    </row>
    <row r="149" spans="9:17" x14ac:dyDescent="0.25">
      <c r="I149" s="219">
        <f t="shared" si="16"/>
        <v>0</v>
      </c>
      <c r="J149" s="219">
        <f t="shared" si="17"/>
        <v>0</v>
      </c>
      <c r="K149" s="219">
        <f t="shared" si="18"/>
        <v>0</v>
      </c>
      <c r="L149" s="232">
        <f t="shared" si="19"/>
        <v>0</v>
      </c>
      <c r="M149" s="219">
        <f t="shared" si="20"/>
        <v>0</v>
      </c>
      <c r="N149" s="219">
        <f t="shared" si="21"/>
        <v>0</v>
      </c>
      <c r="O149" s="219">
        <f t="shared" si="22"/>
        <v>0</v>
      </c>
      <c r="P149" s="219">
        <f t="shared" si="23"/>
        <v>0</v>
      </c>
      <c r="Q149" s="219"/>
    </row>
    <row r="150" spans="9:17" x14ac:dyDescent="0.25">
      <c r="I150" s="219">
        <f t="shared" si="16"/>
        <v>0</v>
      </c>
      <c r="J150" s="219">
        <f t="shared" si="17"/>
        <v>0</v>
      </c>
      <c r="K150" s="219">
        <f t="shared" si="18"/>
        <v>0</v>
      </c>
      <c r="L150" s="232">
        <f t="shared" si="19"/>
        <v>0</v>
      </c>
      <c r="M150" s="219">
        <f t="shared" si="20"/>
        <v>0</v>
      </c>
      <c r="N150" s="219">
        <f t="shared" si="21"/>
        <v>0</v>
      </c>
      <c r="O150" s="219">
        <f t="shared" si="22"/>
        <v>0</v>
      </c>
      <c r="P150" s="219">
        <f t="shared" si="23"/>
        <v>0</v>
      </c>
      <c r="Q150" s="219"/>
    </row>
    <row r="151" spans="9:17" x14ac:dyDescent="0.25">
      <c r="I151" s="219">
        <f t="shared" si="16"/>
        <v>0</v>
      </c>
      <c r="J151" s="219">
        <f t="shared" si="17"/>
        <v>0</v>
      </c>
      <c r="K151" s="219">
        <f t="shared" si="18"/>
        <v>0</v>
      </c>
      <c r="L151" s="232">
        <f t="shared" si="19"/>
        <v>0</v>
      </c>
      <c r="M151" s="219">
        <f t="shared" si="20"/>
        <v>0</v>
      </c>
      <c r="N151" s="219">
        <f t="shared" si="21"/>
        <v>0</v>
      </c>
      <c r="O151" s="219">
        <f t="shared" si="22"/>
        <v>0</v>
      </c>
      <c r="P151" s="219">
        <f t="shared" si="23"/>
        <v>0</v>
      </c>
      <c r="Q151" s="219"/>
    </row>
    <row r="152" spans="9:17" x14ac:dyDescent="0.25">
      <c r="I152" s="219">
        <f t="shared" si="16"/>
        <v>0</v>
      </c>
      <c r="J152" s="219">
        <f t="shared" si="17"/>
        <v>0</v>
      </c>
      <c r="K152" s="219">
        <f t="shared" si="18"/>
        <v>0</v>
      </c>
      <c r="L152" s="232">
        <f t="shared" si="19"/>
        <v>0</v>
      </c>
      <c r="M152" s="219">
        <f t="shared" si="20"/>
        <v>0</v>
      </c>
      <c r="N152" s="219">
        <f t="shared" si="21"/>
        <v>0</v>
      </c>
      <c r="O152" s="219">
        <f t="shared" si="22"/>
        <v>0</v>
      </c>
      <c r="P152" s="219">
        <f t="shared" si="23"/>
        <v>0</v>
      </c>
      <c r="Q152" s="219"/>
    </row>
    <row r="153" spans="9:17" x14ac:dyDescent="0.25">
      <c r="I153" s="219">
        <f t="shared" si="16"/>
        <v>0</v>
      </c>
      <c r="J153" s="219">
        <f t="shared" si="17"/>
        <v>0</v>
      </c>
      <c r="K153" s="219">
        <f t="shared" si="18"/>
        <v>0</v>
      </c>
      <c r="L153" s="232">
        <f t="shared" si="19"/>
        <v>0</v>
      </c>
      <c r="M153" s="219">
        <f t="shared" si="20"/>
        <v>0</v>
      </c>
      <c r="N153" s="219">
        <f t="shared" si="21"/>
        <v>0</v>
      </c>
      <c r="O153" s="219">
        <f t="shared" si="22"/>
        <v>0</v>
      </c>
      <c r="P153" s="219">
        <f t="shared" si="23"/>
        <v>0</v>
      </c>
      <c r="Q153" s="219"/>
    </row>
    <row r="154" spans="9:17" x14ac:dyDescent="0.25">
      <c r="I154" s="219">
        <f t="shared" si="16"/>
        <v>0</v>
      </c>
      <c r="J154" s="219">
        <f t="shared" si="17"/>
        <v>0</v>
      </c>
      <c r="K154" s="219">
        <f t="shared" si="18"/>
        <v>0</v>
      </c>
      <c r="L154" s="232">
        <f t="shared" si="19"/>
        <v>0</v>
      </c>
      <c r="M154" s="219">
        <f t="shared" si="20"/>
        <v>0</v>
      </c>
      <c r="N154" s="219">
        <f t="shared" si="21"/>
        <v>0</v>
      </c>
      <c r="O154" s="219">
        <f t="shared" si="22"/>
        <v>0</v>
      </c>
      <c r="P154" s="219">
        <f t="shared" si="23"/>
        <v>0</v>
      </c>
      <c r="Q154" s="219"/>
    </row>
    <row r="155" spans="9:17" x14ac:dyDescent="0.25">
      <c r="I155" s="219">
        <f t="shared" si="16"/>
        <v>0</v>
      </c>
      <c r="J155" s="219">
        <f t="shared" si="17"/>
        <v>0</v>
      </c>
      <c r="K155" s="219">
        <f t="shared" si="18"/>
        <v>0</v>
      </c>
      <c r="L155" s="232">
        <f t="shared" si="19"/>
        <v>0</v>
      </c>
      <c r="M155" s="219">
        <f t="shared" si="20"/>
        <v>0</v>
      </c>
      <c r="N155" s="219">
        <f t="shared" si="21"/>
        <v>0</v>
      </c>
      <c r="O155" s="219">
        <f t="shared" si="22"/>
        <v>0</v>
      </c>
      <c r="P155" s="219">
        <f t="shared" si="23"/>
        <v>0</v>
      </c>
      <c r="Q155" s="219"/>
    </row>
    <row r="156" spans="9:17" x14ac:dyDescent="0.25">
      <c r="I156" s="219">
        <f t="shared" si="16"/>
        <v>0</v>
      </c>
      <c r="J156" s="219">
        <f t="shared" si="17"/>
        <v>0</v>
      </c>
      <c r="K156" s="219">
        <f t="shared" si="18"/>
        <v>0</v>
      </c>
      <c r="L156" s="232">
        <f t="shared" si="19"/>
        <v>0</v>
      </c>
      <c r="M156" s="219">
        <f t="shared" si="20"/>
        <v>0</v>
      </c>
      <c r="N156" s="219">
        <f t="shared" si="21"/>
        <v>0</v>
      </c>
      <c r="O156" s="219">
        <f t="shared" si="22"/>
        <v>0</v>
      </c>
      <c r="P156" s="219">
        <f t="shared" si="23"/>
        <v>0</v>
      </c>
      <c r="Q156" s="219"/>
    </row>
    <row r="157" spans="9:17" x14ac:dyDescent="0.25">
      <c r="I157" s="219">
        <f t="shared" si="16"/>
        <v>0</v>
      </c>
      <c r="J157" s="219">
        <f t="shared" si="17"/>
        <v>0</v>
      </c>
      <c r="K157" s="219">
        <f t="shared" si="18"/>
        <v>0</v>
      </c>
      <c r="L157" s="232">
        <f t="shared" si="19"/>
        <v>0</v>
      </c>
      <c r="M157" s="219">
        <f t="shared" si="20"/>
        <v>0</v>
      </c>
      <c r="N157" s="219">
        <f t="shared" si="21"/>
        <v>0</v>
      </c>
      <c r="O157" s="219">
        <f t="shared" si="22"/>
        <v>0</v>
      </c>
      <c r="P157" s="219">
        <f t="shared" si="23"/>
        <v>0</v>
      </c>
      <c r="Q157" s="219"/>
    </row>
    <row r="158" spans="9:17" x14ac:dyDescent="0.25">
      <c r="I158" s="219">
        <f t="shared" si="16"/>
        <v>0</v>
      </c>
      <c r="J158" s="219">
        <f t="shared" si="17"/>
        <v>0</v>
      </c>
      <c r="K158" s="219">
        <f t="shared" si="18"/>
        <v>0</v>
      </c>
      <c r="L158" s="232">
        <f t="shared" si="19"/>
        <v>0</v>
      </c>
      <c r="M158" s="219">
        <f t="shared" si="20"/>
        <v>0</v>
      </c>
      <c r="N158" s="219">
        <f t="shared" si="21"/>
        <v>0</v>
      </c>
      <c r="O158" s="219">
        <f t="shared" si="22"/>
        <v>0</v>
      </c>
      <c r="P158" s="219">
        <f t="shared" si="23"/>
        <v>0</v>
      </c>
      <c r="Q158" s="219"/>
    </row>
    <row r="159" spans="9:17" x14ac:dyDescent="0.25">
      <c r="I159" s="219">
        <f t="shared" si="16"/>
        <v>0</v>
      </c>
      <c r="J159" s="219">
        <f t="shared" si="17"/>
        <v>0</v>
      </c>
      <c r="K159" s="219">
        <f t="shared" si="18"/>
        <v>0</v>
      </c>
      <c r="L159" s="232">
        <f t="shared" si="19"/>
        <v>0</v>
      </c>
      <c r="M159" s="219">
        <f t="shared" si="20"/>
        <v>0</v>
      </c>
      <c r="N159" s="219">
        <f t="shared" si="21"/>
        <v>0</v>
      </c>
      <c r="O159" s="219">
        <f t="shared" si="22"/>
        <v>0</v>
      </c>
      <c r="P159" s="219">
        <f t="shared" si="23"/>
        <v>0</v>
      </c>
      <c r="Q159" s="219"/>
    </row>
    <row r="160" spans="9:17" x14ac:dyDescent="0.25">
      <c r="I160" s="219">
        <f t="shared" si="16"/>
        <v>0</v>
      </c>
      <c r="J160" s="219">
        <f t="shared" si="17"/>
        <v>0</v>
      </c>
      <c r="K160" s="219">
        <f t="shared" si="18"/>
        <v>0</v>
      </c>
      <c r="L160" s="232">
        <f t="shared" si="19"/>
        <v>0</v>
      </c>
      <c r="M160" s="219">
        <f t="shared" si="20"/>
        <v>0</v>
      </c>
      <c r="N160" s="219">
        <f t="shared" si="21"/>
        <v>0</v>
      </c>
      <c r="O160" s="219">
        <f t="shared" si="22"/>
        <v>0</v>
      </c>
      <c r="P160" s="219">
        <f t="shared" si="23"/>
        <v>0</v>
      </c>
      <c r="Q160" s="219"/>
    </row>
    <row r="161" spans="9:17" x14ac:dyDescent="0.25">
      <c r="I161" s="219">
        <f t="shared" si="16"/>
        <v>0</v>
      </c>
      <c r="J161" s="219">
        <f t="shared" si="17"/>
        <v>0</v>
      </c>
      <c r="K161" s="219">
        <f t="shared" si="18"/>
        <v>0</v>
      </c>
      <c r="L161" s="232">
        <f t="shared" si="19"/>
        <v>0</v>
      </c>
      <c r="M161" s="219">
        <f t="shared" si="20"/>
        <v>0</v>
      </c>
      <c r="N161" s="219">
        <f t="shared" si="21"/>
        <v>0</v>
      </c>
      <c r="O161" s="219">
        <f t="shared" si="22"/>
        <v>0</v>
      </c>
      <c r="P161" s="219">
        <f t="shared" si="23"/>
        <v>0</v>
      </c>
      <c r="Q161" s="219"/>
    </row>
    <row r="162" spans="9:17" x14ac:dyDescent="0.25">
      <c r="I162" s="219">
        <f t="shared" si="16"/>
        <v>0</v>
      </c>
      <c r="J162" s="219">
        <f t="shared" si="17"/>
        <v>0</v>
      </c>
      <c r="K162" s="219">
        <f t="shared" si="18"/>
        <v>0</v>
      </c>
      <c r="L162" s="232">
        <f t="shared" si="19"/>
        <v>0</v>
      </c>
      <c r="M162" s="219">
        <f t="shared" si="20"/>
        <v>0</v>
      </c>
      <c r="N162" s="219">
        <f t="shared" si="21"/>
        <v>0</v>
      </c>
      <c r="O162" s="219">
        <f t="shared" si="22"/>
        <v>0</v>
      </c>
      <c r="P162" s="219">
        <f t="shared" si="23"/>
        <v>0</v>
      </c>
      <c r="Q162" s="219"/>
    </row>
    <row r="163" spans="9:17" x14ac:dyDescent="0.25">
      <c r="I163" s="219">
        <f t="shared" si="16"/>
        <v>0</v>
      </c>
      <c r="J163" s="219">
        <f t="shared" si="17"/>
        <v>0</v>
      </c>
      <c r="K163" s="219">
        <f t="shared" si="18"/>
        <v>0</v>
      </c>
      <c r="L163" s="232">
        <f t="shared" si="19"/>
        <v>0</v>
      </c>
      <c r="M163" s="219">
        <f t="shared" si="20"/>
        <v>0</v>
      </c>
      <c r="N163" s="219">
        <f t="shared" si="21"/>
        <v>0</v>
      </c>
      <c r="O163" s="219">
        <f t="shared" si="22"/>
        <v>0</v>
      </c>
      <c r="P163" s="219">
        <f t="shared" si="23"/>
        <v>0</v>
      </c>
      <c r="Q163" s="219"/>
    </row>
    <row r="164" spans="9:17" x14ac:dyDescent="0.25">
      <c r="I164" s="219">
        <f t="shared" si="16"/>
        <v>0</v>
      </c>
      <c r="J164" s="219">
        <f t="shared" si="17"/>
        <v>0</v>
      </c>
      <c r="K164" s="219">
        <f t="shared" si="18"/>
        <v>0</v>
      </c>
      <c r="L164" s="232">
        <f t="shared" si="19"/>
        <v>0</v>
      </c>
      <c r="M164" s="219">
        <f t="shared" si="20"/>
        <v>0</v>
      </c>
      <c r="N164" s="219">
        <f t="shared" si="21"/>
        <v>0</v>
      </c>
      <c r="O164" s="219">
        <f t="shared" si="22"/>
        <v>0</v>
      </c>
      <c r="P164" s="219">
        <f t="shared" si="23"/>
        <v>0</v>
      </c>
      <c r="Q164" s="219"/>
    </row>
    <row r="165" spans="9:17" x14ac:dyDescent="0.25">
      <c r="I165" s="219">
        <f t="shared" si="16"/>
        <v>0</v>
      </c>
      <c r="J165" s="219">
        <f t="shared" si="17"/>
        <v>0</v>
      </c>
      <c r="K165" s="219">
        <f t="shared" si="18"/>
        <v>0</v>
      </c>
      <c r="L165" s="232">
        <f t="shared" si="19"/>
        <v>0</v>
      </c>
      <c r="M165" s="219">
        <f t="shared" si="20"/>
        <v>0</v>
      </c>
      <c r="N165" s="219">
        <f t="shared" si="21"/>
        <v>0</v>
      </c>
      <c r="O165" s="219">
        <f t="shared" si="22"/>
        <v>0</v>
      </c>
      <c r="P165" s="219">
        <f t="shared" si="23"/>
        <v>0</v>
      </c>
      <c r="Q165" s="219"/>
    </row>
    <row r="166" spans="9:17" x14ac:dyDescent="0.25">
      <c r="I166" s="219">
        <f t="shared" si="16"/>
        <v>0</v>
      </c>
      <c r="J166" s="219">
        <f t="shared" si="17"/>
        <v>0</v>
      </c>
      <c r="K166" s="219">
        <f t="shared" si="18"/>
        <v>0</v>
      </c>
      <c r="L166" s="232">
        <f t="shared" si="19"/>
        <v>0</v>
      </c>
      <c r="M166" s="219">
        <f t="shared" si="20"/>
        <v>0</v>
      </c>
      <c r="N166" s="219">
        <f t="shared" si="21"/>
        <v>0</v>
      </c>
      <c r="O166" s="219">
        <f t="shared" si="22"/>
        <v>0</v>
      </c>
      <c r="P166" s="219">
        <f t="shared" si="23"/>
        <v>0</v>
      </c>
      <c r="Q166" s="219"/>
    </row>
    <row r="167" spans="9:17" x14ac:dyDescent="0.25">
      <c r="I167" s="219">
        <f t="shared" si="16"/>
        <v>0</v>
      </c>
      <c r="J167" s="219">
        <f t="shared" si="17"/>
        <v>0</v>
      </c>
      <c r="K167" s="219">
        <f t="shared" si="18"/>
        <v>0</v>
      </c>
      <c r="L167" s="232">
        <f t="shared" si="19"/>
        <v>0</v>
      </c>
      <c r="M167" s="219">
        <f t="shared" si="20"/>
        <v>0</v>
      </c>
      <c r="N167" s="219">
        <f t="shared" si="21"/>
        <v>0</v>
      </c>
      <c r="O167" s="219">
        <f t="shared" si="22"/>
        <v>0</v>
      </c>
      <c r="P167" s="219">
        <f t="shared" si="23"/>
        <v>0</v>
      </c>
      <c r="Q167" s="219"/>
    </row>
    <row r="168" spans="9:17" x14ac:dyDescent="0.25">
      <c r="I168" s="219">
        <f t="shared" si="16"/>
        <v>0</v>
      </c>
      <c r="J168" s="219">
        <f t="shared" si="17"/>
        <v>0</v>
      </c>
      <c r="K168" s="219">
        <f t="shared" si="18"/>
        <v>0</v>
      </c>
      <c r="L168" s="232">
        <f t="shared" si="19"/>
        <v>0</v>
      </c>
      <c r="M168" s="219">
        <f t="shared" si="20"/>
        <v>0</v>
      </c>
      <c r="N168" s="219">
        <f t="shared" si="21"/>
        <v>0</v>
      </c>
      <c r="O168" s="219">
        <f t="shared" si="22"/>
        <v>0</v>
      </c>
      <c r="P168" s="219">
        <f t="shared" si="23"/>
        <v>0</v>
      </c>
      <c r="Q168" s="219"/>
    </row>
    <row r="169" spans="9:17" x14ac:dyDescent="0.25">
      <c r="I169" s="219">
        <f t="shared" si="16"/>
        <v>0</v>
      </c>
      <c r="J169" s="219">
        <f t="shared" si="17"/>
        <v>0</v>
      </c>
      <c r="K169" s="219">
        <f t="shared" si="18"/>
        <v>0</v>
      </c>
      <c r="L169" s="232">
        <f t="shared" si="19"/>
        <v>0</v>
      </c>
      <c r="M169" s="219">
        <f t="shared" si="20"/>
        <v>0</v>
      </c>
      <c r="N169" s="219">
        <f t="shared" si="21"/>
        <v>0</v>
      </c>
      <c r="O169" s="219">
        <f t="shared" si="22"/>
        <v>0</v>
      </c>
      <c r="P169" s="219">
        <f t="shared" si="23"/>
        <v>0</v>
      </c>
      <c r="Q169" s="219"/>
    </row>
    <row r="170" spans="9:17" x14ac:dyDescent="0.25">
      <c r="I170" s="219">
        <f t="shared" si="16"/>
        <v>0</v>
      </c>
      <c r="J170" s="219">
        <f t="shared" si="17"/>
        <v>0</v>
      </c>
      <c r="K170" s="219">
        <f t="shared" si="18"/>
        <v>0</v>
      </c>
      <c r="L170" s="232">
        <f t="shared" si="19"/>
        <v>0</v>
      </c>
      <c r="M170" s="219">
        <f t="shared" si="20"/>
        <v>0</v>
      </c>
      <c r="N170" s="219">
        <f t="shared" si="21"/>
        <v>0</v>
      </c>
      <c r="O170" s="219">
        <f t="shared" si="22"/>
        <v>0</v>
      </c>
      <c r="P170" s="219">
        <f t="shared" si="23"/>
        <v>0</v>
      </c>
      <c r="Q170" s="219"/>
    </row>
    <row r="171" spans="9:17" x14ac:dyDescent="0.25">
      <c r="I171" s="219">
        <f t="shared" si="16"/>
        <v>0</v>
      </c>
      <c r="J171" s="219">
        <f t="shared" si="17"/>
        <v>0</v>
      </c>
      <c r="K171" s="219">
        <f t="shared" si="18"/>
        <v>0</v>
      </c>
      <c r="L171" s="232">
        <f t="shared" si="19"/>
        <v>0</v>
      </c>
      <c r="M171" s="219">
        <f t="shared" si="20"/>
        <v>0</v>
      </c>
      <c r="N171" s="219">
        <f t="shared" si="21"/>
        <v>0</v>
      </c>
      <c r="O171" s="219">
        <f t="shared" si="22"/>
        <v>0</v>
      </c>
      <c r="P171" s="219">
        <f t="shared" si="23"/>
        <v>0</v>
      </c>
      <c r="Q171" s="219"/>
    </row>
    <row r="172" spans="9:17" x14ac:dyDescent="0.25">
      <c r="I172" s="219">
        <f t="shared" si="16"/>
        <v>0</v>
      </c>
      <c r="J172" s="219">
        <f t="shared" si="17"/>
        <v>0</v>
      </c>
      <c r="K172" s="219">
        <f t="shared" si="18"/>
        <v>0</v>
      </c>
      <c r="L172" s="232">
        <f t="shared" si="19"/>
        <v>0</v>
      </c>
      <c r="M172" s="219">
        <f t="shared" si="20"/>
        <v>0</v>
      </c>
      <c r="N172" s="219">
        <f t="shared" si="21"/>
        <v>0</v>
      </c>
      <c r="O172" s="219">
        <f t="shared" si="22"/>
        <v>0</v>
      </c>
      <c r="P172" s="219">
        <f t="shared" si="23"/>
        <v>0</v>
      </c>
      <c r="Q172" s="219"/>
    </row>
    <row r="173" spans="9:17" x14ac:dyDescent="0.25">
      <c r="I173" s="219">
        <f t="shared" si="16"/>
        <v>0</v>
      </c>
      <c r="J173" s="219">
        <f t="shared" si="17"/>
        <v>0</v>
      </c>
      <c r="K173" s="219">
        <f t="shared" si="18"/>
        <v>0</v>
      </c>
      <c r="L173" s="232">
        <f t="shared" si="19"/>
        <v>0</v>
      </c>
      <c r="M173" s="219">
        <f t="shared" si="20"/>
        <v>0</v>
      </c>
      <c r="N173" s="219">
        <f t="shared" si="21"/>
        <v>0</v>
      </c>
      <c r="O173" s="219">
        <f t="shared" si="22"/>
        <v>0</v>
      </c>
      <c r="P173" s="219">
        <f t="shared" si="23"/>
        <v>0</v>
      </c>
      <c r="Q173" s="219"/>
    </row>
    <row r="174" spans="9:17" x14ac:dyDescent="0.25">
      <c r="I174" s="219">
        <f t="shared" si="16"/>
        <v>0</v>
      </c>
      <c r="J174" s="219">
        <f t="shared" si="17"/>
        <v>0</v>
      </c>
      <c r="K174" s="219">
        <f t="shared" si="18"/>
        <v>0</v>
      </c>
      <c r="L174" s="232">
        <f t="shared" si="19"/>
        <v>0</v>
      </c>
      <c r="M174" s="219">
        <f t="shared" si="20"/>
        <v>0</v>
      </c>
      <c r="N174" s="219">
        <f t="shared" si="21"/>
        <v>0</v>
      </c>
      <c r="O174" s="219">
        <f t="shared" si="22"/>
        <v>0</v>
      </c>
      <c r="P174" s="219">
        <f t="shared" si="23"/>
        <v>0</v>
      </c>
      <c r="Q174" s="219"/>
    </row>
    <row r="175" spans="9:17" x14ac:dyDescent="0.25">
      <c r="I175" s="219">
        <f t="shared" si="16"/>
        <v>0</v>
      </c>
      <c r="J175" s="219">
        <f t="shared" si="17"/>
        <v>0</v>
      </c>
      <c r="K175" s="219">
        <f t="shared" si="18"/>
        <v>0</v>
      </c>
      <c r="L175" s="232">
        <f t="shared" si="19"/>
        <v>0</v>
      </c>
      <c r="M175" s="219">
        <f t="shared" si="20"/>
        <v>0</v>
      </c>
      <c r="N175" s="219">
        <f t="shared" si="21"/>
        <v>0</v>
      </c>
      <c r="O175" s="219">
        <f t="shared" si="22"/>
        <v>0</v>
      </c>
      <c r="P175" s="219">
        <f t="shared" si="23"/>
        <v>0</v>
      </c>
      <c r="Q175" s="219"/>
    </row>
    <row r="176" spans="9:17" x14ac:dyDescent="0.25">
      <c r="I176" s="219">
        <f t="shared" si="16"/>
        <v>0</v>
      </c>
      <c r="J176" s="219">
        <f t="shared" si="17"/>
        <v>0</v>
      </c>
      <c r="K176" s="219">
        <f t="shared" si="18"/>
        <v>0</v>
      </c>
      <c r="L176" s="232">
        <f t="shared" si="19"/>
        <v>0</v>
      </c>
      <c r="M176" s="219">
        <f t="shared" si="20"/>
        <v>0</v>
      </c>
      <c r="N176" s="219">
        <f t="shared" si="21"/>
        <v>0</v>
      </c>
      <c r="O176" s="219">
        <f t="shared" si="22"/>
        <v>0</v>
      </c>
      <c r="P176" s="219">
        <f t="shared" si="23"/>
        <v>0</v>
      </c>
      <c r="Q176" s="219"/>
    </row>
    <row r="177" spans="9:17" x14ac:dyDescent="0.25">
      <c r="I177" s="219">
        <f t="shared" si="16"/>
        <v>0</v>
      </c>
      <c r="J177" s="219">
        <f t="shared" si="17"/>
        <v>0</v>
      </c>
      <c r="K177" s="219">
        <f t="shared" si="18"/>
        <v>0</v>
      </c>
      <c r="L177" s="232">
        <f t="shared" si="19"/>
        <v>0</v>
      </c>
      <c r="M177" s="219">
        <f t="shared" si="20"/>
        <v>0</v>
      </c>
      <c r="N177" s="219">
        <f t="shared" si="21"/>
        <v>0</v>
      </c>
      <c r="O177" s="219">
        <f t="shared" si="22"/>
        <v>0</v>
      </c>
      <c r="P177" s="219">
        <f t="shared" si="23"/>
        <v>0</v>
      </c>
      <c r="Q177" s="219"/>
    </row>
    <row r="178" spans="9:17" x14ac:dyDescent="0.25">
      <c r="I178" s="219">
        <f t="shared" si="16"/>
        <v>0</v>
      </c>
      <c r="J178" s="219">
        <f t="shared" si="17"/>
        <v>0</v>
      </c>
      <c r="K178" s="219">
        <f t="shared" si="18"/>
        <v>0</v>
      </c>
      <c r="L178" s="232">
        <f t="shared" si="19"/>
        <v>0</v>
      </c>
      <c r="M178" s="219">
        <f t="shared" si="20"/>
        <v>0</v>
      </c>
      <c r="N178" s="219">
        <f t="shared" si="21"/>
        <v>0</v>
      </c>
      <c r="O178" s="219">
        <f t="shared" si="22"/>
        <v>0</v>
      </c>
      <c r="P178" s="219">
        <f t="shared" si="23"/>
        <v>0</v>
      </c>
      <c r="Q178" s="219"/>
    </row>
    <row r="179" spans="9:17" x14ac:dyDescent="0.25">
      <c r="I179" s="219">
        <f t="shared" si="16"/>
        <v>0</v>
      </c>
      <c r="J179" s="219">
        <f t="shared" si="17"/>
        <v>0</v>
      </c>
      <c r="K179" s="219">
        <f t="shared" si="18"/>
        <v>0</v>
      </c>
      <c r="L179" s="232">
        <f t="shared" si="19"/>
        <v>0</v>
      </c>
      <c r="M179" s="219">
        <f t="shared" si="20"/>
        <v>0</v>
      </c>
      <c r="N179" s="219">
        <f t="shared" si="21"/>
        <v>0</v>
      </c>
      <c r="O179" s="219">
        <f t="shared" si="22"/>
        <v>0</v>
      </c>
      <c r="P179" s="219">
        <f t="shared" si="23"/>
        <v>0</v>
      </c>
      <c r="Q179" s="219"/>
    </row>
    <row r="180" spans="9:17" x14ac:dyDescent="0.25">
      <c r="I180" s="219">
        <f t="shared" si="16"/>
        <v>0</v>
      </c>
      <c r="J180" s="219">
        <f t="shared" si="17"/>
        <v>0</v>
      </c>
      <c r="K180" s="219">
        <f t="shared" si="18"/>
        <v>0</v>
      </c>
      <c r="L180" s="232">
        <f t="shared" si="19"/>
        <v>0</v>
      </c>
      <c r="M180" s="219">
        <f t="shared" si="20"/>
        <v>0</v>
      </c>
      <c r="N180" s="219">
        <f t="shared" si="21"/>
        <v>0</v>
      </c>
      <c r="O180" s="219">
        <f t="shared" si="22"/>
        <v>0</v>
      </c>
      <c r="P180" s="219">
        <f t="shared" si="23"/>
        <v>0</v>
      </c>
      <c r="Q180" s="219"/>
    </row>
    <row r="181" spans="9:17" x14ac:dyDescent="0.25">
      <c r="I181" s="219">
        <f t="shared" si="16"/>
        <v>0</v>
      </c>
      <c r="J181" s="219">
        <f t="shared" si="17"/>
        <v>0</v>
      </c>
      <c r="K181" s="219">
        <f t="shared" si="18"/>
        <v>0</v>
      </c>
      <c r="L181" s="232">
        <f t="shared" si="19"/>
        <v>0</v>
      </c>
      <c r="M181" s="219">
        <f t="shared" si="20"/>
        <v>0</v>
      </c>
      <c r="N181" s="219">
        <f t="shared" si="21"/>
        <v>0</v>
      </c>
      <c r="O181" s="219">
        <f t="shared" si="22"/>
        <v>0</v>
      </c>
      <c r="P181" s="219">
        <f t="shared" si="23"/>
        <v>0</v>
      </c>
      <c r="Q181" s="219"/>
    </row>
    <row r="182" spans="9:17" x14ac:dyDescent="0.25">
      <c r="I182" s="219">
        <f t="shared" si="16"/>
        <v>0</v>
      </c>
      <c r="J182" s="219">
        <f t="shared" si="17"/>
        <v>0</v>
      </c>
      <c r="K182" s="219">
        <f t="shared" si="18"/>
        <v>0</v>
      </c>
      <c r="L182" s="232">
        <f t="shared" si="19"/>
        <v>0</v>
      </c>
      <c r="M182" s="219">
        <f t="shared" si="20"/>
        <v>0</v>
      </c>
      <c r="N182" s="219">
        <f t="shared" si="21"/>
        <v>0</v>
      </c>
      <c r="O182" s="219">
        <f t="shared" si="22"/>
        <v>0</v>
      </c>
      <c r="P182" s="219">
        <f t="shared" si="23"/>
        <v>0</v>
      </c>
      <c r="Q182" s="219"/>
    </row>
    <row r="183" spans="9:17" x14ac:dyDescent="0.25">
      <c r="I183" s="219">
        <f t="shared" si="16"/>
        <v>0</v>
      </c>
      <c r="J183" s="219">
        <f t="shared" si="17"/>
        <v>0</v>
      </c>
      <c r="K183" s="219">
        <f t="shared" si="18"/>
        <v>0</v>
      </c>
      <c r="L183" s="232">
        <f t="shared" si="19"/>
        <v>0</v>
      </c>
      <c r="M183" s="219">
        <f t="shared" si="20"/>
        <v>0</v>
      </c>
      <c r="N183" s="219">
        <f t="shared" si="21"/>
        <v>0</v>
      </c>
      <c r="O183" s="219">
        <f t="shared" si="22"/>
        <v>0</v>
      </c>
      <c r="P183" s="219">
        <f t="shared" si="23"/>
        <v>0</v>
      </c>
      <c r="Q183" s="219"/>
    </row>
    <row r="184" spans="9:17" x14ac:dyDescent="0.25">
      <c r="I184" s="219">
        <f t="shared" si="16"/>
        <v>0</v>
      </c>
      <c r="J184" s="219">
        <f t="shared" si="17"/>
        <v>0</v>
      </c>
      <c r="K184" s="219">
        <f t="shared" si="18"/>
        <v>0</v>
      </c>
      <c r="L184" s="232">
        <f t="shared" si="19"/>
        <v>0</v>
      </c>
      <c r="M184" s="219">
        <f t="shared" si="20"/>
        <v>0</v>
      </c>
      <c r="N184" s="219">
        <f t="shared" si="21"/>
        <v>0</v>
      </c>
      <c r="O184" s="219">
        <f t="shared" si="22"/>
        <v>0</v>
      </c>
      <c r="P184" s="219">
        <f t="shared" si="23"/>
        <v>0</v>
      </c>
      <c r="Q184" s="219"/>
    </row>
    <row r="185" spans="9:17" x14ac:dyDescent="0.25">
      <c r="I185" s="219">
        <f t="shared" si="16"/>
        <v>0</v>
      </c>
      <c r="J185" s="219">
        <f t="shared" si="17"/>
        <v>0</v>
      </c>
      <c r="K185" s="219">
        <f t="shared" si="18"/>
        <v>0</v>
      </c>
      <c r="L185" s="232">
        <f t="shared" si="19"/>
        <v>0</v>
      </c>
      <c r="M185" s="219">
        <f t="shared" si="20"/>
        <v>0</v>
      </c>
      <c r="N185" s="219">
        <f t="shared" si="21"/>
        <v>0</v>
      </c>
      <c r="O185" s="219">
        <f t="shared" si="22"/>
        <v>0</v>
      </c>
      <c r="P185" s="219">
        <f t="shared" si="23"/>
        <v>0</v>
      </c>
      <c r="Q185" s="219"/>
    </row>
    <row r="186" spans="9:17" x14ac:dyDescent="0.25">
      <c r="I186" s="219">
        <f t="shared" si="16"/>
        <v>0</v>
      </c>
      <c r="J186" s="219">
        <f t="shared" si="17"/>
        <v>0</v>
      </c>
      <c r="K186" s="219">
        <f t="shared" si="18"/>
        <v>0</v>
      </c>
      <c r="L186" s="232">
        <f t="shared" si="19"/>
        <v>0</v>
      </c>
      <c r="M186" s="219">
        <f t="shared" si="20"/>
        <v>0</v>
      </c>
      <c r="N186" s="219">
        <f t="shared" si="21"/>
        <v>0</v>
      </c>
      <c r="O186" s="219">
        <f t="shared" si="22"/>
        <v>0</v>
      </c>
      <c r="P186" s="219">
        <f t="shared" si="23"/>
        <v>0</v>
      </c>
      <c r="Q186" s="219"/>
    </row>
    <row r="187" spans="9:17" x14ac:dyDescent="0.25">
      <c r="I187" s="219">
        <f t="shared" si="16"/>
        <v>0</v>
      </c>
      <c r="J187" s="219">
        <f t="shared" si="17"/>
        <v>0</v>
      </c>
      <c r="K187" s="219">
        <f t="shared" si="18"/>
        <v>0</v>
      </c>
      <c r="L187" s="232">
        <f t="shared" si="19"/>
        <v>0</v>
      </c>
      <c r="M187" s="219">
        <f t="shared" si="20"/>
        <v>0</v>
      </c>
      <c r="N187" s="219">
        <f t="shared" si="21"/>
        <v>0</v>
      </c>
      <c r="O187" s="219">
        <f t="shared" si="22"/>
        <v>0</v>
      </c>
      <c r="P187" s="219">
        <f t="shared" si="23"/>
        <v>0</v>
      </c>
      <c r="Q187" s="219"/>
    </row>
    <row r="188" spans="9:17" x14ac:dyDescent="0.25">
      <c r="I188" s="219">
        <f t="shared" si="16"/>
        <v>0</v>
      </c>
      <c r="J188" s="219">
        <f t="shared" si="17"/>
        <v>0</v>
      </c>
      <c r="K188" s="219">
        <f t="shared" si="18"/>
        <v>0</v>
      </c>
      <c r="L188" s="232">
        <f t="shared" si="19"/>
        <v>0</v>
      </c>
      <c r="M188" s="219">
        <f t="shared" si="20"/>
        <v>0</v>
      </c>
      <c r="N188" s="219">
        <f t="shared" si="21"/>
        <v>0</v>
      </c>
      <c r="O188" s="219">
        <f t="shared" si="22"/>
        <v>0</v>
      </c>
      <c r="P188" s="219">
        <f t="shared" si="23"/>
        <v>0</v>
      </c>
      <c r="Q188" s="219"/>
    </row>
    <row r="189" spans="9:17" x14ac:dyDescent="0.25">
      <c r="I189" s="219">
        <f t="shared" si="16"/>
        <v>0</v>
      </c>
      <c r="J189" s="219">
        <f t="shared" si="17"/>
        <v>0</v>
      </c>
      <c r="K189" s="219">
        <f t="shared" si="18"/>
        <v>0</v>
      </c>
      <c r="L189" s="232">
        <f t="shared" si="19"/>
        <v>0</v>
      </c>
      <c r="M189" s="219">
        <f t="shared" si="20"/>
        <v>0</v>
      </c>
      <c r="N189" s="219">
        <f t="shared" si="21"/>
        <v>0</v>
      </c>
      <c r="O189" s="219">
        <f t="shared" si="22"/>
        <v>0</v>
      </c>
      <c r="P189" s="219">
        <f t="shared" si="23"/>
        <v>0</v>
      </c>
      <c r="Q189" s="219"/>
    </row>
    <row r="190" spans="9:17" x14ac:dyDescent="0.25">
      <c r="I190" s="219">
        <f t="shared" si="16"/>
        <v>0</v>
      </c>
      <c r="J190" s="219">
        <f t="shared" si="17"/>
        <v>0</v>
      </c>
      <c r="K190" s="219">
        <f t="shared" si="18"/>
        <v>0</v>
      </c>
      <c r="L190" s="232">
        <f t="shared" si="19"/>
        <v>0</v>
      </c>
      <c r="M190" s="219">
        <f t="shared" si="20"/>
        <v>0</v>
      </c>
      <c r="N190" s="219">
        <f t="shared" si="21"/>
        <v>0</v>
      </c>
      <c r="O190" s="219">
        <f t="shared" si="22"/>
        <v>0</v>
      </c>
      <c r="P190" s="219">
        <f t="shared" si="23"/>
        <v>0</v>
      </c>
      <c r="Q190" s="219"/>
    </row>
    <row r="191" spans="9:17" x14ac:dyDescent="0.25">
      <c r="I191" s="219">
        <f t="shared" si="16"/>
        <v>0</v>
      </c>
      <c r="J191" s="219">
        <f t="shared" si="17"/>
        <v>0</v>
      </c>
      <c r="K191" s="219">
        <f t="shared" si="18"/>
        <v>0</v>
      </c>
      <c r="L191" s="232">
        <f t="shared" si="19"/>
        <v>0</v>
      </c>
      <c r="M191" s="219">
        <f t="shared" si="20"/>
        <v>0</v>
      </c>
      <c r="N191" s="219">
        <f t="shared" si="21"/>
        <v>0</v>
      </c>
      <c r="O191" s="219">
        <f t="shared" si="22"/>
        <v>0</v>
      </c>
      <c r="P191" s="219">
        <f t="shared" si="23"/>
        <v>0</v>
      </c>
      <c r="Q191" s="219"/>
    </row>
    <row r="192" spans="9:17" x14ac:dyDescent="0.25">
      <c r="I192" s="219">
        <f t="shared" si="16"/>
        <v>0</v>
      </c>
      <c r="J192" s="219">
        <f t="shared" si="17"/>
        <v>0</v>
      </c>
      <c r="K192" s="219">
        <f t="shared" si="18"/>
        <v>0</v>
      </c>
      <c r="L192" s="232">
        <f t="shared" si="19"/>
        <v>0</v>
      </c>
      <c r="M192" s="219">
        <f t="shared" si="20"/>
        <v>0</v>
      </c>
      <c r="N192" s="219">
        <f t="shared" si="21"/>
        <v>0</v>
      </c>
      <c r="O192" s="219">
        <f t="shared" si="22"/>
        <v>0</v>
      </c>
      <c r="P192" s="219">
        <f t="shared" si="23"/>
        <v>0</v>
      </c>
      <c r="Q192" s="219"/>
    </row>
    <row r="193" spans="9:17" x14ac:dyDescent="0.25">
      <c r="I193" s="219">
        <f t="shared" si="16"/>
        <v>0</v>
      </c>
      <c r="J193" s="219">
        <f t="shared" si="17"/>
        <v>0</v>
      </c>
      <c r="K193" s="219">
        <f t="shared" si="18"/>
        <v>0</v>
      </c>
      <c r="L193" s="232">
        <f t="shared" si="19"/>
        <v>0</v>
      </c>
      <c r="M193" s="219">
        <f t="shared" si="20"/>
        <v>0</v>
      </c>
      <c r="N193" s="219">
        <f t="shared" si="21"/>
        <v>0</v>
      </c>
      <c r="O193" s="219">
        <f t="shared" si="22"/>
        <v>0</v>
      </c>
      <c r="P193" s="219">
        <f t="shared" si="23"/>
        <v>0</v>
      </c>
      <c r="Q193" s="219"/>
    </row>
    <row r="194" spans="9:17" x14ac:dyDescent="0.25">
      <c r="I194" s="219">
        <f t="shared" si="16"/>
        <v>0</v>
      </c>
      <c r="J194" s="219">
        <f t="shared" si="17"/>
        <v>0</v>
      </c>
      <c r="K194" s="219">
        <f t="shared" si="18"/>
        <v>0</v>
      </c>
      <c r="L194" s="232">
        <f t="shared" si="19"/>
        <v>0</v>
      </c>
      <c r="M194" s="219">
        <f t="shared" si="20"/>
        <v>0</v>
      </c>
      <c r="N194" s="219">
        <f t="shared" si="21"/>
        <v>0</v>
      </c>
      <c r="O194" s="219">
        <f t="shared" si="22"/>
        <v>0</v>
      </c>
      <c r="P194" s="219">
        <f t="shared" si="23"/>
        <v>0</v>
      </c>
      <c r="Q194" s="219"/>
    </row>
    <row r="195" spans="9:17" x14ac:dyDescent="0.25">
      <c r="I195" s="219">
        <f t="shared" si="16"/>
        <v>0</v>
      </c>
      <c r="J195" s="219">
        <f t="shared" si="17"/>
        <v>0</v>
      </c>
      <c r="K195" s="219">
        <f t="shared" si="18"/>
        <v>0</v>
      </c>
      <c r="L195" s="232">
        <f t="shared" si="19"/>
        <v>0</v>
      </c>
      <c r="M195" s="219">
        <f t="shared" si="20"/>
        <v>0</v>
      </c>
      <c r="N195" s="219">
        <f t="shared" si="21"/>
        <v>0</v>
      </c>
      <c r="O195" s="219">
        <f t="shared" si="22"/>
        <v>0</v>
      </c>
      <c r="P195" s="219">
        <f t="shared" si="23"/>
        <v>0</v>
      </c>
      <c r="Q195" s="219"/>
    </row>
    <row r="196" spans="9:17" x14ac:dyDescent="0.25">
      <c r="I196" s="219">
        <f t="shared" si="16"/>
        <v>0</v>
      </c>
      <c r="J196" s="219">
        <f t="shared" si="17"/>
        <v>0</v>
      </c>
      <c r="K196" s="219">
        <f t="shared" si="18"/>
        <v>0</v>
      </c>
      <c r="L196" s="232">
        <f t="shared" si="19"/>
        <v>0</v>
      </c>
      <c r="M196" s="219">
        <f t="shared" si="20"/>
        <v>0</v>
      </c>
      <c r="N196" s="219">
        <f t="shared" si="21"/>
        <v>0</v>
      </c>
      <c r="O196" s="219">
        <f t="shared" si="22"/>
        <v>0</v>
      </c>
      <c r="P196" s="219">
        <f t="shared" si="23"/>
        <v>0</v>
      </c>
      <c r="Q196" s="219"/>
    </row>
    <row r="197" spans="9:17" x14ac:dyDescent="0.25">
      <c r="I197" s="219">
        <f t="shared" ref="I197:I233" si="24">SUM(R197:S197)</f>
        <v>0</v>
      </c>
      <c r="J197" s="219">
        <f t="shared" ref="J197:J233" si="25">SUM(T197:V197)</f>
        <v>0</v>
      </c>
      <c r="K197" s="219">
        <f t="shared" ref="K197:K233" si="26">W197</f>
        <v>0</v>
      </c>
      <c r="L197" s="232">
        <f t="shared" ref="L197:L233" si="27">SUM(X197:AB197)</f>
        <v>0</v>
      </c>
      <c r="M197" s="219">
        <f t="shared" ref="M197:M233" si="28">SUM(AC197:AE197)</f>
        <v>0</v>
      </c>
      <c r="N197" s="219">
        <f t="shared" ref="N197:N233" si="29">AG197</f>
        <v>0</v>
      </c>
      <c r="O197" s="219">
        <f t="shared" ref="O197:O233" si="30">AH197</f>
        <v>0</v>
      </c>
      <c r="P197" s="219">
        <f t="shared" ref="P197:P233" si="31">SUM(AK197:AM197)</f>
        <v>0</v>
      </c>
      <c r="Q197" s="219"/>
    </row>
    <row r="198" spans="9:17" x14ac:dyDescent="0.25">
      <c r="I198" s="219">
        <f t="shared" si="24"/>
        <v>0</v>
      </c>
      <c r="J198" s="219">
        <f t="shared" si="25"/>
        <v>0</v>
      </c>
      <c r="K198" s="219">
        <f t="shared" si="26"/>
        <v>0</v>
      </c>
      <c r="L198" s="232">
        <f t="shared" si="27"/>
        <v>0</v>
      </c>
      <c r="M198" s="219">
        <f t="shared" si="28"/>
        <v>0</v>
      </c>
      <c r="N198" s="219">
        <f t="shared" si="29"/>
        <v>0</v>
      </c>
      <c r="O198" s="219">
        <f t="shared" si="30"/>
        <v>0</v>
      </c>
      <c r="P198" s="219">
        <f t="shared" si="31"/>
        <v>0</v>
      </c>
      <c r="Q198" s="219"/>
    </row>
    <row r="199" spans="9:17" x14ac:dyDescent="0.25">
      <c r="I199" s="219">
        <f t="shared" si="24"/>
        <v>0</v>
      </c>
      <c r="J199" s="219">
        <f t="shared" si="25"/>
        <v>0</v>
      </c>
      <c r="K199" s="219">
        <f t="shared" si="26"/>
        <v>0</v>
      </c>
      <c r="L199" s="232">
        <f t="shared" si="27"/>
        <v>0</v>
      </c>
      <c r="M199" s="219">
        <f t="shared" si="28"/>
        <v>0</v>
      </c>
      <c r="N199" s="219">
        <f t="shared" si="29"/>
        <v>0</v>
      </c>
      <c r="O199" s="219">
        <f t="shared" si="30"/>
        <v>0</v>
      </c>
      <c r="P199" s="219">
        <f t="shared" si="31"/>
        <v>0</v>
      </c>
      <c r="Q199" s="219"/>
    </row>
    <row r="200" spans="9:17" x14ac:dyDescent="0.25">
      <c r="I200" s="219">
        <f t="shared" si="24"/>
        <v>0</v>
      </c>
      <c r="J200" s="219">
        <f t="shared" si="25"/>
        <v>0</v>
      </c>
      <c r="K200" s="219">
        <f t="shared" si="26"/>
        <v>0</v>
      </c>
      <c r="L200" s="232">
        <f t="shared" si="27"/>
        <v>0</v>
      </c>
      <c r="M200" s="219">
        <f t="shared" si="28"/>
        <v>0</v>
      </c>
      <c r="N200" s="219">
        <f t="shared" si="29"/>
        <v>0</v>
      </c>
      <c r="O200" s="219">
        <f t="shared" si="30"/>
        <v>0</v>
      </c>
      <c r="P200" s="219">
        <f t="shared" si="31"/>
        <v>0</v>
      </c>
      <c r="Q200" s="219"/>
    </row>
    <row r="201" spans="9:17" x14ac:dyDescent="0.25">
      <c r="I201" s="219">
        <f t="shared" si="24"/>
        <v>0</v>
      </c>
      <c r="J201" s="219">
        <f t="shared" si="25"/>
        <v>0</v>
      </c>
      <c r="K201" s="219">
        <f t="shared" si="26"/>
        <v>0</v>
      </c>
      <c r="L201" s="232">
        <f t="shared" si="27"/>
        <v>0</v>
      </c>
      <c r="M201" s="219">
        <f t="shared" si="28"/>
        <v>0</v>
      </c>
      <c r="N201" s="219">
        <f t="shared" si="29"/>
        <v>0</v>
      </c>
      <c r="O201" s="219">
        <f t="shared" si="30"/>
        <v>0</v>
      </c>
      <c r="P201" s="219">
        <f t="shared" si="31"/>
        <v>0</v>
      </c>
      <c r="Q201" s="219"/>
    </row>
    <row r="202" spans="9:17" x14ac:dyDescent="0.25">
      <c r="I202" s="219">
        <f t="shared" si="24"/>
        <v>0</v>
      </c>
      <c r="J202" s="219">
        <f t="shared" si="25"/>
        <v>0</v>
      </c>
      <c r="K202" s="219">
        <f t="shared" si="26"/>
        <v>0</v>
      </c>
      <c r="L202" s="232">
        <f t="shared" si="27"/>
        <v>0</v>
      </c>
      <c r="M202" s="219">
        <f t="shared" si="28"/>
        <v>0</v>
      </c>
      <c r="N202" s="219">
        <f t="shared" si="29"/>
        <v>0</v>
      </c>
      <c r="O202" s="219">
        <f t="shared" si="30"/>
        <v>0</v>
      </c>
      <c r="P202" s="219">
        <f t="shared" si="31"/>
        <v>0</v>
      </c>
      <c r="Q202" s="219"/>
    </row>
    <row r="203" spans="9:17" x14ac:dyDescent="0.25">
      <c r="I203" s="219">
        <f t="shared" si="24"/>
        <v>0</v>
      </c>
      <c r="J203" s="219">
        <f t="shared" si="25"/>
        <v>0</v>
      </c>
      <c r="K203" s="219">
        <f t="shared" si="26"/>
        <v>0</v>
      </c>
      <c r="L203" s="232">
        <f t="shared" si="27"/>
        <v>0</v>
      </c>
      <c r="M203" s="219">
        <f t="shared" si="28"/>
        <v>0</v>
      </c>
      <c r="N203" s="219">
        <f t="shared" si="29"/>
        <v>0</v>
      </c>
      <c r="O203" s="219">
        <f t="shared" si="30"/>
        <v>0</v>
      </c>
      <c r="P203" s="219">
        <f t="shared" si="31"/>
        <v>0</v>
      </c>
      <c r="Q203" s="219"/>
    </row>
    <row r="204" spans="9:17" x14ac:dyDescent="0.25">
      <c r="I204" s="219">
        <f t="shared" si="24"/>
        <v>0</v>
      </c>
      <c r="J204" s="219">
        <f t="shared" si="25"/>
        <v>0</v>
      </c>
      <c r="K204" s="219">
        <f t="shared" si="26"/>
        <v>0</v>
      </c>
      <c r="L204" s="232">
        <f t="shared" si="27"/>
        <v>0</v>
      </c>
      <c r="M204" s="219">
        <f t="shared" si="28"/>
        <v>0</v>
      </c>
      <c r="N204" s="219">
        <f t="shared" si="29"/>
        <v>0</v>
      </c>
      <c r="O204" s="219">
        <f t="shared" si="30"/>
        <v>0</v>
      </c>
      <c r="P204" s="219">
        <f t="shared" si="31"/>
        <v>0</v>
      </c>
      <c r="Q204" s="219"/>
    </row>
    <row r="205" spans="9:17" x14ac:dyDescent="0.25">
      <c r="I205" s="219">
        <f t="shared" si="24"/>
        <v>0</v>
      </c>
      <c r="J205" s="219">
        <f t="shared" si="25"/>
        <v>0</v>
      </c>
      <c r="K205" s="219">
        <f t="shared" si="26"/>
        <v>0</v>
      </c>
      <c r="L205" s="232">
        <f t="shared" si="27"/>
        <v>0</v>
      </c>
      <c r="M205" s="219">
        <f t="shared" si="28"/>
        <v>0</v>
      </c>
      <c r="N205" s="219">
        <f t="shared" si="29"/>
        <v>0</v>
      </c>
      <c r="O205" s="219">
        <f t="shared" si="30"/>
        <v>0</v>
      </c>
      <c r="P205" s="219">
        <f t="shared" si="31"/>
        <v>0</v>
      </c>
      <c r="Q205" s="219"/>
    </row>
    <row r="206" spans="9:17" x14ac:dyDescent="0.25">
      <c r="I206" s="219">
        <f t="shared" si="24"/>
        <v>0</v>
      </c>
      <c r="J206" s="219">
        <f t="shared" si="25"/>
        <v>0</v>
      </c>
      <c r="K206" s="219">
        <f t="shared" si="26"/>
        <v>0</v>
      </c>
      <c r="L206" s="232">
        <f t="shared" si="27"/>
        <v>0</v>
      </c>
      <c r="M206" s="219">
        <f t="shared" si="28"/>
        <v>0</v>
      </c>
      <c r="N206" s="219">
        <f t="shared" si="29"/>
        <v>0</v>
      </c>
      <c r="O206" s="219">
        <f t="shared" si="30"/>
        <v>0</v>
      </c>
      <c r="P206" s="219">
        <f t="shared" si="31"/>
        <v>0</v>
      </c>
      <c r="Q206" s="219"/>
    </row>
    <row r="207" spans="9:17" x14ac:dyDescent="0.25">
      <c r="I207" s="219">
        <f t="shared" si="24"/>
        <v>0</v>
      </c>
      <c r="J207" s="219">
        <f t="shared" si="25"/>
        <v>0</v>
      </c>
      <c r="K207" s="219">
        <f t="shared" si="26"/>
        <v>0</v>
      </c>
      <c r="L207" s="232">
        <f t="shared" si="27"/>
        <v>0</v>
      </c>
      <c r="M207" s="219">
        <f t="shared" si="28"/>
        <v>0</v>
      </c>
      <c r="N207" s="219">
        <f t="shared" si="29"/>
        <v>0</v>
      </c>
      <c r="O207" s="219">
        <f t="shared" si="30"/>
        <v>0</v>
      </c>
      <c r="P207" s="219">
        <f t="shared" si="31"/>
        <v>0</v>
      </c>
      <c r="Q207" s="219"/>
    </row>
    <row r="208" spans="9:17" x14ac:dyDescent="0.25">
      <c r="I208" s="219">
        <f t="shared" si="24"/>
        <v>0</v>
      </c>
      <c r="J208" s="219">
        <f t="shared" si="25"/>
        <v>0</v>
      </c>
      <c r="K208" s="219">
        <f t="shared" si="26"/>
        <v>0</v>
      </c>
      <c r="L208" s="232">
        <f t="shared" si="27"/>
        <v>0</v>
      </c>
      <c r="M208" s="219">
        <f t="shared" si="28"/>
        <v>0</v>
      </c>
      <c r="N208" s="219">
        <f t="shared" si="29"/>
        <v>0</v>
      </c>
      <c r="O208" s="219">
        <f t="shared" si="30"/>
        <v>0</v>
      </c>
      <c r="P208" s="219">
        <f t="shared" si="31"/>
        <v>0</v>
      </c>
      <c r="Q208" s="219"/>
    </row>
    <row r="209" spans="9:17" x14ac:dyDescent="0.25">
      <c r="I209" s="219">
        <f t="shared" si="24"/>
        <v>0</v>
      </c>
      <c r="J209" s="219">
        <f t="shared" si="25"/>
        <v>0</v>
      </c>
      <c r="K209" s="219">
        <f t="shared" si="26"/>
        <v>0</v>
      </c>
      <c r="L209" s="232">
        <f t="shared" si="27"/>
        <v>0</v>
      </c>
      <c r="M209" s="219">
        <f t="shared" si="28"/>
        <v>0</v>
      </c>
      <c r="N209" s="219">
        <f t="shared" si="29"/>
        <v>0</v>
      </c>
      <c r="O209" s="219">
        <f t="shared" si="30"/>
        <v>0</v>
      </c>
      <c r="P209" s="219">
        <f t="shared" si="31"/>
        <v>0</v>
      </c>
      <c r="Q209" s="219"/>
    </row>
    <row r="210" spans="9:17" x14ac:dyDescent="0.25">
      <c r="I210" s="219">
        <f t="shared" si="24"/>
        <v>0</v>
      </c>
      <c r="J210" s="219">
        <f t="shared" si="25"/>
        <v>0</v>
      </c>
      <c r="K210" s="219">
        <f t="shared" si="26"/>
        <v>0</v>
      </c>
      <c r="L210" s="232">
        <f t="shared" si="27"/>
        <v>0</v>
      </c>
      <c r="M210" s="219">
        <f t="shared" si="28"/>
        <v>0</v>
      </c>
      <c r="N210" s="219">
        <f t="shared" si="29"/>
        <v>0</v>
      </c>
      <c r="O210" s="219">
        <f t="shared" si="30"/>
        <v>0</v>
      </c>
      <c r="P210" s="219">
        <f t="shared" si="31"/>
        <v>0</v>
      </c>
      <c r="Q210" s="219"/>
    </row>
    <row r="211" spans="9:17" x14ac:dyDescent="0.25">
      <c r="I211" s="219">
        <f t="shared" si="24"/>
        <v>0</v>
      </c>
      <c r="J211" s="219">
        <f t="shared" si="25"/>
        <v>0</v>
      </c>
      <c r="K211" s="219">
        <f t="shared" si="26"/>
        <v>0</v>
      </c>
      <c r="L211" s="232">
        <f t="shared" si="27"/>
        <v>0</v>
      </c>
      <c r="M211" s="219">
        <f t="shared" si="28"/>
        <v>0</v>
      </c>
      <c r="N211" s="219">
        <f t="shared" si="29"/>
        <v>0</v>
      </c>
      <c r="O211" s="219">
        <f t="shared" si="30"/>
        <v>0</v>
      </c>
      <c r="P211" s="219">
        <f t="shared" si="31"/>
        <v>0</v>
      </c>
      <c r="Q211" s="219"/>
    </row>
    <row r="212" spans="9:17" x14ac:dyDescent="0.25">
      <c r="I212" s="219">
        <f t="shared" si="24"/>
        <v>0</v>
      </c>
      <c r="J212" s="219">
        <f t="shared" si="25"/>
        <v>0</v>
      </c>
      <c r="K212" s="219">
        <f t="shared" si="26"/>
        <v>0</v>
      </c>
      <c r="L212" s="232">
        <f t="shared" si="27"/>
        <v>0</v>
      </c>
      <c r="M212" s="219">
        <f t="shared" si="28"/>
        <v>0</v>
      </c>
      <c r="N212" s="219">
        <f t="shared" si="29"/>
        <v>0</v>
      </c>
      <c r="O212" s="219">
        <f t="shared" si="30"/>
        <v>0</v>
      </c>
      <c r="P212" s="219">
        <f t="shared" si="31"/>
        <v>0</v>
      </c>
      <c r="Q212" s="219"/>
    </row>
    <row r="213" spans="9:17" x14ac:dyDescent="0.25">
      <c r="I213" s="219">
        <f t="shared" si="24"/>
        <v>0</v>
      </c>
      <c r="J213" s="219">
        <f t="shared" si="25"/>
        <v>0</v>
      </c>
      <c r="K213" s="219">
        <f t="shared" si="26"/>
        <v>0</v>
      </c>
      <c r="L213" s="232">
        <f t="shared" si="27"/>
        <v>0</v>
      </c>
      <c r="M213" s="219">
        <f t="shared" si="28"/>
        <v>0</v>
      </c>
      <c r="N213" s="219">
        <f t="shared" si="29"/>
        <v>0</v>
      </c>
      <c r="O213" s="219">
        <f t="shared" si="30"/>
        <v>0</v>
      </c>
      <c r="P213" s="219">
        <f t="shared" si="31"/>
        <v>0</v>
      </c>
      <c r="Q213" s="219"/>
    </row>
    <row r="214" spans="9:17" x14ac:dyDescent="0.25">
      <c r="I214" s="219">
        <f t="shared" si="24"/>
        <v>0</v>
      </c>
      <c r="J214" s="219">
        <f t="shared" si="25"/>
        <v>0</v>
      </c>
      <c r="K214" s="219">
        <f t="shared" si="26"/>
        <v>0</v>
      </c>
      <c r="L214" s="232">
        <f t="shared" si="27"/>
        <v>0</v>
      </c>
      <c r="M214" s="219">
        <f t="shared" si="28"/>
        <v>0</v>
      </c>
      <c r="N214" s="219">
        <f t="shared" si="29"/>
        <v>0</v>
      </c>
      <c r="O214" s="219">
        <f t="shared" si="30"/>
        <v>0</v>
      </c>
      <c r="P214" s="219">
        <f t="shared" si="31"/>
        <v>0</v>
      </c>
      <c r="Q214" s="219"/>
    </row>
    <row r="215" spans="9:17" x14ac:dyDescent="0.25">
      <c r="I215" s="219">
        <f t="shared" si="24"/>
        <v>0</v>
      </c>
      <c r="J215" s="219">
        <f t="shared" si="25"/>
        <v>0</v>
      </c>
      <c r="K215" s="219">
        <f t="shared" si="26"/>
        <v>0</v>
      </c>
      <c r="L215" s="232">
        <f t="shared" si="27"/>
        <v>0</v>
      </c>
      <c r="M215" s="219">
        <f t="shared" si="28"/>
        <v>0</v>
      </c>
      <c r="N215" s="219">
        <f t="shared" si="29"/>
        <v>0</v>
      </c>
      <c r="O215" s="219">
        <f t="shared" si="30"/>
        <v>0</v>
      </c>
      <c r="P215" s="219">
        <f t="shared" si="31"/>
        <v>0</v>
      </c>
      <c r="Q215" s="219"/>
    </row>
    <row r="216" spans="9:17" x14ac:dyDescent="0.25">
      <c r="I216" s="219">
        <f t="shared" si="24"/>
        <v>0</v>
      </c>
      <c r="J216" s="219">
        <f t="shared" si="25"/>
        <v>0</v>
      </c>
      <c r="K216" s="219">
        <f t="shared" si="26"/>
        <v>0</v>
      </c>
      <c r="L216" s="232">
        <f t="shared" si="27"/>
        <v>0</v>
      </c>
      <c r="M216" s="219">
        <f t="shared" si="28"/>
        <v>0</v>
      </c>
      <c r="N216" s="219">
        <f t="shared" si="29"/>
        <v>0</v>
      </c>
      <c r="O216" s="219">
        <f t="shared" si="30"/>
        <v>0</v>
      </c>
      <c r="P216" s="219">
        <f t="shared" si="31"/>
        <v>0</v>
      </c>
      <c r="Q216" s="219"/>
    </row>
    <row r="217" spans="9:17" x14ac:dyDescent="0.25">
      <c r="I217" s="219">
        <f t="shared" si="24"/>
        <v>0</v>
      </c>
      <c r="J217" s="219">
        <f t="shared" si="25"/>
        <v>0</v>
      </c>
      <c r="K217" s="219">
        <f t="shared" si="26"/>
        <v>0</v>
      </c>
      <c r="L217" s="232">
        <f t="shared" si="27"/>
        <v>0</v>
      </c>
      <c r="M217" s="219">
        <f t="shared" si="28"/>
        <v>0</v>
      </c>
      <c r="N217" s="219">
        <f t="shared" si="29"/>
        <v>0</v>
      </c>
      <c r="O217" s="219">
        <f t="shared" si="30"/>
        <v>0</v>
      </c>
      <c r="P217" s="219">
        <f t="shared" si="31"/>
        <v>0</v>
      </c>
      <c r="Q217" s="219"/>
    </row>
    <row r="218" spans="9:17" x14ac:dyDescent="0.25">
      <c r="I218" s="219">
        <f t="shared" si="24"/>
        <v>0</v>
      </c>
      <c r="J218" s="219">
        <f t="shared" si="25"/>
        <v>0</v>
      </c>
      <c r="K218" s="219">
        <f t="shared" si="26"/>
        <v>0</v>
      </c>
      <c r="L218" s="232">
        <f t="shared" si="27"/>
        <v>0</v>
      </c>
      <c r="M218" s="219">
        <f t="shared" si="28"/>
        <v>0</v>
      </c>
      <c r="N218" s="219">
        <f t="shared" si="29"/>
        <v>0</v>
      </c>
      <c r="O218" s="219">
        <f t="shared" si="30"/>
        <v>0</v>
      </c>
      <c r="P218" s="219">
        <f t="shared" si="31"/>
        <v>0</v>
      </c>
      <c r="Q218" s="219"/>
    </row>
    <row r="219" spans="9:17" x14ac:dyDescent="0.25">
      <c r="I219" s="219">
        <f t="shared" si="24"/>
        <v>0</v>
      </c>
      <c r="J219" s="219">
        <f t="shared" si="25"/>
        <v>0</v>
      </c>
      <c r="K219" s="219">
        <f t="shared" si="26"/>
        <v>0</v>
      </c>
      <c r="L219" s="232">
        <f t="shared" si="27"/>
        <v>0</v>
      </c>
      <c r="M219" s="219">
        <f t="shared" si="28"/>
        <v>0</v>
      </c>
      <c r="N219" s="219">
        <f t="shared" si="29"/>
        <v>0</v>
      </c>
      <c r="O219" s="219">
        <f t="shared" si="30"/>
        <v>0</v>
      </c>
      <c r="P219" s="219">
        <f t="shared" si="31"/>
        <v>0</v>
      </c>
      <c r="Q219" s="219"/>
    </row>
    <row r="220" spans="9:17" x14ac:dyDescent="0.25">
      <c r="I220" s="219">
        <f t="shared" si="24"/>
        <v>0</v>
      </c>
      <c r="J220" s="219">
        <f t="shared" si="25"/>
        <v>0</v>
      </c>
      <c r="K220" s="219">
        <f t="shared" si="26"/>
        <v>0</v>
      </c>
      <c r="L220" s="232">
        <f t="shared" si="27"/>
        <v>0</v>
      </c>
      <c r="M220" s="219">
        <f t="shared" si="28"/>
        <v>0</v>
      </c>
      <c r="N220" s="219">
        <f t="shared" si="29"/>
        <v>0</v>
      </c>
      <c r="O220" s="219">
        <f t="shared" si="30"/>
        <v>0</v>
      </c>
      <c r="P220" s="219">
        <f t="shared" si="31"/>
        <v>0</v>
      </c>
      <c r="Q220" s="219"/>
    </row>
    <row r="221" spans="9:17" x14ac:dyDescent="0.25">
      <c r="I221" s="219">
        <f t="shared" si="24"/>
        <v>0</v>
      </c>
      <c r="J221" s="219">
        <f t="shared" si="25"/>
        <v>0</v>
      </c>
      <c r="K221" s="219">
        <f t="shared" si="26"/>
        <v>0</v>
      </c>
      <c r="L221" s="232">
        <f t="shared" si="27"/>
        <v>0</v>
      </c>
      <c r="M221" s="219">
        <f t="shared" si="28"/>
        <v>0</v>
      </c>
      <c r="N221" s="219">
        <f t="shared" si="29"/>
        <v>0</v>
      </c>
      <c r="O221" s="219">
        <f t="shared" si="30"/>
        <v>0</v>
      </c>
      <c r="P221" s="219">
        <f t="shared" si="31"/>
        <v>0</v>
      </c>
      <c r="Q221" s="219"/>
    </row>
    <row r="222" spans="9:17" x14ac:dyDescent="0.25">
      <c r="I222" s="219">
        <f t="shared" si="24"/>
        <v>0</v>
      </c>
      <c r="J222" s="219">
        <f t="shared" si="25"/>
        <v>0</v>
      </c>
      <c r="K222" s="219">
        <f t="shared" si="26"/>
        <v>0</v>
      </c>
      <c r="L222" s="232">
        <f t="shared" si="27"/>
        <v>0</v>
      </c>
      <c r="M222" s="219">
        <f t="shared" si="28"/>
        <v>0</v>
      </c>
      <c r="N222" s="219">
        <f t="shared" si="29"/>
        <v>0</v>
      </c>
      <c r="O222" s="219">
        <f t="shared" si="30"/>
        <v>0</v>
      </c>
      <c r="P222" s="219">
        <f t="shared" si="31"/>
        <v>0</v>
      </c>
      <c r="Q222" s="219"/>
    </row>
    <row r="223" spans="9:17" x14ac:dyDescent="0.25">
      <c r="I223" s="219">
        <f t="shared" si="24"/>
        <v>0</v>
      </c>
      <c r="J223" s="219">
        <f t="shared" si="25"/>
        <v>0</v>
      </c>
      <c r="K223" s="219">
        <f t="shared" si="26"/>
        <v>0</v>
      </c>
      <c r="L223" s="232">
        <f t="shared" si="27"/>
        <v>0</v>
      </c>
      <c r="M223" s="219">
        <f t="shared" si="28"/>
        <v>0</v>
      </c>
      <c r="N223" s="219">
        <f t="shared" si="29"/>
        <v>0</v>
      </c>
      <c r="O223" s="219">
        <f t="shared" si="30"/>
        <v>0</v>
      </c>
      <c r="P223" s="219">
        <f t="shared" si="31"/>
        <v>0</v>
      </c>
      <c r="Q223" s="219"/>
    </row>
    <row r="224" spans="9:17" x14ac:dyDescent="0.25">
      <c r="I224" s="219">
        <f t="shared" si="24"/>
        <v>0</v>
      </c>
      <c r="J224" s="219">
        <f t="shared" si="25"/>
        <v>0</v>
      </c>
      <c r="K224" s="219">
        <f t="shared" si="26"/>
        <v>0</v>
      </c>
      <c r="L224" s="232">
        <f t="shared" si="27"/>
        <v>0</v>
      </c>
      <c r="M224" s="219">
        <f t="shared" si="28"/>
        <v>0</v>
      </c>
      <c r="N224" s="219">
        <f t="shared" si="29"/>
        <v>0</v>
      </c>
      <c r="O224" s="219">
        <f t="shared" si="30"/>
        <v>0</v>
      </c>
      <c r="P224" s="219">
        <f t="shared" si="31"/>
        <v>0</v>
      </c>
      <c r="Q224" s="219"/>
    </row>
    <row r="225" spans="9:17" x14ac:dyDescent="0.25">
      <c r="I225" s="219">
        <f t="shared" si="24"/>
        <v>0</v>
      </c>
      <c r="J225" s="219">
        <f t="shared" si="25"/>
        <v>0</v>
      </c>
      <c r="K225" s="219">
        <f t="shared" si="26"/>
        <v>0</v>
      </c>
      <c r="L225" s="232">
        <f t="shared" si="27"/>
        <v>0</v>
      </c>
      <c r="M225" s="219">
        <f t="shared" si="28"/>
        <v>0</v>
      </c>
      <c r="N225" s="219">
        <f t="shared" si="29"/>
        <v>0</v>
      </c>
      <c r="O225" s="219">
        <f t="shared" si="30"/>
        <v>0</v>
      </c>
      <c r="P225" s="219">
        <f t="shared" si="31"/>
        <v>0</v>
      </c>
      <c r="Q225" s="219"/>
    </row>
    <row r="226" spans="9:17" x14ac:dyDescent="0.25">
      <c r="I226" s="219">
        <f t="shared" si="24"/>
        <v>0</v>
      </c>
      <c r="J226" s="219">
        <f t="shared" si="25"/>
        <v>0</v>
      </c>
      <c r="K226" s="219">
        <f t="shared" si="26"/>
        <v>0</v>
      </c>
      <c r="L226" s="232">
        <f t="shared" si="27"/>
        <v>0</v>
      </c>
      <c r="M226" s="219">
        <f t="shared" si="28"/>
        <v>0</v>
      </c>
      <c r="N226" s="219">
        <f t="shared" si="29"/>
        <v>0</v>
      </c>
      <c r="O226" s="219">
        <f t="shared" si="30"/>
        <v>0</v>
      </c>
      <c r="P226" s="219">
        <f t="shared" si="31"/>
        <v>0</v>
      </c>
      <c r="Q226" s="219"/>
    </row>
    <row r="227" spans="9:17" x14ac:dyDescent="0.25">
      <c r="I227" s="219">
        <f t="shared" si="24"/>
        <v>0</v>
      </c>
      <c r="J227" s="219">
        <f t="shared" si="25"/>
        <v>0</v>
      </c>
      <c r="K227" s="219">
        <f t="shared" si="26"/>
        <v>0</v>
      </c>
      <c r="L227" s="232">
        <f t="shared" si="27"/>
        <v>0</v>
      </c>
      <c r="M227" s="219">
        <f t="shared" si="28"/>
        <v>0</v>
      </c>
      <c r="N227" s="219">
        <f t="shared" si="29"/>
        <v>0</v>
      </c>
      <c r="O227" s="219">
        <f t="shared" si="30"/>
        <v>0</v>
      </c>
      <c r="P227" s="219">
        <f t="shared" si="31"/>
        <v>0</v>
      </c>
      <c r="Q227" s="219"/>
    </row>
    <row r="228" spans="9:17" x14ac:dyDescent="0.25">
      <c r="I228" s="219">
        <f t="shared" si="24"/>
        <v>0</v>
      </c>
      <c r="J228" s="219">
        <f t="shared" si="25"/>
        <v>0</v>
      </c>
      <c r="K228" s="219">
        <f t="shared" si="26"/>
        <v>0</v>
      </c>
      <c r="L228" s="232">
        <f t="shared" si="27"/>
        <v>0</v>
      </c>
      <c r="M228" s="219">
        <f t="shared" si="28"/>
        <v>0</v>
      </c>
      <c r="N228" s="219">
        <f t="shared" si="29"/>
        <v>0</v>
      </c>
      <c r="O228" s="219">
        <f t="shared" si="30"/>
        <v>0</v>
      </c>
      <c r="P228" s="219">
        <f t="shared" si="31"/>
        <v>0</v>
      </c>
      <c r="Q228" s="219"/>
    </row>
    <row r="229" spans="9:17" x14ac:dyDescent="0.25">
      <c r="I229" s="219">
        <f t="shared" si="24"/>
        <v>0</v>
      </c>
      <c r="J229" s="219">
        <f t="shared" si="25"/>
        <v>0</v>
      </c>
      <c r="K229" s="219">
        <f t="shared" si="26"/>
        <v>0</v>
      </c>
      <c r="L229" s="232">
        <f t="shared" si="27"/>
        <v>0</v>
      </c>
      <c r="M229" s="219">
        <f t="shared" si="28"/>
        <v>0</v>
      </c>
      <c r="N229" s="219">
        <f t="shared" si="29"/>
        <v>0</v>
      </c>
      <c r="O229" s="219">
        <f t="shared" si="30"/>
        <v>0</v>
      </c>
      <c r="P229" s="219">
        <f t="shared" si="31"/>
        <v>0</v>
      </c>
      <c r="Q229" s="219"/>
    </row>
    <row r="230" spans="9:17" x14ac:dyDescent="0.25">
      <c r="I230" s="219">
        <f t="shared" si="24"/>
        <v>0</v>
      </c>
      <c r="J230" s="219">
        <f t="shared" si="25"/>
        <v>0</v>
      </c>
      <c r="K230" s="219">
        <f t="shared" si="26"/>
        <v>0</v>
      </c>
      <c r="L230" s="232">
        <f t="shared" si="27"/>
        <v>0</v>
      </c>
      <c r="M230" s="219">
        <f t="shared" si="28"/>
        <v>0</v>
      </c>
      <c r="N230" s="219">
        <f t="shared" si="29"/>
        <v>0</v>
      </c>
      <c r="O230" s="219">
        <f t="shared" si="30"/>
        <v>0</v>
      </c>
      <c r="P230" s="219">
        <f t="shared" si="31"/>
        <v>0</v>
      </c>
      <c r="Q230" s="219"/>
    </row>
    <row r="231" spans="9:17" x14ac:dyDescent="0.25">
      <c r="I231" s="219">
        <f t="shared" si="24"/>
        <v>0</v>
      </c>
      <c r="J231" s="219">
        <f t="shared" si="25"/>
        <v>0</v>
      </c>
      <c r="K231" s="219">
        <f t="shared" si="26"/>
        <v>0</v>
      </c>
      <c r="L231" s="232">
        <f t="shared" si="27"/>
        <v>0</v>
      </c>
      <c r="M231" s="219">
        <f t="shared" si="28"/>
        <v>0</v>
      </c>
      <c r="N231" s="219">
        <f t="shared" si="29"/>
        <v>0</v>
      </c>
      <c r="O231" s="219">
        <f t="shared" si="30"/>
        <v>0</v>
      </c>
      <c r="P231" s="219">
        <f t="shared" si="31"/>
        <v>0</v>
      </c>
      <c r="Q231" s="219"/>
    </row>
    <row r="232" spans="9:17" x14ac:dyDescent="0.25">
      <c r="I232" s="219">
        <f t="shared" si="24"/>
        <v>0</v>
      </c>
      <c r="J232" s="219">
        <f t="shared" si="25"/>
        <v>0</v>
      </c>
      <c r="K232" s="219">
        <f t="shared" si="26"/>
        <v>0</v>
      </c>
      <c r="L232" s="232">
        <f t="shared" si="27"/>
        <v>0</v>
      </c>
      <c r="M232" s="219">
        <f t="shared" si="28"/>
        <v>0</v>
      </c>
      <c r="N232" s="219">
        <f t="shared" si="29"/>
        <v>0</v>
      </c>
      <c r="O232" s="219">
        <f t="shared" si="30"/>
        <v>0</v>
      </c>
      <c r="P232" s="219">
        <f t="shared" si="31"/>
        <v>0</v>
      </c>
      <c r="Q232" s="219"/>
    </row>
    <row r="233" spans="9:17" x14ac:dyDescent="0.25">
      <c r="I233" s="219">
        <f t="shared" si="24"/>
        <v>0</v>
      </c>
      <c r="J233" s="219">
        <f t="shared" si="25"/>
        <v>0</v>
      </c>
      <c r="K233" s="219">
        <f t="shared" si="26"/>
        <v>0</v>
      </c>
      <c r="L233" s="232">
        <f t="shared" si="27"/>
        <v>0</v>
      </c>
      <c r="M233" s="219">
        <f t="shared" si="28"/>
        <v>0</v>
      </c>
      <c r="N233" s="219">
        <f t="shared" si="29"/>
        <v>0</v>
      </c>
      <c r="O233" s="219">
        <f t="shared" si="30"/>
        <v>0</v>
      </c>
      <c r="P233" s="219">
        <f t="shared" si="31"/>
        <v>0</v>
      </c>
      <c r="Q233" s="219"/>
    </row>
    <row r="234" spans="9:17" x14ac:dyDescent="0.25">
      <c r="I234" s="219">
        <f t="shared" ref="I234:I260" si="32">SUM(R234:S234)</f>
        <v>0</v>
      </c>
      <c r="J234" s="219">
        <f t="shared" ref="J234:J260" si="33">SUM(T234:V234)</f>
        <v>0</v>
      </c>
      <c r="K234" s="219">
        <f t="shared" ref="K234:K260" si="34">W234</f>
        <v>0</v>
      </c>
      <c r="L234" s="232">
        <f t="shared" ref="L234:L260" si="35">SUM(X234:AB234)</f>
        <v>0</v>
      </c>
      <c r="M234" s="219">
        <f t="shared" ref="M234:M260" si="36">SUM(AC234:AE234)</f>
        <v>0</v>
      </c>
      <c r="N234" s="219">
        <f t="shared" ref="N234:O268" si="37">AG234</f>
        <v>0</v>
      </c>
      <c r="O234" s="219">
        <f t="shared" si="37"/>
        <v>0</v>
      </c>
      <c r="P234" s="219">
        <f t="shared" ref="P234:P260" si="38">SUM(AK234:AM234)</f>
        <v>0</v>
      </c>
      <c r="Q234" s="219">
        <f t="shared" ref="Q234:Q260" si="39">AN234</f>
        <v>0</v>
      </c>
    </row>
    <row r="235" spans="9:17" x14ac:dyDescent="0.25">
      <c r="I235" s="219">
        <f t="shared" si="32"/>
        <v>0</v>
      </c>
      <c r="J235" s="219">
        <f t="shared" si="33"/>
        <v>0</v>
      </c>
      <c r="K235" s="219">
        <f t="shared" si="34"/>
        <v>0</v>
      </c>
      <c r="L235" s="232">
        <f t="shared" si="35"/>
        <v>0</v>
      </c>
      <c r="M235" s="219">
        <f t="shared" si="36"/>
        <v>0</v>
      </c>
      <c r="N235" s="219">
        <f t="shared" si="37"/>
        <v>0</v>
      </c>
      <c r="O235" s="219">
        <f t="shared" si="37"/>
        <v>0</v>
      </c>
      <c r="P235" s="219">
        <f t="shared" si="38"/>
        <v>0</v>
      </c>
      <c r="Q235" s="219">
        <f t="shared" si="39"/>
        <v>0</v>
      </c>
    </row>
    <row r="236" spans="9:17" x14ac:dyDescent="0.25">
      <c r="I236" s="219">
        <f t="shared" si="32"/>
        <v>0</v>
      </c>
      <c r="J236" s="219">
        <f t="shared" si="33"/>
        <v>0</v>
      </c>
      <c r="K236" s="219">
        <f t="shared" si="34"/>
        <v>0</v>
      </c>
      <c r="L236" s="232">
        <f t="shared" si="35"/>
        <v>0</v>
      </c>
      <c r="M236" s="219">
        <f t="shared" si="36"/>
        <v>0</v>
      </c>
      <c r="N236" s="219">
        <f t="shared" si="37"/>
        <v>0</v>
      </c>
      <c r="O236" s="219">
        <f t="shared" si="37"/>
        <v>0</v>
      </c>
      <c r="P236" s="219">
        <f t="shared" si="38"/>
        <v>0</v>
      </c>
      <c r="Q236" s="219">
        <f t="shared" si="39"/>
        <v>0</v>
      </c>
    </row>
    <row r="237" spans="9:17" x14ac:dyDescent="0.25">
      <c r="I237" s="219">
        <f t="shared" si="32"/>
        <v>0</v>
      </c>
      <c r="J237" s="219">
        <f t="shared" si="33"/>
        <v>0</v>
      </c>
      <c r="K237" s="219">
        <f t="shared" si="34"/>
        <v>0</v>
      </c>
      <c r="L237" s="232">
        <f t="shared" si="35"/>
        <v>0</v>
      </c>
      <c r="M237" s="219">
        <f t="shared" si="36"/>
        <v>0</v>
      </c>
      <c r="N237" s="219">
        <f t="shared" si="37"/>
        <v>0</v>
      </c>
      <c r="O237" s="219">
        <f t="shared" si="37"/>
        <v>0</v>
      </c>
      <c r="P237" s="219">
        <f t="shared" si="38"/>
        <v>0</v>
      </c>
      <c r="Q237" s="219">
        <f t="shared" si="39"/>
        <v>0</v>
      </c>
    </row>
    <row r="238" spans="9:17" x14ac:dyDescent="0.25">
      <c r="I238" s="219">
        <f t="shared" si="32"/>
        <v>0</v>
      </c>
      <c r="J238" s="219">
        <f t="shared" si="33"/>
        <v>0</v>
      </c>
      <c r="K238" s="219">
        <f t="shared" si="34"/>
        <v>0</v>
      </c>
      <c r="L238" s="232">
        <f t="shared" si="35"/>
        <v>0</v>
      </c>
      <c r="M238" s="219">
        <f t="shared" si="36"/>
        <v>0</v>
      </c>
      <c r="N238" s="219">
        <f t="shared" si="37"/>
        <v>0</v>
      </c>
      <c r="O238" s="219">
        <f t="shared" si="37"/>
        <v>0</v>
      </c>
      <c r="P238" s="219">
        <f t="shared" si="38"/>
        <v>0</v>
      </c>
      <c r="Q238" s="219">
        <f t="shared" si="39"/>
        <v>0</v>
      </c>
    </row>
    <row r="239" spans="9:17" x14ac:dyDescent="0.25">
      <c r="I239" s="219">
        <f t="shared" si="32"/>
        <v>0</v>
      </c>
      <c r="J239" s="219">
        <f t="shared" si="33"/>
        <v>0</v>
      </c>
      <c r="K239" s="219">
        <f t="shared" si="34"/>
        <v>0</v>
      </c>
      <c r="L239" s="232">
        <f t="shared" si="35"/>
        <v>0</v>
      </c>
      <c r="M239" s="219">
        <f t="shared" si="36"/>
        <v>0</v>
      </c>
      <c r="N239" s="219">
        <f t="shared" si="37"/>
        <v>0</v>
      </c>
      <c r="O239" s="219">
        <f t="shared" si="37"/>
        <v>0</v>
      </c>
      <c r="P239" s="219">
        <f t="shared" si="38"/>
        <v>0</v>
      </c>
      <c r="Q239" s="219">
        <f t="shared" si="39"/>
        <v>0</v>
      </c>
    </row>
    <row r="240" spans="9:17" x14ac:dyDescent="0.25">
      <c r="I240" s="219">
        <f t="shared" si="32"/>
        <v>0</v>
      </c>
      <c r="J240" s="219">
        <f t="shared" si="33"/>
        <v>0</v>
      </c>
      <c r="K240" s="219">
        <f t="shared" si="34"/>
        <v>0</v>
      </c>
      <c r="L240" s="232">
        <f t="shared" si="35"/>
        <v>0</v>
      </c>
      <c r="M240" s="219">
        <f t="shared" si="36"/>
        <v>0</v>
      </c>
      <c r="N240" s="219">
        <f t="shared" si="37"/>
        <v>0</v>
      </c>
      <c r="O240" s="219">
        <f t="shared" si="37"/>
        <v>0</v>
      </c>
      <c r="P240" s="219">
        <f t="shared" si="38"/>
        <v>0</v>
      </c>
      <c r="Q240" s="219">
        <f t="shared" si="39"/>
        <v>0</v>
      </c>
    </row>
    <row r="241" spans="9:17" x14ac:dyDescent="0.25">
      <c r="I241" s="219">
        <f t="shared" si="32"/>
        <v>0</v>
      </c>
      <c r="J241" s="219">
        <f t="shared" si="33"/>
        <v>0</v>
      </c>
      <c r="K241" s="219">
        <f t="shared" si="34"/>
        <v>0</v>
      </c>
      <c r="L241" s="232">
        <f t="shared" si="35"/>
        <v>0</v>
      </c>
      <c r="M241" s="219">
        <f t="shared" si="36"/>
        <v>0</v>
      </c>
      <c r="N241" s="219">
        <f t="shared" si="37"/>
        <v>0</v>
      </c>
      <c r="O241" s="219">
        <f t="shared" si="37"/>
        <v>0</v>
      </c>
      <c r="P241" s="219">
        <f t="shared" si="38"/>
        <v>0</v>
      </c>
      <c r="Q241" s="219">
        <f t="shared" si="39"/>
        <v>0</v>
      </c>
    </row>
    <row r="242" spans="9:17" x14ac:dyDescent="0.25">
      <c r="I242" s="219">
        <f t="shared" si="32"/>
        <v>0</v>
      </c>
      <c r="J242" s="219">
        <f t="shared" si="33"/>
        <v>0</v>
      </c>
      <c r="K242" s="219">
        <f t="shared" si="34"/>
        <v>0</v>
      </c>
      <c r="L242" s="232">
        <f t="shared" si="35"/>
        <v>0</v>
      </c>
      <c r="M242" s="219">
        <f t="shared" si="36"/>
        <v>0</v>
      </c>
      <c r="N242" s="219">
        <f t="shared" si="37"/>
        <v>0</v>
      </c>
      <c r="O242" s="219">
        <f t="shared" si="37"/>
        <v>0</v>
      </c>
      <c r="P242" s="219">
        <f t="shared" si="38"/>
        <v>0</v>
      </c>
      <c r="Q242" s="219">
        <f t="shared" si="39"/>
        <v>0</v>
      </c>
    </row>
    <row r="243" spans="9:17" x14ac:dyDescent="0.25">
      <c r="I243" s="219">
        <f t="shared" si="32"/>
        <v>0</v>
      </c>
      <c r="J243" s="219">
        <f t="shared" si="33"/>
        <v>0</v>
      </c>
      <c r="K243" s="219">
        <f t="shared" si="34"/>
        <v>0</v>
      </c>
      <c r="L243" s="232">
        <f t="shared" si="35"/>
        <v>0</v>
      </c>
      <c r="M243" s="219">
        <f t="shared" si="36"/>
        <v>0</v>
      </c>
      <c r="N243" s="219">
        <f t="shared" si="37"/>
        <v>0</v>
      </c>
      <c r="O243" s="219">
        <f t="shared" si="37"/>
        <v>0</v>
      </c>
      <c r="P243" s="219">
        <f t="shared" si="38"/>
        <v>0</v>
      </c>
      <c r="Q243" s="219">
        <f t="shared" si="39"/>
        <v>0</v>
      </c>
    </row>
    <row r="244" spans="9:17" x14ac:dyDescent="0.25">
      <c r="I244" s="219">
        <f t="shared" si="32"/>
        <v>0</v>
      </c>
      <c r="J244" s="219">
        <f t="shared" si="33"/>
        <v>0</v>
      </c>
      <c r="K244" s="219">
        <f t="shared" si="34"/>
        <v>0</v>
      </c>
      <c r="L244" s="232">
        <f t="shared" si="35"/>
        <v>0</v>
      </c>
      <c r="M244" s="219">
        <f t="shared" si="36"/>
        <v>0</v>
      </c>
      <c r="N244" s="219">
        <f t="shared" si="37"/>
        <v>0</v>
      </c>
      <c r="O244" s="219">
        <f t="shared" si="37"/>
        <v>0</v>
      </c>
      <c r="P244" s="219">
        <f t="shared" si="38"/>
        <v>0</v>
      </c>
      <c r="Q244" s="219">
        <f t="shared" si="39"/>
        <v>0</v>
      </c>
    </row>
    <row r="245" spans="9:17" x14ac:dyDescent="0.25">
      <c r="I245" s="219">
        <f t="shared" si="32"/>
        <v>0</v>
      </c>
      <c r="J245" s="219">
        <f t="shared" si="33"/>
        <v>0</v>
      </c>
      <c r="K245" s="219">
        <f t="shared" si="34"/>
        <v>0</v>
      </c>
      <c r="L245" s="232">
        <f t="shared" si="35"/>
        <v>0</v>
      </c>
      <c r="M245" s="219">
        <f t="shared" si="36"/>
        <v>0</v>
      </c>
      <c r="N245" s="219">
        <f t="shared" si="37"/>
        <v>0</v>
      </c>
      <c r="O245" s="219">
        <f t="shared" si="37"/>
        <v>0</v>
      </c>
      <c r="P245" s="219">
        <f t="shared" si="38"/>
        <v>0</v>
      </c>
      <c r="Q245" s="219">
        <f t="shared" si="39"/>
        <v>0</v>
      </c>
    </row>
    <row r="246" spans="9:17" x14ac:dyDescent="0.25">
      <c r="I246" s="219">
        <f t="shared" si="32"/>
        <v>0</v>
      </c>
      <c r="J246" s="219">
        <f t="shared" si="33"/>
        <v>0</v>
      </c>
      <c r="K246" s="219">
        <f t="shared" si="34"/>
        <v>0</v>
      </c>
      <c r="L246" s="232">
        <f t="shared" si="35"/>
        <v>0</v>
      </c>
      <c r="M246" s="219">
        <f t="shared" si="36"/>
        <v>0</v>
      </c>
      <c r="N246" s="219">
        <f t="shared" si="37"/>
        <v>0</v>
      </c>
      <c r="O246" s="219">
        <f t="shared" si="37"/>
        <v>0</v>
      </c>
      <c r="P246" s="219">
        <f t="shared" si="38"/>
        <v>0</v>
      </c>
      <c r="Q246" s="219">
        <f t="shared" si="39"/>
        <v>0</v>
      </c>
    </row>
    <row r="247" spans="9:17" x14ac:dyDescent="0.25">
      <c r="I247" s="219">
        <f t="shared" si="32"/>
        <v>0</v>
      </c>
      <c r="J247" s="219">
        <f t="shared" si="33"/>
        <v>0</v>
      </c>
      <c r="K247" s="219">
        <f t="shared" si="34"/>
        <v>0</v>
      </c>
      <c r="L247" s="232">
        <f t="shared" si="35"/>
        <v>0</v>
      </c>
      <c r="M247" s="219">
        <f t="shared" si="36"/>
        <v>0</v>
      </c>
      <c r="N247" s="219">
        <f t="shared" si="37"/>
        <v>0</v>
      </c>
      <c r="O247" s="219">
        <f t="shared" si="37"/>
        <v>0</v>
      </c>
      <c r="P247" s="219">
        <f t="shared" si="38"/>
        <v>0</v>
      </c>
      <c r="Q247" s="219">
        <f t="shared" si="39"/>
        <v>0</v>
      </c>
    </row>
    <row r="248" spans="9:17" x14ac:dyDescent="0.25">
      <c r="I248" s="219">
        <f t="shared" si="32"/>
        <v>0</v>
      </c>
      <c r="J248" s="219">
        <f t="shared" si="33"/>
        <v>0</v>
      </c>
      <c r="K248" s="219">
        <f t="shared" si="34"/>
        <v>0</v>
      </c>
      <c r="L248" s="232">
        <f t="shared" si="35"/>
        <v>0</v>
      </c>
      <c r="M248" s="219">
        <f t="shared" si="36"/>
        <v>0</v>
      </c>
      <c r="N248" s="219">
        <f t="shared" si="37"/>
        <v>0</v>
      </c>
      <c r="O248" s="219">
        <f t="shared" si="37"/>
        <v>0</v>
      </c>
      <c r="P248" s="219">
        <f t="shared" si="38"/>
        <v>0</v>
      </c>
      <c r="Q248" s="219">
        <f t="shared" si="39"/>
        <v>0</v>
      </c>
    </row>
    <row r="249" spans="9:17" x14ac:dyDescent="0.25">
      <c r="I249" s="219">
        <f t="shared" si="32"/>
        <v>0</v>
      </c>
      <c r="J249" s="219">
        <f t="shared" si="33"/>
        <v>0</v>
      </c>
      <c r="K249" s="219">
        <f t="shared" si="34"/>
        <v>0</v>
      </c>
      <c r="L249" s="232">
        <f t="shared" si="35"/>
        <v>0</v>
      </c>
      <c r="M249" s="219">
        <f t="shared" si="36"/>
        <v>0</v>
      </c>
      <c r="N249" s="219">
        <f t="shared" si="37"/>
        <v>0</v>
      </c>
      <c r="O249" s="219">
        <f t="shared" si="37"/>
        <v>0</v>
      </c>
      <c r="P249" s="219">
        <f t="shared" si="38"/>
        <v>0</v>
      </c>
      <c r="Q249" s="219">
        <f t="shared" si="39"/>
        <v>0</v>
      </c>
    </row>
    <row r="250" spans="9:17" x14ac:dyDescent="0.25">
      <c r="I250" s="219">
        <f t="shared" si="32"/>
        <v>0</v>
      </c>
      <c r="J250" s="219">
        <f t="shared" si="33"/>
        <v>0</v>
      </c>
      <c r="K250" s="219">
        <f t="shared" si="34"/>
        <v>0</v>
      </c>
      <c r="L250" s="232">
        <f t="shared" si="35"/>
        <v>0</v>
      </c>
      <c r="M250" s="219">
        <f t="shared" si="36"/>
        <v>0</v>
      </c>
      <c r="N250" s="219">
        <f t="shared" si="37"/>
        <v>0</v>
      </c>
      <c r="O250" s="219">
        <f t="shared" si="37"/>
        <v>0</v>
      </c>
      <c r="P250" s="219">
        <f t="shared" si="38"/>
        <v>0</v>
      </c>
      <c r="Q250" s="219">
        <f t="shared" si="39"/>
        <v>0</v>
      </c>
    </row>
    <row r="251" spans="9:17" x14ac:dyDescent="0.25">
      <c r="I251" s="219">
        <f t="shared" si="32"/>
        <v>0</v>
      </c>
      <c r="J251" s="219">
        <f t="shared" si="33"/>
        <v>0</v>
      </c>
      <c r="K251" s="219">
        <f t="shared" si="34"/>
        <v>0</v>
      </c>
      <c r="L251" s="232">
        <f t="shared" si="35"/>
        <v>0</v>
      </c>
      <c r="M251" s="219">
        <f t="shared" si="36"/>
        <v>0</v>
      </c>
      <c r="N251" s="219">
        <f t="shared" si="37"/>
        <v>0</v>
      </c>
      <c r="O251" s="219">
        <f t="shared" si="37"/>
        <v>0</v>
      </c>
      <c r="P251" s="219">
        <f t="shared" si="38"/>
        <v>0</v>
      </c>
      <c r="Q251" s="219">
        <f t="shared" si="39"/>
        <v>0</v>
      </c>
    </row>
    <row r="252" spans="9:17" x14ac:dyDescent="0.25">
      <c r="I252" s="219">
        <f t="shared" si="32"/>
        <v>0</v>
      </c>
      <c r="J252" s="219">
        <f t="shared" si="33"/>
        <v>0</v>
      </c>
      <c r="K252" s="219">
        <f t="shared" si="34"/>
        <v>0</v>
      </c>
      <c r="L252" s="232">
        <f t="shared" si="35"/>
        <v>0</v>
      </c>
      <c r="M252" s="219">
        <f t="shared" si="36"/>
        <v>0</v>
      </c>
      <c r="N252" s="219">
        <f t="shared" si="37"/>
        <v>0</v>
      </c>
      <c r="O252" s="219">
        <f t="shared" si="37"/>
        <v>0</v>
      </c>
      <c r="P252" s="219">
        <f t="shared" si="38"/>
        <v>0</v>
      </c>
      <c r="Q252" s="219">
        <f t="shared" si="39"/>
        <v>0</v>
      </c>
    </row>
    <row r="253" spans="9:17" x14ac:dyDescent="0.25">
      <c r="I253" s="219">
        <f t="shared" si="32"/>
        <v>0</v>
      </c>
      <c r="J253" s="219">
        <f t="shared" si="33"/>
        <v>0</v>
      </c>
      <c r="K253" s="219">
        <f t="shared" si="34"/>
        <v>0</v>
      </c>
      <c r="L253" s="232">
        <f t="shared" si="35"/>
        <v>0</v>
      </c>
      <c r="M253" s="219">
        <f t="shared" si="36"/>
        <v>0</v>
      </c>
      <c r="N253" s="219">
        <f t="shared" si="37"/>
        <v>0</v>
      </c>
      <c r="O253" s="219">
        <f t="shared" si="37"/>
        <v>0</v>
      </c>
      <c r="P253" s="219">
        <f t="shared" si="38"/>
        <v>0</v>
      </c>
      <c r="Q253" s="219">
        <f t="shared" si="39"/>
        <v>0</v>
      </c>
    </row>
    <row r="254" spans="9:17" x14ac:dyDescent="0.25">
      <c r="I254" s="219">
        <f t="shared" si="32"/>
        <v>0</v>
      </c>
      <c r="J254" s="219">
        <f t="shared" si="33"/>
        <v>0</v>
      </c>
      <c r="K254" s="219">
        <f t="shared" si="34"/>
        <v>0</v>
      </c>
      <c r="L254" s="232">
        <f t="shared" si="35"/>
        <v>0</v>
      </c>
      <c r="M254" s="219">
        <f t="shared" si="36"/>
        <v>0</v>
      </c>
      <c r="N254" s="219">
        <f t="shared" si="37"/>
        <v>0</v>
      </c>
      <c r="O254" s="219">
        <f t="shared" si="37"/>
        <v>0</v>
      </c>
      <c r="P254" s="219">
        <f t="shared" si="38"/>
        <v>0</v>
      </c>
      <c r="Q254" s="219">
        <f t="shared" si="39"/>
        <v>0</v>
      </c>
    </row>
    <row r="255" spans="9:17" x14ac:dyDescent="0.25">
      <c r="I255" s="219">
        <f t="shared" si="32"/>
        <v>0</v>
      </c>
      <c r="J255" s="219">
        <f t="shared" si="33"/>
        <v>0</v>
      </c>
      <c r="K255" s="219">
        <f t="shared" si="34"/>
        <v>0</v>
      </c>
      <c r="L255" s="232">
        <f t="shared" si="35"/>
        <v>0</v>
      </c>
      <c r="M255" s="219">
        <f t="shared" si="36"/>
        <v>0</v>
      </c>
      <c r="N255" s="219">
        <f t="shared" si="37"/>
        <v>0</v>
      </c>
      <c r="O255" s="219">
        <f t="shared" si="37"/>
        <v>0</v>
      </c>
      <c r="P255" s="219">
        <f t="shared" si="38"/>
        <v>0</v>
      </c>
      <c r="Q255" s="219">
        <f t="shared" si="39"/>
        <v>0</v>
      </c>
    </row>
    <row r="256" spans="9:17" x14ac:dyDescent="0.25">
      <c r="I256" s="219">
        <f t="shared" si="32"/>
        <v>0</v>
      </c>
      <c r="J256" s="219">
        <f t="shared" si="33"/>
        <v>0</v>
      </c>
      <c r="K256" s="219">
        <f t="shared" si="34"/>
        <v>0</v>
      </c>
      <c r="L256" s="232">
        <f t="shared" si="35"/>
        <v>0</v>
      </c>
      <c r="M256" s="219">
        <f t="shared" si="36"/>
        <v>0</v>
      </c>
      <c r="N256" s="219">
        <f t="shared" si="37"/>
        <v>0</v>
      </c>
      <c r="O256" s="219">
        <f t="shared" si="37"/>
        <v>0</v>
      </c>
      <c r="P256" s="219">
        <f t="shared" si="38"/>
        <v>0</v>
      </c>
      <c r="Q256" s="219">
        <f t="shared" si="39"/>
        <v>0</v>
      </c>
    </row>
    <row r="257" spans="9:17" x14ac:dyDescent="0.25">
      <c r="I257" s="219">
        <f t="shared" si="32"/>
        <v>0</v>
      </c>
      <c r="J257" s="219">
        <f t="shared" si="33"/>
        <v>0</v>
      </c>
      <c r="K257" s="219">
        <f t="shared" si="34"/>
        <v>0</v>
      </c>
      <c r="L257" s="232">
        <f t="shared" si="35"/>
        <v>0</v>
      </c>
      <c r="M257" s="219">
        <f t="shared" si="36"/>
        <v>0</v>
      </c>
      <c r="N257" s="219">
        <f t="shared" si="37"/>
        <v>0</v>
      </c>
      <c r="O257" s="219">
        <f t="shared" si="37"/>
        <v>0</v>
      </c>
      <c r="P257" s="219">
        <f t="shared" si="38"/>
        <v>0</v>
      </c>
      <c r="Q257" s="219">
        <f t="shared" si="39"/>
        <v>0</v>
      </c>
    </row>
    <row r="258" spans="9:17" x14ac:dyDescent="0.25">
      <c r="I258" s="219">
        <f t="shared" si="32"/>
        <v>0</v>
      </c>
      <c r="J258" s="219">
        <f t="shared" si="33"/>
        <v>0</v>
      </c>
      <c r="K258" s="219">
        <f t="shared" si="34"/>
        <v>0</v>
      </c>
      <c r="L258" s="232">
        <f t="shared" si="35"/>
        <v>0</v>
      </c>
      <c r="M258" s="219">
        <f t="shared" si="36"/>
        <v>0</v>
      </c>
      <c r="N258" s="219">
        <f t="shared" si="37"/>
        <v>0</v>
      </c>
      <c r="O258" s="219">
        <f t="shared" si="37"/>
        <v>0</v>
      </c>
      <c r="P258" s="219">
        <f t="shared" si="38"/>
        <v>0</v>
      </c>
      <c r="Q258" s="219">
        <f t="shared" si="39"/>
        <v>0</v>
      </c>
    </row>
    <row r="259" spans="9:17" x14ac:dyDescent="0.25">
      <c r="I259" s="219">
        <f t="shared" si="32"/>
        <v>0</v>
      </c>
      <c r="J259" s="219">
        <f t="shared" si="33"/>
        <v>0</v>
      </c>
      <c r="K259" s="219">
        <f t="shared" si="34"/>
        <v>0</v>
      </c>
      <c r="L259" s="232">
        <f t="shared" si="35"/>
        <v>0</v>
      </c>
      <c r="M259" s="219">
        <f t="shared" si="36"/>
        <v>0</v>
      </c>
      <c r="N259" s="219">
        <f t="shared" si="37"/>
        <v>0</v>
      </c>
      <c r="O259" s="219">
        <f t="shared" si="37"/>
        <v>0</v>
      </c>
      <c r="P259" s="219">
        <f t="shared" si="38"/>
        <v>0</v>
      </c>
      <c r="Q259" s="219">
        <f t="shared" si="39"/>
        <v>0</v>
      </c>
    </row>
    <row r="260" spans="9:17" x14ac:dyDescent="0.25">
      <c r="I260" s="219">
        <f t="shared" si="32"/>
        <v>0</v>
      </c>
      <c r="J260" s="219">
        <f t="shared" si="33"/>
        <v>0</v>
      </c>
      <c r="K260" s="219">
        <f t="shared" si="34"/>
        <v>0</v>
      </c>
      <c r="L260" s="232">
        <f t="shared" si="35"/>
        <v>0</v>
      </c>
      <c r="M260" s="219">
        <f t="shared" si="36"/>
        <v>0</v>
      </c>
      <c r="N260" s="219">
        <f t="shared" si="37"/>
        <v>0</v>
      </c>
      <c r="O260" s="219">
        <f t="shared" si="37"/>
        <v>0</v>
      </c>
      <c r="P260" s="219">
        <f t="shared" si="38"/>
        <v>0</v>
      </c>
      <c r="Q260" s="219">
        <f t="shared" si="39"/>
        <v>0</v>
      </c>
    </row>
    <row r="261" spans="9:17" x14ac:dyDescent="0.25">
      <c r="I261" s="219">
        <f t="shared" ref="I261:I268" si="40">SUM(R261:S261)</f>
        <v>0</v>
      </c>
      <c r="J261" s="219">
        <f t="shared" ref="J261:J268" si="41">SUM(T261:V261)</f>
        <v>0</v>
      </c>
      <c r="K261" s="219">
        <f t="shared" ref="K261:K268" si="42">W261</f>
        <v>0</v>
      </c>
      <c r="L261" s="232">
        <f t="shared" ref="L261:L268" si="43">SUM(X261:AB261)</f>
        <v>0</v>
      </c>
      <c r="M261" s="219">
        <f t="shared" ref="M261:M268" si="44">SUM(AC261:AE261)</f>
        <v>0</v>
      </c>
      <c r="N261" s="219">
        <f t="shared" si="37"/>
        <v>0</v>
      </c>
      <c r="O261" s="219">
        <f t="shared" si="37"/>
        <v>0</v>
      </c>
      <c r="P261" s="219">
        <f t="shared" ref="P261:P268" si="45">SUM(AK261:AM261)</f>
        <v>0</v>
      </c>
      <c r="Q261" s="219">
        <f t="shared" ref="Q261:Q268" si="46">AN261</f>
        <v>0</v>
      </c>
    </row>
    <row r="262" spans="9:17" x14ac:dyDescent="0.25">
      <c r="I262" s="219">
        <f t="shared" si="40"/>
        <v>0</v>
      </c>
      <c r="J262" s="219">
        <f t="shared" si="41"/>
        <v>0</v>
      </c>
      <c r="K262" s="219">
        <f t="shared" si="42"/>
        <v>0</v>
      </c>
      <c r="L262" s="232">
        <f t="shared" si="43"/>
        <v>0</v>
      </c>
      <c r="M262" s="219">
        <f t="shared" si="44"/>
        <v>0</v>
      </c>
      <c r="N262" s="219">
        <f t="shared" si="37"/>
        <v>0</v>
      </c>
      <c r="O262" s="219">
        <f t="shared" si="37"/>
        <v>0</v>
      </c>
      <c r="P262" s="219">
        <f t="shared" si="45"/>
        <v>0</v>
      </c>
      <c r="Q262" s="219">
        <f t="shared" si="46"/>
        <v>0</v>
      </c>
    </row>
    <row r="263" spans="9:17" x14ac:dyDescent="0.25">
      <c r="I263" s="219">
        <f t="shared" si="40"/>
        <v>0</v>
      </c>
      <c r="J263" s="219">
        <f t="shared" si="41"/>
        <v>0</v>
      </c>
      <c r="K263" s="219">
        <f t="shared" si="42"/>
        <v>0</v>
      </c>
      <c r="L263" s="232">
        <f t="shared" si="43"/>
        <v>0</v>
      </c>
      <c r="M263" s="219">
        <f t="shared" si="44"/>
        <v>0</v>
      </c>
      <c r="N263" s="219">
        <f t="shared" si="37"/>
        <v>0</v>
      </c>
      <c r="O263" s="219">
        <f t="shared" si="37"/>
        <v>0</v>
      </c>
      <c r="P263" s="219">
        <f t="shared" si="45"/>
        <v>0</v>
      </c>
      <c r="Q263" s="219">
        <f t="shared" si="46"/>
        <v>0</v>
      </c>
    </row>
    <row r="264" spans="9:17" x14ac:dyDescent="0.25">
      <c r="I264" s="219">
        <f t="shared" si="40"/>
        <v>0</v>
      </c>
      <c r="J264" s="219">
        <f t="shared" si="41"/>
        <v>0</v>
      </c>
      <c r="K264" s="219">
        <f t="shared" si="42"/>
        <v>0</v>
      </c>
      <c r="L264" s="232">
        <f t="shared" si="43"/>
        <v>0</v>
      </c>
      <c r="M264" s="219">
        <f t="shared" si="44"/>
        <v>0</v>
      </c>
      <c r="N264" s="219">
        <f t="shared" si="37"/>
        <v>0</v>
      </c>
      <c r="O264" s="219">
        <f t="shared" si="37"/>
        <v>0</v>
      </c>
      <c r="P264" s="219">
        <f t="shared" si="45"/>
        <v>0</v>
      </c>
      <c r="Q264" s="219">
        <f t="shared" si="46"/>
        <v>0</v>
      </c>
    </row>
    <row r="265" spans="9:17" x14ac:dyDescent="0.25">
      <c r="I265" s="219">
        <f t="shared" si="40"/>
        <v>0</v>
      </c>
      <c r="J265" s="219">
        <f t="shared" si="41"/>
        <v>0</v>
      </c>
      <c r="K265" s="219">
        <f t="shared" si="42"/>
        <v>0</v>
      </c>
      <c r="L265" s="232">
        <f t="shared" si="43"/>
        <v>0</v>
      </c>
      <c r="M265" s="219">
        <f t="shared" si="44"/>
        <v>0</v>
      </c>
      <c r="N265" s="219">
        <f t="shared" si="37"/>
        <v>0</v>
      </c>
      <c r="O265" s="219">
        <f t="shared" si="37"/>
        <v>0</v>
      </c>
      <c r="P265" s="219">
        <f t="shared" si="45"/>
        <v>0</v>
      </c>
      <c r="Q265" s="219">
        <f t="shared" si="46"/>
        <v>0</v>
      </c>
    </row>
    <row r="266" spans="9:17" x14ac:dyDescent="0.25">
      <c r="I266" s="219">
        <f t="shared" si="40"/>
        <v>0</v>
      </c>
      <c r="J266" s="219">
        <f t="shared" si="41"/>
        <v>0</v>
      </c>
      <c r="K266" s="219">
        <f t="shared" si="42"/>
        <v>0</v>
      </c>
      <c r="L266" s="232">
        <f t="shared" si="43"/>
        <v>0</v>
      </c>
      <c r="M266" s="219">
        <f t="shared" si="44"/>
        <v>0</v>
      </c>
      <c r="N266" s="219">
        <f t="shared" si="37"/>
        <v>0</v>
      </c>
      <c r="O266" s="219">
        <f t="shared" si="37"/>
        <v>0</v>
      </c>
      <c r="P266" s="219">
        <f t="shared" si="45"/>
        <v>0</v>
      </c>
      <c r="Q266" s="219">
        <f t="shared" si="46"/>
        <v>0</v>
      </c>
    </row>
    <row r="267" spans="9:17" x14ac:dyDescent="0.25">
      <c r="I267" s="219">
        <f t="shared" si="40"/>
        <v>0</v>
      </c>
      <c r="J267" s="219">
        <f t="shared" si="41"/>
        <v>0</v>
      </c>
      <c r="K267" s="219">
        <f t="shared" si="42"/>
        <v>0</v>
      </c>
      <c r="L267" s="232">
        <f t="shared" si="43"/>
        <v>0</v>
      </c>
      <c r="M267" s="219">
        <f t="shared" si="44"/>
        <v>0</v>
      </c>
      <c r="N267" s="219">
        <f t="shared" si="37"/>
        <v>0</v>
      </c>
      <c r="O267" s="219">
        <f t="shared" si="37"/>
        <v>0</v>
      </c>
      <c r="P267" s="219">
        <f t="shared" si="45"/>
        <v>0</v>
      </c>
      <c r="Q267" s="219">
        <f t="shared" si="46"/>
        <v>0</v>
      </c>
    </row>
    <row r="268" spans="9:17" x14ac:dyDescent="0.25">
      <c r="I268" s="219">
        <f t="shared" si="40"/>
        <v>0</v>
      </c>
      <c r="J268" s="219">
        <f t="shared" si="41"/>
        <v>0</v>
      </c>
      <c r="K268" s="219">
        <f t="shared" si="42"/>
        <v>0</v>
      </c>
      <c r="L268" s="232">
        <f t="shared" si="43"/>
        <v>0</v>
      </c>
      <c r="M268" s="219">
        <f t="shared" si="44"/>
        <v>0</v>
      </c>
      <c r="N268" s="219">
        <f t="shared" si="37"/>
        <v>0</v>
      </c>
      <c r="O268" s="219">
        <f t="shared" si="37"/>
        <v>0</v>
      </c>
      <c r="P268" s="219">
        <f t="shared" si="45"/>
        <v>0</v>
      </c>
      <c r="Q268" s="219">
        <f t="shared" si="46"/>
        <v>0</v>
      </c>
    </row>
  </sheetData>
  <autoFilter ref="A3:AM116" xr:uid="{C2C58479-2A44-483F-8F78-CB6DD0E7E6CC}"/>
  <mergeCells count="7">
    <mergeCell ref="J2:L2"/>
    <mergeCell ref="M2:Q2"/>
    <mergeCell ref="R1:AB1"/>
    <mergeCell ref="AC1:AM1"/>
    <mergeCell ref="R2:S2"/>
    <mergeCell ref="AC2:AJ2"/>
    <mergeCell ref="AK2:AM2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AB7B-D0C3-4CB2-8DCF-B7913504AD67}">
  <dimension ref="A2:K20"/>
  <sheetViews>
    <sheetView workbookViewId="0">
      <selection activeCell="H11" sqref="H11"/>
    </sheetView>
  </sheetViews>
  <sheetFormatPr defaultRowHeight="15" x14ac:dyDescent="0.25"/>
  <cols>
    <col min="1" max="1" width="14.7109375" bestFit="1" customWidth="1"/>
    <col min="2" max="2" width="13.42578125" bestFit="1" customWidth="1"/>
    <col min="3" max="3" width="12.28515625" bestFit="1" customWidth="1"/>
    <col min="4" max="5" width="13.5703125" bestFit="1" customWidth="1"/>
    <col min="6" max="6" width="13.42578125" bestFit="1" customWidth="1"/>
    <col min="7" max="8" width="13.7109375" bestFit="1" customWidth="1"/>
    <col min="9" max="9" width="13.42578125" bestFit="1" customWidth="1"/>
    <col min="10" max="10" width="12.28515625" bestFit="1" customWidth="1"/>
    <col min="11" max="11" width="14.42578125" bestFit="1" customWidth="1"/>
  </cols>
  <sheetData>
    <row r="2" spans="1:11" ht="15.75" thickBot="1" x14ac:dyDescent="0.3"/>
    <row r="3" spans="1:11" s="3" customFormat="1" ht="31.15" customHeight="1" thickBot="1" x14ac:dyDescent="0.3">
      <c r="A3" s="335" t="s">
        <v>562</v>
      </c>
      <c r="B3" s="334" t="s">
        <v>563</v>
      </c>
      <c r="C3" s="253" t="s">
        <v>564</v>
      </c>
      <c r="D3" s="254" t="s">
        <v>565</v>
      </c>
      <c r="E3" s="253" t="s">
        <v>566</v>
      </c>
      <c r="F3" s="254" t="s">
        <v>567</v>
      </c>
      <c r="G3" s="253" t="s">
        <v>568</v>
      </c>
      <c r="H3" s="253" t="s">
        <v>569</v>
      </c>
      <c r="I3" s="254" t="s">
        <v>570</v>
      </c>
      <c r="J3" s="253" t="s">
        <v>571</v>
      </c>
    </row>
    <row r="4" spans="1:11" x14ac:dyDescent="0.25">
      <c r="A4" s="255" t="s">
        <v>386</v>
      </c>
      <c r="B4" s="320">
        <v>7795999005.7501945</v>
      </c>
      <c r="C4" s="321">
        <v>1421463026.7099991</v>
      </c>
      <c r="D4" s="322">
        <v>577848068.99999833</v>
      </c>
      <c r="E4" s="321">
        <v>1099965863.8399994</v>
      </c>
      <c r="F4" s="322">
        <v>19636213234.82159</v>
      </c>
      <c r="G4" s="321">
        <v>2478723844.7799959</v>
      </c>
      <c r="H4" s="321">
        <v>12273121311.639599</v>
      </c>
      <c r="I4" s="322">
        <v>19986538145.539383</v>
      </c>
      <c r="J4" s="321">
        <v>229764450.55999988</v>
      </c>
      <c r="K4" s="258">
        <f>SUM(B4:F4)</f>
        <v>30531489200.12178</v>
      </c>
    </row>
    <row r="5" spans="1:11" x14ac:dyDescent="0.25">
      <c r="A5" s="255" t="s">
        <v>561</v>
      </c>
      <c r="B5" s="311">
        <v>3662564846.030014</v>
      </c>
      <c r="C5" s="312">
        <v>173163698.79999998</v>
      </c>
      <c r="D5" s="258">
        <v>213513348.66999993</v>
      </c>
      <c r="E5" s="312">
        <v>1408011081.2800004</v>
      </c>
      <c r="F5" s="258">
        <v>27487786700.587818</v>
      </c>
      <c r="G5" s="312">
        <v>1234365238.7950001</v>
      </c>
      <c r="H5" s="312">
        <v>15542800757.655602</v>
      </c>
      <c r="I5" s="258">
        <v>18132457968.977825</v>
      </c>
      <c r="J5" s="312"/>
      <c r="K5" s="258">
        <f t="shared" ref="K5:K10" si="0">SUM(B5:F5)</f>
        <v>32945039675.367832</v>
      </c>
    </row>
    <row r="6" spans="1:11" x14ac:dyDescent="0.25">
      <c r="A6" s="255" t="s">
        <v>526</v>
      </c>
      <c r="B6" s="311">
        <v>1396668761.6800001</v>
      </c>
      <c r="C6" s="312">
        <v>710291849.13999987</v>
      </c>
      <c r="D6" s="258">
        <v>1379570561.5799999</v>
      </c>
      <c r="E6" s="312">
        <v>1609129468.6699998</v>
      </c>
      <c r="F6" s="258">
        <v>17039236388.799255</v>
      </c>
      <c r="G6" s="312">
        <v>30151158.260957617</v>
      </c>
      <c r="H6" s="312">
        <v>11916898685.322798</v>
      </c>
      <c r="I6" s="258">
        <v>17894758836.269665</v>
      </c>
      <c r="J6" s="312"/>
      <c r="K6" s="258">
        <f t="shared" si="0"/>
        <v>22134897029.869255</v>
      </c>
    </row>
    <row r="7" spans="1:11" x14ac:dyDescent="0.25">
      <c r="A7" s="255" t="s">
        <v>438</v>
      </c>
      <c r="B7" s="311">
        <v>864521902.31999981</v>
      </c>
      <c r="C7" s="312">
        <v>2450708828.4699993</v>
      </c>
      <c r="D7" s="258">
        <v>836408698.87000012</v>
      </c>
      <c r="E7" s="312">
        <v>3487432752.4199996</v>
      </c>
      <c r="F7" s="258">
        <v>1268877709.1800027</v>
      </c>
      <c r="G7" s="312">
        <v>636211775.19999993</v>
      </c>
      <c r="H7" s="312">
        <v>855640391.10279989</v>
      </c>
      <c r="I7" s="258">
        <v>986262290.77999067</v>
      </c>
      <c r="J7" s="312">
        <v>1913658133.830003</v>
      </c>
      <c r="K7" s="258">
        <f t="shared" si="0"/>
        <v>8907949891.2600002</v>
      </c>
    </row>
    <row r="8" spans="1:11" x14ac:dyDescent="0.25">
      <c r="A8" s="255" t="s">
        <v>464</v>
      </c>
      <c r="B8" s="311">
        <v>3762605333.653336</v>
      </c>
      <c r="C8" s="312">
        <v>513836243.72999996</v>
      </c>
      <c r="D8" s="258">
        <v>389199921.87999994</v>
      </c>
      <c r="E8" s="312">
        <v>902733242.40000033</v>
      </c>
      <c r="F8" s="258">
        <v>7840527162.077508</v>
      </c>
      <c r="G8" s="312">
        <v>4231672222.2766666</v>
      </c>
      <c r="H8" s="312">
        <v>6868601348.6542225</v>
      </c>
      <c r="I8" s="258">
        <v>0</v>
      </c>
      <c r="J8" s="312"/>
      <c r="K8" s="258">
        <f t="shared" si="0"/>
        <v>13408901903.740845</v>
      </c>
    </row>
    <row r="9" spans="1:11" ht="15.75" thickBot="1" x14ac:dyDescent="0.3">
      <c r="A9" s="255" t="s">
        <v>489</v>
      </c>
      <c r="B9" s="311">
        <v>0</v>
      </c>
      <c r="C9" s="312">
        <v>819354253.26999986</v>
      </c>
      <c r="D9" s="258">
        <v>1212831504.1000023</v>
      </c>
      <c r="E9" s="312">
        <v>2830987855.4800005</v>
      </c>
      <c r="F9" s="258">
        <v>25125112147.7481</v>
      </c>
      <c r="G9" s="312">
        <v>2258794635.6799998</v>
      </c>
      <c r="H9" s="312">
        <v>15579989592.549202</v>
      </c>
      <c r="I9" s="258">
        <v>25108963002.738102</v>
      </c>
      <c r="J9" s="312"/>
      <c r="K9" s="258">
        <f t="shared" si="0"/>
        <v>29988285760.598103</v>
      </c>
    </row>
    <row r="10" spans="1:11" ht="15.75" thickBot="1" x14ac:dyDescent="0.3">
      <c r="A10" s="255" t="s">
        <v>572</v>
      </c>
      <c r="B10" s="313">
        <v>17482359849.433544</v>
      </c>
      <c r="C10" s="314">
        <v>6088817900.119997</v>
      </c>
      <c r="D10" s="323">
        <v>4609372104.1000004</v>
      </c>
      <c r="E10" s="314">
        <v>11338260264.09</v>
      </c>
      <c r="F10" s="323">
        <v>98397753343.214264</v>
      </c>
      <c r="G10" s="314">
        <v>10869918874.99262</v>
      </c>
      <c r="H10" s="314">
        <v>63037052086.924217</v>
      </c>
      <c r="I10" s="323">
        <v>82108980244.304977</v>
      </c>
      <c r="J10" s="314">
        <v>2143422584.390003</v>
      </c>
      <c r="K10" s="324">
        <f t="shared" si="0"/>
        <v>137916563460.95782</v>
      </c>
    </row>
    <row r="12" spans="1:11" ht="15.75" thickBot="1" x14ac:dyDescent="0.3"/>
    <row r="13" spans="1:11" s="130" customFormat="1" ht="45.75" thickBot="1" x14ac:dyDescent="0.3">
      <c r="A13" s="3" t="s">
        <v>562</v>
      </c>
      <c r="B13" s="334" t="s">
        <v>563</v>
      </c>
      <c r="C13" s="253" t="s">
        <v>564</v>
      </c>
      <c r="D13" s="254" t="s">
        <v>565</v>
      </c>
      <c r="E13" s="253" t="s">
        <v>566</v>
      </c>
      <c r="F13" s="254" t="s">
        <v>567</v>
      </c>
      <c r="G13" s="253" t="s">
        <v>568</v>
      </c>
      <c r="H13" s="253" t="s">
        <v>569</v>
      </c>
      <c r="I13" s="254" t="s">
        <v>570</v>
      </c>
      <c r="J13" s="253" t="s">
        <v>571</v>
      </c>
    </row>
    <row r="14" spans="1:11" x14ac:dyDescent="0.25">
      <c r="A14" s="255" t="s">
        <v>386</v>
      </c>
      <c r="B14" s="325">
        <f>B4/$K4</f>
        <v>0.2553429003954088</v>
      </c>
      <c r="C14" s="326">
        <f t="shared" ref="C14:F14" si="1">C4/$K4</f>
        <v>4.6557277877697797E-2</v>
      </c>
      <c r="D14" s="327">
        <f t="shared" si="1"/>
        <v>1.8926298197000278E-2</v>
      </c>
      <c r="E14" s="326">
        <f t="shared" si="1"/>
        <v>3.6027258828750873E-2</v>
      </c>
      <c r="F14" s="327">
        <f t="shared" si="1"/>
        <v>0.64314626470114233</v>
      </c>
      <c r="G14" s="321"/>
      <c r="H14" s="321"/>
      <c r="I14" s="322"/>
      <c r="J14" s="321"/>
    </row>
    <row r="15" spans="1:11" x14ac:dyDescent="0.25">
      <c r="A15" s="255" t="s">
        <v>561</v>
      </c>
      <c r="B15" s="328">
        <f t="shared" ref="B15:F15" si="2">B5/$K5</f>
        <v>0.11117196646657616</v>
      </c>
      <c r="C15" s="329">
        <f t="shared" si="2"/>
        <v>5.2561387239569808E-3</v>
      </c>
      <c r="D15" s="330">
        <f t="shared" si="2"/>
        <v>6.4808951749309451E-3</v>
      </c>
      <c r="E15" s="329">
        <f t="shared" si="2"/>
        <v>4.2738181381907228E-2</v>
      </c>
      <c r="F15" s="330">
        <f t="shared" si="2"/>
        <v>0.83435281825262864</v>
      </c>
      <c r="G15" s="312"/>
      <c r="H15" s="312"/>
      <c r="I15" s="258"/>
      <c r="J15" s="312"/>
    </row>
    <row r="16" spans="1:11" x14ac:dyDescent="0.25">
      <c r="A16" s="255" t="s">
        <v>526</v>
      </c>
      <c r="B16" s="328">
        <f t="shared" ref="B16:F16" si="3">B6/$K6</f>
        <v>6.3098046482678846E-2</v>
      </c>
      <c r="C16" s="329">
        <f t="shared" si="3"/>
        <v>3.2089232137900547E-2</v>
      </c>
      <c r="D16" s="330">
        <f t="shared" si="3"/>
        <v>6.2325592015105423E-2</v>
      </c>
      <c r="E16" s="329">
        <f t="shared" si="3"/>
        <v>7.2696496690208667E-2</v>
      </c>
      <c r="F16" s="330">
        <f t="shared" si="3"/>
        <v>0.76979063267410652</v>
      </c>
      <c r="G16" s="312"/>
      <c r="H16" s="312"/>
      <c r="I16" s="258"/>
      <c r="J16" s="312"/>
    </row>
    <row r="17" spans="1:10" x14ac:dyDescent="0.25">
      <c r="A17" s="255" t="s">
        <v>438</v>
      </c>
      <c r="B17" s="328">
        <f t="shared" ref="B17:F17" si="4">B7/$K7</f>
        <v>9.7050602312909517E-2</v>
      </c>
      <c r="C17" s="329">
        <f t="shared" si="4"/>
        <v>0.27511479727501642</v>
      </c>
      <c r="D17" s="330">
        <f t="shared" si="4"/>
        <v>9.3894634464731244E-2</v>
      </c>
      <c r="E17" s="329">
        <f t="shared" si="4"/>
        <v>0.39149667375673952</v>
      </c>
      <c r="F17" s="330">
        <f t="shared" si="4"/>
        <v>0.14244329219060348</v>
      </c>
      <c r="G17" s="312"/>
      <c r="H17" s="312"/>
      <c r="I17" s="258"/>
      <c r="J17" s="312"/>
    </row>
    <row r="18" spans="1:10" x14ac:dyDescent="0.25">
      <c r="A18" s="255" t="s">
        <v>464</v>
      </c>
      <c r="B18" s="328">
        <f t="shared" ref="B18:F18" si="5">B8/$K8</f>
        <v>0.2806050309461684</v>
      </c>
      <c r="C18" s="329">
        <f t="shared" si="5"/>
        <v>3.8320531197759661E-2</v>
      </c>
      <c r="D18" s="330">
        <f t="shared" si="5"/>
        <v>2.90254880432394E-2</v>
      </c>
      <c r="E18" s="329">
        <f t="shared" si="5"/>
        <v>6.7323428039111385E-2</v>
      </c>
      <c r="F18" s="330">
        <f t="shared" si="5"/>
        <v>0.58472552177372117</v>
      </c>
      <c r="G18" s="312"/>
      <c r="H18" s="312"/>
      <c r="I18" s="258"/>
      <c r="J18" s="312"/>
    </row>
    <row r="19" spans="1:10" ht="15.75" thickBot="1" x14ac:dyDescent="0.3">
      <c r="A19" s="255" t="s">
        <v>489</v>
      </c>
      <c r="B19" s="328">
        <f t="shared" ref="B19:F19" si="6">B9/$K9</f>
        <v>0</v>
      </c>
      <c r="C19" s="329">
        <f t="shared" si="6"/>
        <v>2.7322477176956787E-2</v>
      </c>
      <c r="D19" s="330">
        <f t="shared" si="6"/>
        <v>4.0443508968210293E-2</v>
      </c>
      <c r="E19" s="329">
        <f t="shared" si="6"/>
        <v>9.4403123875778941E-2</v>
      </c>
      <c r="F19" s="330">
        <f t="shared" si="6"/>
        <v>0.83783088997905397</v>
      </c>
      <c r="G19" s="312"/>
      <c r="H19" s="312"/>
      <c r="I19" s="258"/>
      <c r="J19" s="312"/>
    </row>
    <row r="20" spans="1:10" ht="15.75" thickBot="1" x14ac:dyDescent="0.3">
      <c r="A20" s="255" t="s">
        <v>572</v>
      </c>
      <c r="B20" s="331">
        <f t="shared" ref="B20:F20" si="7">B10/$K10</f>
        <v>0.12676040796493995</v>
      </c>
      <c r="C20" s="332">
        <f t="shared" si="7"/>
        <v>4.4148561618152941E-2</v>
      </c>
      <c r="D20" s="333">
        <f t="shared" si="7"/>
        <v>3.3421454163515656E-2</v>
      </c>
      <c r="E20" s="332">
        <f t="shared" si="7"/>
        <v>8.2211012075425569E-2</v>
      </c>
      <c r="F20" s="333">
        <f t="shared" si="7"/>
        <v>0.71345856417796572</v>
      </c>
      <c r="G20" s="314"/>
      <c r="H20" s="314"/>
      <c r="I20" s="323"/>
      <c r="J20" s="3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D3B9-B341-4066-9C09-DCE3EDA4B9D8}">
  <dimension ref="A2:J39"/>
  <sheetViews>
    <sheetView workbookViewId="0">
      <selection activeCell="A10" sqref="A10"/>
    </sheetView>
  </sheetViews>
  <sheetFormatPr defaultRowHeight="15" x14ac:dyDescent="0.25"/>
  <cols>
    <col min="1" max="1" width="50.85546875" bestFit="1" customWidth="1"/>
    <col min="2" max="2" width="13.42578125" bestFit="1" customWidth="1"/>
    <col min="3" max="3" width="12.28515625" bestFit="1" customWidth="1"/>
    <col min="4" max="5" width="13.5703125" bestFit="1" customWidth="1"/>
    <col min="6" max="6" width="13.42578125" bestFit="1" customWidth="1"/>
    <col min="7" max="8" width="13.7109375" bestFit="1" customWidth="1"/>
    <col min="9" max="9" width="13.42578125" bestFit="1" customWidth="1"/>
    <col min="10" max="10" width="12.28515625" bestFit="1" customWidth="1"/>
  </cols>
  <sheetData>
    <row r="2" spans="1:10" ht="15.75" thickBot="1" x14ac:dyDescent="0.3"/>
    <row r="3" spans="1:10" s="1" customFormat="1" ht="31.15" customHeight="1" thickBot="1" x14ac:dyDescent="0.3">
      <c r="A3" s="310" t="s">
        <v>562</v>
      </c>
      <c r="B3" s="315" t="s">
        <v>563</v>
      </c>
      <c r="C3" s="316" t="s">
        <v>564</v>
      </c>
      <c r="D3" s="317" t="s">
        <v>565</v>
      </c>
      <c r="E3" s="316" t="s">
        <v>566</v>
      </c>
      <c r="F3" s="317" t="s">
        <v>567</v>
      </c>
      <c r="G3" s="316" t="s">
        <v>568</v>
      </c>
      <c r="H3" s="316" t="s">
        <v>569</v>
      </c>
      <c r="I3" s="317" t="s">
        <v>570</v>
      </c>
      <c r="J3" s="316" t="s">
        <v>571</v>
      </c>
    </row>
    <row r="4" spans="1:10" x14ac:dyDescent="0.25">
      <c r="A4" s="255" t="s">
        <v>386</v>
      </c>
      <c r="B4" s="320">
        <v>7795999005.7501945</v>
      </c>
      <c r="C4" s="321">
        <v>1421463026.7099991</v>
      </c>
      <c r="D4" s="322">
        <v>577848068.99999821</v>
      </c>
      <c r="E4" s="321">
        <v>1099965863.8399994</v>
      </c>
      <c r="F4" s="322">
        <v>19636213234.821587</v>
      </c>
      <c r="G4" s="321">
        <v>2478723844.7799964</v>
      </c>
      <c r="H4" s="321">
        <v>12273121311.639599</v>
      </c>
      <c r="I4" s="322">
        <v>19986538145.539383</v>
      </c>
      <c r="J4" s="321">
        <v>229764450.55999988</v>
      </c>
    </row>
    <row r="5" spans="1:10" x14ac:dyDescent="0.25">
      <c r="A5" s="256" t="s">
        <v>390</v>
      </c>
      <c r="B5" s="311">
        <v>0</v>
      </c>
      <c r="C5" s="312">
        <v>578902794.47000003</v>
      </c>
      <c r="D5" s="258">
        <v>399925110.35999823</v>
      </c>
      <c r="E5" s="312">
        <v>575041945.14999998</v>
      </c>
      <c r="F5" s="258">
        <v>0</v>
      </c>
      <c r="G5" s="312">
        <v>946132699.09000313</v>
      </c>
      <c r="H5" s="312">
        <v>347879417.17230004</v>
      </c>
      <c r="I5" s="258">
        <v>0</v>
      </c>
      <c r="J5" s="312">
        <v>119698332.00999993</v>
      </c>
    </row>
    <row r="6" spans="1:10" x14ac:dyDescent="0.25">
      <c r="A6" s="256" t="s">
        <v>395</v>
      </c>
      <c r="B6" s="311">
        <v>0</v>
      </c>
      <c r="C6" s="312">
        <v>533970520.06000102</v>
      </c>
      <c r="D6" s="258">
        <v>7814178.4400000004</v>
      </c>
      <c r="E6" s="312">
        <v>445722167.58999962</v>
      </c>
      <c r="F6" s="258">
        <v>2244012906.4189529</v>
      </c>
      <c r="G6" s="312">
        <v>464167447.19999951</v>
      </c>
      <c r="H6" s="312">
        <v>1373303155.8077006</v>
      </c>
      <c r="I6" s="258">
        <v>99474719.699999988</v>
      </c>
      <c r="J6" s="312">
        <v>25730178.769999996</v>
      </c>
    </row>
    <row r="7" spans="1:10" x14ac:dyDescent="0.25">
      <c r="A7" s="256" t="s">
        <v>387</v>
      </c>
      <c r="B7" s="311">
        <v>7795999005.7501945</v>
      </c>
      <c r="C7" s="312">
        <v>294471024.13999796</v>
      </c>
      <c r="D7" s="258">
        <v>123026288.84999998</v>
      </c>
      <c r="E7" s="312">
        <v>57431014.080000013</v>
      </c>
      <c r="F7" s="258">
        <v>295869483.78616917</v>
      </c>
      <c r="G7" s="312">
        <v>1068423698.4899937</v>
      </c>
      <c r="H7" s="312">
        <v>850825961.94839907</v>
      </c>
      <c r="I7" s="258">
        <v>0</v>
      </c>
      <c r="J7" s="312">
        <v>82338081.789999947</v>
      </c>
    </row>
    <row r="8" spans="1:10" x14ac:dyDescent="0.25">
      <c r="A8" s="256" t="s">
        <v>401</v>
      </c>
      <c r="B8" s="311">
        <v>0</v>
      </c>
      <c r="C8" s="312">
        <v>0</v>
      </c>
      <c r="D8" s="258">
        <v>0</v>
      </c>
      <c r="E8" s="312">
        <v>0</v>
      </c>
      <c r="F8" s="258">
        <v>8359334284.5734138</v>
      </c>
      <c r="G8" s="312">
        <v>0</v>
      </c>
      <c r="H8" s="312">
        <v>4794123307.5853004</v>
      </c>
      <c r="I8" s="258">
        <v>14309051815.629385</v>
      </c>
      <c r="J8" s="312">
        <v>0</v>
      </c>
    </row>
    <row r="9" spans="1:10" x14ac:dyDescent="0.25">
      <c r="A9" s="256" t="s">
        <v>399</v>
      </c>
      <c r="B9" s="311">
        <v>0</v>
      </c>
      <c r="C9" s="312">
        <v>14118688.039999999</v>
      </c>
      <c r="D9" s="258">
        <v>47082491.349999994</v>
      </c>
      <c r="E9" s="312">
        <v>21770737.020000003</v>
      </c>
      <c r="F9" s="258">
        <v>8736996560.0430508</v>
      </c>
      <c r="G9" s="312">
        <v>0</v>
      </c>
      <c r="H9" s="312">
        <v>4906989469.1258993</v>
      </c>
      <c r="I9" s="258">
        <v>5578011610.2099981</v>
      </c>
      <c r="J9" s="312">
        <v>1997857.99</v>
      </c>
    </row>
    <row r="10" spans="1:10" x14ac:dyDescent="0.25">
      <c r="A10" s="255" t="s">
        <v>561</v>
      </c>
      <c r="B10" s="311">
        <v>3662564846.030014</v>
      </c>
      <c r="C10" s="312">
        <v>173163698.79999998</v>
      </c>
      <c r="D10" s="258">
        <v>213513348.66999996</v>
      </c>
      <c r="E10" s="312">
        <v>1408011081.2800002</v>
      </c>
      <c r="F10" s="258">
        <v>27487786700.587818</v>
      </c>
      <c r="G10" s="312">
        <v>1234365238.7949998</v>
      </c>
      <c r="H10" s="312">
        <v>15542800757.655602</v>
      </c>
      <c r="I10" s="258">
        <v>18132457968.977825</v>
      </c>
      <c r="J10" s="312"/>
    </row>
    <row r="11" spans="1:10" x14ac:dyDescent="0.25">
      <c r="A11" s="256" t="s">
        <v>323</v>
      </c>
      <c r="B11" s="311">
        <v>75907049.919999987</v>
      </c>
      <c r="C11" s="312">
        <v>107332669.47</v>
      </c>
      <c r="D11" s="258">
        <v>122432415.21999997</v>
      </c>
      <c r="E11" s="312">
        <v>564413722.41000009</v>
      </c>
      <c r="F11" s="258">
        <v>0</v>
      </c>
      <c r="G11" s="312">
        <v>57874596.949999876</v>
      </c>
      <c r="H11" s="312">
        <v>3208724.3721000003</v>
      </c>
      <c r="I11" s="258">
        <v>0</v>
      </c>
      <c r="J11" s="312"/>
    </row>
    <row r="12" spans="1:10" x14ac:dyDescent="0.25">
      <c r="A12" s="256" t="s">
        <v>318</v>
      </c>
      <c r="B12" s="311">
        <v>537969727.04999769</v>
      </c>
      <c r="C12" s="312">
        <v>65831029.329999991</v>
      </c>
      <c r="D12" s="258">
        <v>91080933.449999973</v>
      </c>
      <c r="E12" s="312">
        <v>843597358.87000024</v>
      </c>
      <c r="F12" s="258">
        <v>0</v>
      </c>
      <c r="G12" s="312">
        <v>1176490641.845</v>
      </c>
      <c r="H12" s="312">
        <v>650000</v>
      </c>
      <c r="I12" s="258">
        <v>0</v>
      </c>
      <c r="J12" s="312"/>
    </row>
    <row r="13" spans="1:10" x14ac:dyDescent="0.25">
      <c r="A13" s="256" t="s">
        <v>337</v>
      </c>
      <c r="B13" s="311">
        <v>3048688069.0600166</v>
      </c>
      <c r="C13" s="312">
        <v>0</v>
      </c>
      <c r="D13" s="258">
        <v>0</v>
      </c>
      <c r="E13" s="312">
        <v>0</v>
      </c>
      <c r="F13" s="258">
        <v>0</v>
      </c>
      <c r="G13" s="312">
        <v>0</v>
      </c>
      <c r="H13" s="312">
        <v>361010000</v>
      </c>
      <c r="I13" s="258">
        <v>0</v>
      </c>
      <c r="J13" s="312"/>
    </row>
    <row r="14" spans="1:10" x14ac:dyDescent="0.25">
      <c r="A14" s="256" t="s">
        <v>362</v>
      </c>
      <c r="B14" s="311">
        <v>0</v>
      </c>
      <c r="C14" s="312">
        <v>0</v>
      </c>
      <c r="D14" s="258">
        <v>0</v>
      </c>
      <c r="E14" s="312">
        <v>0</v>
      </c>
      <c r="F14" s="258">
        <v>15341407347.053478</v>
      </c>
      <c r="G14" s="312">
        <v>0</v>
      </c>
      <c r="H14" s="312">
        <v>8867441038.0932999</v>
      </c>
      <c r="I14" s="258">
        <v>6817750437.9784079</v>
      </c>
      <c r="J14" s="312"/>
    </row>
    <row r="15" spans="1:10" x14ac:dyDescent="0.25">
      <c r="A15" s="256" t="s">
        <v>364</v>
      </c>
      <c r="B15" s="311">
        <v>0</v>
      </c>
      <c r="C15" s="312">
        <v>0</v>
      </c>
      <c r="D15" s="258">
        <v>0</v>
      </c>
      <c r="E15" s="312">
        <v>0</v>
      </c>
      <c r="F15" s="258">
        <v>12146379353.53434</v>
      </c>
      <c r="G15" s="312">
        <v>0</v>
      </c>
      <c r="H15" s="312">
        <v>6310490995.1901999</v>
      </c>
      <c r="I15" s="258">
        <v>11314707530.999416</v>
      </c>
      <c r="J15" s="312"/>
    </row>
    <row r="16" spans="1:10" x14ac:dyDescent="0.25">
      <c r="A16" s="255" t="s">
        <v>526</v>
      </c>
      <c r="B16" s="311">
        <v>1396668761.6800003</v>
      </c>
      <c r="C16" s="312">
        <v>710291849.13999999</v>
      </c>
      <c r="D16" s="258">
        <v>1379570561.5799999</v>
      </c>
      <c r="E16" s="312">
        <v>1609129468.6700001</v>
      </c>
      <c r="F16" s="258">
        <v>17039236388.799255</v>
      </c>
      <c r="G16" s="312">
        <v>30151158.260957614</v>
      </c>
      <c r="H16" s="312">
        <v>11916898685.3228</v>
      </c>
      <c r="I16" s="258">
        <v>17894758836.269665</v>
      </c>
      <c r="J16" s="312"/>
    </row>
    <row r="17" spans="1:10" x14ac:dyDescent="0.25">
      <c r="A17" s="256" t="s">
        <v>527</v>
      </c>
      <c r="B17" s="311">
        <v>390490907.73000014</v>
      </c>
      <c r="C17" s="312">
        <v>31784312.930000041</v>
      </c>
      <c r="D17" s="258">
        <v>807063926.50999999</v>
      </c>
      <c r="E17" s="312">
        <v>976222500.75</v>
      </c>
      <c r="F17" s="258">
        <v>0</v>
      </c>
      <c r="G17" s="312">
        <v>0</v>
      </c>
      <c r="H17" s="312">
        <v>1119300</v>
      </c>
      <c r="I17" s="258">
        <v>0</v>
      </c>
      <c r="J17" s="312"/>
    </row>
    <row r="18" spans="1:10" x14ac:dyDescent="0.25">
      <c r="A18" s="256" t="s">
        <v>529</v>
      </c>
      <c r="B18" s="311">
        <v>1006177853.9500002</v>
      </c>
      <c r="C18" s="312">
        <v>678507536.20999992</v>
      </c>
      <c r="D18" s="258">
        <v>572506635.06999981</v>
      </c>
      <c r="E18" s="312">
        <v>632906967.92000008</v>
      </c>
      <c r="F18" s="258">
        <v>0</v>
      </c>
      <c r="G18" s="312">
        <v>0</v>
      </c>
      <c r="H18" s="312">
        <v>533285680.44700003</v>
      </c>
      <c r="I18" s="258">
        <v>0</v>
      </c>
      <c r="J18" s="312"/>
    </row>
    <row r="19" spans="1:10" x14ac:dyDescent="0.25">
      <c r="A19" s="256" t="s">
        <v>552</v>
      </c>
      <c r="B19" s="311">
        <v>0</v>
      </c>
      <c r="C19" s="312">
        <v>0</v>
      </c>
      <c r="D19" s="258">
        <v>0</v>
      </c>
      <c r="E19" s="312">
        <v>0</v>
      </c>
      <c r="F19" s="258">
        <v>9219450076.0850506</v>
      </c>
      <c r="G19" s="312">
        <v>27130505.840957616</v>
      </c>
      <c r="H19" s="312">
        <v>5762553882.198101</v>
      </c>
      <c r="I19" s="258">
        <v>1239276737.9199791</v>
      </c>
      <c r="J19" s="312"/>
    </row>
    <row r="20" spans="1:10" x14ac:dyDescent="0.25">
      <c r="A20" s="256" t="s">
        <v>556</v>
      </c>
      <c r="B20" s="311">
        <v>0</v>
      </c>
      <c r="C20" s="312">
        <v>0</v>
      </c>
      <c r="D20" s="258">
        <v>0</v>
      </c>
      <c r="E20" s="312">
        <v>0</v>
      </c>
      <c r="F20" s="258">
        <v>7819786312.7142038</v>
      </c>
      <c r="G20" s="312">
        <v>3020652.42</v>
      </c>
      <c r="H20" s="312">
        <v>5619939822.6776991</v>
      </c>
      <c r="I20" s="258">
        <v>16655482098.349686</v>
      </c>
      <c r="J20" s="312"/>
    </row>
    <row r="21" spans="1:10" x14ac:dyDescent="0.25">
      <c r="A21" s="255" t="s">
        <v>438</v>
      </c>
      <c r="B21" s="311">
        <v>864521902.31999981</v>
      </c>
      <c r="C21" s="312">
        <v>2450708828.4699998</v>
      </c>
      <c r="D21" s="258">
        <v>836408698.87000012</v>
      </c>
      <c r="E21" s="312">
        <v>3487432752.4200001</v>
      </c>
      <c r="F21" s="258">
        <v>1268877709.1800027</v>
      </c>
      <c r="G21" s="312">
        <v>636211775.19999993</v>
      </c>
      <c r="H21" s="312">
        <v>855640391.10280001</v>
      </c>
      <c r="I21" s="258">
        <v>986262290.77999067</v>
      </c>
      <c r="J21" s="312">
        <v>1913658133.8300028</v>
      </c>
    </row>
    <row r="22" spans="1:10" x14ac:dyDescent="0.25">
      <c r="A22" s="256" t="s">
        <v>443</v>
      </c>
      <c r="B22" s="311">
        <v>0</v>
      </c>
      <c r="C22" s="312">
        <v>901713757.16999984</v>
      </c>
      <c r="D22" s="258">
        <v>522361513.40000004</v>
      </c>
      <c r="E22" s="312">
        <v>878845996.87999976</v>
      </c>
      <c r="F22" s="258">
        <v>753325656.66000128</v>
      </c>
      <c r="G22" s="312">
        <v>18110606.940000001</v>
      </c>
      <c r="H22" s="312">
        <v>586512446.33019996</v>
      </c>
      <c r="I22" s="258">
        <v>0</v>
      </c>
      <c r="J22" s="312">
        <v>0</v>
      </c>
    </row>
    <row r="23" spans="1:10" x14ac:dyDescent="0.25">
      <c r="A23" s="256" t="s">
        <v>439</v>
      </c>
      <c r="B23" s="311">
        <v>0</v>
      </c>
      <c r="C23" s="312">
        <v>713475145.95000005</v>
      </c>
      <c r="D23" s="258">
        <v>235628622.49000001</v>
      </c>
      <c r="E23" s="312">
        <v>1082233209.3199999</v>
      </c>
      <c r="F23" s="258">
        <v>314438153.57000077</v>
      </c>
      <c r="G23" s="312">
        <v>257446709.98999995</v>
      </c>
      <c r="H23" s="312">
        <v>130423909.94099995</v>
      </c>
      <c r="I23" s="258">
        <v>0</v>
      </c>
      <c r="J23" s="312">
        <v>0</v>
      </c>
    </row>
    <row r="24" spans="1:10" x14ac:dyDescent="0.25">
      <c r="A24" s="256" t="s">
        <v>453</v>
      </c>
      <c r="B24" s="311">
        <v>0</v>
      </c>
      <c r="C24" s="312">
        <v>835519925.3499999</v>
      </c>
      <c r="D24" s="258">
        <v>78418562.980000004</v>
      </c>
      <c r="E24" s="312">
        <v>1526353546.22</v>
      </c>
      <c r="F24" s="258">
        <v>201113898.95000064</v>
      </c>
      <c r="G24" s="312">
        <v>360654458.26999998</v>
      </c>
      <c r="H24" s="312">
        <v>138704034.83160004</v>
      </c>
      <c r="I24" s="258">
        <v>986262290.77999067</v>
      </c>
      <c r="J24" s="312">
        <v>0</v>
      </c>
    </row>
    <row r="25" spans="1:10" x14ac:dyDescent="0.25">
      <c r="A25" s="256" t="s">
        <v>447</v>
      </c>
      <c r="B25" s="311">
        <v>0</v>
      </c>
      <c r="C25" s="312">
        <v>0</v>
      </c>
      <c r="D25" s="258">
        <v>0</v>
      </c>
      <c r="E25" s="312">
        <v>0</v>
      </c>
      <c r="F25" s="258">
        <v>0</v>
      </c>
      <c r="G25" s="312">
        <v>0</v>
      </c>
      <c r="H25" s="312">
        <v>0</v>
      </c>
      <c r="I25" s="258">
        <v>0</v>
      </c>
      <c r="J25" s="312">
        <v>1485792933.96</v>
      </c>
    </row>
    <row r="26" spans="1:10" x14ac:dyDescent="0.25">
      <c r="A26" s="256" t="s">
        <v>462</v>
      </c>
      <c r="B26" s="311">
        <v>864521902.31999981</v>
      </c>
      <c r="C26" s="312">
        <v>0</v>
      </c>
      <c r="D26" s="258">
        <v>0</v>
      </c>
      <c r="E26" s="312">
        <v>0</v>
      </c>
      <c r="F26" s="258">
        <v>0</v>
      </c>
      <c r="G26" s="312">
        <v>0</v>
      </c>
      <c r="H26" s="312">
        <v>0</v>
      </c>
      <c r="I26" s="258">
        <v>0</v>
      </c>
      <c r="J26" s="312">
        <v>427865199.87000287</v>
      </c>
    </row>
    <row r="27" spans="1:10" x14ac:dyDescent="0.25">
      <c r="A27" s="255" t="s">
        <v>464</v>
      </c>
      <c r="B27" s="311">
        <v>3762605333.653336</v>
      </c>
      <c r="C27" s="312">
        <v>513836243.72999996</v>
      </c>
      <c r="D27" s="258">
        <v>389199921.87999994</v>
      </c>
      <c r="E27" s="312">
        <v>902733242.40000033</v>
      </c>
      <c r="F27" s="258">
        <v>7840527162.077508</v>
      </c>
      <c r="G27" s="312">
        <v>4231672222.2766662</v>
      </c>
      <c r="H27" s="312">
        <v>6868601348.6542225</v>
      </c>
      <c r="I27" s="258">
        <v>0</v>
      </c>
      <c r="J27" s="312"/>
    </row>
    <row r="28" spans="1:10" x14ac:dyDescent="0.25">
      <c r="A28" s="256" t="s">
        <v>481</v>
      </c>
      <c r="B28" s="311">
        <v>0</v>
      </c>
      <c r="C28" s="312">
        <v>513836243.72999996</v>
      </c>
      <c r="D28" s="258">
        <v>131318603.29000008</v>
      </c>
      <c r="E28" s="312">
        <v>902733242.40000033</v>
      </c>
      <c r="F28" s="258">
        <v>0</v>
      </c>
      <c r="G28" s="312">
        <v>0</v>
      </c>
      <c r="H28" s="312">
        <v>0</v>
      </c>
      <c r="I28" s="258">
        <v>0</v>
      </c>
      <c r="J28" s="312"/>
    </row>
    <row r="29" spans="1:10" x14ac:dyDescent="0.25">
      <c r="A29" s="256" t="s">
        <v>469</v>
      </c>
      <c r="B29" s="311">
        <v>3762605333.653336</v>
      </c>
      <c r="C29" s="312">
        <v>0</v>
      </c>
      <c r="D29" s="258">
        <v>257881318.58999985</v>
      </c>
      <c r="E29" s="312">
        <v>0</v>
      </c>
      <c r="F29" s="258">
        <v>0</v>
      </c>
      <c r="G29" s="312">
        <v>257881318.58999985</v>
      </c>
      <c r="H29" s="312">
        <v>0</v>
      </c>
      <c r="I29" s="258">
        <v>0</v>
      </c>
      <c r="J29" s="312"/>
    </row>
    <row r="30" spans="1:10" x14ac:dyDescent="0.25">
      <c r="A30" s="256" t="s">
        <v>465</v>
      </c>
      <c r="B30" s="311">
        <v>0</v>
      </c>
      <c r="C30" s="312">
        <v>0</v>
      </c>
      <c r="D30" s="258">
        <v>0</v>
      </c>
      <c r="E30" s="312">
        <v>0</v>
      </c>
      <c r="F30" s="258">
        <v>7840527162.077508</v>
      </c>
      <c r="G30" s="312">
        <v>3973790903.6866665</v>
      </c>
      <c r="H30" s="312">
        <v>6868601348.6542225</v>
      </c>
      <c r="I30" s="258">
        <v>0</v>
      </c>
      <c r="J30" s="312"/>
    </row>
    <row r="31" spans="1:10" x14ac:dyDescent="0.25">
      <c r="A31" s="255" t="s">
        <v>489</v>
      </c>
      <c r="B31" s="311">
        <v>0</v>
      </c>
      <c r="C31" s="312">
        <v>819354253.26999998</v>
      </c>
      <c r="D31" s="258">
        <v>1212831504.1000023</v>
      </c>
      <c r="E31" s="312">
        <v>2830987855.4800005</v>
      </c>
      <c r="F31" s="258">
        <v>25125112147.7481</v>
      </c>
      <c r="G31" s="312">
        <v>2258794635.6799998</v>
      </c>
      <c r="H31" s="312">
        <v>15579989592.549202</v>
      </c>
      <c r="I31" s="258">
        <v>25108963002.738098</v>
      </c>
      <c r="J31" s="312"/>
    </row>
    <row r="32" spans="1:10" x14ac:dyDescent="0.25">
      <c r="A32" s="256" t="s">
        <v>490</v>
      </c>
      <c r="B32" s="311">
        <v>0</v>
      </c>
      <c r="C32" s="312">
        <v>261385281.33999994</v>
      </c>
      <c r="D32" s="258">
        <v>724317853.19000208</v>
      </c>
      <c r="E32" s="312">
        <v>1679454147.7100003</v>
      </c>
      <c r="F32" s="258">
        <v>2140615845.6834664</v>
      </c>
      <c r="G32" s="312">
        <v>1073573392.3999996</v>
      </c>
      <c r="H32" s="312">
        <v>1078994482.9923999</v>
      </c>
      <c r="I32" s="258">
        <v>0</v>
      </c>
      <c r="J32" s="312"/>
    </row>
    <row r="33" spans="1:10" x14ac:dyDescent="0.25">
      <c r="A33" s="256" t="s">
        <v>495</v>
      </c>
      <c r="B33" s="311">
        <v>0</v>
      </c>
      <c r="C33" s="312">
        <v>424675876.93000001</v>
      </c>
      <c r="D33" s="258">
        <v>283756984.29000032</v>
      </c>
      <c r="E33" s="312">
        <v>735976792.60000026</v>
      </c>
      <c r="F33" s="258">
        <v>0</v>
      </c>
      <c r="G33" s="312">
        <v>1075413982.4999998</v>
      </c>
      <c r="H33" s="312">
        <v>3795337.0000000005</v>
      </c>
      <c r="I33" s="258">
        <v>0</v>
      </c>
      <c r="J33" s="312"/>
    </row>
    <row r="34" spans="1:10" x14ac:dyDescent="0.25">
      <c r="A34" s="256" t="s">
        <v>503</v>
      </c>
      <c r="B34" s="311">
        <v>0</v>
      </c>
      <c r="C34" s="312">
        <v>133293094.99999997</v>
      </c>
      <c r="D34" s="258">
        <v>204756666.61999992</v>
      </c>
      <c r="E34" s="312">
        <v>415556915.16999996</v>
      </c>
      <c r="F34" s="258">
        <v>889574794.65997851</v>
      </c>
      <c r="G34" s="312">
        <v>109807260.77999999</v>
      </c>
      <c r="H34" s="312">
        <v>577762884.74320006</v>
      </c>
      <c r="I34" s="258">
        <v>0</v>
      </c>
      <c r="J34" s="312"/>
    </row>
    <row r="35" spans="1:10" x14ac:dyDescent="0.25">
      <c r="A35" s="256" t="s">
        <v>507</v>
      </c>
      <c r="B35" s="311">
        <v>0</v>
      </c>
      <c r="C35" s="312">
        <v>0</v>
      </c>
      <c r="D35" s="258">
        <v>0</v>
      </c>
      <c r="E35" s="312">
        <v>0</v>
      </c>
      <c r="F35" s="258">
        <v>10124639624.576168</v>
      </c>
      <c r="G35" s="312">
        <v>0</v>
      </c>
      <c r="H35" s="312">
        <v>6569767230.6954994</v>
      </c>
      <c r="I35" s="258">
        <v>8507119655.309227</v>
      </c>
      <c r="J35" s="312"/>
    </row>
    <row r="36" spans="1:10" ht="15.75" thickBot="1" x14ac:dyDescent="0.3">
      <c r="A36" s="256" t="s">
        <v>509</v>
      </c>
      <c r="B36" s="311">
        <v>0</v>
      </c>
      <c r="C36" s="312">
        <v>0</v>
      </c>
      <c r="D36" s="258">
        <v>0</v>
      </c>
      <c r="E36" s="312">
        <v>0</v>
      </c>
      <c r="F36" s="258">
        <v>11970281882.828489</v>
      </c>
      <c r="G36" s="312">
        <v>0</v>
      </c>
      <c r="H36" s="312">
        <v>7349669657.118103</v>
      </c>
      <c r="I36" s="258">
        <v>16601843347.428873</v>
      </c>
      <c r="J36" s="312"/>
    </row>
    <row r="37" spans="1:10" ht="15.75" thickBot="1" x14ac:dyDescent="0.3">
      <c r="A37" s="255" t="s">
        <v>572</v>
      </c>
      <c r="B37" s="313">
        <v>17482359849.433544</v>
      </c>
      <c r="C37" s="314">
        <v>6088817900.1199989</v>
      </c>
      <c r="D37" s="323">
        <v>4609372104.0999994</v>
      </c>
      <c r="E37" s="314">
        <v>11338260264.090002</v>
      </c>
      <c r="F37" s="323">
        <v>98397753343.214279</v>
      </c>
      <c r="G37" s="314">
        <v>10869918874.99262</v>
      </c>
      <c r="H37" s="314">
        <v>63037052086.924225</v>
      </c>
      <c r="I37" s="323">
        <v>82108980244.304977</v>
      </c>
      <c r="J37" s="314">
        <v>2143422584.3900027</v>
      </c>
    </row>
    <row r="39" spans="1:10" ht="15.75" thickBot="1" x14ac:dyDescent="0.3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E06F-1AED-496C-A7C4-42C381A5BB54}">
  <dimension ref="A1:K136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D38" sqref="D38"/>
    </sheetView>
  </sheetViews>
  <sheetFormatPr defaultRowHeight="15" x14ac:dyDescent="0.25"/>
  <cols>
    <col min="1" max="1" width="52.7109375" bestFit="1" customWidth="1"/>
    <col min="2" max="2" width="13.42578125" bestFit="1" customWidth="1"/>
    <col min="3" max="3" width="12.28515625" bestFit="1" customWidth="1"/>
    <col min="4" max="5" width="13.5703125" bestFit="1" customWidth="1"/>
    <col min="6" max="6" width="13.42578125" bestFit="1" customWidth="1"/>
    <col min="7" max="8" width="13.7109375" bestFit="1" customWidth="1"/>
    <col min="9" max="9" width="13.42578125" bestFit="1" customWidth="1"/>
    <col min="10" max="11" width="12.28515625" bestFit="1" customWidth="1"/>
  </cols>
  <sheetData>
    <row r="1" spans="1:10" s="3" customFormat="1" ht="31.15" customHeight="1" thickBot="1" x14ac:dyDescent="0.3">
      <c r="A1" s="335" t="s">
        <v>562</v>
      </c>
      <c r="B1" s="334" t="s">
        <v>563</v>
      </c>
      <c r="C1" s="253" t="s">
        <v>564</v>
      </c>
      <c r="D1" s="254" t="s">
        <v>565</v>
      </c>
      <c r="E1" s="253" t="s">
        <v>566</v>
      </c>
      <c r="F1" s="254" t="s">
        <v>567</v>
      </c>
      <c r="G1" s="253" t="s">
        <v>568</v>
      </c>
      <c r="H1" s="253" t="s">
        <v>569</v>
      </c>
      <c r="I1" s="254" t="s">
        <v>570</v>
      </c>
      <c r="J1" s="253" t="s">
        <v>571</v>
      </c>
    </row>
    <row r="2" spans="1:10" x14ac:dyDescent="0.25">
      <c r="A2" s="255" t="s">
        <v>386</v>
      </c>
      <c r="B2" s="311">
        <v>7795999005.7501945</v>
      </c>
      <c r="C2" s="312">
        <v>1421463026.7099988</v>
      </c>
      <c r="D2" s="258">
        <v>577848068.99999821</v>
      </c>
      <c r="E2" s="312">
        <v>1099965863.8399997</v>
      </c>
      <c r="F2" s="258">
        <v>19636213234.821587</v>
      </c>
      <c r="G2" s="312">
        <v>2478723844.7799964</v>
      </c>
      <c r="H2" s="312">
        <v>12273121311.639601</v>
      </c>
      <c r="I2" s="258">
        <v>19986538145.539383</v>
      </c>
      <c r="J2" s="312">
        <v>229764450.55999988</v>
      </c>
    </row>
    <row r="3" spans="1:10" x14ac:dyDescent="0.25">
      <c r="A3" s="256" t="s">
        <v>390</v>
      </c>
      <c r="B3" s="311">
        <v>0</v>
      </c>
      <c r="C3" s="312">
        <v>578902794.46999991</v>
      </c>
      <c r="D3" s="258">
        <v>399925110.35999823</v>
      </c>
      <c r="E3" s="312">
        <v>575041945.14999986</v>
      </c>
      <c r="F3" s="258">
        <v>0</v>
      </c>
      <c r="G3" s="312">
        <v>946132699.09000313</v>
      </c>
      <c r="H3" s="312">
        <v>347879417.17230004</v>
      </c>
      <c r="I3" s="258">
        <v>0</v>
      </c>
      <c r="J3" s="312">
        <v>119698332.00999993</v>
      </c>
    </row>
    <row r="4" spans="1:10" x14ac:dyDescent="0.25">
      <c r="A4" s="257" t="s">
        <v>414</v>
      </c>
      <c r="B4" s="311">
        <v>0</v>
      </c>
      <c r="C4" s="318">
        <v>5248127.7100000009</v>
      </c>
      <c r="D4" s="448">
        <v>2517076.71</v>
      </c>
      <c r="E4" s="312">
        <v>101239778.97</v>
      </c>
      <c r="F4" s="258">
        <v>0</v>
      </c>
      <c r="G4" s="312">
        <v>249482271.56000093</v>
      </c>
      <c r="H4" s="312">
        <v>92206844.813199982</v>
      </c>
      <c r="I4" s="258">
        <v>0</v>
      </c>
      <c r="J4" s="312">
        <v>59178799.899999954</v>
      </c>
    </row>
    <row r="5" spans="1:10" x14ac:dyDescent="0.25">
      <c r="A5" s="257" t="s">
        <v>391</v>
      </c>
      <c r="B5" s="311">
        <v>0</v>
      </c>
      <c r="C5" s="318">
        <v>11422863.77</v>
      </c>
      <c r="D5" s="258">
        <v>223133780.36999807</v>
      </c>
      <c r="E5" s="312">
        <v>108741007.88999994</v>
      </c>
      <c r="F5" s="258">
        <v>0</v>
      </c>
      <c r="G5" s="312">
        <v>0</v>
      </c>
      <c r="H5" s="312">
        <v>0</v>
      </c>
      <c r="I5" s="258">
        <v>0</v>
      </c>
      <c r="J5" s="312">
        <v>6854476.5</v>
      </c>
    </row>
    <row r="6" spans="1:10" x14ac:dyDescent="0.25">
      <c r="A6" s="257" t="s">
        <v>409</v>
      </c>
      <c r="B6" s="311">
        <v>0</v>
      </c>
      <c r="C6" s="318">
        <v>17566407.939999998</v>
      </c>
      <c r="D6" s="448">
        <v>48725047.029999986</v>
      </c>
      <c r="E6" s="312">
        <v>217347752.58999985</v>
      </c>
      <c r="F6" s="258">
        <v>0</v>
      </c>
      <c r="G6" s="312">
        <v>432116571.60000175</v>
      </c>
      <c r="H6" s="312">
        <v>136276647.87099999</v>
      </c>
      <c r="I6" s="258">
        <v>0</v>
      </c>
      <c r="J6" s="312">
        <v>36691344.199999981</v>
      </c>
    </row>
    <row r="7" spans="1:10" x14ac:dyDescent="0.25">
      <c r="A7" s="257" t="s">
        <v>392</v>
      </c>
      <c r="B7" s="311">
        <v>0</v>
      </c>
      <c r="C7" s="312">
        <v>537867925.62</v>
      </c>
      <c r="D7" s="258">
        <v>48991654.930000298</v>
      </c>
      <c r="E7" s="312">
        <v>83731236.620000064</v>
      </c>
      <c r="F7" s="258">
        <v>0</v>
      </c>
      <c r="G7" s="312">
        <v>9452726.7900000159</v>
      </c>
      <c r="H7" s="312">
        <v>0</v>
      </c>
      <c r="I7" s="258">
        <v>0</v>
      </c>
      <c r="J7" s="312">
        <v>292274.43</v>
      </c>
    </row>
    <row r="8" spans="1:10" x14ac:dyDescent="0.25">
      <c r="A8" s="257" t="s">
        <v>393</v>
      </c>
      <c r="B8" s="311">
        <v>0</v>
      </c>
      <c r="C8" s="318">
        <v>6797469.4299999997</v>
      </c>
      <c r="D8" s="448">
        <v>76557551.319999903</v>
      </c>
      <c r="E8" s="318">
        <v>63982169.080000013</v>
      </c>
      <c r="F8" s="258">
        <v>0</v>
      </c>
      <c r="G8" s="312">
        <v>255081129.14000046</v>
      </c>
      <c r="H8" s="312">
        <v>119395924.48810005</v>
      </c>
      <c r="I8" s="258">
        <v>0</v>
      </c>
      <c r="J8" s="312">
        <v>16681436.979999997</v>
      </c>
    </row>
    <row r="9" spans="1:10" x14ac:dyDescent="0.25">
      <c r="A9" s="256" t="s">
        <v>395</v>
      </c>
      <c r="B9" s="311">
        <v>0</v>
      </c>
      <c r="C9" s="312">
        <v>533970520.06000102</v>
      </c>
      <c r="D9" s="258">
        <v>7814178.4400000004</v>
      </c>
      <c r="E9" s="312">
        <v>445722167.58999968</v>
      </c>
      <c r="F9" s="258">
        <v>2244012906.4189529</v>
      </c>
      <c r="G9" s="312">
        <v>464167447.19999951</v>
      </c>
      <c r="H9" s="312">
        <v>1373303155.8077006</v>
      </c>
      <c r="I9" s="258">
        <v>99474719.699999988</v>
      </c>
      <c r="J9" s="312">
        <v>25730178.769999996</v>
      </c>
    </row>
    <row r="10" spans="1:10" x14ac:dyDescent="0.25">
      <c r="A10" s="257" t="s">
        <v>410</v>
      </c>
      <c r="B10" s="311">
        <v>0</v>
      </c>
      <c r="C10" s="312">
        <v>513551595.54000103</v>
      </c>
      <c r="D10" s="258">
        <v>7157387.2400000002</v>
      </c>
      <c r="E10" s="312">
        <v>313607875.77999967</v>
      </c>
      <c r="F10" s="258">
        <v>0</v>
      </c>
      <c r="G10" s="312">
        <v>0</v>
      </c>
      <c r="H10" s="312">
        <v>0</v>
      </c>
      <c r="I10" s="258">
        <v>0</v>
      </c>
      <c r="J10" s="312">
        <v>0</v>
      </c>
    </row>
    <row r="11" spans="1:10" x14ac:dyDescent="0.25">
      <c r="A11" s="257" t="s">
        <v>413</v>
      </c>
      <c r="B11" s="311">
        <v>0</v>
      </c>
      <c r="C11" s="312">
        <v>8722385.4600000009</v>
      </c>
      <c r="D11" s="258">
        <v>656791.19999999995</v>
      </c>
      <c r="E11" s="312">
        <v>69827372.419999987</v>
      </c>
      <c r="F11" s="258">
        <v>1166634014.8683753</v>
      </c>
      <c r="G11" s="312">
        <v>252087257.15000045</v>
      </c>
      <c r="H11" s="312">
        <v>624978370.53080022</v>
      </c>
      <c r="I11" s="258">
        <v>99474719.699999988</v>
      </c>
      <c r="J11" s="312">
        <v>3859752.72</v>
      </c>
    </row>
    <row r="12" spans="1:10" x14ac:dyDescent="0.25">
      <c r="A12" s="257" t="s">
        <v>396</v>
      </c>
      <c r="B12" s="311">
        <v>0</v>
      </c>
      <c r="C12" s="312">
        <v>11696539.060000004</v>
      </c>
      <c r="D12" s="258">
        <v>0</v>
      </c>
      <c r="E12" s="312">
        <v>62286919.390000001</v>
      </c>
      <c r="F12" s="258">
        <v>1077378891.5505776</v>
      </c>
      <c r="G12" s="312">
        <v>212080190.04999906</v>
      </c>
      <c r="H12" s="312">
        <v>748324785.27690029</v>
      </c>
      <c r="I12" s="258">
        <v>0</v>
      </c>
      <c r="J12" s="312">
        <v>21870426.049999997</v>
      </c>
    </row>
    <row r="13" spans="1:10" x14ac:dyDescent="0.25">
      <c r="A13" s="256" t="s">
        <v>387</v>
      </c>
      <c r="B13" s="311">
        <v>7795999005.7501945</v>
      </c>
      <c r="C13" s="312">
        <v>294471024.13999796</v>
      </c>
      <c r="D13" s="258">
        <v>123026288.84999998</v>
      </c>
      <c r="E13" s="312">
        <v>57431014.080000013</v>
      </c>
      <c r="F13" s="258">
        <v>295869483.78616917</v>
      </c>
      <c r="G13" s="312">
        <v>1068423698.4899937</v>
      </c>
      <c r="H13" s="312">
        <v>850825961.94839895</v>
      </c>
      <c r="I13" s="258">
        <v>0</v>
      </c>
      <c r="J13" s="312">
        <v>82338081.789999962</v>
      </c>
    </row>
    <row r="14" spans="1:10" x14ac:dyDescent="0.25">
      <c r="A14" s="257" t="s">
        <v>411</v>
      </c>
      <c r="B14" s="311">
        <v>0</v>
      </c>
      <c r="C14" s="312">
        <v>0</v>
      </c>
      <c r="D14" s="448">
        <v>104085409.96999998</v>
      </c>
      <c r="E14" s="318">
        <v>18050152.199999999</v>
      </c>
      <c r="F14" s="258">
        <v>0</v>
      </c>
      <c r="G14" s="312">
        <v>745246078.51999485</v>
      </c>
      <c r="H14" s="312">
        <v>0</v>
      </c>
      <c r="I14" s="258">
        <v>0</v>
      </c>
      <c r="J14" s="312">
        <v>63038286.849999949</v>
      </c>
    </row>
    <row r="15" spans="1:10" x14ac:dyDescent="0.25">
      <c r="A15" s="257" t="s">
        <v>412</v>
      </c>
      <c r="B15" s="311">
        <v>944874453.8399986</v>
      </c>
      <c r="C15" s="312">
        <v>0</v>
      </c>
      <c r="D15" s="258">
        <v>0</v>
      </c>
      <c r="E15" s="312">
        <v>0</v>
      </c>
      <c r="F15" s="258">
        <v>0</v>
      </c>
      <c r="G15" s="312">
        <v>260328241.31999904</v>
      </c>
      <c r="H15" s="312">
        <v>260328241.31999904</v>
      </c>
      <c r="I15" s="258">
        <v>0</v>
      </c>
      <c r="J15" s="312">
        <v>0</v>
      </c>
    </row>
    <row r="16" spans="1:10" x14ac:dyDescent="0.25">
      <c r="A16" s="257" t="s">
        <v>436</v>
      </c>
      <c r="B16" s="311">
        <v>2901587227.3301883</v>
      </c>
      <c r="C16" s="312">
        <v>0</v>
      </c>
      <c r="D16" s="258">
        <v>0</v>
      </c>
      <c r="E16" s="312">
        <v>0</v>
      </c>
      <c r="F16" s="258">
        <v>0</v>
      </c>
      <c r="G16" s="312">
        <v>62849378.649999693</v>
      </c>
      <c r="H16" s="312">
        <v>453601227.03999996</v>
      </c>
      <c r="I16" s="258">
        <v>0</v>
      </c>
      <c r="J16" s="312">
        <v>0</v>
      </c>
    </row>
    <row r="17" spans="1:10" x14ac:dyDescent="0.25">
      <c r="A17" s="257" t="s">
        <v>398</v>
      </c>
      <c r="B17" s="311">
        <v>3949537324.5800076</v>
      </c>
      <c r="C17" s="312">
        <v>0</v>
      </c>
      <c r="D17" s="258">
        <v>17632294.399999999</v>
      </c>
      <c r="E17" s="312">
        <v>11623141.609999999</v>
      </c>
      <c r="F17" s="258">
        <v>0</v>
      </c>
      <c r="G17" s="312">
        <v>0</v>
      </c>
      <c r="H17" s="312">
        <v>0</v>
      </c>
      <c r="I17" s="258">
        <v>0</v>
      </c>
      <c r="J17" s="312">
        <v>1288855.8400000001</v>
      </c>
    </row>
    <row r="18" spans="1:10" x14ac:dyDescent="0.25">
      <c r="A18" s="257" t="s">
        <v>388</v>
      </c>
      <c r="B18" s="311">
        <v>0</v>
      </c>
      <c r="C18" s="312">
        <v>294471024.13999796</v>
      </c>
      <c r="D18" s="258">
        <v>1308584.48</v>
      </c>
      <c r="E18" s="312">
        <v>27757720.270000011</v>
      </c>
      <c r="F18" s="258">
        <v>295869483.78616917</v>
      </c>
      <c r="G18" s="312">
        <v>0</v>
      </c>
      <c r="H18" s="312">
        <v>136896493.58840001</v>
      </c>
      <c r="I18" s="258">
        <v>0</v>
      </c>
      <c r="J18" s="312">
        <v>18010939.100000001</v>
      </c>
    </row>
    <row r="19" spans="1:10" x14ac:dyDescent="0.25">
      <c r="A19" s="256" t="s">
        <v>401</v>
      </c>
      <c r="B19" s="311">
        <v>0</v>
      </c>
      <c r="C19" s="312">
        <v>0</v>
      </c>
      <c r="D19" s="258">
        <v>0</v>
      </c>
      <c r="E19" s="312">
        <v>0</v>
      </c>
      <c r="F19" s="258">
        <v>8359334284.5734138</v>
      </c>
      <c r="G19" s="312">
        <v>0</v>
      </c>
      <c r="H19" s="312">
        <v>4794123307.5853004</v>
      </c>
      <c r="I19" s="258">
        <v>14309051815.629385</v>
      </c>
      <c r="J19" s="312">
        <v>0</v>
      </c>
    </row>
    <row r="20" spans="1:10" x14ac:dyDescent="0.25">
      <c r="A20" s="257" t="s">
        <v>402</v>
      </c>
      <c r="B20" s="311">
        <v>0</v>
      </c>
      <c r="C20" s="312">
        <v>0</v>
      </c>
      <c r="D20" s="258">
        <v>0</v>
      </c>
      <c r="E20" s="312">
        <v>0</v>
      </c>
      <c r="F20" s="258">
        <v>2326531547.897965</v>
      </c>
      <c r="G20" s="312">
        <v>0</v>
      </c>
      <c r="H20" s="312">
        <v>1270221008.9855001</v>
      </c>
      <c r="I20" s="258">
        <v>1003918901.3799986</v>
      </c>
      <c r="J20" s="312">
        <v>0</v>
      </c>
    </row>
    <row r="21" spans="1:10" x14ac:dyDescent="0.25">
      <c r="A21" s="257" t="s">
        <v>403</v>
      </c>
      <c r="B21" s="311">
        <v>0</v>
      </c>
      <c r="C21" s="312">
        <v>0</v>
      </c>
      <c r="D21" s="258">
        <v>0</v>
      </c>
      <c r="E21" s="312">
        <v>0</v>
      </c>
      <c r="F21" s="258">
        <v>1556732899.31043</v>
      </c>
      <c r="G21" s="312">
        <v>0</v>
      </c>
      <c r="H21" s="312">
        <v>809693097.54320014</v>
      </c>
      <c r="I21" s="258">
        <v>5201309809</v>
      </c>
      <c r="J21" s="312">
        <v>0</v>
      </c>
    </row>
    <row r="22" spans="1:10" x14ac:dyDescent="0.25">
      <c r="A22" s="257" t="s">
        <v>404</v>
      </c>
      <c r="B22" s="311">
        <v>0</v>
      </c>
      <c r="C22" s="312">
        <v>0</v>
      </c>
      <c r="D22" s="258">
        <v>0</v>
      </c>
      <c r="E22" s="312">
        <v>0</v>
      </c>
      <c r="F22" s="258">
        <v>1431955621.1198773</v>
      </c>
      <c r="G22" s="312">
        <v>0</v>
      </c>
      <c r="H22" s="312">
        <v>854540439.37340009</v>
      </c>
      <c r="I22" s="258">
        <v>7842292527.5393858</v>
      </c>
      <c r="J22" s="312">
        <v>0</v>
      </c>
    </row>
    <row r="23" spans="1:10" x14ac:dyDescent="0.25">
      <c r="A23" s="257" t="s">
        <v>405</v>
      </c>
      <c r="B23" s="311">
        <v>0</v>
      </c>
      <c r="C23" s="312">
        <v>0</v>
      </c>
      <c r="D23" s="258">
        <v>0</v>
      </c>
      <c r="E23" s="312">
        <v>0</v>
      </c>
      <c r="F23" s="258">
        <v>3044114216.245142</v>
      </c>
      <c r="G23" s="312">
        <v>0</v>
      </c>
      <c r="H23" s="312">
        <v>1859668761.6831999</v>
      </c>
      <c r="I23" s="258">
        <v>261530577.7100001</v>
      </c>
      <c r="J23" s="312">
        <v>0</v>
      </c>
    </row>
    <row r="24" spans="1:10" x14ac:dyDescent="0.25">
      <c r="A24" s="256" t="s">
        <v>399</v>
      </c>
      <c r="B24" s="311">
        <v>0</v>
      </c>
      <c r="C24" s="312">
        <v>14118688.039999999</v>
      </c>
      <c r="D24" s="258">
        <v>47082491.349999994</v>
      </c>
      <c r="E24" s="312">
        <v>21770737.020000003</v>
      </c>
      <c r="F24" s="258">
        <v>8736996560.0430508</v>
      </c>
      <c r="G24" s="312">
        <v>0</v>
      </c>
      <c r="H24" s="312">
        <v>4906989469.1258993</v>
      </c>
      <c r="I24" s="258">
        <v>5578011610.2099981</v>
      </c>
      <c r="J24" s="312">
        <v>1997857.99</v>
      </c>
    </row>
    <row r="25" spans="1:10" x14ac:dyDescent="0.25">
      <c r="A25" s="257" t="s">
        <v>400</v>
      </c>
      <c r="B25" s="311">
        <v>0</v>
      </c>
      <c r="C25" s="312">
        <v>0</v>
      </c>
      <c r="D25" s="258">
        <v>0</v>
      </c>
      <c r="E25" s="312">
        <v>0</v>
      </c>
      <c r="F25" s="258">
        <v>2536220966.6901655</v>
      </c>
      <c r="G25" s="312">
        <v>0</v>
      </c>
      <c r="H25" s="312">
        <v>1259436385.0236988</v>
      </c>
      <c r="I25" s="258">
        <v>218761180.7299979</v>
      </c>
      <c r="J25" s="312">
        <v>0</v>
      </c>
    </row>
    <row r="26" spans="1:10" x14ac:dyDescent="0.25">
      <c r="A26" s="257" t="s">
        <v>406</v>
      </c>
      <c r="B26" s="311">
        <v>0</v>
      </c>
      <c r="C26" s="312">
        <v>0</v>
      </c>
      <c r="D26" s="258">
        <v>0</v>
      </c>
      <c r="E26" s="312">
        <v>0</v>
      </c>
      <c r="F26" s="258">
        <v>3270543337.822751</v>
      </c>
      <c r="G26" s="312">
        <v>0</v>
      </c>
      <c r="H26" s="312">
        <v>2108569471.1471004</v>
      </c>
      <c r="I26" s="258">
        <v>3581306822</v>
      </c>
      <c r="J26" s="312">
        <v>0</v>
      </c>
    </row>
    <row r="27" spans="1:10" x14ac:dyDescent="0.25">
      <c r="A27" s="257" t="s">
        <v>407</v>
      </c>
      <c r="B27" s="311">
        <v>0</v>
      </c>
      <c r="C27" s="312">
        <v>0</v>
      </c>
      <c r="D27" s="258">
        <v>0</v>
      </c>
      <c r="E27" s="312">
        <v>0</v>
      </c>
      <c r="F27" s="258">
        <v>1734424295.8827801</v>
      </c>
      <c r="G27" s="312">
        <v>0</v>
      </c>
      <c r="H27" s="312">
        <v>911492076.11280048</v>
      </c>
      <c r="I27" s="258">
        <v>236932645.48000008</v>
      </c>
      <c r="J27" s="312">
        <v>0</v>
      </c>
    </row>
    <row r="28" spans="1:10" x14ac:dyDescent="0.25">
      <c r="A28" s="257" t="s">
        <v>408</v>
      </c>
      <c r="B28" s="311">
        <v>0</v>
      </c>
      <c r="C28" s="312">
        <v>14118688.039999999</v>
      </c>
      <c r="D28" s="258">
        <v>47082491.349999994</v>
      </c>
      <c r="E28" s="312">
        <v>21770737.020000003</v>
      </c>
      <c r="F28" s="258">
        <v>1195807959.6473541</v>
      </c>
      <c r="G28" s="312">
        <v>0</v>
      </c>
      <c r="H28" s="312">
        <v>627491536.84229958</v>
      </c>
      <c r="I28" s="258">
        <v>1541010962</v>
      </c>
      <c r="J28" s="312">
        <v>1997857.99</v>
      </c>
    </row>
    <row r="29" spans="1:10" x14ac:dyDescent="0.25">
      <c r="A29" s="255" t="s">
        <v>561</v>
      </c>
      <c r="B29" s="311">
        <v>3662564846.0300136</v>
      </c>
      <c r="C29" s="312">
        <v>173163698.79999998</v>
      </c>
      <c r="D29" s="258">
        <v>213513348.66999993</v>
      </c>
      <c r="E29" s="312">
        <v>1408011081.2800004</v>
      </c>
      <c r="F29" s="258">
        <v>27487786700.587818</v>
      </c>
      <c r="G29" s="312">
        <v>1234365238.7950001</v>
      </c>
      <c r="H29" s="312">
        <v>15542800757.6556</v>
      </c>
      <c r="I29" s="258">
        <v>18132457968.977825</v>
      </c>
      <c r="J29" s="312"/>
    </row>
    <row r="30" spans="1:10" x14ac:dyDescent="0.25">
      <c r="A30" s="256" t="s">
        <v>323</v>
      </c>
      <c r="B30" s="311">
        <v>75907049.919999987</v>
      </c>
      <c r="C30" s="312">
        <v>107332669.47</v>
      </c>
      <c r="D30" s="258">
        <v>122432415.21999995</v>
      </c>
      <c r="E30" s="312">
        <v>564413722.40999997</v>
      </c>
      <c r="F30" s="258">
        <v>0</v>
      </c>
      <c r="G30" s="312">
        <v>57874596.949999876</v>
      </c>
      <c r="H30" s="312">
        <v>3208724.3721000003</v>
      </c>
      <c r="I30" s="258">
        <v>0</v>
      </c>
      <c r="J30" s="312"/>
    </row>
    <row r="31" spans="1:10" x14ac:dyDescent="0.25">
      <c r="A31" s="257" t="s">
        <v>329</v>
      </c>
      <c r="B31" s="311">
        <v>0</v>
      </c>
      <c r="C31" s="312">
        <v>43720409.620000005</v>
      </c>
      <c r="D31" s="258">
        <v>117420382.85999995</v>
      </c>
      <c r="E31" s="312">
        <v>245038138.19000003</v>
      </c>
      <c r="F31" s="258">
        <v>0</v>
      </c>
      <c r="G31" s="312">
        <v>0</v>
      </c>
      <c r="H31" s="312">
        <v>3208724.3721000003</v>
      </c>
      <c r="I31" s="258">
        <v>0</v>
      </c>
      <c r="J31" s="312"/>
    </row>
    <row r="32" spans="1:10" x14ac:dyDescent="0.25">
      <c r="A32" s="257" t="s">
        <v>324</v>
      </c>
      <c r="B32" s="311">
        <v>75907049.919999987</v>
      </c>
      <c r="C32" s="312">
        <v>63612259.850000001</v>
      </c>
      <c r="D32" s="258">
        <v>5012032.3599999985</v>
      </c>
      <c r="E32" s="312">
        <v>319375584.21999997</v>
      </c>
      <c r="F32" s="258">
        <v>0</v>
      </c>
      <c r="G32" s="312">
        <v>57874596.949999876</v>
      </c>
      <c r="H32" s="312">
        <v>0</v>
      </c>
      <c r="I32" s="258">
        <v>0</v>
      </c>
      <c r="J32" s="312"/>
    </row>
    <row r="33" spans="1:10" x14ac:dyDescent="0.25">
      <c r="A33" s="256" t="s">
        <v>318</v>
      </c>
      <c r="B33" s="311">
        <v>537969727.04999781</v>
      </c>
      <c r="C33" s="312">
        <v>65831029.329999991</v>
      </c>
      <c r="D33" s="258">
        <v>91080933.449999973</v>
      </c>
      <c r="E33" s="312">
        <v>843597358.87000036</v>
      </c>
      <c r="F33" s="258">
        <v>0</v>
      </c>
      <c r="G33" s="312">
        <v>1176490641.8450003</v>
      </c>
      <c r="H33" s="312">
        <v>650000</v>
      </c>
      <c r="I33" s="258">
        <v>0</v>
      </c>
      <c r="J33" s="312"/>
    </row>
    <row r="34" spans="1:10" x14ac:dyDescent="0.25">
      <c r="A34" s="257" t="s">
        <v>522</v>
      </c>
      <c r="B34" s="311">
        <v>0</v>
      </c>
      <c r="C34" s="312">
        <v>0</v>
      </c>
      <c r="D34" s="258">
        <v>0</v>
      </c>
      <c r="E34" s="312">
        <v>0</v>
      </c>
      <c r="F34" s="258">
        <v>0</v>
      </c>
      <c r="G34" s="312">
        <v>1871080</v>
      </c>
      <c r="H34" s="312">
        <v>0</v>
      </c>
      <c r="I34" s="258">
        <v>0</v>
      </c>
      <c r="J34" s="312"/>
    </row>
    <row r="35" spans="1:10" x14ac:dyDescent="0.25">
      <c r="A35" s="257" t="s">
        <v>331</v>
      </c>
      <c r="B35" s="311">
        <v>0</v>
      </c>
      <c r="C35" s="312">
        <v>0</v>
      </c>
      <c r="D35" s="448">
        <v>1794546.2449999864</v>
      </c>
      <c r="E35" s="318">
        <v>188079040.08000004</v>
      </c>
      <c r="F35" s="258">
        <v>0</v>
      </c>
      <c r="G35" s="312">
        <v>245472370.21500003</v>
      </c>
      <c r="H35" s="312">
        <v>0</v>
      </c>
      <c r="I35" s="258">
        <v>0</v>
      </c>
      <c r="J35" s="312"/>
    </row>
    <row r="36" spans="1:10" x14ac:dyDescent="0.25">
      <c r="A36" s="257" t="s">
        <v>327</v>
      </c>
      <c r="B36" s="311">
        <v>0</v>
      </c>
      <c r="C36" s="318">
        <v>2268781.3500000006</v>
      </c>
      <c r="D36" s="448">
        <v>186953.53500000111</v>
      </c>
      <c r="E36" s="318">
        <v>188843326.16999999</v>
      </c>
      <c r="F36" s="258">
        <v>0</v>
      </c>
      <c r="G36" s="312">
        <v>219317518.47499987</v>
      </c>
      <c r="H36" s="312">
        <v>0</v>
      </c>
      <c r="I36" s="258">
        <v>0</v>
      </c>
      <c r="J36" s="312"/>
    </row>
    <row r="37" spans="1:10" x14ac:dyDescent="0.25">
      <c r="A37" s="257" t="s">
        <v>326</v>
      </c>
      <c r="B37" s="311">
        <v>265454613.44999894</v>
      </c>
      <c r="C37" s="312">
        <v>0</v>
      </c>
      <c r="D37" s="258">
        <v>77487854.839999989</v>
      </c>
      <c r="E37" s="312">
        <v>238409723.12000012</v>
      </c>
      <c r="F37" s="258">
        <v>0</v>
      </c>
      <c r="G37" s="312">
        <v>209308737.22000018</v>
      </c>
      <c r="H37" s="312">
        <v>0</v>
      </c>
      <c r="I37" s="258">
        <v>0</v>
      </c>
      <c r="J37" s="312"/>
    </row>
    <row r="38" spans="1:10" x14ac:dyDescent="0.25">
      <c r="A38" s="257" t="s">
        <v>319</v>
      </c>
      <c r="B38" s="311">
        <v>272515113.59999883</v>
      </c>
      <c r="C38" s="312">
        <v>63562247.979999989</v>
      </c>
      <c r="D38" s="258">
        <v>11611578.83</v>
      </c>
      <c r="E38" s="312">
        <v>228265269.50000024</v>
      </c>
      <c r="F38" s="258">
        <v>0</v>
      </c>
      <c r="G38" s="312">
        <v>500520935.93500006</v>
      </c>
      <c r="H38" s="312">
        <v>650000</v>
      </c>
      <c r="I38" s="258">
        <v>0</v>
      </c>
      <c r="J38" s="312"/>
    </row>
    <row r="39" spans="1:10" x14ac:dyDescent="0.25">
      <c r="A39" s="256" t="s">
        <v>337</v>
      </c>
      <c r="B39" s="311">
        <v>3048688069.0600162</v>
      </c>
      <c r="C39" s="312">
        <v>0</v>
      </c>
      <c r="D39" s="258">
        <v>0</v>
      </c>
      <c r="E39" s="312">
        <v>0</v>
      </c>
      <c r="F39" s="258">
        <v>0</v>
      </c>
      <c r="G39" s="312">
        <v>0</v>
      </c>
      <c r="H39" s="312">
        <v>361010000</v>
      </c>
      <c r="I39" s="258">
        <v>0</v>
      </c>
      <c r="J39" s="312"/>
    </row>
    <row r="40" spans="1:10" x14ac:dyDescent="0.25">
      <c r="A40" s="257" t="s">
        <v>374</v>
      </c>
      <c r="B40" s="311">
        <v>1397370089.2200017</v>
      </c>
      <c r="C40" s="312">
        <v>0</v>
      </c>
      <c r="D40" s="258">
        <v>0</v>
      </c>
      <c r="E40" s="312">
        <v>0</v>
      </c>
      <c r="F40" s="258">
        <v>0</v>
      </c>
      <c r="G40" s="312">
        <v>0</v>
      </c>
      <c r="H40" s="312">
        <v>0</v>
      </c>
      <c r="I40" s="258">
        <v>0</v>
      </c>
      <c r="J40" s="312"/>
    </row>
    <row r="41" spans="1:10" x14ac:dyDescent="0.25">
      <c r="A41" s="257" t="s">
        <v>348</v>
      </c>
      <c r="B41" s="311">
        <v>1181206026.5700133</v>
      </c>
      <c r="C41" s="312">
        <v>0</v>
      </c>
      <c r="D41" s="258">
        <v>0</v>
      </c>
      <c r="E41" s="312">
        <v>0</v>
      </c>
      <c r="F41" s="258">
        <v>0</v>
      </c>
      <c r="G41" s="312">
        <v>0</v>
      </c>
      <c r="H41" s="312">
        <v>0</v>
      </c>
      <c r="I41" s="258">
        <v>0</v>
      </c>
      <c r="J41" s="312"/>
    </row>
    <row r="42" spans="1:10" x14ac:dyDescent="0.25">
      <c r="A42" s="257" t="s">
        <v>338</v>
      </c>
      <c r="B42" s="311">
        <v>470111953.27000087</v>
      </c>
      <c r="C42" s="312">
        <v>0</v>
      </c>
      <c r="D42" s="258">
        <v>0</v>
      </c>
      <c r="E42" s="312">
        <v>0</v>
      </c>
      <c r="F42" s="258">
        <v>0</v>
      </c>
      <c r="G42" s="312">
        <v>0</v>
      </c>
      <c r="H42" s="312">
        <v>361010000</v>
      </c>
      <c r="I42" s="258">
        <v>0</v>
      </c>
      <c r="J42" s="312"/>
    </row>
    <row r="43" spans="1:10" x14ac:dyDescent="0.25">
      <c r="A43" s="256" t="s">
        <v>362</v>
      </c>
      <c r="B43" s="311">
        <v>0</v>
      </c>
      <c r="C43" s="312">
        <v>0</v>
      </c>
      <c r="D43" s="258">
        <v>0</v>
      </c>
      <c r="E43" s="312">
        <v>0</v>
      </c>
      <c r="F43" s="258">
        <v>15341407347.053482</v>
      </c>
      <c r="G43" s="312">
        <v>0</v>
      </c>
      <c r="H43" s="312">
        <v>8867441038.0932999</v>
      </c>
      <c r="I43" s="258">
        <v>6817750437.9784079</v>
      </c>
      <c r="J43" s="312"/>
    </row>
    <row r="44" spans="1:10" x14ac:dyDescent="0.25">
      <c r="A44" s="257" t="s">
        <v>369</v>
      </c>
      <c r="B44" s="311">
        <v>0</v>
      </c>
      <c r="C44" s="312">
        <v>0</v>
      </c>
      <c r="D44" s="258">
        <v>0</v>
      </c>
      <c r="E44" s="312">
        <v>0</v>
      </c>
      <c r="F44" s="258">
        <v>3181624376.36132</v>
      </c>
      <c r="G44" s="312">
        <v>0</v>
      </c>
      <c r="H44" s="312">
        <v>1841724236.6458004</v>
      </c>
      <c r="I44" s="258">
        <v>0</v>
      </c>
      <c r="J44" s="312"/>
    </row>
    <row r="45" spans="1:10" x14ac:dyDescent="0.25">
      <c r="A45" s="257" t="s">
        <v>370</v>
      </c>
      <c r="B45" s="311">
        <v>0</v>
      </c>
      <c r="C45" s="312">
        <v>0</v>
      </c>
      <c r="D45" s="258">
        <v>0</v>
      </c>
      <c r="E45" s="312">
        <v>0</v>
      </c>
      <c r="F45" s="258">
        <v>2168589251.82792</v>
      </c>
      <c r="G45" s="312">
        <v>0</v>
      </c>
      <c r="H45" s="312">
        <v>1360826294.5654001</v>
      </c>
      <c r="I45" s="258">
        <v>0</v>
      </c>
      <c r="J45" s="312"/>
    </row>
    <row r="46" spans="1:10" x14ac:dyDescent="0.25">
      <c r="A46" s="257" t="s">
        <v>371</v>
      </c>
      <c r="B46" s="311">
        <v>0</v>
      </c>
      <c r="C46" s="312">
        <v>0</v>
      </c>
      <c r="D46" s="258">
        <v>0</v>
      </c>
      <c r="E46" s="312">
        <v>0</v>
      </c>
      <c r="F46" s="258">
        <v>3198033082.4474812</v>
      </c>
      <c r="G46" s="312">
        <v>0</v>
      </c>
      <c r="H46" s="312">
        <v>1815733080.2909989</v>
      </c>
      <c r="I46" s="258">
        <v>0</v>
      </c>
      <c r="J46" s="312"/>
    </row>
    <row r="47" spans="1:10" x14ac:dyDescent="0.25">
      <c r="A47" s="257" t="s">
        <v>366</v>
      </c>
      <c r="B47" s="311">
        <v>0</v>
      </c>
      <c r="C47" s="312">
        <v>0</v>
      </c>
      <c r="D47" s="258">
        <v>0</v>
      </c>
      <c r="E47" s="312">
        <v>0</v>
      </c>
      <c r="F47" s="258">
        <v>2804258219.2842288</v>
      </c>
      <c r="G47" s="312">
        <v>0</v>
      </c>
      <c r="H47" s="312">
        <v>1628591640.8125005</v>
      </c>
      <c r="I47" s="258">
        <v>6817750437.9784079</v>
      </c>
      <c r="J47" s="312"/>
    </row>
    <row r="48" spans="1:10" x14ac:dyDescent="0.25">
      <c r="A48" s="257" t="s">
        <v>363</v>
      </c>
      <c r="B48" s="311">
        <v>0</v>
      </c>
      <c r="C48" s="312">
        <v>0</v>
      </c>
      <c r="D48" s="258">
        <v>0</v>
      </c>
      <c r="E48" s="312">
        <v>0</v>
      </c>
      <c r="F48" s="258">
        <v>3988902417.1325326</v>
      </c>
      <c r="G48" s="312">
        <v>0</v>
      </c>
      <c r="H48" s="312">
        <v>2220565785.7786002</v>
      </c>
      <c r="I48" s="258">
        <v>0</v>
      </c>
      <c r="J48" s="312"/>
    </row>
    <row r="49" spans="1:10" x14ac:dyDescent="0.25">
      <c r="A49" s="256" t="s">
        <v>364</v>
      </c>
      <c r="B49" s="311">
        <v>0</v>
      </c>
      <c r="C49" s="312">
        <v>0</v>
      </c>
      <c r="D49" s="258">
        <v>0</v>
      </c>
      <c r="E49" s="312">
        <v>0</v>
      </c>
      <c r="F49" s="258">
        <v>12146379353.534338</v>
      </c>
      <c r="G49" s="312">
        <v>0</v>
      </c>
      <c r="H49" s="312">
        <v>6310490995.1902008</v>
      </c>
      <c r="I49" s="258">
        <v>11314707530.999416</v>
      </c>
      <c r="J49" s="312"/>
    </row>
    <row r="50" spans="1:10" x14ac:dyDescent="0.25">
      <c r="A50" s="257" t="s">
        <v>372</v>
      </c>
      <c r="B50" s="311">
        <v>0</v>
      </c>
      <c r="C50" s="312">
        <v>0</v>
      </c>
      <c r="D50" s="258">
        <v>0</v>
      </c>
      <c r="E50" s="312">
        <v>0</v>
      </c>
      <c r="F50" s="258">
        <v>3413731374.3028264</v>
      </c>
      <c r="G50" s="312">
        <v>0</v>
      </c>
      <c r="H50" s="312">
        <v>1876588866.3067002</v>
      </c>
      <c r="I50" s="258">
        <v>0</v>
      </c>
      <c r="J50" s="312"/>
    </row>
    <row r="51" spans="1:10" x14ac:dyDescent="0.25">
      <c r="A51" s="257" t="s">
        <v>365</v>
      </c>
      <c r="B51" s="311">
        <v>0</v>
      </c>
      <c r="C51" s="312">
        <v>0</v>
      </c>
      <c r="D51" s="258">
        <v>0</v>
      </c>
      <c r="E51" s="312">
        <v>0</v>
      </c>
      <c r="F51" s="258">
        <v>3927956071.2693911</v>
      </c>
      <c r="G51" s="312">
        <v>0</v>
      </c>
      <c r="H51" s="312">
        <v>1883869929.6495004</v>
      </c>
      <c r="I51" s="258">
        <v>0</v>
      </c>
      <c r="J51" s="312"/>
    </row>
    <row r="52" spans="1:10" x14ac:dyDescent="0.25">
      <c r="A52" s="257" t="s">
        <v>373</v>
      </c>
      <c r="B52" s="311">
        <v>0</v>
      </c>
      <c r="C52" s="312">
        <v>0</v>
      </c>
      <c r="D52" s="258">
        <v>0</v>
      </c>
      <c r="E52" s="312">
        <v>0</v>
      </c>
      <c r="F52" s="258">
        <v>4804691907.9621201</v>
      </c>
      <c r="G52" s="312">
        <v>0</v>
      </c>
      <c r="H52" s="312">
        <v>2550032199.2339997</v>
      </c>
      <c r="I52" s="258">
        <v>0</v>
      </c>
      <c r="J52" s="312"/>
    </row>
    <row r="53" spans="1:10" x14ac:dyDescent="0.25">
      <c r="A53" s="257" t="s">
        <v>381</v>
      </c>
      <c r="B53" s="311">
        <v>0</v>
      </c>
      <c r="C53" s="312">
        <v>0</v>
      </c>
      <c r="D53" s="258">
        <v>0</v>
      </c>
      <c r="E53" s="312">
        <v>0</v>
      </c>
      <c r="F53" s="448">
        <v>0</v>
      </c>
      <c r="G53" s="318">
        <v>0</v>
      </c>
      <c r="H53" s="318">
        <v>0</v>
      </c>
      <c r="I53" s="448">
        <v>11314707530.999416</v>
      </c>
      <c r="J53" s="312"/>
    </row>
    <row r="54" spans="1:10" x14ac:dyDescent="0.25">
      <c r="A54" s="255" t="s">
        <v>526</v>
      </c>
      <c r="B54" s="311">
        <v>1396668761.6800003</v>
      </c>
      <c r="C54" s="312">
        <v>710291849.1400001</v>
      </c>
      <c r="D54" s="258">
        <v>1379570561.5799999</v>
      </c>
      <c r="E54" s="312">
        <v>1609129468.6699998</v>
      </c>
      <c r="F54" s="258">
        <v>17039236388.799253</v>
      </c>
      <c r="G54" s="312">
        <v>30151158.260957614</v>
      </c>
      <c r="H54" s="312">
        <v>11916898685.322802</v>
      </c>
      <c r="I54" s="258">
        <v>17894758836.269665</v>
      </c>
      <c r="J54" s="312"/>
    </row>
    <row r="55" spans="1:10" x14ac:dyDescent="0.25">
      <c r="A55" s="256" t="s">
        <v>527</v>
      </c>
      <c r="B55" s="311">
        <v>390490907.73000014</v>
      </c>
      <c r="C55" s="312">
        <v>31784312.930000041</v>
      </c>
      <c r="D55" s="258">
        <v>807063926.50999999</v>
      </c>
      <c r="E55" s="312">
        <v>976222500.75</v>
      </c>
      <c r="F55" s="258">
        <v>0</v>
      </c>
      <c r="G55" s="312">
        <v>0</v>
      </c>
      <c r="H55" s="312">
        <v>1119300</v>
      </c>
      <c r="I55" s="258">
        <v>0</v>
      </c>
      <c r="J55" s="312"/>
    </row>
    <row r="56" spans="1:10" x14ac:dyDescent="0.25">
      <c r="A56" s="257" t="s">
        <v>532</v>
      </c>
      <c r="B56" s="311">
        <v>0</v>
      </c>
      <c r="C56" s="318">
        <v>0</v>
      </c>
      <c r="D56" s="258">
        <v>426688592.22000003</v>
      </c>
      <c r="E56" s="312">
        <v>5036923.6599999992</v>
      </c>
      <c r="F56" s="258">
        <v>0</v>
      </c>
      <c r="G56" s="312">
        <v>0</v>
      </c>
      <c r="H56" s="312">
        <v>0</v>
      </c>
      <c r="I56" s="258">
        <v>0</v>
      </c>
      <c r="J56" s="312"/>
    </row>
    <row r="57" spans="1:10" x14ac:dyDescent="0.25">
      <c r="A57" s="257" t="s">
        <v>528</v>
      </c>
      <c r="B57" s="311">
        <v>390490907.73000014</v>
      </c>
      <c r="C57" s="312">
        <v>8540356.7300000004</v>
      </c>
      <c r="D57" s="258">
        <v>154394419.58000001</v>
      </c>
      <c r="E57" s="312">
        <v>808057680.12</v>
      </c>
      <c r="F57" s="258">
        <v>0</v>
      </c>
      <c r="G57" s="312">
        <v>0</v>
      </c>
      <c r="H57" s="312">
        <v>1119300</v>
      </c>
      <c r="I57" s="258">
        <v>0</v>
      </c>
      <c r="J57" s="312"/>
    </row>
    <row r="58" spans="1:10" x14ac:dyDescent="0.25">
      <c r="A58" s="257" t="s">
        <v>535</v>
      </c>
      <c r="B58" s="311">
        <v>0</v>
      </c>
      <c r="C58" s="312">
        <v>23243956.20000004</v>
      </c>
      <c r="D58" s="258">
        <v>225980914.70999989</v>
      </c>
      <c r="E58" s="312">
        <v>163127896.97000003</v>
      </c>
      <c r="F58" s="258">
        <v>0</v>
      </c>
      <c r="G58" s="312">
        <v>0</v>
      </c>
      <c r="H58" s="312">
        <v>0</v>
      </c>
      <c r="I58" s="258">
        <v>0</v>
      </c>
      <c r="J58" s="312"/>
    </row>
    <row r="59" spans="1:10" x14ac:dyDescent="0.25">
      <c r="A59" s="256" t="s">
        <v>529</v>
      </c>
      <c r="B59" s="311">
        <v>1006177853.9500002</v>
      </c>
      <c r="C59" s="312">
        <v>678507536.21000004</v>
      </c>
      <c r="D59" s="258">
        <v>572506635.06999993</v>
      </c>
      <c r="E59" s="312">
        <v>632906967.92000008</v>
      </c>
      <c r="F59" s="258">
        <v>0</v>
      </c>
      <c r="G59" s="312">
        <v>0</v>
      </c>
      <c r="H59" s="312">
        <v>533285680.44700003</v>
      </c>
      <c r="I59" s="258">
        <v>0</v>
      </c>
      <c r="J59" s="312"/>
    </row>
    <row r="60" spans="1:10" x14ac:dyDescent="0.25">
      <c r="A60" s="257" t="s">
        <v>537</v>
      </c>
      <c r="B60" s="311">
        <v>455626091.64999998</v>
      </c>
      <c r="C60" s="312">
        <v>240569215.74000001</v>
      </c>
      <c r="D60" s="258">
        <v>130862903.00999998</v>
      </c>
      <c r="E60" s="312">
        <v>352208206.12</v>
      </c>
      <c r="F60" s="258">
        <v>0</v>
      </c>
      <c r="G60" s="312">
        <v>0</v>
      </c>
      <c r="H60" s="312">
        <v>398605680.44700003</v>
      </c>
      <c r="I60" s="258">
        <v>0</v>
      </c>
      <c r="J60" s="312"/>
    </row>
    <row r="61" spans="1:10" x14ac:dyDescent="0.25">
      <c r="A61" s="257" t="s">
        <v>530</v>
      </c>
      <c r="B61" s="311">
        <v>0</v>
      </c>
      <c r="C61" s="312">
        <v>97210541.730000019</v>
      </c>
      <c r="D61" s="258">
        <v>328947972.70999992</v>
      </c>
      <c r="E61" s="312">
        <v>125566140.82999998</v>
      </c>
      <c r="F61" s="258">
        <v>0</v>
      </c>
      <c r="G61" s="312">
        <v>0</v>
      </c>
      <c r="H61" s="312">
        <v>67167100</v>
      </c>
      <c r="I61" s="258">
        <v>0</v>
      </c>
      <c r="J61" s="312"/>
    </row>
    <row r="62" spans="1:10" x14ac:dyDescent="0.25">
      <c r="A62" s="257" t="s">
        <v>540</v>
      </c>
      <c r="B62" s="311">
        <v>0</v>
      </c>
      <c r="C62" s="312">
        <v>318681900.88</v>
      </c>
      <c r="D62" s="258">
        <v>104037404.78</v>
      </c>
      <c r="E62" s="312">
        <v>155131518.53</v>
      </c>
      <c r="F62" s="258">
        <v>0</v>
      </c>
      <c r="G62" s="312">
        <v>0</v>
      </c>
      <c r="H62" s="312">
        <v>26026000</v>
      </c>
      <c r="I62" s="258">
        <v>0</v>
      </c>
      <c r="J62" s="312"/>
    </row>
    <row r="63" spans="1:10" x14ac:dyDescent="0.25">
      <c r="A63" s="257" t="s">
        <v>544</v>
      </c>
      <c r="B63" s="311">
        <v>550551762.30000019</v>
      </c>
      <c r="C63" s="312">
        <v>22045877.859999981</v>
      </c>
      <c r="D63" s="258">
        <v>8658354.5700000003</v>
      </c>
      <c r="E63" s="312">
        <v>1102.44</v>
      </c>
      <c r="F63" s="258">
        <v>0</v>
      </c>
      <c r="G63" s="312">
        <v>0</v>
      </c>
      <c r="H63" s="312">
        <v>41486900</v>
      </c>
      <c r="I63" s="258">
        <v>0</v>
      </c>
      <c r="J63" s="312"/>
    </row>
    <row r="64" spans="1:10" x14ac:dyDescent="0.25">
      <c r="A64" s="256" t="s">
        <v>552</v>
      </c>
      <c r="B64" s="311">
        <v>0</v>
      </c>
      <c r="C64" s="312">
        <v>0</v>
      </c>
      <c r="D64" s="258">
        <v>0</v>
      </c>
      <c r="E64" s="312">
        <v>0</v>
      </c>
      <c r="F64" s="258">
        <v>9219450076.0850506</v>
      </c>
      <c r="G64" s="312">
        <v>27130505.840957616</v>
      </c>
      <c r="H64" s="312">
        <v>5762553882.198101</v>
      </c>
      <c r="I64" s="258">
        <v>1239276737.9199791</v>
      </c>
      <c r="J64" s="312"/>
    </row>
    <row r="65" spans="1:10" x14ac:dyDescent="0.25">
      <c r="A65" s="257" t="s">
        <v>553</v>
      </c>
      <c r="B65" s="311">
        <v>0</v>
      </c>
      <c r="C65" s="312">
        <v>0</v>
      </c>
      <c r="D65" s="258">
        <v>0</v>
      </c>
      <c r="E65" s="312">
        <v>0</v>
      </c>
      <c r="F65" s="258">
        <v>2499187773.985817</v>
      </c>
      <c r="G65" s="312">
        <v>0</v>
      </c>
      <c r="H65" s="312">
        <v>1008700663.4809</v>
      </c>
      <c r="I65" s="258">
        <v>1239276737.9199791</v>
      </c>
      <c r="J65" s="312"/>
    </row>
    <row r="66" spans="1:10" x14ac:dyDescent="0.25">
      <c r="A66" s="257" t="s">
        <v>554</v>
      </c>
      <c r="B66" s="311">
        <v>0</v>
      </c>
      <c r="C66" s="312">
        <v>0</v>
      </c>
      <c r="D66" s="258">
        <v>0</v>
      </c>
      <c r="E66" s="312">
        <v>0</v>
      </c>
      <c r="F66" s="258">
        <v>2189482761.2112374</v>
      </c>
      <c r="G66" s="312">
        <v>0</v>
      </c>
      <c r="H66" s="312">
        <v>1176822312.9299002</v>
      </c>
      <c r="I66" s="258">
        <v>0</v>
      </c>
      <c r="J66" s="312"/>
    </row>
    <row r="67" spans="1:10" x14ac:dyDescent="0.25">
      <c r="A67" s="257" t="s">
        <v>555</v>
      </c>
      <c r="B67" s="311">
        <v>0</v>
      </c>
      <c r="C67" s="312">
        <v>0</v>
      </c>
      <c r="D67" s="258">
        <v>0</v>
      </c>
      <c r="E67" s="312">
        <v>0</v>
      </c>
      <c r="F67" s="258">
        <v>1967313156.6679699</v>
      </c>
      <c r="G67" s="312">
        <v>27130505.840957616</v>
      </c>
      <c r="H67" s="312">
        <v>1967581503.4382</v>
      </c>
      <c r="I67" s="258">
        <v>0</v>
      </c>
      <c r="J67" s="312"/>
    </row>
    <row r="68" spans="1:10" x14ac:dyDescent="0.25">
      <c r="A68" s="257" t="s">
        <v>559</v>
      </c>
      <c r="B68" s="311">
        <v>0</v>
      </c>
      <c r="C68" s="312">
        <v>0</v>
      </c>
      <c r="D68" s="258">
        <v>0</v>
      </c>
      <c r="E68" s="312">
        <v>0</v>
      </c>
      <c r="F68" s="258">
        <v>2563466384.220027</v>
      </c>
      <c r="G68" s="312">
        <v>0</v>
      </c>
      <c r="H68" s="312">
        <v>1609449402.3491006</v>
      </c>
      <c r="I68" s="258">
        <v>0</v>
      </c>
      <c r="J68" s="312"/>
    </row>
    <row r="69" spans="1:10" x14ac:dyDescent="0.25">
      <c r="A69" s="256" t="s">
        <v>556</v>
      </c>
      <c r="B69" s="311">
        <v>0</v>
      </c>
      <c r="C69" s="312">
        <v>0</v>
      </c>
      <c r="D69" s="258">
        <v>0</v>
      </c>
      <c r="E69" s="312">
        <v>0</v>
      </c>
      <c r="F69" s="258">
        <v>7819786312.7142048</v>
      </c>
      <c r="G69" s="312">
        <v>3020652.42</v>
      </c>
      <c r="H69" s="312">
        <v>5619939822.6777</v>
      </c>
      <c r="I69" s="258">
        <v>16655482098.349686</v>
      </c>
      <c r="J69" s="312"/>
    </row>
    <row r="70" spans="1:10" x14ac:dyDescent="0.25">
      <c r="A70" s="257" t="s">
        <v>557</v>
      </c>
      <c r="B70" s="311">
        <v>0</v>
      </c>
      <c r="C70" s="312">
        <v>0</v>
      </c>
      <c r="D70" s="258">
        <v>0</v>
      </c>
      <c r="E70" s="312">
        <v>0</v>
      </c>
      <c r="F70" s="258">
        <v>2237092071.4398184</v>
      </c>
      <c r="G70" s="312">
        <v>0</v>
      </c>
      <c r="H70" s="312">
        <v>1801439087.4466987</v>
      </c>
      <c r="I70" s="258">
        <v>6981487904.4999857</v>
      </c>
      <c r="J70" s="312"/>
    </row>
    <row r="71" spans="1:10" x14ac:dyDescent="0.25">
      <c r="A71" s="257" t="s">
        <v>558</v>
      </c>
      <c r="B71" s="311">
        <v>0</v>
      </c>
      <c r="C71" s="312">
        <v>0</v>
      </c>
      <c r="D71" s="258">
        <v>0</v>
      </c>
      <c r="E71" s="312">
        <v>0</v>
      </c>
      <c r="F71" s="258">
        <v>3337320744.5091424</v>
      </c>
      <c r="G71" s="312">
        <v>3020652.42</v>
      </c>
      <c r="H71" s="312">
        <v>2551201014.5830002</v>
      </c>
      <c r="I71" s="258">
        <v>1812890091.9499843</v>
      </c>
      <c r="J71" s="312"/>
    </row>
    <row r="72" spans="1:10" x14ac:dyDescent="0.25">
      <c r="A72" s="257" t="s">
        <v>560</v>
      </c>
      <c r="B72" s="311">
        <v>0</v>
      </c>
      <c r="C72" s="312">
        <v>0</v>
      </c>
      <c r="D72" s="258">
        <v>0</v>
      </c>
      <c r="E72" s="312">
        <v>0</v>
      </c>
      <c r="F72" s="258">
        <v>2245373496.7652435</v>
      </c>
      <c r="G72" s="312">
        <v>0</v>
      </c>
      <c r="H72" s="312">
        <v>1267299720.6480002</v>
      </c>
      <c r="I72" s="258">
        <v>7861104101.8997154</v>
      </c>
      <c r="J72" s="312"/>
    </row>
    <row r="73" spans="1:10" x14ac:dyDescent="0.25">
      <c r="A73" s="255" t="s">
        <v>438</v>
      </c>
      <c r="B73" s="311">
        <v>864521902.31999981</v>
      </c>
      <c r="C73" s="312">
        <v>2450708828.4699998</v>
      </c>
      <c r="D73" s="258">
        <v>836408698.87</v>
      </c>
      <c r="E73" s="312">
        <v>3487432752.4200001</v>
      </c>
      <c r="F73" s="258">
        <v>1268877709.1800029</v>
      </c>
      <c r="G73" s="312">
        <v>636211775.19999993</v>
      </c>
      <c r="H73" s="312">
        <v>855640391.10279989</v>
      </c>
      <c r="I73" s="258">
        <v>986262290.77999067</v>
      </c>
      <c r="J73" s="312">
        <v>1913658133.8300028</v>
      </c>
    </row>
    <row r="74" spans="1:10" x14ac:dyDescent="0.25">
      <c r="A74" s="256" t="s">
        <v>443</v>
      </c>
      <c r="B74" s="311">
        <v>0</v>
      </c>
      <c r="C74" s="312">
        <v>901713757.16999984</v>
      </c>
      <c r="D74" s="258">
        <v>522361513.39999998</v>
      </c>
      <c r="E74" s="312">
        <v>878845996.87999988</v>
      </c>
      <c r="F74" s="258">
        <v>753325656.6600014</v>
      </c>
      <c r="G74" s="312">
        <v>18110606.940000001</v>
      </c>
      <c r="H74" s="312">
        <v>586512446.33019996</v>
      </c>
      <c r="I74" s="258">
        <v>0</v>
      </c>
      <c r="J74" s="312">
        <v>0</v>
      </c>
    </row>
    <row r="75" spans="1:10" x14ac:dyDescent="0.25">
      <c r="A75" s="257" t="s">
        <v>444</v>
      </c>
      <c r="B75" s="311">
        <v>0</v>
      </c>
      <c r="C75" s="312">
        <v>207604141.61000004</v>
      </c>
      <c r="D75" s="258">
        <v>267598793.23000005</v>
      </c>
      <c r="E75" s="312">
        <v>64431172.359999985</v>
      </c>
      <c r="F75" s="258">
        <v>355101442.36000061</v>
      </c>
      <c r="G75" s="312">
        <v>0</v>
      </c>
      <c r="H75" s="312">
        <v>339730098.9576</v>
      </c>
      <c r="I75" s="258">
        <v>0</v>
      </c>
      <c r="J75" s="312">
        <v>0</v>
      </c>
    </row>
    <row r="76" spans="1:10" x14ac:dyDescent="0.25">
      <c r="A76" s="257" t="s">
        <v>445</v>
      </c>
      <c r="B76" s="311">
        <v>0</v>
      </c>
      <c r="C76" s="312">
        <v>127941209.57999995</v>
      </c>
      <c r="D76" s="258">
        <v>2351096.6800000002</v>
      </c>
      <c r="E76" s="312">
        <v>303797832.34000003</v>
      </c>
      <c r="F76" s="258">
        <v>511490.75000000006</v>
      </c>
      <c r="G76" s="312">
        <v>18110606.940000001</v>
      </c>
      <c r="H76" s="312">
        <v>0</v>
      </c>
      <c r="I76" s="258">
        <v>0</v>
      </c>
      <c r="J76" s="312">
        <v>0</v>
      </c>
    </row>
    <row r="77" spans="1:10" x14ac:dyDescent="0.25">
      <c r="A77" s="257" t="s">
        <v>446</v>
      </c>
      <c r="B77" s="311">
        <v>0</v>
      </c>
      <c r="C77" s="312">
        <v>444496975.47999984</v>
      </c>
      <c r="D77" s="258">
        <v>68752876.779999986</v>
      </c>
      <c r="E77" s="312">
        <v>282678090.38000005</v>
      </c>
      <c r="F77" s="258">
        <v>275845491.41999978</v>
      </c>
      <c r="G77" s="312">
        <v>0</v>
      </c>
      <c r="H77" s="312">
        <v>176294026.74129999</v>
      </c>
      <c r="I77" s="258">
        <v>0</v>
      </c>
      <c r="J77" s="312">
        <v>0</v>
      </c>
    </row>
    <row r="78" spans="1:10" x14ac:dyDescent="0.25">
      <c r="A78" s="257" t="s">
        <v>452</v>
      </c>
      <c r="B78" s="311">
        <v>0</v>
      </c>
      <c r="C78" s="312">
        <v>121671430.49999997</v>
      </c>
      <c r="D78" s="258">
        <v>183658746.71000001</v>
      </c>
      <c r="E78" s="312">
        <v>227938901.79999974</v>
      </c>
      <c r="F78" s="258">
        <v>121867232.1300009</v>
      </c>
      <c r="G78" s="312">
        <v>0</v>
      </c>
      <c r="H78" s="312">
        <v>70488320.631299987</v>
      </c>
      <c r="I78" s="258">
        <v>0</v>
      </c>
      <c r="J78" s="312">
        <v>0</v>
      </c>
    </row>
    <row r="79" spans="1:10" x14ac:dyDescent="0.25">
      <c r="A79" s="256" t="s">
        <v>439</v>
      </c>
      <c r="B79" s="311">
        <v>0</v>
      </c>
      <c r="C79" s="312">
        <v>713475145.95000005</v>
      </c>
      <c r="D79" s="258">
        <v>235628622.49000001</v>
      </c>
      <c r="E79" s="312">
        <v>1082233209.3200002</v>
      </c>
      <c r="F79" s="258">
        <v>314438153.57000083</v>
      </c>
      <c r="G79" s="312">
        <v>257446709.98999998</v>
      </c>
      <c r="H79" s="312">
        <v>130423909.94099995</v>
      </c>
      <c r="I79" s="258">
        <v>0</v>
      </c>
      <c r="J79" s="312">
        <v>0</v>
      </c>
    </row>
    <row r="80" spans="1:10" x14ac:dyDescent="0.25">
      <c r="A80" s="257" t="s">
        <v>440</v>
      </c>
      <c r="B80" s="311">
        <v>0</v>
      </c>
      <c r="C80" s="312">
        <v>380332306.94</v>
      </c>
      <c r="D80" s="258">
        <v>1069912.8400000001</v>
      </c>
      <c r="E80" s="312">
        <v>274408009.31999999</v>
      </c>
      <c r="F80" s="258">
        <v>141716641.35000092</v>
      </c>
      <c r="G80" s="312">
        <v>171065687.12999997</v>
      </c>
      <c r="H80" s="312">
        <v>20031660.741299998</v>
      </c>
      <c r="I80" s="258">
        <v>0</v>
      </c>
      <c r="J80" s="312">
        <v>0</v>
      </c>
    </row>
    <row r="81" spans="1:10" x14ac:dyDescent="0.25">
      <c r="A81" s="257" t="s">
        <v>441</v>
      </c>
      <c r="B81" s="311">
        <v>0</v>
      </c>
      <c r="C81" s="312">
        <v>153019583.42999998</v>
      </c>
      <c r="D81" s="258">
        <v>134970165.77000001</v>
      </c>
      <c r="E81" s="312">
        <v>333905249.43000019</v>
      </c>
      <c r="F81" s="258">
        <v>13117256.509999998</v>
      </c>
      <c r="G81" s="312">
        <v>27361099.270000003</v>
      </c>
      <c r="H81" s="312">
        <v>1989224.5970999999</v>
      </c>
      <c r="I81" s="258">
        <v>0</v>
      </c>
      <c r="J81" s="312">
        <v>0</v>
      </c>
    </row>
    <row r="82" spans="1:10" x14ac:dyDescent="0.25">
      <c r="A82" s="257" t="s">
        <v>451</v>
      </c>
      <c r="B82" s="311">
        <v>0</v>
      </c>
      <c r="C82" s="312">
        <v>180123255.57999998</v>
      </c>
      <c r="D82" s="258">
        <v>0</v>
      </c>
      <c r="E82" s="312">
        <v>165399535.2899999</v>
      </c>
      <c r="F82" s="258">
        <v>149308281.99999991</v>
      </c>
      <c r="G82" s="312">
        <v>17840405.869999994</v>
      </c>
      <c r="H82" s="312">
        <v>107753024.60259996</v>
      </c>
      <c r="I82" s="258">
        <v>0</v>
      </c>
      <c r="J82" s="312">
        <v>0</v>
      </c>
    </row>
    <row r="83" spans="1:10" x14ac:dyDescent="0.25">
      <c r="A83" s="257" t="s">
        <v>459</v>
      </c>
      <c r="B83" s="311">
        <v>0</v>
      </c>
      <c r="C83" s="318">
        <v>0</v>
      </c>
      <c r="D83" s="258">
        <v>99588543.879999995</v>
      </c>
      <c r="E83" s="312">
        <v>308520415.27999991</v>
      </c>
      <c r="F83" s="258">
        <v>10295973.709999979</v>
      </c>
      <c r="G83" s="312">
        <v>41179517.719999999</v>
      </c>
      <c r="H83" s="312">
        <v>650000</v>
      </c>
      <c r="I83" s="258">
        <v>0</v>
      </c>
      <c r="J83" s="312">
        <v>0</v>
      </c>
    </row>
    <row r="84" spans="1:10" x14ac:dyDescent="0.25">
      <c r="A84" s="256" t="s">
        <v>453</v>
      </c>
      <c r="B84" s="311">
        <v>0</v>
      </c>
      <c r="C84" s="312">
        <v>835519925.3499999</v>
      </c>
      <c r="D84" s="258">
        <v>78418562.980000004</v>
      </c>
      <c r="E84" s="312">
        <v>1526353546.2199998</v>
      </c>
      <c r="F84" s="258">
        <v>201113898.95000064</v>
      </c>
      <c r="G84" s="312">
        <v>360654458.26999998</v>
      </c>
      <c r="H84" s="312">
        <v>138704034.83160004</v>
      </c>
      <c r="I84" s="258">
        <v>986262290.77999067</v>
      </c>
      <c r="J84" s="312">
        <v>0</v>
      </c>
    </row>
    <row r="85" spans="1:10" x14ac:dyDescent="0.25">
      <c r="A85" s="257" t="s">
        <v>461</v>
      </c>
      <c r="B85" s="311">
        <v>0</v>
      </c>
      <c r="C85" s="312">
        <v>0</v>
      </c>
      <c r="D85" s="258">
        <v>0</v>
      </c>
      <c r="E85" s="312">
        <v>0</v>
      </c>
      <c r="F85" s="448">
        <v>0</v>
      </c>
      <c r="G85" s="318">
        <v>0</v>
      </c>
      <c r="H85" s="318">
        <v>0</v>
      </c>
      <c r="I85" s="448">
        <v>986262290.77999067</v>
      </c>
      <c r="J85" s="312">
        <v>0</v>
      </c>
    </row>
    <row r="86" spans="1:10" x14ac:dyDescent="0.25">
      <c r="A86" s="257" t="s">
        <v>456</v>
      </c>
      <c r="B86" s="311">
        <v>0</v>
      </c>
      <c r="C86" s="312">
        <v>234796005.89000002</v>
      </c>
      <c r="D86" s="258">
        <v>2795778.5500000003</v>
      </c>
      <c r="E86" s="312">
        <v>265251818.04999995</v>
      </c>
      <c r="F86" s="258">
        <v>42057506.110000044</v>
      </c>
      <c r="G86" s="312">
        <v>0</v>
      </c>
      <c r="H86" s="312">
        <v>42057506.110000044</v>
      </c>
      <c r="I86" s="258">
        <v>0</v>
      </c>
      <c r="J86" s="312">
        <v>0</v>
      </c>
    </row>
    <row r="87" spans="1:10" x14ac:dyDescent="0.25">
      <c r="A87" s="257" t="s">
        <v>457</v>
      </c>
      <c r="B87" s="311">
        <v>0</v>
      </c>
      <c r="C87" s="312">
        <v>244488114.28000003</v>
      </c>
      <c r="D87" s="258">
        <v>965889.3600000001</v>
      </c>
      <c r="E87" s="312">
        <v>314646867.63999999</v>
      </c>
      <c r="F87" s="258">
        <v>85979673.750000238</v>
      </c>
      <c r="G87" s="312">
        <v>112886230.99000001</v>
      </c>
      <c r="H87" s="312">
        <v>52620015.693699993</v>
      </c>
      <c r="I87" s="258">
        <v>0</v>
      </c>
      <c r="J87" s="312">
        <v>0</v>
      </c>
    </row>
    <row r="88" spans="1:10" x14ac:dyDescent="0.25">
      <c r="A88" s="257" t="s">
        <v>455</v>
      </c>
      <c r="B88" s="311">
        <v>0</v>
      </c>
      <c r="C88" s="312">
        <v>87856068.169999987</v>
      </c>
      <c r="D88" s="258">
        <v>73470389.230000004</v>
      </c>
      <c r="E88" s="312">
        <v>453665160.90999985</v>
      </c>
      <c r="F88" s="258">
        <v>0</v>
      </c>
      <c r="G88" s="312">
        <v>159162598.17999998</v>
      </c>
      <c r="H88" s="312">
        <v>0</v>
      </c>
      <c r="I88" s="258">
        <v>0</v>
      </c>
      <c r="J88" s="312">
        <v>0</v>
      </c>
    </row>
    <row r="89" spans="1:10" x14ac:dyDescent="0.25">
      <c r="A89" s="257" t="s">
        <v>454</v>
      </c>
      <c r="B89" s="311">
        <v>0</v>
      </c>
      <c r="C89" s="312">
        <v>268379737.00999993</v>
      </c>
      <c r="D89" s="258">
        <v>1186505.8400000001</v>
      </c>
      <c r="E89" s="312">
        <v>492789699.62000012</v>
      </c>
      <c r="F89" s="258">
        <v>73076719.090000346</v>
      </c>
      <c r="G89" s="312">
        <v>88605629.100000009</v>
      </c>
      <c r="H89" s="312">
        <v>44026513.027900003</v>
      </c>
      <c r="I89" s="258">
        <v>0</v>
      </c>
      <c r="J89" s="312">
        <v>0</v>
      </c>
    </row>
    <row r="90" spans="1:10" x14ac:dyDescent="0.25">
      <c r="A90" s="256" t="s">
        <v>447</v>
      </c>
      <c r="B90" s="311">
        <v>0</v>
      </c>
      <c r="C90" s="312">
        <v>0</v>
      </c>
      <c r="D90" s="258">
        <v>0</v>
      </c>
      <c r="E90" s="312">
        <v>0</v>
      </c>
      <c r="F90" s="258">
        <v>0</v>
      </c>
      <c r="G90" s="312">
        <v>0</v>
      </c>
      <c r="H90" s="312">
        <v>0</v>
      </c>
      <c r="I90" s="258">
        <v>0</v>
      </c>
      <c r="J90" s="312">
        <v>1485792933.96</v>
      </c>
    </row>
    <row r="91" spans="1:10" x14ac:dyDescent="0.25">
      <c r="A91" s="257" t="s">
        <v>448</v>
      </c>
      <c r="B91" s="311">
        <v>0</v>
      </c>
      <c r="C91" s="312">
        <v>0</v>
      </c>
      <c r="D91" s="258">
        <v>0</v>
      </c>
      <c r="E91" s="312">
        <v>0</v>
      </c>
      <c r="F91" s="258">
        <v>0</v>
      </c>
      <c r="G91" s="312">
        <v>0</v>
      </c>
      <c r="H91" s="312">
        <v>0</v>
      </c>
      <c r="I91" s="258">
        <v>0</v>
      </c>
      <c r="J91" s="312">
        <v>1485792933.96</v>
      </c>
    </row>
    <row r="92" spans="1:10" x14ac:dyDescent="0.25">
      <c r="A92" s="256" t="s">
        <v>462</v>
      </c>
      <c r="B92" s="311">
        <v>864521902.31999981</v>
      </c>
      <c r="C92" s="312">
        <v>0</v>
      </c>
      <c r="D92" s="258">
        <v>0</v>
      </c>
      <c r="E92" s="312">
        <v>0</v>
      </c>
      <c r="F92" s="258">
        <v>0</v>
      </c>
      <c r="G92" s="312">
        <v>0</v>
      </c>
      <c r="H92" s="312">
        <v>0</v>
      </c>
      <c r="I92" s="258">
        <v>0</v>
      </c>
      <c r="J92" s="312">
        <v>427865199.87000287</v>
      </c>
    </row>
    <row r="93" spans="1:10" x14ac:dyDescent="0.25">
      <c r="A93" s="257" t="s">
        <v>463</v>
      </c>
      <c r="B93" s="311">
        <v>864521902.31999981</v>
      </c>
      <c r="C93" s="312">
        <v>0</v>
      </c>
      <c r="D93" s="258">
        <v>0</v>
      </c>
      <c r="E93" s="312">
        <v>0</v>
      </c>
      <c r="F93" s="258">
        <v>0</v>
      </c>
      <c r="G93" s="312">
        <v>0</v>
      </c>
      <c r="H93" s="312">
        <v>0</v>
      </c>
      <c r="I93" s="258">
        <v>0</v>
      </c>
      <c r="J93" s="312">
        <v>427865199.87000287</v>
      </c>
    </row>
    <row r="94" spans="1:10" x14ac:dyDescent="0.25">
      <c r="A94" s="255" t="s">
        <v>464</v>
      </c>
      <c r="B94" s="311">
        <v>3762605333.6533365</v>
      </c>
      <c r="C94" s="312">
        <v>513836243.72999996</v>
      </c>
      <c r="D94" s="258">
        <v>389199921.87999994</v>
      </c>
      <c r="E94" s="312">
        <v>902733242.40000021</v>
      </c>
      <c r="F94" s="258">
        <v>7840527162.0775099</v>
      </c>
      <c r="G94" s="312">
        <v>4231672222.2766662</v>
      </c>
      <c r="H94" s="312">
        <v>6868601348.6542215</v>
      </c>
      <c r="I94" s="258">
        <v>0</v>
      </c>
      <c r="J94" s="312"/>
    </row>
    <row r="95" spans="1:10" x14ac:dyDescent="0.25">
      <c r="A95" s="256" t="s">
        <v>481</v>
      </c>
      <c r="B95" s="311">
        <v>0</v>
      </c>
      <c r="C95" s="312">
        <v>513836243.72999996</v>
      </c>
      <c r="D95" s="258">
        <v>131318603.2900001</v>
      </c>
      <c r="E95" s="312">
        <v>902733242.40000021</v>
      </c>
      <c r="F95" s="258">
        <v>0</v>
      </c>
      <c r="G95" s="312">
        <v>0</v>
      </c>
      <c r="H95" s="312">
        <v>0</v>
      </c>
      <c r="I95" s="258">
        <v>0</v>
      </c>
      <c r="J95" s="312"/>
    </row>
    <row r="96" spans="1:10" x14ac:dyDescent="0.25">
      <c r="A96" s="257" t="s">
        <v>484</v>
      </c>
      <c r="B96" s="311">
        <v>0</v>
      </c>
      <c r="C96" s="312">
        <v>93661367.669999987</v>
      </c>
      <c r="D96" s="258">
        <v>3290891.09</v>
      </c>
      <c r="E96" s="312">
        <v>128681270.21000007</v>
      </c>
      <c r="F96" s="258">
        <v>0</v>
      </c>
      <c r="G96" s="312">
        <v>0</v>
      </c>
      <c r="H96" s="312">
        <v>0</v>
      </c>
      <c r="I96" s="258">
        <v>0</v>
      </c>
      <c r="J96" s="312"/>
    </row>
    <row r="97" spans="1:11" x14ac:dyDescent="0.25">
      <c r="A97" s="257" t="s">
        <v>482</v>
      </c>
      <c r="B97" s="311">
        <v>0</v>
      </c>
      <c r="C97" s="312">
        <v>322431270.45000005</v>
      </c>
      <c r="D97" s="258">
        <v>16180557.30000001</v>
      </c>
      <c r="E97" s="312">
        <v>410459160.78000009</v>
      </c>
      <c r="F97" s="258">
        <v>0</v>
      </c>
      <c r="G97" s="312">
        <v>0</v>
      </c>
      <c r="H97" s="312">
        <v>0</v>
      </c>
      <c r="I97" s="258">
        <v>0</v>
      </c>
      <c r="J97" s="312"/>
    </row>
    <row r="98" spans="1:11" x14ac:dyDescent="0.25">
      <c r="A98" s="257" t="s">
        <v>486</v>
      </c>
      <c r="B98" s="311">
        <v>0</v>
      </c>
      <c r="C98" s="312">
        <v>37142153.909999996</v>
      </c>
      <c r="D98" s="258">
        <v>109756029.64000008</v>
      </c>
      <c r="E98" s="312">
        <v>179395181.75000006</v>
      </c>
      <c r="F98" s="258">
        <v>0</v>
      </c>
      <c r="G98" s="312">
        <v>0</v>
      </c>
      <c r="H98" s="312">
        <v>0</v>
      </c>
      <c r="I98" s="258">
        <v>0</v>
      </c>
      <c r="J98" s="312"/>
    </row>
    <row r="99" spans="1:11" x14ac:dyDescent="0.25">
      <c r="A99" s="257" t="s">
        <v>483</v>
      </c>
      <c r="B99" s="311">
        <v>0</v>
      </c>
      <c r="C99" s="312">
        <v>60601451.700000003</v>
      </c>
      <c r="D99" s="258">
        <v>2091125.26</v>
      </c>
      <c r="E99" s="312">
        <v>184197629.66</v>
      </c>
      <c r="F99" s="258">
        <v>0</v>
      </c>
      <c r="G99" s="312">
        <v>0</v>
      </c>
      <c r="H99" s="312">
        <v>0</v>
      </c>
      <c r="I99" s="258">
        <v>0</v>
      </c>
      <c r="J99" s="312"/>
    </row>
    <row r="100" spans="1:11" x14ac:dyDescent="0.25">
      <c r="A100" s="256" t="s">
        <v>469</v>
      </c>
      <c r="B100" s="311">
        <v>3762605333.6533365</v>
      </c>
      <c r="C100" s="312">
        <v>0</v>
      </c>
      <c r="D100" s="258">
        <v>257881318.58999985</v>
      </c>
      <c r="E100" s="312">
        <v>0</v>
      </c>
      <c r="F100" s="258">
        <v>0</v>
      </c>
      <c r="G100" s="312">
        <v>257881318.58999985</v>
      </c>
      <c r="H100" s="312">
        <v>0</v>
      </c>
      <c r="I100" s="258">
        <v>0</v>
      </c>
      <c r="J100" s="312"/>
    </row>
    <row r="101" spans="1:11" x14ac:dyDescent="0.25">
      <c r="A101" s="257" t="s">
        <v>477</v>
      </c>
      <c r="B101" s="311">
        <v>752384027.11000335</v>
      </c>
      <c r="C101" s="312">
        <v>0</v>
      </c>
      <c r="D101" s="258">
        <v>0</v>
      </c>
      <c r="E101" s="312">
        <v>0</v>
      </c>
      <c r="F101" s="258">
        <v>0</v>
      </c>
      <c r="G101" s="312">
        <v>0</v>
      </c>
      <c r="H101" s="312">
        <v>0</v>
      </c>
      <c r="I101" s="258">
        <v>0</v>
      </c>
      <c r="J101" s="312"/>
    </row>
    <row r="102" spans="1:11" x14ac:dyDescent="0.25">
      <c r="A102" s="257" t="s">
        <v>474</v>
      </c>
      <c r="B102" s="311">
        <v>1546722497.1800001</v>
      </c>
      <c r="C102" s="312">
        <v>0</v>
      </c>
      <c r="D102" s="258">
        <v>0</v>
      </c>
      <c r="E102" s="312">
        <v>0</v>
      </c>
      <c r="F102" s="258">
        <v>0</v>
      </c>
      <c r="G102" s="312">
        <v>0</v>
      </c>
      <c r="H102" s="312">
        <v>0</v>
      </c>
      <c r="I102" s="258">
        <v>0</v>
      </c>
      <c r="J102" s="312"/>
    </row>
    <row r="103" spans="1:11" x14ac:dyDescent="0.25">
      <c r="A103" s="257" t="s">
        <v>470</v>
      </c>
      <c r="B103" s="311">
        <v>1463498809.3633332</v>
      </c>
      <c r="C103" s="312">
        <v>0</v>
      </c>
      <c r="D103" s="258">
        <v>0</v>
      </c>
      <c r="E103" s="312">
        <v>0</v>
      </c>
      <c r="F103" s="258">
        <v>0</v>
      </c>
      <c r="G103" s="312">
        <v>0</v>
      </c>
      <c r="H103" s="312">
        <v>0</v>
      </c>
      <c r="I103" s="258">
        <v>0</v>
      </c>
      <c r="J103" s="312"/>
    </row>
    <row r="104" spans="1:11" x14ac:dyDescent="0.25">
      <c r="A104" s="257" t="s">
        <v>485</v>
      </c>
      <c r="B104" s="311">
        <v>0</v>
      </c>
      <c r="C104" s="312">
        <v>0</v>
      </c>
      <c r="D104" s="448">
        <v>257881318.58999985</v>
      </c>
      <c r="E104" s="312">
        <v>0</v>
      </c>
      <c r="F104" s="258">
        <v>0</v>
      </c>
      <c r="G104" s="312">
        <v>257881318.58999985</v>
      </c>
      <c r="H104" s="312">
        <v>0</v>
      </c>
      <c r="I104" s="258">
        <v>0</v>
      </c>
      <c r="J104" s="312"/>
    </row>
    <row r="105" spans="1:11" x14ac:dyDescent="0.25">
      <c r="A105" s="256" t="s">
        <v>465</v>
      </c>
      <c r="B105" s="311">
        <v>0</v>
      </c>
      <c r="C105" s="312">
        <v>0</v>
      </c>
      <c r="D105" s="258">
        <v>0</v>
      </c>
      <c r="E105" s="312">
        <v>0</v>
      </c>
      <c r="F105" s="258">
        <v>7840527162.0775099</v>
      </c>
      <c r="G105" s="312">
        <v>3973790903.6866665</v>
      </c>
      <c r="H105" s="312">
        <v>6868601348.6542215</v>
      </c>
      <c r="I105" s="258">
        <v>0</v>
      </c>
      <c r="J105" s="312"/>
    </row>
    <row r="106" spans="1:11" x14ac:dyDescent="0.25">
      <c r="A106" s="257" t="s">
        <v>468</v>
      </c>
      <c r="B106" s="311">
        <v>0</v>
      </c>
      <c r="C106" s="312">
        <v>0</v>
      </c>
      <c r="D106" s="258">
        <v>0</v>
      </c>
      <c r="E106" s="312">
        <v>0</v>
      </c>
      <c r="F106" s="258">
        <v>2150262832.7800002</v>
      </c>
      <c r="G106" s="312">
        <v>0</v>
      </c>
      <c r="H106" s="312">
        <v>1570314413.6791031</v>
      </c>
      <c r="I106" s="258">
        <v>0</v>
      </c>
      <c r="J106" s="312"/>
    </row>
    <row r="107" spans="1:11" x14ac:dyDescent="0.25">
      <c r="A107" s="257" t="s">
        <v>466</v>
      </c>
      <c r="B107" s="311">
        <v>0</v>
      </c>
      <c r="C107" s="312">
        <v>0</v>
      </c>
      <c r="D107" s="258">
        <v>0</v>
      </c>
      <c r="E107" s="312">
        <v>0</v>
      </c>
      <c r="F107" s="258">
        <v>2578644919.219902</v>
      </c>
      <c r="G107" s="312">
        <v>0</v>
      </c>
      <c r="H107" s="312">
        <v>1523570988.0783951</v>
      </c>
      <c r="I107" s="258">
        <v>0</v>
      </c>
      <c r="J107" s="312"/>
    </row>
    <row r="108" spans="1:11" x14ac:dyDescent="0.25">
      <c r="A108" s="257" t="s">
        <v>473</v>
      </c>
      <c r="B108" s="311">
        <v>0</v>
      </c>
      <c r="C108" s="312">
        <v>0</v>
      </c>
      <c r="D108" s="258">
        <v>0</v>
      </c>
      <c r="E108" s="312">
        <v>0</v>
      </c>
      <c r="F108" s="258">
        <v>0</v>
      </c>
      <c r="G108" s="312">
        <v>3973790903.6866665</v>
      </c>
      <c r="H108" s="312">
        <v>2209598484.2026157</v>
      </c>
      <c r="I108" s="258">
        <v>0</v>
      </c>
      <c r="J108" s="312"/>
      <c r="K108" s="319" t="s">
        <v>573</v>
      </c>
    </row>
    <row r="109" spans="1:11" x14ac:dyDescent="0.25">
      <c r="A109" s="257" t="s">
        <v>467</v>
      </c>
      <c r="B109" s="311">
        <v>0</v>
      </c>
      <c r="C109" s="312">
        <v>0</v>
      </c>
      <c r="D109" s="258">
        <v>0</v>
      </c>
      <c r="E109" s="312">
        <v>0</v>
      </c>
      <c r="F109" s="258">
        <v>3111619410.0776072</v>
      </c>
      <c r="G109" s="312">
        <v>0</v>
      </c>
      <c r="H109" s="312">
        <v>1565117462.6941082</v>
      </c>
      <c r="I109" s="258">
        <v>0</v>
      </c>
      <c r="J109" s="312"/>
    </row>
    <row r="110" spans="1:11" x14ac:dyDescent="0.25">
      <c r="A110" s="255" t="s">
        <v>489</v>
      </c>
      <c r="B110" s="311">
        <v>0</v>
      </c>
      <c r="C110" s="312">
        <v>819354253.26999974</v>
      </c>
      <c r="D110" s="258">
        <v>1212831504.1000023</v>
      </c>
      <c r="E110" s="312">
        <v>2830987855.48</v>
      </c>
      <c r="F110" s="258">
        <v>25125112147.748104</v>
      </c>
      <c r="G110" s="312">
        <v>2258794635.6799998</v>
      </c>
      <c r="H110" s="312">
        <v>15579989592.549202</v>
      </c>
      <c r="I110" s="258">
        <v>25108963002.738098</v>
      </c>
      <c r="J110" s="312"/>
    </row>
    <row r="111" spans="1:11" x14ac:dyDescent="0.25">
      <c r="A111" s="256" t="s">
        <v>490</v>
      </c>
      <c r="B111" s="311">
        <v>0</v>
      </c>
      <c r="C111" s="312">
        <v>261385281.33999994</v>
      </c>
      <c r="D111" s="258">
        <v>724317853.1900022</v>
      </c>
      <c r="E111" s="312">
        <v>1679454147.71</v>
      </c>
      <c r="F111" s="258">
        <v>2140615845.6834667</v>
      </c>
      <c r="G111" s="312">
        <v>1073573392.3999997</v>
      </c>
      <c r="H111" s="312">
        <v>1078994482.9923999</v>
      </c>
      <c r="I111" s="258">
        <v>0</v>
      </c>
      <c r="J111" s="312"/>
    </row>
    <row r="112" spans="1:11" x14ac:dyDescent="0.25">
      <c r="A112" s="257" t="s">
        <v>499</v>
      </c>
      <c r="B112" s="311">
        <v>0</v>
      </c>
      <c r="C112" s="312">
        <v>29201092.889999997</v>
      </c>
      <c r="D112" s="258">
        <v>11609227.609999999</v>
      </c>
      <c r="E112" s="312">
        <v>402581759.96000004</v>
      </c>
      <c r="F112" s="258">
        <v>130475655.79999988</v>
      </c>
      <c r="G112" s="312">
        <v>5527032.7500000009</v>
      </c>
      <c r="H112" s="312">
        <v>162486690.05530003</v>
      </c>
      <c r="I112" s="258">
        <v>0</v>
      </c>
      <c r="J112" s="312"/>
    </row>
    <row r="113" spans="1:10" x14ac:dyDescent="0.25">
      <c r="A113" s="257" t="s">
        <v>501</v>
      </c>
      <c r="B113" s="311">
        <v>0</v>
      </c>
      <c r="C113" s="312">
        <v>163721471.18999997</v>
      </c>
      <c r="D113" s="258">
        <v>585928794.40000212</v>
      </c>
      <c r="E113" s="312">
        <v>0</v>
      </c>
      <c r="F113" s="258">
        <v>0</v>
      </c>
      <c r="G113" s="312">
        <v>0</v>
      </c>
      <c r="H113" s="312">
        <v>0</v>
      </c>
      <c r="I113" s="258">
        <v>0</v>
      </c>
      <c r="J113" s="312"/>
    </row>
    <row r="114" spans="1:10" x14ac:dyDescent="0.25">
      <c r="A114" s="257" t="s">
        <v>491</v>
      </c>
      <c r="B114" s="311">
        <v>0</v>
      </c>
      <c r="C114" s="312">
        <v>17699566.189999998</v>
      </c>
      <c r="D114" s="258">
        <v>15545544.32</v>
      </c>
      <c r="E114" s="312">
        <v>602618484.24999976</v>
      </c>
      <c r="F114" s="258">
        <v>2010140189.8834667</v>
      </c>
      <c r="G114" s="312">
        <v>10774057.129999999</v>
      </c>
      <c r="H114" s="312">
        <v>916507792.93709993</v>
      </c>
      <c r="I114" s="258">
        <v>0</v>
      </c>
      <c r="J114" s="312"/>
    </row>
    <row r="115" spans="1:10" x14ac:dyDescent="0.25">
      <c r="A115" s="257" t="s">
        <v>502</v>
      </c>
      <c r="B115" s="311">
        <v>0</v>
      </c>
      <c r="C115" s="312">
        <v>50763151.07</v>
      </c>
      <c r="D115" s="258">
        <v>111234286.86</v>
      </c>
      <c r="E115" s="312">
        <v>674253903.50000012</v>
      </c>
      <c r="F115" s="258">
        <v>0</v>
      </c>
      <c r="G115" s="312">
        <v>1057272302.5199997</v>
      </c>
      <c r="H115" s="312">
        <v>0</v>
      </c>
      <c r="I115" s="258">
        <v>0</v>
      </c>
      <c r="J115" s="312"/>
    </row>
    <row r="116" spans="1:10" x14ac:dyDescent="0.25">
      <c r="A116" s="256" t="s">
        <v>495</v>
      </c>
      <c r="B116" s="311">
        <v>0</v>
      </c>
      <c r="C116" s="312">
        <v>424675876.92999995</v>
      </c>
      <c r="D116" s="258">
        <v>283756984.29000038</v>
      </c>
      <c r="E116" s="312">
        <v>735976792.60000014</v>
      </c>
      <c r="F116" s="258">
        <v>0</v>
      </c>
      <c r="G116" s="312">
        <v>1075413982.5</v>
      </c>
      <c r="H116" s="312">
        <v>3795337.0000000005</v>
      </c>
      <c r="I116" s="258">
        <v>0</v>
      </c>
      <c r="J116" s="312"/>
    </row>
    <row r="117" spans="1:10" x14ac:dyDescent="0.25">
      <c r="A117" s="257" t="s">
        <v>496</v>
      </c>
      <c r="B117" s="311">
        <v>0</v>
      </c>
      <c r="C117" s="312">
        <v>403915114.67999995</v>
      </c>
      <c r="D117" s="258">
        <v>88312750.840000063</v>
      </c>
      <c r="E117" s="312">
        <v>139172230.03000006</v>
      </c>
      <c r="F117" s="258">
        <v>0</v>
      </c>
      <c r="G117" s="312">
        <v>634809292.32999992</v>
      </c>
      <c r="H117" s="312">
        <v>0</v>
      </c>
      <c r="I117" s="258">
        <v>0</v>
      </c>
      <c r="J117" s="312"/>
    </row>
    <row r="118" spans="1:10" x14ac:dyDescent="0.25">
      <c r="A118" s="257" t="s">
        <v>519</v>
      </c>
      <c r="B118" s="311">
        <v>0</v>
      </c>
      <c r="C118" s="312">
        <v>12223806.700000001</v>
      </c>
      <c r="D118" s="258">
        <v>189686437.40000027</v>
      </c>
      <c r="E118" s="312">
        <v>381120291.53000009</v>
      </c>
      <c r="F118" s="258">
        <v>0</v>
      </c>
      <c r="G118" s="312">
        <v>440604690.17000002</v>
      </c>
      <c r="H118" s="312">
        <v>3795337.0000000005</v>
      </c>
      <c r="I118" s="258">
        <v>0</v>
      </c>
      <c r="J118" s="312"/>
    </row>
    <row r="119" spans="1:10" x14ac:dyDescent="0.25">
      <c r="A119" s="257" t="s">
        <v>498</v>
      </c>
      <c r="B119" s="311">
        <v>0</v>
      </c>
      <c r="C119" s="318">
        <v>8536955.5500000007</v>
      </c>
      <c r="D119" s="448">
        <v>5757796.0499999989</v>
      </c>
      <c r="E119" s="318">
        <v>215684271.03999999</v>
      </c>
      <c r="F119" s="258">
        <v>0</v>
      </c>
      <c r="G119" s="312">
        <v>0</v>
      </c>
      <c r="H119" s="312">
        <v>0</v>
      </c>
      <c r="I119" s="258">
        <v>0</v>
      </c>
      <c r="J119" s="312"/>
    </row>
    <row r="120" spans="1:10" x14ac:dyDescent="0.25">
      <c r="A120" s="256" t="s">
        <v>503</v>
      </c>
      <c r="B120" s="311">
        <v>0</v>
      </c>
      <c r="C120" s="312">
        <v>133293094.99999997</v>
      </c>
      <c r="D120" s="258">
        <v>204756666.61999992</v>
      </c>
      <c r="E120" s="312">
        <v>415556915.17000002</v>
      </c>
      <c r="F120" s="258">
        <v>889574794.65997851</v>
      </c>
      <c r="G120" s="312">
        <v>109807260.77999999</v>
      </c>
      <c r="H120" s="312">
        <v>577762884.74320006</v>
      </c>
      <c r="I120" s="258">
        <v>0</v>
      </c>
      <c r="J120" s="312"/>
    </row>
    <row r="121" spans="1:10" x14ac:dyDescent="0.25">
      <c r="A121" s="257" t="s">
        <v>504</v>
      </c>
      <c r="B121" s="311">
        <v>0</v>
      </c>
      <c r="C121" s="312">
        <v>119276684.45999998</v>
      </c>
      <c r="D121" s="258">
        <v>178509407.2299999</v>
      </c>
      <c r="E121" s="312">
        <v>165085469.13</v>
      </c>
      <c r="F121" s="258">
        <v>0</v>
      </c>
      <c r="G121" s="312">
        <v>105508457.52999999</v>
      </c>
      <c r="H121" s="312">
        <v>0</v>
      </c>
      <c r="I121" s="258">
        <v>0</v>
      </c>
      <c r="J121" s="312"/>
    </row>
    <row r="122" spans="1:10" x14ac:dyDescent="0.25">
      <c r="A122" s="257" t="s">
        <v>505</v>
      </c>
      <c r="B122" s="311">
        <v>0</v>
      </c>
      <c r="C122" s="312">
        <v>3701884.3000000007</v>
      </c>
      <c r="D122" s="258">
        <v>1641423.5600000008</v>
      </c>
      <c r="E122" s="312">
        <v>70745703.129999995</v>
      </c>
      <c r="F122" s="258">
        <v>889574794.65997851</v>
      </c>
      <c r="G122" s="312">
        <v>614114.75</v>
      </c>
      <c r="H122" s="312">
        <v>577762884.74320006</v>
      </c>
      <c r="I122" s="258">
        <v>0</v>
      </c>
      <c r="J122" s="312"/>
    </row>
    <row r="123" spans="1:10" x14ac:dyDescent="0.25">
      <c r="A123" s="257" t="s">
        <v>520</v>
      </c>
      <c r="B123" s="311">
        <v>0</v>
      </c>
      <c r="C123" s="318">
        <v>10314526.239999991</v>
      </c>
      <c r="D123" s="448">
        <v>24605835.830000002</v>
      </c>
      <c r="E123" s="318">
        <v>179725742.91000003</v>
      </c>
      <c r="F123" s="258">
        <v>0</v>
      </c>
      <c r="G123" s="312">
        <v>3684688.5000000005</v>
      </c>
      <c r="H123" s="312">
        <v>0</v>
      </c>
      <c r="I123" s="258">
        <v>0</v>
      </c>
      <c r="J123" s="312"/>
    </row>
    <row r="124" spans="1:10" x14ac:dyDescent="0.25">
      <c r="A124" s="256" t="s">
        <v>507</v>
      </c>
      <c r="B124" s="311">
        <v>0</v>
      </c>
      <c r="C124" s="312">
        <v>0</v>
      </c>
      <c r="D124" s="258">
        <v>0</v>
      </c>
      <c r="E124" s="312">
        <v>0</v>
      </c>
      <c r="F124" s="258">
        <v>10124639624.576168</v>
      </c>
      <c r="G124" s="312">
        <v>0</v>
      </c>
      <c r="H124" s="312">
        <v>6569767230.6954985</v>
      </c>
      <c r="I124" s="258">
        <v>8507119655.309227</v>
      </c>
      <c r="J124" s="312"/>
    </row>
    <row r="125" spans="1:10" x14ac:dyDescent="0.25">
      <c r="A125" s="257" t="s">
        <v>513</v>
      </c>
      <c r="B125" s="311">
        <v>0</v>
      </c>
      <c r="C125" s="312">
        <v>0</v>
      </c>
      <c r="D125" s="258">
        <v>0</v>
      </c>
      <c r="E125" s="312">
        <v>0</v>
      </c>
      <c r="F125" s="258">
        <v>2450616879.6589165</v>
      </c>
      <c r="G125" s="312">
        <v>0</v>
      </c>
      <c r="H125" s="312">
        <v>1531210585.2029994</v>
      </c>
      <c r="I125" s="258">
        <v>0</v>
      </c>
      <c r="J125" s="312"/>
    </row>
    <row r="126" spans="1:10" x14ac:dyDescent="0.25">
      <c r="A126" s="257" t="s">
        <v>508</v>
      </c>
      <c r="B126" s="311">
        <v>0</v>
      </c>
      <c r="C126" s="312">
        <v>0</v>
      </c>
      <c r="D126" s="258">
        <v>0</v>
      </c>
      <c r="E126" s="312">
        <v>0</v>
      </c>
      <c r="F126" s="258">
        <v>2781184720.7542343</v>
      </c>
      <c r="G126" s="312">
        <v>0</v>
      </c>
      <c r="H126" s="312">
        <v>1962794644.0920985</v>
      </c>
      <c r="I126" s="258">
        <v>2065790674.7799973</v>
      </c>
      <c r="J126" s="312"/>
    </row>
    <row r="127" spans="1:10" x14ac:dyDescent="0.25">
      <c r="A127" s="257" t="s">
        <v>515</v>
      </c>
      <c r="B127" s="311">
        <v>0</v>
      </c>
      <c r="C127" s="312">
        <v>0</v>
      </c>
      <c r="D127" s="258">
        <v>0</v>
      </c>
      <c r="E127" s="312">
        <v>0</v>
      </c>
      <c r="F127" s="258">
        <v>4892838024.1630163</v>
      </c>
      <c r="G127" s="312">
        <v>0</v>
      </c>
      <c r="H127" s="312">
        <v>3075762001.4004006</v>
      </c>
      <c r="I127" s="258">
        <v>6441328980.5292301</v>
      </c>
      <c r="J127" s="312"/>
    </row>
    <row r="128" spans="1:10" x14ac:dyDescent="0.25">
      <c r="A128" s="256" t="s">
        <v>509</v>
      </c>
      <c r="B128" s="311">
        <v>0</v>
      </c>
      <c r="C128" s="312">
        <v>0</v>
      </c>
      <c r="D128" s="258">
        <v>0</v>
      </c>
      <c r="E128" s="312">
        <v>0</v>
      </c>
      <c r="F128" s="258">
        <v>11970281882.828491</v>
      </c>
      <c r="G128" s="312">
        <v>0</v>
      </c>
      <c r="H128" s="312">
        <v>7349669657.1181011</v>
      </c>
      <c r="I128" s="258">
        <v>16601843347.428873</v>
      </c>
      <c r="J128" s="312"/>
    </row>
    <row r="129" spans="1:10" x14ac:dyDescent="0.25">
      <c r="A129" s="257" t="s">
        <v>518</v>
      </c>
      <c r="B129" s="311">
        <v>0</v>
      </c>
      <c r="C129" s="312">
        <v>0</v>
      </c>
      <c r="D129" s="258">
        <v>0</v>
      </c>
      <c r="E129" s="312">
        <v>0</v>
      </c>
      <c r="F129" s="258">
        <v>3381141037.9078832</v>
      </c>
      <c r="G129" s="312">
        <v>0</v>
      </c>
      <c r="H129" s="312">
        <v>1939386529.0318999</v>
      </c>
      <c r="I129" s="258">
        <v>1264255297.0799983</v>
      </c>
      <c r="J129" s="312"/>
    </row>
    <row r="130" spans="1:10" x14ac:dyDescent="0.25">
      <c r="A130" s="257" t="s">
        <v>511</v>
      </c>
      <c r="B130" s="311">
        <v>0</v>
      </c>
      <c r="C130" s="312">
        <v>0</v>
      </c>
      <c r="D130" s="258">
        <v>0</v>
      </c>
      <c r="E130" s="312">
        <v>0</v>
      </c>
      <c r="F130" s="258">
        <v>3148648785.0299025</v>
      </c>
      <c r="G130" s="312">
        <v>0</v>
      </c>
      <c r="H130" s="312">
        <v>2055279410.4544001</v>
      </c>
      <c r="I130" s="258">
        <v>8562904904.0596447</v>
      </c>
      <c r="J130" s="312"/>
    </row>
    <row r="131" spans="1:10" x14ac:dyDescent="0.25">
      <c r="A131" s="257" t="s">
        <v>516</v>
      </c>
      <c r="B131" s="311">
        <v>0</v>
      </c>
      <c r="C131" s="312">
        <v>0</v>
      </c>
      <c r="D131" s="258">
        <v>0</v>
      </c>
      <c r="E131" s="312">
        <v>0</v>
      </c>
      <c r="F131" s="258">
        <v>2850462000.3052983</v>
      </c>
      <c r="G131" s="312">
        <v>0</v>
      </c>
      <c r="H131" s="312">
        <v>1623967736.4703002</v>
      </c>
      <c r="I131" s="258">
        <v>333354165.76000047</v>
      </c>
      <c r="J131" s="312"/>
    </row>
    <row r="132" spans="1:10" x14ac:dyDescent="0.25">
      <c r="A132" s="257" t="s">
        <v>510</v>
      </c>
      <c r="B132" s="311">
        <v>0</v>
      </c>
      <c r="C132" s="312">
        <v>0</v>
      </c>
      <c r="D132" s="258">
        <v>0</v>
      </c>
      <c r="E132" s="312">
        <v>0</v>
      </c>
      <c r="F132" s="258">
        <v>2590030059.5854063</v>
      </c>
      <c r="G132" s="312">
        <v>0</v>
      </c>
      <c r="H132" s="312">
        <v>1731035981.1615009</v>
      </c>
      <c r="I132" s="258">
        <v>6441328980.5292301</v>
      </c>
      <c r="J132" s="312"/>
    </row>
    <row r="133" spans="1:10" x14ac:dyDescent="0.25">
      <c r="A133" s="255" t="s">
        <v>574</v>
      </c>
      <c r="B133" s="311"/>
      <c r="C133" s="312"/>
      <c r="D133" s="258"/>
      <c r="E133" s="312"/>
      <c r="F133" s="258"/>
      <c r="G133" s="312"/>
      <c r="H133" s="312"/>
      <c r="I133" s="258"/>
      <c r="J133" s="312"/>
    </row>
    <row r="134" spans="1:10" x14ac:dyDescent="0.25">
      <c r="A134" s="256" t="s">
        <v>574</v>
      </c>
      <c r="B134" s="311"/>
      <c r="C134" s="312"/>
      <c r="D134" s="258"/>
      <c r="E134" s="312"/>
      <c r="F134" s="258"/>
      <c r="G134" s="312"/>
      <c r="H134" s="312"/>
      <c r="I134" s="258"/>
      <c r="J134" s="312"/>
    </row>
    <row r="135" spans="1:10" ht="15.75" thickBot="1" x14ac:dyDescent="0.3">
      <c r="A135" s="257" t="s">
        <v>574</v>
      </c>
      <c r="B135" s="311"/>
      <c r="C135" s="312"/>
      <c r="D135" s="258"/>
      <c r="E135" s="312"/>
      <c r="F135" s="258"/>
      <c r="G135" s="312"/>
      <c r="H135" s="312"/>
      <c r="I135" s="258"/>
      <c r="J135" s="312"/>
    </row>
    <row r="136" spans="1:10" ht="15.75" thickBot="1" x14ac:dyDescent="0.3">
      <c r="A136" s="255" t="s">
        <v>572</v>
      </c>
      <c r="B136" s="313">
        <v>17482359849.43354</v>
      </c>
      <c r="C136" s="314">
        <v>6088817900.119998</v>
      </c>
      <c r="D136" s="323">
        <v>4609372104.1000023</v>
      </c>
      <c r="E136" s="314">
        <v>11338260264.09</v>
      </c>
      <c r="F136" s="323">
        <v>98397753343.214249</v>
      </c>
      <c r="G136" s="314">
        <v>10869918874.99262</v>
      </c>
      <c r="H136" s="314">
        <v>63037052086.924232</v>
      </c>
      <c r="I136" s="323">
        <v>82108980244.304977</v>
      </c>
      <c r="J136" s="314">
        <v>2143422584.3900027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74C6-64B4-4724-BF99-FB73262829A2}">
  <sheetPr>
    <tabColor rgb="FFFF0000"/>
  </sheetPr>
  <dimension ref="B2:R121"/>
  <sheetViews>
    <sheetView workbookViewId="0">
      <selection activeCell="P36" sqref="P36"/>
    </sheetView>
  </sheetViews>
  <sheetFormatPr defaultRowHeight="15" outlineLevelRow="2" outlineLevelCol="1" x14ac:dyDescent="0.25"/>
  <cols>
    <col min="2" max="2" width="48.28515625" bestFit="1" customWidth="1"/>
    <col min="3" max="3" width="9.28515625" style="265" bestFit="1" customWidth="1"/>
    <col min="4" max="4" width="10.140625" style="265" bestFit="1" customWidth="1"/>
    <col min="5" max="5" width="14.42578125" style="265" bestFit="1" customWidth="1"/>
    <col min="6" max="6" width="13.42578125" style="265" bestFit="1" customWidth="1"/>
    <col min="7" max="7" width="13.42578125" bestFit="1" customWidth="1"/>
    <col min="8" max="8" width="13.42578125" hidden="1" customWidth="1" outlineLevel="1"/>
    <col min="9" max="10" width="12.28515625" hidden="1" customWidth="1" outlineLevel="1"/>
    <col min="11" max="12" width="13.42578125" hidden="1" customWidth="1" outlineLevel="1"/>
    <col min="13" max="13" width="13.42578125" bestFit="1" customWidth="1" collapsed="1"/>
    <col min="14" max="14" width="13.42578125" hidden="1" customWidth="1" outlineLevel="1"/>
    <col min="15" max="15" width="12.28515625" hidden="1" customWidth="1" outlineLevel="1"/>
    <col min="16" max="16" width="8.85546875" collapsed="1"/>
  </cols>
  <sheetData>
    <row r="2" spans="2:18" s="130" customFormat="1" ht="60" x14ac:dyDescent="0.25">
      <c r="B2" s="261" t="s">
        <v>575</v>
      </c>
      <c r="C2" s="261" t="s">
        <v>576</v>
      </c>
      <c r="D2" s="261" t="s">
        <v>577</v>
      </c>
      <c r="E2" s="261" t="s">
        <v>578</v>
      </c>
      <c r="F2" s="261" t="s">
        <v>579</v>
      </c>
      <c r="G2" s="261" t="s">
        <v>580</v>
      </c>
      <c r="H2" s="261" t="s">
        <v>290</v>
      </c>
      <c r="I2" s="261" t="s">
        <v>294</v>
      </c>
      <c r="J2" s="261" t="s">
        <v>295</v>
      </c>
      <c r="K2" s="261" t="s">
        <v>296</v>
      </c>
      <c r="L2" s="261" t="s">
        <v>298</v>
      </c>
      <c r="M2" s="261" t="s">
        <v>299</v>
      </c>
      <c r="N2" s="261" t="s">
        <v>300</v>
      </c>
      <c r="O2" s="261" t="s">
        <v>301</v>
      </c>
    </row>
    <row r="3" spans="2:18" x14ac:dyDescent="0.25">
      <c r="B3" s="259" t="s">
        <v>386</v>
      </c>
      <c r="C3" s="262">
        <f>3+SUM(C4:C8)+1</f>
        <v>9</v>
      </c>
      <c r="D3" s="262">
        <f>C3+SUM(D4:D8)+1</f>
        <v>31</v>
      </c>
      <c r="E3" s="266">
        <f>F3+G3</f>
        <v>30531.489200121774</v>
      </c>
      <c r="F3" s="266">
        <f>H3+I3+J3+K3</f>
        <v>10895.27596530019</v>
      </c>
      <c r="G3" s="339">
        <v>19636.213234821586</v>
      </c>
      <c r="H3" s="339">
        <v>7795.9990057501946</v>
      </c>
      <c r="I3" s="339">
        <v>1421.463026709999</v>
      </c>
      <c r="J3" s="339">
        <v>577.84806899999819</v>
      </c>
      <c r="K3" s="339">
        <v>1099.9658638399994</v>
      </c>
      <c r="L3" s="339">
        <v>2478.7238447799964</v>
      </c>
      <c r="M3" s="339">
        <v>12273.121311639599</v>
      </c>
      <c r="N3" s="339">
        <v>19986.538145539384</v>
      </c>
      <c r="O3" s="339">
        <v>229.76445055999989</v>
      </c>
      <c r="R3" s="345"/>
    </row>
    <row r="4" spans="2:18" hidden="1" outlineLevel="1" x14ac:dyDescent="0.25">
      <c r="B4" s="260" t="s">
        <v>390</v>
      </c>
      <c r="C4" s="216">
        <v>1</v>
      </c>
      <c r="D4" s="216">
        <v>5</v>
      </c>
      <c r="E4" s="267">
        <f t="shared" ref="E4:E35" si="0">F4+G4</f>
        <v>1553.8698499799982</v>
      </c>
      <c r="F4" s="267">
        <f t="shared" ref="F4:F35" si="1">H4+I4+J4+K4</f>
        <v>1553.8698499799982</v>
      </c>
      <c r="G4" s="338">
        <v>0</v>
      </c>
      <c r="H4" s="338">
        <v>0</v>
      </c>
      <c r="I4" s="338">
        <v>578.90279447</v>
      </c>
      <c r="J4" s="338">
        <v>399.9251103599982</v>
      </c>
      <c r="K4" s="338">
        <v>575.04194514999995</v>
      </c>
      <c r="L4" s="338">
        <v>946.13269909000314</v>
      </c>
      <c r="M4" s="338">
        <v>347.87941717230007</v>
      </c>
      <c r="N4" s="338">
        <v>0</v>
      </c>
      <c r="O4" s="338">
        <v>119.69833200999993</v>
      </c>
    </row>
    <row r="5" spans="2:18" hidden="1" outlineLevel="1" x14ac:dyDescent="0.25">
      <c r="B5" s="260" t="s">
        <v>395</v>
      </c>
      <c r="C5" s="216">
        <v>1</v>
      </c>
      <c r="D5" s="216">
        <v>3</v>
      </c>
      <c r="E5" s="267">
        <f t="shared" si="0"/>
        <v>3231.5197725089533</v>
      </c>
      <c r="F5" s="267">
        <f t="shared" si="1"/>
        <v>987.50686609000059</v>
      </c>
      <c r="G5" s="338">
        <v>2244.0129064189528</v>
      </c>
      <c r="H5" s="338">
        <v>0</v>
      </c>
      <c r="I5" s="338">
        <v>533.97052006000104</v>
      </c>
      <c r="J5" s="338">
        <v>7.8141784400000001</v>
      </c>
      <c r="K5" s="338">
        <v>445.72216758999963</v>
      </c>
      <c r="L5" s="338">
        <v>464.16744719999951</v>
      </c>
      <c r="M5" s="338">
        <v>1373.3031558077007</v>
      </c>
      <c r="N5" s="338">
        <v>99.474719699999994</v>
      </c>
      <c r="O5" s="338">
        <v>25.730178769999995</v>
      </c>
    </row>
    <row r="6" spans="2:18" hidden="1" outlineLevel="1" x14ac:dyDescent="0.25">
      <c r="B6" s="260" t="s">
        <v>387</v>
      </c>
      <c r="C6" s="216">
        <v>1</v>
      </c>
      <c r="D6" s="216">
        <v>5</v>
      </c>
      <c r="E6" s="267">
        <f t="shared" si="0"/>
        <v>8566.796816606362</v>
      </c>
      <c r="F6" s="267">
        <f t="shared" si="1"/>
        <v>8270.9273328201925</v>
      </c>
      <c r="G6" s="338">
        <v>295.86948378616916</v>
      </c>
      <c r="H6" s="338">
        <v>7795.9990057501946</v>
      </c>
      <c r="I6" s="338">
        <v>294.47102413999795</v>
      </c>
      <c r="J6" s="338">
        <v>123.02628884999999</v>
      </c>
      <c r="K6" s="338">
        <v>57.431014080000011</v>
      </c>
      <c r="L6" s="338">
        <v>1068.4236984899937</v>
      </c>
      <c r="M6" s="338">
        <v>850.82596194839903</v>
      </c>
      <c r="N6" s="338">
        <v>0</v>
      </c>
      <c r="O6" s="338">
        <v>82.338081789999947</v>
      </c>
    </row>
    <row r="7" spans="2:18" hidden="1" outlineLevel="1" x14ac:dyDescent="0.25">
      <c r="B7" s="260" t="s">
        <v>401</v>
      </c>
      <c r="C7" s="216">
        <v>1</v>
      </c>
      <c r="D7" s="216">
        <v>4</v>
      </c>
      <c r="E7" s="267">
        <f t="shared" si="0"/>
        <v>8359.3342845734132</v>
      </c>
      <c r="F7" s="267">
        <f t="shared" si="1"/>
        <v>0</v>
      </c>
      <c r="G7" s="338">
        <v>8359.3342845734132</v>
      </c>
      <c r="H7" s="338">
        <v>0</v>
      </c>
      <c r="I7" s="338">
        <v>0</v>
      </c>
      <c r="J7" s="338">
        <v>0</v>
      </c>
      <c r="K7" s="338">
        <v>0</v>
      </c>
      <c r="L7" s="338">
        <v>0</v>
      </c>
      <c r="M7" s="338">
        <v>4794.1233075853006</v>
      </c>
      <c r="N7" s="338">
        <v>14309.051815629386</v>
      </c>
      <c r="O7" s="338">
        <v>0</v>
      </c>
    </row>
    <row r="8" spans="2:18" hidden="1" outlineLevel="1" x14ac:dyDescent="0.25">
      <c r="B8" s="260" t="s">
        <v>399</v>
      </c>
      <c r="C8" s="216">
        <v>1</v>
      </c>
      <c r="D8" s="216">
        <v>4</v>
      </c>
      <c r="E8" s="267">
        <f t="shared" si="0"/>
        <v>8819.9684764530521</v>
      </c>
      <c r="F8" s="267">
        <f t="shared" si="1"/>
        <v>82.971916409999992</v>
      </c>
      <c r="G8" s="338">
        <v>8736.9965600430514</v>
      </c>
      <c r="H8" s="338">
        <v>0</v>
      </c>
      <c r="I8" s="338">
        <v>14.118688039999999</v>
      </c>
      <c r="J8" s="338">
        <v>47.082491349999991</v>
      </c>
      <c r="K8" s="338">
        <v>21.770737020000002</v>
      </c>
      <c r="L8" s="338">
        <v>0</v>
      </c>
      <c r="M8" s="338">
        <v>4906.9894691258996</v>
      </c>
      <c r="N8" s="338">
        <v>5578.0116102099983</v>
      </c>
      <c r="O8" s="338">
        <v>1.99785799</v>
      </c>
    </row>
    <row r="9" spans="2:18" collapsed="1" x14ac:dyDescent="0.25">
      <c r="B9" s="259" t="s">
        <v>561</v>
      </c>
      <c r="C9" s="262">
        <f>3+SUM(C10:C14)</f>
        <v>8</v>
      </c>
      <c r="D9" s="262">
        <f>C9+SUM(D10:D14)+1</f>
        <v>27</v>
      </c>
      <c r="E9" s="266">
        <f t="shared" si="0"/>
        <v>32945.039675367836</v>
      </c>
      <c r="F9" s="266">
        <f t="shared" si="1"/>
        <v>5457.2529747800145</v>
      </c>
      <c r="G9" s="339">
        <v>27487.786700587818</v>
      </c>
      <c r="H9" s="339">
        <v>3662.564846030014</v>
      </c>
      <c r="I9" s="339">
        <v>173.16369879999999</v>
      </c>
      <c r="J9" s="339">
        <v>213.51334866999997</v>
      </c>
      <c r="K9" s="339">
        <v>1408.0110812800001</v>
      </c>
      <c r="L9" s="339">
        <v>1234.3652387949999</v>
      </c>
      <c r="M9" s="339">
        <v>15542.800757655601</v>
      </c>
      <c r="N9" s="339">
        <v>18132.457968977826</v>
      </c>
      <c r="O9" s="339">
        <v>0</v>
      </c>
    </row>
    <row r="10" spans="2:18" hidden="1" outlineLevel="1" x14ac:dyDescent="0.25">
      <c r="B10" s="260" t="s">
        <v>323</v>
      </c>
      <c r="C10" s="216">
        <v>1</v>
      </c>
      <c r="D10" s="216">
        <v>2</v>
      </c>
      <c r="E10" s="267">
        <f t="shared" si="0"/>
        <v>870.08585702000005</v>
      </c>
      <c r="F10" s="267">
        <f t="shared" si="1"/>
        <v>870.08585702000005</v>
      </c>
      <c r="G10" s="338">
        <v>0</v>
      </c>
      <c r="H10" s="338">
        <v>75.907049919999992</v>
      </c>
      <c r="I10" s="338">
        <v>107.33266947</v>
      </c>
      <c r="J10" s="338">
        <v>122.43241521999997</v>
      </c>
      <c r="K10" s="338">
        <v>564.4137224100001</v>
      </c>
      <c r="L10" s="338">
        <v>57.874596949999876</v>
      </c>
      <c r="M10" s="338">
        <v>3.2087243721000003</v>
      </c>
      <c r="N10" s="338">
        <v>0</v>
      </c>
      <c r="O10" s="338">
        <v>0</v>
      </c>
    </row>
    <row r="11" spans="2:18" hidden="1" outlineLevel="1" x14ac:dyDescent="0.25">
      <c r="B11" s="260" t="s">
        <v>318</v>
      </c>
      <c r="C11" s="216">
        <v>1</v>
      </c>
      <c r="D11" s="216">
        <v>4</v>
      </c>
      <c r="E11" s="267">
        <f t="shared" si="0"/>
        <v>1538.4790486999977</v>
      </c>
      <c r="F11" s="267">
        <f t="shared" si="1"/>
        <v>1538.4790486999977</v>
      </c>
      <c r="G11" s="338">
        <v>0</v>
      </c>
      <c r="H11" s="338">
        <v>537.96972704999769</v>
      </c>
      <c r="I11" s="338">
        <v>65.831029329999993</v>
      </c>
      <c r="J11" s="338">
        <v>91.080933449999975</v>
      </c>
      <c r="K11" s="338">
        <v>843.59735887000022</v>
      </c>
      <c r="L11" s="338">
        <v>1176.490641845</v>
      </c>
      <c r="M11" s="338">
        <v>0.65</v>
      </c>
      <c r="N11" s="338">
        <v>0</v>
      </c>
      <c r="O11" s="338">
        <v>0</v>
      </c>
    </row>
    <row r="12" spans="2:18" hidden="1" outlineLevel="1" x14ac:dyDescent="0.25">
      <c r="B12" s="260" t="s">
        <v>337</v>
      </c>
      <c r="C12" s="216">
        <v>1</v>
      </c>
      <c r="D12" s="216">
        <v>3</v>
      </c>
      <c r="E12" s="267">
        <f t="shared" si="0"/>
        <v>3048.6880690600165</v>
      </c>
      <c r="F12" s="267">
        <f t="shared" si="1"/>
        <v>3048.6880690600165</v>
      </c>
      <c r="G12" s="338">
        <v>0</v>
      </c>
      <c r="H12" s="338">
        <v>3048.6880690600165</v>
      </c>
      <c r="I12" s="338">
        <v>0</v>
      </c>
      <c r="J12" s="338">
        <v>0</v>
      </c>
      <c r="K12" s="338">
        <v>0</v>
      </c>
      <c r="L12" s="338">
        <v>0</v>
      </c>
      <c r="M12" s="338">
        <v>361.01</v>
      </c>
      <c r="N12" s="338">
        <v>0</v>
      </c>
      <c r="O12" s="338">
        <v>0</v>
      </c>
    </row>
    <row r="13" spans="2:18" hidden="1" outlineLevel="1" x14ac:dyDescent="0.25">
      <c r="B13" s="260" t="s">
        <v>362</v>
      </c>
      <c r="C13" s="216">
        <v>1</v>
      </c>
      <c r="D13" s="216">
        <v>5</v>
      </c>
      <c r="E13" s="267">
        <f t="shared" si="0"/>
        <v>15341.407347053479</v>
      </c>
      <c r="F13" s="267">
        <f t="shared" si="1"/>
        <v>0</v>
      </c>
      <c r="G13" s="338">
        <v>15341.407347053479</v>
      </c>
      <c r="H13" s="338">
        <v>0</v>
      </c>
      <c r="I13" s="338">
        <v>0</v>
      </c>
      <c r="J13" s="338">
        <v>0</v>
      </c>
      <c r="K13" s="338">
        <v>0</v>
      </c>
      <c r="L13" s="338">
        <v>0</v>
      </c>
      <c r="M13" s="338">
        <v>8867.4410380933004</v>
      </c>
      <c r="N13" s="338">
        <v>6817.7504379784077</v>
      </c>
      <c r="O13" s="338">
        <v>0</v>
      </c>
    </row>
    <row r="14" spans="2:18" hidden="1" outlineLevel="1" x14ac:dyDescent="0.25">
      <c r="B14" s="260" t="s">
        <v>364</v>
      </c>
      <c r="C14" s="216">
        <v>1</v>
      </c>
      <c r="D14" s="216">
        <v>4</v>
      </c>
      <c r="E14" s="267">
        <f t="shared" si="0"/>
        <v>12146.379353534339</v>
      </c>
      <c r="F14" s="267">
        <f t="shared" si="1"/>
        <v>0</v>
      </c>
      <c r="G14" s="338">
        <v>12146.379353534339</v>
      </c>
      <c r="H14" s="338">
        <v>0</v>
      </c>
      <c r="I14" s="338">
        <v>0</v>
      </c>
      <c r="J14" s="338">
        <v>0</v>
      </c>
      <c r="K14" s="338">
        <v>0</v>
      </c>
      <c r="L14" s="338">
        <v>0</v>
      </c>
      <c r="M14" s="338">
        <v>6310.4909951902</v>
      </c>
      <c r="N14" s="338">
        <v>11314.707530999416</v>
      </c>
      <c r="O14" s="338">
        <v>0</v>
      </c>
    </row>
    <row r="15" spans="2:18" collapsed="1" x14ac:dyDescent="0.25">
      <c r="B15" s="259" t="s">
        <v>526</v>
      </c>
      <c r="C15" s="262">
        <f>3+SUM(C16:C19)</f>
        <v>7</v>
      </c>
      <c r="D15" s="262">
        <f>C15+SUM(D16:D19)+1</f>
        <v>22</v>
      </c>
      <c r="E15" s="266">
        <f t="shared" si="0"/>
        <v>22134.897029869255</v>
      </c>
      <c r="F15" s="266">
        <f t="shared" si="1"/>
        <v>5095.6606410700006</v>
      </c>
      <c r="G15" s="339">
        <v>17039.236388799254</v>
      </c>
      <c r="H15" s="339">
        <v>1396.6687616800002</v>
      </c>
      <c r="I15" s="339">
        <v>710.29184913999995</v>
      </c>
      <c r="J15" s="339">
        <v>1379.57056158</v>
      </c>
      <c r="K15" s="339">
        <v>1609.1294686700001</v>
      </c>
      <c r="L15" s="339">
        <v>30.151158260957615</v>
      </c>
      <c r="M15" s="339">
        <v>11916.8986853228</v>
      </c>
      <c r="N15" s="339">
        <v>17894.758836269666</v>
      </c>
      <c r="O15" s="339">
        <v>0</v>
      </c>
    </row>
    <row r="16" spans="2:18" hidden="1" outlineLevel="1" x14ac:dyDescent="0.25">
      <c r="B16" s="260" t="s">
        <v>527</v>
      </c>
      <c r="C16" s="216">
        <v>1</v>
      </c>
      <c r="D16" s="216">
        <v>3</v>
      </c>
      <c r="E16" s="267">
        <f t="shared" si="0"/>
        <v>2205.5616479200003</v>
      </c>
      <c r="F16" s="267">
        <f t="shared" si="1"/>
        <v>2205.5616479200003</v>
      </c>
      <c r="G16" s="338">
        <v>0</v>
      </c>
      <c r="H16" s="338">
        <v>390.49090773000012</v>
      </c>
      <c r="I16" s="338">
        <v>31.784312930000041</v>
      </c>
      <c r="J16" s="338">
        <v>807.06392650999999</v>
      </c>
      <c r="K16" s="338">
        <v>976.22250074999999</v>
      </c>
      <c r="L16" s="338">
        <v>0</v>
      </c>
      <c r="M16" s="338">
        <v>1.1193</v>
      </c>
      <c r="N16" s="338">
        <v>0</v>
      </c>
      <c r="O16" s="338">
        <v>0</v>
      </c>
    </row>
    <row r="17" spans="2:15" hidden="1" outlineLevel="1" x14ac:dyDescent="0.25">
      <c r="B17" s="260" t="s">
        <v>529</v>
      </c>
      <c r="C17" s="216">
        <v>1</v>
      </c>
      <c r="D17" s="216">
        <v>4</v>
      </c>
      <c r="E17" s="267">
        <f t="shared" si="0"/>
        <v>2890.0989931500003</v>
      </c>
      <c r="F17" s="267">
        <f t="shared" si="1"/>
        <v>2890.0989931500003</v>
      </c>
      <c r="G17" s="338">
        <v>0</v>
      </c>
      <c r="H17" s="338">
        <v>1006.1778539500002</v>
      </c>
      <c r="I17" s="338">
        <v>678.5075362099999</v>
      </c>
      <c r="J17" s="338">
        <v>572.50663506999979</v>
      </c>
      <c r="K17" s="338">
        <v>632.90696792000006</v>
      </c>
      <c r="L17" s="338">
        <v>0</v>
      </c>
      <c r="M17" s="338">
        <v>533.285680447</v>
      </c>
      <c r="N17" s="338">
        <v>0</v>
      </c>
      <c r="O17" s="338">
        <v>0</v>
      </c>
    </row>
    <row r="18" spans="2:15" hidden="1" outlineLevel="1" x14ac:dyDescent="0.25">
      <c r="B18" s="260" t="s">
        <v>552</v>
      </c>
      <c r="C18" s="216">
        <v>1</v>
      </c>
      <c r="D18" s="216">
        <v>4</v>
      </c>
      <c r="E18" s="267">
        <f t="shared" si="0"/>
        <v>9219.4500760850515</v>
      </c>
      <c r="F18" s="267">
        <f t="shared" si="1"/>
        <v>0</v>
      </c>
      <c r="G18" s="338">
        <v>9219.4500760850515</v>
      </c>
      <c r="H18" s="338">
        <v>0</v>
      </c>
      <c r="I18" s="338">
        <v>0</v>
      </c>
      <c r="J18" s="338">
        <v>0</v>
      </c>
      <c r="K18" s="338">
        <v>0</v>
      </c>
      <c r="L18" s="338">
        <v>27.130505840957614</v>
      </c>
      <c r="M18" s="338">
        <v>5762.5538821981008</v>
      </c>
      <c r="N18" s="338">
        <v>1239.276737919979</v>
      </c>
      <c r="O18" s="338">
        <v>0</v>
      </c>
    </row>
    <row r="19" spans="2:15" hidden="1" outlineLevel="1" x14ac:dyDescent="0.25">
      <c r="B19" s="260" t="s">
        <v>556</v>
      </c>
      <c r="C19" s="216">
        <v>1</v>
      </c>
      <c r="D19" s="216">
        <v>3</v>
      </c>
      <c r="E19" s="267">
        <f t="shared" si="0"/>
        <v>7819.7863127142036</v>
      </c>
      <c r="F19" s="267">
        <f t="shared" si="1"/>
        <v>0</v>
      </c>
      <c r="G19" s="338">
        <v>7819.7863127142036</v>
      </c>
      <c r="H19" s="338">
        <v>0</v>
      </c>
      <c r="I19" s="338">
        <v>0</v>
      </c>
      <c r="J19" s="338">
        <v>0</v>
      </c>
      <c r="K19" s="338">
        <v>0</v>
      </c>
      <c r="L19" s="338">
        <v>3.0206524199999998</v>
      </c>
      <c r="M19" s="338">
        <v>5619.9398226776993</v>
      </c>
      <c r="N19" s="338">
        <v>16655.482098349687</v>
      </c>
      <c r="O19" s="338">
        <v>0</v>
      </c>
    </row>
    <row r="20" spans="2:15" collapsed="1" x14ac:dyDescent="0.25">
      <c r="B20" s="259" t="s">
        <v>489</v>
      </c>
      <c r="C20" s="262">
        <f>3+SUM(C21:C25)</f>
        <v>8</v>
      </c>
      <c r="D20" s="262">
        <f>C20+SUM(D21:D25)+1</f>
        <v>26</v>
      </c>
      <c r="E20" s="266">
        <f t="shared" si="0"/>
        <v>29988.285760598104</v>
      </c>
      <c r="F20" s="266">
        <f t="shared" si="1"/>
        <v>4863.1736128500033</v>
      </c>
      <c r="G20" s="339">
        <v>25125.112147748099</v>
      </c>
      <c r="H20" s="339">
        <v>0</v>
      </c>
      <c r="I20" s="339">
        <v>819.35425326999996</v>
      </c>
      <c r="J20" s="339">
        <v>1212.8315041000023</v>
      </c>
      <c r="K20" s="339">
        <v>2830.9878554800007</v>
      </c>
      <c r="L20" s="339">
        <v>2258.7946356799998</v>
      </c>
      <c r="M20" s="339">
        <v>15579.989592549202</v>
      </c>
      <c r="N20" s="339">
        <v>25108.963002738099</v>
      </c>
      <c r="O20" s="339">
        <v>0</v>
      </c>
    </row>
    <row r="21" spans="2:15" hidden="1" outlineLevel="1" x14ac:dyDescent="0.25">
      <c r="B21" s="260" t="s">
        <v>490</v>
      </c>
      <c r="C21" s="216">
        <v>1</v>
      </c>
      <c r="D21" s="216">
        <v>4</v>
      </c>
      <c r="E21" s="267">
        <f t="shared" si="0"/>
        <v>4805.7731279234686</v>
      </c>
      <c r="F21" s="267">
        <f t="shared" si="1"/>
        <v>2665.1572822400021</v>
      </c>
      <c r="G21" s="338">
        <v>2140.6158456834664</v>
      </c>
      <c r="H21" s="338">
        <v>0</v>
      </c>
      <c r="I21" s="338">
        <v>261.38528133999995</v>
      </c>
      <c r="J21" s="338">
        <v>724.3178531900021</v>
      </c>
      <c r="K21" s="338">
        <v>1679.4541477100004</v>
      </c>
      <c r="L21" s="338">
        <v>1073.5733923999996</v>
      </c>
      <c r="M21" s="338">
        <v>1078.9944829924</v>
      </c>
      <c r="N21" s="338">
        <v>0</v>
      </c>
      <c r="O21" s="338">
        <v>0</v>
      </c>
    </row>
    <row r="22" spans="2:15" hidden="1" outlineLevel="1" x14ac:dyDescent="0.25">
      <c r="B22" s="260" t="s">
        <v>495</v>
      </c>
      <c r="C22" s="216">
        <v>1</v>
      </c>
      <c r="D22" s="216">
        <v>3</v>
      </c>
      <c r="E22" s="267">
        <f t="shared" si="0"/>
        <v>1444.4096538200006</v>
      </c>
      <c r="F22" s="267">
        <f t="shared" si="1"/>
        <v>1444.4096538200006</v>
      </c>
      <c r="G22" s="338">
        <v>0</v>
      </c>
      <c r="H22" s="338">
        <v>0</v>
      </c>
      <c r="I22" s="338">
        <v>424.67587693000002</v>
      </c>
      <c r="J22" s="338">
        <v>283.75698429000033</v>
      </c>
      <c r="K22" s="338">
        <v>735.97679260000029</v>
      </c>
      <c r="L22" s="338">
        <v>1075.4139824999997</v>
      </c>
      <c r="M22" s="338">
        <v>3.7953370000000004</v>
      </c>
      <c r="N22" s="338">
        <v>0</v>
      </c>
      <c r="O22" s="338">
        <v>0</v>
      </c>
    </row>
    <row r="23" spans="2:15" hidden="1" outlineLevel="1" x14ac:dyDescent="0.25">
      <c r="B23" s="260" t="s">
        <v>503</v>
      </c>
      <c r="C23" s="216">
        <v>1</v>
      </c>
      <c r="D23" s="216">
        <v>3</v>
      </c>
      <c r="E23" s="267">
        <f t="shared" si="0"/>
        <v>1643.1814714499783</v>
      </c>
      <c r="F23" s="267">
        <f t="shared" si="1"/>
        <v>753.60667678999994</v>
      </c>
      <c r="G23" s="338">
        <v>889.57479465997847</v>
      </c>
      <c r="H23" s="338">
        <v>0</v>
      </c>
      <c r="I23" s="338">
        <v>133.29309499999997</v>
      </c>
      <c r="J23" s="338">
        <v>204.75666661999992</v>
      </c>
      <c r="K23" s="338">
        <v>415.55691516999997</v>
      </c>
      <c r="L23" s="338">
        <v>109.80726077999999</v>
      </c>
      <c r="M23" s="338">
        <v>577.76288474320006</v>
      </c>
      <c r="N23" s="338">
        <v>0</v>
      </c>
      <c r="O23" s="338">
        <v>0</v>
      </c>
    </row>
    <row r="24" spans="2:15" hidden="1" outlineLevel="1" x14ac:dyDescent="0.25">
      <c r="B24" s="260" t="s">
        <v>507</v>
      </c>
      <c r="C24" s="216">
        <v>1</v>
      </c>
      <c r="D24" s="216">
        <v>3</v>
      </c>
      <c r="E24" s="267">
        <f t="shared" si="0"/>
        <v>10124.639624576168</v>
      </c>
      <c r="F24" s="267">
        <f t="shared" si="1"/>
        <v>0</v>
      </c>
      <c r="G24" s="338">
        <v>10124.639624576168</v>
      </c>
      <c r="H24" s="338">
        <v>0</v>
      </c>
      <c r="I24" s="338">
        <v>0</v>
      </c>
      <c r="J24" s="338">
        <v>0</v>
      </c>
      <c r="K24" s="338">
        <v>0</v>
      </c>
      <c r="L24" s="338">
        <v>0</v>
      </c>
      <c r="M24" s="338">
        <v>6569.7672306954992</v>
      </c>
      <c r="N24" s="338">
        <v>8507.1196553092268</v>
      </c>
      <c r="O24" s="338">
        <v>0</v>
      </c>
    </row>
    <row r="25" spans="2:15" hidden="1" outlineLevel="1" x14ac:dyDescent="0.25">
      <c r="B25" s="260" t="s">
        <v>509</v>
      </c>
      <c r="C25" s="216">
        <v>1</v>
      </c>
      <c r="D25" s="216">
        <v>4</v>
      </c>
      <c r="E25" s="267">
        <f t="shared" si="0"/>
        <v>11970.281882828489</v>
      </c>
      <c r="F25" s="267">
        <f t="shared" si="1"/>
        <v>0</v>
      </c>
      <c r="G25" s="338">
        <v>11970.281882828489</v>
      </c>
      <c r="H25" s="338">
        <v>0</v>
      </c>
      <c r="I25" s="338">
        <v>0</v>
      </c>
      <c r="J25" s="338">
        <v>0</v>
      </c>
      <c r="K25" s="338">
        <v>0</v>
      </c>
      <c r="L25" s="338">
        <v>0</v>
      </c>
      <c r="M25" s="338">
        <v>7349.6696571181028</v>
      </c>
      <c r="N25" s="338">
        <v>16601.843347428872</v>
      </c>
      <c r="O25" s="338">
        <v>0</v>
      </c>
    </row>
    <row r="26" spans="2:15" collapsed="1" x14ac:dyDescent="0.25">
      <c r="B26" s="259" t="s">
        <v>438</v>
      </c>
      <c r="C26" s="262">
        <f>3+SUM(C27:C31)</f>
        <v>8</v>
      </c>
      <c r="D26" s="262">
        <f>C26+SUM(D27:D31)+1</f>
        <v>21</v>
      </c>
      <c r="E26" s="266">
        <f t="shared" si="0"/>
        <v>8907.9498912600011</v>
      </c>
      <c r="F26" s="266">
        <f t="shared" si="1"/>
        <v>7639.072182079999</v>
      </c>
      <c r="G26" s="339">
        <v>1268.8777091800027</v>
      </c>
      <c r="H26" s="339">
        <v>864.52190231999987</v>
      </c>
      <c r="I26" s="339">
        <v>2450.7088284699998</v>
      </c>
      <c r="J26" s="339">
        <v>836.40869887000008</v>
      </c>
      <c r="K26" s="339">
        <v>3487.4327524200003</v>
      </c>
      <c r="L26" s="339">
        <v>636.21177519999992</v>
      </c>
      <c r="M26" s="339">
        <v>855.64039110279998</v>
      </c>
      <c r="N26" s="339">
        <v>986.26229077999062</v>
      </c>
      <c r="O26" s="339">
        <v>1913.6581338300027</v>
      </c>
    </row>
    <row r="27" spans="2:15" hidden="1" outlineLevel="1" x14ac:dyDescent="0.25">
      <c r="B27" s="260" t="s">
        <v>443</v>
      </c>
      <c r="C27" s="216">
        <v>1</v>
      </c>
      <c r="D27" s="216">
        <v>4</v>
      </c>
      <c r="E27" s="267">
        <f t="shared" si="0"/>
        <v>3056.2469241100007</v>
      </c>
      <c r="F27" s="267">
        <f t="shared" si="1"/>
        <v>2302.9212674499995</v>
      </c>
      <c r="G27" s="338">
        <v>753.3256566600013</v>
      </c>
      <c r="H27" s="338">
        <v>0</v>
      </c>
      <c r="I27" s="338">
        <v>901.71375716999989</v>
      </c>
      <c r="J27" s="338">
        <v>522.36151340000004</v>
      </c>
      <c r="K27" s="338">
        <v>878.8459968799998</v>
      </c>
      <c r="L27" s="338">
        <v>18.11060694</v>
      </c>
      <c r="M27" s="338">
        <v>586.51244633019996</v>
      </c>
      <c r="N27" s="338">
        <v>0</v>
      </c>
      <c r="O27" s="338">
        <v>0</v>
      </c>
    </row>
    <row r="28" spans="2:15" hidden="1" outlineLevel="1" x14ac:dyDescent="0.25">
      <c r="B28" s="260" t="s">
        <v>439</v>
      </c>
      <c r="C28" s="216">
        <v>1</v>
      </c>
      <c r="D28" s="216">
        <v>4</v>
      </c>
      <c r="E28" s="267">
        <f t="shared" si="0"/>
        <v>2345.7751313300009</v>
      </c>
      <c r="F28" s="267">
        <f t="shared" si="1"/>
        <v>2031.3369777600001</v>
      </c>
      <c r="G28" s="338">
        <v>314.43815357000079</v>
      </c>
      <c r="H28" s="338">
        <v>0</v>
      </c>
      <c r="I28" s="338">
        <v>713.47514595000007</v>
      </c>
      <c r="J28" s="338">
        <v>235.62862249</v>
      </c>
      <c r="K28" s="338">
        <v>1082.23320932</v>
      </c>
      <c r="L28" s="338">
        <v>257.44670998999993</v>
      </c>
      <c r="M28" s="338">
        <v>130.42390994099995</v>
      </c>
      <c r="N28" s="338">
        <v>0</v>
      </c>
      <c r="O28" s="338">
        <v>0</v>
      </c>
    </row>
    <row r="29" spans="2:15" hidden="1" outlineLevel="1" x14ac:dyDescent="0.25">
      <c r="B29" s="260" t="s">
        <v>453</v>
      </c>
      <c r="C29" s="216">
        <v>1</v>
      </c>
      <c r="D29" s="216">
        <v>4</v>
      </c>
      <c r="E29" s="267">
        <f t="shared" si="0"/>
        <v>2641.4059335000002</v>
      </c>
      <c r="F29" s="267">
        <f t="shared" si="1"/>
        <v>2440.2920345499997</v>
      </c>
      <c r="G29" s="338">
        <v>201.11389895000065</v>
      </c>
      <c r="H29" s="338">
        <v>0</v>
      </c>
      <c r="I29" s="338">
        <v>835.51992534999988</v>
      </c>
      <c r="J29" s="338">
        <v>78.418562980000004</v>
      </c>
      <c r="K29" s="338">
        <v>1526.35354622</v>
      </c>
      <c r="L29" s="338">
        <v>360.65445826999996</v>
      </c>
      <c r="M29" s="338">
        <v>138.70403483160004</v>
      </c>
      <c r="N29" s="338">
        <v>986.26229077999062</v>
      </c>
      <c r="O29" s="338">
        <v>0</v>
      </c>
    </row>
    <row r="30" spans="2:15" hidden="1" outlineLevel="1" x14ac:dyDescent="0.25">
      <c r="B30" s="260" t="s">
        <v>447</v>
      </c>
      <c r="C30" s="216">
        <v>1</v>
      </c>
      <c r="D30" s="216">
        <v>0</v>
      </c>
      <c r="E30" s="267">
        <f t="shared" si="0"/>
        <v>0</v>
      </c>
      <c r="F30" s="267">
        <f t="shared" si="1"/>
        <v>0</v>
      </c>
      <c r="G30" s="338">
        <v>0</v>
      </c>
      <c r="H30" s="338">
        <v>0</v>
      </c>
      <c r="I30" s="338">
        <v>0</v>
      </c>
      <c r="J30" s="338">
        <v>0</v>
      </c>
      <c r="K30" s="338">
        <v>0</v>
      </c>
      <c r="L30" s="338">
        <v>0</v>
      </c>
      <c r="M30" s="338">
        <v>0</v>
      </c>
      <c r="N30" s="338">
        <v>0</v>
      </c>
      <c r="O30" s="338">
        <v>1485.79293396</v>
      </c>
    </row>
    <row r="31" spans="2:15" hidden="1" outlineLevel="1" x14ac:dyDescent="0.25">
      <c r="B31" s="260" t="s">
        <v>462</v>
      </c>
      <c r="C31" s="216">
        <v>1</v>
      </c>
      <c r="D31" s="216">
        <v>0</v>
      </c>
      <c r="E31" s="267">
        <f t="shared" si="0"/>
        <v>864.52190231999987</v>
      </c>
      <c r="F31" s="267">
        <f t="shared" si="1"/>
        <v>864.52190231999987</v>
      </c>
      <c r="G31" s="338">
        <v>0</v>
      </c>
      <c r="H31" s="338">
        <v>864.52190231999987</v>
      </c>
      <c r="I31" s="338">
        <v>0</v>
      </c>
      <c r="J31" s="338">
        <v>0</v>
      </c>
      <c r="K31" s="338">
        <v>0</v>
      </c>
      <c r="L31" s="338">
        <v>0</v>
      </c>
      <c r="M31" s="338">
        <v>0</v>
      </c>
      <c r="N31" s="338">
        <v>0</v>
      </c>
      <c r="O31" s="338">
        <v>427.86519987000287</v>
      </c>
    </row>
    <row r="32" spans="2:15" collapsed="1" x14ac:dyDescent="0.25">
      <c r="B32" s="259" t="s">
        <v>464</v>
      </c>
      <c r="C32" s="262">
        <f>3+SUM(C33:C35)</f>
        <v>6</v>
      </c>
      <c r="D32" s="262">
        <f>C32+SUM(D33:D35)+1</f>
        <v>19</v>
      </c>
      <c r="E32" s="266">
        <f t="shared" si="0"/>
        <v>13408.901903740845</v>
      </c>
      <c r="F32" s="266">
        <f t="shared" si="1"/>
        <v>5568.3747416633369</v>
      </c>
      <c r="G32" s="339">
        <v>7840.5271620775084</v>
      </c>
      <c r="H32" s="339">
        <v>3762.6053336533359</v>
      </c>
      <c r="I32" s="339">
        <v>513.83624372999998</v>
      </c>
      <c r="J32" s="339">
        <v>389.19992187999992</v>
      </c>
      <c r="K32" s="339">
        <v>902.73324240000034</v>
      </c>
      <c r="L32" s="339">
        <v>4231.6722222766666</v>
      </c>
      <c r="M32" s="339">
        <v>6868.6013486542224</v>
      </c>
      <c r="N32" s="339">
        <v>0</v>
      </c>
      <c r="O32" s="339">
        <v>0</v>
      </c>
    </row>
    <row r="33" spans="2:15" hidden="1" outlineLevel="1" x14ac:dyDescent="0.25">
      <c r="B33" s="260" t="s">
        <v>481</v>
      </c>
      <c r="C33" s="216">
        <v>1</v>
      </c>
      <c r="D33" s="216">
        <v>4</v>
      </c>
      <c r="E33" s="267">
        <f t="shared" si="0"/>
        <v>1547.8880894200004</v>
      </c>
      <c r="F33" s="267">
        <f t="shared" si="1"/>
        <v>1547.8880894200004</v>
      </c>
      <c r="G33" s="338">
        <v>0</v>
      </c>
      <c r="H33" s="338">
        <v>0</v>
      </c>
      <c r="I33" s="338">
        <v>513.83624372999998</v>
      </c>
      <c r="J33" s="338">
        <v>131.31860329000008</v>
      </c>
      <c r="K33" s="338">
        <v>902.73324240000034</v>
      </c>
      <c r="L33" s="338">
        <v>0</v>
      </c>
      <c r="M33" s="338">
        <v>0</v>
      </c>
      <c r="N33" s="338">
        <v>0</v>
      </c>
      <c r="O33" s="338">
        <v>0</v>
      </c>
    </row>
    <row r="34" spans="2:15" hidden="1" outlineLevel="1" x14ac:dyDescent="0.25">
      <c r="B34" s="260" t="s">
        <v>469</v>
      </c>
      <c r="C34" s="216">
        <v>1</v>
      </c>
      <c r="D34" s="216">
        <v>4</v>
      </c>
      <c r="E34" s="267">
        <f t="shared" si="0"/>
        <v>4020.4866522433358</v>
      </c>
      <c r="F34" s="267">
        <f t="shared" si="1"/>
        <v>4020.4866522433358</v>
      </c>
      <c r="G34" s="338">
        <v>0</v>
      </c>
      <c r="H34" s="338">
        <v>3762.6053336533359</v>
      </c>
      <c r="I34" s="338">
        <v>0</v>
      </c>
      <c r="J34" s="338">
        <v>257.88131858999986</v>
      </c>
      <c r="K34" s="338">
        <v>0</v>
      </c>
      <c r="L34" s="338">
        <v>257.88131858999986</v>
      </c>
      <c r="M34" s="338">
        <v>0</v>
      </c>
      <c r="N34" s="338">
        <v>0</v>
      </c>
      <c r="O34" s="338">
        <v>0</v>
      </c>
    </row>
    <row r="35" spans="2:15" hidden="1" outlineLevel="1" x14ac:dyDescent="0.25">
      <c r="B35" s="260" t="s">
        <v>465</v>
      </c>
      <c r="C35" s="216">
        <v>1</v>
      </c>
      <c r="D35" s="216">
        <v>4</v>
      </c>
      <c r="E35" s="267">
        <f t="shared" si="0"/>
        <v>7840.5271620775084</v>
      </c>
      <c r="F35" s="267">
        <f t="shared" si="1"/>
        <v>0</v>
      </c>
      <c r="G35" s="338">
        <v>7840.5271620775084</v>
      </c>
      <c r="H35" s="338">
        <v>0</v>
      </c>
      <c r="I35" s="338">
        <v>0</v>
      </c>
      <c r="J35" s="338">
        <v>0</v>
      </c>
      <c r="K35" s="338">
        <v>0</v>
      </c>
      <c r="L35" s="338">
        <v>3973.7909036866663</v>
      </c>
      <c r="M35" s="338">
        <v>6868.6013486542224</v>
      </c>
      <c r="N35" s="338">
        <v>0</v>
      </c>
      <c r="O35" s="338">
        <v>0</v>
      </c>
    </row>
    <row r="36" spans="2:15" collapsed="1" x14ac:dyDescent="0.25">
      <c r="D36" s="460">
        <f>D3+D9+D15+D20+D26+D32</f>
        <v>146</v>
      </c>
      <c r="E36" s="460">
        <f t="shared" ref="E36:O36" si="2">E3+E9+E15+E20+E26+E32</f>
        <v>137916.56346095781</v>
      </c>
      <c r="F36" s="460">
        <f t="shared" si="2"/>
        <v>39518.810117743538</v>
      </c>
      <c r="G36" s="460">
        <f t="shared" si="2"/>
        <v>98397.753343214266</v>
      </c>
      <c r="H36" s="460">
        <f t="shared" si="2"/>
        <v>17482.359849433546</v>
      </c>
      <c r="I36" s="460">
        <f t="shared" si="2"/>
        <v>6088.8179001199987</v>
      </c>
      <c r="J36" s="460">
        <f t="shared" si="2"/>
        <v>4609.3721041000008</v>
      </c>
      <c r="K36" s="460">
        <f t="shared" si="2"/>
        <v>11338.26026409</v>
      </c>
      <c r="L36" s="460">
        <f t="shared" si="2"/>
        <v>10869.918874992622</v>
      </c>
      <c r="M36" s="460">
        <f t="shared" si="2"/>
        <v>63037.052086924225</v>
      </c>
      <c r="N36" s="460">
        <f t="shared" si="2"/>
        <v>82108.980244304985</v>
      </c>
      <c r="O36" s="460">
        <f t="shared" si="2"/>
        <v>2143.4225843900026</v>
      </c>
    </row>
    <row r="38" spans="2:15" s="130" customFormat="1" ht="60" x14ac:dyDescent="0.25">
      <c r="B38" s="261" t="s">
        <v>581</v>
      </c>
      <c r="C38" s="261" t="s">
        <v>576</v>
      </c>
      <c r="D38" s="261" t="s">
        <v>577</v>
      </c>
      <c r="E38" s="261" t="s">
        <v>578</v>
      </c>
      <c r="F38" s="261" t="s">
        <v>579</v>
      </c>
      <c r="G38" s="261" t="s">
        <v>580</v>
      </c>
      <c r="H38" s="261" t="s">
        <v>290</v>
      </c>
      <c r="I38" s="261" t="s">
        <v>294</v>
      </c>
      <c r="J38" s="261" t="s">
        <v>295</v>
      </c>
      <c r="K38" s="261" t="s">
        <v>296</v>
      </c>
      <c r="L38" s="261" t="s">
        <v>298</v>
      </c>
      <c r="M38" s="261" t="s">
        <v>299</v>
      </c>
      <c r="N38" s="261" t="s">
        <v>300</v>
      </c>
      <c r="O38" s="261" t="s">
        <v>301</v>
      </c>
    </row>
    <row r="39" spans="2:15" x14ac:dyDescent="0.25">
      <c r="B39" s="259" t="s">
        <v>386</v>
      </c>
      <c r="C39" s="262">
        <f>3+SUM(C40:C44)+1</f>
        <v>9</v>
      </c>
      <c r="D39" s="262">
        <f>C39+SUM(D40:D44)+1</f>
        <v>31</v>
      </c>
      <c r="E39" s="266">
        <f t="shared" ref="E39:E68" si="3">F39+G39</f>
        <v>30531.489200121774</v>
      </c>
      <c r="F39" s="266">
        <f t="shared" ref="F39:F68" si="4">H39+I39+J39+K39</f>
        <v>10895.27596530019</v>
      </c>
      <c r="G39" s="339">
        <v>19636.213234821586</v>
      </c>
      <c r="H39" s="339">
        <v>7795.9990057501946</v>
      </c>
      <c r="I39" s="339">
        <v>1421.463026709999</v>
      </c>
      <c r="J39" s="339">
        <v>577.84806899999819</v>
      </c>
      <c r="K39" s="339">
        <v>1099.9658638399994</v>
      </c>
      <c r="L39" s="339">
        <v>2478.7238447799964</v>
      </c>
      <c r="M39" s="339">
        <v>12273.121311639599</v>
      </c>
      <c r="N39" s="339">
        <v>19986.538145539384</v>
      </c>
      <c r="O39" s="339">
        <v>229.76445055999989</v>
      </c>
    </row>
    <row r="40" spans="2:15" hidden="1" outlineLevel="1" x14ac:dyDescent="0.25">
      <c r="B40" s="260" t="s">
        <v>390</v>
      </c>
      <c r="C40" s="216">
        <v>1</v>
      </c>
      <c r="D40" s="216">
        <v>5</v>
      </c>
      <c r="E40" s="267">
        <f t="shared" si="3"/>
        <v>1553.8698499799982</v>
      </c>
      <c r="F40" s="267">
        <f t="shared" si="4"/>
        <v>1553.8698499799982</v>
      </c>
      <c r="G40" s="338">
        <v>0</v>
      </c>
      <c r="H40" s="338">
        <v>0</v>
      </c>
      <c r="I40" s="338">
        <v>578.90279447</v>
      </c>
      <c r="J40" s="338">
        <v>399.9251103599982</v>
      </c>
      <c r="K40" s="338">
        <v>575.04194514999995</v>
      </c>
      <c r="L40" s="338">
        <v>946.13269909000314</v>
      </c>
      <c r="M40" s="338">
        <v>347.87941717230007</v>
      </c>
      <c r="N40" s="338">
        <v>0</v>
      </c>
      <c r="O40" s="338">
        <v>119.69833200999993</v>
      </c>
    </row>
    <row r="41" spans="2:15" hidden="1" outlineLevel="1" x14ac:dyDescent="0.25">
      <c r="B41" s="260" t="s">
        <v>395</v>
      </c>
      <c r="C41" s="216">
        <v>1</v>
      </c>
      <c r="D41" s="216">
        <v>3</v>
      </c>
      <c r="E41" s="267">
        <f t="shared" si="3"/>
        <v>3231.5197725089533</v>
      </c>
      <c r="F41" s="267">
        <f t="shared" si="4"/>
        <v>987.50686609000059</v>
      </c>
      <c r="G41" s="338">
        <v>2244.0129064189528</v>
      </c>
      <c r="H41" s="338">
        <v>0</v>
      </c>
      <c r="I41" s="338">
        <v>533.97052006000104</v>
      </c>
      <c r="J41" s="338">
        <v>7.8141784400000001</v>
      </c>
      <c r="K41" s="338">
        <v>445.72216758999963</v>
      </c>
      <c r="L41" s="338">
        <v>464.16744719999951</v>
      </c>
      <c r="M41" s="338">
        <v>1373.3031558077007</v>
      </c>
      <c r="N41" s="338">
        <v>99.474719699999994</v>
      </c>
      <c r="O41" s="338">
        <v>25.730178769999995</v>
      </c>
    </row>
    <row r="42" spans="2:15" hidden="1" outlineLevel="1" x14ac:dyDescent="0.25">
      <c r="B42" s="260" t="s">
        <v>387</v>
      </c>
      <c r="C42" s="216">
        <v>1</v>
      </c>
      <c r="D42" s="216">
        <v>5</v>
      </c>
      <c r="E42" s="267">
        <f t="shared" si="3"/>
        <v>8566.796816606362</v>
      </c>
      <c r="F42" s="267">
        <f t="shared" si="4"/>
        <v>8270.9273328201925</v>
      </c>
      <c r="G42" s="338">
        <v>295.86948378616916</v>
      </c>
      <c r="H42" s="338">
        <v>7795.9990057501946</v>
      </c>
      <c r="I42" s="338">
        <v>294.47102413999795</v>
      </c>
      <c r="J42" s="338">
        <v>123.02628884999999</v>
      </c>
      <c r="K42" s="338">
        <v>57.431014080000011</v>
      </c>
      <c r="L42" s="338">
        <v>1068.4236984899937</v>
      </c>
      <c r="M42" s="338">
        <v>850.82596194839903</v>
      </c>
      <c r="N42" s="338">
        <v>0</v>
      </c>
      <c r="O42" s="338">
        <v>82.338081789999947</v>
      </c>
    </row>
    <row r="43" spans="2:15" hidden="1" outlineLevel="1" x14ac:dyDescent="0.25">
      <c r="B43" s="260" t="s">
        <v>401</v>
      </c>
      <c r="C43" s="216">
        <v>1</v>
      </c>
      <c r="D43" s="216">
        <v>4</v>
      </c>
      <c r="E43" s="267">
        <f t="shared" si="3"/>
        <v>8359.3342845734132</v>
      </c>
      <c r="F43" s="267">
        <f t="shared" si="4"/>
        <v>0</v>
      </c>
      <c r="G43" s="338">
        <v>8359.3342845734132</v>
      </c>
      <c r="H43" s="338">
        <v>0</v>
      </c>
      <c r="I43" s="338">
        <v>0</v>
      </c>
      <c r="J43" s="338">
        <v>0</v>
      </c>
      <c r="K43" s="338">
        <v>0</v>
      </c>
      <c r="L43" s="338">
        <v>0</v>
      </c>
      <c r="M43" s="338">
        <v>4794.1233075853006</v>
      </c>
      <c r="N43" s="338">
        <v>14309.051815629386</v>
      </c>
      <c r="O43" s="338">
        <v>0</v>
      </c>
    </row>
    <row r="44" spans="2:15" hidden="1" outlineLevel="1" x14ac:dyDescent="0.25">
      <c r="B44" s="260" t="s">
        <v>399</v>
      </c>
      <c r="C44" s="216">
        <v>1</v>
      </c>
      <c r="D44" s="216">
        <v>4</v>
      </c>
      <c r="E44" s="267">
        <f t="shared" si="3"/>
        <v>8819.9684764530521</v>
      </c>
      <c r="F44" s="267">
        <f t="shared" si="4"/>
        <v>82.971916409999992</v>
      </c>
      <c r="G44" s="338">
        <v>8736.9965600430514</v>
      </c>
      <c r="H44" s="338">
        <v>0</v>
      </c>
      <c r="I44" s="338">
        <v>14.118688039999999</v>
      </c>
      <c r="J44" s="338">
        <v>47.082491349999991</v>
      </c>
      <c r="K44" s="338">
        <v>21.770737020000002</v>
      </c>
      <c r="L44" s="338">
        <v>0</v>
      </c>
      <c r="M44" s="338">
        <v>4906.9894691258996</v>
      </c>
      <c r="N44" s="338">
        <v>5578.0116102099983</v>
      </c>
      <c r="O44" s="338">
        <v>1.99785799</v>
      </c>
    </row>
    <row r="45" spans="2:15" collapsed="1" x14ac:dyDescent="0.25">
      <c r="B45" s="259" t="s">
        <v>561</v>
      </c>
      <c r="C45" s="262">
        <f>3+SUM(C46:C50)</f>
        <v>8</v>
      </c>
      <c r="D45" s="262">
        <f>C45+SUM(D46:D50)+1</f>
        <v>27</v>
      </c>
      <c r="E45" s="266">
        <f t="shared" si="3"/>
        <v>32945.039675367836</v>
      </c>
      <c r="F45" s="266">
        <f t="shared" si="4"/>
        <v>5457.2529747800145</v>
      </c>
      <c r="G45" s="339">
        <v>27487.786700587818</v>
      </c>
      <c r="H45" s="339">
        <v>3662.564846030014</v>
      </c>
      <c r="I45" s="339">
        <v>173.16369879999999</v>
      </c>
      <c r="J45" s="339">
        <v>213.51334866999997</v>
      </c>
      <c r="K45" s="339">
        <v>1408.0110812800001</v>
      </c>
      <c r="L45" s="339">
        <v>1234.3652387949999</v>
      </c>
      <c r="M45" s="339">
        <v>15542.800757655601</v>
      </c>
      <c r="N45" s="339">
        <v>18132.457968977826</v>
      </c>
      <c r="O45" s="339">
        <v>0</v>
      </c>
    </row>
    <row r="46" spans="2:15" hidden="1" outlineLevel="1" x14ac:dyDescent="0.25">
      <c r="B46" s="260" t="s">
        <v>323</v>
      </c>
      <c r="C46" s="216">
        <v>1</v>
      </c>
      <c r="D46" s="216">
        <v>2</v>
      </c>
      <c r="E46" s="267">
        <f t="shared" si="3"/>
        <v>870.08585702000005</v>
      </c>
      <c r="F46" s="267">
        <f t="shared" si="4"/>
        <v>870.08585702000005</v>
      </c>
      <c r="G46" s="338">
        <v>0</v>
      </c>
      <c r="H46" s="338">
        <v>75.907049919999992</v>
      </c>
      <c r="I46" s="338">
        <v>107.33266947</v>
      </c>
      <c r="J46" s="338">
        <v>122.43241521999997</v>
      </c>
      <c r="K46" s="338">
        <v>564.4137224100001</v>
      </c>
      <c r="L46" s="338">
        <v>57.874596949999876</v>
      </c>
      <c r="M46" s="338">
        <v>3.2087243721000003</v>
      </c>
      <c r="N46" s="338">
        <v>0</v>
      </c>
      <c r="O46" s="338">
        <v>0</v>
      </c>
    </row>
    <row r="47" spans="2:15" hidden="1" outlineLevel="1" x14ac:dyDescent="0.25">
      <c r="B47" s="260" t="s">
        <v>318</v>
      </c>
      <c r="C47" s="216">
        <v>1</v>
      </c>
      <c r="D47" s="216">
        <v>4</v>
      </c>
      <c r="E47" s="267">
        <f t="shared" si="3"/>
        <v>1538.4790486999977</v>
      </c>
      <c r="F47" s="267">
        <f t="shared" si="4"/>
        <v>1538.4790486999977</v>
      </c>
      <c r="G47" s="338">
        <v>0</v>
      </c>
      <c r="H47" s="338">
        <v>537.96972704999769</v>
      </c>
      <c r="I47" s="338">
        <v>65.831029329999993</v>
      </c>
      <c r="J47" s="338">
        <v>91.080933449999975</v>
      </c>
      <c r="K47" s="338">
        <v>843.59735887000022</v>
      </c>
      <c r="L47" s="338">
        <v>1176.490641845</v>
      </c>
      <c r="M47" s="338">
        <v>0.65</v>
      </c>
      <c r="N47" s="338">
        <v>0</v>
      </c>
      <c r="O47" s="338">
        <v>0</v>
      </c>
    </row>
    <row r="48" spans="2:15" hidden="1" outlineLevel="1" x14ac:dyDescent="0.25">
      <c r="B48" s="260" t="s">
        <v>337</v>
      </c>
      <c r="C48" s="216">
        <v>1</v>
      </c>
      <c r="D48" s="216">
        <v>3</v>
      </c>
      <c r="E48" s="267">
        <f t="shared" si="3"/>
        <v>3048.6880690600165</v>
      </c>
      <c r="F48" s="267">
        <f t="shared" si="4"/>
        <v>3048.6880690600165</v>
      </c>
      <c r="G48" s="338">
        <v>0</v>
      </c>
      <c r="H48" s="338">
        <v>3048.6880690600165</v>
      </c>
      <c r="I48" s="338">
        <v>0</v>
      </c>
      <c r="J48" s="338">
        <v>0</v>
      </c>
      <c r="K48" s="338">
        <v>0</v>
      </c>
      <c r="L48" s="338">
        <v>0</v>
      </c>
      <c r="M48" s="338">
        <v>361.01</v>
      </c>
      <c r="N48" s="338">
        <v>0</v>
      </c>
      <c r="O48" s="338">
        <v>0</v>
      </c>
    </row>
    <row r="49" spans="2:15" hidden="1" outlineLevel="1" x14ac:dyDescent="0.25">
      <c r="B49" s="260" t="s">
        <v>362</v>
      </c>
      <c r="C49" s="216">
        <v>1</v>
      </c>
      <c r="D49" s="216">
        <v>5</v>
      </c>
      <c r="E49" s="267">
        <f t="shared" si="3"/>
        <v>15341.407347053479</v>
      </c>
      <c r="F49" s="267">
        <f t="shared" si="4"/>
        <v>0</v>
      </c>
      <c r="G49" s="338">
        <v>15341.407347053479</v>
      </c>
      <c r="H49" s="338">
        <v>0</v>
      </c>
      <c r="I49" s="338">
        <v>0</v>
      </c>
      <c r="J49" s="338">
        <v>0</v>
      </c>
      <c r="K49" s="338">
        <v>0</v>
      </c>
      <c r="L49" s="338">
        <v>0</v>
      </c>
      <c r="M49" s="338">
        <v>8867.4410380933004</v>
      </c>
      <c r="N49" s="338">
        <v>6817.7504379784077</v>
      </c>
      <c r="O49" s="338">
        <v>0</v>
      </c>
    </row>
    <row r="50" spans="2:15" hidden="1" outlineLevel="1" x14ac:dyDescent="0.25">
      <c r="B50" s="260" t="s">
        <v>364</v>
      </c>
      <c r="C50" s="216">
        <v>1</v>
      </c>
      <c r="D50" s="216">
        <v>4</v>
      </c>
      <c r="E50" s="267">
        <f t="shared" si="3"/>
        <v>12146.379353534339</v>
      </c>
      <c r="F50" s="267">
        <f t="shared" si="4"/>
        <v>0</v>
      </c>
      <c r="G50" s="338">
        <v>12146.379353534339</v>
      </c>
      <c r="H50" s="338">
        <v>0</v>
      </c>
      <c r="I50" s="338">
        <v>0</v>
      </c>
      <c r="J50" s="338">
        <v>0</v>
      </c>
      <c r="K50" s="338">
        <v>0</v>
      </c>
      <c r="L50" s="338">
        <v>0</v>
      </c>
      <c r="M50" s="338">
        <v>6310.4909951902</v>
      </c>
      <c r="N50" s="338">
        <v>11314.707530999416</v>
      </c>
      <c r="O50" s="338">
        <v>0</v>
      </c>
    </row>
    <row r="51" spans="2:15" collapsed="1" x14ac:dyDescent="0.25">
      <c r="B51" s="259" t="s">
        <v>526</v>
      </c>
      <c r="C51" s="262">
        <f>3+SUM(C52:C55)</f>
        <v>7</v>
      </c>
      <c r="D51" s="262">
        <f>C51+SUM(D52:D55)+1</f>
        <v>22</v>
      </c>
      <c r="E51" s="266">
        <f t="shared" si="3"/>
        <v>22134.897029869255</v>
      </c>
      <c r="F51" s="266">
        <f t="shared" si="4"/>
        <v>5095.6606410700006</v>
      </c>
      <c r="G51" s="339">
        <v>17039.236388799254</v>
      </c>
      <c r="H51" s="339">
        <v>1396.6687616800002</v>
      </c>
      <c r="I51" s="339">
        <v>710.29184913999995</v>
      </c>
      <c r="J51" s="339">
        <v>1379.57056158</v>
      </c>
      <c r="K51" s="339">
        <v>1609.1294686700001</v>
      </c>
      <c r="L51" s="339">
        <v>30.151158260957615</v>
      </c>
      <c r="M51" s="339">
        <v>11916.8986853228</v>
      </c>
      <c r="N51" s="339">
        <v>17894.758836269666</v>
      </c>
      <c r="O51" s="339">
        <v>0</v>
      </c>
    </row>
    <row r="52" spans="2:15" hidden="1" outlineLevel="1" x14ac:dyDescent="0.25">
      <c r="B52" s="260" t="s">
        <v>527</v>
      </c>
      <c r="C52" s="216">
        <v>1</v>
      </c>
      <c r="D52" s="216">
        <v>3</v>
      </c>
      <c r="E52" s="267">
        <f t="shared" si="3"/>
        <v>2205.5616479200003</v>
      </c>
      <c r="F52" s="267">
        <f t="shared" si="4"/>
        <v>2205.5616479200003</v>
      </c>
      <c r="G52" s="338">
        <v>0</v>
      </c>
      <c r="H52" s="338">
        <v>390.49090773000012</v>
      </c>
      <c r="I52" s="338">
        <v>31.784312930000041</v>
      </c>
      <c r="J52" s="338">
        <v>807.06392650999999</v>
      </c>
      <c r="K52" s="338">
        <v>976.22250074999999</v>
      </c>
      <c r="L52" s="338">
        <v>0</v>
      </c>
      <c r="M52" s="338">
        <v>1.1193</v>
      </c>
      <c r="N52" s="338">
        <v>0</v>
      </c>
      <c r="O52" s="338">
        <v>0</v>
      </c>
    </row>
    <row r="53" spans="2:15" hidden="1" outlineLevel="1" x14ac:dyDescent="0.25">
      <c r="B53" s="260" t="s">
        <v>529</v>
      </c>
      <c r="C53" s="216">
        <v>1</v>
      </c>
      <c r="D53" s="216">
        <v>4</v>
      </c>
      <c r="E53" s="267">
        <f t="shared" si="3"/>
        <v>2890.0989931500003</v>
      </c>
      <c r="F53" s="267">
        <f t="shared" si="4"/>
        <v>2890.0989931500003</v>
      </c>
      <c r="G53" s="338">
        <v>0</v>
      </c>
      <c r="H53" s="338">
        <v>1006.1778539500002</v>
      </c>
      <c r="I53" s="338">
        <v>678.5075362099999</v>
      </c>
      <c r="J53" s="338">
        <v>572.50663506999979</v>
      </c>
      <c r="K53" s="338">
        <v>632.90696792000006</v>
      </c>
      <c r="L53" s="338">
        <v>0</v>
      </c>
      <c r="M53" s="338">
        <v>533.285680447</v>
      </c>
      <c r="N53" s="338">
        <v>0</v>
      </c>
      <c r="O53" s="338">
        <v>0</v>
      </c>
    </row>
    <row r="54" spans="2:15" hidden="1" outlineLevel="1" x14ac:dyDescent="0.25">
      <c r="B54" s="260" t="s">
        <v>552</v>
      </c>
      <c r="C54" s="216">
        <v>1</v>
      </c>
      <c r="D54" s="216">
        <v>4</v>
      </c>
      <c r="E54" s="267">
        <f t="shared" si="3"/>
        <v>9219.4500760850515</v>
      </c>
      <c r="F54" s="267">
        <f t="shared" si="4"/>
        <v>0</v>
      </c>
      <c r="G54" s="338">
        <v>9219.4500760850515</v>
      </c>
      <c r="H54" s="338">
        <v>0</v>
      </c>
      <c r="I54" s="338">
        <v>0</v>
      </c>
      <c r="J54" s="338">
        <v>0</v>
      </c>
      <c r="K54" s="338">
        <v>0</v>
      </c>
      <c r="L54" s="338">
        <v>27.130505840957614</v>
      </c>
      <c r="M54" s="338">
        <v>5762.5538821981008</v>
      </c>
      <c r="N54" s="338">
        <v>1239.276737919979</v>
      </c>
      <c r="O54" s="338">
        <v>0</v>
      </c>
    </row>
    <row r="55" spans="2:15" hidden="1" outlineLevel="1" x14ac:dyDescent="0.25">
      <c r="B55" s="260" t="s">
        <v>556</v>
      </c>
      <c r="C55" s="216">
        <v>1</v>
      </c>
      <c r="D55" s="216">
        <v>3</v>
      </c>
      <c r="E55" s="267">
        <f t="shared" si="3"/>
        <v>7819.7863127142036</v>
      </c>
      <c r="F55" s="267">
        <f t="shared" si="4"/>
        <v>0</v>
      </c>
      <c r="G55" s="338">
        <v>7819.7863127142036</v>
      </c>
      <c r="H55" s="338">
        <v>0</v>
      </c>
      <c r="I55" s="338">
        <v>0</v>
      </c>
      <c r="J55" s="338">
        <v>0</v>
      </c>
      <c r="K55" s="338">
        <v>0</v>
      </c>
      <c r="L55" s="338">
        <v>3.0206524199999998</v>
      </c>
      <c r="M55" s="338">
        <v>5619.9398226776993</v>
      </c>
      <c r="N55" s="338">
        <v>16655.482098349687</v>
      </c>
      <c r="O55" s="338">
        <v>0</v>
      </c>
    </row>
    <row r="56" spans="2:15" collapsed="1" x14ac:dyDescent="0.25">
      <c r="B56" s="259" t="s">
        <v>489</v>
      </c>
      <c r="C56" s="262">
        <f>3+SUM(C57:C61)</f>
        <v>8</v>
      </c>
      <c r="D56" s="262">
        <f>C56+SUM(D57:D61)+1</f>
        <v>26</v>
      </c>
      <c r="E56" s="266">
        <f t="shared" si="3"/>
        <v>29988.285760598104</v>
      </c>
      <c r="F56" s="266">
        <f t="shared" si="4"/>
        <v>4863.1736128500033</v>
      </c>
      <c r="G56" s="339">
        <v>25125.112147748099</v>
      </c>
      <c r="H56" s="339">
        <v>0</v>
      </c>
      <c r="I56" s="339">
        <v>819.35425326999996</v>
      </c>
      <c r="J56" s="339">
        <v>1212.8315041000023</v>
      </c>
      <c r="K56" s="339">
        <v>2830.9878554800007</v>
      </c>
      <c r="L56" s="339">
        <v>2258.7946356799998</v>
      </c>
      <c r="M56" s="339">
        <v>15579.989592549202</v>
      </c>
      <c r="N56" s="339">
        <v>25108.963002738099</v>
      </c>
      <c r="O56" s="339">
        <v>0</v>
      </c>
    </row>
    <row r="57" spans="2:15" hidden="1" outlineLevel="1" x14ac:dyDescent="0.25">
      <c r="B57" s="260" t="s">
        <v>490</v>
      </c>
      <c r="C57" s="216">
        <v>1</v>
      </c>
      <c r="D57" s="216">
        <v>4</v>
      </c>
      <c r="E57" s="267">
        <f t="shared" si="3"/>
        <v>4805.7731279234686</v>
      </c>
      <c r="F57" s="267">
        <f t="shared" si="4"/>
        <v>2665.1572822400021</v>
      </c>
      <c r="G57" s="338">
        <v>2140.6158456834664</v>
      </c>
      <c r="H57" s="338">
        <v>0</v>
      </c>
      <c r="I57" s="338">
        <v>261.38528133999995</v>
      </c>
      <c r="J57" s="338">
        <v>724.3178531900021</v>
      </c>
      <c r="K57" s="338">
        <v>1679.4541477100004</v>
      </c>
      <c r="L57" s="338">
        <v>1073.5733923999996</v>
      </c>
      <c r="M57" s="338">
        <v>1078.9944829924</v>
      </c>
      <c r="N57" s="338">
        <v>0</v>
      </c>
      <c r="O57" s="338">
        <v>0</v>
      </c>
    </row>
    <row r="58" spans="2:15" hidden="1" outlineLevel="1" x14ac:dyDescent="0.25">
      <c r="B58" s="260" t="s">
        <v>495</v>
      </c>
      <c r="C58" s="216">
        <v>1</v>
      </c>
      <c r="D58" s="216">
        <v>3</v>
      </c>
      <c r="E58" s="267">
        <f t="shared" si="3"/>
        <v>1444.4096538200006</v>
      </c>
      <c r="F58" s="267">
        <f t="shared" si="4"/>
        <v>1444.4096538200006</v>
      </c>
      <c r="G58" s="338">
        <v>0</v>
      </c>
      <c r="H58" s="338">
        <v>0</v>
      </c>
      <c r="I58" s="338">
        <v>424.67587693000002</v>
      </c>
      <c r="J58" s="338">
        <v>283.75698429000033</v>
      </c>
      <c r="K58" s="338">
        <v>735.97679260000029</v>
      </c>
      <c r="L58" s="338">
        <v>1075.4139824999997</v>
      </c>
      <c r="M58" s="338">
        <v>3.7953370000000004</v>
      </c>
      <c r="N58" s="338">
        <v>0</v>
      </c>
      <c r="O58" s="338">
        <v>0</v>
      </c>
    </row>
    <row r="59" spans="2:15" hidden="1" outlineLevel="1" x14ac:dyDescent="0.25">
      <c r="B59" s="260" t="s">
        <v>503</v>
      </c>
      <c r="C59" s="216">
        <v>1</v>
      </c>
      <c r="D59" s="216">
        <v>3</v>
      </c>
      <c r="E59" s="267">
        <f t="shared" si="3"/>
        <v>1643.1814714499783</v>
      </c>
      <c r="F59" s="267">
        <f t="shared" si="4"/>
        <v>753.60667678999994</v>
      </c>
      <c r="G59" s="338">
        <v>889.57479465997847</v>
      </c>
      <c r="H59" s="338">
        <v>0</v>
      </c>
      <c r="I59" s="338">
        <v>133.29309499999997</v>
      </c>
      <c r="J59" s="338">
        <v>204.75666661999992</v>
      </c>
      <c r="K59" s="338">
        <v>415.55691516999997</v>
      </c>
      <c r="L59" s="338">
        <v>109.80726077999999</v>
      </c>
      <c r="M59" s="338">
        <v>577.76288474320006</v>
      </c>
      <c r="N59" s="338">
        <v>0</v>
      </c>
      <c r="O59" s="338">
        <v>0</v>
      </c>
    </row>
    <row r="60" spans="2:15" hidden="1" outlineLevel="1" x14ac:dyDescent="0.25">
      <c r="B60" s="260" t="s">
        <v>507</v>
      </c>
      <c r="C60" s="216">
        <v>1</v>
      </c>
      <c r="D60" s="216">
        <v>3</v>
      </c>
      <c r="E60" s="267">
        <f t="shared" si="3"/>
        <v>10124.639624576168</v>
      </c>
      <c r="F60" s="267">
        <f t="shared" si="4"/>
        <v>0</v>
      </c>
      <c r="G60" s="338">
        <v>10124.639624576168</v>
      </c>
      <c r="H60" s="338">
        <v>0</v>
      </c>
      <c r="I60" s="338">
        <v>0</v>
      </c>
      <c r="J60" s="338">
        <v>0</v>
      </c>
      <c r="K60" s="338">
        <v>0</v>
      </c>
      <c r="L60" s="338">
        <v>0</v>
      </c>
      <c r="M60" s="338">
        <v>6569.7672306954992</v>
      </c>
      <c r="N60" s="338">
        <v>8507.1196553092268</v>
      </c>
      <c r="O60" s="338">
        <v>0</v>
      </c>
    </row>
    <row r="61" spans="2:15" hidden="1" outlineLevel="1" x14ac:dyDescent="0.25">
      <c r="B61" s="260" t="s">
        <v>509</v>
      </c>
      <c r="C61" s="216">
        <v>1</v>
      </c>
      <c r="D61" s="216">
        <v>4</v>
      </c>
      <c r="E61" s="267">
        <f t="shared" si="3"/>
        <v>11970.281882828489</v>
      </c>
      <c r="F61" s="267">
        <f t="shared" si="4"/>
        <v>0</v>
      </c>
      <c r="G61" s="338">
        <v>11970.281882828489</v>
      </c>
      <c r="H61" s="338">
        <v>0</v>
      </c>
      <c r="I61" s="338">
        <v>0</v>
      </c>
      <c r="J61" s="338">
        <v>0</v>
      </c>
      <c r="K61" s="338">
        <v>0</v>
      </c>
      <c r="L61" s="338">
        <v>0</v>
      </c>
      <c r="M61" s="338">
        <v>7349.6696571181028</v>
      </c>
      <c r="N61" s="338">
        <v>16601.843347428872</v>
      </c>
      <c r="O61" s="338">
        <v>0</v>
      </c>
    </row>
    <row r="62" spans="2:15" collapsed="1" x14ac:dyDescent="0.25">
      <c r="B62" s="259" t="s">
        <v>582</v>
      </c>
      <c r="C62" s="262">
        <f>3+SUM(C63:C68)</f>
        <v>9</v>
      </c>
      <c r="D62" s="262">
        <f>C62+SUM(D63:D68)+1</f>
        <v>36</v>
      </c>
      <c r="E62" s="266">
        <f t="shared" si="3"/>
        <v>22316.851795000846</v>
      </c>
      <c r="F62" s="266">
        <f t="shared" si="4"/>
        <v>13207.446923743335</v>
      </c>
      <c r="G62" s="266">
        <f>SUM(G63:G68)</f>
        <v>9109.4048712575132</v>
      </c>
      <c r="H62" s="266">
        <f t="shared" ref="H62:M62" si="5">SUM(H63:H68)</f>
        <v>4627.1272359733366</v>
      </c>
      <c r="I62" s="266">
        <f t="shared" si="5"/>
        <v>2964.5450721999996</v>
      </c>
      <c r="J62" s="266">
        <f t="shared" si="5"/>
        <v>1225.60862075</v>
      </c>
      <c r="K62" s="266">
        <f t="shared" si="5"/>
        <v>4390.1659948199995</v>
      </c>
      <c r="L62" s="266">
        <f t="shared" si="5"/>
        <v>4867.8839974766661</v>
      </c>
      <c r="M62" s="266">
        <f t="shared" si="5"/>
        <v>7724.2417397570234</v>
      </c>
      <c r="N62" s="266">
        <f t="shared" ref="N62" si="6">SUM(N63:N68)</f>
        <v>986.26229077999062</v>
      </c>
      <c r="O62" s="266">
        <f t="shared" ref="O62" si="7">SUM(O63:O68)</f>
        <v>1913.658133830003</v>
      </c>
    </row>
    <row r="63" spans="2:15" hidden="1" outlineLevel="2" x14ac:dyDescent="0.25">
      <c r="B63" s="260" t="s">
        <v>583</v>
      </c>
      <c r="C63" s="216">
        <v>1</v>
      </c>
      <c r="D63" s="216">
        <v>5</v>
      </c>
      <c r="E63" s="267">
        <f t="shared" si="3"/>
        <v>1805.7694080100005</v>
      </c>
      <c r="F63" s="267">
        <f t="shared" si="4"/>
        <v>1805.7694080100005</v>
      </c>
      <c r="G63" s="267">
        <f>SUM(G95:G98)+G103</f>
        <v>0</v>
      </c>
      <c r="H63" s="267">
        <f t="shared" ref="H63:M63" si="8">SUM(H95:H98)+H103</f>
        <v>0</v>
      </c>
      <c r="I63" s="267">
        <f t="shared" si="8"/>
        <v>513.83624373000009</v>
      </c>
      <c r="J63" s="267">
        <f t="shared" si="8"/>
        <v>389.19992187999998</v>
      </c>
      <c r="K63" s="267">
        <f t="shared" si="8"/>
        <v>902.73324240000022</v>
      </c>
      <c r="L63" s="267">
        <f t="shared" si="8"/>
        <v>257.88131858999986</v>
      </c>
      <c r="M63" s="267">
        <f t="shared" si="8"/>
        <v>0</v>
      </c>
      <c r="N63" s="267">
        <f t="shared" ref="N63:O63" si="9">SUM(N95:N98)+N103</f>
        <v>0</v>
      </c>
      <c r="O63" s="267">
        <f t="shared" si="9"/>
        <v>0</v>
      </c>
    </row>
    <row r="64" spans="2:15" hidden="1" outlineLevel="2" x14ac:dyDescent="0.25">
      <c r="B64" s="260" t="s">
        <v>584</v>
      </c>
      <c r="C64" s="216">
        <v>1</v>
      </c>
      <c r="D64" s="216">
        <v>5</v>
      </c>
      <c r="E64" s="267">
        <f t="shared" si="3"/>
        <v>4627.1272359733366</v>
      </c>
      <c r="F64" s="267">
        <f t="shared" si="4"/>
        <v>4627.1272359733366</v>
      </c>
      <c r="G64" s="267">
        <f>G90+G92+G100+G101+G102</f>
        <v>0</v>
      </c>
      <c r="H64" s="267">
        <f t="shared" ref="H64:M64" si="10">H90+H92+H100+H101+H102</f>
        <v>4627.1272359733366</v>
      </c>
      <c r="I64" s="267">
        <f t="shared" si="10"/>
        <v>0</v>
      </c>
      <c r="J64" s="267">
        <f t="shared" si="10"/>
        <v>0</v>
      </c>
      <c r="K64" s="267">
        <f t="shared" si="10"/>
        <v>0</v>
      </c>
      <c r="L64" s="267">
        <f t="shared" si="10"/>
        <v>0</v>
      </c>
      <c r="M64" s="267">
        <f t="shared" si="10"/>
        <v>0</v>
      </c>
      <c r="N64" s="267">
        <f t="shared" ref="N64:O64" si="11">N90+N92+N100+N101+N102</f>
        <v>0</v>
      </c>
      <c r="O64" s="267">
        <f t="shared" si="11"/>
        <v>1913.658133830003</v>
      </c>
    </row>
    <row r="65" spans="2:15" hidden="1" outlineLevel="2" x14ac:dyDescent="0.25">
      <c r="B65" s="260" t="s">
        <v>585</v>
      </c>
      <c r="C65" s="216">
        <v>1</v>
      </c>
      <c r="D65" s="216">
        <v>5</v>
      </c>
      <c r="E65" s="267">
        <f t="shared" si="3"/>
        <v>7840.5271620775084</v>
      </c>
      <c r="F65" s="267">
        <f t="shared" si="4"/>
        <v>0</v>
      </c>
      <c r="G65" s="267">
        <f>G84+G105+G106+G107+G108</f>
        <v>7840.5271620775084</v>
      </c>
      <c r="H65" s="267">
        <f t="shared" ref="H65:M65" si="12">H84+H105+H106+H107+H108</f>
        <v>0</v>
      </c>
      <c r="I65" s="267">
        <f t="shared" si="12"/>
        <v>0</v>
      </c>
      <c r="J65" s="267">
        <f t="shared" si="12"/>
        <v>0</v>
      </c>
      <c r="K65" s="267">
        <f t="shared" si="12"/>
        <v>0</v>
      </c>
      <c r="L65" s="267">
        <f t="shared" si="12"/>
        <v>3973.7909036866663</v>
      </c>
      <c r="M65" s="267">
        <f t="shared" si="12"/>
        <v>6868.6013486542233</v>
      </c>
      <c r="N65" s="267">
        <f t="shared" ref="N65:O65" si="13">N84+N105+N106+N107+N108</f>
        <v>986.26229077999062</v>
      </c>
      <c r="O65" s="267">
        <f t="shared" si="13"/>
        <v>0</v>
      </c>
    </row>
    <row r="66" spans="2:15" hidden="1" outlineLevel="2" x14ac:dyDescent="0.25">
      <c r="B66" s="260" t="s">
        <v>443</v>
      </c>
      <c r="C66" s="216">
        <v>1</v>
      </c>
      <c r="D66" s="216">
        <v>4</v>
      </c>
      <c r="E66" s="267">
        <f t="shared" si="3"/>
        <v>3056.2469241100007</v>
      </c>
      <c r="F66" s="267">
        <f t="shared" si="4"/>
        <v>2302.9212674499995</v>
      </c>
      <c r="G66" s="267">
        <f>G74+G75+G76+G77</f>
        <v>753.32565666000141</v>
      </c>
      <c r="H66" s="267">
        <f t="shared" ref="H66:M66" si="14">H74+H75+H76+H77</f>
        <v>0</v>
      </c>
      <c r="I66" s="267">
        <f t="shared" si="14"/>
        <v>901.71375716999978</v>
      </c>
      <c r="J66" s="267">
        <f t="shared" si="14"/>
        <v>522.36151340000015</v>
      </c>
      <c r="K66" s="267">
        <f t="shared" si="14"/>
        <v>878.8459968799998</v>
      </c>
      <c r="L66" s="267">
        <f t="shared" si="14"/>
        <v>18.11060694</v>
      </c>
      <c r="M66" s="267">
        <f t="shared" si="14"/>
        <v>586.51244633019996</v>
      </c>
      <c r="N66" s="267">
        <f t="shared" ref="N66:O66" si="15">N74+N75+N76+N77</f>
        <v>0</v>
      </c>
      <c r="O66" s="267">
        <f t="shared" si="15"/>
        <v>0</v>
      </c>
    </row>
    <row r="67" spans="2:15" hidden="1" outlineLevel="2" x14ac:dyDescent="0.25">
      <c r="B67" s="260" t="s">
        <v>439</v>
      </c>
      <c r="C67" s="216">
        <v>1</v>
      </c>
      <c r="D67" s="216">
        <v>3</v>
      </c>
      <c r="E67" s="267">
        <f t="shared" si="3"/>
        <v>2345.7751313300009</v>
      </c>
      <c r="F67" s="267">
        <f t="shared" si="4"/>
        <v>2031.3369777600001</v>
      </c>
      <c r="G67" s="267">
        <f>G79+G80+G81+G82</f>
        <v>314.43815357000085</v>
      </c>
      <c r="H67" s="267">
        <f t="shared" ref="H67:M67" si="16">H79+H80+H81+H82</f>
        <v>0</v>
      </c>
      <c r="I67" s="267">
        <f t="shared" si="16"/>
        <v>713.47514594999996</v>
      </c>
      <c r="J67" s="267">
        <f t="shared" si="16"/>
        <v>235.62862249</v>
      </c>
      <c r="K67" s="267">
        <f t="shared" si="16"/>
        <v>1082.23320932</v>
      </c>
      <c r="L67" s="267">
        <f t="shared" si="16"/>
        <v>257.44670998999993</v>
      </c>
      <c r="M67" s="267">
        <f t="shared" si="16"/>
        <v>130.42390994099998</v>
      </c>
      <c r="N67" s="267">
        <f t="shared" ref="N67:O67" si="17">N79+N80+N81+N82</f>
        <v>0</v>
      </c>
      <c r="O67" s="267">
        <f t="shared" si="17"/>
        <v>0</v>
      </c>
    </row>
    <row r="68" spans="2:15" hidden="1" outlineLevel="2" x14ac:dyDescent="0.25">
      <c r="B68" s="260" t="s">
        <v>453</v>
      </c>
      <c r="C68" s="216">
        <v>1</v>
      </c>
      <c r="D68" s="216">
        <v>4</v>
      </c>
      <c r="E68" s="267">
        <f t="shared" si="3"/>
        <v>2641.4059335000002</v>
      </c>
      <c r="F68" s="267">
        <f t="shared" si="4"/>
        <v>2440.2920345499997</v>
      </c>
      <c r="G68" s="267">
        <f>G85+G86+G87+G88</f>
        <v>201.11389895000065</v>
      </c>
      <c r="H68" s="267">
        <f t="shared" ref="H68:M68" si="18">H85+H86+H87+H88</f>
        <v>0</v>
      </c>
      <c r="I68" s="267">
        <f t="shared" si="18"/>
        <v>835.51992534999999</v>
      </c>
      <c r="J68" s="267">
        <f t="shared" si="18"/>
        <v>78.418562980000004</v>
      </c>
      <c r="K68" s="267">
        <f t="shared" si="18"/>
        <v>1526.3535462199998</v>
      </c>
      <c r="L68" s="267">
        <f t="shared" si="18"/>
        <v>360.65445826999996</v>
      </c>
      <c r="M68" s="267">
        <f t="shared" si="18"/>
        <v>138.70403483160004</v>
      </c>
      <c r="N68" s="267">
        <f t="shared" ref="N68:O68" si="19">N85+N86+N87+N88</f>
        <v>0</v>
      </c>
      <c r="O68" s="267">
        <f t="shared" si="19"/>
        <v>0</v>
      </c>
    </row>
    <row r="69" spans="2:15" collapsed="1" x14ac:dyDescent="0.25">
      <c r="C69"/>
      <c r="D69" s="265">
        <f>D39+D45+D51+D56+D62</f>
        <v>142</v>
      </c>
      <c r="E69" s="460">
        <f t="shared" ref="E69:O69" si="20">E39+E45+E51+E56+E62</f>
        <v>137916.56346095781</v>
      </c>
      <c r="F69" s="460">
        <f t="shared" si="20"/>
        <v>39518.810117743546</v>
      </c>
      <c r="G69" s="460">
        <f t="shared" si="20"/>
        <v>98397.753343214281</v>
      </c>
      <c r="H69" s="460">
        <f t="shared" si="20"/>
        <v>17482.359849433546</v>
      </c>
      <c r="I69" s="460">
        <f t="shared" si="20"/>
        <v>6088.8179001199987</v>
      </c>
      <c r="J69" s="460">
        <f t="shared" si="20"/>
        <v>4609.3721041000008</v>
      </c>
      <c r="K69" s="460">
        <f t="shared" si="20"/>
        <v>11338.26026409</v>
      </c>
      <c r="L69" s="460">
        <f t="shared" si="20"/>
        <v>10869.91887499262</v>
      </c>
      <c r="M69" s="460">
        <f t="shared" si="20"/>
        <v>63037.052086924225</v>
      </c>
      <c r="N69" s="460">
        <f t="shared" si="20"/>
        <v>82108.980244304985</v>
      </c>
      <c r="O69" s="460">
        <f t="shared" si="20"/>
        <v>2143.4225843900031</v>
      </c>
    </row>
    <row r="70" spans="2:15" x14ac:dyDescent="0.25">
      <c r="C70"/>
      <c r="D70"/>
      <c r="E70"/>
      <c r="F70"/>
    </row>
    <row r="71" spans="2:15" ht="30" hidden="1" outlineLevel="1" x14ac:dyDescent="0.25">
      <c r="B71" s="261" t="s">
        <v>562</v>
      </c>
      <c r="C71" s="216"/>
      <c r="D71" s="216"/>
      <c r="E71" s="267"/>
      <c r="F71" s="267"/>
      <c r="G71" s="261" t="s">
        <v>297</v>
      </c>
      <c r="H71" s="261" t="s">
        <v>290</v>
      </c>
      <c r="I71" s="261" t="s">
        <v>294</v>
      </c>
      <c r="J71" s="261" t="s">
        <v>295</v>
      </c>
      <c r="K71" s="261" t="s">
        <v>296</v>
      </c>
      <c r="L71" s="261" t="s">
        <v>298</v>
      </c>
      <c r="M71" s="261" t="s">
        <v>299</v>
      </c>
      <c r="N71" s="261" t="s">
        <v>300</v>
      </c>
      <c r="O71" s="261" t="s">
        <v>301</v>
      </c>
    </row>
    <row r="72" spans="2:15" hidden="1" outlineLevel="1" x14ac:dyDescent="0.25">
      <c r="B72" s="259" t="s">
        <v>438</v>
      </c>
      <c r="C72" s="216"/>
      <c r="D72" s="216"/>
      <c r="E72" s="267"/>
      <c r="F72" s="267"/>
      <c r="G72" s="339">
        <v>1268.877709180003</v>
      </c>
      <c r="H72" s="339">
        <v>864.52190231999998</v>
      </c>
      <c r="I72" s="339">
        <v>2450.7088284699998</v>
      </c>
      <c r="J72" s="339">
        <v>836.40869886999997</v>
      </c>
      <c r="K72" s="339">
        <v>3487.4327524200003</v>
      </c>
      <c r="L72" s="339">
        <v>636.21177519999992</v>
      </c>
      <c r="M72" s="339">
        <v>855.64039110279987</v>
      </c>
      <c r="N72" s="339">
        <v>986.26229077999062</v>
      </c>
      <c r="O72" s="339">
        <v>1913.658133830003</v>
      </c>
    </row>
    <row r="73" spans="2:15" hidden="1" outlineLevel="1" x14ac:dyDescent="0.25">
      <c r="B73" s="342" t="s">
        <v>443</v>
      </c>
      <c r="C73" s="216"/>
      <c r="D73" s="216"/>
      <c r="E73" s="267"/>
      <c r="F73" s="267"/>
      <c r="G73" s="339">
        <v>753.32565666000141</v>
      </c>
      <c r="H73" s="339">
        <v>0</v>
      </c>
      <c r="I73" s="339">
        <v>901.71375716999989</v>
      </c>
      <c r="J73" s="339">
        <v>522.36151339999992</v>
      </c>
      <c r="K73" s="339">
        <v>878.84599687999992</v>
      </c>
      <c r="L73" s="339">
        <v>18.11060694</v>
      </c>
      <c r="M73" s="339">
        <v>586.51244633019996</v>
      </c>
      <c r="N73" s="339">
        <v>0</v>
      </c>
      <c r="O73" s="339">
        <v>0</v>
      </c>
    </row>
    <row r="74" spans="2:15" hidden="1" outlineLevel="1" x14ac:dyDescent="0.25">
      <c r="B74" s="343" t="s">
        <v>444</v>
      </c>
      <c r="C74" s="216"/>
      <c r="D74" s="216"/>
      <c r="E74" s="267"/>
      <c r="F74" s="267"/>
      <c r="G74" s="338">
        <v>355.10144236000059</v>
      </c>
      <c r="H74" s="338">
        <v>0</v>
      </c>
      <c r="I74" s="338">
        <v>207.60414161000006</v>
      </c>
      <c r="J74" s="338">
        <v>267.59879323000007</v>
      </c>
      <c r="K74" s="338">
        <v>64.431172359999991</v>
      </c>
      <c r="L74" s="338">
        <v>0</v>
      </c>
      <c r="M74" s="338">
        <v>339.73009895759998</v>
      </c>
      <c r="N74" s="338">
        <v>0</v>
      </c>
      <c r="O74" s="338">
        <v>0</v>
      </c>
    </row>
    <row r="75" spans="2:15" hidden="1" outlineLevel="1" x14ac:dyDescent="0.25">
      <c r="B75" s="343" t="s">
        <v>445</v>
      </c>
      <c r="C75" s="216"/>
      <c r="D75" s="216"/>
      <c r="E75" s="267"/>
      <c r="F75" s="267"/>
      <c r="G75" s="338">
        <v>0.51149075000000011</v>
      </c>
      <c r="H75" s="338">
        <v>0</v>
      </c>
      <c r="I75" s="338">
        <v>127.94120957999995</v>
      </c>
      <c r="J75" s="338">
        <v>2.3510966800000004</v>
      </c>
      <c r="K75" s="338">
        <v>303.79783234000001</v>
      </c>
      <c r="L75" s="338">
        <v>18.11060694</v>
      </c>
      <c r="M75" s="338">
        <v>0</v>
      </c>
      <c r="N75" s="338">
        <v>0</v>
      </c>
      <c r="O75" s="338">
        <v>0</v>
      </c>
    </row>
    <row r="76" spans="2:15" hidden="1" outlineLevel="1" x14ac:dyDescent="0.25">
      <c r="B76" s="343" t="s">
        <v>446</v>
      </c>
      <c r="D76" s="460"/>
      <c r="E76" s="460"/>
      <c r="F76" s="460"/>
      <c r="G76" s="338">
        <v>275.8454914199998</v>
      </c>
      <c r="H76" s="338">
        <v>0</v>
      </c>
      <c r="I76" s="338">
        <v>444.49697547999983</v>
      </c>
      <c r="J76" s="338">
        <v>68.75287677999998</v>
      </c>
      <c r="K76" s="338">
        <v>282.67809038000007</v>
      </c>
      <c r="L76" s="338">
        <v>0</v>
      </c>
      <c r="M76" s="338">
        <v>176.29402674129997</v>
      </c>
      <c r="N76" s="338">
        <v>0</v>
      </c>
      <c r="O76" s="338">
        <v>0</v>
      </c>
    </row>
    <row r="77" spans="2:15" hidden="1" outlineLevel="1" x14ac:dyDescent="0.25">
      <c r="B77" s="343" t="s">
        <v>452</v>
      </c>
      <c r="D77" s="460"/>
      <c r="E77" s="460"/>
      <c r="F77" s="460"/>
      <c r="G77" s="338">
        <v>121.8672321300009</v>
      </c>
      <c r="H77" s="338">
        <v>0</v>
      </c>
      <c r="I77" s="338">
        <v>121.67143049999997</v>
      </c>
      <c r="J77" s="338">
        <v>183.65874671</v>
      </c>
      <c r="K77" s="338">
        <v>227.93890179999974</v>
      </c>
      <c r="L77" s="338">
        <v>0</v>
      </c>
      <c r="M77" s="338">
        <v>70.488320631299985</v>
      </c>
      <c r="N77" s="338">
        <v>0</v>
      </c>
      <c r="O77" s="338">
        <v>0</v>
      </c>
    </row>
    <row r="78" spans="2:15" hidden="1" outlineLevel="1" x14ac:dyDescent="0.25">
      <c r="B78" s="342" t="s">
        <v>439</v>
      </c>
      <c r="C78" s="263"/>
      <c r="D78" s="263"/>
      <c r="E78" s="263"/>
      <c r="F78" s="263"/>
      <c r="G78" s="339">
        <v>314.43815357000085</v>
      </c>
      <c r="H78" s="339">
        <v>0</v>
      </c>
      <c r="I78" s="339">
        <v>713.47514595000007</v>
      </c>
      <c r="J78" s="339">
        <v>235.62862249</v>
      </c>
      <c r="K78" s="339">
        <v>1082.2332093200002</v>
      </c>
      <c r="L78" s="339">
        <v>257.44670998999999</v>
      </c>
      <c r="M78" s="339">
        <v>130.42390994099995</v>
      </c>
      <c r="N78" s="339">
        <v>0</v>
      </c>
      <c r="O78" s="339">
        <v>0</v>
      </c>
    </row>
    <row r="79" spans="2:15" hidden="1" outlineLevel="1" x14ac:dyDescent="0.25">
      <c r="B79" s="343" t="s">
        <v>440</v>
      </c>
      <c r="C79" s="264"/>
      <c r="D79" s="264"/>
      <c r="E79" s="264"/>
      <c r="F79" s="264"/>
      <c r="G79" s="338">
        <v>141.71664135000091</v>
      </c>
      <c r="H79" s="338">
        <v>0</v>
      </c>
      <c r="I79" s="338">
        <v>380.33230694000002</v>
      </c>
      <c r="J79" s="338">
        <v>1.06991284</v>
      </c>
      <c r="K79" s="338">
        <v>274.40800932000008</v>
      </c>
      <c r="L79" s="338">
        <v>171.06568712999996</v>
      </c>
      <c r="M79" s="338">
        <v>20.031660741299998</v>
      </c>
      <c r="N79" s="338">
        <v>0</v>
      </c>
      <c r="O79" s="338">
        <v>0</v>
      </c>
    </row>
    <row r="80" spans="2:15" hidden="1" outlineLevel="1" x14ac:dyDescent="0.25">
      <c r="B80" s="343" t="s">
        <v>441</v>
      </c>
      <c r="G80" s="338">
        <v>13.117256509999997</v>
      </c>
      <c r="H80" s="338">
        <v>0</v>
      </c>
      <c r="I80" s="338">
        <v>153.01958342999998</v>
      </c>
      <c r="J80" s="338">
        <v>134.97016577000002</v>
      </c>
      <c r="K80" s="338">
        <v>333.9052494300002</v>
      </c>
      <c r="L80" s="338">
        <v>27.361099270000004</v>
      </c>
      <c r="M80" s="338">
        <v>1.9892245971</v>
      </c>
      <c r="N80" s="338">
        <v>0</v>
      </c>
      <c r="O80" s="338">
        <v>0</v>
      </c>
    </row>
    <row r="81" spans="2:15" hidden="1" outlineLevel="1" x14ac:dyDescent="0.25">
      <c r="B81" s="343" t="s">
        <v>451</v>
      </c>
      <c r="G81" s="338">
        <v>149.30828199999991</v>
      </c>
      <c r="H81" s="338">
        <v>0</v>
      </c>
      <c r="I81" s="338">
        <v>180.12325557999998</v>
      </c>
      <c r="J81" s="338">
        <v>0</v>
      </c>
      <c r="K81" s="338">
        <v>165.3995352899999</v>
      </c>
      <c r="L81" s="338">
        <v>17.840405869999994</v>
      </c>
      <c r="M81" s="338">
        <v>107.75302460259996</v>
      </c>
      <c r="N81" s="338">
        <v>0</v>
      </c>
      <c r="O81" s="338">
        <v>0</v>
      </c>
    </row>
    <row r="82" spans="2:15" hidden="1" outlineLevel="1" x14ac:dyDescent="0.25">
      <c r="B82" s="343" t="s">
        <v>459</v>
      </c>
      <c r="G82" s="338">
        <v>10.295973709999979</v>
      </c>
      <c r="H82" s="338">
        <v>0</v>
      </c>
      <c r="I82" s="344">
        <v>0</v>
      </c>
      <c r="J82" s="338">
        <v>99.588543879999989</v>
      </c>
      <c r="K82" s="338">
        <v>308.52041527999984</v>
      </c>
      <c r="L82" s="338">
        <v>41.17951772</v>
      </c>
      <c r="M82" s="338">
        <v>0.65</v>
      </c>
      <c r="N82" s="338">
        <v>0</v>
      </c>
      <c r="O82" s="338">
        <v>0</v>
      </c>
    </row>
    <row r="83" spans="2:15" hidden="1" outlineLevel="1" x14ac:dyDescent="0.25">
      <c r="B83" s="342" t="s">
        <v>453</v>
      </c>
      <c r="G83" s="339">
        <v>201.11389895000065</v>
      </c>
      <c r="H83" s="339">
        <v>0</v>
      </c>
      <c r="I83" s="339">
        <v>835.51992534999988</v>
      </c>
      <c r="J83" s="339">
        <v>78.418562980000004</v>
      </c>
      <c r="K83" s="339">
        <v>1526.3535462199998</v>
      </c>
      <c r="L83" s="339">
        <v>360.65445826999996</v>
      </c>
      <c r="M83" s="339">
        <v>138.70403483160004</v>
      </c>
      <c r="N83" s="339">
        <v>986.26229077999062</v>
      </c>
      <c r="O83" s="339">
        <v>0</v>
      </c>
    </row>
    <row r="84" spans="2:15" hidden="1" outlineLevel="1" x14ac:dyDescent="0.25">
      <c r="B84" s="343" t="s">
        <v>461</v>
      </c>
      <c r="C84" s="264"/>
      <c r="D84" s="264"/>
      <c r="E84" s="264"/>
      <c r="F84" s="264"/>
      <c r="G84" s="344">
        <v>0</v>
      </c>
      <c r="H84" s="338">
        <v>0</v>
      </c>
      <c r="I84" s="338">
        <v>0</v>
      </c>
      <c r="J84" s="338">
        <v>0</v>
      </c>
      <c r="K84" s="338">
        <v>0</v>
      </c>
      <c r="L84" s="344">
        <v>0</v>
      </c>
      <c r="M84" s="344">
        <v>0</v>
      </c>
      <c r="N84" s="344">
        <v>986.26229077999062</v>
      </c>
      <c r="O84" s="338">
        <v>0</v>
      </c>
    </row>
    <row r="85" spans="2:15" hidden="1" outlineLevel="1" x14ac:dyDescent="0.25">
      <c r="B85" s="343" t="s">
        <v>456</v>
      </c>
      <c r="G85" s="338">
        <v>42.057506110000041</v>
      </c>
      <c r="H85" s="338">
        <v>0</v>
      </c>
      <c r="I85" s="338">
        <v>234.79600589</v>
      </c>
      <c r="J85" s="338">
        <v>2.7957785500000001</v>
      </c>
      <c r="K85" s="338">
        <v>265.25181804999994</v>
      </c>
      <c r="L85" s="338">
        <v>0</v>
      </c>
      <c r="M85" s="338">
        <v>42.057506110000041</v>
      </c>
      <c r="N85" s="338">
        <v>0</v>
      </c>
      <c r="O85" s="338">
        <v>0</v>
      </c>
    </row>
    <row r="86" spans="2:15" hidden="1" outlineLevel="1" x14ac:dyDescent="0.25">
      <c r="B86" s="343" t="s">
        <v>457</v>
      </c>
      <c r="G86" s="338">
        <v>85.979673750000245</v>
      </c>
      <c r="H86" s="338">
        <v>0</v>
      </c>
      <c r="I86" s="338">
        <v>244.48811428000002</v>
      </c>
      <c r="J86" s="338">
        <v>0.96588936000000014</v>
      </c>
      <c r="K86" s="338">
        <v>314.64686763999998</v>
      </c>
      <c r="L86" s="338">
        <v>112.88623099000002</v>
      </c>
      <c r="M86" s="338">
        <v>52.62001569369999</v>
      </c>
      <c r="N86" s="338">
        <v>0</v>
      </c>
      <c r="O86" s="338">
        <v>0</v>
      </c>
    </row>
    <row r="87" spans="2:15" hidden="1" outlineLevel="1" x14ac:dyDescent="0.25">
      <c r="B87" s="343" t="s">
        <v>455</v>
      </c>
      <c r="G87" s="338">
        <v>0</v>
      </c>
      <c r="H87" s="338">
        <v>0</v>
      </c>
      <c r="I87" s="338">
        <v>87.856068169999986</v>
      </c>
      <c r="J87" s="338">
        <v>73.470389230000009</v>
      </c>
      <c r="K87" s="338">
        <v>453.66516090999983</v>
      </c>
      <c r="L87" s="338">
        <v>159.16259817999997</v>
      </c>
      <c r="M87" s="338">
        <v>0</v>
      </c>
      <c r="N87" s="338">
        <v>0</v>
      </c>
      <c r="O87" s="338">
        <v>0</v>
      </c>
    </row>
    <row r="88" spans="2:15" hidden="1" outlineLevel="1" x14ac:dyDescent="0.25">
      <c r="B88" s="343" t="s">
        <v>454</v>
      </c>
      <c r="G88" s="338">
        <v>73.076719090000353</v>
      </c>
      <c r="H88" s="338">
        <v>0</v>
      </c>
      <c r="I88" s="338">
        <v>268.37973700999993</v>
      </c>
      <c r="J88" s="338">
        <v>1.1865058400000001</v>
      </c>
      <c r="K88" s="338">
        <v>492.78969962000014</v>
      </c>
      <c r="L88" s="338">
        <v>88.605629100000016</v>
      </c>
      <c r="M88" s="338">
        <v>44.026513027900002</v>
      </c>
      <c r="N88" s="338">
        <v>0</v>
      </c>
      <c r="O88" s="338">
        <v>0</v>
      </c>
    </row>
    <row r="89" spans="2:15" hidden="1" outlineLevel="1" x14ac:dyDescent="0.25">
      <c r="B89" s="342" t="s">
        <v>447</v>
      </c>
      <c r="C89" s="264"/>
      <c r="D89" s="264"/>
      <c r="E89" s="264"/>
      <c r="F89" s="264"/>
      <c r="G89" s="339">
        <v>0</v>
      </c>
      <c r="H89" s="339">
        <v>0</v>
      </c>
      <c r="I89" s="339">
        <v>0</v>
      </c>
      <c r="J89" s="339">
        <v>0</v>
      </c>
      <c r="K89" s="339">
        <v>0</v>
      </c>
      <c r="L89" s="339">
        <v>0</v>
      </c>
      <c r="M89" s="339">
        <v>0</v>
      </c>
      <c r="N89" s="339">
        <v>0</v>
      </c>
      <c r="O89" s="339">
        <v>1485.79293396</v>
      </c>
    </row>
    <row r="90" spans="2:15" hidden="1" outlineLevel="1" x14ac:dyDescent="0.25">
      <c r="B90" s="343" t="s">
        <v>448</v>
      </c>
      <c r="G90" s="338">
        <v>0</v>
      </c>
      <c r="H90" s="338">
        <v>0</v>
      </c>
      <c r="I90" s="338">
        <v>0</v>
      </c>
      <c r="J90" s="338">
        <v>0</v>
      </c>
      <c r="K90" s="338">
        <v>0</v>
      </c>
      <c r="L90" s="338">
        <v>0</v>
      </c>
      <c r="M90" s="338">
        <v>0</v>
      </c>
      <c r="N90" s="338">
        <v>0</v>
      </c>
      <c r="O90" s="338">
        <v>1485.79293396</v>
      </c>
    </row>
    <row r="91" spans="2:15" hidden="1" outlineLevel="1" x14ac:dyDescent="0.25">
      <c r="B91" s="342" t="s">
        <v>462</v>
      </c>
      <c r="G91" s="339">
        <v>0</v>
      </c>
      <c r="H91" s="339">
        <v>864.52190231999998</v>
      </c>
      <c r="I91" s="339">
        <v>0</v>
      </c>
      <c r="J91" s="339">
        <v>0</v>
      </c>
      <c r="K91" s="339">
        <v>0</v>
      </c>
      <c r="L91" s="339">
        <v>0</v>
      </c>
      <c r="M91" s="339">
        <v>0</v>
      </c>
      <c r="N91" s="339">
        <v>0</v>
      </c>
      <c r="O91" s="339">
        <v>427.86519987000293</v>
      </c>
    </row>
    <row r="92" spans="2:15" hidden="1" outlineLevel="1" x14ac:dyDescent="0.25">
      <c r="B92" s="343" t="s">
        <v>463</v>
      </c>
      <c r="G92" s="338">
        <v>0</v>
      </c>
      <c r="H92" s="338">
        <v>864.52190231999998</v>
      </c>
      <c r="I92" s="338">
        <v>0</v>
      </c>
      <c r="J92" s="338">
        <v>0</v>
      </c>
      <c r="K92" s="338">
        <v>0</v>
      </c>
      <c r="L92" s="338">
        <v>0</v>
      </c>
      <c r="M92" s="338">
        <v>0</v>
      </c>
      <c r="N92" s="338">
        <v>0</v>
      </c>
      <c r="O92" s="338">
        <v>427.86519987000293</v>
      </c>
    </row>
    <row r="93" spans="2:15" hidden="1" outlineLevel="1" x14ac:dyDescent="0.25">
      <c r="B93" s="259" t="s">
        <v>464</v>
      </c>
      <c r="G93" s="339">
        <v>7840.5271620775093</v>
      </c>
      <c r="H93" s="339">
        <v>3762.6053336533364</v>
      </c>
      <c r="I93" s="339">
        <v>513.83624372999998</v>
      </c>
      <c r="J93" s="339">
        <v>389.19992187999992</v>
      </c>
      <c r="K93" s="339">
        <v>902.73324240000022</v>
      </c>
      <c r="L93" s="339">
        <v>4231.6722222766666</v>
      </c>
      <c r="M93" s="339">
        <v>6868.6013486542224</v>
      </c>
      <c r="N93" s="339">
        <v>0</v>
      </c>
      <c r="O93" s="339">
        <v>0</v>
      </c>
    </row>
    <row r="94" spans="2:15" hidden="1" outlineLevel="1" x14ac:dyDescent="0.25">
      <c r="B94" s="342" t="s">
        <v>481</v>
      </c>
      <c r="G94" s="339">
        <v>0</v>
      </c>
      <c r="H94" s="339">
        <v>0</v>
      </c>
      <c r="I94" s="339">
        <v>513.83624372999998</v>
      </c>
      <c r="J94" s="339">
        <v>131.31860329000008</v>
      </c>
      <c r="K94" s="339">
        <v>902.73324240000022</v>
      </c>
      <c r="L94" s="339">
        <v>0</v>
      </c>
      <c r="M94" s="339">
        <v>0</v>
      </c>
      <c r="N94" s="339">
        <v>0</v>
      </c>
      <c r="O94" s="339">
        <v>0</v>
      </c>
    </row>
    <row r="95" spans="2:15" hidden="1" outlineLevel="1" x14ac:dyDescent="0.25">
      <c r="B95" s="343" t="s">
        <v>484</v>
      </c>
      <c r="C95" s="264"/>
      <c r="D95" s="264"/>
      <c r="E95" s="264"/>
      <c r="F95" s="264"/>
      <c r="G95" s="338">
        <v>0</v>
      </c>
      <c r="H95" s="338">
        <v>0</v>
      </c>
      <c r="I95" s="338">
        <v>93.66136766999999</v>
      </c>
      <c r="J95" s="338">
        <v>3.2908910899999997</v>
      </c>
      <c r="K95" s="338">
        <v>128.68127021000006</v>
      </c>
      <c r="L95" s="338">
        <v>0</v>
      </c>
      <c r="M95" s="338">
        <v>0</v>
      </c>
      <c r="N95" s="338">
        <v>0</v>
      </c>
      <c r="O95" s="338">
        <v>0</v>
      </c>
    </row>
    <row r="96" spans="2:15" hidden="1" outlineLevel="1" x14ac:dyDescent="0.25">
      <c r="B96" s="343" t="s">
        <v>482</v>
      </c>
      <c r="G96" s="338">
        <v>0</v>
      </c>
      <c r="H96" s="338">
        <v>0</v>
      </c>
      <c r="I96" s="338">
        <v>322.43127045000006</v>
      </c>
      <c r="J96" s="338">
        <v>16.180557300000011</v>
      </c>
      <c r="K96" s="338">
        <v>410.4591607800001</v>
      </c>
      <c r="L96" s="338">
        <v>0</v>
      </c>
      <c r="M96" s="338">
        <v>0</v>
      </c>
      <c r="N96" s="338">
        <v>0</v>
      </c>
      <c r="O96" s="338">
        <v>0</v>
      </c>
    </row>
    <row r="97" spans="2:15" hidden="1" outlineLevel="1" x14ac:dyDescent="0.25">
      <c r="B97" s="343" t="s">
        <v>486</v>
      </c>
      <c r="C97" s="264"/>
      <c r="D97" s="264"/>
      <c r="E97" s="264"/>
      <c r="F97" s="264"/>
      <c r="G97" s="338">
        <v>0</v>
      </c>
      <c r="H97" s="338">
        <v>0</v>
      </c>
      <c r="I97" s="338">
        <v>37.142153909999998</v>
      </c>
      <c r="J97" s="338">
        <v>109.75602964000008</v>
      </c>
      <c r="K97" s="338">
        <v>179.39518175000006</v>
      </c>
      <c r="L97" s="338">
        <v>0</v>
      </c>
      <c r="M97" s="338">
        <v>0</v>
      </c>
      <c r="N97" s="338">
        <v>0</v>
      </c>
      <c r="O97" s="338">
        <v>0</v>
      </c>
    </row>
    <row r="98" spans="2:15" hidden="1" outlineLevel="1" x14ac:dyDescent="0.25">
      <c r="B98" s="343" t="s">
        <v>483</v>
      </c>
      <c r="G98" s="338">
        <v>0</v>
      </c>
      <c r="H98" s="338">
        <v>0</v>
      </c>
      <c r="I98" s="338">
        <v>60.601451700000005</v>
      </c>
      <c r="J98" s="338">
        <v>2.0911252600000001</v>
      </c>
      <c r="K98" s="338">
        <v>184.19762965999996</v>
      </c>
      <c r="L98" s="338">
        <v>0</v>
      </c>
      <c r="M98" s="338">
        <v>0</v>
      </c>
      <c r="N98" s="338">
        <v>0</v>
      </c>
      <c r="O98" s="338">
        <v>0</v>
      </c>
    </row>
    <row r="99" spans="2:15" hidden="1" outlineLevel="1" x14ac:dyDescent="0.25">
      <c r="B99" s="342" t="s">
        <v>469</v>
      </c>
      <c r="C99" s="263"/>
      <c r="D99" s="263"/>
      <c r="E99" s="263"/>
      <c r="F99" s="263"/>
      <c r="G99" s="339">
        <v>0</v>
      </c>
      <c r="H99" s="339">
        <v>3762.6053336533364</v>
      </c>
      <c r="I99" s="339">
        <v>0</v>
      </c>
      <c r="J99" s="339">
        <v>257.88131858999986</v>
      </c>
      <c r="K99" s="339">
        <v>0</v>
      </c>
      <c r="L99" s="339">
        <v>257.88131858999986</v>
      </c>
      <c r="M99" s="339">
        <v>0</v>
      </c>
      <c r="N99" s="339">
        <v>0</v>
      </c>
      <c r="O99" s="339">
        <v>0</v>
      </c>
    </row>
    <row r="100" spans="2:15" hidden="1" outlineLevel="1" x14ac:dyDescent="0.25">
      <c r="B100" s="343" t="s">
        <v>477</v>
      </c>
      <c r="C100" s="264"/>
      <c r="D100" s="264"/>
      <c r="E100" s="264"/>
      <c r="F100" s="264"/>
      <c r="G100" s="338">
        <v>0</v>
      </c>
      <c r="H100" s="338">
        <v>752.38402711000322</v>
      </c>
      <c r="I100" s="338">
        <v>0</v>
      </c>
      <c r="J100" s="338">
        <v>0</v>
      </c>
      <c r="K100" s="338">
        <v>0</v>
      </c>
      <c r="L100" s="338">
        <v>0</v>
      </c>
      <c r="M100" s="338">
        <v>0</v>
      </c>
      <c r="N100" s="338">
        <v>0</v>
      </c>
      <c r="O100" s="338">
        <v>0</v>
      </c>
    </row>
    <row r="101" spans="2:15" hidden="1" outlineLevel="1" x14ac:dyDescent="0.25">
      <c r="B101" s="343" t="s">
        <v>474</v>
      </c>
      <c r="G101" s="338">
        <v>0</v>
      </c>
      <c r="H101" s="338">
        <v>1546.7224971800001</v>
      </c>
      <c r="I101" s="338">
        <v>0</v>
      </c>
      <c r="J101" s="338">
        <v>0</v>
      </c>
      <c r="K101" s="338">
        <v>0</v>
      </c>
      <c r="L101" s="338">
        <v>0</v>
      </c>
      <c r="M101" s="338">
        <v>0</v>
      </c>
      <c r="N101" s="338">
        <v>0</v>
      </c>
      <c r="O101" s="338">
        <v>0</v>
      </c>
    </row>
    <row r="102" spans="2:15" hidden="1" outlineLevel="1" x14ac:dyDescent="0.25">
      <c r="B102" s="343" t="s">
        <v>470</v>
      </c>
      <c r="G102" s="338">
        <v>0</v>
      </c>
      <c r="H102" s="338">
        <v>1463.4988093633333</v>
      </c>
      <c r="I102" s="338">
        <v>0</v>
      </c>
      <c r="J102" s="338">
        <v>0</v>
      </c>
      <c r="K102" s="338">
        <v>0</v>
      </c>
      <c r="L102" s="338">
        <v>0</v>
      </c>
      <c r="M102" s="338">
        <v>0</v>
      </c>
      <c r="N102" s="338">
        <v>0</v>
      </c>
      <c r="O102" s="338">
        <v>0</v>
      </c>
    </row>
    <row r="103" spans="2:15" hidden="1" outlineLevel="1" x14ac:dyDescent="0.25">
      <c r="B103" s="343" t="s">
        <v>485</v>
      </c>
      <c r="G103" s="338">
        <v>0</v>
      </c>
      <c r="H103" s="338">
        <v>0</v>
      </c>
      <c r="I103" s="338">
        <v>0</v>
      </c>
      <c r="J103" s="344">
        <v>257.88131858999986</v>
      </c>
      <c r="K103" s="338">
        <v>0</v>
      </c>
      <c r="L103" s="338">
        <v>257.88131858999986</v>
      </c>
      <c r="M103" s="338">
        <v>0</v>
      </c>
      <c r="N103" s="338">
        <v>0</v>
      </c>
      <c r="O103" s="338">
        <v>0</v>
      </c>
    </row>
    <row r="104" spans="2:15" hidden="1" outlineLevel="1" x14ac:dyDescent="0.25">
      <c r="B104" s="342" t="s">
        <v>465</v>
      </c>
      <c r="G104" s="339">
        <v>7840.5271620775093</v>
      </c>
      <c r="H104" s="339">
        <v>0</v>
      </c>
      <c r="I104" s="339">
        <v>0</v>
      </c>
      <c r="J104" s="339">
        <v>0</v>
      </c>
      <c r="K104" s="339">
        <v>0</v>
      </c>
      <c r="L104" s="339">
        <v>3973.7909036866663</v>
      </c>
      <c r="M104" s="339">
        <v>6868.6013486542224</v>
      </c>
      <c r="N104" s="339">
        <v>0</v>
      </c>
      <c r="O104" s="339">
        <v>0</v>
      </c>
    </row>
    <row r="105" spans="2:15" hidden="1" outlineLevel="1" x14ac:dyDescent="0.25">
      <c r="B105" s="343" t="s">
        <v>468</v>
      </c>
      <c r="C105" s="264"/>
      <c r="D105" s="264"/>
      <c r="E105" s="264"/>
      <c r="F105" s="264"/>
      <c r="G105" s="338">
        <v>2150.2628327799998</v>
      </c>
      <c r="H105" s="338">
        <v>0</v>
      </c>
      <c r="I105" s="338">
        <v>0</v>
      </c>
      <c r="J105" s="338">
        <v>0</v>
      </c>
      <c r="K105" s="338">
        <v>0</v>
      </c>
      <c r="L105" s="338">
        <v>0</v>
      </c>
      <c r="M105" s="338">
        <v>1570.3144136791029</v>
      </c>
      <c r="N105" s="338">
        <v>0</v>
      </c>
      <c r="O105" s="338">
        <v>0</v>
      </c>
    </row>
    <row r="106" spans="2:15" hidden="1" outlineLevel="1" x14ac:dyDescent="0.25">
      <c r="B106" s="343" t="s">
        <v>466</v>
      </c>
      <c r="G106" s="338">
        <v>2578.644919219902</v>
      </c>
      <c r="H106" s="338">
        <v>0</v>
      </c>
      <c r="I106" s="338">
        <v>0</v>
      </c>
      <c r="J106" s="338">
        <v>0</v>
      </c>
      <c r="K106" s="338">
        <v>0</v>
      </c>
      <c r="L106" s="338">
        <v>0</v>
      </c>
      <c r="M106" s="338">
        <v>1523.5709880783954</v>
      </c>
      <c r="N106" s="338">
        <v>0</v>
      </c>
      <c r="O106" s="338">
        <v>0</v>
      </c>
    </row>
    <row r="107" spans="2:15" hidden="1" outlineLevel="1" x14ac:dyDescent="0.25">
      <c r="B107" s="343" t="s">
        <v>473</v>
      </c>
      <c r="G107" s="338">
        <v>0</v>
      </c>
      <c r="H107" s="338">
        <v>0</v>
      </c>
      <c r="I107" s="338">
        <v>0</v>
      </c>
      <c r="J107" s="338">
        <v>0</v>
      </c>
      <c r="K107" s="338">
        <v>0</v>
      </c>
      <c r="L107" s="338">
        <v>3973.7909036866663</v>
      </c>
      <c r="M107" s="338">
        <v>2209.5984842026164</v>
      </c>
      <c r="N107" s="338">
        <v>0</v>
      </c>
      <c r="O107" s="338">
        <v>0</v>
      </c>
    </row>
    <row r="108" spans="2:15" hidden="1" outlineLevel="1" x14ac:dyDescent="0.25">
      <c r="B108" s="343" t="s">
        <v>467</v>
      </c>
      <c r="G108" s="338">
        <v>3111.6194100776065</v>
      </c>
      <c r="H108" s="338">
        <v>0</v>
      </c>
      <c r="I108" s="338">
        <v>0</v>
      </c>
      <c r="J108" s="338">
        <v>0</v>
      </c>
      <c r="K108" s="338">
        <v>0</v>
      </c>
      <c r="L108" s="338">
        <v>0</v>
      </c>
      <c r="M108" s="338">
        <v>1565.1174626941083</v>
      </c>
      <c r="N108" s="338">
        <v>0</v>
      </c>
      <c r="O108" s="338">
        <v>0</v>
      </c>
    </row>
    <row r="109" spans="2:15" collapsed="1" x14ac:dyDescent="0.25"/>
    <row r="110" spans="2:15" x14ac:dyDescent="0.25">
      <c r="C110" s="264"/>
      <c r="D110" s="264"/>
      <c r="E110" s="264"/>
      <c r="F110" s="264"/>
    </row>
    <row r="116" spans="5:6" x14ac:dyDescent="0.25">
      <c r="E116" s="258"/>
      <c r="F116" s="258"/>
    </row>
    <row r="117" spans="5:6" x14ac:dyDescent="0.25">
      <c r="E117" s="258"/>
      <c r="F117" s="258"/>
    </row>
    <row r="118" spans="5:6" x14ac:dyDescent="0.25">
      <c r="E118" s="258"/>
      <c r="F118" s="258"/>
    </row>
    <row r="119" spans="5:6" x14ac:dyDescent="0.25">
      <c r="E119" s="258"/>
      <c r="F119" s="258"/>
    </row>
    <row r="120" spans="5:6" x14ac:dyDescent="0.25">
      <c r="E120" s="258"/>
      <c r="F120" s="258"/>
    </row>
    <row r="121" spans="5:6" x14ac:dyDescent="0.25">
      <c r="E121" s="258"/>
      <c r="F121" s="258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863C-19ED-44EF-9777-8318F0C16B9B}">
  <sheetPr>
    <tabColor rgb="FFFF0000"/>
  </sheetPr>
  <dimension ref="B1:R111"/>
  <sheetViews>
    <sheetView topLeftCell="A69" workbookViewId="0">
      <selection activeCell="R103" sqref="R103"/>
    </sheetView>
  </sheetViews>
  <sheetFormatPr defaultRowHeight="15" outlineLevelRow="2" outlineLevelCol="2" x14ac:dyDescent="0.25"/>
  <cols>
    <col min="2" max="2" width="26.28515625" style="1" customWidth="1"/>
    <col min="3" max="3" width="9.28515625" style="265" bestFit="1" customWidth="1"/>
    <col min="4" max="4" width="10.140625" style="265" bestFit="1" customWidth="1"/>
    <col min="5" max="5" width="14.42578125" style="265" bestFit="1" customWidth="1"/>
    <col min="6" max="8" width="13.42578125" style="265" bestFit="1" customWidth="1"/>
    <col min="9" max="9" width="13.42578125" style="265" customWidth="1"/>
    <col min="10" max="11" width="12.28515625" style="265" customWidth="1"/>
    <col min="12" max="12" width="13.42578125" style="265" customWidth="1"/>
    <col min="13" max="13" width="13.42578125" style="265" hidden="1" customWidth="1" outlineLevel="2"/>
    <col min="14" max="14" width="13.42578125" style="265" hidden="1" customWidth="1" outlineLevel="1" collapsed="1"/>
    <col min="15" max="15" width="12.28515625" style="265" hidden="1" customWidth="1" outlineLevel="1"/>
    <col min="16" max="16" width="8.85546875" collapsed="1"/>
  </cols>
  <sheetData>
    <row r="1" spans="2:18" ht="15.75" thickBot="1" x14ac:dyDescent="0.3"/>
    <row r="2" spans="2:18" s="130" customFormat="1" ht="60.75" thickBot="1" x14ac:dyDescent="0.3">
      <c r="B2" s="340" t="s">
        <v>575</v>
      </c>
      <c r="C2" s="366" t="s">
        <v>576</v>
      </c>
      <c r="D2" s="361" t="s">
        <v>577</v>
      </c>
      <c r="E2" s="340" t="s">
        <v>578</v>
      </c>
      <c r="F2" s="366" t="s">
        <v>579</v>
      </c>
      <c r="G2" s="361" t="s">
        <v>580</v>
      </c>
      <c r="H2" s="340" t="s">
        <v>299</v>
      </c>
      <c r="I2" s="359" t="s">
        <v>290</v>
      </c>
      <c r="J2" s="360" t="s">
        <v>294</v>
      </c>
      <c r="K2" s="360" t="s">
        <v>295</v>
      </c>
      <c r="L2" s="361" t="s">
        <v>296</v>
      </c>
      <c r="M2" s="350" t="s">
        <v>298</v>
      </c>
      <c r="N2" s="261" t="s">
        <v>300</v>
      </c>
      <c r="O2" s="261" t="s">
        <v>301</v>
      </c>
    </row>
    <row r="3" spans="2:18" x14ac:dyDescent="0.25">
      <c r="B3" s="357" t="s">
        <v>386</v>
      </c>
      <c r="C3" s="367">
        <f>3+SUM(C4:C8)+1</f>
        <v>9</v>
      </c>
      <c r="D3" s="368">
        <f>C3+SUM(D4:D8)+1</f>
        <v>31</v>
      </c>
      <c r="E3" s="375">
        <f>F3+G3</f>
        <v>30531.489200121774</v>
      </c>
      <c r="F3" s="379">
        <f>I3+J3+K3+L3</f>
        <v>10895.27596530019</v>
      </c>
      <c r="G3" s="401">
        <v>19636.213234821586</v>
      </c>
      <c r="H3" s="375">
        <v>12273.121311639599</v>
      </c>
      <c r="I3" s="362">
        <v>7795.9990057501946</v>
      </c>
      <c r="J3" s="358">
        <v>1421.463026709999</v>
      </c>
      <c r="K3" s="358">
        <v>577.84806899999819</v>
      </c>
      <c r="L3" s="401">
        <v>1099.9658638399994</v>
      </c>
      <c r="M3" s="364">
        <v>2478.7238447799964</v>
      </c>
      <c r="N3" s="266">
        <v>19986.538145539384</v>
      </c>
      <c r="O3" s="266">
        <v>229.76445055999989</v>
      </c>
      <c r="R3" s="345"/>
    </row>
    <row r="4" spans="2:18" ht="30" hidden="1" outlineLevel="1" x14ac:dyDescent="0.25">
      <c r="B4" s="355" t="s">
        <v>390</v>
      </c>
      <c r="C4" s="369">
        <v>1</v>
      </c>
      <c r="D4" s="370">
        <v>5</v>
      </c>
      <c r="E4" s="376">
        <f t="shared" ref="E4:E35" si="0">F4+G4</f>
        <v>1553.8698499799982</v>
      </c>
      <c r="F4" s="380">
        <f t="shared" ref="F4:F35" si="1">I4+J4+K4+L4</f>
        <v>1553.8698499799982</v>
      </c>
      <c r="G4" s="402">
        <v>0</v>
      </c>
      <c r="H4" s="376">
        <v>347.87941717230007</v>
      </c>
      <c r="I4" s="363">
        <v>0</v>
      </c>
      <c r="J4" s="267">
        <v>578.90279447</v>
      </c>
      <c r="K4" s="267">
        <v>399.9251103599982</v>
      </c>
      <c r="L4" s="402">
        <v>575.04194514999995</v>
      </c>
      <c r="M4" s="363">
        <v>946.13269909000314</v>
      </c>
      <c r="N4" s="267">
        <v>0</v>
      </c>
      <c r="O4" s="267">
        <v>119.69833200999993</v>
      </c>
    </row>
    <row r="5" spans="2:18" hidden="1" outlineLevel="1" x14ac:dyDescent="0.25">
      <c r="B5" s="355" t="s">
        <v>395</v>
      </c>
      <c r="C5" s="369">
        <v>1</v>
      </c>
      <c r="D5" s="370">
        <v>3</v>
      </c>
      <c r="E5" s="376">
        <f t="shared" si="0"/>
        <v>3231.5197725089533</v>
      </c>
      <c r="F5" s="380">
        <f t="shared" si="1"/>
        <v>987.50686609000059</v>
      </c>
      <c r="G5" s="402">
        <v>2244.0129064189528</v>
      </c>
      <c r="H5" s="376">
        <v>1373.3031558077007</v>
      </c>
      <c r="I5" s="363">
        <v>0</v>
      </c>
      <c r="J5" s="267">
        <v>533.97052006000104</v>
      </c>
      <c r="K5" s="267">
        <v>7.8141784400000001</v>
      </c>
      <c r="L5" s="402">
        <v>445.72216758999963</v>
      </c>
      <c r="M5" s="363">
        <v>464.16744719999951</v>
      </c>
      <c r="N5" s="267">
        <v>99.474719699999994</v>
      </c>
      <c r="O5" s="267">
        <v>25.730178769999995</v>
      </c>
    </row>
    <row r="6" spans="2:18" ht="45" hidden="1" outlineLevel="1" x14ac:dyDescent="0.25">
      <c r="B6" s="355" t="s">
        <v>387</v>
      </c>
      <c r="C6" s="369">
        <v>1</v>
      </c>
      <c r="D6" s="370">
        <v>5</v>
      </c>
      <c r="E6" s="376">
        <f t="shared" si="0"/>
        <v>8566.796816606362</v>
      </c>
      <c r="F6" s="380">
        <f t="shared" si="1"/>
        <v>8270.9273328201925</v>
      </c>
      <c r="G6" s="402">
        <v>295.86948378616916</v>
      </c>
      <c r="H6" s="376">
        <v>850.82596194839903</v>
      </c>
      <c r="I6" s="363">
        <v>7795.9990057501946</v>
      </c>
      <c r="J6" s="267">
        <v>294.47102413999795</v>
      </c>
      <c r="K6" s="267">
        <v>123.02628884999999</v>
      </c>
      <c r="L6" s="402">
        <v>57.431014080000011</v>
      </c>
      <c r="M6" s="363">
        <v>1068.4236984899937</v>
      </c>
      <c r="N6" s="267">
        <v>0</v>
      </c>
      <c r="O6" s="267">
        <v>82.338081789999947</v>
      </c>
    </row>
    <row r="7" spans="2:18" hidden="1" outlineLevel="1" x14ac:dyDescent="0.25">
      <c r="B7" s="355" t="s">
        <v>401</v>
      </c>
      <c r="C7" s="369">
        <v>1</v>
      </c>
      <c r="D7" s="370">
        <v>4</v>
      </c>
      <c r="E7" s="376">
        <f t="shared" si="0"/>
        <v>8359.3342845734132</v>
      </c>
      <c r="F7" s="380">
        <f t="shared" si="1"/>
        <v>0</v>
      </c>
      <c r="G7" s="402">
        <v>8359.3342845734132</v>
      </c>
      <c r="H7" s="376">
        <v>4794.1233075853006</v>
      </c>
      <c r="I7" s="363">
        <v>0</v>
      </c>
      <c r="J7" s="267">
        <v>0</v>
      </c>
      <c r="K7" s="267">
        <v>0</v>
      </c>
      <c r="L7" s="402">
        <v>0</v>
      </c>
      <c r="M7" s="363">
        <v>0</v>
      </c>
      <c r="N7" s="267">
        <v>14309.051815629386</v>
      </c>
      <c r="O7" s="267">
        <v>0</v>
      </c>
    </row>
    <row r="8" spans="2:18" hidden="1" outlineLevel="1" x14ac:dyDescent="0.25">
      <c r="B8" s="355" t="s">
        <v>399</v>
      </c>
      <c r="C8" s="369">
        <v>1</v>
      </c>
      <c r="D8" s="370">
        <v>4</v>
      </c>
      <c r="E8" s="376">
        <f t="shared" si="0"/>
        <v>8819.9684764530521</v>
      </c>
      <c r="F8" s="380">
        <f t="shared" si="1"/>
        <v>82.971916409999992</v>
      </c>
      <c r="G8" s="402">
        <v>8736.9965600430514</v>
      </c>
      <c r="H8" s="376">
        <v>4906.9894691258996</v>
      </c>
      <c r="I8" s="363">
        <v>0</v>
      </c>
      <c r="J8" s="267">
        <v>14.118688039999999</v>
      </c>
      <c r="K8" s="267">
        <v>47.082491349999991</v>
      </c>
      <c r="L8" s="402">
        <v>21.770737020000002</v>
      </c>
      <c r="M8" s="363">
        <v>0</v>
      </c>
      <c r="N8" s="267">
        <v>5578.0116102099983</v>
      </c>
      <c r="O8" s="267">
        <v>1.99785799</v>
      </c>
    </row>
    <row r="9" spans="2:18" collapsed="1" x14ac:dyDescent="0.25">
      <c r="B9" s="354" t="s">
        <v>561</v>
      </c>
      <c r="C9" s="371">
        <f>3+SUM(C10:C14)</f>
        <v>8</v>
      </c>
      <c r="D9" s="372">
        <f>C9+SUM(D10:D14)+1</f>
        <v>27</v>
      </c>
      <c r="E9" s="377">
        <f t="shared" si="0"/>
        <v>32945.039675367836</v>
      </c>
      <c r="F9" s="381">
        <f t="shared" si="1"/>
        <v>5457.2529747800145</v>
      </c>
      <c r="G9" s="403">
        <v>27487.786700587818</v>
      </c>
      <c r="H9" s="377">
        <v>15542.800757655601</v>
      </c>
      <c r="I9" s="364">
        <v>3662.564846030014</v>
      </c>
      <c r="J9" s="266">
        <v>173.16369879999999</v>
      </c>
      <c r="K9" s="266">
        <v>213.51334866999997</v>
      </c>
      <c r="L9" s="403">
        <v>1408.0110812800001</v>
      </c>
      <c r="M9" s="364">
        <v>1234.3652387949999</v>
      </c>
      <c r="N9" s="266">
        <v>18132.457968977826</v>
      </c>
      <c r="O9" s="266">
        <v>0</v>
      </c>
    </row>
    <row r="10" spans="2:18" hidden="1" outlineLevel="1" x14ac:dyDescent="0.25">
      <c r="B10" s="355" t="s">
        <v>323</v>
      </c>
      <c r="C10" s="369">
        <v>1</v>
      </c>
      <c r="D10" s="370">
        <v>2</v>
      </c>
      <c r="E10" s="376">
        <f t="shared" si="0"/>
        <v>870.08585702000005</v>
      </c>
      <c r="F10" s="380">
        <f t="shared" si="1"/>
        <v>870.08585702000005</v>
      </c>
      <c r="G10" s="402">
        <v>0</v>
      </c>
      <c r="H10" s="376">
        <v>3.2087243721000003</v>
      </c>
      <c r="I10" s="363">
        <v>75.907049919999992</v>
      </c>
      <c r="J10" s="267">
        <v>107.33266947</v>
      </c>
      <c r="K10" s="267">
        <v>122.43241521999997</v>
      </c>
      <c r="L10" s="402">
        <v>564.4137224100001</v>
      </c>
      <c r="M10" s="363">
        <v>57.874596949999876</v>
      </c>
      <c r="N10" s="267">
        <v>0</v>
      </c>
      <c r="O10" s="267">
        <v>0</v>
      </c>
    </row>
    <row r="11" spans="2:18" hidden="1" outlineLevel="1" x14ac:dyDescent="0.25">
      <c r="B11" s="355" t="s">
        <v>318</v>
      </c>
      <c r="C11" s="369">
        <v>1</v>
      </c>
      <c r="D11" s="370">
        <v>4</v>
      </c>
      <c r="E11" s="376">
        <f t="shared" si="0"/>
        <v>1538.4790486999977</v>
      </c>
      <c r="F11" s="380">
        <f t="shared" si="1"/>
        <v>1538.4790486999977</v>
      </c>
      <c r="G11" s="402">
        <v>0</v>
      </c>
      <c r="H11" s="376">
        <v>0.65</v>
      </c>
      <c r="I11" s="363">
        <v>537.96972704999769</v>
      </c>
      <c r="J11" s="267">
        <v>65.831029329999993</v>
      </c>
      <c r="K11" s="267">
        <v>91.080933449999975</v>
      </c>
      <c r="L11" s="402">
        <v>843.59735887000022</v>
      </c>
      <c r="M11" s="363">
        <v>1176.490641845</v>
      </c>
      <c r="N11" s="267">
        <v>0</v>
      </c>
      <c r="O11" s="267">
        <v>0</v>
      </c>
    </row>
    <row r="12" spans="2:18" hidden="1" outlineLevel="1" x14ac:dyDescent="0.25">
      <c r="B12" s="355" t="s">
        <v>337</v>
      </c>
      <c r="C12" s="369">
        <v>1</v>
      </c>
      <c r="D12" s="370">
        <v>3</v>
      </c>
      <c r="E12" s="376">
        <f t="shared" si="0"/>
        <v>3048.6880690600165</v>
      </c>
      <c r="F12" s="380">
        <f t="shared" si="1"/>
        <v>3048.6880690600165</v>
      </c>
      <c r="G12" s="402">
        <v>0</v>
      </c>
      <c r="H12" s="376">
        <v>361.01</v>
      </c>
      <c r="I12" s="363">
        <v>3048.6880690600165</v>
      </c>
      <c r="J12" s="267">
        <v>0</v>
      </c>
      <c r="K12" s="267">
        <v>0</v>
      </c>
      <c r="L12" s="402">
        <v>0</v>
      </c>
      <c r="M12" s="363">
        <v>0</v>
      </c>
      <c r="N12" s="267">
        <v>0</v>
      </c>
      <c r="O12" s="267">
        <v>0</v>
      </c>
    </row>
    <row r="13" spans="2:18" ht="30" hidden="1" outlineLevel="1" x14ac:dyDescent="0.25">
      <c r="B13" s="355" t="s">
        <v>362</v>
      </c>
      <c r="C13" s="369">
        <v>1</v>
      </c>
      <c r="D13" s="370">
        <v>5</v>
      </c>
      <c r="E13" s="376">
        <f t="shared" si="0"/>
        <v>15341.407347053479</v>
      </c>
      <c r="F13" s="380">
        <f t="shared" si="1"/>
        <v>0</v>
      </c>
      <c r="G13" s="402">
        <v>15341.407347053479</v>
      </c>
      <c r="H13" s="376">
        <v>8867.4410380933004</v>
      </c>
      <c r="I13" s="363">
        <v>0</v>
      </c>
      <c r="J13" s="267">
        <v>0</v>
      </c>
      <c r="K13" s="267">
        <v>0</v>
      </c>
      <c r="L13" s="402">
        <v>0</v>
      </c>
      <c r="M13" s="363">
        <v>0</v>
      </c>
      <c r="N13" s="267">
        <v>6817.7504379784077</v>
      </c>
      <c r="O13" s="267">
        <v>0</v>
      </c>
    </row>
    <row r="14" spans="2:18" ht="30" hidden="1" outlineLevel="1" x14ac:dyDescent="0.25">
      <c r="B14" s="355" t="s">
        <v>364</v>
      </c>
      <c r="C14" s="369">
        <v>1</v>
      </c>
      <c r="D14" s="370">
        <v>4</v>
      </c>
      <c r="E14" s="376">
        <f t="shared" si="0"/>
        <v>12146.379353534339</v>
      </c>
      <c r="F14" s="380">
        <f t="shared" si="1"/>
        <v>0</v>
      </c>
      <c r="G14" s="402">
        <v>12146.379353534339</v>
      </c>
      <c r="H14" s="376">
        <v>6310.4909951902</v>
      </c>
      <c r="I14" s="363">
        <v>0</v>
      </c>
      <c r="J14" s="267">
        <v>0</v>
      </c>
      <c r="K14" s="267">
        <v>0</v>
      </c>
      <c r="L14" s="402">
        <v>0</v>
      </c>
      <c r="M14" s="363">
        <v>0</v>
      </c>
      <c r="N14" s="267">
        <v>11314.707530999416</v>
      </c>
      <c r="O14" s="267">
        <v>0</v>
      </c>
    </row>
    <row r="15" spans="2:18" collapsed="1" x14ac:dyDescent="0.25">
      <c r="B15" s="354" t="s">
        <v>526</v>
      </c>
      <c r="C15" s="371">
        <f>3+SUM(C16:C19)</f>
        <v>7</v>
      </c>
      <c r="D15" s="372">
        <f>C15+SUM(D16:D19)+1</f>
        <v>22</v>
      </c>
      <c r="E15" s="377">
        <f t="shared" si="0"/>
        <v>22134.897029869255</v>
      </c>
      <c r="F15" s="381">
        <f t="shared" si="1"/>
        <v>5095.6606410700006</v>
      </c>
      <c r="G15" s="403">
        <v>17039.236388799254</v>
      </c>
      <c r="H15" s="377">
        <v>11916.8986853228</v>
      </c>
      <c r="I15" s="364">
        <v>1396.6687616800002</v>
      </c>
      <c r="J15" s="266">
        <v>710.29184913999995</v>
      </c>
      <c r="K15" s="266">
        <v>1379.57056158</v>
      </c>
      <c r="L15" s="403">
        <v>1609.1294686700001</v>
      </c>
      <c r="M15" s="364">
        <v>30.151158260957615</v>
      </c>
      <c r="N15" s="266">
        <v>17894.758836269666</v>
      </c>
      <c r="O15" s="266">
        <v>0</v>
      </c>
    </row>
    <row r="16" spans="2:18" hidden="1" outlineLevel="1" x14ac:dyDescent="0.25">
      <c r="B16" s="355" t="s">
        <v>527</v>
      </c>
      <c r="C16" s="369">
        <v>1</v>
      </c>
      <c r="D16" s="370">
        <v>3</v>
      </c>
      <c r="E16" s="376">
        <f t="shared" si="0"/>
        <v>2205.5616479200003</v>
      </c>
      <c r="F16" s="380">
        <f t="shared" si="1"/>
        <v>2205.5616479200003</v>
      </c>
      <c r="G16" s="402">
        <v>0</v>
      </c>
      <c r="H16" s="376">
        <v>1.1193</v>
      </c>
      <c r="I16" s="363">
        <v>390.49090773000012</v>
      </c>
      <c r="J16" s="267">
        <v>31.784312930000041</v>
      </c>
      <c r="K16" s="267">
        <v>807.06392650999999</v>
      </c>
      <c r="L16" s="402">
        <v>976.22250074999999</v>
      </c>
      <c r="M16" s="363">
        <v>0</v>
      </c>
      <c r="N16" s="267">
        <v>0</v>
      </c>
      <c r="O16" s="267">
        <v>0</v>
      </c>
    </row>
    <row r="17" spans="2:15" ht="30" hidden="1" outlineLevel="1" x14ac:dyDescent="0.25">
      <c r="B17" s="355" t="s">
        <v>529</v>
      </c>
      <c r="C17" s="369">
        <v>1</v>
      </c>
      <c r="D17" s="370">
        <v>4</v>
      </c>
      <c r="E17" s="376">
        <f t="shared" si="0"/>
        <v>2890.0989931500003</v>
      </c>
      <c r="F17" s="380">
        <f t="shared" si="1"/>
        <v>2890.0989931500003</v>
      </c>
      <c r="G17" s="402">
        <v>0</v>
      </c>
      <c r="H17" s="376">
        <v>533.285680447</v>
      </c>
      <c r="I17" s="363">
        <v>1006.1778539500002</v>
      </c>
      <c r="J17" s="267">
        <v>678.5075362099999</v>
      </c>
      <c r="K17" s="267">
        <v>572.50663506999979</v>
      </c>
      <c r="L17" s="402">
        <v>632.90696792000006</v>
      </c>
      <c r="M17" s="363">
        <v>0</v>
      </c>
      <c r="N17" s="267">
        <v>0</v>
      </c>
      <c r="O17" s="267">
        <v>0</v>
      </c>
    </row>
    <row r="18" spans="2:15" hidden="1" outlineLevel="1" x14ac:dyDescent="0.25">
      <c r="B18" s="355" t="s">
        <v>552</v>
      </c>
      <c r="C18" s="369">
        <v>1</v>
      </c>
      <c r="D18" s="370">
        <v>4</v>
      </c>
      <c r="E18" s="376">
        <f t="shared" si="0"/>
        <v>9219.4500760850515</v>
      </c>
      <c r="F18" s="380">
        <f t="shared" si="1"/>
        <v>0</v>
      </c>
      <c r="G18" s="402">
        <v>9219.4500760850515</v>
      </c>
      <c r="H18" s="376">
        <v>5762.5538821981008</v>
      </c>
      <c r="I18" s="363">
        <v>0</v>
      </c>
      <c r="J18" s="267">
        <v>0</v>
      </c>
      <c r="K18" s="267">
        <v>0</v>
      </c>
      <c r="L18" s="402">
        <v>0</v>
      </c>
      <c r="M18" s="363">
        <v>27.130505840957614</v>
      </c>
      <c r="N18" s="267">
        <v>1239.276737919979</v>
      </c>
      <c r="O18" s="267">
        <v>0</v>
      </c>
    </row>
    <row r="19" spans="2:15" hidden="1" outlineLevel="1" x14ac:dyDescent="0.25">
      <c r="B19" s="355" t="s">
        <v>556</v>
      </c>
      <c r="C19" s="369">
        <v>1</v>
      </c>
      <c r="D19" s="370">
        <v>3</v>
      </c>
      <c r="E19" s="376">
        <f t="shared" si="0"/>
        <v>7819.7863127142036</v>
      </c>
      <c r="F19" s="380">
        <f t="shared" si="1"/>
        <v>0</v>
      </c>
      <c r="G19" s="402">
        <v>7819.7863127142036</v>
      </c>
      <c r="H19" s="376">
        <v>5619.9398226776993</v>
      </c>
      <c r="I19" s="363">
        <v>0</v>
      </c>
      <c r="J19" s="267">
        <v>0</v>
      </c>
      <c r="K19" s="267">
        <v>0</v>
      </c>
      <c r="L19" s="402">
        <v>0</v>
      </c>
      <c r="M19" s="363">
        <v>3.0206524199999998</v>
      </c>
      <c r="N19" s="267">
        <v>16655.482098349687</v>
      </c>
      <c r="O19" s="267">
        <v>0</v>
      </c>
    </row>
    <row r="20" spans="2:15" collapsed="1" x14ac:dyDescent="0.25">
      <c r="B20" s="354" t="s">
        <v>489</v>
      </c>
      <c r="C20" s="371">
        <f>3+SUM(C21:C25)</f>
        <v>8</v>
      </c>
      <c r="D20" s="372">
        <f>C20+SUM(D21:D25)+1</f>
        <v>26</v>
      </c>
      <c r="E20" s="377">
        <f t="shared" si="0"/>
        <v>29988.285760598104</v>
      </c>
      <c r="F20" s="381">
        <f t="shared" si="1"/>
        <v>4863.1736128500033</v>
      </c>
      <c r="G20" s="403">
        <v>25125.112147748099</v>
      </c>
      <c r="H20" s="377">
        <v>15579.989592549202</v>
      </c>
      <c r="I20" s="364">
        <v>0</v>
      </c>
      <c r="J20" s="266">
        <v>819.35425326999996</v>
      </c>
      <c r="K20" s="266">
        <v>1212.8315041000023</v>
      </c>
      <c r="L20" s="403">
        <v>2830.9878554800007</v>
      </c>
      <c r="M20" s="364">
        <v>2258.7946356799998</v>
      </c>
      <c r="N20" s="266">
        <v>25108.963002738099</v>
      </c>
      <c r="O20" s="266">
        <v>0</v>
      </c>
    </row>
    <row r="21" spans="2:15" hidden="1" outlineLevel="1" x14ac:dyDescent="0.25">
      <c r="B21" s="355" t="s">
        <v>490</v>
      </c>
      <c r="C21" s="369">
        <v>1</v>
      </c>
      <c r="D21" s="370">
        <v>4</v>
      </c>
      <c r="E21" s="376">
        <f t="shared" si="0"/>
        <v>4805.7731279234686</v>
      </c>
      <c r="F21" s="380">
        <f t="shared" si="1"/>
        <v>2665.1572822400021</v>
      </c>
      <c r="G21" s="402">
        <v>2140.6158456834664</v>
      </c>
      <c r="H21" s="376">
        <v>1078.9944829924</v>
      </c>
      <c r="I21" s="363">
        <v>0</v>
      </c>
      <c r="J21" s="267">
        <v>261.38528133999995</v>
      </c>
      <c r="K21" s="267">
        <v>724.3178531900021</v>
      </c>
      <c r="L21" s="402">
        <v>1679.4541477100004</v>
      </c>
      <c r="M21" s="363">
        <v>1073.5733923999996</v>
      </c>
      <c r="N21" s="267">
        <v>0</v>
      </c>
      <c r="O21" s="267">
        <v>0</v>
      </c>
    </row>
    <row r="22" spans="2:15" hidden="1" outlineLevel="1" x14ac:dyDescent="0.25">
      <c r="B22" s="355" t="s">
        <v>495</v>
      </c>
      <c r="C22" s="369">
        <v>1</v>
      </c>
      <c r="D22" s="370">
        <v>3</v>
      </c>
      <c r="E22" s="376">
        <f t="shared" si="0"/>
        <v>1444.4096538200006</v>
      </c>
      <c r="F22" s="380">
        <f t="shared" si="1"/>
        <v>1444.4096538200006</v>
      </c>
      <c r="G22" s="402">
        <v>0</v>
      </c>
      <c r="H22" s="376">
        <v>3.7953370000000004</v>
      </c>
      <c r="I22" s="363">
        <v>0</v>
      </c>
      <c r="J22" s="267">
        <v>424.67587693000002</v>
      </c>
      <c r="K22" s="267">
        <v>283.75698429000033</v>
      </c>
      <c r="L22" s="402">
        <v>735.97679260000029</v>
      </c>
      <c r="M22" s="363">
        <v>1075.4139824999997</v>
      </c>
      <c r="N22" s="267">
        <v>0</v>
      </c>
      <c r="O22" s="267">
        <v>0</v>
      </c>
    </row>
    <row r="23" spans="2:15" hidden="1" outlineLevel="1" x14ac:dyDescent="0.25">
      <c r="B23" s="355" t="s">
        <v>503</v>
      </c>
      <c r="C23" s="369">
        <v>1</v>
      </c>
      <c r="D23" s="370">
        <v>3</v>
      </c>
      <c r="E23" s="376">
        <f t="shared" si="0"/>
        <v>1643.1814714499783</v>
      </c>
      <c r="F23" s="380">
        <f t="shared" si="1"/>
        <v>753.60667678999994</v>
      </c>
      <c r="G23" s="402">
        <v>889.57479465997847</v>
      </c>
      <c r="H23" s="376">
        <v>577.76288474320006</v>
      </c>
      <c r="I23" s="363">
        <v>0</v>
      </c>
      <c r="J23" s="267">
        <v>133.29309499999997</v>
      </c>
      <c r="K23" s="267">
        <v>204.75666661999992</v>
      </c>
      <c r="L23" s="402">
        <v>415.55691516999997</v>
      </c>
      <c r="M23" s="363">
        <v>109.80726077999999</v>
      </c>
      <c r="N23" s="267">
        <v>0</v>
      </c>
      <c r="O23" s="267">
        <v>0</v>
      </c>
    </row>
    <row r="24" spans="2:15" hidden="1" outlineLevel="1" x14ac:dyDescent="0.25">
      <c r="B24" s="355" t="s">
        <v>507</v>
      </c>
      <c r="C24" s="369">
        <v>1</v>
      </c>
      <c r="D24" s="370">
        <v>3</v>
      </c>
      <c r="E24" s="376">
        <f t="shared" si="0"/>
        <v>10124.639624576168</v>
      </c>
      <c r="F24" s="380">
        <f t="shared" si="1"/>
        <v>0</v>
      </c>
      <c r="G24" s="402">
        <v>10124.639624576168</v>
      </c>
      <c r="H24" s="376">
        <v>6569.7672306954992</v>
      </c>
      <c r="I24" s="363">
        <v>0</v>
      </c>
      <c r="J24" s="267">
        <v>0</v>
      </c>
      <c r="K24" s="267">
        <v>0</v>
      </c>
      <c r="L24" s="402">
        <v>0</v>
      </c>
      <c r="M24" s="363">
        <v>0</v>
      </c>
      <c r="N24" s="267">
        <v>8507.1196553092268</v>
      </c>
      <c r="O24" s="267">
        <v>0</v>
      </c>
    </row>
    <row r="25" spans="2:15" hidden="1" outlineLevel="1" x14ac:dyDescent="0.25">
      <c r="B25" s="355" t="s">
        <v>509</v>
      </c>
      <c r="C25" s="369">
        <v>1</v>
      </c>
      <c r="D25" s="370">
        <v>4</v>
      </c>
      <c r="E25" s="376">
        <f t="shared" si="0"/>
        <v>11970.281882828489</v>
      </c>
      <c r="F25" s="380">
        <f t="shared" si="1"/>
        <v>0</v>
      </c>
      <c r="G25" s="402">
        <v>11970.281882828489</v>
      </c>
      <c r="H25" s="376">
        <v>7349.6696571181028</v>
      </c>
      <c r="I25" s="363">
        <v>0</v>
      </c>
      <c r="J25" s="267">
        <v>0</v>
      </c>
      <c r="K25" s="267">
        <v>0</v>
      </c>
      <c r="L25" s="402">
        <v>0</v>
      </c>
      <c r="M25" s="363">
        <v>0</v>
      </c>
      <c r="N25" s="267">
        <v>16601.843347428872</v>
      </c>
      <c r="O25" s="267">
        <v>0</v>
      </c>
    </row>
    <row r="26" spans="2:15" collapsed="1" x14ac:dyDescent="0.25">
      <c r="B26" s="354" t="s">
        <v>438</v>
      </c>
      <c r="C26" s="371">
        <f>3+SUM(C27:C31)</f>
        <v>8</v>
      </c>
      <c r="D26" s="372">
        <f>C26+SUM(D27:D31)+1</f>
        <v>21</v>
      </c>
      <c r="E26" s="377">
        <f t="shared" si="0"/>
        <v>8907.9498912600011</v>
      </c>
      <c r="F26" s="381">
        <f t="shared" si="1"/>
        <v>7639.072182079999</v>
      </c>
      <c r="G26" s="403">
        <v>1268.8777091800027</v>
      </c>
      <c r="H26" s="377">
        <v>855.64039110279998</v>
      </c>
      <c r="I26" s="364">
        <v>864.52190231999987</v>
      </c>
      <c r="J26" s="266">
        <v>2450.7088284699998</v>
      </c>
      <c r="K26" s="266">
        <v>836.40869887000008</v>
      </c>
      <c r="L26" s="403">
        <v>3487.4327524200003</v>
      </c>
      <c r="M26" s="364">
        <v>636.21177519999992</v>
      </c>
      <c r="N26" s="266">
        <v>986.26229077999062</v>
      </c>
      <c r="O26" s="266">
        <v>1913.6581338300027</v>
      </c>
    </row>
    <row r="27" spans="2:15" ht="30" hidden="1" outlineLevel="1" x14ac:dyDescent="0.25">
      <c r="B27" s="355" t="s">
        <v>443</v>
      </c>
      <c r="C27" s="369">
        <v>1</v>
      </c>
      <c r="D27" s="370">
        <v>4</v>
      </c>
      <c r="E27" s="376">
        <f t="shared" si="0"/>
        <v>3056.2469241100007</v>
      </c>
      <c r="F27" s="380">
        <f t="shared" si="1"/>
        <v>2302.9212674499995</v>
      </c>
      <c r="G27" s="402">
        <v>753.3256566600013</v>
      </c>
      <c r="H27" s="376">
        <v>586.51244633019996</v>
      </c>
      <c r="I27" s="363">
        <v>0</v>
      </c>
      <c r="J27" s="267">
        <v>901.71375716999989</v>
      </c>
      <c r="K27" s="267">
        <v>522.36151340000004</v>
      </c>
      <c r="L27" s="402">
        <v>878.8459968799998</v>
      </c>
      <c r="M27" s="363">
        <v>18.11060694</v>
      </c>
      <c r="N27" s="267">
        <v>0</v>
      </c>
      <c r="O27" s="267">
        <v>0</v>
      </c>
    </row>
    <row r="28" spans="2:15" ht="30" hidden="1" outlineLevel="1" x14ac:dyDescent="0.25">
      <c r="B28" s="355" t="s">
        <v>439</v>
      </c>
      <c r="C28" s="369">
        <v>1</v>
      </c>
      <c r="D28" s="370">
        <v>4</v>
      </c>
      <c r="E28" s="376">
        <f t="shared" si="0"/>
        <v>2345.7751313300009</v>
      </c>
      <c r="F28" s="380">
        <f t="shared" si="1"/>
        <v>2031.3369777600001</v>
      </c>
      <c r="G28" s="402">
        <v>314.43815357000079</v>
      </c>
      <c r="H28" s="376">
        <v>130.42390994099995</v>
      </c>
      <c r="I28" s="363">
        <v>0</v>
      </c>
      <c r="J28" s="267">
        <v>713.47514595000007</v>
      </c>
      <c r="K28" s="267">
        <v>235.62862249</v>
      </c>
      <c r="L28" s="402">
        <v>1082.23320932</v>
      </c>
      <c r="M28" s="363">
        <v>257.44670998999993</v>
      </c>
      <c r="N28" s="267">
        <v>0</v>
      </c>
      <c r="O28" s="267">
        <v>0</v>
      </c>
    </row>
    <row r="29" spans="2:15" ht="30" hidden="1" outlineLevel="1" x14ac:dyDescent="0.25">
      <c r="B29" s="355" t="s">
        <v>453</v>
      </c>
      <c r="C29" s="369">
        <v>1</v>
      </c>
      <c r="D29" s="370">
        <v>4</v>
      </c>
      <c r="E29" s="376">
        <f t="shared" si="0"/>
        <v>2641.4059335000002</v>
      </c>
      <c r="F29" s="380">
        <f t="shared" si="1"/>
        <v>2440.2920345499997</v>
      </c>
      <c r="G29" s="402">
        <v>201.11389895000065</v>
      </c>
      <c r="H29" s="376">
        <v>138.70403483160004</v>
      </c>
      <c r="I29" s="363">
        <v>0</v>
      </c>
      <c r="J29" s="267">
        <v>835.51992534999988</v>
      </c>
      <c r="K29" s="267">
        <v>78.418562980000004</v>
      </c>
      <c r="L29" s="402">
        <v>1526.35354622</v>
      </c>
      <c r="M29" s="363">
        <v>360.65445826999996</v>
      </c>
      <c r="N29" s="267">
        <v>986.26229077999062</v>
      </c>
      <c r="O29" s="267">
        <v>0</v>
      </c>
    </row>
    <row r="30" spans="2:15" hidden="1" outlineLevel="1" x14ac:dyDescent="0.25">
      <c r="B30" s="355" t="s">
        <v>447</v>
      </c>
      <c r="C30" s="369">
        <v>1</v>
      </c>
      <c r="D30" s="370">
        <v>0</v>
      </c>
      <c r="E30" s="376">
        <f t="shared" si="0"/>
        <v>0</v>
      </c>
      <c r="F30" s="380">
        <f t="shared" si="1"/>
        <v>0</v>
      </c>
      <c r="G30" s="402">
        <v>0</v>
      </c>
      <c r="H30" s="376">
        <v>0</v>
      </c>
      <c r="I30" s="363">
        <v>0</v>
      </c>
      <c r="J30" s="267">
        <v>0</v>
      </c>
      <c r="K30" s="267">
        <v>0</v>
      </c>
      <c r="L30" s="402">
        <v>0</v>
      </c>
      <c r="M30" s="363">
        <v>0</v>
      </c>
      <c r="N30" s="267">
        <v>0</v>
      </c>
      <c r="O30" s="267">
        <v>1485.79293396</v>
      </c>
    </row>
    <row r="31" spans="2:15" hidden="1" outlineLevel="1" x14ac:dyDescent="0.25">
      <c r="B31" s="355" t="s">
        <v>462</v>
      </c>
      <c r="C31" s="369">
        <v>1</v>
      </c>
      <c r="D31" s="370">
        <v>0</v>
      </c>
      <c r="E31" s="376">
        <f t="shared" si="0"/>
        <v>864.52190231999987</v>
      </c>
      <c r="F31" s="380">
        <f t="shared" si="1"/>
        <v>864.52190231999987</v>
      </c>
      <c r="G31" s="402">
        <v>0</v>
      </c>
      <c r="H31" s="376">
        <v>0</v>
      </c>
      <c r="I31" s="363">
        <v>864.52190231999987</v>
      </c>
      <c r="J31" s="267">
        <v>0</v>
      </c>
      <c r="K31" s="267">
        <v>0</v>
      </c>
      <c r="L31" s="402">
        <v>0</v>
      </c>
      <c r="M31" s="363">
        <v>0</v>
      </c>
      <c r="N31" s="267">
        <v>0</v>
      </c>
      <c r="O31" s="267">
        <v>427.86519987000287</v>
      </c>
    </row>
    <row r="32" spans="2:15" ht="15.75" collapsed="1" thickBot="1" x14ac:dyDescent="0.3">
      <c r="B32" s="356" t="s">
        <v>464</v>
      </c>
      <c r="C32" s="373">
        <f>3+SUM(C33:C35)</f>
        <v>6</v>
      </c>
      <c r="D32" s="374">
        <f>C32+SUM(D33:D35)+1</f>
        <v>19</v>
      </c>
      <c r="E32" s="378">
        <f t="shared" si="0"/>
        <v>13408.901903740845</v>
      </c>
      <c r="F32" s="382">
        <f t="shared" si="1"/>
        <v>5568.3747416633369</v>
      </c>
      <c r="G32" s="404">
        <v>7840.5271620775084</v>
      </c>
      <c r="H32" s="378">
        <v>6868.6013486542224</v>
      </c>
      <c r="I32" s="365">
        <v>3762.6053336533359</v>
      </c>
      <c r="J32" s="353">
        <v>513.83624372999998</v>
      </c>
      <c r="K32" s="353">
        <v>389.19992187999992</v>
      </c>
      <c r="L32" s="404">
        <v>902.73324240000034</v>
      </c>
      <c r="M32" s="364">
        <v>4231.6722222766666</v>
      </c>
      <c r="N32" s="266">
        <v>0</v>
      </c>
      <c r="O32" s="266">
        <v>0</v>
      </c>
    </row>
    <row r="33" spans="2:15" ht="45" hidden="1" outlineLevel="1" x14ac:dyDescent="0.25">
      <c r="B33" s="351" t="s">
        <v>481</v>
      </c>
      <c r="C33" s="352">
        <v>1</v>
      </c>
      <c r="D33" s="352">
        <v>4</v>
      </c>
      <c r="E33" s="347">
        <f t="shared" si="0"/>
        <v>1547.8880894200004</v>
      </c>
      <c r="F33" s="347">
        <f t="shared" si="1"/>
        <v>1547.8880894200004</v>
      </c>
      <c r="G33" s="347">
        <v>0</v>
      </c>
      <c r="H33" s="347">
        <v>0</v>
      </c>
      <c r="I33" s="347">
        <v>0</v>
      </c>
      <c r="J33" s="347">
        <v>513.83624372999998</v>
      </c>
      <c r="K33" s="347">
        <v>131.31860329000008</v>
      </c>
      <c r="L33" s="347">
        <v>902.73324240000034</v>
      </c>
      <c r="M33" s="267">
        <v>0</v>
      </c>
      <c r="N33" s="267">
        <v>0</v>
      </c>
      <c r="O33" s="267">
        <v>0</v>
      </c>
    </row>
    <row r="34" spans="2:15" hidden="1" outlineLevel="1" x14ac:dyDescent="0.25">
      <c r="B34" s="349" t="s">
        <v>469</v>
      </c>
      <c r="C34" s="216">
        <v>1</v>
      </c>
      <c r="D34" s="216">
        <v>4</v>
      </c>
      <c r="E34" s="267">
        <f t="shared" si="0"/>
        <v>4020.4866522433358</v>
      </c>
      <c r="F34" s="267">
        <f t="shared" si="1"/>
        <v>4020.4866522433358</v>
      </c>
      <c r="G34" s="267">
        <v>0</v>
      </c>
      <c r="H34" s="267">
        <v>0</v>
      </c>
      <c r="I34" s="267">
        <v>3762.6053336533359</v>
      </c>
      <c r="J34" s="267">
        <v>0</v>
      </c>
      <c r="K34" s="267">
        <v>257.88131858999986</v>
      </c>
      <c r="L34" s="267">
        <v>0</v>
      </c>
      <c r="M34" s="267">
        <v>257.88131858999986</v>
      </c>
      <c r="N34" s="267">
        <v>0</v>
      </c>
      <c r="O34" s="267">
        <v>0</v>
      </c>
    </row>
    <row r="35" spans="2:15" hidden="1" outlineLevel="1" x14ac:dyDescent="0.25">
      <c r="B35" s="349" t="s">
        <v>465</v>
      </c>
      <c r="C35" s="216">
        <v>1</v>
      </c>
      <c r="D35" s="216">
        <v>4</v>
      </c>
      <c r="E35" s="267">
        <f t="shared" si="0"/>
        <v>7840.5271620775084</v>
      </c>
      <c r="F35" s="267">
        <f t="shared" si="1"/>
        <v>0</v>
      </c>
      <c r="G35" s="267">
        <v>7840.5271620775084</v>
      </c>
      <c r="H35" s="267">
        <v>6868.6013486542224</v>
      </c>
      <c r="I35" s="267">
        <v>0</v>
      </c>
      <c r="J35" s="267">
        <v>0</v>
      </c>
      <c r="K35" s="267">
        <v>0</v>
      </c>
      <c r="L35" s="267">
        <v>0</v>
      </c>
      <c r="M35" s="267">
        <v>3973.7909036866663</v>
      </c>
      <c r="N35" s="267">
        <v>0</v>
      </c>
      <c r="O35" s="267">
        <v>0</v>
      </c>
    </row>
    <row r="36" spans="2:15" collapsed="1" x14ac:dyDescent="0.25">
      <c r="D36" s="460">
        <f>D3+D9+D15+D20+D26+D32</f>
        <v>146</v>
      </c>
      <c r="E36" s="460">
        <f t="shared" ref="E36:O36" si="2">E3+E9+E15+E20+E26+E32</f>
        <v>137916.56346095781</v>
      </c>
      <c r="F36" s="460">
        <f t="shared" si="2"/>
        <v>39518.810117743538</v>
      </c>
      <c r="G36" s="460">
        <f t="shared" si="2"/>
        <v>98397.753343214266</v>
      </c>
      <c r="H36" s="460">
        <f>H3+H9+H15+H20+H26+H32</f>
        <v>63037.052086924225</v>
      </c>
      <c r="I36" s="460">
        <f t="shared" si="2"/>
        <v>17482.359849433546</v>
      </c>
      <c r="J36" s="460">
        <f t="shared" si="2"/>
        <v>6088.8179001199987</v>
      </c>
      <c r="K36" s="460">
        <f t="shared" si="2"/>
        <v>4609.3721041000008</v>
      </c>
      <c r="L36" s="460">
        <f t="shared" si="2"/>
        <v>11338.26026409</v>
      </c>
      <c r="M36" s="460">
        <f t="shared" si="2"/>
        <v>10869.918874992622</v>
      </c>
      <c r="N36" s="460">
        <f t="shared" si="2"/>
        <v>82108.980244304985</v>
      </c>
      <c r="O36" s="460">
        <f t="shared" si="2"/>
        <v>2143.4225843900026</v>
      </c>
    </row>
    <row r="37" spans="2:15" ht="15.75" thickBot="1" x14ac:dyDescent="0.3"/>
    <row r="38" spans="2:15" s="130" customFormat="1" ht="60.75" thickBot="1" x14ac:dyDescent="0.3">
      <c r="B38" s="383" t="s">
        <v>586</v>
      </c>
      <c r="C38" s="366" t="s">
        <v>576</v>
      </c>
      <c r="D38" s="361" t="s">
        <v>577</v>
      </c>
      <c r="E38" s="340" t="s">
        <v>578</v>
      </c>
      <c r="F38" s="359" t="s">
        <v>579</v>
      </c>
      <c r="G38" s="388" t="s">
        <v>580</v>
      </c>
      <c r="H38" s="340" t="s">
        <v>299</v>
      </c>
      <c r="I38" s="359" t="s">
        <v>290</v>
      </c>
      <c r="J38" s="360" t="s">
        <v>294</v>
      </c>
      <c r="K38" s="360" t="s">
        <v>295</v>
      </c>
      <c r="L38" s="361" t="s">
        <v>296</v>
      </c>
      <c r="M38" s="350" t="s">
        <v>298</v>
      </c>
      <c r="N38" s="261" t="s">
        <v>300</v>
      </c>
      <c r="O38" s="261" t="s">
        <v>301</v>
      </c>
    </row>
    <row r="39" spans="2:15" x14ac:dyDescent="0.25">
      <c r="B39" s="384" t="s">
        <v>386</v>
      </c>
      <c r="C39" s="367">
        <f>3+SUM(C40:C44)+1</f>
        <v>9</v>
      </c>
      <c r="D39" s="368">
        <f>C39+SUM(D40:D44)+1</f>
        <v>31</v>
      </c>
      <c r="E39" s="375">
        <f t="shared" ref="E39:E68" si="3">F39+G39</f>
        <v>30531.489200121774</v>
      </c>
      <c r="F39" s="362">
        <f t="shared" ref="F39:F68" si="4">I39+J39+K39+L39</f>
        <v>10895.27596530019</v>
      </c>
      <c r="G39" s="405">
        <v>19636.213234821586</v>
      </c>
      <c r="H39" s="375">
        <v>12273.121311639599</v>
      </c>
      <c r="I39" s="362">
        <v>7795.9990057501946</v>
      </c>
      <c r="J39" s="358">
        <v>1421.463026709999</v>
      </c>
      <c r="K39" s="358">
        <v>577.84806899999819</v>
      </c>
      <c r="L39" s="401">
        <v>1099.9658638399994</v>
      </c>
      <c r="M39" s="364">
        <v>2478.7238447799964</v>
      </c>
      <c r="N39" s="266">
        <v>19986.538145539384</v>
      </c>
      <c r="O39" s="266">
        <v>229.76445055999989</v>
      </c>
    </row>
    <row r="40" spans="2:15" ht="30" hidden="1" outlineLevel="1" x14ac:dyDescent="0.25">
      <c r="B40" s="385" t="s">
        <v>390</v>
      </c>
      <c r="C40" s="369">
        <v>1</v>
      </c>
      <c r="D40" s="370">
        <v>5</v>
      </c>
      <c r="E40" s="376">
        <f t="shared" si="3"/>
        <v>1553.8698499799982</v>
      </c>
      <c r="F40" s="363">
        <f t="shared" si="4"/>
        <v>1553.8698499799982</v>
      </c>
      <c r="G40" s="406">
        <v>0</v>
      </c>
      <c r="H40" s="376">
        <v>347.87941717230007</v>
      </c>
      <c r="I40" s="363">
        <v>0</v>
      </c>
      <c r="J40" s="267">
        <v>578.90279447</v>
      </c>
      <c r="K40" s="267">
        <v>399.9251103599982</v>
      </c>
      <c r="L40" s="402">
        <v>575.04194514999995</v>
      </c>
      <c r="M40" s="363">
        <v>946.13269909000314</v>
      </c>
      <c r="N40" s="267">
        <v>0</v>
      </c>
      <c r="O40" s="267">
        <v>119.69833200999993</v>
      </c>
    </row>
    <row r="41" spans="2:15" hidden="1" outlineLevel="1" x14ac:dyDescent="0.25">
      <c r="B41" s="385" t="s">
        <v>395</v>
      </c>
      <c r="C41" s="369">
        <v>1</v>
      </c>
      <c r="D41" s="370">
        <v>3</v>
      </c>
      <c r="E41" s="376">
        <f t="shared" si="3"/>
        <v>3231.5197725089533</v>
      </c>
      <c r="F41" s="363">
        <f t="shared" si="4"/>
        <v>987.50686609000059</v>
      </c>
      <c r="G41" s="406">
        <v>2244.0129064189528</v>
      </c>
      <c r="H41" s="376">
        <v>1373.3031558077007</v>
      </c>
      <c r="I41" s="363">
        <v>0</v>
      </c>
      <c r="J41" s="267">
        <v>533.97052006000104</v>
      </c>
      <c r="K41" s="267">
        <v>7.8141784400000001</v>
      </c>
      <c r="L41" s="402">
        <v>445.72216758999963</v>
      </c>
      <c r="M41" s="363">
        <v>464.16744719999951</v>
      </c>
      <c r="N41" s="267">
        <v>99.474719699999994</v>
      </c>
      <c r="O41" s="267">
        <v>25.730178769999995</v>
      </c>
    </row>
    <row r="42" spans="2:15" ht="45" hidden="1" outlineLevel="1" x14ac:dyDescent="0.25">
      <c r="B42" s="385" t="s">
        <v>387</v>
      </c>
      <c r="C42" s="369">
        <v>1</v>
      </c>
      <c r="D42" s="370">
        <v>5</v>
      </c>
      <c r="E42" s="376">
        <f t="shared" si="3"/>
        <v>8566.796816606362</v>
      </c>
      <c r="F42" s="363">
        <f t="shared" si="4"/>
        <v>8270.9273328201925</v>
      </c>
      <c r="G42" s="406">
        <v>295.86948378616916</v>
      </c>
      <c r="H42" s="376">
        <v>850.82596194839903</v>
      </c>
      <c r="I42" s="363">
        <v>7795.9990057501946</v>
      </c>
      <c r="J42" s="267">
        <v>294.47102413999795</v>
      </c>
      <c r="K42" s="267">
        <v>123.02628884999999</v>
      </c>
      <c r="L42" s="402">
        <v>57.431014080000011</v>
      </c>
      <c r="M42" s="363">
        <v>1068.4236984899937</v>
      </c>
      <c r="N42" s="267">
        <v>0</v>
      </c>
      <c r="O42" s="267">
        <v>82.338081789999947</v>
      </c>
    </row>
    <row r="43" spans="2:15" hidden="1" outlineLevel="1" x14ac:dyDescent="0.25">
      <c r="B43" s="385" t="s">
        <v>401</v>
      </c>
      <c r="C43" s="369">
        <v>1</v>
      </c>
      <c r="D43" s="370">
        <v>4</v>
      </c>
      <c r="E43" s="376">
        <f t="shared" si="3"/>
        <v>8359.3342845734132</v>
      </c>
      <c r="F43" s="363">
        <f t="shared" si="4"/>
        <v>0</v>
      </c>
      <c r="G43" s="406">
        <v>8359.3342845734132</v>
      </c>
      <c r="H43" s="376">
        <v>4794.1233075853006</v>
      </c>
      <c r="I43" s="363">
        <v>0</v>
      </c>
      <c r="J43" s="267">
        <v>0</v>
      </c>
      <c r="K43" s="267">
        <v>0</v>
      </c>
      <c r="L43" s="402">
        <v>0</v>
      </c>
      <c r="M43" s="363">
        <v>0</v>
      </c>
      <c r="N43" s="267">
        <v>14309.051815629386</v>
      </c>
      <c r="O43" s="267">
        <v>0</v>
      </c>
    </row>
    <row r="44" spans="2:15" hidden="1" outlineLevel="1" x14ac:dyDescent="0.25">
      <c r="B44" s="385" t="s">
        <v>399</v>
      </c>
      <c r="C44" s="369">
        <v>1</v>
      </c>
      <c r="D44" s="370">
        <v>4</v>
      </c>
      <c r="E44" s="376">
        <f t="shared" si="3"/>
        <v>8819.9684764530521</v>
      </c>
      <c r="F44" s="363">
        <f t="shared" si="4"/>
        <v>82.971916409999992</v>
      </c>
      <c r="G44" s="406">
        <v>8736.9965600430514</v>
      </c>
      <c r="H44" s="376">
        <v>4906.9894691258996</v>
      </c>
      <c r="I44" s="363">
        <v>0</v>
      </c>
      <c r="J44" s="267">
        <v>14.118688039999999</v>
      </c>
      <c r="K44" s="267">
        <v>47.082491349999991</v>
      </c>
      <c r="L44" s="402">
        <v>21.770737020000002</v>
      </c>
      <c r="M44" s="363">
        <v>0</v>
      </c>
      <c r="N44" s="267">
        <v>5578.0116102099983</v>
      </c>
      <c r="O44" s="267">
        <v>1.99785799</v>
      </c>
    </row>
    <row r="45" spans="2:15" collapsed="1" x14ac:dyDescent="0.25">
      <c r="B45" s="386" t="s">
        <v>561</v>
      </c>
      <c r="C45" s="371">
        <f>3+SUM(C46:C50)</f>
        <v>8</v>
      </c>
      <c r="D45" s="372">
        <f>C45+SUM(D46:D50)+1</f>
        <v>27</v>
      </c>
      <c r="E45" s="377">
        <f t="shared" si="3"/>
        <v>32945.039675367836</v>
      </c>
      <c r="F45" s="364">
        <f t="shared" si="4"/>
        <v>5457.2529747800145</v>
      </c>
      <c r="G45" s="407">
        <v>27487.786700587818</v>
      </c>
      <c r="H45" s="377">
        <v>15542.800757655601</v>
      </c>
      <c r="I45" s="364">
        <v>3662.564846030014</v>
      </c>
      <c r="J45" s="266">
        <v>173.16369879999999</v>
      </c>
      <c r="K45" s="266">
        <v>213.51334866999997</v>
      </c>
      <c r="L45" s="403">
        <v>1408.0110812800001</v>
      </c>
      <c r="M45" s="364">
        <v>1234.3652387949999</v>
      </c>
      <c r="N45" s="266">
        <v>18132.457968977826</v>
      </c>
      <c r="O45" s="266">
        <v>0</v>
      </c>
    </row>
    <row r="46" spans="2:15" hidden="1" outlineLevel="1" x14ac:dyDescent="0.25">
      <c r="B46" s="385" t="s">
        <v>323</v>
      </c>
      <c r="C46" s="369">
        <v>1</v>
      </c>
      <c r="D46" s="370">
        <v>2</v>
      </c>
      <c r="E46" s="376">
        <f t="shared" si="3"/>
        <v>870.08585702000005</v>
      </c>
      <c r="F46" s="363">
        <f t="shared" si="4"/>
        <v>870.08585702000005</v>
      </c>
      <c r="G46" s="406">
        <v>0</v>
      </c>
      <c r="H46" s="376">
        <v>3.2087243721000003</v>
      </c>
      <c r="I46" s="363">
        <v>75.907049919999992</v>
      </c>
      <c r="J46" s="267">
        <v>107.33266947</v>
      </c>
      <c r="K46" s="267">
        <v>122.43241521999997</v>
      </c>
      <c r="L46" s="402">
        <v>564.4137224100001</v>
      </c>
      <c r="M46" s="363">
        <v>57.874596949999876</v>
      </c>
      <c r="N46" s="267">
        <v>0</v>
      </c>
      <c r="O46" s="267">
        <v>0</v>
      </c>
    </row>
    <row r="47" spans="2:15" hidden="1" outlineLevel="1" x14ac:dyDescent="0.25">
      <c r="B47" s="385" t="s">
        <v>318</v>
      </c>
      <c r="C47" s="369">
        <v>1</v>
      </c>
      <c r="D47" s="370">
        <v>4</v>
      </c>
      <c r="E47" s="376">
        <f t="shared" si="3"/>
        <v>1538.4790486999977</v>
      </c>
      <c r="F47" s="363">
        <f t="shared" si="4"/>
        <v>1538.4790486999977</v>
      </c>
      <c r="G47" s="406">
        <v>0</v>
      </c>
      <c r="H47" s="376">
        <v>0.65</v>
      </c>
      <c r="I47" s="363">
        <v>537.96972704999769</v>
      </c>
      <c r="J47" s="267">
        <v>65.831029329999993</v>
      </c>
      <c r="K47" s="267">
        <v>91.080933449999975</v>
      </c>
      <c r="L47" s="402">
        <v>843.59735887000022</v>
      </c>
      <c r="M47" s="363">
        <v>1176.490641845</v>
      </c>
      <c r="N47" s="267">
        <v>0</v>
      </c>
      <c r="O47" s="267">
        <v>0</v>
      </c>
    </row>
    <row r="48" spans="2:15" hidden="1" outlineLevel="1" x14ac:dyDescent="0.25">
      <c r="B48" s="385" t="s">
        <v>337</v>
      </c>
      <c r="C48" s="369">
        <v>1</v>
      </c>
      <c r="D48" s="370">
        <v>3</v>
      </c>
      <c r="E48" s="376">
        <f t="shared" si="3"/>
        <v>3048.6880690600165</v>
      </c>
      <c r="F48" s="363">
        <f t="shared" si="4"/>
        <v>3048.6880690600165</v>
      </c>
      <c r="G48" s="406">
        <v>0</v>
      </c>
      <c r="H48" s="376">
        <v>361.01</v>
      </c>
      <c r="I48" s="363">
        <v>3048.6880690600165</v>
      </c>
      <c r="J48" s="267">
        <v>0</v>
      </c>
      <c r="K48" s="267">
        <v>0</v>
      </c>
      <c r="L48" s="402">
        <v>0</v>
      </c>
      <c r="M48" s="363">
        <v>0</v>
      </c>
      <c r="N48" s="267">
        <v>0</v>
      </c>
      <c r="O48" s="267">
        <v>0</v>
      </c>
    </row>
    <row r="49" spans="2:15" ht="30" hidden="1" outlineLevel="1" x14ac:dyDescent="0.25">
      <c r="B49" s="385" t="s">
        <v>362</v>
      </c>
      <c r="C49" s="369">
        <v>1</v>
      </c>
      <c r="D49" s="370">
        <v>5</v>
      </c>
      <c r="E49" s="376">
        <f t="shared" si="3"/>
        <v>15341.407347053479</v>
      </c>
      <c r="F49" s="363">
        <f t="shared" si="4"/>
        <v>0</v>
      </c>
      <c r="G49" s="406">
        <v>15341.407347053479</v>
      </c>
      <c r="H49" s="376">
        <v>8867.4410380933004</v>
      </c>
      <c r="I49" s="363">
        <v>0</v>
      </c>
      <c r="J49" s="267">
        <v>0</v>
      </c>
      <c r="K49" s="267">
        <v>0</v>
      </c>
      <c r="L49" s="402">
        <v>0</v>
      </c>
      <c r="M49" s="363">
        <v>0</v>
      </c>
      <c r="N49" s="267">
        <v>6817.7504379784077</v>
      </c>
      <c r="O49" s="267">
        <v>0</v>
      </c>
    </row>
    <row r="50" spans="2:15" ht="30" hidden="1" outlineLevel="1" x14ac:dyDescent="0.25">
      <c r="B50" s="385" t="s">
        <v>364</v>
      </c>
      <c r="C50" s="369">
        <v>1</v>
      </c>
      <c r="D50" s="370">
        <v>4</v>
      </c>
      <c r="E50" s="376">
        <f t="shared" si="3"/>
        <v>12146.379353534339</v>
      </c>
      <c r="F50" s="363">
        <f t="shared" si="4"/>
        <v>0</v>
      </c>
      <c r="G50" s="406">
        <v>12146.379353534339</v>
      </c>
      <c r="H50" s="376">
        <v>6310.4909951902</v>
      </c>
      <c r="I50" s="363">
        <v>0</v>
      </c>
      <c r="J50" s="267">
        <v>0</v>
      </c>
      <c r="K50" s="267">
        <v>0</v>
      </c>
      <c r="L50" s="402">
        <v>0</v>
      </c>
      <c r="M50" s="363">
        <v>0</v>
      </c>
      <c r="N50" s="267">
        <v>11314.707530999416</v>
      </c>
      <c r="O50" s="267">
        <v>0</v>
      </c>
    </row>
    <row r="51" spans="2:15" collapsed="1" x14ac:dyDescent="0.25">
      <c r="B51" s="386" t="s">
        <v>526</v>
      </c>
      <c r="C51" s="371">
        <f>3+SUM(C52:C55)</f>
        <v>7</v>
      </c>
      <c r="D51" s="372">
        <f>C51+SUM(D52:D55)+1</f>
        <v>22</v>
      </c>
      <c r="E51" s="377">
        <f t="shared" si="3"/>
        <v>22134.897029869255</v>
      </c>
      <c r="F51" s="364">
        <f t="shared" si="4"/>
        <v>5095.6606410700006</v>
      </c>
      <c r="G51" s="407">
        <v>17039.236388799254</v>
      </c>
      <c r="H51" s="377">
        <v>11916.8986853228</v>
      </c>
      <c r="I51" s="364">
        <v>1396.6687616800002</v>
      </c>
      <c r="J51" s="266">
        <v>710.29184913999995</v>
      </c>
      <c r="K51" s="266">
        <v>1379.57056158</v>
      </c>
      <c r="L51" s="403">
        <v>1609.1294686700001</v>
      </c>
      <c r="M51" s="364">
        <v>30.151158260957615</v>
      </c>
      <c r="N51" s="266">
        <v>17894.758836269666</v>
      </c>
      <c r="O51" s="266">
        <v>0</v>
      </c>
    </row>
    <row r="52" spans="2:15" hidden="1" outlineLevel="1" x14ac:dyDescent="0.25">
      <c r="B52" s="385" t="s">
        <v>527</v>
      </c>
      <c r="C52" s="369">
        <v>1</v>
      </c>
      <c r="D52" s="370">
        <v>3</v>
      </c>
      <c r="E52" s="376">
        <f t="shared" si="3"/>
        <v>2205.5616479200003</v>
      </c>
      <c r="F52" s="363">
        <f t="shared" si="4"/>
        <v>2205.5616479200003</v>
      </c>
      <c r="G52" s="406">
        <v>0</v>
      </c>
      <c r="H52" s="376">
        <v>1.1193</v>
      </c>
      <c r="I52" s="363">
        <v>390.49090773000012</v>
      </c>
      <c r="J52" s="267">
        <v>31.784312930000041</v>
      </c>
      <c r="K52" s="267">
        <v>807.06392650999999</v>
      </c>
      <c r="L52" s="402">
        <v>976.22250074999999</v>
      </c>
      <c r="M52" s="363">
        <v>0</v>
      </c>
      <c r="N52" s="267">
        <v>0</v>
      </c>
      <c r="O52" s="267">
        <v>0</v>
      </c>
    </row>
    <row r="53" spans="2:15" ht="30" hidden="1" outlineLevel="1" x14ac:dyDescent="0.25">
      <c r="B53" s="385" t="s">
        <v>529</v>
      </c>
      <c r="C53" s="369">
        <v>1</v>
      </c>
      <c r="D53" s="370">
        <v>4</v>
      </c>
      <c r="E53" s="376">
        <f t="shared" si="3"/>
        <v>2890.0989931500003</v>
      </c>
      <c r="F53" s="363">
        <f t="shared" si="4"/>
        <v>2890.0989931500003</v>
      </c>
      <c r="G53" s="406">
        <v>0</v>
      </c>
      <c r="H53" s="376">
        <v>533.285680447</v>
      </c>
      <c r="I53" s="363">
        <v>1006.1778539500002</v>
      </c>
      <c r="J53" s="267">
        <v>678.5075362099999</v>
      </c>
      <c r="K53" s="267">
        <v>572.50663506999979</v>
      </c>
      <c r="L53" s="402">
        <v>632.90696792000006</v>
      </c>
      <c r="M53" s="363">
        <v>0</v>
      </c>
      <c r="N53" s="267">
        <v>0</v>
      </c>
      <c r="O53" s="267">
        <v>0</v>
      </c>
    </row>
    <row r="54" spans="2:15" hidden="1" outlineLevel="1" x14ac:dyDescent="0.25">
      <c r="B54" s="385" t="s">
        <v>552</v>
      </c>
      <c r="C54" s="369">
        <v>1</v>
      </c>
      <c r="D54" s="370">
        <v>4</v>
      </c>
      <c r="E54" s="376">
        <f t="shared" si="3"/>
        <v>9219.4500760850515</v>
      </c>
      <c r="F54" s="363">
        <f t="shared" si="4"/>
        <v>0</v>
      </c>
      <c r="G54" s="406">
        <v>9219.4500760850515</v>
      </c>
      <c r="H54" s="376">
        <v>5762.5538821981008</v>
      </c>
      <c r="I54" s="363">
        <v>0</v>
      </c>
      <c r="J54" s="267">
        <v>0</v>
      </c>
      <c r="K54" s="267">
        <v>0</v>
      </c>
      <c r="L54" s="402">
        <v>0</v>
      </c>
      <c r="M54" s="363">
        <v>27.130505840957614</v>
      </c>
      <c r="N54" s="267">
        <v>1239.276737919979</v>
      </c>
      <c r="O54" s="267">
        <v>0</v>
      </c>
    </row>
    <row r="55" spans="2:15" hidden="1" outlineLevel="1" x14ac:dyDescent="0.25">
      <c r="B55" s="385" t="s">
        <v>556</v>
      </c>
      <c r="C55" s="369">
        <v>1</v>
      </c>
      <c r="D55" s="370">
        <v>3</v>
      </c>
      <c r="E55" s="376">
        <f t="shared" si="3"/>
        <v>7819.7863127142036</v>
      </c>
      <c r="F55" s="363">
        <f t="shared" si="4"/>
        <v>0</v>
      </c>
      <c r="G55" s="406">
        <v>7819.7863127142036</v>
      </c>
      <c r="H55" s="376">
        <v>5619.9398226776993</v>
      </c>
      <c r="I55" s="363">
        <v>0</v>
      </c>
      <c r="J55" s="267">
        <v>0</v>
      </c>
      <c r="K55" s="267">
        <v>0</v>
      </c>
      <c r="L55" s="402">
        <v>0</v>
      </c>
      <c r="M55" s="363">
        <v>3.0206524199999998</v>
      </c>
      <c r="N55" s="267">
        <v>16655.482098349687</v>
      </c>
      <c r="O55" s="267">
        <v>0</v>
      </c>
    </row>
    <row r="56" spans="2:15" collapsed="1" x14ac:dyDescent="0.25">
      <c r="B56" s="386" t="s">
        <v>489</v>
      </c>
      <c r="C56" s="371">
        <f>3+SUM(C57:C61)</f>
        <v>8</v>
      </c>
      <c r="D56" s="372">
        <f>C56+SUM(D57:D61)+1</f>
        <v>26</v>
      </c>
      <c r="E56" s="377">
        <f t="shared" si="3"/>
        <v>29988.285760598104</v>
      </c>
      <c r="F56" s="364">
        <f t="shared" si="4"/>
        <v>4863.1736128500033</v>
      </c>
      <c r="G56" s="407">
        <v>25125.112147748099</v>
      </c>
      <c r="H56" s="377">
        <v>15579.989592549202</v>
      </c>
      <c r="I56" s="364">
        <v>0</v>
      </c>
      <c r="J56" s="266">
        <v>819.35425326999996</v>
      </c>
      <c r="K56" s="266">
        <v>1212.8315041000023</v>
      </c>
      <c r="L56" s="403">
        <v>2830.9878554800007</v>
      </c>
      <c r="M56" s="364">
        <v>2258.7946356799998</v>
      </c>
      <c r="N56" s="266">
        <v>25108.963002738099</v>
      </c>
      <c r="O56" s="266">
        <v>0</v>
      </c>
    </row>
    <row r="57" spans="2:15" hidden="1" outlineLevel="1" x14ac:dyDescent="0.25">
      <c r="B57" s="385" t="s">
        <v>490</v>
      </c>
      <c r="C57" s="369">
        <v>1</v>
      </c>
      <c r="D57" s="370">
        <v>4</v>
      </c>
      <c r="E57" s="376">
        <f t="shared" si="3"/>
        <v>4805.7731279234686</v>
      </c>
      <c r="F57" s="363">
        <f t="shared" si="4"/>
        <v>2665.1572822400021</v>
      </c>
      <c r="G57" s="406">
        <v>2140.6158456834664</v>
      </c>
      <c r="H57" s="376">
        <v>1078.9944829924</v>
      </c>
      <c r="I57" s="363">
        <v>0</v>
      </c>
      <c r="J57" s="267">
        <v>261.38528133999995</v>
      </c>
      <c r="K57" s="267">
        <v>724.3178531900021</v>
      </c>
      <c r="L57" s="402">
        <v>1679.4541477100004</v>
      </c>
      <c r="M57" s="363">
        <v>1073.5733923999996</v>
      </c>
      <c r="N57" s="267">
        <v>0</v>
      </c>
      <c r="O57" s="267">
        <v>0</v>
      </c>
    </row>
    <row r="58" spans="2:15" hidden="1" outlineLevel="1" x14ac:dyDescent="0.25">
      <c r="B58" s="385" t="s">
        <v>495</v>
      </c>
      <c r="C58" s="369">
        <v>1</v>
      </c>
      <c r="D58" s="370">
        <v>3</v>
      </c>
      <c r="E58" s="376">
        <f t="shared" si="3"/>
        <v>1444.4096538200006</v>
      </c>
      <c r="F58" s="363">
        <f t="shared" si="4"/>
        <v>1444.4096538200006</v>
      </c>
      <c r="G58" s="406">
        <v>0</v>
      </c>
      <c r="H58" s="376">
        <v>3.7953370000000004</v>
      </c>
      <c r="I58" s="363">
        <v>0</v>
      </c>
      <c r="J58" s="267">
        <v>424.67587693000002</v>
      </c>
      <c r="K58" s="267">
        <v>283.75698429000033</v>
      </c>
      <c r="L58" s="402">
        <v>735.97679260000029</v>
      </c>
      <c r="M58" s="363">
        <v>1075.4139824999997</v>
      </c>
      <c r="N58" s="267">
        <v>0</v>
      </c>
      <c r="O58" s="267">
        <v>0</v>
      </c>
    </row>
    <row r="59" spans="2:15" hidden="1" outlineLevel="1" x14ac:dyDescent="0.25">
      <c r="B59" s="385" t="s">
        <v>503</v>
      </c>
      <c r="C59" s="369">
        <v>1</v>
      </c>
      <c r="D59" s="370">
        <v>3</v>
      </c>
      <c r="E59" s="376">
        <f t="shared" si="3"/>
        <v>1643.1814714499783</v>
      </c>
      <c r="F59" s="363">
        <f t="shared" si="4"/>
        <v>753.60667678999994</v>
      </c>
      <c r="G59" s="406">
        <v>889.57479465997847</v>
      </c>
      <c r="H59" s="376">
        <v>577.76288474320006</v>
      </c>
      <c r="I59" s="363">
        <v>0</v>
      </c>
      <c r="J59" s="267">
        <v>133.29309499999997</v>
      </c>
      <c r="K59" s="267">
        <v>204.75666661999992</v>
      </c>
      <c r="L59" s="402">
        <v>415.55691516999997</v>
      </c>
      <c r="M59" s="363">
        <v>109.80726077999999</v>
      </c>
      <c r="N59" s="267">
        <v>0</v>
      </c>
      <c r="O59" s="267">
        <v>0</v>
      </c>
    </row>
    <row r="60" spans="2:15" hidden="1" outlineLevel="1" x14ac:dyDescent="0.25">
      <c r="B60" s="385" t="s">
        <v>507</v>
      </c>
      <c r="C60" s="369">
        <v>1</v>
      </c>
      <c r="D60" s="370">
        <v>3</v>
      </c>
      <c r="E60" s="376">
        <f t="shared" si="3"/>
        <v>10124.639624576168</v>
      </c>
      <c r="F60" s="363">
        <f t="shared" si="4"/>
        <v>0</v>
      </c>
      <c r="G60" s="406">
        <v>10124.639624576168</v>
      </c>
      <c r="H60" s="376">
        <v>6569.7672306954992</v>
      </c>
      <c r="I60" s="363">
        <v>0</v>
      </c>
      <c r="J60" s="267">
        <v>0</v>
      </c>
      <c r="K60" s="267">
        <v>0</v>
      </c>
      <c r="L60" s="402">
        <v>0</v>
      </c>
      <c r="M60" s="363">
        <v>0</v>
      </c>
      <c r="N60" s="267">
        <v>8507.1196553092268</v>
      </c>
      <c r="O60" s="267">
        <v>0</v>
      </c>
    </row>
    <row r="61" spans="2:15" hidden="1" outlineLevel="1" x14ac:dyDescent="0.25">
      <c r="B61" s="385" t="s">
        <v>509</v>
      </c>
      <c r="C61" s="369">
        <v>1</v>
      </c>
      <c r="D61" s="370">
        <v>4</v>
      </c>
      <c r="E61" s="376">
        <f t="shared" si="3"/>
        <v>11970.281882828489</v>
      </c>
      <c r="F61" s="363">
        <f t="shared" si="4"/>
        <v>0</v>
      </c>
      <c r="G61" s="406">
        <v>11970.281882828489</v>
      </c>
      <c r="H61" s="376">
        <v>7349.6696571181028</v>
      </c>
      <c r="I61" s="363">
        <v>0</v>
      </c>
      <c r="J61" s="267">
        <v>0</v>
      </c>
      <c r="K61" s="267">
        <v>0</v>
      </c>
      <c r="L61" s="402">
        <v>0</v>
      </c>
      <c r="M61" s="363">
        <v>0</v>
      </c>
      <c r="N61" s="267">
        <v>16601.843347428872</v>
      </c>
      <c r="O61" s="267">
        <v>0</v>
      </c>
    </row>
    <row r="62" spans="2:15" ht="15.75" collapsed="1" thickBot="1" x14ac:dyDescent="0.3">
      <c r="B62" s="387" t="s">
        <v>582</v>
      </c>
      <c r="C62" s="373">
        <f>3+SUM(C63:C68)</f>
        <v>9</v>
      </c>
      <c r="D62" s="374">
        <f>C62+SUM(D63:D68)+1</f>
        <v>36</v>
      </c>
      <c r="E62" s="378">
        <f t="shared" si="3"/>
        <v>22316.851795000846</v>
      </c>
      <c r="F62" s="365">
        <f t="shared" si="4"/>
        <v>13207.446923743335</v>
      </c>
      <c r="G62" s="408">
        <f>SUM(G63:G68)</f>
        <v>9109.4048712575132</v>
      </c>
      <c r="H62" s="378">
        <f>SUM(H63:H68)</f>
        <v>7724.2417397570234</v>
      </c>
      <c r="I62" s="365">
        <f t="shared" ref="I62:O62" si="5">SUM(I63:I68)</f>
        <v>4627.1272359733366</v>
      </c>
      <c r="J62" s="353">
        <f t="shared" si="5"/>
        <v>2964.5450721999996</v>
      </c>
      <c r="K62" s="353">
        <f t="shared" si="5"/>
        <v>1225.60862075</v>
      </c>
      <c r="L62" s="404">
        <f t="shared" si="5"/>
        <v>4390.1659948199995</v>
      </c>
      <c r="M62" s="364">
        <f t="shared" si="5"/>
        <v>4867.8839974766661</v>
      </c>
      <c r="N62" s="266">
        <f t="shared" si="5"/>
        <v>986.26229077999062</v>
      </c>
      <c r="O62" s="266">
        <f t="shared" si="5"/>
        <v>1913.658133830003</v>
      </c>
    </row>
    <row r="63" spans="2:15" hidden="1" outlineLevel="2" x14ac:dyDescent="0.25">
      <c r="B63" s="351" t="s">
        <v>583</v>
      </c>
      <c r="C63" s="352">
        <v>1</v>
      </c>
      <c r="D63" s="352">
        <v>5</v>
      </c>
      <c r="E63" s="347">
        <f t="shared" si="3"/>
        <v>1805.7694080100005</v>
      </c>
      <c r="F63" s="347">
        <f t="shared" si="4"/>
        <v>1805.7694080100005</v>
      </c>
      <c r="G63" s="347">
        <v>0</v>
      </c>
      <c r="H63" s="347">
        <v>0</v>
      </c>
      <c r="I63" s="347">
        <v>0</v>
      </c>
      <c r="J63" s="347">
        <v>513.83624373000009</v>
      </c>
      <c r="K63" s="347">
        <v>389.19992187999998</v>
      </c>
      <c r="L63" s="347">
        <v>902.73324240000022</v>
      </c>
      <c r="M63" s="267">
        <v>257.88131858999986</v>
      </c>
      <c r="N63" s="267">
        <v>0</v>
      </c>
      <c r="O63" s="267">
        <v>0</v>
      </c>
    </row>
    <row r="64" spans="2:15" hidden="1" outlineLevel="2" x14ac:dyDescent="0.25">
      <c r="B64" s="349" t="s">
        <v>584</v>
      </c>
      <c r="C64" s="216">
        <v>1</v>
      </c>
      <c r="D64" s="216">
        <v>5</v>
      </c>
      <c r="E64" s="267">
        <f t="shared" si="3"/>
        <v>4627.1272359733366</v>
      </c>
      <c r="F64" s="267">
        <f t="shared" si="4"/>
        <v>4627.1272359733366</v>
      </c>
      <c r="G64" s="267">
        <v>0</v>
      </c>
      <c r="H64" s="267">
        <v>0</v>
      </c>
      <c r="I64" s="267">
        <v>4627.1272359733366</v>
      </c>
      <c r="J64" s="267">
        <v>0</v>
      </c>
      <c r="K64" s="267">
        <v>0</v>
      </c>
      <c r="L64" s="267">
        <v>0</v>
      </c>
      <c r="M64" s="267">
        <v>0</v>
      </c>
      <c r="N64" s="267">
        <v>0</v>
      </c>
      <c r="O64" s="267">
        <v>1913.658133830003</v>
      </c>
    </row>
    <row r="65" spans="2:17" hidden="1" outlineLevel="2" x14ac:dyDescent="0.25">
      <c r="B65" s="349" t="s">
        <v>585</v>
      </c>
      <c r="C65" s="216">
        <v>1</v>
      </c>
      <c r="D65" s="216">
        <v>5</v>
      </c>
      <c r="E65" s="267">
        <f t="shared" si="3"/>
        <v>7840.5271620775084</v>
      </c>
      <c r="F65" s="267">
        <f t="shared" si="4"/>
        <v>0</v>
      </c>
      <c r="G65" s="267">
        <v>7840.5271620775084</v>
      </c>
      <c r="H65" s="267">
        <v>6868.6013486542233</v>
      </c>
      <c r="I65" s="267">
        <v>0</v>
      </c>
      <c r="J65" s="267">
        <v>0</v>
      </c>
      <c r="K65" s="267">
        <v>0</v>
      </c>
      <c r="L65" s="267">
        <v>0</v>
      </c>
      <c r="M65" s="267">
        <v>3973.7909036866663</v>
      </c>
      <c r="N65" s="267">
        <v>986.26229077999062</v>
      </c>
      <c r="O65" s="267">
        <v>0</v>
      </c>
    </row>
    <row r="66" spans="2:17" ht="30" hidden="1" outlineLevel="2" x14ac:dyDescent="0.25">
      <c r="B66" s="349" t="s">
        <v>443</v>
      </c>
      <c r="C66" s="216">
        <v>1</v>
      </c>
      <c r="D66" s="216">
        <v>4</v>
      </c>
      <c r="E66" s="267">
        <f t="shared" si="3"/>
        <v>3056.2469241100007</v>
      </c>
      <c r="F66" s="267">
        <f t="shared" si="4"/>
        <v>2302.9212674499995</v>
      </c>
      <c r="G66" s="267">
        <v>753.32565666000141</v>
      </c>
      <c r="H66" s="267">
        <v>586.51244633019996</v>
      </c>
      <c r="I66" s="267">
        <v>0</v>
      </c>
      <c r="J66" s="267">
        <v>901.71375716999978</v>
      </c>
      <c r="K66" s="267">
        <v>522.36151340000015</v>
      </c>
      <c r="L66" s="267">
        <v>878.8459968799998</v>
      </c>
      <c r="M66" s="267">
        <v>18.11060694</v>
      </c>
      <c r="N66" s="267">
        <v>0</v>
      </c>
      <c r="O66" s="267">
        <v>0</v>
      </c>
    </row>
    <row r="67" spans="2:17" ht="30" hidden="1" outlineLevel="2" x14ac:dyDescent="0.25">
      <c r="B67" s="349" t="s">
        <v>439</v>
      </c>
      <c r="C67" s="216">
        <v>1</v>
      </c>
      <c r="D67" s="216">
        <v>3</v>
      </c>
      <c r="E67" s="267">
        <f t="shared" si="3"/>
        <v>2345.7751313300009</v>
      </c>
      <c r="F67" s="267">
        <f t="shared" si="4"/>
        <v>2031.3369777600001</v>
      </c>
      <c r="G67" s="267">
        <v>314.43815357000085</v>
      </c>
      <c r="H67" s="267">
        <v>130.42390994099998</v>
      </c>
      <c r="I67" s="267">
        <v>0</v>
      </c>
      <c r="J67" s="267">
        <v>713.47514594999996</v>
      </c>
      <c r="K67" s="267">
        <v>235.62862249</v>
      </c>
      <c r="L67" s="267">
        <v>1082.23320932</v>
      </c>
      <c r="M67" s="267">
        <v>257.44670998999993</v>
      </c>
      <c r="N67" s="267">
        <v>0</v>
      </c>
      <c r="O67" s="267">
        <v>0</v>
      </c>
    </row>
    <row r="68" spans="2:17" ht="30" hidden="1" outlineLevel="2" x14ac:dyDescent="0.25">
      <c r="B68" s="349" t="s">
        <v>453</v>
      </c>
      <c r="C68" s="216">
        <v>1</v>
      </c>
      <c r="D68" s="216">
        <v>4</v>
      </c>
      <c r="E68" s="267">
        <f t="shared" si="3"/>
        <v>2641.4059335000002</v>
      </c>
      <c r="F68" s="267">
        <f t="shared" si="4"/>
        <v>2440.2920345499997</v>
      </c>
      <c r="G68" s="267">
        <v>201.11389895000065</v>
      </c>
      <c r="H68" s="267">
        <v>138.70403483160004</v>
      </c>
      <c r="I68" s="267">
        <v>0</v>
      </c>
      <c r="J68" s="267">
        <v>835.51992534999999</v>
      </c>
      <c r="K68" s="267">
        <v>78.418562980000004</v>
      </c>
      <c r="L68" s="267">
        <v>1526.3535462199998</v>
      </c>
      <c r="M68" s="267">
        <v>360.65445826999996</v>
      </c>
      <c r="N68" s="267">
        <v>0</v>
      </c>
      <c r="O68" s="267">
        <v>0</v>
      </c>
    </row>
    <row r="69" spans="2:17" collapsed="1" x14ac:dyDescent="0.25">
      <c r="D69" s="265">
        <f>D39+D45+D51+D56+D62</f>
        <v>142</v>
      </c>
      <c r="E69" s="460">
        <f t="shared" ref="E69:O69" si="6">E39+E45+E51+E56+E62</f>
        <v>137916.56346095781</v>
      </c>
      <c r="F69" s="460">
        <f t="shared" si="6"/>
        <v>39518.810117743546</v>
      </c>
      <c r="G69" s="460">
        <f t="shared" si="6"/>
        <v>98397.753343214281</v>
      </c>
      <c r="H69" s="460">
        <f>H39+H45+H51+H56+H62</f>
        <v>63037.052086924225</v>
      </c>
      <c r="I69" s="460">
        <f t="shared" si="6"/>
        <v>17482.359849433546</v>
      </c>
      <c r="J69" s="460">
        <f t="shared" si="6"/>
        <v>6088.8179001199987</v>
      </c>
      <c r="K69" s="460">
        <f t="shared" si="6"/>
        <v>4609.3721041000008</v>
      </c>
      <c r="L69" s="460">
        <f t="shared" si="6"/>
        <v>11338.26026409</v>
      </c>
      <c r="M69" s="460">
        <f t="shared" si="6"/>
        <v>10869.91887499262</v>
      </c>
      <c r="N69" s="460">
        <f t="shared" si="6"/>
        <v>82108.980244304985</v>
      </c>
      <c r="O69" s="460">
        <f t="shared" si="6"/>
        <v>2143.4225843900031</v>
      </c>
    </row>
    <row r="70" spans="2:17" ht="15.75" thickBot="1" x14ac:dyDescent="0.3"/>
    <row r="71" spans="2:17" ht="60.75" thickBot="1" x14ac:dyDescent="0.3">
      <c r="B71" s="383" t="s">
        <v>587</v>
      </c>
      <c r="C71" s="366" t="s">
        <v>576</v>
      </c>
      <c r="D71" s="361" t="s">
        <v>577</v>
      </c>
      <c r="E71" s="341" t="s">
        <v>578</v>
      </c>
      <c r="F71" s="366" t="s">
        <v>579</v>
      </c>
      <c r="G71" s="361" t="s">
        <v>580</v>
      </c>
      <c r="H71" s="340" t="s">
        <v>299</v>
      </c>
      <c r="I71" s="359" t="s">
        <v>290</v>
      </c>
      <c r="J71" s="360" t="s">
        <v>294</v>
      </c>
      <c r="K71" s="360" t="s">
        <v>295</v>
      </c>
      <c r="L71" s="361" t="s">
        <v>296</v>
      </c>
      <c r="M71" s="350" t="s">
        <v>298</v>
      </c>
      <c r="N71" s="261" t="s">
        <v>300</v>
      </c>
      <c r="O71" s="261" t="s">
        <v>301</v>
      </c>
    </row>
    <row r="72" spans="2:17" x14ac:dyDescent="0.25">
      <c r="B72" s="384" t="s">
        <v>386</v>
      </c>
      <c r="C72" s="367">
        <f>3+SUM(C73:C77)+1</f>
        <v>9</v>
      </c>
      <c r="D72" s="368">
        <f>C72+SUM(D73:D77)+1</f>
        <v>33</v>
      </c>
      <c r="E72" s="393">
        <f t="shared" ref="E72:E102" si="7">F72+G72</f>
        <v>33202.456305437176</v>
      </c>
      <c r="F72" s="397">
        <f t="shared" ref="F72:F102" si="8">I72+J72+K72+L72</f>
        <v>11154.735154980192</v>
      </c>
      <c r="G72" s="409">
        <v>22047.721150456986</v>
      </c>
      <c r="H72" s="410">
        <v>13642.823323651699</v>
      </c>
      <c r="I72" s="411">
        <v>7795.9990057501946</v>
      </c>
      <c r="J72" s="412">
        <v>1421.463026709999</v>
      </c>
      <c r="K72" s="412">
        <v>645.53893148999828</v>
      </c>
      <c r="L72" s="409">
        <v>1291.7341910299997</v>
      </c>
      <c r="M72" s="413">
        <v>2688.0325819999966</v>
      </c>
      <c r="N72" s="414">
        <v>26804.288583517791</v>
      </c>
      <c r="O72" s="414">
        <v>229.76445055999989</v>
      </c>
      <c r="Q72" s="346"/>
    </row>
    <row r="73" spans="2:17" ht="30" hidden="1" outlineLevel="1" x14ac:dyDescent="0.25">
      <c r="B73" s="385" t="s">
        <v>390</v>
      </c>
      <c r="C73" s="369">
        <v>1</v>
      </c>
      <c r="D73" s="390">
        <f>5+1</f>
        <v>6</v>
      </c>
      <c r="E73" s="394">
        <f t="shared" si="7"/>
        <v>1813.3290396599982</v>
      </c>
      <c r="F73" s="398">
        <f t="shared" si="8"/>
        <v>1813.3290396599982</v>
      </c>
      <c r="G73" s="415">
        <v>0</v>
      </c>
      <c r="H73" s="416">
        <v>347.87941717230007</v>
      </c>
      <c r="I73" s="417">
        <v>0</v>
      </c>
      <c r="J73" s="418">
        <v>578.90279447</v>
      </c>
      <c r="K73" s="418">
        <v>467.61597284999817</v>
      </c>
      <c r="L73" s="415">
        <v>766.8102723400001</v>
      </c>
      <c r="M73" s="417">
        <v>1155.4414363100034</v>
      </c>
      <c r="N73" s="418">
        <v>0</v>
      </c>
      <c r="O73" s="418">
        <v>119.69833200999993</v>
      </c>
    </row>
    <row r="74" spans="2:17" hidden="1" outlineLevel="1" x14ac:dyDescent="0.25">
      <c r="B74" s="385" t="s">
        <v>395</v>
      </c>
      <c r="C74" s="369">
        <v>1</v>
      </c>
      <c r="D74" s="370">
        <v>3</v>
      </c>
      <c r="E74" s="394">
        <f t="shared" si="7"/>
        <v>3231.5197725089533</v>
      </c>
      <c r="F74" s="398">
        <f t="shared" si="8"/>
        <v>987.50686609000059</v>
      </c>
      <c r="G74" s="415">
        <v>2244.0129064189528</v>
      </c>
      <c r="H74" s="416">
        <v>1373.3031558077007</v>
      </c>
      <c r="I74" s="417">
        <v>0</v>
      </c>
      <c r="J74" s="418">
        <v>533.97052006000104</v>
      </c>
      <c r="K74" s="418">
        <v>7.8141784400000001</v>
      </c>
      <c r="L74" s="415">
        <v>445.72216758999963</v>
      </c>
      <c r="M74" s="417">
        <v>464.16744719999951</v>
      </c>
      <c r="N74" s="418">
        <v>99.474719699999994</v>
      </c>
      <c r="O74" s="418">
        <v>25.730178769999995</v>
      </c>
    </row>
    <row r="75" spans="2:17" ht="45" hidden="1" outlineLevel="1" x14ac:dyDescent="0.25">
      <c r="B75" s="385" t="s">
        <v>387</v>
      </c>
      <c r="C75" s="369">
        <v>1</v>
      </c>
      <c r="D75" s="370">
        <v>5</v>
      </c>
      <c r="E75" s="394">
        <f t="shared" si="7"/>
        <v>8566.796816606362</v>
      </c>
      <c r="F75" s="398">
        <f t="shared" si="8"/>
        <v>8270.9273328201925</v>
      </c>
      <c r="G75" s="415">
        <v>295.86948378616916</v>
      </c>
      <c r="H75" s="416">
        <v>850.82596194839903</v>
      </c>
      <c r="I75" s="417">
        <v>7795.9990057501946</v>
      </c>
      <c r="J75" s="418">
        <v>294.47102413999795</v>
      </c>
      <c r="K75" s="418">
        <v>123.02628884999999</v>
      </c>
      <c r="L75" s="415">
        <v>57.431014080000011</v>
      </c>
      <c r="M75" s="417">
        <v>1068.4236984899937</v>
      </c>
      <c r="N75" s="418">
        <v>0</v>
      </c>
      <c r="O75" s="418">
        <v>82.338081789999947</v>
      </c>
    </row>
    <row r="76" spans="2:17" hidden="1" outlineLevel="1" x14ac:dyDescent="0.25">
      <c r="B76" s="385" t="s">
        <v>401</v>
      </c>
      <c r="C76" s="369">
        <v>1</v>
      </c>
      <c r="D76" s="370">
        <v>4</v>
      </c>
      <c r="E76" s="394">
        <f t="shared" si="7"/>
        <v>8359.3342845734132</v>
      </c>
      <c r="F76" s="398">
        <f t="shared" si="8"/>
        <v>0</v>
      </c>
      <c r="G76" s="415">
        <v>8359.3342845734132</v>
      </c>
      <c r="H76" s="416">
        <v>4794.1233075853006</v>
      </c>
      <c r="I76" s="417">
        <v>0</v>
      </c>
      <c r="J76" s="418">
        <v>0</v>
      </c>
      <c r="K76" s="418">
        <v>0</v>
      </c>
      <c r="L76" s="415">
        <v>0</v>
      </c>
      <c r="M76" s="417">
        <v>0</v>
      </c>
      <c r="N76" s="418">
        <v>14309.051815629386</v>
      </c>
      <c r="O76" s="418">
        <v>0</v>
      </c>
    </row>
    <row r="77" spans="2:17" hidden="1" outlineLevel="1" x14ac:dyDescent="0.25">
      <c r="B77" s="385" t="s">
        <v>399</v>
      </c>
      <c r="C77" s="369">
        <v>1</v>
      </c>
      <c r="D77" s="390">
        <f>4+1</f>
        <v>5</v>
      </c>
      <c r="E77" s="394">
        <f t="shared" si="7"/>
        <v>11231.476392088452</v>
      </c>
      <c r="F77" s="398">
        <f t="shared" si="8"/>
        <v>82.971916409999992</v>
      </c>
      <c r="G77" s="415">
        <v>11148.504475678452</v>
      </c>
      <c r="H77" s="416">
        <v>6276.6914811379993</v>
      </c>
      <c r="I77" s="417">
        <v>0</v>
      </c>
      <c r="J77" s="418">
        <v>14.118688039999999</v>
      </c>
      <c r="K77" s="418">
        <v>47.082491349999991</v>
      </c>
      <c r="L77" s="415">
        <v>21.770737020000002</v>
      </c>
      <c r="M77" s="417">
        <v>0</v>
      </c>
      <c r="N77" s="418">
        <v>12395.762048188404</v>
      </c>
      <c r="O77" s="418">
        <v>1.99785799</v>
      </c>
    </row>
    <row r="78" spans="2:17" collapsed="1" x14ac:dyDescent="0.25">
      <c r="B78" s="386" t="s">
        <v>588</v>
      </c>
      <c r="C78" s="371">
        <f>3+SUM(C79:C86)</f>
        <v>11</v>
      </c>
      <c r="D78" s="372">
        <f>C78+SUM(D79:D86)+1</f>
        <v>40</v>
      </c>
      <c r="E78" s="395">
        <f t="shared" si="7"/>
        <v>48385.485191522297</v>
      </c>
      <c r="F78" s="399">
        <f t="shared" si="8"/>
        <v>10197.926089040015</v>
      </c>
      <c r="G78" s="419">
        <v>38187.559102482286</v>
      </c>
      <c r="H78" s="420">
        <v>24206.127501316798</v>
      </c>
      <c r="I78" s="413">
        <v>5059.2336077100144</v>
      </c>
      <c r="J78" s="414">
        <v>883.45554793999997</v>
      </c>
      <c r="K78" s="414">
        <v>1525.2919675899998</v>
      </c>
      <c r="L78" s="419">
        <v>2729.9449658000003</v>
      </c>
      <c r="M78" s="413">
        <v>823.78374714595748</v>
      </c>
      <c r="N78" s="414">
        <v>29209.46636726908</v>
      </c>
      <c r="O78" s="414">
        <v>0</v>
      </c>
    </row>
    <row r="79" spans="2:17" hidden="1" outlineLevel="1" x14ac:dyDescent="0.25">
      <c r="B79" s="385" t="s">
        <v>527</v>
      </c>
      <c r="C79" s="391">
        <v>1</v>
      </c>
      <c r="D79" s="392">
        <v>3</v>
      </c>
      <c r="E79" s="394">
        <f t="shared" si="7"/>
        <v>2205.5616479200003</v>
      </c>
      <c r="F79" s="398">
        <f t="shared" si="8"/>
        <v>2205.5616479200003</v>
      </c>
      <c r="G79" s="415">
        <v>0</v>
      </c>
      <c r="H79" s="416">
        <v>1.1193</v>
      </c>
      <c r="I79" s="417">
        <v>390.49090773000012</v>
      </c>
      <c r="J79" s="418">
        <v>31.784312930000041</v>
      </c>
      <c r="K79" s="418">
        <v>807.06392650999999</v>
      </c>
      <c r="L79" s="415">
        <v>976.22250074999999</v>
      </c>
      <c r="M79" s="417">
        <v>0</v>
      </c>
      <c r="N79" s="418">
        <v>0</v>
      </c>
      <c r="O79" s="418">
        <v>0</v>
      </c>
    </row>
    <row r="80" spans="2:17" hidden="1" outlineLevel="1" x14ac:dyDescent="0.25">
      <c r="B80" s="385" t="s">
        <v>318</v>
      </c>
      <c r="C80" s="391">
        <v>1</v>
      </c>
      <c r="D80" s="392">
        <v>4</v>
      </c>
      <c r="E80" s="394">
        <f t="shared" si="7"/>
        <v>2053.5773789099976</v>
      </c>
      <c r="F80" s="398">
        <f t="shared" si="8"/>
        <v>2053.5773789099976</v>
      </c>
      <c r="G80" s="415">
        <v>0</v>
      </c>
      <c r="H80" s="416">
        <v>3.8587243721000002</v>
      </c>
      <c r="I80" s="417">
        <v>613.87677696999765</v>
      </c>
      <c r="J80" s="418">
        <v>173.16369879999999</v>
      </c>
      <c r="K80" s="418">
        <v>145.72140600999995</v>
      </c>
      <c r="L80" s="415">
        <v>1120.8154971300003</v>
      </c>
      <c r="M80" s="417">
        <v>793.6325888849999</v>
      </c>
      <c r="N80" s="418">
        <v>0</v>
      </c>
      <c r="O80" s="418">
        <v>0</v>
      </c>
    </row>
    <row r="81" spans="2:15" ht="30" hidden="1" outlineLevel="1" x14ac:dyDescent="0.25">
      <c r="B81" s="385" t="s">
        <v>529</v>
      </c>
      <c r="C81" s="391">
        <v>1</v>
      </c>
      <c r="D81" s="392">
        <v>4</v>
      </c>
      <c r="E81" s="394">
        <f t="shared" si="7"/>
        <v>2890.0989931500003</v>
      </c>
      <c r="F81" s="398">
        <f t="shared" si="8"/>
        <v>2890.0989931500003</v>
      </c>
      <c r="G81" s="415">
        <v>0</v>
      </c>
      <c r="H81" s="416">
        <v>533.285680447</v>
      </c>
      <c r="I81" s="417">
        <v>1006.1778539500002</v>
      </c>
      <c r="J81" s="418">
        <v>678.5075362099999</v>
      </c>
      <c r="K81" s="418">
        <v>572.50663506999979</v>
      </c>
      <c r="L81" s="415">
        <v>632.90696792000006</v>
      </c>
      <c r="M81" s="417">
        <v>0</v>
      </c>
      <c r="N81" s="418">
        <v>0</v>
      </c>
      <c r="O81" s="418">
        <v>0</v>
      </c>
    </row>
    <row r="82" spans="2:15" hidden="1" outlineLevel="1" x14ac:dyDescent="0.25">
      <c r="B82" s="385" t="s">
        <v>337</v>
      </c>
      <c r="C82" s="391">
        <v>1</v>
      </c>
      <c r="D82" s="392">
        <v>3</v>
      </c>
      <c r="E82" s="394">
        <f t="shared" si="7"/>
        <v>3048.6880690600165</v>
      </c>
      <c r="F82" s="398">
        <f t="shared" si="8"/>
        <v>3048.6880690600165</v>
      </c>
      <c r="G82" s="415">
        <v>0</v>
      </c>
      <c r="H82" s="416">
        <v>361.01</v>
      </c>
      <c r="I82" s="417">
        <v>3048.6880690600165</v>
      </c>
      <c r="J82" s="418">
        <v>0</v>
      </c>
      <c r="K82" s="418">
        <v>0</v>
      </c>
      <c r="L82" s="415">
        <v>0</v>
      </c>
      <c r="M82" s="417">
        <v>0</v>
      </c>
      <c r="N82" s="418">
        <v>0</v>
      </c>
      <c r="O82" s="418">
        <v>0</v>
      </c>
    </row>
    <row r="83" spans="2:15" ht="30" hidden="1" outlineLevel="1" x14ac:dyDescent="0.25">
      <c r="B83" s="385" t="s">
        <v>362</v>
      </c>
      <c r="C83" s="391">
        <v>1</v>
      </c>
      <c r="D83" s="392">
        <v>4</v>
      </c>
      <c r="E83" s="394">
        <f t="shared" si="7"/>
        <v>12929.899431418082</v>
      </c>
      <c r="F83" s="398">
        <f t="shared" si="8"/>
        <v>0</v>
      </c>
      <c r="G83" s="415">
        <v>12929.899431418082</v>
      </c>
      <c r="H83" s="416">
        <v>7497.7390260811999</v>
      </c>
      <c r="I83" s="417">
        <v>0</v>
      </c>
      <c r="J83" s="418">
        <v>0</v>
      </c>
      <c r="K83" s="418">
        <v>0</v>
      </c>
      <c r="L83" s="415">
        <v>0</v>
      </c>
      <c r="M83" s="417">
        <v>0</v>
      </c>
      <c r="N83" s="418">
        <v>0</v>
      </c>
      <c r="O83" s="418">
        <v>0</v>
      </c>
    </row>
    <row r="84" spans="2:15" ht="30" hidden="1" outlineLevel="1" x14ac:dyDescent="0.25">
      <c r="B84" s="385" t="s">
        <v>364</v>
      </c>
      <c r="C84" s="391">
        <v>1</v>
      </c>
      <c r="D84" s="392">
        <v>3</v>
      </c>
      <c r="E84" s="394">
        <f t="shared" si="7"/>
        <v>8218.4232822649465</v>
      </c>
      <c r="F84" s="398">
        <f t="shared" si="8"/>
        <v>0</v>
      </c>
      <c r="G84" s="415">
        <v>8218.4232822649465</v>
      </c>
      <c r="H84" s="416">
        <v>4426.6210655407003</v>
      </c>
      <c r="I84" s="417">
        <v>0</v>
      </c>
      <c r="J84" s="418">
        <v>0</v>
      </c>
      <c r="K84" s="418">
        <v>0</v>
      </c>
      <c r="L84" s="415">
        <v>0</v>
      </c>
      <c r="M84" s="417">
        <v>0</v>
      </c>
      <c r="N84" s="418">
        <v>11314.707530999416</v>
      </c>
      <c r="O84" s="418">
        <v>0</v>
      </c>
    </row>
    <row r="85" spans="2:15" hidden="1" outlineLevel="1" x14ac:dyDescent="0.25">
      <c r="B85" s="385" t="s">
        <v>552</v>
      </c>
      <c r="C85" s="391">
        <v>1</v>
      </c>
      <c r="D85" s="392">
        <v>4</v>
      </c>
      <c r="E85" s="394">
        <f t="shared" si="7"/>
        <v>9219.4500760850515</v>
      </c>
      <c r="F85" s="398">
        <f t="shared" si="8"/>
        <v>0</v>
      </c>
      <c r="G85" s="415">
        <v>9219.4500760850515</v>
      </c>
      <c r="H85" s="416">
        <v>5762.5538821981008</v>
      </c>
      <c r="I85" s="417">
        <v>0</v>
      </c>
      <c r="J85" s="418">
        <v>0</v>
      </c>
      <c r="K85" s="418">
        <v>0</v>
      </c>
      <c r="L85" s="415">
        <v>0</v>
      </c>
      <c r="M85" s="417">
        <v>27.130505840957614</v>
      </c>
      <c r="N85" s="418">
        <v>1239.276737919979</v>
      </c>
      <c r="O85" s="418">
        <v>0</v>
      </c>
    </row>
    <row r="86" spans="2:15" hidden="1" outlineLevel="1" x14ac:dyDescent="0.25">
      <c r="B86" s="385" t="s">
        <v>556</v>
      </c>
      <c r="C86" s="391">
        <v>1</v>
      </c>
      <c r="D86" s="392">
        <v>3</v>
      </c>
      <c r="E86" s="394">
        <f t="shared" si="7"/>
        <v>7819.7863127142036</v>
      </c>
      <c r="F86" s="398">
        <f t="shared" si="8"/>
        <v>0</v>
      </c>
      <c r="G86" s="415">
        <v>7819.7863127142036</v>
      </c>
      <c r="H86" s="416">
        <v>5619.9398226776993</v>
      </c>
      <c r="I86" s="417">
        <v>0</v>
      </c>
      <c r="J86" s="418">
        <v>0</v>
      </c>
      <c r="K86" s="418">
        <v>0</v>
      </c>
      <c r="L86" s="415">
        <v>0</v>
      </c>
      <c r="M86" s="417">
        <v>3.0206524199999998</v>
      </c>
      <c r="N86" s="418">
        <v>16655.482098349687</v>
      </c>
      <c r="O86" s="418">
        <v>0</v>
      </c>
    </row>
    <row r="87" spans="2:15" collapsed="1" x14ac:dyDescent="0.25">
      <c r="B87" s="386" t="s">
        <v>589</v>
      </c>
      <c r="C87" s="371">
        <f>3+SUM(C88:C92)</f>
        <v>8</v>
      </c>
      <c r="D87" s="372">
        <f>C87+SUM(D88:D92)+1</f>
        <v>28</v>
      </c>
      <c r="E87" s="395">
        <f t="shared" ref="E87:E92" si="9">F87+G87</f>
        <v>34011.7701689975</v>
      </c>
      <c r="F87" s="399">
        <f t="shared" ref="F87:F92" si="10">I87+J87+K87+L87</f>
        <v>4958.7019499800026</v>
      </c>
      <c r="G87" s="419">
        <v>29053.068219017496</v>
      </c>
      <c r="H87" s="420">
        <v>17463.859522198702</v>
      </c>
      <c r="I87" s="413">
        <v>0</v>
      </c>
      <c r="J87" s="414">
        <v>819.35425326999996</v>
      </c>
      <c r="K87" s="414">
        <v>1212.9325842700023</v>
      </c>
      <c r="L87" s="419">
        <v>2926.4151124400005</v>
      </c>
      <c r="M87" s="413">
        <v>2490.2185483699996</v>
      </c>
      <c r="N87" s="414">
        <v>25108.963002738099</v>
      </c>
      <c r="O87" s="414">
        <v>0</v>
      </c>
    </row>
    <row r="88" spans="2:15" hidden="1" outlineLevel="1" x14ac:dyDescent="0.25">
      <c r="B88" s="385" t="s">
        <v>490</v>
      </c>
      <c r="C88" s="369">
        <v>1</v>
      </c>
      <c r="D88" s="370">
        <v>4</v>
      </c>
      <c r="E88" s="394">
        <f t="shared" si="9"/>
        <v>4805.7731279234686</v>
      </c>
      <c r="F88" s="398">
        <f t="shared" si="10"/>
        <v>2665.1572822400021</v>
      </c>
      <c r="G88" s="415">
        <v>2140.6158456834664</v>
      </c>
      <c r="H88" s="416">
        <v>1078.9944829924</v>
      </c>
      <c r="I88" s="417">
        <v>0</v>
      </c>
      <c r="J88" s="418">
        <v>261.38528133999995</v>
      </c>
      <c r="K88" s="418">
        <v>724.3178531900021</v>
      </c>
      <c r="L88" s="415">
        <v>1679.4541477100004</v>
      </c>
      <c r="M88" s="417">
        <v>1073.5733923999996</v>
      </c>
      <c r="N88" s="418">
        <v>0</v>
      </c>
      <c r="O88" s="418">
        <v>0</v>
      </c>
    </row>
    <row r="89" spans="2:15" hidden="1" outlineLevel="1" x14ac:dyDescent="0.25">
      <c r="B89" s="385" t="s">
        <v>495</v>
      </c>
      <c r="C89" s="369">
        <v>1</v>
      </c>
      <c r="D89" s="390">
        <f>3+1</f>
        <v>4</v>
      </c>
      <c r="E89" s="394">
        <f t="shared" si="9"/>
        <v>1539.9379909500005</v>
      </c>
      <c r="F89" s="398">
        <f t="shared" si="10"/>
        <v>1539.9379909500005</v>
      </c>
      <c r="G89" s="415">
        <v>0</v>
      </c>
      <c r="H89" s="416">
        <v>3.7953370000000004</v>
      </c>
      <c r="I89" s="417">
        <v>0</v>
      </c>
      <c r="J89" s="418">
        <v>424.67587693000002</v>
      </c>
      <c r="K89" s="418">
        <v>283.85806446000032</v>
      </c>
      <c r="L89" s="415">
        <v>831.4040495600002</v>
      </c>
      <c r="M89" s="417">
        <v>1306.8378951899999</v>
      </c>
      <c r="N89" s="418">
        <v>0</v>
      </c>
      <c r="O89" s="418">
        <v>0</v>
      </c>
    </row>
    <row r="90" spans="2:15" hidden="1" outlineLevel="1" x14ac:dyDescent="0.25">
      <c r="B90" s="385" t="s">
        <v>503</v>
      </c>
      <c r="C90" s="369">
        <v>1</v>
      </c>
      <c r="D90" s="370">
        <v>3</v>
      </c>
      <c r="E90" s="394">
        <f t="shared" si="9"/>
        <v>1643.1814714499783</v>
      </c>
      <c r="F90" s="398">
        <f t="shared" si="10"/>
        <v>753.60667678999994</v>
      </c>
      <c r="G90" s="415">
        <v>889.57479465997847</v>
      </c>
      <c r="H90" s="416">
        <v>577.76288474320006</v>
      </c>
      <c r="I90" s="417">
        <v>0</v>
      </c>
      <c r="J90" s="418">
        <v>133.29309499999997</v>
      </c>
      <c r="K90" s="418">
        <v>204.75666661999992</v>
      </c>
      <c r="L90" s="415">
        <v>415.55691516999997</v>
      </c>
      <c r="M90" s="417">
        <v>109.80726077999999</v>
      </c>
      <c r="N90" s="418">
        <v>0</v>
      </c>
      <c r="O90" s="418">
        <v>0</v>
      </c>
    </row>
    <row r="91" spans="2:15" hidden="1" outlineLevel="1" x14ac:dyDescent="0.25">
      <c r="B91" s="385" t="s">
        <v>507</v>
      </c>
      <c r="C91" s="369">
        <v>1</v>
      </c>
      <c r="D91" s="370">
        <v>3</v>
      </c>
      <c r="E91" s="394">
        <f t="shared" si="9"/>
        <v>10124.639624576168</v>
      </c>
      <c r="F91" s="398">
        <f t="shared" si="10"/>
        <v>0</v>
      </c>
      <c r="G91" s="415">
        <v>10124.639624576168</v>
      </c>
      <c r="H91" s="416">
        <v>6569.7672306954992</v>
      </c>
      <c r="I91" s="417">
        <v>0</v>
      </c>
      <c r="J91" s="418">
        <v>0</v>
      </c>
      <c r="K91" s="418">
        <v>0</v>
      </c>
      <c r="L91" s="415">
        <v>0</v>
      </c>
      <c r="M91" s="417">
        <v>0</v>
      </c>
      <c r="N91" s="418">
        <v>8507.1196553092268</v>
      </c>
      <c r="O91" s="418">
        <v>0</v>
      </c>
    </row>
    <row r="92" spans="2:15" hidden="1" outlineLevel="1" x14ac:dyDescent="0.25">
      <c r="B92" s="385" t="s">
        <v>509</v>
      </c>
      <c r="C92" s="369">
        <v>1</v>
      </c>
      <c r="D92" s="390">
        <f>4+1</f>
        <v>5</v>
      </c>
      <c r="E92" s="394">
        <f t="shared" si="9"/>
        <v>15898.237954097884</v>
      </c>
      <c r="F92" s="398">
        <f t="shared" si="10"/>
        <v>0</v>
      </c>
      <c r="G92" s="415">
        <v>15898.237954097884</v>
      </c>
      <c r="H92" s="416">
        <v>9233.5395867676034</v>
      </c>
      <c r="I92" s="417">
        <v>0</v>
      </c>
      <c r="J92" s="418">
        <v>0</v>
      </c>
      <c r="K92" s="418">
        <v>0</v>
      </c>
      <c r="L92" s="415">
        <v>0</v>
      </c>
      <c r="M92" s="417">
        <v>0</v>
      </c>
      <c r="N92" s="418">
        <v>16601.843347428872</v>
      </c>
      <c r="O92" s="418">
        <v>0</v>
      </c>
    </row>
    <row r="93" spans="2:15" collapsed="1" x14ac:dyDescent="0.25">
      <c r="B93" s="386" t="s">
        <v>438</v>
      </c>
      <c r="C93" s="371">
        <f>3+SUM(C94:C98)</f>
        <v>8</v>
      </c>
      <c r="D93" s="372">
        <f>C93+SUM(D94:D98)+1</f>
        <v>21</v>
      </c>
      <c r="E93" s="395">
        <f t="shared" si="7"/>
        <v>8907.9498912600011</v>
      </c>
      <c r="F93" s="399">
        <f t="shared" si="8"/>
        <v>7639.072182079999</v>
      </c>
      <c r="G93" s="419">
        <v>1268.8777091800027</v>
      </c>
      <c r="H93" s="420">
        <v>855.64039110279998</v>
      </c>
      <c r="I93" s="413">
        <v>864.52190231999987</v>
      </c>
      <c r="J93" s="414">
        <v>2450.7088284699998</v>
      </c>
      <c r="K93" s="414">
        <v>836.40869887000008</v>
      </c>
      <c r="L93" s="419">
        <v>3487.4327524200003</v>
      </c>
      <c r="M93" s="413">
        <v>636.21177519999992</v>
      </c>
      <c r="N93" s="414">
        <v>986.26229077999062</v>
      </c>
      <c r="O93" s="414">
        <v>1913.6581338300027</v>
      </c>
    </row>
    <row r="94" spans="2:15" ht="30" hidden="1" outlineLevel="1" x14ac:dyDescent="0.25">
      <c r="B94" s="385" t="s">
        <v>443</v>
      </c>
      <c r="C94" s="369">
        <v>1</v>
      </c>
      <c r="D94" s="370">
        <v>4</v>
      </c>
      <c r="E94" s="394">
        <f t="shared" si="7"/>
        <v>3056.2469241100007</v>
      </c>
      <c r="F94" s="398">
        <f t="shared" si="8"/>
        <v>2302.9212674499995</v>
      </c>
      <c r="G94" s="415">
        <v>753.3256566600013</v>
      </c>
      <c r="H94" s="416">
        <v>586.51244633019996</v>
      </c>
      <c r="I94" s="417">
        <v>0</v>
      </c>
      <c r="J94" s="418">
        <v>901.71375716999989</v>
      </c>
      <c r="K94" s="418">
        <v>522.36151340000004</v>
      </c>
      <c r="L94" s="415">
        <v>878.8459968799998</v>
      </c>
      <c r="M94" s="417">
        <v>18.11060694</v>
      </c>
      <c r="N94" s="418">
        <v>0</v>
      </c>
      <c r="O94" s="418">
        <v>0</v>
      </c>
    </row>
    <row r="95" spans="2:15" ht="30" hidden="1" outlineLevel="1" x14ac:dyDescent="0.25">
      <c r="B95" s="385" t="s">
        <v>439</v>
      </c>
      <c r="C95" s="369">
        <v>1</v>
      </c>
      <c r="D95" s="370">
        <v>4</v>
      </c>
      <c r="E95" s="394">
        <f t="shared" si="7"/>
        <v>2345.7751313300009</v>
      </c>
      <c r="F95" s="398">
        <f t="shared" si="8"/>
        <v>2031.3369777600001</v>
      </c>
      <c r="G95" s="415">
        <v>314.43815357000079</v>
      </c>
      <c r="H95" s="416">
        <v>130.42390994099995</v>
      </c>
      <c r="I95" s="417">
        <v>0</v>
      </c>
      <c r="J95" s="418">
        <v>713.47514595000007</v>
      </c>
      <c r="K95" s="418">
        <v>235.62862249</v>
      </c>
      <c r="L95" s="415">
        <v>1082.23320932</v>
      </c>
      <c r="M95" s="417">
        <v>257.44670998999993</v>
      </c>
      <c r="N95" s="418">
        <v>0</v>
      </c>
      <c r="O95" s="418">
        <v>0</v>
      </c>
    </row>
    <row r="96" spans="2:15" ht="30" hidden="1" outlineLevel="1" x14ac:dyDescent="0.25">
      <c r="B96" s="385" t="s">
        <v>453</v>
      </c>
      <c r="C96" s="369">
        <v>1</v>
      </c>
      <c r="D96" s="370">
        <v>4</v>
      </c>
      <c r="E96" s="394">
        <f t="shared" si="7"/>
        <v>2641.4059335000002</v>
      </c>
      <c r="F96" s="398">
        <f t="shared" si="8"/>
        <v>2440.2920345499997</v>
      </c>
      <c r="G96" s="415">
        <v>201.11389895000065</v>
      </c>
      <c r="H96" s="416">
        <v>138.70403483160004</v>
      </c>
      <c r="I96" s="417">
        <v>0</v>
      </c>
      <c r="J96" s="418">
        <v>835.51992534999988</v>
      </c>
      <c r="K96" s="418">
        <v>78.418562980000004</v>
      </c>
      <c r="L96" s="415">
        <v>1526.35354622</v>
      </c>
      <c r="M96" s="417">
        <v>360.65445826999996</v>
      </c>
      <c r="N96" s="418">
        <v>986.26229077999062</v>
      </c>
      <c r="O96" s="418">
        <v>0</v>
      </c>
    </row>
    <row r="97" spans="2:15" hidden="1" outlineLevel="1" x14ac:dyDescent="0.25">
      <c r="B97" s="385" t="s">
        <v>447</v>
      </c>
      <c r="C97" s="369">
        <v>1</v>
      </c>
      <c r="D97" s="370">
        <v>0</v>
      </c>
      <c r="E97" s="394">
        <f t="shared" si="7"/>
        <v>0</v>
      </c>
      <c r="F97" s="398">
        <f t="shared" si="8"/>
        <v>0</v>
      </c>
      <c r="G97" s="415">
        <v>0</v>
      </c>
      <c r="H97" s="416">
        <v>0</v>
      </c>
      <c r="I97" s="417">
        <v>0</v>
      </c>
      <c r="J97" s="418">
        <v>0</v>
      </c>
      <c r="K97" s="418">
        <v>0</v>
      </c>
      <c r="L97" s="415">
        <v>0</v>
      </c>
      <c r="M97" s="417">
        <v>0</v>
      </c>
      <c r="N97" s="418">
        <v>0</v>
      </c>
      <c r="O97" s="418">
        <v>1485.79293396</v>
      </c>
    </row>
    <row r="98" spans="2:15" hidden="1" outlineLevel="1" x14ac:dyDescent="0.25">
      <c r="B98" s="385" t="s">
        <v>462</v>
      </c>
      <c r="C98" s="369">
        <v>1</v>
      </c>
      <c r="D98" s="370">
        <v>0</v>
      </c>
      <c r="E98" s="394">
        <f t="shared" si="7"/>
        <v>864.52190231999987</v>
      </c>
      <c r="F98" s="398">
        <f t="shared" si="8"/>
        <v>864.52190231999987</v>
      </c>
      <c r="G98" s="415">
        <v>0</v>
      </c>
      <c r="H98" s="416">
        <v>0</v>
      </c>
      <c r="I98" s="417">
        <v>864.52190231999987</v>
      </c>
      <c r="J98" s="418">
        <v>0</v>
      </c>
      <c r="K98" s="418">
        <v>0</v>
      </c>
      <c r="L98" s="415">
        <v>0</v>
      </c>
      <c r="M98" s="417">
        <v>0</v>
      </c>
      <c r="N98" s="418">
        <v>0</v>
      </c>
      <c r="O98" s="418">
        <v>427.86519987000287</v>
      </c>
    </row>
    <row r="99" spans="2:15" ht="15.75" collapsed="1" thickBot="1" x14ac:dyDescent="0.3">
      <c r="B99" s="387" t="s">
        <v>464</v>
      </c>
      <c r="C99" s="373">
        <f>3+SUM(C100:C102)</f>
        <v>6</v>
      </c>
      <c r="D99" s="374">
        <f>C99+SUM(D100:D102)+1</f>
        <v>19</v>
      </c>
      <c r="E99" s="396">
        <f t="shared" si="7"/>
        <v>13408.901903740845</v>
      </c>
      <c r="F99" s="400">
        <f t="shared" si="8"/>
        <v>5568.3747416633369</v>
      </c>
      <c r="G99" s="421">
        <v>7840.5271620775084</v>
      </c>
      <c r="H99" s="422">
        <v>6868.6013486542224</v>
      </c>
      <c r="I99" s="423">
        <v>3762.6053336533359</v>
      </c>
      <c r="J99" s="424">
        <v>513.83624372999998</v>
      </c>
      <c r="K99" s="424">
        <v>389.19992187999992</v>
      </c>
      <c r="L99" s="421">
        <v>902.73324240000034</v>
      </c>
      <c r="M99" s="413">
        <v>4231.6722222766666</v>
      </c>
      <c r="N99" s="414">
        <v>0</v>
      </c>
      <c r="O99" s="414">
        <v>0</v>
      </c>
    </row>
    <row r="100" spans="2:15" ht="45" hidden="1" outlineLevel="1" x14ac:dyDescent="0.25">
      <c r="B100" s="351" t="s">
        <v>481</v>
      </c>
      <c r="C100" s="352">
        <v>1</v>
      </c>
      <c r="D100" s="352">
        <v>4</v>
      </c>
      <c r="E100" s="389">
        <f t="shared" si="7"/>
        <v>1547.8880894200004</v>
      </c>
      <c r="F100" s="389">
        <f t="shared" si="8"/>
        <v>1547.8880894200004</v>
      </c>
      <c r="G100" s="425">
        <v>0</v>
      </c>
      <c r="H100" s="425">
        <v>0</v>
      </c>
      <c r="I100" s="425">
        <v>0</v>
      </c>
      <c r="J100" s="425">
        <v>513.83624372999998</v>
      </c>
      <c r="K100" s="425">
        <v>131.31860329000008</v>
      </c>
      <c r="L100" s="425">
        <v>902.73324240000034</v>
      </c>
      <c r="M100" s="418">
        <v>0</v>
      </c>
      <c r="N100" s="418">
        <v>0</v>
      </c>
      <c r="O100" s="418">
        <v>0</v>
      </c>
    </row>
    <row r="101" spans="2:15" hidden="1" outlineLevel="1" x14ac:dyDescent="0.25">
      <c r="B101" s="349" t="s">
        <v>469</v>
      </c>
      <c r="C101" s="216">
        <v>1</v>
      </c>
      <c r="D101" s="216">
        <v>4</v>
      </c>
      <c r="E101" s="348">
        <f t="shared" si="7"/>
        <v>4020.4866522433358</v>
      </c>
      <c r="F101" s="348">
        <f t="shared" si="8"/>
        <v>4020.4866522433358</v>
      </c>
      <c r="G101" s="418">
        <v>0</v>
      </c>
      <c r="H101" s="418">
        <v>0</v>
      </c>
      <c r="I101" s="418">
        <v>3762.6053336533359</v>
      </c>
      <c r="J101" s="418">
        <v>0</v>
      </c>
      <c r="K101" s="418">
        <v>257.88131858999986</v>
      </c>
      <c r="L101" s="418">
        <v>0</v>
      </c>
      <c r="M101" s="418">
        <v>257.88131858999986</v>
      </c>
      <c r="N101" s="418">
        <v>0</v>
      </c>
      <c r="O101" s="418">
        <v>0</v>
      </c>
    </row>
    <row r="102" spans="2:15" hidden="1" outlineLevel="1" x14ac:dyDescent="0.25">
      <c r="B102" s="349" t="s">
        <v>465</v>
      </c>
      <c r="C102" s="216">
        <v>1</v>
      </c>
      <c r="D102" s="216">
        <v>4</v>
      </c>
      <c r="E102" s="348">
        <f t="shared" si="7"/>
        <v>7840.5271620775084</v>
      </c>
      <c r="F102" s="348">
        <f t="shared" si="8"/>
        <v>0</v>
      </c>
      <c r="G102" s="418">
        <v>7840.5271620775084</v>
      </c>
      <c r="H102" s="418">
        <v>6868.6013486542224</v>
      </c>
      <c r="I102" s="418">
        <v>0</v>
      </c>
      <c r="J102" s="418">
        <v>0</v>
      </c>
      <c r="K102" s="418">
        <v>0</v>
      </c>
      <c r="L102" s="418">
        <v>0</v>
      </c>
      <c r="M102" s="418">
        <v>3973.7909036866663</v>
      </c>
      <c r="N102" s="418">
        <v>0</v>
      </c>
      <c r="O102" s="418">
        <v>0</v>
      </c>
    </row>
    <row r="103" spans="2:15" collapsed="1" x14ac:dyDescent="0.25">
      <c r="D103" s="268">
        <f>D72+D78+D87+D93+D99</f>
        <v>141</v>
      </c>
      <c r="E103" s="268">
        <f>E72+E78+E87+E93+E99</f>
        <v>137916.56346095781</v>
      </c>
      <c r="F103" s="268">
        <f t="shared" ref="F103:O103" si="11">F72+F78+F87+F93+F99</f>
        <v>39518.810117743538</v>
      </c>
      <c r="G103" s="268">
        <f t="shared" si="11"/>
        <v>98397.753343214266</v>
      </c>
      <c r="H103" s="268">
        <f>H72+H78+H87+H93+H99</f>
        <v>63037.052086924217</v>
      </c>
      <c r="I103" s="268">
        <f t="shared" si="11"/>
        <v>17482.359849433546</v>
      </c>
      <c r="J103" s="268">
        <f t="shared" si="11"/>
        <v>6088.8179001199987</v>
      </c>
      <c r="K103" s="268">
        <f t="shared" si="11"/>
        <v>4609.3721040999999</v>
      </c>
      <c r="L103" s="268">
        <f t="shared" si="11"/>
        <v>11338.26026409</v>
      </c>
      <c r="M103" s="268">
        <f t="shared" si="11"/>
        <v>10869.918874992622</v>
      </c>
      <c r="N103" s="268">
        <f t="shared" si="11"/>
        <v>82108.980244304956</v>
      </c>
      <c r="O103" s="268">
        <f t="shared" si="11"/>
        <v>2143.4225843900026</v>
      </c>
    </row>
    <row r="104" spans="2:15" ht="15.75" thickBot="1" x14ac:dyDescent="0.3"/>
    <row r="105" spans="2:15" ht="60.75" thickBot="1" x14ac:dyDescent="0.3">
      <c r="B105" s="383" t="s">
        <v>590</v>
      </c>
      <c r="C105" s="366" t="s">
        <v>576</v>
      </c>
      <c r="D105" s="361" t="s">
        <v>577</v>
      </c>
      <c r="E105" s="341" t="s">
        <v>578</v>
      </c>
      <c r="F105" s="366" t="s">
        <v>579</v>
      </c>
      <c r="G105" s="361" t="s">
        <v>580</v>
      </c>
      <c r="H105" s="341" t="s">
        <v>299</v>
      </c>
      <c r="I105" s="366" t="s">
        <v>290</v>
      </c>
      <c r="J105" s="360" t="s">
        <v>294</v>
      </c>
      <c r="K105" s="360" t="s">
        <v>295</v>
      </c>
      <c r="L105" s="361" t="s">
        <v>296</v>
      </c>
      <c r="M105" s="350" t="s">
        <v>298</v>
      </c>
      <c r="N105" s="261" t="s">
        <v>300</v>
      </c>
      <c r="O105" s="261" t="s">
        <v>301</v>
      </c>
    </row>
    <row r="106" spans="2:15" x14ac:dyDescent="0.25">
      <c r="B106" s="433" t="str">
        <f>B72</f>
        <v>HSR Center</v>
      </c>
      <c r="C106" s="436">
        <f t="shared" ref="C106:M106" si="12">C72</f>
        <v>9</v>
      </c>
      <c r="D106" s="437">
        <f t="shared" si="12"/>
        <v>33</v>
      </c>
      <c r="E106" s="442">
        <f t="shared" si="12"/>
        <v>33202.456305437176</v>
      </c>
      <c r="F106" s="445">
        <f t="shared" si="12"/>
        <v>11154.735154980192</v>
      </c>
      <c r="G106" s="432">
        <f t="shared" si="12"/>
        <v>22047.721150456986</v>
      </c>
      <c r="H106" s="442">
        <f>H72</f>
        <v>13642.823323651699</v>
      </c>
      <c r="I106" s="445">
        <f t="shared" si="12"/>
        <v>7795.9990057501946</v>
      </c>
      <c r="J106" s="431">
        <f t="shared" si="12"/>
        <v>1421.463026709999</v>
      </c>
      <c r="K106" s="431">
        <f t="shared" si="12"/>
        <v>645.53893148999828</v>
      </c>
      <c r="L106" s="432">
        <f t="shared" si="12"/>
        <v>1291.7341910299997</v>
      </c>
      <c r="M106" s="427">
        <f t="shared" si="12"/>
        <v>2688.0325819999966</v>
      </c>
      <c r="N106" s="426">
        <f>N72</f>
        <v>26804.288583517791</v>
      </c>
      <c r="O106" s="426">
        <f t="shared" ref="O106" si="13">O72</f>
        <v>229.76445055999989</v>
      </c>
    </row>
    <row r="107" spans="2:15" x14ac:dyDescent="0.25">
      <c r="B107" s="434" t="str">
        <f>B78</f>
        <v>HSR North (NEW)</v>
      </c>
      <c r="C107" s="438">
        <f t="shared" ref="C107:M107" si="14">C78</f>
        <v>11</v>
      </c>
      <c r="D107" s="439">
        <f t="shared" si="14"/>
        <v>40</v>
      </c>
      <c r="E107" s="443">
        <f t="shared" si="14"/>
        <v>48385.485191522297</v>
      </c>
      <c r="F107" s="446">
        <f t="shared" si="14"/>
        <v>10197.926089040015</v>
      </c>
      <c r="G107" s="428">
        <f t="shared" si="14"/>
        <v>38187.559102482286</v>
      </c>
      <c r="H107" s="443">
        <f>H78</f>
        <v>24206.127501316798</v>
      </c>
      <c r="I107" s="446">
        <f t="shared" si="14"/>
        <v>5059.2336077100144</v>
      </c>
      <c r="J107" s="426">
        <f t="shared" si="14"/>
        <v>883.45554793999997</v>
      </c>
      <c r="K107" s="426">
        <f t="shared" si="14"/>
        <v>1525.2919675899998</v>
      </c>
      <c r="L107" s="428">
        <f t="shared" si="14"/>
        <v>2729.9449658000003</v>
      </c>
      <c r="M107" s="427">
        <f t="shared" si="14"/>
        <v>823.78374714595748</v>
      </c>
      <c r="N107" s="426">
        <f>N78</f>
        <v>29209.46636726908</v>
      </c>
      <c r="O107" s="426">
        <f t="shared" ref="O107" si="15">O78</f>
        <v>0</v>
      </c>
    </row>
    <row r="108" spans="2:15" x14ac:dyDescent="0.25">
      <c r="B108" s="434" t="str">
        <f>B87</f>
        <v>HSR South</v>
      </c>
      <c r="C108" s="438">
        <f t="shared" ref="C108:M108" si="16">C87</f>
        <v>8</v>
      </c>
      <c r="D108" s="439">
        <f t="shared" si="16"/>
        <v>28</v>
      </c>
      <c r="E108" s="443">
        <f t="shared" si="16"/>
        <v>34011.7701689975</v>
      </c>
      <c r="F108" s="446">
        <f t="shared" si="16"/>
        <v>4958.7019499800026</v>
      </c>
      <c r="G108" s="428">
        <f t="shared" si="16"/>
        <v>29053.068219017496</v>
      </c>
      <c r="H108" s="443">
        <f>H87</f>
        <v>17463.859522198702</v>
      </c>
      <c r="I108" s="446">
        <f t="shared" si="16"/>
        <v>0</v>
      </c>
      <c r="J108" s="426">
        <f t="shared" si="16"/>
        <v>819.35425326999996</v>
      </c>
      <c r="K108" s="426">
        <f t="shared" si="16"/>
        <v>1212.9325842700023</v>
      </c>
      <c r="L108" s="428">
        <f t="shared" si="16"/>
        <v>2926.4151124400005</v>
      </c>
      <c r="M108" s="427">
        <f t="shared" si="16"/>
        <v>2490.2185483699996</v>
      </c>
      <c r="N108" s="426">
        <f>N87</f>
        <v>25108.963002738099</v>
      </c>
      <c r="O108" s="426">
        <f t="shared" ref="O108" si="17">O87</f>
        <v>0</v>
      </c>
    </row>
    <row r="109" spans="2:15" ht="15.75" thickBot="1" x14ac:dyDescent="0.3">
      <c r="B109" s="435" t="str">
        <f>B62</f>
        <v>HSR EAST</v>
      </c>
      <c r="C109" s="440">
        <f t="shared" ref="C109:M109" si="18">C62</f>
        <v>9</v>
      </c>
      <c r="D109" s="441">
        <f t="shared" si="18"/>
        <v>36</v>
      </c>
      <c r="E109" s="444">
        <f t="shared" si="18"/>
        <v>22316.851795000846</v>
      </c>
      <c r="F109" s="447">
        <f t="shared" si="18"/>
        <v>13207.446923743335</v>
      </c>
      <c r="G109" s="430">
        <f t="shared" si="18"/>
        <v>9109.4048712575132</v>
      </c>
      <c r="H109" s="444">
        <f>H62</f>
        <v>7724.2417397570234</v>
      </c>
      <c r="I109" s="447">
        <f t="shared" si="18"/>
        <v>4627.1272359733366</v>
      </c>
      <c r="J109" s="429">
        <f t="shared" si="18"/>
        <v>2964.5450721999996</v>
      </c>
      <c r="K109" s="429">
        <f t="shared" si="18"/>
        <v>1225.60862075</v>
      </c>
      <c r="L109" s="430">
        <f t="shared" si="18"/>
        <v>4390.1659948199995</v>
      </c>
      <c r="M109" s="427">
        <f t="shared" si="18"/>
        <v>4867.8839974766661</v>
      </c>
      <c r="N109" s="426">
        <f>N62</f>
        <v>986.26229077999062</v>
      </c>
      <c r="O109" s="426">
        <f t="shared" ref="O109" si="19">O62</f>
        <v>1913.658133830003</v>
      </c>
    </row>
    <row r="110" spans="2:15" x14ac:dyDescent="0.25">
      <c r="D110" s="265">
        <f>D106+D107+D108+D109</f>
        <v>137</v>
      </c>
      <c r="E110" s="268">
        <f t="shared" ref="E110:O110" si="20">E106+E107+E108+E109</f>
        <v>137916.56346095781</v>
      </c>
      <c r="F110" s="268">
        <f t="shared" si="20"/>
        <v>39518.810117743546</v>
      </c>
      <c r="G110" s="268">
        <f t="shared" si="20"/>
        <v>98397.753343214281</v>
      </c>
      <c r="H110" s="268">
        <f>H106+H107+H108+H109</f>
        <v>63037.052086924217</v>
      </c>
      <c r="I110" s="268">
        <f t="shared" si="20"/>
        <v>17482.359849433546</v>
      </c>
      <c r="J110" s="268">
        <f t="shared" si="20"/>
        <v>6088.8179001199987</v>
      </c>
      <c r="K110" s="268">
        <f t="shared" si="20"/>
        <v>4609.3721040999999</v>
      </c>
      <c r="L110" s="268">
        <f t="shared" si="20"/>
        <v>11338.26026409</v>
      </c>
      <c r="M110" s="268">
        <f t="shared" si="20"/>
        <v>10869.91887499262</v>
      </c>
      <c r="N110" s="268">
        <f t="shared" si="20"/>
        <v>82108.980244304956</v>
      </c>
      <c r="O110" s="268">
        <f t="shared" si="20"/>
        <v>2143.4225843900031</v>
      </c>
    </row>
    <row r="111" spans="2:15" x14ac:dyDescent="0.25">
      <c r="D111" s="268">
        <f>D110-D36</f>
        <v>-9</v>
      </c>
      <c r="E111" s="268">
        <f t="shared" ref="E111:M111" si="21">E110-E36</f>
        <v>0</v>
      </c>
      <c r="F111" s="268">
        <f t="shared" si="21"/>
        <v>0</v>
      </c>
      <c r="G111" s="268">
        <f t="shared" si="21"/>
        <v>0</v>
      </c>
      <c r="H111" s="268">
        <f>H110-H36</f>
        <v>0</v>
      </c>
      <c r="I111" s="268">
        <f t="shared" si="21"/>
        <v>0</v>
      </c>
      <c r="J111" s="268">
        <f t="shared" si="21"/>
        <v>0</v>
      </c>
      <c r="K111" s="268">
        <f t="shared" si="21"/>
        <v>0</v>
      </c>
      <c r="L111" s="268">
        <f t="shared" si="21"/>
        <v>0</v>
      </c>
      <c r="M111" s="268">
        <f t="shared" si="21"/>
        <v>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8785-9AEB-4B3D-BDBF-4AD3ED572465}">
  <dimension ref="A3:J139"/>
  <sheetViews>
    <sheetView topLeftCell="A115" workbookViewId="0">
      <selection activeCell="B47" sqref="B47"/>
    </sheetView>
  </sheetViews>
  <sheetFormatPr defaultRowHeight="15" x14ac:dyDescent="0.25"/>
  <cols>
    <col min="1" max="1" width="52.7109375" bestFit="1" customWidth="1"/>
    <col min="2" max="2" width="24.7109375" bestFit="1" customWidth="1"/>
    <col min="3" max="3" width="12" bestFit="1" customWidth="1"/>
    <col min="4" max="4" width="17.85546875" bestFit="1" customWidth="1"/>
    <col min="5" max="5" width="19.5703125" bestFit="1" customWidth="1"/>
    <col min="6" max="6" width="20.28515625" bestFit="1" customWidth="1"/>
    <col min="7" max="7" width="24" bestFit="1" customWidth="1"/>
    <col min="8" max="8" width="22" bestFit="1" customWidth="1"/>
    <col min="9" max="9" width="17.28515625" bestFit="1" customWidth="1"/>
    <col min="10" max="10" width="18.140625" bestFit="1" customWidth="1"/>
  </cols>
  <sheetData>
    <row r="3" spans="1:10" x14ac:dyDescent="0.25">
      <c r="A3" s="336" t="s">
        <v>562</v>
      </c>
      <c r="B3" t="s">
        <v>567</v>
      </c>
      <c r="C3" t="s">
        <v>563</v>
      </c>
      <c r="D3" t="s">
        <v>564</v>
      </c>
      <c r="E3" t="s">
        <v>565</v>
      </c>
      <c r="F3" t="s">
        <v>566</v>
      </c>
      <c r="G3" t="s">
        <v>568</v>
      </c>
      <c r="H3" t="s">
        <v>569</v>
      </c>
      <c r="I3" t="s">
        <v>570</v>
      </c>
      <c r="J3" t="s">
        <v>571</v>
      </c>
    </row>
    <row r="4" spans="1:10" x14ac:dyDescent="0.25">
      <c r="A4" s="255" t="s">
        <v>386</v>
      </c>
      <c r="B4">
        <v>22047721150.456985</v>
      </c>
      <c r="C4">
        <v>7795999005.7501945</v>
      </c>
      <c r="D4">
        <v>1421463026.7099988</v>
      </c>
      <c r="E4">
        <v>645538931.48999822</v>
      </c>
      <c r="F4">
        <v>1291734191.0299997</v>
      </c>
      <c r="G4">
        <v>2688032581.9999967</v>
      </c>
      <c r="H4">
        <v>13642823323.651701</v>
      </c>
      <c r="I4">
        <v>26804288583.517792</v>
      </c>
      <c r="J4">
        <v>229764450.55999988</v>
      </c>
    </row>
    <row r="5" spans="1:10" x14ac:dyDescent="0.25">
      <c r="A5" s="256" t="s">
        <v>390</v>
      </c>
      <c r="B5">
        <v>0</v>
      </c>
      <c r="C5">
        <v>0</v>
      </c>
      <c r="D5">
        <v>578902794.46999991</v>
      </c>
      <c r="E5">
        <v>467615972.84999824</v>
      </c>
      <c r="F5">
        <v>766810272.33999991</v>
      </c>
      <c r="G5">
        <v>1155441436.3100033</v>
      </c>
      <c r="H5">
        <v>347879417.17230004</v>
      </c>
      <c r="I5">
        <v>0</v>
      </c>
      <c r="J5">
        <v>119698332.00999993</v>
      </c>
    </row>
    <row r="6" spans="1:10" x14ac:dyDescent="0.25">
      <c r="A6" s="257" t="s">
        <v>414</v>
      </c>
      <c r="B6">
        <v>0</v>
      </c>
      <c r="C6">
        <v>0</v>
      </c>
      <c r="D6">
        <v>5248127.7100000009</v>
      </c>
      <c r="E6">
        <v>2517076.71</v>
      </c>
      <c r="F6">
        <v>101239778.97</v>
      </c>
      <c r="G6">
        <v>249482271.56000093</v>
      </c>
      <c r="H6">
        <v>92206844.813199982</v>
      </c>
      <c r="I6">
        <v>0</v>
      </c>
      <c r="J6">
        <v>59178799.899999954</v>
      </c>
    </row>
    <row r="7" spans="1:10" x14ac:dyDescent="0.25">
      <c r="A7" s="257" t="s">
        <v>391</v>
      </c>
      <c r="B7">
        <v>0</v>
      </c>
      <c r="C7">
        <v>0</v>
      </c>
      <c r="D7">
        <v>11422863.77</v>
      </c>
      <c r="E7">
        <v>223133780.36999807</v>
      </c>
      <c r="F7">
        <v>108741007.88999994</v>
      </c>
      <c r="G7">
        <v>0</v>
      </c>
      <c r="H7">
        <v>0</v>
      </c>
      <c r="I7">
        <v>0</v>
      </c>
      <c r="J7">
        <v>6854476.5</v>
      </c>
    </row>
    <row r="8" spans="1:10" x14ac:dyDescent="0.25">
      <c r="A8" s="257" t="s">
        <v>409</v>
      </c>
      <c r="B8">
        <v>0</v>
      </c>
      <c r="C8">
        <v>0</v>
      </c>
      <c r="D8">
        <v>17566407.939999998</v>
      </c>
      <c r="E8">
        <v>48725047.029999986</v>
      </c>
      <c r="F8">
        <v>217347752.58999985</v>
      </c>
      <c r="G8">
        <v>432116571.60000175</v>
      </c>
      <c r="H8">
        <v>136276647.87099999</v>
      </c>
      <c r="I8">
        <v>0</v>
      </c>
      <c r="J8">
        <v>36691344.199999981</v>
      </c>
    </row>
    <row r="9" spans="1:10" x14ac:dyDescent="0.25">
      <c r="A9" s="257" t="s">
        <v>392</v>
      </c>
      <c r="B9">
        <v>0</v>
      </c>
      <c r="C9">
        <v>0</v>
      </c>
      <c r="D9">
        <v>537867925.62</v>
      </c>
      <c r="E9">
        <v>48991654.930000298</v>
      </c>
      <c r="F9">
        <v>83731236.620000064</v>
      </c>
      <c r="G9">
        <v>9452726.7900000159</v>
      </c>
      <c r="H9">
        <v>0</v>
      </c>
      <c r="I9">
        <v>0</v>
      </c>
      <c r="J9">
        <v>292274.43</v>
      </c>
    </row>
    <row r="10" spans="1:10" x14ac:dyDescent="0.25">
      <c r="A10" s="257" t="s">
        <v>393</v>
      </c>
      <c r="B10">
        <v>0</v>
      </c>
      <c r="C10">
        <v>0</v>
      </c>
      <c r="D10">
        <v>6797469.4299999997</v>
      </c>
      <c r="E10">
        <v>76557551.319999903</v>
      </c>
      <c r="F10">
        <v>63982169.080000013</v>
      </c>
      <c r="G10">
        <v>255081129.14000046</v>
      </c>
      <c r="H10">
        <v>119395924.48810005</v>
      </c>
      <c r="I10">
        <v>0</v>
      </c>
      <c r="J10">
        <v>16681436.979999997</v>
      </c>
    </row>
    <row r="11" spans="1:10" x14ac:dyDescent="0.25">
      <c r="A11" s="257" t="s">
        <v>326</v>
      </c>
      <c r="B11">
        <v>0</v>
      </c>
      <c r="C11">
        <v>0</v>
      </c>
      <c r="D11">
        <v>0</v>
      </c>
      <c r="E11">
        <v>67690862.48999998</v>
      </c>
      <c r="F11">
        <v>191758484.79000011</v>
      </c>
      <c r="G11">
        <v>209308737.22000018</v>
      </c>
      <c r="H11">
        <v>0</v>
      </c>
      <c r="I11">
        <v>0</v>
      </c>
    </row>
    <row r="12" spans="1:10" x14ac:dyDescent="0.25">
      <c r="A12" s="257" t="s">
        <v>324</v>
      </c>
      <c r="B12">
        <v>0</v>
      </c>
      <c r="C12">
        <v>0</v>
      </c>
      <c r="D12">
        <v>0</v>
      </c>
      <c r="E12">
        <v>0</v>
      </c>
      <c r="F12">
        <v>9842.4</v>
      </c>
      <c r="G12">
        <v>0</v>
      </c>
      <c r="H12">
        <v>0</v>
      </c>
      <c r="I12">
        <v>0</v>
      </c>
    </row>
    <row r="13" spans="1:10" x14ac:dyDescent="0.25">
      <c r="A13" s="256" t="s">
        <v>395</v>
      </c>
      <c r="B13">
        <v>2244012906.4189529</v>
      </c>
      <c r="C13">
        <v>0</v>
      </c>
      <c r="D13">
        <v>533970520.06000102</v>
      </c>
      <c r="E13">
        <v>7814178.4400000004</v>
      </c>
      <c r="F13">
        <v>445722167.58999968</v>
      </c>
      <c r="G13">
        <v>464167447.19999951</v>
      </c>
      <c r="H13">
        <v>1373303155.8077006</v>
      </c>
      <c r="I13">
        <v>99474719.699999988</v>
      </c>
      <c r="J13">
        <v>25730178.769999996</v>
      </c>
    </row>
    <row r="14" spans="1:10" x14ac:dyDescent="0.25">
      <c r="A14" s="257" t="s">
        <v>410</v>
      </c>
      <c r="B14">
        <v>0</v>
      </c>
      <c r="C14">
        <v>0</v>
      </c>
      <c r="D14">
        <v>513551595.54000103</v>
      </c>
      <c r="E14">
        <v>7157387.2400000002</v>
      </c>
      <c r="F14">
        <v>313607875.77999967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s="257" t="s">
        <v>413</v>
      </c>
      <c r="B15">
        <v>1166634014.8683753</v>
      </c>
      <c r="C15">
        <v>0</v>
      </c>
      <c r="D15">
        <v>8722385.4600000009</v>
      </c>
      <c r="E15">
        <v>656791.19999999995</v>
      </c>
      <c r="F15">
        <v>69827372.419999987</v>
      </c>
      <c r="G15">
        <v>252087257.15000045</v>
      </c>
      <c r="H15">
        <v>624978370.53080022</v>
      </c>
      <c r="I15">
        <v>99474719.699999988</v>
      </c>
      <c r="J15">
        <v>3859752.72</v>
      </c>
    </row>
    <row r="16" spans="1:10" x14ac:dyDescent="0.25">
      <c r="A16" s="257" t="s">
        <v>396</v>
      </c>
      <c r="B16">
        <v>1077378891.5505776</v>
      </c>
      <c r="C16">
        <v>0</v>
      </c>
      <c r="D16">
        <v>11696539.060000004</v>
      </c>
      <c r="E16">
        <v>0</v>
      </c>
      <c r="F16">
        <v>62286919.390000001</v>
      </c>
      <c r="G16">
        <v>212080190.04999906</v>
      </c>
      <c r="H16">
        <v>748324785.27690029</v>
      </c>
      <c r="I16">
        <v>0</v>
      </c>
      <c r="J16">
        <v>21870426.049999997</v>
      </c>
    </row>
    <row r="17" spans="1:10" x14ac:dyDescent="0.25">
      <c r="A17" s="256" t="s">
        <v>387</v>
      </c>
      <c r="B17">
        <v>295869483.78616917</v>
      </c>
      <c r="C17">
        <v>7795999005.7501945</v>
      </c>
      <c r="D17">
        <v>294471024.13999796</v>
      </c>
      <c r="E17">
        <v>123026288.84999998</v>
      </c>
      <c r="F17">
        <v>57431014.080000013</v>
      </c>
      <c r="G17">
        <v>1068423698.4899937</v>
      </c>
      <c r="H17">
        <v>850825961.94839895</v>
      </c>
      <c r="I17">
        <v>0</v>
      </c>
      <c r="J17">
        <v>82338081.789999962</v>
      </c>
    </row>
    <row r="18" spans="1:10" x14ac:dyDescent="0.25">
      <c r="A18" s="257" t="s">
        <v>411</v>
      </c>
      <c r="B18">
        <v>0</v>
      </c>
      <c r="C18">
        <v>0</v>
      </c>
      <c r="D18">
        <v>0</v>
      </c>
      <c r="E18">
        <v>104085409.96999998</v>
      </c>
      <c r="F18">
        <v>18050152.199999999</v>
      </c>
      <c r="G18">
        <v>745246078.51999485</v>
      </c>
      <c r="H18">
        <v>0</v>
      </c>
      <c r="I18">
        <v>0</v>
      </c>
      <c r="J18">
        <v>63038286.849999949</v>
      </c>
    </row>
    <row r="19" spans="1:10" x14ac:dyDescent="0.25">
      <c r="A19" s="257" t="s">
        <v>412</v>
      </c>
      <c r="B19">
        <v>0</v>
      </c>
      <c r="C19">
        <v>944874453.8399986</v>
      </c>
      <c r="D19">
        <v>0</v>
      </c>
      <c r="E19">
        <v>0</v>
      </c>
      <c r="F19">
        <v>0</v>
      </c>
      <c r="G19">
        <v>260328241.31999904</v>
      </c>
      <c r="H19">
        <v>260328241.31999904</v>
      </c>
      <c r="I19">
        <v>0</v>
      </c>
      <c r="J19">
        <v>0</v>
      </c>
    </row>
    <row r="20" spans="1:10" x14ac:dyDescent="0.25">
      <c r="A20" s="257" t="s">
        <v>436</v>
      </c>
      <c r="B20">
        <v>0</v>
      </c>
      <c r="C20">
        <v>2901587227.3301883</v>
      </c>
      <c r="D20">
        <v>0</v>
      </c>
      <c r="E20">
        <v>0</v>
      </c>
      <c r="F20">
        <v>0</v>
      </c>
      <c r="G20">
        <v>62849378.649999693</v>
      </c>
      <c r="H20">
        <v>453601227.03999996</v>
      </c>
      <c r="I20">
        <v>0</v>
      </c>
      <c r="J20">
        <v>0</v>
      </c>
    </row>
    <row r="21" spans="1:10" x14ac:dyDescent="0.25">
      <c r="A21" s="257" t="s">
        <v>398</v>
      </c>
      <c r="B21">
        <v>0</v>
      </c>
      <c r="C21">
        <v>3949537324.5800076</v>
      </c>
      <c r="D21">
        <v>0</v>
      </c>
      <c r="E21">
        <v>17632294.399999999</v>
      </c>
      <c r="F21">
        <v>11623141.609999999</v>
      </c>
      <c r="G21">
        <v>0</v>
      </c>
      <c r="H21">
        <v>0</v>
      </c>
      <c r="I21">
        <v>0</v>
      </c>
      <c r="J21">
        <v>1288855.8400000001</v>
      </c>
    </row>
    <row r="22" spans="1:10" x14ac:dyDescent="0.25">
      <c r="A22" s="257" t="s">
        <v>388</v>
      </c>
      <c r="B22">
        <v>295869483.78616917</v>
      </c>
      <c r="C22">
        <v>0</v>
      </c>
      <c r="D22">
        <v>294471024.13999796</v>
      </c>
      <c r="E22">
        <v>1308584.48</v>
      </c>
      <c r="F22">
        <v>27757720.270000011</v>
      </c>
      <c r="G22">
        <v>0</v>
      </c>
      <c r="H22">
        <v>136896493.58840001</v>
      </c>
      <c r="I22">
        <v>0</v>
      </c>
      <c r="J22">
        <v>18010939.100000001</v>
      </c>
    </row>
    <row r="23" spans="1:10" x14ac:dyDescent="0.25">
      <c r="A23" s="256" t="s">
        <v>401</v>
      </c>
      <c r="B23">
        <v>8359334284.5734138</v>
      </c>
      <c r="C23">
        <v>0</v>
      </c>
      <c r="D23">
        <v>0</v>
      </c>
      <c r="E23">
        <v>0</v>
      </c>
      <c r="F23">
        <v>0</v>
      </c>
      <c r="G23">
        <v>0</v>
      </c>
      <c r="H23">
        <v>4794123307.5853004</v>
      </c>
      <c r="I23">
        <v>14309051815.629385</v>
      </c>
      <c r="J23">
        <v>0</v>
      </c>
    </row>
    <row r="24" spans="1:10" x14ac:dyDescent="0.25">
      <c r="A24" s="257" t="s">
        <v>402</v>
      </c>
      <c r="B24">
        <v>2326531547.897965</v>
      </c>
      <c r="C24">
        <v>0</v>
      </c>
      <c r="D24">
        <v>0</v>
      </c>
      <c r="E24">
        <v>0</v>
      </c>
      <c r="F24">
        <v>0</v>
      </c>
      <c r="G24">
        <v>0</v>
      </c>
      <c r="H24">
        <v>1270221008.9855001</v>
      </c>
      <c r="I24">
        <v>1003918901.3799986</v>
      </c>
      <c r="J24">
        <v>0</v>
      </c>
    </row>
    <row r="25" spans="1:10" x14ac:dyDescent="0.25">
      <c r="A25" s="257" t="s">
        <v>403</v>
      </c>
      <c r="B25">
        <v>1556732899.31043</v>
      </c>
      <c r="C25">
        <v>0</v>
      </c>
      <c r="D25">
        <v>0</v>
      </c>
      <c r="E25">
        <v>0</v>
      </c>
      <c r="F25">
        <v>0</v>
      </c>
      <c r="G25">
        <v>0</v>
      </c>
      <c r="H25">
        <v>809693097.54320014</v>
      </c>
      <c r="I25">
        <v>5201309809</v>
      </c>
      <c r="J25">
        <v>0</v>
      </c>
    </row>
    <row r="26" spans="1:10" x14ac:dyDescent="0.25">
      <c r="A26" s="257" t="s">
        <v>404</v>
      </c>
      <c r="B26">
        <v>1431955621.1198773</v>
      </c>
      <c r="C26">
        <v>0</v>
      </c>
      <c r="D26">
        <v>0</v>
      </c>
      <c r="E26">
        <v>0</v>
      </c>
      <c r="F26">
        <v>0</v>
      </c>
      <c r="G26">
        <v>0</v>
      </c>
      <c r="H26">
        <v>854540439.37340009</v>
      </c>
      <c r="I26">
        <v>7842292527.5393858</v>
      </c>
      <c r="J26">
        <v>0</v>
      </c>
    </row>
    <row r="27" spans="1:10" x14ac:dyDescent="0.25">
      <c r="A27" s="257" t="s">
        <v>405</v>
      </c>
      <c r="B27">
        <v>3044114216.245142</v>
      </c>
      <c r="C27">
        <v>0</v>
      </c>
      <c r="D27">
        <v>0</v>
      </c>
      <c r="E27">
        <v>0</v>
      </c>
      <c r="F27">
        <v>0</v>
      </c>
      <c r="G27">
        <v>0</v>
      </c>
      <c r="H27">
        <v>1859668761.6831999</v>
      </c>
      <c r="I27">
        <v>261530577.7100001</v>
      </c>
      <c r="J27">
        <v>0</v>
      </c>
    </row>
    <row r="28" spans="1:10" x14ac:dyDescent="0.25">
      <c r="A28" s="256" t="s">
        <v>399</v>
      </c>
      <c r="B28">
        <v>11148504475.678452</v>
      </c>
      <c r="C28">
        <v>0</v>
      </c>
      <c r="D28">
        <v>14118688.039999999</v>
      </c>
      <c r="E28">
        <v>47082491.349999994</v>
      </c>
      <c r="F28">
        <v>21770737.020000003</v>
      </c>
      <c r="G28">
        <v>0</v>
      </c>
      <c r="H28">
        <v>6276691481.1379995</v>
      </c>
      <c r="I28">
        <v>12395762048.188406</v>
      </c>
      <c r="J28">
        <v>1997857.99</v>
      </c>
    </row>
    <row r="29" spans="1:10" x14ac:dyDescent="0.25">
      <c r="A29" s="257" t="s">
        <v>400</v>
      </c>
      <c r="B29">
        <v>2536220966.6901655</v>
      </c>
      <c r="C29">
        <v>0</v>
      </c>
      <c r="D29">
        <v>0</v>
      </c>
      <c r="E29">
        <v>0</v>
      </c>
      <c r="F29">
        <v>0</v>
      </c>
      <c r="G29">
        <v>0</v>
      </c>
      <c r="H29">
        <v>1259436385.0236988</v>
      </c>
      <c r="I29">
        <v>218761180.7299979</v>
      </c>
      <c r="J29">
        <v>0</v>
      </c>
    </row>
    <row r="30" spans="1:10" x14ac:dyDescent="0.25">
      <c r="A30" s="257" t="s">
        <v>406</v>
      </c>
      <c r="B30">
        <v>3270543337.822751</v>
      </c>
      <c r="C30">
        <v>0</v>
      </c>
      <c r="D30">
        <v>0</v>
      </c>
      <c r="E30">
        <v>0</v>
      </c>
      <c r="F30">
        <v>0</v>
      </c>
      <c r="G30">
        <v>0</v>
      </c>
      <c r="H30">
        <v>2108569471.1471004</v>
      </c>
      <c r="I30">
        <v>3581306822</v>
      </c>
      <c r="J30">
        <v>0</v>
      </c>
    </row>
    <row r="31" spans="1:10" x14ac:dyDescent="0.25">
      <c r="A31" s="257" t="s">
        <v>407</v>
      </c>
      <c r="B31">
        <v>1734424295.8827801</v>
      </c>
      <c r="C31">
        <v>0</v>
      </c>
      <c r="D31">
        <v>0</v>
      </c>
      <c r="E31">
        <v>0</v>
      </c>
      <c r="F31">
        <v>0</v>
      </c>
      <c r="G31">
        <v>0</v>
      </c>
      <c r="H31">
        <v>911492076.11280048</v>
      </c>
      <c r="I31">
        <v>236932645.48000008</v>
      </c>
      <c r="J31">
        <v>0</v>
      </c>
    </row>
    <row r="32" spans="1:10" x14ac:dyDescent="0.25">
      <c r="A32" s="257" t="s">
        <v>366</v>
      </c>
      <c r="B32">
        <v>2411507915.6354003</v>
      </c>
      <c r="C32">
        <v>0</v>
      </c>
      <c r="D32">
        <v>0</v>
      </c>
      <c r="E32">
        <v>0</v>
      </c>
      <c r="F32">
        <v>0</v>
      </c>
      <c r="G32">
        <v>0</v>
      </c>
      <c r="H32">
        <v>1369702012.0121002</v>
      </c>
      <c r="I32">
        <v>6817750437.9784079</v>
      </c>
    </row>
    <row r="33" spans="1:10" x14ac:dyDescent="0.25">
      <c r="A33" s="257" t="s">
        <v>408</v>
      </c>
      <c r="B33">
        <v>1195807959.6473541</v>
      </c>
      <c r="C33">
        <v>0</v>
      </c>
      <c r="D33">
        <v>14118688.039999999</v>
      </c>
      <c r="E33">
        <v>47082491.349999994</v>
      </c>
      <c r="F33">
        <v>21770737.020000003</v>
      </c>
      <c r="G33">
        <v>0</v>
      </c>
      <c r="H33">
        <v>627491536.84229958</v>
      </c>
      <c r="I33">
        <v>1541010962</v>
      </c>
      <c r="J33">
        <v>1997857.99</v>
      </c>
    </row>
    <row r="34" spans="1:10" x14ac:dyDescent="0.25">
      <c r="A34" s="255" t="s">
        <v>591</v>
      </c>
      <c r="B34">
        <v>38187559102.482285</v>
      </c>
      <c r="C34">
        <v>5059233607.7100134</v>
      </c>
      <c r="D34">
        <v>883455547.94000006</v>
      </c>
      <c r="E34">
        <v>1525291967.5899997</v>
      </c>
      <c r="F34">
        <v>2729944965.8000007</v>
      </c>
      <c r="G34">
        <v>823783747.14595747</v>
      </c>
      <c r="H34">
        <v>24206127501.316795</v>
      </c>
      <c r="I34">
        <v>29209466367.269081</v>
      </c>
    </row>
    <row r="35" spans="1:10" x14ac:dyDescent="0.25">
      <c r="A35" s="256" t="s">
        <v>527</v>
      </c>
      <c r="B35">
        <v>0</v>
      </c>
      <c r="C35">
        <v>390490907.73000014</v>
      </c>
      <c r="D35">
        <v>31784312.930000041</v>
      </c>
      <c r="E35">
        <v>807063926.50999999</v>
      </c>
      <c r="F35">
        <v>976222500.75</v>
      </c>
      <c r="G35">
        <v>0</v>
      </c>
      <c r="H35">
        <v>1119300</v>
      </c>
      <c r="I35">
        <v>0</v>
      </c>
    </row>
    <row r="36" spans="1:10" x14ac:dyDescent="0.25">
      <c r="A36" s="257" t="s">
        <v>532</v>
      </c>
      <c r="B36">
        <v>0</v>
      </c>
      <c r="C36">
        <v>0</v>
      </c>
      <c r="D36">
        <v>0</v>
      </c>
      <c r="E36">
        <v>426688592.22000003</v>
      </c>
      <c r="F36">
        <v>5036923.6599999992</v>
      </c>
      <c r="G36">
        <v>0</v>
      </c>
      <c r="H36">
        <v>0</v>
      </c>
      <c r="I36">
        <v>0</v>
      </c>
    </row>
    <row r="37" spans="1:10" x14ac:dyDescent="0.25">
      <c r="A37" s="257" t="s">
        <v>528</v>
      </c>
      <c r="B37">
        <v>0</v>
      </c>
      <c r="C37">
        <v>390490907.73000014</v>
      </c>
      <c r="D37">
        <v>8540356.7300000004</v>
      </c>
      <c r="E37">
        <v>154394419.58000001</v>
      </c>
      <c r="F37">
        <v>808057680.12</v>
      </c>
      <c r="G37">
        <v>0</v>
      </c>
      <c r="H37">
        <v>1119300</v>
      </c>
      <c r="I37">
        <v>0</v>
      </c>
    </row>
    <row r="38" spans="1:10" x14ac:dyDescent="0.25">
      <c r="A38" s="257" t="s">
        <v>535</v>
      </c>
      <c r="B38">
        <v>0</v>
      </c>
      <c r="C38">
        <v>0</v>
      </c>
      <c r="D38">
        <v>23243956.20000004</v>
      </c>
      <c r="E38">
        <v>225980914.70999989</v>
      </c>
      <c r="F38">
        <v>163127896.97000003</v>
      </c>
      <c r="G38">
        <v>0</v>
      </c>
      <c r="H38">
        <v>0</v>
      </c>
      <c r="I38">
        <v>0</v>
      </c>
    </row>
    <row r="39" spans="1:10" x14ac:dyDescent="0.25">
      <c r="A39" s="256" t="s">
        <v>318</v>
      </c>
      <c r="B39">
        <v>0</v>
      </c>
      <c r="C39">
        <v>613876776.96999764</v>
      </c>
      <c r="D39">
        <v>173163698.79999998</v>
      </c>
      <c r="E39">
        <v>145721406.00999993</v>
      </c>
      <c r="F39">
        <v>1120815497.1300001</v>
      </c>
      <c r="G39">
        <v>793632588.88499987</v>
      </c>
      <c r="H39">
        <v>3858724.3721000003</v>
      </c>
      <c r="I39">
        <v>0</v>
      </c>
    </row>
    <row r="40" spans="1:10" x14ac:dyDescent="0.25">
      <c r="A40" s="257" t="s">
        <v>331</v>
      </c>
      <c r="B40">
        <v>0</v>
      </c>
      <c r="C40">
        <v>0</v>
      </c>
      <c r="D40">
        <v>0</v>
      </c>
      <c r="E40">
        <v>1744006.1599999862</v>
      </c>
      <c r="F40">
        <v>157217318.75500003</v>
      </c>
      <c r="G40">
        <v>96652082.004999995</v>
      </c>
      <c r="H40">
        <v>0</v>
      </c>
      <c r="I40">
        <v>0</v>
      </c>
    </row>
    <row r="41" spans="1:10" x14ac:dyDescent="0.25">
      <c r="A41" s="257" t="s">
        <v>327</v>
      </c>
      <c r="B41">
        <v>0</v>
      </c>
      <c r="C41">
        <v>0</v>
      </c>
      <c r="D41">
        <v>2268781.3500000006</v>
      </c>
      <c r="E41">
        <v>136413.45000000112</v>
      </c>
      <c r="F41">
        <v>127215934.92499998</v>
      </c>
      <c r="G41">
        <v>219317518.47499987</v>
      </c>
      <c r="H41">
        <v>0</v>
      </c>
      <c r="I41">
        <v>0</v>
      </c>
    </row>
    <row r="42" spans="1:10" x14ac:dyDescent="0.25">
      <c r="A42" s="257" t="s">
        <v>329</v>
      </c>
      <c r="B42">
        <v>0</v>
      </c>
      <c r="C42">
        <v>0</v>
      </c>
      <c r="D42">
        <v>43720409.620000005</v>
      </c>
      <c r="E42">
        <v>117420382.85999995</v>
      </c>
      <c r="F42">
        <v>245004504.70000002</v>
      </c>
      <c r="G42">
        <v>0</v>
      </c>
      <c r="H42">
        <v>3208724.3721000003</v>
      </c>
      <c r="I42">
        <v>0</v>
      </c>
    </row>
    <row r="43" spans="1:10" x14ac:dyDescent="0.25">
      <c r="A43" s="257" t="s">
        <v>319</v>
      </c>
      <c r="B43">
        <v>0</v>
      </c>
      <c r="C43">
        <v>537969727.04999769</v>
      </c>
      <c r="D43">
        <v>63562247.979999989</v>
      </c>
      <c r="E43">
        <v>21408571.179999996</v>
      </c>
      <c r="F43">
        <v>274916507.83000016</v>
      </c>
      <c r="G43">
        <v>421190917.80500007</v>
      </c>
      <c r="H43">
        <v>650000</v>
      </c>
      <c r="I43">
        <v>0</v>
      </c>
    </row>
    <row r="44" spans="1:10" x14ac:dyDescent="0.25">
      <c r="A44" s="257" t="s">
        <v>324</v>
      </c>
      <c r="B44">
        <v>0</v>
      </c>
      <c r="C44">
        <v>75907049.919999987</v>
      </c>
      <c r="D44">
        <v>63612259.850000001</v>
      </c>
      <c r="E44">
        <v>5012032.3599999985</v>
      </c>
      <c r="F44">
        <v>316461230.92000002</v>
      </c>
      <c r="G44">
        <v>56472070.599999875</v>
      </c>
      <c r="H44">
        <v>0</v>
      </c>
      <c r="I44">
        <v>0</v>
      </c>
    </row>
    <row r="45" spans="1:10" x14ac:dyDescent="0.25">
      <c r="A45" s="256" t="s">
        <v>529</v>
      </c>
      <c r="B45">
        <v>0</v>
      </c>
      <c r="C45">
        <v>1006177853.9500002</v>
      </c>
      <c r="D45">
        <v>678507536.21000004</v>
      </c>
      <c r="E45">
        <v>572506635.06999993</v>
      </c>
      <c r="F45">
        <v>632906967.92000008</v>
      </c>
      <c r="G45">
        <v>0</v>
      </c>
      <c r="H45">
        <v>533285680.44700003</v>
      </c>
      <c r="I45">
        <v>0</v>
      </c>
    </row>
    <row r="46" spans="1:10" x14ac:dyDescent="0.25">
      <c r="A46" s="257" t="s">
        <v>537</v>
      </c>
      <c r="B46">
        <v>0</v>
      </c>
      <c r="C46">
        <v>455626091.64999998</v>
      </c>
      <c r="D46">
        <v>240569215.74000001</v>
      </c>
      <c r="E46">
        <v>130862903.00999998</v>
      </c>
      <c r="F46">
        <v>352208206.12</v>
      </c>
      <c r="G46">
        <v>0</v>
      </c>
      <c r="H46">
        <v>398605680.44700003</v>
      </c>
      <c r="I46">
        <v>0</v>
      </c>
    </row>
    <row r="47" spans="1:10" x14ac:dyDescent="0.25">
      <c r="A47" s="257" t="s">
        <v>530</v>
      </c>
      <c r="B47">
        <v>0</v>
      </c>
      <c r="C47">
        <v>0</v>
      </c>
      <c r="D47">
        <v>97210541.730000019</v>
      </c>
      <c r="E47">
        <v>328947972.70999992</v>
      </c>
      <c r="F47">
        <v>125566140.82999998</v>
      </c>
      <c r="G47">
        <v>0</v>
      </c>
      <c r="H47">
        <v>67167100</v>
      </c>
      <c r="I47">
        <v>0</v>
      </c>
    </row>
    <row r="48" spans="1:10" x14ac:dyDescent="0.25">
      <c r="A48" s="257" t="s">
        <v>540</v>
      </c>
      <c r="B48">
        <v>0</v>
      </c>
      <c r="C48">
        <v>0</v>
      </c>
      <c r="D48">
        <v>318681900.88</v>
      </c>
      <c r="E48">
        <v>104037404.78</v>
      </c>
      <c r="F48">
        <v>155131518.53</v>
      </c>
      <c r="G48">
        <v>0</v>
      </c>
      <c r="H48">
        <v>26026000</v>
      </c>
      <c r="I48">
        <v>0</v>
      </c>
    </row>
    <row r="49" spans="1:9" x14ac:dyDescent="0.25">
      <c r="A49" s="257" t="s">
        <v>544</v>
      </c>
      <c r="B49">
        <v>0</v>
      </c>
      <c r="C49">
        <v>550551762.30000019</v>
      </c>
      <c r="D49">
        <v>22045877.859999981</v>
      </c>
      <c r="E49">
        <v>8658354.5700000003</v>
      </c>
      <c r="F49">
        <v>1102.44</v>
      </c>
      <c r="G49">
        <v>0</v>
      </c>
      <c r="H49">
        <v>41486900</v>
      </c>
      <c r="I49">
        <v>0</v>
      </c>
    </row>
    <row r="50" spans="1:9" x14ac:dyDescent="0.25">
      <c r="A50" s="256" t="s">
        <v>337</v>
      </c>
      <c r="B50">
        <v>0</v>
      </c>
      <c r="C50">
        <v>3048688069.0600162</v>
      </c>
      <c r="D50">
        <v>0</v>
      </c>
      <c r="E50">
        <v>0</v>
      </c>
      <c r="F50">
        <v>0</v>
      </c>
      <c r="G50">
        <v>0</v>
      </c>
      <c r="H50">
        <v>361010000</v>
      </c>
      <c r="I50">
        <v>0</v>
      </c>
    </row>
    <row r="51" spans="1:9" x14ac:dyDescent="0.25">
      <c r="A51" s="257" t="s">
        <v>374</v>
      </c>
      <c r="B51">
        <v>0</v>
      </c>
      <c r="C51">
        <v>1397370089.2200017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257" t="s">
        <v>348</v>
      </c>
      <c r="B52">
        <v>0</v>
      </c>
      <c r="C52">
        <v>1181206026.5700133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257" t="s">
        <v>338</v>
      </c>
      <c r="B53">
        <v>0</v>
      </c>
      <c r="C53">
        <v>470111953.27000087</v>
      </c>
      <c r="D53">
        <v>0</v>
      </c>
      <c r="E53">
        <v>0</v>
      </c>
      <c r="F53">
        <v>0</v>
      </c>
      <c r="G53">
        <v>0</v>
      </c>
      <c r="H53">
        <v>361010000</v>
      </c>
      <c r="I53">
        <v>0</v>
      </c>
    </row>
    <row r="54" spans="1:9" x14ac:dyDescent="0.25">
      <c r="A54" s="256" t="s">
        <v>362</v>
      </c>
      <c r="B54">
        <v>12929899431.418083</v>
      </c>
      <c r="C54">
        <v>0</v>
      </c>
      <c r="D54">
        <v>0</v>
      </c>
      <c r="E54">
        <v>0</v>
      </c>
      <c r="F54">
        <v>0</v>
      </c>
      <c r="G54">
        <v>0</v>
      </c>
      <c r="H54">
        <v>7497739026.0811996</v>
      </c>
      <c r="I54">
        <v>0</v>
      </c>
    </row>
    <row r="55" spans="1:9" x14ac:dyDescent="0.25">
      <c r="A55" s="257" t="s">
        <v>369</v>
      </c>
      <c r="B55">
        <v>3181624376.36132</v>
      </c>
      <c r="C55">
        <v>0</v>
      </c>
      <c r="D55">
        <v>0</v>
      </c>
      <c r="E55">
        <v>0</v>
      </c>
      <c r="F55">
        <v>0</v>
      </c>
      <c r="G55">
        <v>0</v>
      </c>
      <c r="H55">
        <v>1841724236.6458004</v>
      </c>
      <c r="I55">
        <v>0</v>
      </c>
    </row>
    <row r="56" spans="1:9" x14ac:dyDescent="0.25">
      <c r="A56" s="257" t="s">
        <v>370</v>
      </c>
      <c r="B56">
        <v>2168589251.82792</v>
      </c>
      <c r="C56">
        <v>0</v>
      </c>
      <c r="D56">
        <v>0</v>
      </c>
      <c r="E56">
        <v>0</v>
      </c>
      <c r="F56">
        <v>0</v>
      </c>
      <c r="G56">
        <v>0</v>
      </c>
      <c r="H56">
        <v>1360826294.5654001</v>
      </c>
      <c r="I56">
        <v>0</v>
      </c>
    </row>
    <row r="57" spans="1:9" x14ac:dyDescent="0.25">
      <c r="A57" s="257" t="s">
        <v>371</v>
      </c>
      <c r="B57">
        <v>3198033082.4474812</v>
      </c>
      <c r="C57">
        <v>0</v>
      </c>
      <c r="D57">
        <v>0</v>
      </c>
      <c r="E57">
        <v>0</v>
      </c>
      <c r="F57">
        <v>0</v>
      </c>
      <c r="G57">
        <v>0</v>
      </c>
      <c r="H57">
        <v>1815733080.2909989</v>
      </c>
      <c r="I57">
        <v>0</v>
      </c>
    </row>
    <row r="58" spans="1:9" x14ac:dyDescent="0.25">
      <c r="A58" s="257" t="s">
        <v>363</v>
      </c>
      <c r="B58">
        <v>4381652720.7813616</v>
      </c>
      <c r="C58">
        <v>0</v>
      </c>
      <c r="D58">
        <v>0</v>
      </c>
      <c r="E58">
        <v>0</v>
      </c>
      <c r="F58">
        <v>0</v>
      </c>
      <c r="G58">
        <v>0</v>
      </c>
      <c r="H58">
        <v>2479455414.5790005</v>
      </c>
      <c r="I58">
        <v>0</v>
      </c>
    </row>
    <row r="59" spans="1:9" x14ac:dyDescent="0.25">
      <c r="A59" s="256" t="s">
        <v>364</v>
      </c>
      <c r="B59">
        <v>8218423282.264946</v>
      </c>
      <c r="C59">
        <v>0</v>
      </c>
      <c r="D59">
        <v>0</v>
      </c>
      <c r="E59">
        <v>0</v>
      </c>
      <c r="F59">
        <v>0</v>
      </c>
      <c r="G59">
        <v>0</v>
      </c>
      <c r="H59">
        <v>4426621065.5407</v>
      </c>
      <c r="I59">
        <v>11314707530.999416</v>
      </c>
    </row>
    <row r="60" spans="1:9" x14ac:dyDescent="0.25">
      <c r="A60" s="257" t="s">
        <v>372</v>
      </c>
      <c r="B60">
        <v>3413731374.3028264</v>
      </c>
      <c r="C60">
        <v>0</v>
      </c>
      <c r="D60">
        <v>0</v>
      </c>
      <c r="E60">
        <v>0</v>
      </c>
      <c r="F60">
        <v>0</v>
      </c>
      <c r="G60">
        <v>0</v>
      </c>
      <c r="H60">
        <v>1876588866.3067002</v>
      </c>
      <c r="I60">
        <v>0</v>
      </c>
    </row>
    <row r="61" spans="1:9" x14ac:dyDescent="0.25">
      <c r="A61" s="257" t="s">
        <v>373</v>
      </c>
      <c r="B61">
        <v>4804691907.9621201</v>
      </c>
      <c r="C61">
        <v>0</v>
      </c>
      <c r="D61">
        <v>0</v>
      </c>
      <c r="E61">
        <v>0</v>
      </c>
      <c r="F61">
        <v>0</v>
      </c>
      <c r="G61">
        <v>0</v>
      </c>
      <c r="H61">
        <v>2550032199.2339997</v>
      </c>
      <c r="I61">
        <v>0</v>
      </c>
    </row>
    <row r="62" spans="1:9" x14ac:dyDescent="0.25">
      <c r="A62" s="257" t="s">
        <v>381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11314707530.999416</v>
      </c>
    </row>
    <row r="63" spans="1:9" x14ac:dyDescent="0.25">
      <c r="A63" s="256" t="s">
        <v>552</v>
      </c>
      <c r="B63">
        <v>9219450076.0850506</v>
      </c>
      <c r="C63">
        <v>0</v>
      </c>
      <c r="D63">
        <v>0</v>
      </c>
      <c r="E63">
        <v>0</v>
      </c>
      <c r="F63">
        <v>0</v>
      </c>
      <c r="G63">
        <v>27130505.840957616</v>
      </c>
      <c r="H63">
        <v>5762553882.198101</v>
      </c>
      <c r="I63">
        <v>1239276737.9199791</v>
      </c>
    </row>
    <row r="64" spans="1:9" x14ac:dyDescent="0.25">
      <c r="A64" s="257" t="s">
        <v>553</v>
      </c>
      <c r="B64">
        <v>2499187773.985817</v>
      </c>
      <c r="C64">
        <v>0</v>
      </c>
      <c r="D64">
        <v>0</v>
      </c>
      <c r="E64">
        <v>0</v>
      </c>
      <c r="F64">
        <v>0</v>
      </c>
      <c r="G64">
        <v>0</v>
      </c>
      <c r="H64">
        <v>1008700663.4809</v>
      </c>
      <c r="I64">
        <v>1239276737.9199791</v>
      </c>
    </row>
    <row r="65" spans="1:10" x14ac:dyDescent="0.25">
      <c r="A65" s="257" t="s">
        <v>554</v>
      </c>
      <c r="B65">
        <v>2189482761.2112374</v>
      </c>
      <c r="C65">
        <v>0</v>
      </c>
      <c r="D65">
        <v>0</v>
      </c>
      <c r="E65">
        <v>0</v>
      </c>
      <c r="F65">
        <v>0</v>
      </c>
      <c r="G65">
        <v>0</v>
      </c>
      <c r="H65">
        <v>1176822312.9299002</v>
      </c>
      <c r="I65">
        <v>0</v>
      </c>
    </row>
    <row r="66" spans="1:10" x14ac:dyDescent="0.25">
      <c r="A66" s="257" t="s">
        <v>555</v>
      </c>
      <c r="B66">
        <v>1967313156.6679699</v>
      </c>
      <c r="C66">
        <v>0</v>
      </c>
      <c r="D66">
        <v>0</v>
      </c>
      <c r="E66">
        <v>0</v>
      </c>
      <c r="F66">
        <v>0</v>
      </c>
      <c r="G66">
        <v>27130505.840957616</v>
      </c>
      <c r="H66">
        <v>1967581503.4382</v>
      </c>
      <c r="I66">
        <v>0</v>
      </c>
    </row>
    <row r="67" spans="1:10" x14ac:dyDescent="0.25">
      <c r="A67" s="257" t="s">
        <v>559</v>
      </c>
      <c r="B67">
        <v>2563466384.220027</v>
      </c>
      <c r="C67">
        <v>0</v>
      </c>
      <c r="D67">
        <v>0</v>
      </c>
      <c r="E67">
        <v>0</v>
      </c>
      <c r="F67">
        <v>0</v>
      </c>
      <c r="G67">
        <v>0</v>
      </c>
      <c r="H67">
        <v>1609449402.3491006</v>
      </c>
      <c r="I67">
        <v>0</v>
      </c>
    </row>
    <row r="68" spans="1:10" x14ac:dyDescent="0.25">
      <c r="A68" s="256" t="s">
        <v>556</v>
      </c>
      <c r="B68">
        <v>7819786312.7142048</v>
      </c>
      <c r="C68">
        <v>0</v>
      </c>
      <c r="D68">
        <v>0</v>
      </c>
      <c r="E68">
        <v>0</v>
      </c>
      <c r="F68">
        <v>0</v>
      </c>
      <c r="G68">
        <v>3020652.42</v>
      </c>
      <c r="H68">
        <v>5619939822.6777</v>
      </c>
      <c r="I68">
        <v>16655482098.349686</v>
      </c>
    </row>
    <row r="69" spans="1:10" x14ac:dyDescent="0.25">
      <c r="A69" s="257" t="s">
        <v>557</v>
      </c>
      <c r="B69">
        <v>2237092071.4398184</v>
      </c>
      <c r="C69">
        <v>0</v>
      </c>
      <c r="D69">
        <v>0</v>
      </c>
      <c r="E69">
        <v>0</v>
      </c>
      <c r="F69">
        <v>0</v>
      </c>
      <c r="G69">
        <v>0</v>
      </c>
      <c r="H69">
        <v>1801439087.4466987</v>
      </c>
      <c r="I69">
        <v>6981487904.4999857</v>
      </c>
    </row>
    <row r="70" spans="1:10" x14ac:dyDescent="0.25">
      <c r="A70" s="257" t="s">
        <v>558</v>
      </c>
      <c r="B70">
        <v>3337320744.5091424</v>
      </c>
      <c r="C70">
        <v>0</v>
      </c>
      <c r="D70">
        <v>0</v>
      </c>
      <c r="E70">
        <v>0</v>
      </c>
      <c r="F70">
        <v>0</v>
      </c>
      <c r="G70">
        <v>3020652.42</v>
      </c>
      <c r="H70">
        <v>2551201014.5830002</v>
      </c>
      <c r="I70">
        <v>1812890091.9499843</v>
      </c>
    </row>
    <row r="71" spans="1:10" x14ac:dyDescent="0.25">
      <c r="A71" s="257" t="s">
        <v>560</v>
      </c>
      <c r="B71">
        <v>2245373496.7652435</v>
      </c>
      <c r="C71">
        <v>0</v>
      </c>
      <c r="D71">
        <v>0</v>
      </c>
      <c r="E71">
        <v>0</v>
      </c>
      <c r="F71">
        <v>0</v>
      </c>
      <c r="G71">
        <v>0</v>
      </c>
      <c r="H71">
        <v>1267299720.6480002</v>
      </c>
      <c r="I71">
        <v>7861104101.8997154</v>
      </c>
    </row>
    <row r="72" spans="1:10" x14ac:dyDescent="0.25">
      <c r="A72" s="255" t="s">
        <v>438</v>
      </c>
      <c r="B72">
        <v>1268877709.1800029</v>
      </c>
      <c r="C72">
        <v>864521902.31999981</v>
      </c>
      <c r="D72">
        <v>2450708828.4699998</v>
      </c>
      <c r="E72">
        <v>836408698.87</v>
      </c>
      <c r="F72">
        <v>3487432752.4200001</v>
      </c>
      <c r="G72">
        <v>636211775.19999993</v>
      </c>
      <c r="H72">
        <v>855640391.10279989</v>
      </c>
      <c r="I72">
        <v>986262290.77999067</v>
      </c>
      <c r="J72">
        <v>1913658133.8300028</v>
      </c>
    </row>
    <row r="73" spans="1:10" x14ac:dyDescent="0.25">
      <c r="A73" s="256" t="s">
        <v>443</v>
      </c>
      <c r="B73">
        <v>753325656.6600014</v>
      </c>
      <c r="C73">
        <v>0</v>
      </c>
      <c r="D73">
        <v>901713757.16999984</v>
      </c>
      <c r="E73">
        <v>522361513.39999998</v>
      </c>
      <c r="F73">
        <v>878845996.87999988</v>
      </c>
      <c r="G73">
        <v>18110606.940000001</v>
      </c>
      <c r="H73">
        <v>586512446.33019996</v>
      </c>
      <c r="I73">
        <v>0</v>
      </c>
      <c r="J73">
        <v>0</v>
      </c>
    </row>
    <row r="74" spans="1:10" x14ac:dyDescent="0.25">
      <c r="A74" s="257" t="s">
        <v>444</v>
      </c>
      <c r="B74">
        <v>355101442.36000061</v>
      </c>
      <c r="C74">
        <v>0</v>
      </c>
      <c r="D74">
        <v>207604141.61000004</v>
      </c>
      <c r="E74">
        <v>267598793.23000005</v>
      </c>
      <c r="F74">
        <v>64431172.359999985</v>
      </c>
      <c r="G74">
        <v>0</v>
      </c>
      <c r="H74">
        <v>339730098.9576</v>
      </c>
      <c r="I74">
        <v>0</v>
      </c>
      <c r="J74">
        <v>0</v>
      </c>
    </row>
    <row r="75" spans="1:10" x14ac:dyDescent="0.25">
      <c r="A75" s="257" t="s">
        <v>445</v>
      </c>
      <c r="B75">
        <v>511490.75000000006</v>
      </c>
      <c r="C75">
        <v>0</v>
      </c>
      <c r="D75">
        <v>127941209.57999995</v>
      </c>
      <c r="E75">
        <v>2351096.6800000002</v>
      </c>
      <c r="F75">
        <v>303797832.34000003</v>
      </c>
      <c r="G75">
        <v>18110606.940000001</v>
      </c>
      <c r="H75">
        <v>0</v>
      </c>
      <c r="I75">
        <v>0</v>
      </c>
      <c r="J75">
        <v>0</v>
      </c>
    </row>
    <row r="76" spans="1:10" x14ac:dyDescent="0.25">
      <c r="A76" s="257" t="s">
        <v>446</v>
      </c>
      <c r="B76">
        <v>275845491.41999978</v>
      </c>
      <c r="C76">
        <v>0</v>
      </c>
      <c r="D76">
        <v>444496975.47999984</v>
      </c>
      <c r="E76">
        <v>68752876.779999986</v>
      </c>
      <c r="F76">
        <v>282678090.38000005</v>
      </c>
      <c r="G76">
        <v>0</v>
      </c>
      <c r="H76">
        <v>176294026.74129999</v>
      </c>
      <c r="I76">
        <v>0</v>
      </c>
      <c r="J76">
        <v>0</v>
      </c>
    </row>
    <row r="77" spans="1:10" x14ac:dyDescent="0.25">
      <c r="A77" s="257" t="s">
        <v>452</v>
      </c>
      <c r="B77">
        <v>121867232.1300009</v>
      </c>
      <c r="C77">
        <v>0</v>
      </c>
      <c r="D77">
        <v>121671430.49999997</v>
      </c>
      <c r="E77">
        <v>183658746.71000001</v>
      </c>
      <c r="F77">
        <v>227938901.79999974</v>
      </c>
      <c r="G77">
        <v>0</v>
      </c>
      <c r="H77">
        <v>70488320.631299987</v>
      </c>
      <c r="I77">
        <v>0</v>
      </c>
      <c r="J77">
        <v>0</v>
      </c>
    </row>
    <row r="78" spans="1:10" x14ac:dyDescent="0.25">
      <c r="A78" s="256" t="s">
        <v>439</v>
      </c>
      <c r="B78">
        <v>314438153.57000083</v>
      </c>
      <c r="C78">
        <v>0</v>
      </c>
      <c r="D78">
        <v>713475145.95000005</v>
      </c>
      <c r="E78">
        <v>235628622.49000001</v>
      </c>
      <c r="F78">
        <v>1082233209.3200002</v>
      </c>
      <c r="G78">
        <v>257446709.98999998</v>
      </c>
      <c r="H78">
        <v>130423909.94099995</v>
      </c>
      <c r="I78">
        <v>0</v>
      </c>
      <c r="J78">
        <v>0</v>
      </c>
    </row>
    <row r="79" spans="1:10" x14ac:dyDescent="0.25">
      <c r="A79" s="257" t="s">
        <v>440</v>
      </c>
      <c r="B79">
        <v>141716641.35000092</v>
      </c>
      <c r="C79">
        <v>0</v>
      </c>
      <c r="D79">
        <v>380332306.94</v>
      </c>
      <c r="E79">
        <v>1069912.8400000001</v>
      </c>
      <c r="F79">
        <v>274408009.31999999</v>
      </c>
      <c r="G79">
        <v>171065687.12999997</v>
      </c>
      <c r="H79">
        <v>20031660.741299998</v>
      </c>
      <c r="I79">
        <v>0</v>
      </c>
      <c r="J79">
        <v>0</v>
      </c>
    </row>
    <row r="80" spans="1:10" x14ac:dyDescent="0.25">
      <c r="A80" s="257" t="s">
        <v>441</v>
      </c>
      <c r="B80">
        <v>13117256.509999998</v>
      </c>
      <c r="C80">
        <v>0</v>
      </c>
      <c r="D80">
        <v>153019583.42999998</v>
      </c>
      <c r="E80">
        <v>134970165.77000001</v>
      </c>
      <c r="F80">
        <v>333905249.43000019</v>
      </c>
      <c r="G80">
        <v>27361099.270000003</v>
      </c>
      <c r="H80">
        <v>1989224.5970999999</v>
      </c>
      <c r="I80">
        <v>0</v>
      </c>
      <c r="J80">
        <v>0</v>
      </c>
    </row>
    <row r="81" spans="1:10" x14ac:dyDescent="0.25">
      <c r="A81" s="257" t="s">
        <v>451</v>
      </c>
      <c r="B81">
        <v>149308281.99999991</v>
      </c>
      <c r="C81">
        <v>0</v>
      </c>
      <c r="D81">
        <v>180123255.57999998</v>
      </c>
      <c r="E81">
        <v>0</v>
      </c>
      <c r="F81">
        <v>165399535.2899999</v>
      </c>
      <c r="G81">
        <v>17840405.869999994</v>
      </c>
      <c r="H81">
        <v>107753024.60259996</v>
      </c>
      <c r="I81">
        <v>0</v>
      </c>
      <c r="J81">
        <v>0</v>
      </c>
    </row>
    <row r="82" spans="1:10" x14ac:dyDescent="0.25">
      <c r="A82" s="257" t="s">
        <v>459</v>
      </c>
      <c r="B82">
        <v>10295973.709999979</v>
      </c>
      <c r="C82">
        <v>0</v>
      </c>
      <c r="D82">
        <v>0</v>
      </c>
      <c r="E82">
        <v>99588543.879999995</v>
      </c>
      <c r="F82">
        <v>308520415.27999991</v>
      </c>
      <c r="G82">
        <v>41179517.719999999</v>
      </c>
      <c r="H82">
        <v>650000</v>
      </c>
      <c r="I82">
        <v>0</v>
      </c>
      <c r="J82">
        <v>0</v>
      </c>
    </row>
    <row r="83" spans="1:10" x14ac:dyDescent="0.25">
      <c r="A83" s="256" t="s">
        <v>453</v>
      </c>
      <c r="B83">
        <v>201113898.95000064</v>
      </c>
      <c r="C83">
        <v>0</v>
      </c>
      <c r="D83">
        <v>835519925.3499999</v>
      </c>
      <c r="E83">
        <v>78418562.980000004</v>
      </c>
      <c r="F83">
        <v>1526353546.2199998</v>
      </c>
      <c r="G83">
        <v>360654458.26999998</v>
      </c>
      <c r="H83">
        <v>138704034.83160004</v>
      </c>
      <c r="I83">
        <v>986262290.77999067</v>
      </c>
      <c r="J83">
        <v>0</v>
      </c>
    </row>
    <row r="84" spans="1:10" x14ac:dyDescent="0.25">
      <c r="A84" s="257" t="s">
        <v>461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986262290.77999067</v>
      </c>
      <c r="J84">
        <v>0</v>
      </c>
    </row>
    <row r="85" spans="1:10" x14ac:dyDescent="0.25">
      <c r="A85" s="257" t="s">
        <v>456</v>
      </c>
      <c r="B85">
        <v>42057506.110000044</v>
      </c>
      <c r="C85">
        <v>0</v>
      </c>
      <c r="D85">
        <v>234796005.89000002</v>
      </c>
      <c r="E85">
        <v>2795778.5500000003</v>
      </c>
      <c r="F85">
        <v>265251818.04999995</v>
      </c>
      <c r="G85">
        <v>0</v>
      </c>
      <c r="H85">
        <v>42057506.110000044</v>
      </c>
      <c r="I85">
        <v>0</v>
      </c>
      <c r="J85">
        <v>0</v>
      </c>
    </row>
    <row r="86" spans="1:10" x14ac:dyDescent="0.25">
      <c r="A86" s="257" t="s">
        <v>457</v>
      </c>
      <c r="B86">
        <v>85979673.750000238</v>
      </c>
      <c r="C86">
        <v>0</v>
      </c>
      <c r="D86">
        <v>244488114.28000003</v>
      </c>
      <c r="E86">
        <v>965889.3600000001</v>
      </c>
      <c r="F86">
        <v>314646867.63999999</v>
      </c>
      <c r="G86">
        <v>112886230.99000001</v>
      </c>
      <c r="H86">
        <v>52620015.693699993</v>
      </c>
      <c r="I86">
        <v>0</v>
      </c>
      <c r="J86">
        <v>0</v>
      </c>
    </row>
    <row r="87" spans="1:10" x14ac:dyDescent="0.25">
      <c r="A87" s="257" t="s">
        <v>455</v>
      </c>
      <c r="B87">
        <v>0</v>
      </c>
      <c r="C87">
        <v>0</v>
      </c>
      <c r="D87">
        <v>87856068.169999987</v>
      </c>
      <c r="E87">
        <v>73470389.230000004</v>
      </c>
      <c r="F87">
        <v>453665160.90999985</v>
      </c>
      <c r="G87">
        <v>159162598.17999998</v>
      </c>
      <c r="H87">
        <v>0</v>
      </c>
      <c r="I87">
        <v>0</v>
      </c>
      <c r="J87">
        <v>0</v>
      </c>
    </row>
    <row r="88" spans="1:10" x14ac:dyDescent="0.25">
      <c r="A88" s="257" t="s">
        <v>454</v>
      </c>
      <c r="B88">
        <v>73076719.090000346</v>
      </c>
      <c r="C88">
        <v>0</v>
      </c>
      <c r="D88">
        <v>268379737.00999993</v>
      </c>
      <c r="E88">
        <v>1186505.8400000001</v>
      </c>
      <c r="F88">
        <v>492789699.62000012</v>
      </c>
      <c r="G88">
        <v>88605629.100000009</v>
      </c>
      <c r="H88">
        <v>44026513.027900003</v>
      </c>
      <c r="I88">
        <v>0</v>
      </c>
      <c r="J88">
        <v>0</v>
      </c>
    </row>
    <row r="89" spans="1:10" x14ac:dyDescent="0.25">
      <c r="A89" s="256" t="s">
        <v>447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1485792933.96</v>
      </c>
    </row>
    <row r="90" spans="1:10" x14ac:dyDescent="0.25">
      <c r="A90" s="257" t="s">
        <v>448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1485792933.96</v>
      </c>
    </row>
    <row r="91" spans="1:10" x14ac:dyDescent="0.25">
      <c r="A91" s="256" t="s">
        <v>462</v>
      </c>
      <c r="B91">
        <v>0</v>
      </c>
      <c r="C91">
        <v>864521902.31999981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427865199.87000287</v>
      </c>
    </row>
    <row r="92" spans="1:10" x14ac:dyDescent="0.25">
      <c r="A92" s="257" t="s">
        <v>463</v>
      </c>
      <c r="B92">
        <v>0</v>
      </c>
      <c r="C92">
        <v>864521902.31999981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427865199.87000287</v>
      </c>
    </row>
    <row r="93" spans="1:10" x14ac:dyDescent="0.25">
      <c r="A93" s="255" t="s">
        <v>464</v>
      </c>
      <c r="B93">
        <v>7840527162.0775099</v>
      </c>
      <c r="C93">
        <v>3762605333.6533365</v>
      </c>
      <c r="D93">
        <v>513836243.72999996</v>
      </c>
      <c r="E93">
        <v>389199921.87999994</v>
      </c>
      <c r="F93">
        <v>902733242.40000021</v>
      </c>
      <c r="G93">
        <v>4231672222.2766662</v>
      </c>
      <c r="H93">
        <v>6868601348.6542215</v>
      </c>
      <c r="I93">
        <v>0</v>
      </c>
    </row>
    <row r="94" spans="1:10" x14ac:dyDescent="0.25">
      <c r="A94" s="256" t="s">
        <v>481</v>
      </c>
      <c r="B94">
        <v>0</v>
      </c>
      <c r="C94">
        <v>0</v>
      </c>
      <c r="D94">
        <v>513836243.72999996</v>
      </c>
      <c r="E94">
        <v>131318603.2900001</v>
      </c>
      <c r="F94">
        <v>902733242.40000021</v>
      </c>
      <c r="G94">
        <v>0</v>
      </c>
      <c r="H94">
        <v>0</v>
      </c>
      <c r="I94">
        <v>0</v>
      </c>
    </row>
    <row r="95" spans="1:10" x14ac:dyDescent="0.25">
      <c r="A95" s="257" t="s">
        <v>484</v>
      </c>
      <c r="B95">
        <v>0</v>
      </c>
      <c r="C95">
        <v>0</v>
      </c>
      <c r="D95">
        <v>93661367.669999987</v>
      </c>
      <c r="E95">
        <v>3290891.09</v>
      </c>
      <c r="F95">
        <v>128681270.21000007</v>
      </c>
      <c r="G95">
        <v>0</v>
      </c>
      <c r="H95">
        <v>0</v>
      </c>
      <c r="I95">
        <v>0</v>
      </c>
    </row>
    <row r="96" spans="1:10" x14ac:dyDescent="0.25">
      <c r="A96" s="257" t="s">
        <v>482</v>
      </c>
      <c r="B96">
        <v>0</v>
      </c>
      <c r="C96">
        <v>0</v>
      </c>
      <c r="D96">
        <v>322431270.45000005</v>
      </c>
      <c r="E96">
        <v>16180557.30000001</v>
      </c>
      <c r="F96">
        <v>410459160.78000009</v>
      </c>
      <c r="G96">
        <v>0</v>
      </c>
      <c r="H96">
        <v>0</v>
      </c>
      <c r="I96">
        <v>0</v>
      </c>
    </row>
    <row r="97" spans="1:9" x14ac:dyDescent="0.25">
      <c r="A97" s="257" t="s">
        <v>486</v>
      </c>
      <c r="B97">
        <v>0</v>
      </c>
      <c r="C97">
        <v>0</v>
      </c>
      <c r="D97">
        <v>37142153.909999996</v>
      </c>
      <c r="E97">
        <v>109756029.64000008</v>
      </c>
      <c r="F97">
        <v>179395181.75000006</v>
      </c>
      <c r="G97">
        <v>0</v>
      </c>
      <c r="H97">
        <v>0</v>
      </c>
      <c r="I97">
        <v>0</v>
      </c>
    </row>
    <row r="98" spans="1:9" x14ac:dyDescent="0.25">
      <c r="A98" s="257" t="s">
        <v>483</v>
      </c>
      <c r="B98">
        <v>0</v>
      </c>
      <c r="C98">
        <v>0</v>
      </c>
      <c r="D98">
        <v>60601451.700000003</v>
      </c>
      <c r="E98">
        <v>2091125.26</v>
      </c>
      <c r="F98">
        <v>184197629.66</v>
      </c>
      <c r="G98">
        <v>0</v>
      </c>
      <c r="H98">
        <v>0</v>
      </c>
      <c r="I98">
        <v>0</v>
      </c>
    </row>
    <row r="99" spans="1:9" x14ac:dyDescent="0.25">
      <c r="A99" s="256" t="s">
        <v>469</v>
      </c>
      <c r="B99">
        <v>0</v>
      </c>
      <c r="C99">
        <v>3762605333.6533365</v>
      </c>
      <c r="D99">
        <v>0</v>
      </c>
      <c r="E99">
        <v>257881318.58999985</v>
      </c>
      <c r="F99">
        <v>0</v>
      </c>
      <c r="G99">
        <v>257881318.58999985</v>
      </c>
      <c r="H99">
        <v>0</v>
      </c>
      <c r="I99">
        <v>0</v>
      </c>
    </row>
    <row r="100" spans="1:9" x14ac:dyDescent="0.25">
      <c r="A100" s="257" t="s">
        <v>477</v>
      </c>
      <c r="B100">
        <v>0</v>
      </c>
      <c r="C100">
        <v>752384027.11000335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257" t="s">
        <v>474</v>
      </c>
      <c r="B101">
        <v>0</v>
      </c>
      <c r="C101">
        <v>1546722497.1800001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257" t="s">
        <v>470</v>
      </c>
      <c r="B102">
        <v>0</v>
      </c>
      <c r="C102">
        <v>1463498809.3633332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s="257" t="s">
        <v>485</v>
      </c>
      <c r="B103">
        <v>0</v>
      </c>
      <c r="C103">
        <v>0</v>
      </c>
      <c r="D103">
        <v>0</v>
      </c>
      <c r="E103">
        <v>257881318.58999985</v>
      </c>
      <c r="F103">
        <v>0</v>
      </c>
      <c r="G103">
        <v>257881318.58999985</v>
      </c>
      <c r="H103">
        <v>0</v>
      </c>
      <c r="I103">
        <v>0</v>
      </c>
    </row>
    <row r="104" spans="1:9" x14ac:dyDescent="0.25">
      <c r="A104" s="256" t="s">
        <v>465</v>
      </c>
      <c r="B104">
        <v>7840527162.0775099</v>
      </c>
      <c r="C104">
        <v>0</v>
      </c>
      <c r="D104">
        <v>0</v>
      </c>
      <c r="E104">
        <v>0</v>
      </c>
      <c r="F104">
        <v>0</v>
      </c>
      <c r="G104">
        <v>3973790903.6866665</v>
      </c>
      <c r="H104">
        <v>6868601348.6542215</v>
      </c>
      <c r="I104">
        <v>0</v>
      </c>
    </row>
    <row r="105" spans="1:9" x14ac:dyDescent="0.25">
      <c r="A105" s="257" t="s">
        <v>468</v>
      </c>
      <c r="B105">
        <v>2150262832.7800002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1570314413.6791031</v>
      </c>
      <c r="I105">
        <v>0</v>
      </c>
    </row>
    <row r="106" spans="1:9" x14ac:dyDescent="0.25">
      <c r="A106" s="257" t="s">
        <v>466</v>
      </c>
      <c r="B106">
        <v>2578644919.219902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1523570988.0783951</v>
      </c>
      <c r="I106">
        <v>0</v>
      </c>
    </row>
    <row r="107" spans="1:9" x14ac:dyDescent="0.25">
      <c r="A107" s="257" t="s">
        <v>473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3973790903.6866665</v>
      </c>
      <c r="H107">
        <v>2209598484.2026157</v>
      </c>
      <c r="I107">
        <v>0</v>
      </c>
    </row>
    <row r="108" spans="1:9" x14ac:dyDescent="0.25">
      <c r="A108" s="257" t="s">
        <v>467</v>
      </c>
      <c r="B108">
        <v>3111619410.0776072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1565117462.6941082</v>
      </c>
      <c r="I108">
        <v>0</v>
      </c>
    </row>
    <row r="109" spans="1:9" x14ac:dyDescent="0.25">
      <c r="A109" s="255" t="s">
        <v>589</v>
      </c>
      <c r="B109">
        <v>29053068219.017494</v>
      </c>
      <c r="C109">
        <v>0</v>
      </c>
      <c r="D109">
        <v>819354253.26999974</v>
      </c>
      <c r="E109">
        <v>1212932584.2700024</v>
      </c>
      <c r="F109">
        <v>2926415112.4400001</v>
      </c>
      <c r="G109">
        <v>2490218548.3699999</v>
      </c>
      <c r="H109">
        <v>17463859522.1987</v>
      </c>
      <c r="I109">
        <v>25108963002.738098</v>
      </c>
    </row>
    <row r="110" spans="1:9" x14ac:dyDescent="0.25">
      <c r="A110" s="256" t="s">
        <v>490</v>
      </c>
      <c r="B110">
        <v>2140615845.6834667</v>
      </c>
      <c r="C110">
        <v>0</v>
      </c>
      <c r="D110">
        <v>261385281.33999994</v>
      </c>
      <c r="E110">
        <v>724317853.1900022</v>
      </c>
      <c r="F110">
        <v>1679454147.71</v>
      </c>
      <c r="G110">
        <v>1073573392.3999997</v>
      </c>
      <c r="H110">
        <v>1078994482.9923999</v>
      </c>
      <c r="I110">
        <v>0</v>
      </c>
    </row>
    <row r="111" spans="1:9" x14ac:dyDescent="0.25">
      <c r="A111" s="257" t="s">
        <v>499</v>
      </c>
      <c r="B111">
        <v>130475655.79999988</v>
      </c>
      <c r="C111">
        <v>0</v>
      </c>
      <c r="D111">
        <v>29201092.889999997</v>
      </c>
      <c r="E111">
        <v>11609227.609999999</v>
      </c>
      <c r="F111">
        <v>402581759.96000004</v>
      </c>
      <c r="G111">
        <v>5527032.7500000009</v>
      </c>
      <c r="H111">
        <v>162486690.05530003</v>
      </c>
      <c r="I111">
        <v>0</v>
      </c>
    </row>
    <row r="112" spans="1:9" x14ac:dyDescent="0.25">
      <c r="A112" s="257" t="s">
        <v>501</v>
      </c>
      <c r="B112">
        <v>0</v>
      </c>
      <c r="C112">
        <v>0</v>
      </c>
      <c r="D112">
        <v>163721471.18999997</v>
      </c>
      <c r="E112">
        <v>585928794.40000212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s="257" t="s">
        <v>491</v>
      </c>
      <c r="B113">
        <v>2010140189.8834667</v>
      </c>
      <c r="C113">
        <v>0</v>
      </c>
      <c r="D113">
        <v>17699566.189999998</v>
      </c>
      <c r="E113">
        <v>15545544.32</v>
      </c>
      <c r="F113">
        <v>602618484.24999976</v>
      </c>
      <c r="G113">
        <v>10774057.129999999</v>
      </c>
      <c r="H113">
        <v>916507792.93709993</v>
      </c>
      <c r="I113">
        <v>0</v>
      </c>
    </row>
    <row r="114" spans="1:9" x14ac:dyDescent="0.25">
      <c r="A114" s="257" t="s">
        <v>502</v>
      </c>
      <c r="B114">
        <v>0</v>
      </c>
      <c r="C114">
        <v>0</v>
      </c>
      <c r="D114">
        <v>50763151.07</v>
      </c>
      <c r="E114">
        <v>111234286.86</v>
      </c>
      <c r="F114">
        <v>674253903.50000012</v>
      </c>
      <c r="G114">
        <v>1057272302.5199997</v>
      </c>
      <c r="H114">
        <v>0</v>
      </c>
      <c r="I114">
        <v>0</v>
      </c>
    </row>
    <row r="115" spans="1:9" x14ac:dyDescent="0.25">
      <c r="A115" s="256" t="s">
        <v>495</v>
      </c>
      <c r="B115">
        <v>0</v>
      </c>
      <c r="C115">
        <v>0</v>
      </c>
      <c r="D115">
        <v>424675876.92999995</v>
      </c>
      <c r="E115">
        <v>283858064.46000034</v>
      </c>
      <c r="F115">
        <v>831404049.56000018</v>
      </c>
      <c r="G115">
        <v>1306837895.1900001</v>
      </c>
      <c r="H115">
        <v>3795337.0000000005</v>
      </c>
      <c r="I115">
        <v>0</v>
      </c>
    </row>
    <row r="116" spans="1:9" x14ac:dyDescent="0.25">
      <c r="A116" s="257" t="s">
        <v>496</v>
      </c>
      <c r="B116">
        <v>0</v>
      </c>
      <c r="C116">
        <v>0</v>
      </c>
      <c r="D116">
        <v>403915114.67999995</v>
      </c>
      <c r="E116">
        <v>88312750.840000063</v>
      </c>
      <c r="F116">
        <v>139172230.03000006</v>
      </c>
      <c r="G116">
        <v>634809292.32999992</v>
      </c>
      <c r="H116">
        <v>0</v>
      </c>
      <c r="I116">
        <v>0</v>
      </c>
    </row>
    <row r="117" spans="1:9" x14ac:dyDescent="0.25">
      <c r="A117" s="257" t="s">
        <v>522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1871080</v>
      </c>
      <c r="H117">
        <v>0</v>
      </c>
      <c r="I117">
        <v>0</v>
      </c>
    </row>
    <row r="118" spans="1:9" x14ac:dyDescent="0.25">
      <c r="A118" s="257" t="s">
        <v>331</v>
      </c>
      <c r="B118">
        <v>0</v>
      </c>
      <c r="C118">
        <v>0</v>
      </c>
      <c r="D118">
        <v>0</v>
      </c>
      <c r="E118">
        <v>50540.084999999999</v>
      </c>
      <c r="F118">
        <v>30861721.325000003</v>
      </c>
      <c r="G118">
        <v>148820288.21000004</v>
      </c>
      <c r="H118">
        <v>0</v>
      </c>
      <c r="I118">
        <v>0</v>
      </c>
    </row>
    <row r="119" spans="1:9" x14ac:dyDescent="0.25">
      <c r="A119" s="257" t="s">
        <v>327</v>
      </c>
      <c r="B119">
        <v>0</v>
      </c>
      <c r="C119">
        <v>0</v>
      </c>
      <c r="D119">
        <v>0</v>
      </c>
      <c r="E119">
        <v>50540.084999999999</v>
      </c>
      <c r="F119">
        <v>61627391.244999997</v>
      </c>
      <c r="G119">
        <v>0</v>
      </c>
      <c r="H119">
        <v>0</v>
      </c>
      <c r="I119">
        <v>0</v>
      </c>
    </row>
    <row r="120" spans="1:9" x14ac:dyDescent="0.25">
      <c r="A120" s="257" t="s">
        <v>329</v>
      </c>
      <c r="B120">
        <v>0</v>
      </c>
      <c r="C120">
        <v>0</v>
      </c>
      <c r="D120">
        <v>0</v>
      </c>
      <c r="E120">
        <v>0</v>
      </c>
      <c r="F120">
        <v>33633.49</v>
      </c>
      <c r="G120">
        <v>0</v>
      </c>
      <c r="H120">
        <v>0</v>
      </c>
      <c r="I120">
        <v>0</v>
      </c>
    </row>
    <row r="121" spans="1:9" x14ac:dyDescent="0.25">
      <c r="A121" s="257" t="s">
        <v>319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79330018.129999995</v>
      </c>
      <c r="H121">
        <v>0</v>
      </c>
      <c r="I121">
        <v>0</v>
      </c>
    </row>
    <row r="122" spans="1:9" x14ac:dyDescent="0.25">
      <c r="A122" s="257" t="s">
        <v>324</v>
      </c>
      <c r="B122">
        <v>0</v>
      </c>
      <c r="C122">
        <v>0</v>
      </c>
      <c r="D122">
        <v>0</v>
      </c>
      <c r="E122">
        <v>0</v>
      </c>
      <c r="F122">
        <v>2904510.9000000004</v>
      </c>
      <c r="G122">
        <v>1402526.35</v>
      </c>
      <c r="H122">
        <v>0</v>
      </c>
      <c r="I122">
        <v>0</v>
      </c>
    </row>
    <row r="123" spans="1:9" x14ac:dyDescent="0.25">
      <c r="A123" s="257" t="s">
        <v>519</v>
      </c>
      <c r="B123">
        <v>0</v>
      </c>
      <c r="C123">
        <v>0</v>
      </c>
      <c r="D123">
        <v>12223806.700000001</v>
      </c>
      <c r="E123">
        <v>189686437.40000027</v>
      </c>
      <c r="F123">
        <v>381120291.53000009</v>
      </c>
      <c r="G123">
        <v>440604690.17000002</v>
      </c>
      <c r="H123">
        <v>3795337.0000000005</v>
      </c>
      <c r="I123">
        <v>0</v>
      </c>
    </row>
    <row r="124" spans="1:9" x14ac:dyDescent="0.25">
      <c r="A124" s="257" t="s">
        <v>498</v>
      </c>
      <c r="B124">
        <v>0</v>
      </c>
      <c r="C124">
        <v>0</v>
      </c>
      <c r="D124">
        <v>8536955.5500000007</v>
      </c>
      <c r="E124">
        <v>5757796.0499999989</v>
      </c>
      <c r="F124">
        <v>215684271.03999999</v>
      </c>
      <c r="G124">
        <v>0</v>
      </c>
      <c r="H124">
        <v>0</v>
      </c>
      <c r="I124">
        <v>0</v>
      </c>
    </row>
    <row r="125" spans="1:9" x14ac:dyDescent="0.25">
      <c r="A125" s="256" t="s">
        <v>503</v>
      </c>
      <c r="B125">
        <v>889574794.65997851</v>
      </c>
      <c r="C125">
        <v>0</v>
      </c>
      <c r="D125">
        <v>133293094.99999997</v>
      </c>
      <c r="E125">
        <v>204756666.61999992</v>
      </c>
      <c r="F125">
        <v>415556915.17000002</v>
      </c>
      <c r="G125">
        <v>109807260.77999999</v>
      </c>
      <c r="H125">
        <v>577762884.74320006</v>
      </c>
      <c r="I125">
        <v>0</v>
      </c>
    </row>
    <row r="126" spans="1:9" x14ac:dyDescent="0.25">
      <c r="A126" s="257" t="s">
        <v>504</v>
      </c>
      <c r="B126">
        <v>0</v>
      </c>
      <c r="C126">
        <v>0</v>
      </c>
      <c r="D126">
        <v>119276684.45999998</v>
      </c>
      <c r="E126">
        <v>178509407.2299999</v>
      </c>
      <c r="F126">
        <v>165085469.13</v>
      </c>
      <c r="G126">
        <v>105508457.52999999</v>
      </c>
      <c r="H126">
        <v>0</v>
      </c>
      <c r="I126">
        <v>0</v>
      </c>
    </row>
    <row r="127" spans="1:9" x14ac:dyDescent="0.25">
      <c r="A127" s="257" t="s">
        <v>505</v>
      </c>
      <c r="B127">
        <v>889574794.65997851</v>
      </c>
      <c r="C127">
        <v>0</v>
      </c>
      <c r="D127">
        <v>3701884.3000000007</v>
      </c>
      <c r="E127">
        <v>1641423.5600000008</v>
      </c>
      <c r="F127">
        <v>70745703.129999995</v>
      </c>
      <c r="G127">
        <v>614114.75</v>
      </c>
      <c r="H127">
        <v>577762884.74320006</v>
      </c>
      <c r="I127">
        <v>0</v>
      </c>
    </row>
    <row r="128" spans="1:9" x14ac:dyDescent="0.25">
      <c r="A128" s="257" t="s">
        <v>520</v>
      </c>
      <c r="B128">
        <v>0</v>
      </c>
      <c r="C128">
        <v>0</v>
      </c>
      <c r="D128">
        <v>10314526.239999991</v>
      </c>
      <c r="E128">
        <v>24605835.830000002</v>
      </c>
      <c r="F128">
        <v>179725742.91000003</v>
      </c>
      <c r="G128">
        <v>3684688.5000000005</v>
      </c>
      <c r="H128">
        <v>0</v>
      </c>
      <c r="I128">
        <v>0</v>
      </c>
    </row>
    <row r="129" spans="1:10" x14ac:dyDescent="0.25">
      <c r="A129" s="256" t="s">
        <v>507</v>
      </c>
      <c r="B129">
        <v>10124639624.576168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6569767230.6954985</v>
      </c>
      <c r="I129">
        <v>8507119655.309227</v>
      </c>
    </row>
    <row r="130" spans="1:10" x14ac:dyDescent="0.25">
      <c r="A130" s="257" t="s">
        <v>513</v>
      </c>
      <c r="B130">
        <v>2450616879.6589165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1531210585.2029994</v>
      </c>
      <c r="I130">
        <v>0</v>
      </c>
    </row>
    <row r="131" spans="1:10" x14ac:dyDescent="0.25">
      <c r="A131" s="257" t="s">
        <v>508</v>
      </c>
      <c r="B131">
        <v>2781184720.7542343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1962794644.0920985</v>
      </c>
      <c r="I131">
        <v>2065790674.7799973</v>
      </c>
    </row>
    <row r="132" spans="1:10" x14ac:dyDescent="0.25">
      <c r="A132" s="257" t="s">
        <v>515</v>
      </c>
      <c r="B132">
        <v>4892838024.1630163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3075762001.4004006</v>
      </c>
      <c r="I132">
        <v>6441328980.5292301</v>
      </c>
    </row>
    <row r="133" spans="1:10" x14ac:dyDescent="0.25">
      <c r="A133" s="256" t="s">
        <v>509</v>
      </c>
      <c r="B133">
        <v>15898237954.097881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9233539586.767601</v>
      </c>
      <c r="I133">
        <v>16601843347.428873</v>
      </c>
    </row>
    <row r="134" spans="1:10" x14ac:dyDescent="0.25">
      <c r="A134" s="257" t="s">
        <v>365</v>
      </c>
      <c r="B134">
        <v>3927956071.2693911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1883869929.6495004</v>
      </c>
      <c r="I134">
        <v>0</v>
      </c>
    </row>
    <row r="135" spans="1:10" x14ac:dyDescent="0.25">
      <c r="A135" s="257" t="s">
        <v>518</v>
      </c>
      <c r="B135">
        <v>3381141037.9078832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1939386529.0318999</v>
      </c>
      <c r="I135">
        <v>1264255297.0799983</v>
      </c>
    </row>
    <row r="136" spans="1:10" x14ac:dyDescent="0.25">
      <c r="A136" s="257" t="s">
        <v>511</v>
      </c>
      <c r="B136">
        <v>3148648785.0299025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2055279410.4544001</v>
      </c>
      <c r="I136">
        <v>8562904904.0596447</v>
      </c>
    </row>
    <row r="137" spans="1:10" x14ac:dyDescent="0.25">
      <c r="A137" s="257" t="s">
        <v>516</v>
      </c>
      <c r="B137">
        <v>2850462000.3052983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1623967736.4703002</v>
      </c>
      <c r="I137">
        <v>333354165.76000047</v>
      </c>
    </row>
    <row r="138" spans="1:10" x14ac:dyDescent="0.25">
      <c r="A138" s="257" t="s">
        <v>510</v>
      </c>
      <c r="B138">
        <v>2590030059.5854063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1731035981.1615009</v>
      </c>
      <c r="I138">
        <v>6441328980.5292301</v>
      </c>
    </row>
    <row r="139" spans="1:10" x14ac:dyDescent="0.25">
      <c r="A139" s="255" t="s">
        <v>572</v>
      </c>
      <c r="B139">
        <v>98397753343.214264</v>
      </c>
      <c r="C139">
        <v>17482359849.433544</v>
      </c>
      <c r="D139">
        <v>6088817900.119998</v>
      </c>
      <c r="E139">
        <v>4609372104.1000023</v>
      </c>
      <c r="F139">
        <v>11338260264.090002</v>
      </c>
      <c r="G139">
        <v>10869918874.992622</v>
      </c>
      <c r="H139">
        <v>63037052086.924232</v>
      </c>
      <c r="I139">
        <v>82108980244.304977</v>
      </c>
      <c r="J139">
        <v>2143422584.3900027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FD1F-FC72-453F-A0FC-B068469FEE8A}">
  <sheetPr>
    <tabColor theme="4"/>
  </sheetPr>
  <dimension ref="A1:T786"/>
  <sheetViews>
    <sheetView zoomScale="70" zoomScaleNormal="70" workbookViewId="0">
      <selection activeCell="G792" sqref="G792"/>
    </sheetView>
  </sheetViews>
  <sheetFormatPr defaultColWidth="8.85546875" defaultRowHeight="15" x14ac:dyDescent="0.25"/>
  <cols>
    <col min="1" max="1" width="29.5703125" style="1" customWidth="1"/>
    <col min="2" max="2" width="14.7109375" style="1" bestFit="1" customWidth="1"/>
    <col min="3" max="3" width="18.7109375" style="1" customWidth="1"/>
    <col min="4" max="4" width="40.85546875" style="1" bestFit="1" customWidth="1"/>
    <col min="5" max="5" width="44.5703125" style="1" customWidth="1"/>
    <col min="6" max="6" width="49.7109375" style="1" bestFit="1" customWidth="1"/>
    <col min="7" max="7" width="32.28515625" style="1" bestFit="1" customWidth="1"/>
    <col min="8" max="8" width="34.140625" style="1" bestFit="1" customWidth="1"/>
    <col min="9" max="9" width="14.28515625" style="1" bestFit="1" customWidth="1"/>
    <col min="10" max="10" width="14" style="1" bestFit="1" customWidth="1"/>
    <col min="11" max="11" width="15.7109375" style="1" bestFit="1" customWidth="1"/>
    <col min="12" max="13" width="12" style="1" bestFit="1" customWidth="1"/>
    <col min="14" max="14" width="12.28515625" style="1" bestFit="1" customWidth="1"/>
    <col min="15" max="15" width="12.7109375" style="1" bestFit="1" customWidth="1"/>
    <col min="16" max="16" width="17.28515625" style="1" bestFit="1" customWidth="1"/>
    <col min="17" max="17" width="16.5703125" style="1" bestFit="1" customWidth="1"/>
    <col min="18" max="18" width="17.42578125" style="1" bestFit="1" customWidth="1"/>
    <col min="19" max="19" width="12" style="1" bestFit="1" customWidth="1"/>
    <col min="20" max="20" width="10.85546875" style="1" bestFit="1" customWidth="1"/>
    <col min="21" max="16384" width="8.85546875" style="1"/>
  </cols>
  <sheetData>
    <row r="1" spans="1:20" s="13" customFormat="1" ht="30" x14ac:dyDescent="0.25">
      <c r="A1" s="231" t="s">
        <v>190</v>
      </c>
      <c r="B1" s="231" t="s">
        <v>191</v>
      </c>
      <c r="C1" s="231" t="s">
        <v>592</v>
      </c>
      <c r="D1" s="231" t="s">
        <v>192</v>
      </c>
      <c r="E1" s="231" t="s">
        <v>593</v>
      </c>
      <c r="F1" s="231" t="s">
        <v>193</v>
      </c>
      <c r="G1" s="231" t="s">
        <v>594</v>
      </c>
      <c r="H1" s="231" t="s">
        <v>194</v>
      </c>
      <c r="I1" s="231" t="s">
        <v>195</v>
      </c>
      <c r="J1" s="231" t="s">
        <v>196</v>
      </c>
      <c r="K1" s="231" t="s">
        <v>197</v>
      </c>
      <c r="L1" s="337" t="s">
        <v>290</v>
      </c>
      <c r="M1" s="337" t="s">
        <v>294</v>
      </c>
      <c r="N1" s="337" t="s">
        <v>295</v>
      </c>
      <c r="O1" s="337" t="s">
        <v>296</v>
      </c>
      <c r="P1" s="231" t="s">
        <v>297</v>
      </c>
      <c r="Q1" s="231" t="s">
        <v>298</v>
      </c>
      <c r="R1" s="337" t="s">
        <v>299</v>
      </c>
      <c r="S1" s="231" t="s">
        <v>300</v>
      </c>
      <c r="T1" s="231" t="s">
        <v>301</v>
      </c>
    </row>
    <row r="2" spans="1:20" x14ac:dyDescent="0.25">
      <c r="A2" s="15" t="s">
        <v>22</v>
      </c>
      <c r="B2" s="15" t="s">
        <v>561</v>
      </c>
      <c r="C2" s="15" t="s">
        <v>591</v>
      </c>
      <c r="D2" s="15" t="s">
        <v>318</v>
      </c>
      <c r="E2" s="15" t="s">
        <v>318</v>
      </c>
      <c r="F2" s="15" t="s">
        <v>319</v>
      </c>
      <c r="G2" s="15"/>
      <c r="H2" s="15" t="s">
        <v>320</v>
      </c>
      <c r="I2" s="15">
        <v>1</v>
      </c>
      <c r="J2" s="15"/>
      <c r="K2" s="15"/>
      <c r="L2" s="15">
        <v>0</v>
      </c>
      <c r="M2" s="15">
        <v>0</v>
      </c>
      <c r="N2" s="15">
        <v>0</v>
      </c>
      <c r="O2" s="15">
        <v>95205964.680000037</v>
      </c>
      <c r="P2" s="15">
        <v>0</v>
      </c>
      <c r="Q2" s="15">
        <v>21794935.420000013</v>
      </c>
      <c r="R2" s="15">
        <v>0</v>
      </c>
      <c r="S2" s="15">
        <v>0</v>
      </c>
      <c r="T2" s="15"/>
    </row>
    <row r="3" spans="1:20" x14ac:dyDescent="0.25">
      <c r="A3" s="15" t="s">
        <v>22</v>
      </c>
      <c r="B3" s="15" t="s">
        <v>561</v>
      </c>
      <c r="C3" s="15" t="s">
        <v>591</v>
      </c>
      <c r="D3" s="15" t="s">
        <v>318</v>
      </c>
      <c r="E3" s="15" t="s">
        <v>318</v>
      </c>
      <c r="F3" s="15" t="s">
        <v>319</v>
      </c>
      <c r="G3" s="15"/>
      <c r="H3" s="15" t="s">
        <v>322</v>
      </c>
      <c r="I3" s="15"/>
      <c r="J3" s="15"/>
      <c r="K3" s="15"/>
      <c r="L3" s="15">
        <v>0</v>
      </c>
      <c r="M3" s="15">
        <v>0</v>
      </c>
      <c r="N3" s="15">
        <v>0</v>
      </c>
      <c r="O3" s="15">
        <v>50034.48</v>
      </c>
      <c r="P3" s="15">
        <v>0</v>
      </c>
      <c r="Q3" s="15">
        <v>34922534.530000046</v>
      </c>
      <c r="R3" s="15">
        <v>0</v>
      </c>
      <c r="S3" s="15">
        <v>0</v>
      </c>
      <c r="T3" s="15"/>
    </row>
    <row r="4" spans="1:20" x14ac:dyDescent="0.25">
      <c r="A4" s="15" t="s">
        <v>22</v>
      </c>
      <c r="B4" s="15" t="s">
        <v>561</v>
      </c>
      <c r="C4" s="15" t="s">
        <v>591</v>
      </c>
      <c r="D4" s="15" t="s">
        <v>323</v>
      </c>
      <c r="E4" s="15" t="s">
        <v>318</v>
      </c>
      <c r="F4" s="15" t="s">
        <v>324</v>
      </c>
      <c r="G4" s="15"/>
      <c r="H4" s="15" t="s">
        <v>325</v>
      </c>
      <c r="I4" s="15"/>
      <c r="J4" s="15"/>
      <c r="K4" s="15"/>
      <c r="L4" s="15">
        <v>0</v>
      </c>
      <c r="M4" s="15">
        <v>0</v>
      </c>
      <c r="N4" s="15">
        <v>0</v>
      </c>
      <c r="O4" s="15">
        <v>1201332.8999999999</v>
      </c>
      <c r="P4" s="15">
        <v>0</v>
      </c>
      <c r="Q4" s="15">
        <v>0</v>
      </c>
      <c r="R4" s="15">
        <v>0</v>
      </c>
      <c r="S4" s="15">
        <v>0</v>
      </c>
      <c r="T4" s="15"/>
    </row>
    <row r="5" spans="1:20" x14ac:dyDescent="0.25">
      <c r="A5" s="15" t="s">
        <v>22</v>
      </c>
      <c r="B5" s="15" t="s">
        <v>561</v>
      </c>
      <c r="C5" s="15" t="s">
        <v>591</v>
      </c>
      <c r="D5" s="15" t="s">
        <v>318</v>
      </c>
      <c r="E5" s="15" t="s">
        <v>318</v>
      </c>
      <c r="F5" s="15" t="s">
        <v>319</v>
      </c>
      <c r="G5" s="15"/>
      <c r="H5" s="15" t="s">
        <v>320</v>
      </c>
      <c r="I5" s="15"/>
      <c r="J5" s="15"/>
      <c r="K5" s="15"/>
      <c r="L5" s="15">
        <v>0</v>
      </c>
      <c r="M5" s="15">
        <v>0</v>
      </c>
      <c r="N5" s="15">
        <v>0</v>
      </c>
      <c r="O5" s="15">
        <v>16388.569999999996</v>
      </c>
      <c r="P5" s="15">
        <v>0</v>
      </c>
      <c r="Q5" s="15">
        <v>0</v>
      </c>
      <c r="R5" s="15">
        <v>0</v>
      </c>
      <c r="S5" s="15">
        <v>0</v>
      </c>
      <c r="T5" s="15"/>
    </row>
    <row r="6" spans="1:20" x14ac:dyDescent="0.25">
      <c r="A6" s="15" t="s">
        <v>22</v>
      </c>
      <c r="B6" s="15" t="s">
        <v>561</v>
      </c>
      <c r="C6" s="15" t="s">
        <v>591</v>
      </c>
      <c r="D6" s="15" t="s">
        <v>318</v>
      </c>
      <c r="E6" s="15" t="s">
        <v>318</v>
      </c>
      <c r="F6" s="15" t="s">
        <v>319</v>
      </c>
      <c r="G6" s="15"/>
      <c r="H6" s="15" t="s">
        <v>320</v>
      </c>
      <c r="I6" s="15"/>
      <c r="J6" s="15"/>
      <c r="K6" s="15"/>
      <c r="L6" s="15">
        <v>0</v>
      </c>
      <c r="M6" s="15">
        <v>0</v>
      </c>
      <c r="N6" s="15">
        <v>0</v>
      </c>
      <c r="O6" s="15">
        <v>16388.569999999996</v>
      </c>
      <c r="P6" s="15">
        <v>0</v>
      </c>
      <c r="Q6" s="15">
        <v>0</v>
      </c>
      <c r="R6" s="15">
        <v>0</v>
      </c>
      <c r="S6" s="15">
        <v>0</v>
      </c>
      <c r="T6" s="15"/>
    </row>
    <row r="7" spans="1:20" x14ac:dyDescent="0.25">
      <c r="A7" s="15" t="s">
        <v>20</v>
      </c>
      <c r="B7" s="15" t="s">
        <v>561</v>
      </c>
      <c r="C7" s="15" t="s">
        <v>589</v>
      </c>
      <c r="D7" s="15" t="s">
        <v>323</v>
      </c>
      <c r="E7" s="15" t="s">
        <v>495</v>
      </c>
      <c r="F7" s="15" t="s">
        <v>324</v>
      </c>
      <c r="G7" s="15"/>
      <c r="H7" s="15" t="s">
        <v>325</v>
      </c>
      <c r="I7" s="15"/>
      <c r="J7" s="15"/>
      <c r="K7" s="15"/>
      <c r="L7" s="15">
        <v>0</v>
      </c>
      <c r="M7" s="15">
        <v>0</v>
      </c>
      <c r="N7" s="15">
        <v>0</v>
      </c>
      <c r="O7" s="15">
        <v>167213.97</v>
      </c>
      <c r="P7" s="15">
        <v>0</v>
      </c>
      <c r="Q7" s="15">
        <v>0</v>
      </c>
      <c r="R7" s="15">
        <v>0</v>
      </c>
      <c r="S7" s="15">
        <v>0</v>
      </c>
      <c r="T7" s="15"/>
    </row>
    <row r="8" spans="1:20" x14ac:dyDescent="0.25">
      <c r="A8" s="15" t="s">
        <v>20</v>
      </c>
      <c r="B8" s="15" t="s">
        <v>561</v>
      </c>
      <c r="C8" s="15" t="s">
        <v>589</v>
      </c>
      <c r="D8" s="15" t="s">
        <v>323</v>
      </c>
      <c r="E8" s="15" t="s">
        <v>495</v>
      </c>
      <c r="F8" s="15" t="s">
        <v>324</v>
      </c>
      <c r="G8" s="15"/>
      <c r="H8" s="15" t="s">
        <v>325</v>
      </c>
      <c r="I8" s="15"/>
      <c r="J8" s="15"/>
      <c r="K8" s="15"/>
      <c r="L8" s="15">
        <v>0</v>
      </c>
      <c r="M8" s="15">
        <v>0</v>
      </c>
      <c r="N8" s="15">
        <v>0</v>
      </c>
      <c r="O8" s="15">
        <v>4921.2</v>
      </c>
      <c r="P8" s="15">
        <v>0</v>
      </c>
      <c r="Q8" s="15">
        <v>0</v>
      </c>
      <c r="R8" s="15">
        <v>0</v>
      </c>
      <c r="S8" s="15">
        <v>0</v>
      </c>
      <c r="T8" s="15"/>
    </row>
    <row r="9" spans="1:20" x14ac:dyDescent="0.25">
      <c r="A9" s="15" t="s">
        <v>20</v>
      </c>
      <c r="B9" s="15" t="s">
        <v>561</v>
      </c>
      <c r="C9" s="15" t="s">
        <v>589</v>
      </c>
      <c r="D9" s="15" t="s">
        <v>318</v>
      </c>
      <c r="E9" s="15" t="s">
        <v>495</v>
      </c>
      <c r="F9" s="15" t="s">
        <v>327</v>
      </c>
      <c r="G9" s="15" t="s">
        <v>327</v>
      </c>
      <c r="H9" s="15" t="s">
        <v>320</v>
      </c>
      <c r="I9" s="15"/>
      <c r="J9" s="15"/>
      <c r="K9" s="15"/>
      <c r="L9" s="15">
        <v>0</v>
      </c>
      <c r="M9" s="15">
        <v>0</v>
      </c>
      <c r="N9" s="15">
        <v>0</v>
      </c>
      <c r="O9" s="15">
        <v>74443.789999999994</v>
      </c>
      <c r="P9" s="15">
        <v>0</v>
      </c>
      <c r="Q9" s="15">
        <v>0</v>
      </c>
      <c r="R9" s="15">
        <v>0</v>
      </c>
      <c r="S9" s="15">
        <v>0</v>
      </c>
      <c r="T9" s="15"/>
    </row>
    <row r="10" spans="1:20" x14ac:dyDescent="0.25">
      <c r="A10" s="15" t="s">
        <v>20</v>
      </c>
      <c r="B10" s="15" t="s">
        <v>561</v>
      </c>
      <c r="C10" s="15" t="s">
        <v>589</v>
      </c>
      <c r="D10" s="15" t="s">
        <v>318</v>
      </c>
      <c r="E10" s="15" t="s">
        <v>495</v>
      </c>
      <c r="F10" s="15" t="s">
        <v>327</v>
      </c>
      <c r="G10" s="15" t="s">
        <v>327</v>
      </c>
      <c r="H10" s="15" t="s">
        <v>322</v>
      </c>
      <c r="I10" s="15"/>
      <c r="J10" s="15"/>
      <c r="K10" s="15"/>
      <c r="L10" s="15">
        <v>0</v>
      </c>
      <c r="M10" s="15">
        <v>0</v>
      </c>
      <c r="N10" s="15">
        <v>0</v>
      </c>
      <c r="O10" s="15">
        <v>61550673.18</v>
      </c>
      <c r="P10" s="15">
        <v>0</v>
      </c>
      <c r="Q10" s="15">
        <v>0</v>
      </c>
      <c r="R10" s="15">
        <v>0</v>
      </c>
      <c r="S10" s="15">
        <v>0</v>
      </c>
      <c r="T10" s="15"/>
    </row>
    <row r="11" spans="1:20" x14ac:dyDescent="0.25">
      <c r="A11" s="15" t="s">
        <v>20</v>
      </c>
      <c r="B11" s="15" t="s">
        <v>561</v>
      </c>
      <c r="C11" s="15" t="s">
        <v>589</v>
      </c>
      <c r="D11" s="15" t="s">
        <v>323</v>
      </c>
      <c r="E11" s="15" t="s">
        <v>495</v>
      </c>
      <c r="F11" s="15" t="s">
        <v>324</v>
      </c>
      <c r="G11" s="15"/>
      <c r="H11" s="15" t="s">
        <v>325</v>
      </c>
      <c r="I11" s="15"/>
      <c r="J11" s="15"/>
      <c r="K11" s="15"/>
      <c r="L11" s="15">
        <v>0</v>
      </c>
      <c r="M11" s="15">
        <v>0</v>
      </c>
      <c r="N11" s="15">
        <v>0</v>
      </c>
      <c r="O11" s="15">
        <v>793480.71000000031</v>
      </c>
      <c r="P11" s="15">
        <v>0</v>
      </c>
      <c r="Q11" s="15">
        <v>0</v>
      </c>
      <c r="R11" s="15">
        <v>0</v>
      </c>
      <c r="S11" s="15">
        <v>0</v>
      </c>
      <c r="T11" s="15"/>
    </row>
    <row r="12" spans="1:20" x14ac:dyDescent="0.25">
      <c r="A12" s="15" t="s">
        <v>20</v>
      </c>
      <c r="B12" s="15" t="s">
        <v>561</v>
      </c>
      <c r="C12" s="15" t="s">
        <v>589</v>
      </c>
      <c r="D12" s="15" t="s">
        <v>323</v>
      </c>
      <c r="E12" s="15" t="s">
        <v>495</v>
      </c>
      <c r="F12" s="15" t="s">
        <v>329</v>
      </c>
      <c r="G12" s="15"/>
      <c r="H12" s="15" t="s">
        <v>330</v>
      </c>
      <c r="I12" s="15"/>
      <c r="J12" s="15"/>
      <c r="K12" s="15"/>
      <c r="L12" s="15">
        <v>0</v>
      </c>
      <c r="M12" s="15">
        <v>0</v>
      </c>
      <c r="N12" s="15">
        <v>0</v>
      </c>
      <c r="O12" s="15">
        <v>1728.22</v>
      </c>
      <c r="P12" s="15">
        <v>0</v>
      </c>
      <c r="Q12" s="15">
        <v>0</v>
      </c>
      <c r="R12" s="15">
        <v>0</v>
      </c>
      <c r="S12" s="15">
        <v>0</v>
      </c>
      <c r="T12" s="15"/>
    </row>
    <row r="13" spans="1:20" x14ac:dyDescent="0.25">
      <c r="A13" s="15" t="s">
        <v>20</v>
      </c>
      <c r="B13" s="15" t="s">
        <v>561</v>
      </c>
      <c r="C13" s="15" t="s">
        <v>589</v>
      </c>
      <c r="D13" s="15" t="s">
        <v>318</v>
      </c>
      <c r="E13" s="15" t="s">
        <v>495</v>
      </c>
      <c r="F13" s="15" t="s">
        <v>331</v>
      </c>
      <c r="G13" s="15" t="s">
        <v>327</v>
      </c>
      <c r="H13" s="15" t="s">
        <v>320</v>
      </c>
      <c r="I13" s="15"/>
      <c r="J13" s="15"/>
      <c r="K13" s="15"/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152696.56</v>
      </c>
      <c r="R13" s="15">
        <v>0</v>
      </c>
      <c r="S13" s="15">
        <v>0</v>
      </c>
      <c r="T13" s="15"/>
    </row>
    <row r="14" spans="1:20" x14ac:dyDescent="0.25">
      <c r="A14" s="15" t="s">
        <v>20</v>
      </c>
      <c r="B14" s="15" t="s">
        <v>561</v>
      </c>
      <c r="C14" s="15" t="s">
        <v>589</v>
      </c>
      <c r="D14" s="15" t="s">
        <v>318</v>
      </c>
      <c r="E14" s="15" t="s">
        <v>495</v>
      </c>
      <c r="F14" s="15" t="s">
        <v>331</v>
      </c>
      <c r="G14" s="15" t="s">
        <v>327</v>
      </c>
      <c r="H14" s="15" t="s">
        <v>322</v>
      </c>
      <c r="I14" s="15"/>
      <c r="J14" s="15"/>
      <c r="K14" s="15"/>
      <c r="L14" s="15">
        <v>0</v>
      </c>
      <c r="M14" s="15">
        <v>0</v>
      </c>
      <c r="N14" s="15">
        <v>0</v>
      </c>
      <c r="O14" s="15">
        <v>62066.210000000006</v>
      </c>
      <c r="P14" s="15">
        <v>0</v>
      </c>
      <c r="Q14" s="15">
        <v>12675102.270000005</v>
      </c>
      <c r="R14" s="15">
        <v>0</v>
      </c>
      <c r="S14" s="15">
        <v>0</v>
      </c>
      <c r="T14" s="15"/>
    </row>
    <row r="15" spans="1:20" x14ac:dyDescent="0.25">
      <c r="A15" s="15" t="s">
        <v>20</v>
      </c>
      <c r="B15" s="15" t="s">
        <v>561</v>
      </c>
      <c r="C15" s="15" t="s">
        <v>589</v>
      </c>
      <c r="D15" s="15" t="s">
        <v>318</v>
      </c>
      <c r="E15" s="15" t="s">
        <v>495</v>
      </c>
      <c r="F15" s="15" t="s">
        <v>327</v>
      </c>
      <c r="G15" s="15" t="s">
        <v>327</v>
      </c>
      <c r="H15" s="15" t="s">
        <v>322</v>
      </c>
      <c r="I15" s="15"/>
      <c r="J15" s="15"/>
      <c r="K15" s="15"/>
      <c r="L15" s="15">
        <v>0</v>
      </c>
      <c r="M15" s="15">
        <v>0</v>
      </c>
      <c r="N15" s="15">
        <v>50540.084999999999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/>
    </row>
    <row r="16" spans="1:20" x14ac:dyDescent="0.25">
      <c r="A16" s="15" t="s">
        <v>20</v>
      </c>
      <c r="B16" s="15" t="s">
        <v>561</v>
      </c>
      <c r="C16" s="15" t="s">
        <v>589</v>
      </c>
      <c r="D16" s="15" t="s">
        <v>318</v>
      </c>
      <c r="E16" s="15" t="s">
        <v>495</v>
      </c>
      <c r="F16" s="15" t="s">
        <v>331</v>
      </c>
      <c r="G16" s="15" t="s">
        <v>327</v>
      </c>
      <c r="H16" s="15" t="s">
        <v>322</v>
      </c>
      <c r="I16" s="15"/>
      <c r="J16" s="15"/>
      <c r="K16" s="15"/>
      <c r="L16" s="15">
        <v>0</v>
      </c>
      <c r="M16" s="15">
        <v>0</v>
      </c>
      <c r="N16" s="15">
        <v>50540.084999999999</v>
      </c>
      <c r="O16" s="15">
        <v>0</v>
      </c>
      <c r="P16" s="15">
        <v>0</v>
      </c>
      <c r="Q16" s="15">
        <v>31855181.779999994</v>
      </c>
      <c r="R16" s="15">
        <v>0</v>
      </c>
      <c r="S16" s="15">
        <v>0</v>
      </c>
      <c r="T16" s="15"/>
    </row>
    <row r="17" spans="1:20" x14ac:dyDescent="0.25">
      <c r="A17" s="15" t="s">
        <v>25</v>
      </c>
      <c r="B17" s="15" t="s">
        <v>561</v>
      </c>
      <c r="C17" s="15" t="s">
        <v>386</v>
      </c>
      <c r="D17" s="15" t="s">
        <v>318</v>
      </c>
      <c r="E17" s="15" t="s">
        <v>390</v>
      </c>
      <c r="F17" s="15" t="s">
        <v>326</v>
      </c>
      <c r="G17" s="15"/>
      <c r="H17" s="15" t="s">
        <v>320</v>
      </c>
      <c r="I17" s="15"/>
      <c r="J17" s="15"/>
      <c r="K17" s="15"/>
      <c r="L17" s="15">
        <v>0</v>
      </c>
      <c r="M17" s="15">
        <v>0</v>
      </c>
      <c r="N17" s="15">
        <v>67690161.789999992</v>
      </c>
      <c r="O17" s="15">
        <v>108624731.87000002</v>
      </c>
      <c r="P17" s="15">
        <v>0</v>
      </c>
      <c r="Q17" s="15">
        <v>0</v>
      </c>
      <c r="R17" s="15">
        <v>0</v>
      </c>
      <c r="S17" s="15">
        <v>0</v>
      </c>
      <c r="T17" s="15"/>
    </row>
    <row r="18" spans="1:20" x14ac:dyDescent="0.25">
      <c r="A18" s="15" t="s">
        <v>25</v>
      </c>
      <c r="B18" s="15" t="s">
        <v>561</v>
      </c>
      <c r="C18" s="15" t="s">
        <v>386</v>
      </c>
      <c r="D18" s="15" t="s">
        <v>318</v>
      </c>
      <c r="E18" s="15" t="s">
        <v>390</v>
      </c>
      <c r="F18" s="15" t="s">
        <v>326</v>
      </c>
      <c r="G18" s="15"/>
      <c r="H18" s="15" t="s">
        <v>320</v>
      </c>
      <c r="I18" s="15"/>
      <c r="J18" s="15"/>
      <c r="K18" s="15"/>
      <c r="L18" s="15">
        <v>0</v>
      </c>
      <c r="M18" s="15">
        <v>0</v>
      </c>
      <c r="N18" s="15">
        <v>350.35</v>
      </c>
      <c r="O18" s="15">
        <v>2324.8900000000003</v>
      </c>
      <c r="P18" s="15">
        <v>0</v>
      </c>
      <c r="Q18" s="15">
        <v>0</v>
      </c>
      <c r="R18" s="15">
        <v>0</v>
      </c>
      <c r="S18" s="15">
        <v>0</v>
      </c>
      <c r="T18" s="15"/>
    </row>
    <row r="19" spans="1:20" x14ac:dyDescent="0.25">
      <c r="A19" s="15" t="s">
        <v>25</v>
      </c>
      <c r="B19" s="15" t="s">
        <v>561</v>
      </c>
      <c r="C19" s="15" t="s">
        <v>386</v>
      </c>
      <c r="D19" s="15" t="s">
        <v>318</v>
      </c>
      <c r="E19" s="15" t="s">
        <v>390</v>
      </c>
      <c r="F19" s="15" t="s">
        <v>326</v>
      </c>
      <c r="G19" s="15"/>
      <c r="H19" s="15" t="s">
        <v>320</v>
      </c>
      <c r="I19" s="15"/>
      <c r="J19" s="15"/>
      <c r="K19" s="15"/>
      <c r="L19" s="15">
        <v>0</v>
      </c>
      <c r="M19" s="15">
        <v>0</v>
      </c>
      <c r="N19" s="15">
        <v>350.35</v>
      </c>
      <c r="O19" s="15">
        <v>2324.8900000000003</v>
      </c>
      <c r="P19" s="15">
        <v>0</v>
      </c>
      <c r="Q19" s="15">
        <v>33734181.700000025</v>
      </c>
      <c r="R19" s="15">
        <v>0</v>
      </c>
      <c r="S19" s="15">
        <v>0</v>
      </c>
      <c r="T19" s="15"/>
    </row>
    <row r="20" spans="1:20" x14ac:dyDescent="0.25">
      <c r="A20" s="15" t="s">
        <v>27</v>
      </c>
      <c r="B20" s="15" t="s">
        <v>561</v>
      </c>
      <c r="C20" s="15" t="s">
        <v>591</v>
      </c>
      <c r="D20" s="15" t="s">
        <v>323</v>
      </c>
      <c r="E20" s="15" t="s">
        <v>390</v>
      </c>
      <c r="F20" s="15" t="s">
        <v>324</v>
      </c>
      <c r="G20" s="15"/>
      <c r="H20" s="15" t="s">
        <v>325</v>
      </c>
      <c r="I20" s="15"/>
      <c r="J20" s="15"/>
      <c r="K20" s="15"/>
      <c r="L20" s="15">
        <v>0</v>
      </c>
      <c r="M20" s="15">
        <v>0</v>
      </c>
      <c r="N20" s="15">
        <v>0</v>
      </c>
      <c r="O20" s="15">
        <v>1230.3</v>
      </c>
      <c r="P20" s="15">
        <v>0</v>
      </c>
      <c r="Q20" s="15">
        <v>0</v>
      </c>
      <c r="R20" s="15">
        <v>0</v>
      </c>
      <c r="S20" s="15">
        <v>0</v>
      </c>
      <c r="T20" s="15"/>
    </row>
    <row r="21" spans="1:20" x14ac:dyDescent="0.25">
      <c r="A21" s="15" t="s">
        <v>27</v>
      </c>
      <c r="B21" s="15" t="s">
        <v>561</v>
      </c>
      <c r="C21" s="15" t="s">
        <v>386</v>
      </c>
      <c r="D21" s="15" t="s">
        <v>318</v>
      </c>
      <c r="E21" s="15" t="s">
        <v>390</v>
      </c>
      <c r="F21" s="15" t="s">
        <v>326</v>
      </c>
      <c r="G21" s="15"/>
      <c r="H21" s="15" t="s">
        <v>320</v>
      </c>
      <c r="I21" s="15"/>
      <c r="J21" s="15"/>
      <c r="K21" s="15"/>
      <c r="L21" s="15">
        <v>0</v>
      </c>
      <c r="M21" s="15">
        <v>0</v>
      </c>
      <c r="N21" s="15">
        <v>0</v>
      </c>
      <c r="O21" s="15">
        <v>18267262.890000012</v>
      </c>
      <c r="P21" s="15">
        <v>0</v>
      </c>
      <c r="Q21" s="15">
        <v>82315096.500000089</v>
      </c>
      <c r="R21" s="15">
        <v>0</v>
      </c>
      <c r="S21" s="15">
        <v>0</v>
      </c>
      <c r="T21" s="15"/>
    </row>
    <row r="22" spans="1:20" x14ac:dyDescent="0.25">
      <c r="A22" s="15" t="s">
        <v>27</v>
      </c>
      <c r="B22" s="15" t="s">
        <v>561</v>
      </c>
      <c r="C22" s="15" t="s">
        <v>591</v>
      </c>
      <c r="D22" s="15" t="s">
        <v>323</v>
      </c>
      <c r="E22" s="15" t="s">
        <v>390</v>
      </c>
      <c r="F22" s="15" t="s">
        <v>324</v>
      </c>
      <c r="G22" s="15"/>
      <c r="H22" s="15" t="s">
        <v>325</v>
      </c>
      <c r="I22" s="15"/>
      <c r="J22" s="15"/>
      <c r="K22" s="15"/>
      <c r="L22" s="15">
        <v>0</v>
      </c>
      <c r="M22" s="15">
        <v>0</v>
      </c>
      <c r="N22" s="15">
        <v>0</v>
      </c>
      <c r="O22" s="15">
        <v>8612.1</v>
      </c>
      <c r="P22" s="15">
        <v>0</v>
      </c>
      <c r="Q22" s="15">
        <v>0</v>
      </c>
      <c r="R22" s="15">
        <v>0</v>
      </c>
      <c r="S22" s="15">
        <v>0</v>
      </c>
      <c r="T22" s="15"/>
    </row>
    <row r="23" spans="1:20" x14ac:dyDescent="0.25">
      <c r="A23" s="15" t="s">
        <v>27</v>
      </c>
      <c r="B23" s="15" t="s">
        <v>561</v>
      </c>
      <c r="C23" s="15" t="s">
        <v>386</v>
      </c>
      <c r="D23" s="15" t="s">
        <v>318</v>
      </c>
      <c r="E23" s="15" t="s">
        <v>390</v>
      </c>
      <c r="F23" s="15" t="s">
        <v>326</v>
      </c>
      <c r="G23" s="15"/>
      <c r="H23" s="15" t="s">
        <v>320</v>
      </c>
      <c r="I23" s="15"/>
      <c r="J23" s="15"/>
      <c r="K23" s="15"/>
      <c r="L23" s="15">
        <v>0</v>
      </c>
      <c r="M23" s="15">
        <v>0</v>
      </c>
      <c r="N23" s="15">
        <v>0</v>
      </c>
      <c r="O23" s="15">
        <v>938</v>
      </c>
      <c r="P23" s="15">
        <v>0</v>
      </c>
      <c r="Q23" s="15">
        <v>0</v>
      </c>
      <c r="R23" s="15">
        <v>0</v>
      </c>
      <c r="S23" s="15">
        <v>0</v>
      </c>
      <c r="T23" s="15"/>
    </row>
    <row r="24" spans="1:20" x14ac:dyDescent="0.25">
      <c r="A24" s="15" t="s">
        <v>27</v>
      </c>
      <c r="B24" s="15" t="s">
        <v>561</v>
      </c>
      <c r="C24" s="15" t="s">
        <v>386</v>
      </c>
      <c r="D24" s="15" t="s">
        <v>318</v>
      </c>
      <c r="E24" s="15" t="s">
        <v>390</v>
      </c>
      <c r="F24" s="15" t="s">
        <v>326</v>
      </c>
      <c r="G24" s="15"/>
      <c r="H24" s="15" t="s">
        <v>320</v>
      </c>
      <c r="I24" s="15"/>
      <c r="J24" s="15"/>
      <c r="K24" s="15"/>
      <c r="L24" s="15">
        <v>0</v>
      </c>
      <c r="M24" s="15">
        <v>0</v>
      </c>
      <c r="N24" s="15">
        <v>0</v>
      </c>
      <c r="O24" s="15">
        <v>938</v>
      </c>
      <c r="P24" s="15">
        <v>0</v>
      </c>
      <c r="Q24" s="15">
        <v>0</v>
      </c>
      <c r="R24" s="15">
        <v>0</v>
      </c>
      <c r="S24" s="15">
        <v>0</v>
      </c>
      <c r="T24" s="15"/>
    </row>
    <row r="25" spans="1:20" x14ac:dyDescent="0.25">
      <c r="A25" s="15" t="s">
        <v>7</v>
      </c>
      <c r="B25" s="15" t="s">
        <v>561</v>
      </c>
      <c r="C25" s="15" t="s">
        <v>591</v>
      </c>
      <c r="D25" s="15" t="s">
        <v>323</v>
      </c>
      <c r="E25" s="15" t="s">
        <v>318</v>
      </c>
      <c r="F25" s="15" t="s">
        <v>324</v>
      </c>
      <c r="G25" s="15"/>
      <c r="H25" s="15" t="s">
        <v>325</v>
      </c>
      <c r="I25" s="15">
        <v>1</v>
      </c>
      <c r="J25" s="15"/>
      <c r="K25" s="15"/>
      <c r="L25" s="15">
        <v>0</v>
      </c>
      <c r="M25" s="15">
        <v>0</v>
      </c>
      <c r="N25" s="15">
        <v>0</v>
      </c>
      <c r="O25" s="15">
        <v>3934548.4099999992</v>
      </c>
      <c r="P25" s="15">
        <v>0</v>
      </c>
      <c r="Q25" s="15">
        <v>51488847.459999874</v>
      </c>
      <c r="R25" s="15">
        <v>0</v>
      </c>
      <c r="S25" s="15">
        <v>0</v>
      </c>
      <c r="T25" s="15"/>
    </row>
    <row r="26" spans="1:20" x14ac:dyDescent="0.25">
      <c r="A26" s="15" t="s">
        <v>7</v>
      </c>
      <c r="B26" s="15" t="s">
        <v>561</v>
      </c>
      <c r="C26" s="15" t="s">
        <v>591</v>
      </c>
      <c r="D26" s="15" t="s">
        <v>323</v>
      </c>
      <c r="E26" s="15" t="s">
        <v>318</v>
      </c>
      <c r="F26" s="15" t="s">
        <v>324</v>
      </c>
      <c r="G26" s="15"/>
      <c r="H26" s="15" t="s">
        <v>325</v>
      </c>
      <c r="I26" s="15">
        <v>1</v>
      </c>
      <c r="J26" s="15"/>
      <c r="K26" s="15"/>
      <c r="L26" s="15">
        <v>0</v>
      </c>
      <c r="M26" s="15">
        <v>0</v>
      </c>
      <c r="N26" s="15">
        <v>0</v>
      </c>
      <c r="O26" s="15">
        <v>26241041.290000029</v>
      </c>
      <c r="P26" s="15">
        <v>0</v>
      </c>
      <c r="Q26" s="15">
        <v>0</v>
      </c>
      <c r="R26" s="15">
        <v>0</v>
      </c>
      <c r="S26" s="15">
        <v>0</v>
      </c>
      <c r="T26" s="15"/>
    </row>
    <row r="27" spans="1:20" x14ac:dyDescent="0.25">
      <c r="A27" s="15" t="s">
        <v>7</v>
      </c>
      <c r="B27" s="15" t="s">
        <v>561</v>
      </c>
      <c r="C27" s="15" t="s">
        <v>591</v>
      </c>
      <c r="D27" s="15" t="s">
        <v>323</v>
      </c>
      <c r="E27" s="15" t="s">
        <v>318</v>
      </c>
      <c r="F27" s="15" t="s">
        <v>329</v>
      </c>
      <c r="G27" s="15"/>
      <c r="H27" s="15" t="s">
        <v>330</v>
      </c>
      <c r="I27" s="15"/>
      <c r="J27" s="15"/>
      <c r="K27" s="15"/>
      <c r="L27" s="15">
        <v>0</v>
      </c>
      <c r="M27" s="15">
        <v>0</v>
      </c>
      <c r="N27" s="15">
        <v>26286175.709999982</v>
      </c>
      <c r="O27" s="15">
        <v>11021748.269999998</v>
      </c>
      <c r="P27" s="15">
        <v>0</v>
      </c>
      <c r="Q27" s="15">
        <v>0</v>
      </c>
      <c r="R27" s="15">
        <v>0</v>
      </c>
      <c r="S27" s="15">
        <v>0</v>
      </c>
      <c r="T27" s="15"/>
    </row>
    <row r="28" spans="1:20" x14ac:dyDescent="0.25">
      <c r="A28" s="15" t="s">
        <v>7</v>
      </c>
      <c r="B28" s="15" t="s">
        <v>561</v>
      </c>
      <c r="C28" s="15" t="s">
        <v>591</v>
      </c>
      <c r="D28" s="15" t="s">
        <v>323</v>
      </c>
      <c r="E28" s="15" t="s">
        <v>318</v>
      </c>
      <c r="F28" s="15" t="s">
        <v>324</v>
      </c>
      <c r="G28" s="15"/>
      <c r="H28" s="15" t="s">
        <v>325</v>
      </c>
      <c r="I28" s="15"/>
      <c r="J28" s="15"/>
      <c r="K28" s="15"/>
      <c r="L28" s="15">
        <v>0</v>
      </c>
      <c r="M28" s="15">
        <v>0</v>
      </c>
      <c r="N28" s="15">
        <v>0</v>
      </c>
      <c r="O28" s="15">
        <v>371171.09</v>
      </c>
      <c r="P28" s="15">
        <v>0</v>
      </c>
      <c r="Q28" s="15">
        <v>0</v>
      </c>
      <c r="R28" s="15">
        <v>0</v>
      </c>
      <c r="S28" s="15">
        <v>0</v>
      </c>
      <c r="T28" s="15"/>
    </row>
    <row r="29" spans="1:20" x14ac:dyDescent="0.25">
      <c r="A29" s="15" t="s">
        <v>7</v>
      </c>
      <c r="B29" s="15" t="s">
        <v>561</v>
      </c>
      <c r="C29" s="15" t="s">
        <v>591</v>
      </c>
      <c r="D29" s="15" t="s">
        <v>323</v>
      </c>
      <c r="E29" s="15" t="s">
        <v>318</v>
      </c>
      <c r="F29" s="15" t="s">
        <v>324</v>
      </c>
      <c r="G29" s="15"/>
      <c r="H29" s="15" t="s">
        <v>325</v>
      </c>
      <c r="I29" s="15"/>
      <c r="J29" s="15"/>
      <c r="K29" s="15"/>
      <c r="L29" s="15">
        <v>0</v>
      </c>
      <c r="M29" s="15">
        <v>0</v>
      </c>
      <c r="N29" s="15">
        <v>0</v>
      </c>
      <c r="O29" s="15">
        <v>47580.24</v>
      </c>
      <c r="P29" s="15">
        <v>0</v>
      </c>
      <c r="Q29" s="15">
        <v>0</v>
      </c>
      <c r="R29" s="15">
        <v>0</v>
      </c>
      <c r="S29" s="15">
        <v>0</v>
      </c>
      <c r="T29" s="15"/>
    </row>
    <row r="30" spans="1:20" x14ac:dyDescent="0.25">
      <c r="A30" s="15" t="s">
        <v>7</v>
      </c>
      <c r="B30" s="15" t="s">
        <v>561</v>
      </c>
      <c r="C30" s="15" t="s">
        <v>591</v>
      </c>
      <c r="D30" s="15" t="s">
        <v>323</v>
      </c>
      <c r="E30" s="15" t="s">
        <v>318</v>
      </c>
      <c r="F30" s="15" t="s">
        <v>324</v>
      </c>
      <c r="G30" s="15"/>
      <c r="H30" s="15" t="s">
        <v>322</v>
      </c>
      <c r="I30" s="15">
        <v>1</v>
      </c>
      <c r="J30" s="15"/>
      <c r="K30" s="15"/>
      <c r="L30" s="15">
        <v>0</v>
      </c>
      <c r="M30" s="15">
        <v>0</v>
      </c>
      <c r="N30" s="15">
        <v>87719.900000000009</v>
      </c>
      <c r="O30" s="15">
        <v>68426.539999999994</v>
      </c>
      <c r="P30" s="15">
        <v>0</v>
      </c>
      <c r="Q30" s="15">
        <v>0</v>
      </c>
      <c r="R30" s="15">
        <v>0</v>
      </c>
      <c r="S30" s="15">
        <v>0</v>
      </c>
      <c r="T30" s="15"/>
    </row>
    <row r="31" spans="1:20" x14ac:dyDescent="0.25">
      <c r="A31" s="15" t="s">
        <v>7</v>
      </c>
      <c r="B31" s="15" t="s">
        <v>561</v>
      </c>
      <c r="C31" s="15" t="s">
        <v>591</v>
      </c>
      <c r="D31" s="15" t="s">
        <v>323</v>
      </c>
      <c r="E31" s="15" t="s">
        <v>318</v>
      </c>
      <c r="F31" s="15" t="s">
        <v>324</v>
      </c>
      <c r="G31" s="15"/>
      <c r="H31" s="15" t="s">
        <v>325</v>
      </c>
      <c r="I31" s="15"/>
      <c r="J31" s="15"/>
      <c r="K31" s="15"/>
      <c r="L31" s="15">
        <v>0</v>
      </c>
      <c r="M31" s="15">
        <v>0</v>
      </c>
      <c r="N31" s="15">
        <v>0</v>
      </c>
      <c r="O31" s="15">
        <v>54846.799999999996</v>
      </c>
      <c r="P31" s="15">
        <v>0</v>
      </c>
      <c r="Q31" s="15">
        <v>0</v>
      </c>
      <c r="R31" s="15">
        <v>0</v>
      </c>
      <c r="S31" s="15">
        <v>0</v>
      </c>
      <c r="T31" s="15"/>
    </row>
    <row r="32" spans="1:20" x14ac:dyDescent="0.25">
      <c r="A32" s="15" t="s">
        <v>7</v>
      </c>
      <c r="B32" s="15" t="s">
        <v>561</v>
      </c>
      <c r="C32" s="15" t="s">
        <v>591</v>
      </c>
      <c r="D32" s="15" t="s">
        <v>323</v>
      </c>
      <c r="E32" s="15" t="s">
        <v>318</v>
      </c>
      <c r="F32" s="15" t="s">
        <v>329</v>
      </c>
      <c r="G32" s="15"/>
      <c r="H32" s="15" t="s">
        <v>330</v>
      </c>
      <c r="I32" s="15"/>
      <c r="J32" s="15"/>
      <c r="K32" s="15"/>
      <c r="L32" s="15">
        <v>0</v>
      </c>
      <c r="M32" s="15">
        <v>0</v>
      </c>
      <c r="N32" s="15">
        <v>705614.96000000008</v>
      </c>
      <c r="O32" s="15">
        <v>18449570.049999993</v>
      </c>
      <c r="P32" s="15">
        <v>0</v>
      </c>
      <c r="Q32" s="15">
        <v>0</v>
      </c>
      <c r="R32" s="15">
        <v>0</v>
      </c>
      <c r="S32" s="15">
        <v>0</v>
      </c>
      <c r="T32" s="15"/>
    </row>
    <row r="33" spans="1:20" x14ac:dyDescent="0.25">
      <c r="A33" s="15" t="s">
        <v>7</v>
      </c>
      <c r="B33" s="15" t="s">
        <v>561</v>
      </c>
      <c r="C33" s="15" t="s">
        <v>591</v>
      </c>
      <c r="D33" s="15" t="s">
        <v>323</v>
      </c>
      <c r="E33" s="15" t="s">
        <v>318</v>
      </c>
      <c r="F33" s="15" t="s">
        <v>329</v>
      </c>
      <c r="G33" s="15"/>
      <c r="H33" s="15" t="s">
        <v>330</v>
      </c>
      <c r="I33" s="15"/>
      <c r="J33" s="15"/>
      <c r="K33" s="15"/>
      <c r="L33" s="15">
        <v>0</v>
      </c>
      <c r="M33" s="15">
        <v>0</v>
      </c>
      <c r="N33" s="15">
        <v>304618.33</v>
      </c>
      <c r="O33" s="15">
        <v>70699872.200000003</v>
      </c>
      <c r="P33" s="15">
        <v>0</v>
      </c>
      <c r="Q33" s="15">
        <v>0</v>
      </c>
      <c r="R33" s="15">
        <v>0</v>
      </c>
      <c r="S33" s="15">
        <v>0</v>
      </c>
      <c r="T33" s="15"/>
    </row>
    <row r="34" spans="1:20" x14ac:dyDescent="0.25">
      <c r="A34" s="15" t="s">
        <v>7</v>
      </c>
      <c r="B34" s="15" t="s">
        <v>561</v>
      </c>
      <c r="C34" s="15" t="s">
        <v>591</v>
      </c>
      <c r="D34" s="15" t="s">
        <v>323</v>
      </c>
      <c r="E34" s="15" t="s">
        <v>318</v>
      </c>
      <c r="F34" s="15" t="s">
        <v>324</v>
      </c>
      <c r="G34" s="15"/>
      <c r="H34" s="15" t="s">
        <v>325</v>
      </c>
      <c r="I34" s="15"/>
      <c r="J34" s="15"/>
      <c r="K34" s="15"/>
      <c r="L34" s="15">
        <v>0</v>
      </c>
      <c r="M34" s="15">
        <v>0</v>
      </c>
      <c r="N34" s="15">
        <v>0</v>
      </c>
      <c r="O34" s="15">
        <v>1520239.6600000001</v>
      </c>
      <c r="P34" s="15">
        <v>0</v>
      </c>
      <c r="Q34" s="15">
        <v>0</v>
      </c>
      <c r="R34" s="15">
        <v>0</v>
      </c>
      <c r="S34" s="15">
        <v>0</v>
      </c>
      <c r="T34" s="15"/>
    </row>
    <row r="35" spans="1:20" x14ac:dyDescent="0.25">
      <c r="A35" s="15" t="s">
        <v>7</v>
      </c>
      <c r="B35" s="15" t="s">
        <v>561</v>
      </c>
      <c r="C35" s="15" t="s">
        <v>591</v>
      </c>
      <c r="D35" s="15" t="s">
        <v>323</v>
      </c>
      <c r="E35" s="15" t="s">
        <v>318</v>
      </c>
      <c r="F35" s="15" t="s">
        <v>324</v>
      </c>
      <c r="G35" s="15"/>
      <c r="H35" s="15" t="s">
        <v>325</v>
      </c>
      <c r="I35" s="15"/>
      <c r="J35" s="15"/>
      <c r="K35" s="15"/>
      <c r="L35" s="15">
        <v>0</v>
      </c>
      <c r="M35" s="15">
        <v>0</v>
      </c>
      <c r="N35" s="15">
        <v>0</v>
      </c>
      <c r="O35" s="15">
        <v>8470784.9499999974</v>
      </c>
      <c r="P35" s="15">
        <v>0</v>
      </c>
      <c r="Q35" s="15">
        <v>0</v>
      </c>
      <c r="R35" s="15">
        <v>0</v>
      </c>
      <c r="S35" s="15">
        <v>0</v>
      </c>
      <c r="T35" s="15"/>
    </row>
    <row r="36" spans="1:20" x14ac:dyDescent="0.25">
      <c r="A36" s="15" t="s">
        <v>7</v>
      </c>
      <c r="B36" s="15" t="s">
        <v>561</v>
      </c>
      <c r="C36" s="15" t="s">
        <v>591</v>
      </c>
      <c r="D36" s="15" t="s">
        <v>323</v>
      </c>
      <c r="E36" s="15" t="s">
        <v>318</v>
      </c>
      <c r="F36" s="15" t="s">
        <v>324</v>
      </c>
      <c r="G36" s="15"/>
      <c r="H36" s="15" t="s">
        <v>325</v>
      </c>
      <c r="I36" s="15"/>
      <c r="J36" s="15"/>
      <c r="K36" s="15"/>
      <c r="L36" s="15">
        <v>0</v>
      </c>
      <c r="M36" s="15">
        <v>0</v>
      </c>
      <c r="N36" s="15">
        <v>0</v>
      </c>
      <c r="O36" s="15">
        <v>74381.34</v>
      </c>
      <c r="P36" s="15">
        <v>0</v>
      </c>
      <c r="Q36" s="15">
        <v>0</v>
      </c>
      <c r="R36" s="15">
        <v>0</v>
      </c>
      <c r="S36" s="15">
        <v>0</v>
      </c>
      <c r="T36" s="15"/>
    </row>
    <row r="37" spans="1:20" x14ac:dyDescent="0.25">
      <c r="A37" s="15" t="s">
        <v>7</v>
      </c>
      <c r="B37" s="15" t="s">
        <v>561</v>
      </c>
      <c r="C37" s="15" t="s">
        <v>591</v>
      </c>
      <c r="D37" s="15" t="s">
        <v>318</v>
      </c>
      <c r="E37" s="15" t="s">
        <v>318</v>
      </c>
      <c r="F37" s="15" t="s">
        <v>327</v>
      </c>
      <c r="G37" s="15"/>
      <c r="H37" s="15" t="s">
        <v>322</v>
      </c>
      <c r="I37" s="15"/>
      <c r="J37" s="15"/>
      <c r="K37" s="15"/>
      <c r="L37" s="15">
        <v>0</v>
      </c>
      <c r="M37" s="15">
        <v>2268781.3500000006</v>
      </c>
      <c r="N37" s="15">
        <v>0</v>
      </c>
      <c r="O37" s="15">
        <v>41559387.57</v>
      </c>
      <c r="P37" s="15">
        <v>0</v>
      </c>
      <c r="Q37" s="15">
        <v>109321797.52999994</v>
      </c>
      <c r="R37" s="15">
        <v>0</v>
      </c>
      <c r="S37" s="15">
        <v>0</v>
      </c>
      <c r="T37" s="15"/>
    </row>
    <row r="38" spans="1:20" x14ac:dyDescent="0.25">
      <c r="A38" s="15" t="s">
        <v>7</v>
      </c>
      <c r="B38" s="15" t="s">
        <v>561</v>
      </c>
      <c r="C38" s="15" t="s">
        <v>591</v>
      </c>
      <c r="D38" s="15" t="s">
        <v>323</v>
      </c>
      <c r="E38" s="15" t="s">
        <v>318</v>
      </c>
      <c r="F38" s="15" t="s">
        <v>324</v>
      </c>
      <c r="G38" s="15"/>
      <c r="H38" s="15" t="s">
        <v>325</v>
      </c>
      <c r="I38" s="15"/>
      <c r="J38" s="15"/>
      <c r="K38" s="15"/>
      <c r="L38" s="15">
        <v>0</v>
      </c>
      <c r="M38" s="15">
        <v>0</v>
      </c>
      <c r="N38" s="15">
        <v>0</v>
      </c>
      <c r="O38" s="15">
        <v>7381.7999999999993</v>
      </c>
      <c r="P38" s="15">
        <v>0</v>
      </c>
      <c r="Q38" s="15">
        <v>0</v>
      </c>
      <c r="R38" s="15">
        <v>0</v>
      </c>
      <c r="S38" s="15">
        <v>0</v>
      </c>
      <c r="T38" s="15"/>
    </row>
    <row r="39" spans="1:20" x14ac:dyDescent="0.25">
      <c r="A39" s="15" t="s">
        <v>7</v>
      </c>
      <c r="B39" s="15" t="s">
        <v>561</v>
      </c>
      <c r="C39" s="15" t="s">
        <v>591</v>
      </c>
      <c r="D39" s="15" t="s">
        <v>323</v>
      </c>
      <c r="E39" s="15" t="s">
        <v>318</v>
      </c>
      <c r="F39" s="15" t="s">
        <v>329</v>
      </c>
      <c r="G39" s="15"/>
      <c r="H39" s="15" t="s">
        <v>330</v>
      </c>
      <c r="I39" s="15"/>
      <c r="J39" s="15"/>
      <c r="K39" s="15"/>
      <c r="L39" s="15">
        <v>0</v>
      </c>
      <c r="M39" s="15">
        <v>16865038.440000001</v>
      </c>
      <c r="N39" s="15">
        <v>886166.9800000001</v>
      </c>
      <c r="O39" s="15">
        <v>125038.38</v>
      </c>
      <c r="P39" s="15">
        <v>0</v>
      </c>
      <c r="Q39" s="15">
        <v>0</v>
      </c>
      <c r="R39" s="15">
        <v>0</v>
      </c>
      <c r="S39" s="15">
        <v>0</v>
      </c>
      <c r="T39" s="15"/>
    </row>
    <row r="40" spans="1:20" x14ac:dyDescent="0.25">
      <c r="A40" s="15" t="s">
        <v>7</v>
      </c>
      <c r="B40" s="15" t="s">
        <v>561</v>
      </c>
      <c r="C40" s="15" t="s">
        <v>591</v>
      </c>
      <c r="D40" s="15" t="s">
        <v>318</v>
      </c>
      <c r="E40" s="15" t="s">
        <v>318</v>
      </c>
      <c r="F40" s="15" t="s">
        <v>327</v>
      </c>
      <c r="G40" s="15"/>
      <c r="H40" s="15" t="s">
        <v>322</v>
      </c>
      <c r="I40" s="15"/>
      <c r="J40" s="15"/>
      <c r="K40" s="15"/>
      <c r="L40" s="15">
        <v>0</v>
      </c>
      <c r="M40" s="15">
        <v>0</v>
      </c>
      <c r="N40" s="15">
        <v>0</v>
      </c>
      <c r="O40" s="15">
        <v>2572223.2800000003</v>
      </c>
      <c r="P40" s="15">
        <v>0</v>
      </c>
      <c r="Q40" s="15">
        <v>85074102.199999973</v>
      </c>
      <c r="R40" s="15">
        <v>0</v>
      </c>
      <c r="S40" s="15">
        <v>0</v>
      </c>
      <c r="T40" s="15"/>
    </row>
    <row r="41" spans="1:20" x14ac:dyDescent="0.25">
      <c r="A41" s="15" t="s">
        <v>7</v>
      </c>
      <c r="B41" s="15" t="s">
        <v>561</v>
      </c>
      <c r="C41" s="15" t="s">
        <v>591</v>
      </c>
      <c r="D41" s="15" t="s">
        <v>318</v>
      </c>
      <c r="E41" s="15" t="s">
        <v>318</v>
      </c>
      <c r="F41" s="15" t="s">
        <v>331</v>
      </c>
      <c r="G41" s="15"/>
      <c r="H41" s="15" t="s">
        <v>322</v>
      </c>
      <c r="I41" s="15"/>
      <c r="J41" s="15"/>
      <c r="K41" s="15"/>
      <c r="L41" s="15">
        <v>0</v>
      </c>
      <c r="M41" s="15">
        <v>0</v>
      </c>
      <c r="N41" s="15">
        <v>0</v>
      </c>
      <c r="O41" s="15">
        <v>2572223.2800000003</v>
      </c>
      <c r="P41" s="15">
        <v>0</v>
      </c>
      <c r="Q41" s="15">
        <v>67792885.019999981</v>
      </c>
      <c r="R41" s="15">
        <v>0</v>
      </c>
      <c r="S41" s="15">
        <v>0</v>
      </c>
      <c r="T41" s="15"/>
    </row>
    <row r="42" spans="1:20" x14ac:dyDescent="0.25">
      <c r="A42" s="15" t="s">
        <v>7</v>
      </c>
      <c r="B42" s="15" t="s">
        <v>561</v>
      </c>
      <c r="C42" s="15" t="s">
        <v>591</v>
      </c>
      <c r="D42" s="15" t="s">
        <v>323</v>
      </c>
      <c r="E42" s="15" t="s">
        <v>318</v>
      </c>
      <c r="F42" s="15" t="s">
        <v>324</v>
      </c>
      <c r="G42" s="15"/>
      <c r="H42" s="15" t="s">
        <v>325</v>
      </c>
      <c r="I42" s="15"/>
      <c r="J42" s="15"/>
      <c r="K42" s="15"/>
      <c r="L42" s="15">
        <v>0</v>
      </c>
      <c r="M42" s="15">
        <v>0</v>
      </c>
      <c r="N42" s="15">
        <v>0</v>
      </c>
      <c r="O42" s="15">
        <v>113749.7</v>
      </c>
      <c r="P42" s="15">
        <v>0</v>
      </c>
      <c r="Q42" s="15">
        <v>0</v>
      </c>
      <c r="R42" s="15">
        <v>0</v>
      </c>
      <c r="S42" s="15">
        <v>0</v>
      </c>
      <c r="T42" s="15"/>
    </row>
    <row r="43" spans="1:20" x14ac:dyDescent="0.25">
      <c r="A43" s="15" t="s">
        <v>7</v>
      </c>
      <c r="B43" s="15" t="s">
        <v>561</v>
      </c>
      <c r="C43" s="15" t="s">
        <v>591</v>
      </c>
      <c r="D43" s="15" t="s">
        <v>323</v>
      </c>
      <c r="E43" s="15" t="s">
        <v>318</v>
      </c>
      <c r="F43" s="15" t="s">
        <v>324</v>
      </c>
      <c r="G43" s="15"/>
      <c r="H43" s="15" t="s">
        <v>325</v>
      </c>
      <c r="I43" s="15"/>
      <c r="J43" s="15"/>
      <c r="K43" s="15"/>
      <c r="L43" s="15">
        <v>0</v>
      </c>
      <c r="M43" s="15">
        <v>0</v>
      </c>
      <c r="N43" s="15">
        <v>0</v>
      </c>
      <c r="O43" s="15">
        <v>2460.6</v>
      </c>
      <c r="P43" s="15">
        <v>0</v>
      </c>
      <c r="Q43" s="15">
        <v>0</v>
      </c>
      <c r="R43" s="15">
        <v>0</v>
      </c>
      <c r="S43" s="15">
        <v>0</v>
      </c>
      <c r="T43" s="15"/>
    </row>
    <row r="44" spans="1:20" x14ac:dyDescent="0.25">
      <c r="A44" s="15" t="s">
        <v>7</v>
      </c>
      <c r="B44" s="15" t="s">
        <v>561</v>
      </c>
      <c r="C44" s="15" t="s">
        <v>591</v>
      </c>
      <c r="D44" s="15" t="s">
        <v>323</v>
      </c>
      <c r="E44" s="15" t="s">
        <v>318</v>
      </c>
      <c r="F44" s="15" t="s">
        <v>329</v>
      </c>
      <c r="G44" s="15"/>
      <c r="H44" s="15" t="s">
        <v>330</v>
      </c>
      <c r="I44" s="15">
        <v>1</v>
      </c>
      <c r="J44" s="15"/>
      <c r="K44" s="15"/>
      <c r="L44" s="15">
        <v>0</v>
      </c>
      <c r="M44" s="15">
        <v>0</v>
      </c>
      <c r="N44" s="15">
        <v>0</v>
      </c>
      <c r="O44" s="15">
        <v>1531398.9</v>
      </c>
      <c r="P44" s="15">
        <v>0</v>
      </c>
      <c r="Q44" s="15">
        <v>0</v>
      </c>
      <c r="R44" s="15">
        <v>3208724.3721000003</v>
      </c>
      <c r="S44" s="15">
        <v>0</v>
      </c>
      <c r="T44" s="15"/>
    </row>
    <row r="45" spans="1:20" x14ac:dyDescent="0.25">
      <c r="A45" s="15" t="s">
        <v>7</v>
      </c>
      <c r="B45" s="15" t="s">
        <v>561</v>
      </c>
      <c r="C45" s="15" t="s">
        <v>591</v>
      </c>
      <c r="D45" s="15" t="s">
        <v>323</v>
      </c>
      <c r="E45" s="15" t="s">
        <v>318</v>
      </c>
      <c r="F45" s="15" t="s">
        <v>324</v>
      </c>
      <c r="G45" s="15"/>
      <c r="H45" s="15" t="s">
        <v>325</v>
      </c>
      <c r="I45" s="15"/>
      <c r="J45" s="15"/>
      <c r="K45" s="15"/>
      <c r="L45" s="15">
        <v>0</v>
      </c>
      <c r="M45" s="15">
        <v>35998.819999999992</v>
      </c>
      <c r="N45" s="15">
        <v>0</v>
      </c>
      <c r="O45" s="15">
        <v>9500000</v>
      </c>
      <c r="P45" s="15">
        <v>0</v>
      </c>
      <c r="Q45" s="15">
        <v>0</v>
      </c>
      <c r="R45" s="15">
        <v>0</v>
      </c>
      <c r="S45" s="15">
        <v>0</v>
      </c>
      <c r="T45" s="15"/>
    </row>
    <row r="46" spans="1:20" x14ac:dyDescent="0.25">
      <c r="A46" s="15" t="s">
        <v>333</v>
      </c>
      <c r="B46" s="15" t="s">
        <v>561</v>
      </c>
      <c r="C46" s="15" t="s">
        <v>591</v>
      </c>
      <c r="D46" s="15" t="s">
        <v>323</v>
      </c>
      <c r="E46" s="15" t="s">
        <v>318</v>
      </c>
      <c r="F46" s="15" t="s">
        <v>324</v>
      </c>
      <c r="G46" s="15"/>
      <c r="H46" s="15" t="s">
        <v>325</v>
      </c>
      <c r="I46" s="15"/>
      <c r="J46" s="15"/>
      <c r="K46" s="15"/>
      <c r="L46" s="15">
        <v>0</v>
      </c>
      <c r="M46" s="15">
        <v>566466.16</v>
      </c>
      <c r="N46" s="15">
        <v>0</v>
      </c>
      <c r="O46" s="15">
        <v>101427.09999999998</v>
      </c>
      <c r="P46" s="15">
        <v>0</v>
      </c>
      <c r="Q46" s="15">
        <v>4983223.1399999978</v>
      </c>
      <c r="R46" s="15">
        <v>0</v>
      </c>
      <c r="S46" s="15">
        <v>0</v>
      </c>
      <c r="T46" s="15"/>
    </row>
    <row r="47" spans="1:20" x14ac:dyDescent="0.25">
      <c r="A47" s="15" t="s">
        <v>333</v>
      </c>
      <c r="B47" s="15" t="s">
        <v>561</v>
      </c>
      <c r="C47" s="15" t="s">
        <v>591</v>
      </c>
      <c r="D47" s="15" t="s">
        <v>323</v>
      </c>
      <c r="E47" s="15" t="s">
        <v>318</v>
      </c>
      <c r="F47" s="15" t="s">
        <v>329</v>
      </c>
      <c r="G47" s="15"/>
      <c r="H47" s="15" t="s">
        <v>322</v>
      </c>
      <c r="I47" s="15"/>
      <c r="J47" s="15"/>
      <c r="K47" s="15"/>
      <c r="L47" s="15">
        <v>0</v>
      </c>
      <c r="M47" s="15">
        <v>0</v>
      </c>
      <c r="N47" s="15">
        <v>120703.57999999999</v>
      </c>
      <c r="O47" s="15">
        <v>397389.71999999991</v>
      </c>
      <c r="P47" s="15">
        <v>0</v>
      </c>
      <c r="Q47" s="15">
        <v>0</v>
      </c>
      <c r="R47" s="15">
        <v>0</v>
      </c>
      <c r="S47" s="15">
        <v>0</v>
      </c>
      <c r="T47" s="15"/>
    </row>
    <row r="48" spans="1:20" x14ac:dyDescent="0.25">
      <c r="A48" s="15" t="s">
        <v>333</v>
      </c>
      <c r="B48" s="15" t="s">
        <v>561</v>
      </c>
      <c r="C48" s="15" t="s">
        <v>591</v>
      </c>
      <c r="D48" s="15" t="s">
        <v>323</v>
      </c>
      <c r="E48" s="15" t="s">
        <v>318</v>
      </c>
      <c r="F48" s="15" t="s">
        <v>324</v>
      </c>
      <c r="G48" s="15"/>
      <c r="H48" s="15" t="s">
        <v>325</v>
      </c>
      <c r="I48" s="15"/>
      <c r="J48" s="15"/>
      <c r="K48" s="15"/>
      <c r="L48" s="15">
        <v>0</v>
      </c>
      <c r="M48" s="15">
        <v>16695851.649999999</v>
      </c>
      <c r="N48" s="15">
        <v>71189.710000000021</v>
      </c>
      <c r="O48" s="15">
        <v>85800621.210000008</v>
      </c>
      <c r="P48" s="15">
        <v>0</v>
      </c>
      <c r="Q48" s="15">
        <v>0</v>
      </c>
      <c r="R48" s="15">
        <v>0</v>
      </c>
      <c r="S48" s="15">
        <v>0</v>
      </c>
      <c r="T48" s="15"/>
    </row>
    <row r="49" spans="1:20" x14ac:dyDescent="0.25">
      <c r="A49" s="15" t="s">
        <v>333</v>
      </c>
      <c r="B49" s="15" t="s">
        <v>561</v>
      </c>
      <c r="C49" s="15" t="s">
        <v>591</v>
      </c>
      <c r="D49" s="15" t="s">
        <v>323</v>
      </c>
      <c r="E49" s="15" t="s">
        <v>318</v>
      </c>
      <c r="F49" s="15" t="s">
        <v>329</v>
      </c>
      <c r="G49" s="15"/>
      <c r="H49" s="15" t="s">
        <v>330</v>
      </c>
      <c r="I49" s="15"/>
      <c r="J49" s="15"/>
      <c r="K49" s="15"/>
      <c r="L49" s="15">
        <v>0</v>
      </c>
      <c r="M49" s="15">
        <v>0</v>
      </c>
      <c r="N49" s="15">
        <v>85685187.23999998</v>
      </c>
      <c r="O49" s="15">
        <v>5272787.08</v>
      </c>
      <c r="P49" s="15">
        <v>0</v>
      </c>
      <c r="Q49" s="15">
        <v>0</v>
      </c>
      <c r="R49" s="15">
        <v>0</v>
      </c>
      <c r="S49" s="15">
        <v>0</v>
      </c>
      <c r="T49" s="15"/>
    </row>
    <row r="50" spans="1:20" x14ac:dyDescent="0.25">
      <c r="A50" s="15" t="s">
        <v>333</v>
      </c>
      <c r="B50" s="15" t="s">
        <v>561</v>
      </c>
      <c r="C50" s="15" t="s">
        <v>591</v>
      </c>
      <c r="D50" s="15" t="s">
        <v>323</v>
      </c>
      <c r="E50" s="15" t="s">
        <v>318</v>
      </c>
      <c r="F50" s="15" t="s">
        <v>324</v>
      </c>
      <c r="G50" s="15"/>
      <c r="H50" s="15" t="s">
        <v>325</v>
      </c>
      <c r="I50" s="15"/>
      <c r="J50" s="15"/>
      <c r="K50" s="15"/>
      <c r="L50" s="15">
        <v>0</v>
      </c>
      <c r="M50" s="15">
        <v>0</v>
      </c>
      <c r="N50" s="15">
        <v>0</v>
      </c>
      <c r="O50" s="15">
        <v>165427.24999999997</v>
      </c>
      <c r="P50" s="15">
        <v>0</v>
      </c>
      <c r="Q50" s="15">
        <v>0</v>
      </c>
      <c r="R50" s="15">
        <v>0</v>
      </c>
      <c r="S50" s="15">
        <v>0</v>
      </c>
      <c r="T50" s="15"/>
    </row>
    <row r="51" spans="1:20" x14ac:dyDescent="0.25">
      <c r="A51" s="15" t="s">
        <v>333</v>
      </c>
      <c r="B51" s="15" t="s">
        <v>561</v>
      </c>
      <c r="C51" s="15" t="s">
        <v>591</v>
      </c>
      <c r="D51" s="15" t="s">
        <v>318</v>
      </c>
      <c r="E51" s="15" t="s">
        <v>318</v>
      </c>
      <c r="F51" s="15" t="s">
        <v>331</v>
      </c>
      <c r="G51" s="15"/>
      <c r="H51" s="15" t="s">
        <v>322</v>
      </c>
      <c r="I51" s="15"/>
      <c r="J51" s="15"/>
      <c r="K51" s="15"/>
      <c r="L51" s="15">
        <v>0</v>
      </c>
      <c r="M51" s="15">
        <v>0</v>
      </c>
      <c r="N51" s="15">
        <v>999864.46999999986</v>
      </c>
      <c r="O51" s="15">
        <v>155721.815</v>
      </c>
      <c r="P51" s="15">
        <v>0</v>
      </c>
      <c r="Q51" s="15">
        <v>7046878.6800000081</v>
      </c>
      <c r="R51" s="15">
        <v>0</v>
      </c>
      <c r="S51" s="15">
        <v>0</v>
      </c>
      <c r="T51" s="15"/>
    </row>
    <row r="52" spans="1:20" x14ac:dyDescent="0.25">
      <c r="A52" s="15" t="s">
        <v>333</v>
      </c>
      <c r="B52" s="15" t="s">
        <v>561</v>
      </c>
      <c r="C52" s="15" t="s">
        <v>591</v>
      </c>
      <c r="D52" s="15" t="s">
        <v>323</v>
      </c>
      <c r="E52" s="15" t="s">
        <v>318</v>
      </c>
      <c r="F52" s="15" t="s">
        <v>324</v>
      </c>
      <c r="G52" s="15"/>
      <c r="H52" s="15" t="s">
        <v>325</v>
      </c>
      <c r="I52" s="15"/>
      <c r="J52" s="15"/>
      <c r="K52" s="15"/>
      <c r="L52" s="15">
        <v>0</v>
      </c>
      <c r="M52" s="15">
        <v>0</v>
      </c>
      <c r="N52" s="15">
        <v>6943.3199999999988</v>
      </c>
      <c r="O52" s="15">
        <v>10388589.640000002</v>
      </c>
      <c r="P52" s="15">
        <v>0</v>
      </c>
      <c r="Q52" s="15">
        <v>0</v>
      </c>
      <c r="R52" s="15">
        <v>0</v>
      </c>
      <c r="S52" s="15">
        <v>0</v>
      </c>
      <c r="T52" s="15"/>
    </row>
    <row r="53" spans="1:20" x14ac:dyDescent="0.25">
      <c r="A53" s="15" t="s">
        <v>333</v>
      </c>
      <c r="B53" s="15" t="s">
        <v>561</v>
      </c>
      <c r="C53" s="15" t="s">
        <v>591</v>
      </c>
      <c r="D53" s="15" t="s">
        <v>323</v>
      </c>
      <c r="E53" s="15" t="s">
        <v>318</v>
      </c>
      <c r="F53" s="15" t="s">
        <v>324</v>
      </c>
      <c r="G53" s="15"/>
      <c r="H53" s="15" t="s">
        <v>325</v>
      </c>
      <c r="I53" s="15"/>
      <c r="J53" s="15"/>
      <c r="K53" s="15"/>
      <c r="L53" s="15">
        <v>0</v>
      </c>
      <c r="M53" s="15">
        <v>0</v>
      </c>
      <c r="N53" s="15">
        <v>0</v>
      </c>
      <c r="O53" s="15">
        <v>311135.37</v>
      </c>
      <c r="P53" s="15">
        <v>0</v>
      </c>
      <c r="Q53" s="15">
        <v>0</v>
      </c>
      <c r="R53" s="15">
        <v>0</v>
      </c>
      <c r="S53" s="15">
        <v>0</v>
      </c>
      <c r="T53" s="15"/>
    </row>
    <row r="54" spans="1:20" x14ac:dyDescent="0.25">
      <c r="A54" s="15" t="s">
        <v>333</v>
      </c>
      <c r="B54" s="15" t="s">
        <v>561</v>
      </c>
      <c r="C54" s="15" t="s">
        <v>591</v>
      </c>
      <c r="D54" s="15" t="s">
        <v>323</v>
      </c>
      <c r="E54" s="15" t="s">
        <v>318</v>
      </c>
      <c r="F54" s="15" t="s">
        <v>324</v>
      </c>
      <c r="G54" s="15"/>
      <c r="H54" s="15" t="s">
        <v>322</v>
      </c>
      <c r="I54" s="15"/>
      <c r="J54" s="15"/>
      <c r="K54" s="15"/>
      <c r="L54" s="15">
        <v>0</v>
      </c>
      <c r="M54" s="15">
        <v>0</v>
      </c>
      <c r="N54" s="15">
        <v>4845344.1499999985</v>
      </c>
      <c r="O54" s="15">
        <v>137176.10999999999</v>
      </c>
      <c r="P54" s="15">
        <v>0</v>
      </c>
      <c r="Q54" s="15">
        <v>0</v>
      </c>
      <c r="R54" s="15">
        <v>0</v>
      </c>
      <c r="S54" s="15">
        <v>0</v>
      </c>
      <c r="T54" s="15"/>
    </row>
    <row r="55" spans="1:20" x14ac:dyDescent="0.25">
      <c r="A55" s="15" t="s">
        <v>333</v>
      </c>
      <c r="B55" s="15" t="s">
        <v>561</v>
      </c>
      <c r="C55" s="15" t="s">
        <v>591</v>
      </c>
      <c r="D55" s="15" t="s">
        <v>323</v>
      </c>
      <c r="E55" s="15" t="s">
        <v>318</v>
      </c>
      <c r="F55" s="15" t="s">
        <v>324</v>
      </c>
      <c r="G55" s="15"/>
      <c r="H55" s="15" t="s">
        <v>325</v>
      </c>
      <c r="I55" s="15"/>
      <c r="J55" s="15"/>
      <c r="K55" s="15"/>
      <c r="L55" s="15">
        <v>0</v>
      </c>
      <c r="M55" s="15">
        <v>0</v>
      </c>
      <c r="N55" s="15">
        <v>0</v>
      </c>
      <c r="O55" s="15">
        <v>408997.65000000014</v>
      </c>
      <c r="P55" s="15">
        <v>0</v>
      </c>
      <c r="Q55" s="15">
        <v>0</v>
      </c>
      <c r="R55" s="15">
        <v>0</v>
      </c>
      <c r="S55" s="15">
        <v>0</v>
      </c>
      <c r="T55" s="15"/>
    </row>
    <row r="56" spans="1:20" x14ac:dyDescent="0.25">
      <c r="A56" s="15" t="s">
        <v>333</v>
      </c>
      <c r="B56" s="15" t="s">
        <v>561</v>
      </c>
      <c r="C56" s="15" t="s">
        <v>591</v>
      </c>
      <c r="D56" s="15" t="s">
        <v>323</v>
      </c>
      <c r="E56" s="15" t="s">
        <v>318</v>
      </c>
      <c r="F56" s="15" t="s">
        <v>329</v>
      </c>
      <c r="G56" s="15"/>
      <c r="H56" s="15" t="s">
        <v>330</v>
      </c>
      <c r="I56" s="15"/>
      <c r="J56" s="15"/>
      <c r="K56" s="15"/>
      <c r="L56" s="15">
        <v>0</v>
      </c>
      <c r="M56" s="15">
        <v>0</v>
      </c>
      <c r="N56" s="15">
        <v>3081161.5200000005</v>
      </c>
      <c r="O56" s="15">
        <v>74616016.360000014</v>
      </c>
      <c r="P56" s="15">
        <v>0</v>
      </c>
      <c r="Q56" s="15">
        <v>0</v>
      </c>
      <c r="R56" s="15">
        <v>0</v>
      </c>
      <c r="S56" s="15">
        <v>0</v>
      </c>
      <c r="T56" s="15"/>
    </row>
    <row r="57" spans="1:20" x14ac:dyDescent="0.25">
      <c r="A57" s="15" t="s">
        <v>333</v>
      </c>
      <c r="B57" s="15" t="s">
        <v>561</v>
      </c>
      <c r="C57" s="15" t="s">
        <v>591</v>
      </c>
      <c r="D57" s="15" t="s">
        <v>323</v>
      </c>
      <c r="E57" s="15" t="s">
        <v>318</v>
      </c>
      <c r="F57" s="15" t="s">
        <v>329</v>
      </c>
      <c r="G57" s="15"/>
      <c r="H57" s="15" t="s">
        <v>330</v>
      </c>
      <c r="I57" s="15"/>
      <c r="J57" s="15"/>
      <c r="K57" s="15"/>
      <c r="L57" s="15">
        <v>0</v>
      </c>
      <c r="M57" s="15">
        <v>26855371.18</v>
      </c>
      <c r="N57" s="15">
        <v>350754.54</v>
      </c>
      <c r="O57" s="15">
        <v>57941924.849999994</v>
      </c>
      <c r="P57" s="15">
        <v>0</v>
      </c>
      <c r="Q57" s="15">
        <v>0</v>
      </c>
      <c r="R57" s="15">
        <v>0</v>
      </c>
      <c r="S57" s="15">
        <v>0</v>
      </c>
      <c r="T57" s="15"/>
    </row>
    <row r="58" spans="1:20" x14ac:dyDescent="0.25">
      <c r="A58" s="15" t="s">
        <v>333</v>
      </c>
      <c r="B58" s="15" t="s">
        <v>561</v>
      </c>
      <c r="C58" s="15" t="s">
        <v>591</v>
      </c>
      <c r="D58" s="15" t="s">
        <v>323</v>
      </c>
      <c r="E58" s="15" t="s">
        <v>318</v>
      </c>
      <c r="F58" s="15" t="s">
        <v>324</v>
      </c>
      <c r="G58" s="15"/>
      <c r="H58" s="15" t="s">
        <v>325</v>
      </c>
      <c r="I58" s="15"/>
      <c r="J58" s="15"/>
      <c r="K58" s="15"/>
      <c r="L58" s="15">
        <v>0</v>
      </c>
      <c r="M58" s="15">
        <v>5204556.9600000037</v>
      </c>
      <c r="N58" s="15">
        <v>0</v>
      </c>
      <c r="O58" s="15">
        <v>14969645.509999998</v>
      </c>
      <c r="P58" s="15">
        <v>0</v>
      </c>
      <c r="Q58" s="15">
        <v>0</v>
      </c>
      <c r="R58" s="15">
        <v>0</v>
      </c>
      <c r="S58" s="15">
        <v>0</v>
      </c>
      <c r="T58" s="15"/>
    </row>
    <row r="59" spans="1:20" x14ac:dyDescent="0.25">
      <c r="A59" s="15" t="s">
        <v>333</v>
      </c>
      <c r="B59" s="15" t="s">
        <v>561</v>
      </c>
      <c r="C59" s="15" t="s">
        <v>591</v>
      </c>
      <c r="D59" s="15" t="s">
        <v>323</v>
      </c>
      <c r="E59" s="15" t="s">
        <v>318</v>
      </c>
      <c r="F59" s="15" t="s">
        <v>324</v>
      </c>
      <c r="G59" s="15"/>
      <c r="H59" s="15" t="s">
        <v>325</v>
      </c>
      <c r="I59" s="15"/>
      <c r="J59" s="15"/>
      <c r="K59" s="15"/>
      <c r="L59" s="15">
        <v>0</v>
      </c>
      <c r="M59" s="15">
        <v>0</v>
      </c>
      <c r="N59" s="15">
        <v>0</v>
      </c>
      <c r="O59" s="15">
        <v>149566469.50999999</v>
      </c>
      <c r="P59" s="15">
        <v>0</v>
      </c>
      <c r="Q59" s="15">
        <v>0</v>
      </c>
      <c r="R59" s="15">
        <v>0</v>
      </c>
      <c r="S59" s="15">
        <v>0</v>
      </c>
      <c r="T59" s="15"/>
    </row>
    <row r="60" spans="1:20" x14ac:dyDescent="0.25">
      <c r="A60" s="15" t="s">
        <v>333</v>
      </c>
      <c r="B60" s="15" t="s">
        <v>561</v>
      </c>
      <c r="C60" s="15" t="s">
        <v>591</v>
      </c>
      <c r="D60" s="15" t="s">
        <v>323</v>
      </c>
      <c r="E60" s="15" t="s">
        <v>318</v>
      </c>
      <c r="F60" s="15" t="s">
        <v>324</v>
      </c>
      <c r="G60" s="15"/>
      <c r="H60" s="15" t="s">
        <v>325</v>
      </c>
      <c r="I60" s="15"/>
      <c r="J60" s="15"/>
      <c r="K60" s="15"/>
      <c r="L60" s="15">
        <v>0</v>
      </c>
      <c r="M60" s="15">
        <v>0</v>
      </c>
      <c r="N60" s="15">
        <v>0</v>
      </c>
      <c r="O60" s="15">
        <v>76737.759999999995</v>
      </c>
      <c r="P60" s="15">
        <v>0</v>
      </c>
      <c r="Q60" s="15">
        <v>0</v>
      </c>
      <c r="R60" s="15">
        <v>0</v>
      </c>
      <c r="S60" s="15">
        <v>0</v>
      </c>
      <c r="T60" s="15"/>
    </row>
    <row r="61" spans="1:20" x14ac:dyDescent="0.25">
      <c r="A61" s="15" t="s">
        <v>333</v>
      </c>
      <c r="B61" s="15" t="s">
        <v>561</v>
      </c>
      <c r="C61" s="15" t="s">
        <v>591</v>
      </c>
      <c r="D61" s="15" t="s">
        <v>318</v>
      </c>
      <c r="E61" s="15" t="s">
        <v>318</v>
      </c>
      <c r="F61" s="15" t="s">
        <v>331</v>
      </c>
      <c r="G61" s="15"/>
      <c r="H61" s="15" t="s">
        <v>322</v>
      </c>
      <c r="I61" s="15"/>
      <c r="J61" s="15"/>
      <c r="K61" s="15"/>
      <c r="L61" s="15">
        <v>0</v>
      </c>
      <c r="M61" s="15">
        <v>0</v>
      </c>
      <c r="N61" s="15">
        <v>744141.68999998644</v>
      </c>
      <c r="O61" s="15">
        <v>138685329.41000003</v>
      </c>
      <c r="P61" s="15">
        <v>0</v>
      </c>
      <c r="Q61" s="15">
        <v>696849.14</v>
      </c>
      <c r="R61" s="15">
        <v>0</v>
      </c>
      <c r="S61" s="15">
        <v>0</v>
      </c>
      <c r="T61" s="15"/>
    </row>
    <row r="62" spans="1:20" x14ac:dyDescent="0.25">
      <c r="A62" s="15" t="s">
        <v>333</v>
      </c>
      <c r="B62" s="15" t="s">
        <v>561</v>
      </c>
      <c r="C62" s="15" t="s">
        <v>591</v>
      </c>
      <c r="D62" s="15" t="s">
        <v>323</v>
      </c>
      <c r="E62" s="15" t="s">
        <v>318</v>
      </c>
      <c r="F62" s="15" t="s">
        <v>324</v>
      </c>
      <c r="G62" s="15"/>
      <c r="H62" s="15" t="s">
        <v>325</v>
      </c>
      <c r="I62" s="15"/>
      <c r="J62" s="15"/>
      <c r="K62" s="15"/>
      <c r="L62" s="15">
        <v>0</v>
      </c>
      <c r="M62" s="15">
        <v>0</v>
      </c>
      <c r="N62" s="15">
        <v>0</v>
      </c>
      <c r="O62" s="15">
        <v>420271.38</v>
      </c>
      <c r="P62" s="15">
        <v>0</v>
      </c>
      <c r="Q62" s="15">
        <v>0</v>
      </c>
      <c r="R62" s="15">
        <v>0</v>
      </c>
      <c r="S62" s="15">
        <v>0</v>
      </c>
      <c r="T62" s="15"/>
    </row>
    <row r="63" spans="1:20" x14ac:dyDescent="0.25">
      <c r="A63" s="15" t="s">
        <v>333</v>
      </c>
      <c r="B63" s="15" t="s">
        <v>561</v>
      </c>
      <c r="C63" s="15" t="s">
        <v>591</v>
      </c>
      <c r="D63" s="15" t="s">
        <v>323</v>
      </c>
      <c r="E63" s="15" t="s">
        <v>318</v>
      </c>
      <c r="F63" s="15" t="s">
        <v>329</v>
      </c>
      <c r="G63" s="15"/>
      <c r="H63" s="15" t="s">
        <v>330</v>
      </c>
      <c r="I63" s="15"/>
      <c r="J63" s="15"/>
      <c r="K63" s="15"/>
      <c r="L63" s="15">
        <v>0</v>
      </c>
      <c r="M63" s="15">
        <v>0</v>
      </c>
      <c r="N63" s="15">
        <v>0</v>
      </c>
      <c r="O63" s="15">
        <v>30561.46</v>
      </c>
      <c r="P63" s="15">
        <v>0</v>
      </c>
      <c r="Q63" s="15">
        <v>0</v>
      </c>
      <c r="R63" s="15">
        <v>0</v>
      </c>
      <c r="S63" s="15">
        <v>0</v>
      </c>
      <c r="T63" s="15"/>
    </row>
    <row r="64" spans="1:20" x14ac:dyDescent="0.25">
      <c r="A64" s="15" t="s">
        <v>333</v>
      </c>
      <c r="B64" s="15" t="s">
        <v>561</v>
      </c>
      <c r="C64" s="15" t="s">
        <v>591</v>
      </c>
      <c r="D64" s="15" t="s">
        <v>323</v>
      </c>
      <c r="E64" s="15" t="s">
        <v>318</v>
      </c>
      <c r="F64" s="15" t="s">
        <v>324</v>
      </c>
      <c r="G64" s="15"/>
      <c r="H64" s="15" t="s">
        <v>325</v>
      </c>
      <c r="I64" s="15"/>
      <c r="J64" s="15"/>
      <c r="K64" s="15"/>
      <c r="L64" s="15">
        <v>0</v>
      </c>
      <c r="M64" s="15">
        <v>0</v>
      </c>
      <c r="N64" s="15">
        <v>0</v>
      </c>
      <c r="O64" s="15">
        <v>163640.16999999998</v>
      </c>
      <c r="P64" s="15">
        <v>0</v>
      </c>
      <c r="Q64" s="15">
        <v>0</v>
      </c>
      <c r="R64" s="15">
        <v>0</v>
      </c>
      <c r="S64" s="15">
        <v>0</v>
      </c>
      <c r="T64" s="15"/>
    </row>
    <row r="65" spans="1:20" x14ac:dyDescent="0.25">
      <c r="A65" s="15" t="s">
        <v>333</v>
      </c>
      <c r="B65" s="15" t="s">
        <v>561</v>
      </c>
      <c r="C65" s="15" t="s">
        <v>591</v>
      </c>
      <c r="D65" s="15" t="s">
        <v>318</v>
      </c>
      <c r="E65" s="15" t="s">
        <v>318</v>
      </c>
      <c r="F65" s="15" t="s">
        <v>327</v>
      </c>
      <c r="G65" s="15"/>
      <c r="H65" s="15" t="s">
        <v>322</v>
      </c>
      <c r="I65" s="15"/>
      <c r="J65" s="15"/>
      <c r="K65" s="15"/>
      <c r="L65" s="15">
        <v>0</v>
      </c>
      <c r="M65" s="15">
        <v>0</v>
      </c>
      <c r="N65" s="15">
        <v>136413.45000000112</v>
      </c>
      <c r="O65" s="15">
        <v>67124558.00999999</v>
      </c>
      <c r="P65" s="15">
        <v>0</v>
      </c>
      <c r="Q65" s="15">
        <v>4154461.5100000035</v>
      </c>
      <c r="R65" s="15">
        <v>0</v>
      </c>
      <c r="S65" s="15">
        <v>0</v>
      </c>
      <c r="T65" s="15"/>
    </row>
    <row r="66" spans="1:20" x14ac:dyDescent="0.25">
      <c r="A66" s="15" t="s">
        <v>333</v>
      </c>
      <c r="B66" s="15" t="s">
        <v>561</v>
      </c>
      <c r="C66" s="15" t="s">
        <v>591</v>
      </c>
      <c r="D66" s="15" t="s">
        <v>323</v>
      </c>
      <c r="E66" s="15" t="s">
        <v>318</v>
      </c>
      <c r="F66" s="15" t="s">
        <v>324</v>
      </c>
      <c r="G66" s="15"/>
      <c r="H66" s="15" t="s">
        <v>325</v>
      </c>
      <c r="I66" s="15"/>
      <c r="J66" s="15"/>
      <c r="K66" s="15"/>
      <c r="L66" s="15">
        <v>0</v>
      </c>
      <c r="M66" s="15">
        <v>0</v>
      </c>
      <c r="N66" s="15">
        <v>835.28</v>
      </c>
      <c r="O66" s="15">
        <v>78450.569999999992</v>
      </c>
      <c r="P66" s="15">
        <v>0</v>
      </c>
      <c r="Q66" s="15">
        <v>0</v>
      </c>
      <c r="R66" s="15">
        <v>0</v>
      </c>
      <c r="S66" s="15">
        <v>0</v>
      </c>
      <c r="T66" s="15"/>
    </row>
    <row r="67" spans="1:20" x14ac:dyDescent="0.25">
      <c r="A67" s="15" t="s">
        <v>333</v>
      </c>
      <c r="B67" s="15" t="s">
        <v>561</v>
      </c>
      <c r="C67" s="15" t="s">
        <v>591</v>
      </c>
      <c r="D67" s="15" t="s">
        <v>323</v>
      </c>
      <c r="E67" s="15" t="s">
        <v>318</v>
      </c>
      <c r="F67" s="15" t="s">
        <v>329</v>
      </c>
      <c r="G67" s="15"/>
      <c r="H67" s="15" t="s">
        <v>330</v>
      </c>
      <c r="I67" s="15"/>
      <c r="J67" s="15"/>
      <c r="K67" s="15"/>
      <c r="L67" s="15">
        <v>0</v>
      </c>
      <c r="M67" s="15">
        <v>0</v>
      </c>
      <c r="N67" s="15">
        <v>0</v>
      </c>
      <c r="O67" s="15">
        <v>4902766.1800000006</v>
      </c>
      <c r="P67" s="15">
        <v>0</v>
      </c>
      <c r="Q67" s="15">
        <v>0</v>
      </c>
      <c r="R67" s="15">
        <v>0</v>
      </c>
      <c r="S67" s="15">
        <v>0</v>
      </c>
      <c r="T67" s="15"/>
    </row>
    <row r="68" spans="1:20" x14ac:dyDescent="0.25">
      <c r="A68" s="15" t="s">
        <v>333</v>
      </c>
      <c r="B68" s="15" t="s">
        <v>561</v>
      </c>
      <c r="C68" s="15" t="s">
        <v>591</v>
      </c>
      <c r="D68" s="15" t="s">
        <v>318</v>
      </c>
      <c r="E68" s="15" t="s">
        <v>318</v>
      </c>
      <c r="F68" s="15" t="s">
        <v>319</v>
      </c>
      <c r="G68" s="15"/>
      <c r="H68" s="15" t="s">
        <v>320</v>
      </c>
      <c r="I68" s="15"/>
      <c r="J68" s="15"/>
      <c r="K68" s="15"/>
      <c r="L68" s="15">
        <v>0</v>
      </c>
      <c r="M68" s="15">
        <v>0</v>
      </c>
      <c r="N68" s="15">
        <v>9777794.9499999974</v>
      </c>
      <c r="O68" s="15">
        <v>27367959.500000022</v>
      </c>
      <c r="P68" s="15">
        <v>0</v>
      </c>
      <c r="Q68" s="15">
        <v>0</v>
      </c>
      <c r="R68" s="15">
        <v>0</v>
      </c>
      <c r="S68" s="15">
        <v>0</v>
      </c>
      <c r="T68" s="15"/>
    </row>
    <row r="69" spans="1:20" x14ac:dyDescent="0.25">
      <c r="A69" s="15" t="s">
        <v>333</v>
      </c>
      <c r="B69" s="15" t="s">
        <v>561</v>
      </c>
      <c r="C69" s="15" t="s">
        <v>591</v>
      </c>
      <c r="D69" s="15" t="s">
        <v>323</v>
      </c>
      <c r="E69" s="15" t="s">
        <v>318</v>
      </c>
      <c r="F69" s="15" t="s">
        <v>324</v>
      </c>
      <c r="G69" s="15"/>
      <c r="H69" s="15" t="s">
        <v>325</v>
      </c>
      <c r="I69" s="15"/>
      <c r="J69" s="15"/>
      <c r="K69" s="15"/>
      <c r="L69" s="15">
        <v>0</v>
      </c>
      <c r="M69" s="15">
        <v>0</v>
      </c>
      <c r="N69" s="15">
        <v>0</v>
      </c>
      <c r="O69" s="15">
        <v>161081.58000000002</v>
      </c>
      <c r="P69" s="15">
        <v>0</v>
      </c>
      <c r="Q69" s="15">
        <v>0</v>
      </c>
      <c r="R69" s="15">
        <v>0</v>
      </c>
      <c r="S69" s="15">
        <v>0</v>
      </c>
      <c r="T69" s="15"/>
    </row>
    <row r="70" spans="1:20" x14ac:dyDescent="0.25">
      <c r="A70" s="15" t="s">
        <v>333</v>
      </c>
      <c r="B70" s="15" t="s">
        <v>561</v>
      </c>
      <c r="C70" s="15" t="s">
        <v>591</v>
      </c>
      <c r="D70" s="15" t="s">
        <v>318</v>
      </c>
      <c r="E70" s="15" t="s">
        <v>318</v>
      </c>
      <c r="F70" s="15" t="s">
        <v>319</v>
      </c>
      <c r="G70" s="15"/>
      <c r="H70" s="15" t="s">
        <v>320</v>
      </c>
      <c r="I70" s="15"/>
      <c r="J70" s="15"/>
      <c r="K70" s="15"/>
      <c r="L70" s="15">
        <v>0</v>
      </c>
      <c r="M70" s="15">
        <v>0</v>
      </c>
      <c r="N70" s="15">
        <v>11308710.9</v>
      </c>
      <c r="O70" s="15">
        <v>33925558.109999999</v>
      </c>
      <c r="P70" s="15">
        <v>0</v>
      </c>
      <c r="Q70" s="15">
        <v>0</v>
      </c>
      <c r="R70" s="15">
        <v>0</v>
      </c>
      <c r="S70" s="15">
        <v>0</v>
      </c>
      <c r="T70" s="15"/>
    </row>
    <row r="71" spans="1:20" x14ac:dyDescent="0.25">
      <c r="A71" s="15" t="s">
        <v>333</v>
      </c>
      <c r="B71" s="15" t="s">
        <v>561</v>
      </c>
      <c r="C71" s="15" t="s">
        <v>591</v>
      </c>
      <c r="D71" s="15" t="s">
        <v>323</v>
      </c>
      <c r="E71" s="15" t="s">
        <v>318</v>
      </c>
      <c r="F71" s="15" t="s">
        <v>324</v>
      </c>
      <c r="G71" s="15"/>
      <c r="H71" s="15" t="s">
        <v>325</v>
      </c>
      <c r="I71" s="15"/>
      <c r="J71" s="15"/>
      <c r="K71" s="15"/>
      <c r="L71" s="15">
        <v>0</v>
      </c>
      <c r="M71" s="15">
        <v>0</v>
      </c>
      <c r="N71" s="15">
        <v>0</v>
      </c>
      <c r="O71" s="15">
        <v>1131619.42</v>
      </c>
      <c r="P71" s="15">
        <v>0</v>
      </c>
      <c r="Q71" s="15">
        <v>0</v>
      </c>
      <c r="R71" s="15">
        <v>0</v>
      </c>
      <c r="S71" s="15">
        <v>0</v>
      </c>
      <c r="T71" s="15"/>
    </row>
    <row r="72" spans="1:20" x14ac:dyDescent="0.25">
      <c r="A72" s="15" t="s">
        <v>333</v>
      </c>
      <c r="B72" s="15" t="s">
        <v>561</v>
      </c>
      <c r="C72" s="15" t="s">
        <v>591</v>
      </c>
      <c r="D72" s="15" t="s">
        <v>323</v>
      </c>
      <c r="E72" s="15" t="s">
        <v>318</v>
      </c>
      <c r="F72" s="15" t="s">
        <v>329</v>
      </c>
      <c r="G72" s="15"/>
      <c r="H72" s="15" t="s">
        <v>330</v>
      </c>
      <c r="I72" s="15"/>
      <c r="J72" s="15"/>
      <c r="K72" s="15"/>
      <c r="L72" s="15">
        <v>0</v>
      </c>
      <c r="M72" s="15">
        <v>0</v>
      </c>
      <c r="N72" s="15">
        <v>0</v>
      </c>
      <c r="O72" s="15">
        <v>15431.249999999998</v>
      </c>
      <c r="P72" s="15">
        <v>0</v>
      </c>
      <c r="Q72" s="15">
        <v>0</v>
      </c>
      <c r="R72" s="15">
        <v>0</v>
      </c>
      <c r="S72" s="15">
        <v>0</v>
      </c>
      <c r="T72" s="15"/>
    </row>
    <row r="73" spans="1:20" x14ac:dyDescent="0.25">
      <c r="A73" s="15" t="s">
        <v>333</v>
      </c>
      <c r="B73" s="15" t="s">
        <v>561</v>
      </c>
      <c r="C73" s="15" t="s">
        <v>591</v>
      </c>
      <c r="D73" s="15" t="s">
        <v>318</v>
      </c>
      <c r="E73" s="15" t="s">
        <v>318</v>
      </c>
      <c r="F73" s="15" t="s">
        <v>327</v>
      </c>
      <c r="G73" s="15"/>
      <c r="H73" s="15" t="s">
        <v>322</v>
      </c>
      <c r="I73" s="15"/>
      <c r="J73" s="15"/>
      <c r="K73" s="15"/>
      <c r="L73" s="15">
        <v>0</v>
      </c>
      <c r="M73" s="15">
        <v>0</v>
      </c>
      <c r="N73" s="15">
        <v>0</v>
      </c>
      <c r="O73" s="15">
        <v>15804044.249999998</v>
      </c>
      <c r="P73" s="15">
        <v>0</v>
      </c>
      <c r="Q73" s="15">
        <v>17640633.704999998</v>
      </c>
      <c r="R73" s="15">
        <v>0</v>
      </c>
      <c r="S73" s="15">
        <v>0</v>
      </c>
      <c r="T73" s="15"/>
    </row>
    <row r="74" spans="1:20" x14ac:dyDescent="0.25">
      <c r="A74" s="15" t="s">
        <v>333</v>
      </c>
      <c r="B74" s="15" t="s">
        <v>561</v>
      </c>
      <c r="C74" s="15" t="s">
        <v>591</v>
      </c>
      <c r="D74" s="15" t="s">
        <v>318</v>
      </c>
      <c r="E74" s="15" t="s">
        <v>318</v>
      </c>
      <c r="F74" s="15" t="s">
        <v>331</v>
      </c>
      <c r="G74" s="15"/>
      <c r="H74" s="15" t="s">
        <v>322</v>
      </c>
      <c r="I74" s="15"/>
      <c r="J74" s="15"/>
      <c r="K74" s="15"/>
      <c r="L74" s="15">
        <v>0</v>
      </c>
      <c r="M74" s="15">
        <v>0</v>
      </c>
      <c r="N74" s="15">
        <v>0</v>
      </c>
      <c r="O74" s="15">
        <v>15804044.249999998</v>
      </c>
      <c r="P74" s="15">
        <v>0</v>
      </c>
      <c r="Q74" s="15">
        <v>21115469.165000014</v>
      </c>
      <c r="R74" s="15">
        <v>0</v>
      </c>
      <c r="S74" s="15">
        <v>0</v>
      </c>
      <c r="T74" s="15"/>
    </row>
    <row r="75" spans="1:20" x14ac:dyDescent="0.25">
      <c r="A75" s="15" t="s">
        <v>333</v>
      </c>
      <c r="B75" s="15" t="s">
        <v>561</v>
      </c>
      <c r="C75" s="15" t="s">
        <v>591</v>
      </c>
      <c r="D75" s="15" t="s">
        <v>318</v>
      </c>
      <c r="E75" s="15" t="s">
        <v>318</v>
      </c>
      <c r="F75" s="15" t="s">
        <v>319</v>
      </c>
      <c r="G75" s="15"/>
      <c r="H75" s="15" t="s">
        <v>320</v>
      </c>
      <c r="I75" s="15"/>
      <c r="J75" s="15"/>
      <c r="K75" s="15"/>
      <c r="L75" s="15">
        <v>0</v>
      </c>
      <c r="M75" s="15">
        <v>0</v>
      </c>
      <c r="N75" s="15">
        <v>0</v>
      </c>
      <c r="O75" s="15">
        <v>19333835.870000001</v>
      </c>
      <c r="P75" s="15">
        <v>0</v>
      </c>
      <c r="Q75" s="15">
        <v>0</v>
      </c>
      <c r="R75" s="15">
        <v>0</v>
      </c>
      <c r="S75" s="15">
        <v>0</v>
      </c>
      <c r="T75" s="15"/>
    </row>
    <row r="76" spans="1:20" x14ac:dyDescent="0.25">
      <c r="A76" s="15" t="s">
        <v>333</v>
      </c>
      <c r="B76" s="15" t="s">
        <v>561</v>
      </c>
      <c r="C76" s="15" t="s">
        <v>591</v>
      </c>
      <c r="D76" s="15" t="s">
        <v>318</v>
      </c>
      <c r="E76" s="15" t="s">
        <v>318</v>
      </c>
      <c r="F76" s="15" t="s">
        <v>319</v>
      </c>
      <c r="G76" s="15"/>
      <c r="H76" s="15" t="s">
        <v>320</v>
      </c>
      <c r="I76" s="15"/>
      <c r="J76" s="15"/>
      <c r="K76" s="15"/>
      <c r="L76" s="15">
        <v>0</v>
      </c>
      <c r="M76" s="15">
        <v>0</v>
      </c>
      <c r="N76" s="15">
        <v>0</v>
      </c>
      <c r="O76" s="15">
        <v>19333835.870000001</v>
      </c>
      <c r="P76" s="15">
        <v>0</v>
      </c>
      <c r="Q76" s="15">
        <v>0</v>
      </c>
      <c r="R76" s="15">
        <v>0</v>
      </c>
      <c r="S76" s="15">
        <v>0</v>
      </c>
      <c r="T76" s="15"/>
    </row>
    <row r="77" spans="1:20" x14ac:dyDescent="0.25">
      <c r="A77" s="15" t="s">
        <v>333</v>
      </c>
      <c r="B77" s="15" t="s">
        <v>561</v>
      </c>
      <c r="C77" s="15" t="s">
        <v>591</v>
      </c>
      <c r="D77" s="15" t="s">
        <v>323</v>
      </c>
      <c r="E77" s="15" t="s">
        <v>318</v>
      </c>
      <c r="F77" s="15" t="s">
        <v>324</v>
      </c>
      <c r="G77" s="15"/>
      <c r="H77" s="15" t="s">
        <v>325</v>
      </c>
      <c r="I77" s="15"/>
      <c r="J77" s="15"/>
      <c r="K77" s="15"/>
      <c r="L77" s="15">
        <v>0</v>
      </c>
      <c r="M77" s="15">
        <v>41072051.439999998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/>
    </row>
    <row r="78" spans="1:20" x14ac:dyDescent="0.25">
      <c r="A78" s="15" t="s">
        <v>333</v>
      </c>
      <c r="B78" s="15" t="s">
        <v>561</v>
      </c>
      <c r="C78" s="15" t="s">
        <v>591</v>
      </c>
      <c r="D78" s="15" t="s">
        <v>323</v>
      </c>
      <c r="E78" s="15" t="s">
        <v>318</v>
      </c>
      <c r="F78" s="15" t="s">
        <v>324</v>
      </c>
      <c r="G78" s="15"/>
      <c r="H78" s="15" t="s">
        <v>325</v>
      </c>
      <c r="I78" s="15"/>
      <c r="J78" s="15"/>
      <c r="K78" s="15"/>
      <c r="L78" s="15">
        <v>0</v>
      </c>
      <c r="M78" s="15">
        <v>0</v>
      </c>
      <c r="N78" s="15">
        <v>0</v>
      </c>
      <c r="O78" s="15">
        <v>763225.07</v>
      </c>
      <c r="P78" s="15">
        <v>0</v>
      </c>
      <c r="Q78" s="15">
        <v>0</v>
      </c>
      <c r="R78" s="15">
        <v>0</v>
      </c>
      <c r="S78" s="15">
        <v>0</v>
      </c>
      <c r="T78" s="15"/>
    </row>
    <row r="79" spans="1:20" x14ac:dyDescent="0.25">
      <c r="A79" s="15" t="s">
        <v>333</v>
      </c>
      <c r="B79" s="15" t="s">
        <v>561</v>
      </c>
      <c r="C79" s="15" t="s">
        <v>591</v>
      </c>
      <c r="D79" s="15" t="s">
        <v>318</v>
      </c>
      <c r="E79" s="15" t="s">
        <v>318</v>
      </c>
      <c r="F79" s="15" t="s">
        <v>327</v>
      </c>
      <c r="G79" s="15"/>
      <c r="H79" s="15" t="s">
        <v>322</v>
      </c>
      <c r="I79" s="15"/>
      <c r="J79" s="15"/>
      <c r="K79" s="15"/>
      <c r="L79" s="15">
        <v>0</v>
      </c>
      <c r="M79" s="15">
        <v>0</v>
      </c>
      <c r="N79" s="15">
        <v>0</v>
      </c>
      <c r="O79" s="15">
        <v>155721.815</v>
      </c>
      <c r="P79" s="15">
        <v>0</v>
      </c>
      <c r="Q79" s="15">
        <v>3126523.5300000012</v>
      </c>
      <c r="R79" s="15">
        <v>0</v>
      </c>
      <c r="S79" s="15">
        <v>0</v>
      </c>
      <c r="T79" s="15"/>
    </row>
    <row r="80" spans="1:20" x14ac:dyDescent="0.25">
      <c r="A80" s="15" t="s">
        <v>333</v>
      </c>
      <c r="B80" s="15" t="s">
        <v>561</v>
      </c>
      <c r="C80" s="15" t="s">
        <v>591</v>
      </c>
      <c r="D80" s="15" t="s">
        <v>323</v>
      </c>
      <c r="E80" s="15" t="s">
        <v>318</v>
      </c>
      <c r="F80" s="15" t="s">
        <v>324</v>
      </c>
      <c r="G80" s="15"/>
      <c r="H80" s="15" t="s">
        <v>325</v>
      </c>
      <c r="I80" s="15"/>
      <c r="J80" s="15"/>
      <c r="K80" s="15"/>
      <c r="L80" s="15">
        <v>0</v>
      </c>
      <c r="M80" s="15">
        <v>0</v>
      </c>
      <c r="N80" s="15">
        <v>0</v>
      </c>
      <c r="O80" s="15">
        <v>41915.080000000009</v>
      </c>
      <c r="P80" s="15">
        <v>0</v>
      </c>
      <c r="Q80" s="15">
        <v>0</v>
      </c>
      <c r="R80" s="15">
        <v>0</v>
      </c>
      <c r="S80" s="15">
        <v>0</v>
      </c>
      <c r="T80" s="15"/>
    </row>
    <row r="81" spans="1:20" x14ac:dyDescent="0.25">
      <c r="A81" s="15" t="s">
        <v>333</v>
      </c>
      <c r="B81" s="15" t="s">
        <v>561</v>
      </c>
      <c r="C81" s="15" t="s">
        <v>591</v>
      </c>
      <c r="D81" s="15" t="s">
        <v>323</v>
      </c>
      <c r="E81" s="15" t="s">
        <v>318</v>
      </c>
      <c r="F81" s="15" t="s">
        <v>324</v>
      </c>
      <c r="G81" s="15"/>
      <c r="H81" s="15" t="s">
        <v>325</v>
      </c>
      <c r="I81" s="15"/>
      <c r="J81" s="15"/>
      <c r="K81" s="15"/>
      <c r="L81" s="15">
        <v>0</v>
      </c>
      <c r="M81" s="15">
        <v>14477.22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/>
    </row>
    <row r="82" spans="1:20" x14ac:dyDescent="0.25">
      <c r="A82" s="15" t="s">
        <v>333</v>
      </c>
      <c r="B82" s="15" t="s">
        <v>561</v>
      </c>
      <c r="C82" s="15" t="s">
        <v>591</v>
      </c>
      <c r="D82" s="15" t="s">
        <v>323</v>
      </c>
      <c r="E82" s="15" t="s">
        <v>318</v>
      </c>
      <c r="F82" s="15" t="s">
        <v>324</v>
      </c>
      <c r="G82" s="15"/>
      <c r="H82" s="15" t="s">
        <v>325</v>
      </c>
      <c r="I82" s="15"/>
      <c r="J82" s="15"/>
      <c r="K82" s="15"/>
      <c r="L82" s="15">
        <v>0</v>
      </c>
      <c r="M82" s="15">
        <v>3549.6000000000004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/>
    </row>
    <row r="83" spans="1:20" x14ac:dyDescent="0.25">
      <c r="A83" s="15" t="s">
        <v>333</v>
      </c>
      <c r="B83" s="15" t="s">
        <v>561</v>
      </c>
      <c r="C83" s="15" t="s">
        <v>591</v>
      </c>
      <c r="D83" s="15" t="s">
        <v>323</v>
      </c>
      <c r="E83" s="15" t="s">
        <v>318</v>
      </c>
      <c r="F83" s="15" t="s">
        <v>324</v>
      </c>
      <c r="G83" s="15"/>
      <c r="H83" s="15" t="s">
        <v>325</v>
      </c>
      <c r="I83" s="15"/>
      <c r="J83" s="15"/>
      <c r="K83" s="15"/>
      <c r="L83" s="15">
        <v>0</v>
      </c>
      <c r="M83" s="15">
        <v>19308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/>
    </row>
    <row r="84" spans="1:20" x14ac:dyDescent="0.25">
      <c r="A84" s="15" t="s">
        <v>21</v>
      </c>
      <c r="B84" s="15" t="s">
        <v>561</v>
      </c>
      <c r="C84" s="15" t="s">
        <v>591</v>
      </c>
      <c r="D84" s="15" t="s">
        <v>323</v>
      </c>
      <c r="E84" s="15" t="s">
        <v>318</v>
      </c>
      <c r="F84" s="15" t="s">
        <v>324</v>
      </c>
      <c r="G84" s="15"/>
      <c r="H84" s="15" t="s">
        <v>325</v>
      </c>
      <c r="I84" s="15"/>
      <c r="J84" s="15"/>
      <c r="K84" s="15"/>
      <c r="L84" s="15">
        <v>0</v>
      </c>
      <c r="M84" s="15">
        <v>0</v>
      </c>
      <c r="N84" s="15">
        <v>0</v>
      </c>
      <c r="O84" s="15">
        <v>129955.4</v>
      </c>
      <c r="P84" s="15">
        <v>0</v>
      </c>
      <c r="Q84" s="15">
        <v>0</v>
      </c>
      <c r="R84" s="15">
        <v>0</v>
      </c>
      <c r="S84" s="15">
        <v>0</v>
      </c>
      <c r="T84" s="15"/>
    </row>
    <row r="85" spans="1:20" x14ac:dyDescent="0.25">
      <c r="A85" s="15" t="s">
        <v>21</v>
      </c>
      <c r="B85" s="15" t="s">
        <v>561</v>
      </c>
      <c r="C85" s="15" t="s">
        <v>591</v>
      </c>
      <c r="D85" s="15" t="s">
        <v>318</v>
      </c>
      <c r="E85" s="15" t="s">
        <v>318</v>
      </c>
      <c r="F85" s="15" t="s">
        <v>319</v>
      </c>
      <c r="G85" s="15"/>
      <c r="H85" s="15" t="s">
        <v>320</v>
      </c>
      <c r="I85" s="15">
        <v>1</v>
      </c>
      <c r="J85" s="15"/>
      <c r="K85" s="15"/>
      <c r="L85" s="15">
        <v>0</v>
      </c>
      <c r="M85" s="15">
        <v>63562247.979999989</v>
      </c>
      <c r="N85" s="15">
        <v>0</v>
      </c>
      <c r="O85" s="15">
        <v>77453434.560000166</v>
      </c>
      <c r="P85" s="15">
        <v>0</v>
      </c>
      <c r="Q85" s="15">
        <v>66363320.945000082</v>
      </c>
      <c r="R85" s="15">
        <v>650000</v>
      </c>
      <c r="S85" s="15">
        <v>0</v>
      </c>
      <c r="T85" s="15"/>
    </row>
    <row r="86" spans="1:20" x14ac:dyDescent="0.25">
      <c r="A86" s="15" t="s">
        <v>21</v>
      </c>
      <c r="B86" s="15" t="s">
        <v>561</v>
      </c>
      <c r="C86" s="15" t="s">
        <v>591</v>
      </c>
      <c r="D86" s="15" t="s">
        <v>323</v>
      </c>
      <c r="E86" s="15" t="s">
        <v>318</v>
      </c>
      <c r="F86" s="15" t="s">
        <v>324</v>
      </c>
      <c r="G86" s="15"/>
      <c r="H86" s="15" t="s">
        <v>325</v>
      </c>
      <c r="I86" s="15"/>
      <c r="J86" s="15"/>
      <c r="K86" s="15"/>
      <c r="L86" s="15">
        <v>0</v>
      </c>
      <c r="M86" s="15">
        <v>0</v>
      </c>
      <c r="N86" s="15">
        <v>0</v>
      </c>
      <c r="O86" s="15">
        <v>15797.939999999999</v>
      </c>
      <c r="P86" s="15">
        <v>0</v>
      </c>
      <c r="Q86" s="15">
        <v>0</v>
      </c>
      <c r="R86" s="15">
        <v>0</v>
      </c>
      <c r="S86" s="15">
        <v>0</v>
      </c>
      <c r="T86" s="15"/>
    </row>
    <row r="87" spans="1:20" x14ac:dyDescent="0.25">
      <c r="A87" s="15" t="s">
        <v>21</v>
      </c>
      <c r="B87" s="15" t="s">
        <v>561</v>
      </c>
      <c r="C87" s="15" t="s">
        <v>591</v>
      </c>
      <c r="D87" s="15" t="s">
        <v>318</v>
      </c>
      <c r="E87" s="15" t="s">
        <v>318</v>
      </c>
      <c r="F87" s="15" t="s">
        <v>319</v>
      </c>
      <c r="G87" s="15"/>
      <c r="H87" s="15" t="s">
        <v>320</v>
      </c>
      <c r="I87" s="15"/>
      <c r="J87" s="15"/>
      <c r="K87" s="15"/>
      <c r="L87" s="15">
        <v>0</v>
      </c>
      <c r="M87" s="15">
        <v>0</v>
      </c>
      <c r="N87" s="15">
        <v>36039.75</v>
      </c>
      <c r="O87" s="15">
        <v>2646.7699999999995</v>
      </c>
      <c r="P87" s="15">
        <v>0</v>
      </c>
      <c r="Q87" s="15">
        <v>296596293.75999993</v>
      </c>
      <c r="R87" s="15">
        <v>0</v>
      </c>
      <c r="S87" s="15">
        <v>0</v>
      </c>
      <c r="T87" s="15"/>
    </row>
    <row r="88" spans="1:20" x14ac:dyDescent="0.25">
      <c r="A88" s="15" t="s">
        <v>21</v>
      </c>
      <c r="B88" s="15" t="s">
        <v>561</v>
      </c>
      <c r="C88" s="15" t="s">
        <v>591</v>
      </c>
      <c r="D88" s="15" t="s">
        <v>318</v>
      </c>
      <c r="E88" s="15" t="s">
        <v>318</v>
      </c>
      <c r="F88" s="15" t="s">
        <v>319</v>
      </c>
      <c r="G88" s="15"/>
      <c r="H88" s="15" t="s">
        <v>320</v>
      </c>
      <c r="I88" s="15"/>
      <c r="J88" s="15"/>
      <c r="K88" s="15"/>
      <c r="L88" s="15">
        <v>0</v>
      </c>
      <c r="M88" s="15">
        <v>0</v>
      </c>
      <c r="N88" s="15">
        <v>19547.75</v>
      </c>
      <c r="O88" s="15">
        <v>2646.7699999999995</v>
      </c>
      <c r="P88" s="15">
        <v>0</v>
      </c>
      <c r="Q88" s="15">
        <v>0</v>
      </c>
      <c r="R88" s="15">
        <v>0</v>
      </c>
      <c r="S88" s="15">
        <v>0</v>
      </c>
      <c r="T88" s="15"/>
    </row>
    <row r="89" spans="1:20" x14ac:dyDescent="0.25">
      <c r="A89" s="15" t="s">
        <v>21</v>
      </c>
      <c r="B89" s="15" t="s">
        <v>561</v>
      </c>
      <c r="C89" s="15" t="s">
        <v>591</v>
      </c>
      <c r="D89" s="15" t="s">
        <v>318</v>
      </c>
      <c r="E89" s="15" t="s">
        <v>318</v>
      </c>
      <c r="F89" s="15" t="s">
        <v>319</v>
      </c>
      <c r="G89" s="15"/>
      <c r="H89" s="15" t="s">
        <v>320</v>
      </c>
      <c r="I89" s="15"/>
      <c r="J89" s="15"/>
      <c r="K89" s="15"/>
      <c r="L89" s="15">
        <v>0</v>
      </c>
      <c r="M89" s="15">
        <v>0</v>
      </c>
      <c r="N89" s="15">
        <v>266477.83</v>
      </c>
      <c r="O89" s="15">
        <v>2207814.08</v>
      </c>
      <c r="P89" s="15">
        <v>0</v>
      </c>
      <c r="Q89" s="15">
        <v>0</v>
      </c>
      <c r="R89" s="15">
        <v>0</v>
      </c>
      <c r="S89" s="15">
        <v>0</v>
      </c>
      <c r="T89" s="15"/>
    </row>
    <row r="90" spans="1:20" x14ac:dyDescent="0.25">
      <c r="A90" s="15" t="s">
        <v>21</v>
      </c>
      <c r="B90" s="15" t="s">
        <v>561</v>
      </c>
      <c r="C90" s="15" t="s">
        <v>591</v>
      </c>
      <c r="D90" s="15" t="s">
        <v>323</v>
      </c>
      <c r="E90" s="15" t="s">
        <v>318</v>
      </c>
      <c r="F90" s="15" t="s">
        <v>324</v>
      </c>
      <c r="G90" s="15"/>
      <c r="H90" s="15" t="s">
        <v>325</v>
      </c>
      <c r="I90" s="15"/>
      <c r="J90" s="15"/>
      <c r="K90" s="15"/>
      <c r="L90" s="15">
        <v>0</v>
      </c>
      <c r="M90" s="15">
        <v>0</v>
      </c>
      <c r="N90" s="15">
        <v>0</v>
      </c>
      <c r="O90" s="15">
        <v>21101.88</v>
      </c>
      <c r="P90" s="15">
        <v>0</v>
      </c>
      <c r="Q90" s="15">
        <v>0</v>
      </c>
      <c r="R90" s="15">
        <v>0</v>
      </c>
      <c r="S90" s="15">
        <v>0</v>
      </c>
      <c r="T90" s="15"/>
    </row>
    <row r="91" spans="1:20" x14ac:dyDescent="0.25">
      <c r="A91" s="15" t="s">
        <v>17</v>
      </c>
      <c r="B91" s="15" t="s">
        <v>561</v>
      </c>
      <c r="C91" s="15" t="s">
        <v>589</v>
      </c>
      <c r="D91" s="15" t="s">
        <v>323</v>
      </c>
      <c r="E91" s="15" t="s">
        <v>495</v>
      </c>
      <c r="F91" s="15" t="s">
        <v>324</v>
      </c>
      <c r="G91" s="15"/>
      <c r="H91" s="15" t="s">
        <v>325</v>
      </c>
      <c r="I91" s="15"/>
      <c r="J91" s="15"/>
      <c r="K91" s="15"/>
      <c r="L91" s="15">
        <v>0</v>
      </c>
      <c r="M91" s="15">
        <v>0</v>
      </c>
      <c r="N91" s="15">
        <v>0</v>
      </c>
      <c r="O91" s="15">
        <v>88016.4</v>
      </c>
      <c r="P91" s="15">
        <v>0</v>
      </c>
      <c r="Q91" s="15">
        <v>0</v>
      </c>
      <c r="R91" s="15">
        <v>0</v>
      </c>
      <c r="S91" s="15">
        <v>0</v>
      </c>
      <c r="T91" s="15"/>
    </row>
    <row r="92" spans="1:20" x14ac:dyDescent="0.25">
      <c r="A92" s="15" t="s">
        <v>17</v>
      </c>
      <c r="B92" s="15" t="s">
        <v>561</v>
      </c>
      <c r="C92" s="15" t="s">
        <v>589</v>
      </c>
      <c r="D92" s="15" t="s">
        <v>318</v>
      </c>
      <c r="E92" s="15" t="s">
        <v>495</v>
      </c>
      <c r="F92" s="15" t="s">
        <v>331</v>
      </c>
      <c r="G92" s="15" t="s">
        <v>327</v>
      </c>
      <c r="H92" s="15" t="s">
        <v>322</v>
      </c>
      <c r="I92" s="15"/>
      <c r="J92" s="15"/>
      <c r="K92" s="15"/>
      <c r="L92" s="15">
        <v>0</v>
      </c>
      <c r="M92" s="15">
        <v>0</v>
      </c>
      <c r="N92" s="15">
        <v>0</v>
      </c>
      <c r="O92" s="15">
        <v>30797380.840000004</v>
      </c>
      <c r="P92" s="15">
        <v>0</v>
      </c>
      <c r="Q92" s="15">
        <v>19446886.790000033</v>
      </c>
      <c r="R92" s="15">
        <v>0</v>
      </c>
      <c r="S92" s="15">
        <v>0</v>
      </c>
      <c r="T92" s="15"/>
    </row>
    <row r="93" spans="1:20" x14ac:dyDescent="0.25">
      <c r="A93" s="15" t="s">
        <v>17</v>
      </c>
      <c r="B93" s="15" t="s">
        <v>561</v>
      </c>
      <c r="C93" s="15" t="s">
        <v>589</v>
      </c>
      <c r="D93" s="15" t="s">
        <v>323</v>
      </c>
      <c r="E93" s="15" t="s">
        <v>495</v>
      </c>
      <c r="F93" s="15" t="s">
        <v>324</v>
      </c>
      <c r="G93" s="15"/>
      <c r="H93" s="15" t="s">
        <v>325</v>
      </c>
      <c r="I93" s="15"/>
      <c r="J93" s="15"/>
      <c r="K93" s="15"/>
      <c r="L93" s="15">
        <v>0</v>
      </c>
      <c r="M93" s="15">
        <v>0</v>
      </c>
      <c r="N93" s="15">
        <v>0</v>
      </c>
      <c r="O93" s="15">
        <v>1850878.62</v>
      </c>
      <c r="P93" s="15">
        <v>0</v>
      </c>
      <c r="Q93" s="15">
        <v>0</v>
      </c>
      <c r="R93" s="15">
        <v>0</v>
      </c>
      <c r="S93" s="15">
        <v>0</v>
      </c>
      <c r="T93" s="15"/>
    </row>
    <row r="94" spans="1:20" x14ac:dyDescent="0.25">
      <c r="A94" s="15" t="s">
        <v>17</v>
      </c>
      <c r="B94" s="15" t="s">
        <v>561</v>
      </c>
      <c r="C94" s="15" t="s">
        <v>589</v>
      </c>
      <c r="D94" s="15" t="s">
        <v>323</v>
      </c>
      <c r="E94" s="15" t="s">
        <v>495</v>
      </c>
      <c r="F94" s="15" t="s">
        <v>329</v>
      </c>
      <c r="G94" s="15"/>
      <c r="H94" s="15" t="s">
        <v>330</v>
      </c>
      <c r="I94" s="15"/>
      <c r="J94" s="15"/>
      <c r="K94" s="15"/>
      <c r="L94" s="15">
        <v>0</v>
      </c>
      <c r="M94" s="15">
        <v>0</v>
      </c>
      <c r="N94" s="15">
        <v>0</v>
      </c>
      <c r="O94" s="15">
        <v>31905.269999999997</v>
      </c>
      <c r="P94" s="15">
        <v>0</v>
      </c>
      <c r="Q94" s="15">
        <v>0</v>
      </c>
      <c r="R94" s="15">
        <v>0</v>
      </c>
      <c r="S94" s="15">
        <v>0</v>
      </c>
      <c r="T94" s="15"/>
    </row>
    <row r="95" spans="1:20" x14ac:dyDescent="0.25">
      <c r="A95" s="15" t="s">
        <v>17</v>
      </c>
      <c r="B95" s="15" t="s">
        <v>561</v>
      </c>
      <c r="C95" s="15" t="s">
        <v>589</v>
      </c>
      <c r="D95" s="15" t="s">
        <v>318</v>
      </c>
      <c r="E95" s="15" t="s">
        <v>495</v>
      </c>
      <c r="F95" s="15" t="s">
        <v>327</v>
      </c>
      <c r="G95" s="15" t="s">
        <v>327</v>
      </c>
      <c r="H95" s="15" t="s">
        <v>322</v>
      </c>
      <c r="I95" s="15"/>
      <c r="J95" s="15"/>
      <c r="K95" s="15"/>
      <c r="L95" s="15">
        <v>0</v>
      </c>
      <c r="M95" s="15">
        <v>0</v>
      </c>
      <c r="N95" s="15">
        <v>0</v>
      </c>
      <c r="O95" s="15">
        <v>2274.2749999999996</v>
      </c>
      <c r="P95" s="15">
        <v>0</v>
      </c>
      <c r="Q95" s="15">
        <v>0</v>
      </c>
      <c r="R95" s="15">
        <v>0</v>
      </c>
      <c r="S95" s="15">
        <v>0</v>
      </c>
      <c r="T95" s="15"/>
    </row>
    <row r="96" spans="1:20" x14ac:dyDescent="0.25">
      <c r="A96" s="15" t="s">
        <v>17</v>
      </c>
      <c r="B96" s="15" t="s">
        <v>561</v>
      </c>
      <c r="C96" s="15" t="s">
        <v>589</v>
      </c>
      <c r="D96" s="15" t="s">
        <v>318</v>
      </c>
      <c r="E96" s="15" t="s">
        <v>495</v>
      </c>
      <c r="F96" s="15" t="s">
        <v>331</v>
      </c>
      <c r="G96" s="15" t="s">
        <v>327</v>
      </c>
      <c r="H96" s="15" t="s">
        <v>322</v>
      </c>
      <c r="I96" s="15"/>
      <c r="J96" s="15"/>
      <c r="K96" s="15"/>
      <c r="L96" s="15">
        <v>0</v>
      </c>
      <c r="M96" s="15">
        <v>0</v>
      </c>
      <c r="N96" s="15">
        <v>0</v>
      </c>
      <c r="O96" s="15">
        <v>2274.2749999999996</v>
      </c>
      <c r="P96" s="15">
        <v>0</v>
      </c>
      <c r="Q96" s="15">
        <v>0</v>
      </c>
      <c r="R96" s="15">
        <v>0</v>
      </c>
      <c r="S96" s="15">
        <v>0</v>
      </c>
      <c r="T96" s="15"/>
    </row>
    <row r="97" spans="1:20" x14ac:dyDescent="0.25">
      <c r="A97" s="15" t="s">
        <v>336</v>
      </c>
      <c r="B97" s="15" t="s">
        <v>561</v>
      </c>
      <c r="C97" s="15" t="s">
        <v>386</v>
      </c>
      <c r="D97" s="15" t="s">
        <v>318</v>
      </c>
      <c r="E97" s="15" t="s">
        <v>390</v>
      </c>
      <c r="F97" s="15" t="s">
        <v>326</v>
      </c>
      <c r="G97" s="15"/>
      <c r="H97" s="15" t="s">
        <v>320</v>
      </c>
      <c r="I97" s="15"/>
      <c r="J97" s="15"/>
      <c r="K97" s="15"/>
      <c r="L97" s="15">
        <v>0</v>
      </c>
      <c r="M97" s="15">
        <v>0</v>
      </c>
      <c r="N97" s="15">
        <v>0</v>
      </c>
      <c r="O97" s="15">
        <v>36896244.130000025</v>
      </c>
      <c r="P97" s="15">
        <v>0</v>
      </c>
      <c r="Q97" s="15">
        <v>44164732.540000081</v>
      </c>
      <c r="R97" s="15">
        <v>0</v>
      </c>
      <c r="S97" s="15">
        <v>0</v>
      </c>
      <c r="T97" s="15"/>
    </row>
    <row r="98" spans="1:20" x14ac:dyDescent="0.25">
      <c r="A98" s="15" t="s">
        <v>336</v>
      </c>
      <c r="B98" s="15" t="s">
        <v>561</v>
      </c>
      <c r="C98" s="15" t="s">
        <v>386</v>
      </c>
      <c r="D98" s="15" t="s">
        <v>318</v>
      </c>
      <c r="E98" s="15" t="s">
        <v>390</v>
      </c>
      <c r="F98" s="15" t="s">
        <v>326</v>
      </c>
      <c r="G98" s="15"/>
      <c r="H98" s="15" t="s">
        <v>320</v>
      </c>
      <c r="I98" s="15"/>
      <c r="J98" s="15"/>
      <c r="K98" s="15"/>
      <c r="L98" s="15">
        <v>0</v>
      </c>
      <c r="M98" s="15">
        <v>0</v>
      </c>
      <c r="N98" s="15">
        <v>0</v>
      </c>
      <c r="O98" s="15">
        <v>66329.489999999991</v>
      </c>
      <c r="P98" s="15">
        <v>0</v>
      </c>
      <c r="Q98" s="15">
        <v>0</v>
      </c>
      <c r="R98" s="15">
        <v>0</v>
      </c>
      <c r="S98" s="15">
        <v>0</v>
      </c>
      <c r="T98" s="15"/>
    </row>
    <row r="99" spans="1:20" x14ac:dyDescent="0.25">
      <c r="A99" s="15" t="s">
        <v>336</v>
      </c>
      <c r="B99" s="15" t="s">
        <v>561</v>
      </c>
      <c r="C99" s="15" t="s">
        <v>386</v>
      </c>
      <c r="D99" s="15" t="s">
        <v>318</v>
      </c>
      <c r="E99" s="15" t="s">
        <v>390</v>
      </c>
      <c r="F99" s="15" t="s">
        <v>326</v>
      </c>
      <c r="G99" s="15"/>
      <c r="H99" s="15" t="s">
        <v>320</v>
      </c>
      <c r="I99" s="15"/>
      <c r="J99" s="15"/>
      <c r="K99" s="15"/>
      <c r="L99" s="15">
        <v>0</v>
      </c>
      <c r="M99" s="15">
        <v>0</v>
      </c>
      <c r="N99" s="15">
        <v>0</v>
      </c>
      <c r="O99" s="15">
        <v>66329.489999999991</v>
      </c>
      <c r="P99" s="15">
        <v>0</v>
      </c>
      <c r="Q99" s="15">
        <v>0</v>
      </c>
      <c r="R99" s="15">
        <v>0</v>
      </c>
      <c r="S99" s="15">
        <v>0</v>
      </c>
      <c r="T99" s="15"/>
    </row>
    <row r="100" spans="1:20" x14ac:dyDescent="0.25">
      <c r="A100" s="15" t="s">
        <v>174</v>
      </c>
      <c r="B100" s="15" t="s">
        <v>561</v>
      </c>
      <c r="C100" s="15" t="s">
        <v>591</v>
      </c>
      <c r="D100" s="15" t="s">
        <v>337</v>
      </c>
      <c r="E100" s="15" t="s">
        <v>337</v>
      </c>
      <c r="F100" s="15" t="s">
        <v>338</v>
      </c>
      <c r="G100" s="15"/>
      <c r="H100" s="15"/>
      <c r="I100" s="15"/>
      <c r="J100" s="15"/>
      <c r="K100" s="15"/>
      <c r="L100" s="15">
        <v>740866.42488330521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/>
    </row>
    <row r="101" spans="1:20" x14ac:dyDescent="0.25">
      <c r="A101" s="15" t="s">
        <v>50</v>
      </c>
      <c r="B101" s="15" t="s">
        <v>561</v>
      </c>
      <c r="C101" s="15" t="s">
        <v>591</v>
      </c>
      <c r="D101" s="15" t="s">
        <v>337</v>
      </c>
      <c r="E101" s="15" t="s">
        <v>337</v>
      </c>
      <c r="F101" s="15" t="s">
        <v>338</v>
      </c>
      <c r="G101" s="15"/>
      <c r="H101" s="15"/>
      <c r="I101" s="15"/>
      <c r="J101" s="15"/>
      <c r="K101" s="15"/>
      <c r="L101" s="15">
        <v>2222599.2746499158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/>
    </row>
    <row r="102" spans="1:20" x14ac:dyDescent="0.25">
      <c r="A102" s="15" t="s">
        <v>166</v>
      </c>
      <c r="B102" s="15" t="s">
        <v>561</v>
      </c>
      <c r="C102" s="15" t="s">
        <v>591</v>
      </c>
      <c r="D102" s="15" t="s">
        <v>337</v>
      </c>
      <c r="E102" s="15" t="s">
        <v>337</v>
      </c>
      <c r="F102" s="15" t="s">
        <v>338</v>
      </c>
      <c r="G102" s="15"/>
      <c r="H102" s="15"/>
      <c r="I102" s="15"/>
      <c r="J102" s="15"/>
      <c r="K102" s="15"/>
      <c r="L102" s="15">
        <v>1481732.8497666104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/>
    </row>
    <row r="103" spans="1:20" x14ac:dyDescent="0.25">
      <c r="A103" s="15" t="s">
        <v>341</v>
      </c>
      <c r="B103" s="15" t="s">
        <v>561</v>
      </c>
      <c r="C103" s="15" t="s">
        <v>591</v>
      </c>
      <c r="D103" s="15" t="s">
        <v>337</v>
      </c>
      <c r="E103" s="15" t="s">
        <v>337</v>
      </c>
      <c r="F103" s="15" t="s">
        <v>338</v>
      </c>
      <c r="G103" s="15"/>
      <c r="H103" s="15"/>
      <c r="I103" s="15"/>
      <c r="J103" s="15"/>
      <c r="K103" s="15"/>
      <c r="L103" s="15">
        <v>1481732.8497666104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/>
    </row>
    <row r="104" spans="1:20" x14ac:dyDescent="0.25">
      <c r="A104" s="15" t="s">
        <v>22</v>
      </c>
      <c r="B104" s="15" t="s">
        <v>561</v>
      </c>
      <c r="C104" s="15" t="s">
        <v>591</v>
      </c>
      <c r="D104" s="15" t="s">
        <v>337</v>
      </c>
      <c r="E104" s="15" t="s">
        <v>337</v>
      </c>
      <c r="F104" s="15" t="s">
        <v>338</v>
      </c>
      <c r="G104" s="15"/>
      <c r="H104" s="15"/>
      <c r="I104" s="15"/>
      <c r="J104" s="15"/>
      <c r="K104" s="15" t="s">
        <v>342</v>
      </c>
      <c r="L104" s="15">
        <v>4445198.5492998315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/>
    </row>
    <row r="105" spans="1:20" x14ac:dyDescent="0.25">
      <c r="A105" s="15" t="s">
        <v>155</v>
      </c>
      <c r="B105" s="15" t="s">
        <v>561</v>
      </c>
      <c r="C105" s="15" t="s">
        <v>591</v>
      </c>
      <c r="D105" s="15" t="s">
        <v>337</v>
      </c>
      <c r="E105" s="15" t="s">
        <v>337</v>
      </c>
      <c r="F105" s="15" t="s">
        <v>338</v>
      </c>
      <c r="G105" s="15"/>
      <c r="H105" s="15"/>
      <c r="I105" s="15"/>
      <c r="J105" s="15"/>
      <c r="K105" s="15" t="s">
        <v>342</v>
      </c>
      <c r="L105" s="15">
        <v>5926931.3990664417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/>
    </row>
    <row r="106" spans="1:20" x14ac:dyDescent="0.25">
      <c r="A106" s="15" t="s">
        <v>48</v>
      </c>
      <c r="B106" s="15" t="s">
        <v>561</v>
      </c>
      <c r="C106" s="15" t="s">
        <v>591</v>
      </c>
      <c r="D106" s="15" t="s">
        <v>337</v>
      </c>
      <c r="E106" s="15" t="s">
        <v>337</v>
      </c>
      <c r="F106" s="15" t="s">
        <v>338</v>
      </c>
      <c r="G106" s="15"/>
      <c r="H106" s="15"/>
      <c r="I106" s="15"/>
      <c r="J106" s="15"/>
      <c r="K106" s="15"/>
      <c r="L106" s="15">
        <v>740866.42488330521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/>
    </row>
    <row r="107" spans="1:20" x14ac:dyDescent="0.25">
      <c r="A107" s="15" t="s">
        <v>148</v>
      </c>
      <c r="B107" s="15" t="s">
        <v>561</v>
      </c>
      <c r="C107" s="15" t="s">
        <v>591</v>
      </c>
      <c r="D107" s="15" t="s">
        <v>337</v>
      </c>
      <c r="E107" s="15" t="s">
        <v>337</v>
      </c>
      <c r="F107" s="15" t="s">
        <v>338</v>
      </c>
      <c r="G107" s="15"/>
      <c r="H107" s="15"/>
      <c r="I107" s="15"/>
      <c r="J107" s="15"/>
      <c r="K107" s="15" t="s">
        <v>342</v>
      </c>
      <c r="L107" s="15">
        <v>8890397.098599663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/>
    </row>
    <row r="108" spans="1:20" x14ac:dyDescent="0.25">
      <c r="A108" s="15" t="s">
        <v>56</v>
      </c>
      <c r="B108" s="15" t="s">
        <v>561</v>
      </c>
      <c r="C108" s="15" t="s">
        <v>591</v>
      </c>
      <c r="D108" s="15" t="s">
        <v>337</v>
      </c>
      <c r="E108" s="15" t="s">
        <v>337</v>
      </c>
      <c r="F108" s="15" t="s">
        <v>338</v>
      </c>
      <c r="G108" s="15"/>
      <c r="H108" s="15"/>
      <c r="I108" s="15"/>
      <c r="J108" s="15"/>
      <c r="K108" s="15" t="s">
        <v>342</v>
      </c>
      <c r="L108" s="15">
        <v>2963465.6995332208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/>
    </row>
    <row r="109" spans="1:20" x14ac:dyDescent="0.25">
      <c r="A109" s="15" t="s">
        <v>20</v>
      </c>
      <c r="B109" s="15" t="s">
        <v>561</v>
      </c>
      <c r="C109" s="15" t="s">
        <v>591</v>
      </c>
      <c r="D109" s="15" t="s">
        <v>337</v>
      </c>
      <c r="E109" s="15" t="s">
        <v>337</v>
      </c>
      <c r="F109" s="15" t="s">
        <v>338</v>
      </c>
      <c r="G109" s="15"/>
      <c r="H109" s="15"/>
      <c r="I109" s="15"/>
      <c r="J109" s="15"/>
      <c r="K109" s="15" t="s">
        <v>343</v>
      </c>
      <c r="L109" s="15">
        <v>5186064.9741831366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/>
    </row>
    <row r="110" spans="1:20" x14ac:dyDescent="0.25">
      <c r="A110" s="15" t="s">
        <v>344</v>
      </c>
      <c r="B110" s="15" t="s">
        <v>561</v>
      </c>
      <c r="C110" s="15" t="s">
        <v>591</v>
      </c>
      <c r="D110" s="15" t="s">
        <v>337</v>
      </c>
      <c r="E110" s="15" t="s">
        <v>337</v>
      </c>
      <c r="F110" s="15" t="s">
        <v>338</v>
      </c>
      <c r="G110" s="15"/>
      <c r="H110" s="15"/>
      <c r="I110" s="15"/>
      <c r="J110" s="15"/>
      <c r="K110" s="15"/>
      <c r="L110" s="15">
        <v>1481732.8497666104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/>
    </row>
    <row r="111" spans="1:20" x14ac:dyDescent="0.25">
      <c r="A111" s="15" t="s">
        <v>54</v>
      </c>
      <c r="B111" s="15" t="s">
        <v>561</v>
      </c>
      <c r="C111" s="15" t="s">
        <v>591</v>
      </c>
      <c r="D111" s="15" t="s">
        <v>337</v>
      </c>
      <c r="E111" s="15" t="s">
        <v>337</v>
      </c>
      <c r="F111" s="15" t="s">
        <v>338</v>
      </c>
      <c r="G111" s="15"/>
      <c r="H111" s="15"/>
      <c r="I111" s="15"/>
      <c r="J111" s="15"/>
      <c r="K111" s="15" t="s">
        <v>342</v>
      </c>
      <c r="L111" s="15">
        <v>2222599.2746499158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/>
    </row>
    <row r="112" spans="1:20" x14ac:dyDescent="0.25">
      <c r="A112" s="15" t="s">
        <v>173</v>
      </c>
      <c r="B112" s="15" t="s">
        <v>561</v>
      </c>
      <c r="C112" s="15" t="s">
        <v>591</v>
      </c>
      <c r="D112" s="15" t="s">
        <v>337</v>
      </c>
      <c r="E112" s="15" t="s">
        <v>337</v>
      </c>
      <c r="F112" s="15" t="s">
        <v>338</v>
      </c>
      <c r="G112" s="15"/>
      <c r="H112" s="15"/>
      <c r="I112" s="15"/>
      <c r="J112" s="15"/>
      <c r="K112" s="15"/>
      <c r="L112" s="15">
        <v>6667797.8239497459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/>
    </row>
    <row r="113" spans="1:20" x14ac:dyDescent="0.25">
      <c r="A113" s="15" t="s">
        <v>146</v>
      </c>
      <c r="B113" s="15" t="s">
        <v>561</v>
      </c>
      <c r="C113" s="15" t="s">
        <v>591</v>
      </c>
      <c r="D113" s="15" t="s">
        <v>337</v>
      </c>
      <c r="E113" s="15" t="s">
        <v>337</v>
      </c>
      <c r="F113" s="15" t="s">
        <v>338</v>
      </c>
      <c r="G113" s="15"/>
      <c r="H113" s="15"/>
      <c r="I113" s="15"/>
      <c r="J113" s="15"/>
      <c r="K113" s="15" t="s">
        <v>342</v>
      </c>
      <c r="L113" s="15">
        <v>2222599.2746499158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/>
    </row>
    <row r="114" spans="1:20" x14ac:dyDescent="0.25">
      <c r="A114" s="15" t="s">
        <v>345</v>
      </c>
      <c r="B114" s="15" t="s">
        <v>561</v>
      </c>
      <c r="C114" s="15" t="s">
        <v>591</v>
      </c>
      <c r="D114" s="15" t="s">
        <v>337</v>
      </c>
      <c r="E114" s="15" t="s">
        <v>337</v>
      </c>
      <c r="F114" s="15" t="s">
        <v>338</v>
      </c>
      <c r="G114" s="15"/>
      <c r="H114" s="15"/>
      <c r="I114" s="15"/>
      <c r="J114" s="15"/>
      <c r="K114" s="15"/>
      <c r="L114" s="15">
        <v>2963465.6995332208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/>
    </row>
    <row r="115" spans="1:20" x14ac:dyDescent="0.25">
      <c r="A115" s="15" t="s">
        <v>150</v>
      </c>
      <c r="B115" s="15" t="s">
        <v>561</v>
      </c>
      <c r="C115" s="15" t="s">
        <v>591</v>
      </c>
      <c r="D115" s="15" t="s">
        <v>337</v>
      </c>
      <c r="E115" s="15" t="s">
        <v>337</v>
      </c>
      <c r="F115" s="15" t="s">
        <v>338</v>
      </c>
      <c r="G115" s="15"/>
      <c r="H115" s="15"/>
      <c r="I115" s="15"/>
      <c r="J115" s="15"/>
      <c r="K115" s="15" t="s">
        <v>342</v>
      </c>
      <c r="L115" s="15">
        <v>4445198.5492998315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/>
    </row>
    <row r="116" spans="1:20" x14ac:dyDescent="0.25">
      <c r="A116" s="15" t="s">
        <v>7</v>
      </c>
      <c r="B116" s="15" t="s">
        <v>561</v>
      </c>
      <c r="C116" s="15" t="s">
        <v>591</v>
      </c>
      <c r="D116" s="15" t="s">
        <v>337</v>
      </c>
      <c r="E116" s="15" t="s">
        <v>337</v>
      </c>
      <c r="F116" s="15" t="s">
        <v>338</v>
      </c>
      <c r="G116" s="15"/>
      <c r="H116" s="15"/>
      <c r="I116" s="15"/>
      <c r="J116" s="15">
        <v>1</v>
      </c>
      <c r="K116" s="15" t="s">
        <v>343</v>
      </c>
      <c r="L116" s="15">
        <v>160027147.77479389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202930000</v>
      </c>
      <c r="S116" s="15">
        <v>0</v>
      </c>
      <c r="T116" s="15"/>
    </row>
    <row r="117" spans="1:20" x14ac:dyDescent="0.25">
      <c r="A117" s="15" t="s">
        <v>333</v>
      </c>
      <c r="B117" s="15" t="s">
        <v>561</v>
      </c>
      <c r="C117" s="15" t="s">
        <v>591</v>
      </c>
      <c r="D117" s="15" t="s">
        <v>337</v>
      </c>
      <c r="E117" s="15" t="s">
        <v>337</v>
      </c>
      <c r="F117" s="15" t="s">
        <v>338</v>
      </c>
      <c r="G117" s="15"/>
      <c r="H117" s="15"/>
      <c r="I117" s="15"/>
      <c r="J117" s="15"/>
      <c r="K117" s="15" t="s">
        <v>343</v>
      </c>
      <c r="L117" s="15">
        <v>98535234.509479582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158080000</v>
      </c>
      <c r="S117" s="15">
        <v>0</v>
      </c>
      <c r="T117" s="15"/>
    </row>
    <row r="118" spans="1:20" x14ac:dyDescent="0.25">
      <c r="A118" s="15" t="s">
        <v>35</v>
      </c>
      <c r="B118" s="15" t="s">
        <v>561</v>
      </c>
      <c r="C118" s="15" t="s">
        <v>591</v>
      </c>
      <c r="D118" s="15" t="s">
        <v>337</v>
      </c>
      <c r="E118" s="15" t="s">
        <v>337</v>
      </c>
      <c r="F118" s="15" t="s">
        <v>338</v>
      </c>
      <c r="G118" s="15"/>
      <c r="H118" s="15"/>
      <c r="I118" s="15"/>
      <c r="J118" s="15"/>
      <c r="K118" s="15"/>
      <c r="L118" s="15">
        <v>1481732.8497666104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/>
    </row>
    <row r="119" spans="1:20" x14ac:dyDescent="0.25">
      <c r="A119" s="15" t="s">
        <v>21</v>
      </c>
      <c r="B119" s="15" t="s">
        <v>561</v>
      </c>
      <c r="C119" s="15" t="s">
        <v>591</v>
      </c>
      <c r="D119" s="15" t="s">
        <v>337</v>
      </c>
      <c r="E119" s="15" t="s">
        <v>337</v>
      </c>
      <c r="F119" s="15" t="s">
        <v>338</v>
      </c>
      <c r="G119" s="15"/>
      <c r="H119" s="15"/>
      <c r="I119" s="15"/>
      <c r="J119" s="15"/>
      <c r="K119" s="15" t="s">
        <v>342</v>
      </c>
      <c r="L119" s="15">
        <v>7408664.2488330519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/>
    </row>
    <row r="120" spans="1:20" x14ac:dyDescent="0.25">
      <c r="A120" s="15" t="s">
        <v>123</v>
      </c>
      <c r="B120" s="15" t="s">
        <v>561</v>
      </c>
      <c r="C120" s="15" t="s">
        <v>591</v>
      </c>
      <c r="D120" s="15" t="s">
        <v>337</v>
      </c>
      <c r="E120" s="15" t="s">
        <v>337</v>
      </c>
      <c r="F120" s="15" t="s">
        <v>338</v>
      </c>
      <c r="G120" s="15"/>
      <c r="H120" s="15"/>
      <c r="I120" s="15"/>
      <c r="J120" s="15"/>
      <c r="K120" s="15"/>
      <c r="L120" s="15">
        <v>2222599.2746499158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/>
    </row>
    <row r="121" spans="1:20" x14ac:dyDescent="0.25">
      <c r="A121" s="15" t="s">
        <v>145</v>
      </c>
      <c r="B121" s="15" t="s">
        <v>561</v>
      </c>
      <c r="C121" s="15" t="s">
        <v>591</v>
      </c>
      <c r="D121" s="15" t="s">
        <v>337</v>
      </c>
      <c r="E121" s="15" t="s">
        <v>337</v>
      </c>
      <c r="F121" s="15" t="s">
        <v>338</v>
      </c>
      <c r="G121" s="15"/>
      <c r="H121" s="15"/>
      <c r="I121" s="15"/>
      <c r="J121" s="15"/>
      <c r="K121" s="15" t="s">
        <v>342</v>
      </c>
      <c r="L121" s="15">
        <v>740866.42488330521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/>
    </row>
    <row r="122" spans="1:20" x14ac:dyDescent="0.25">
      <c r="A122" s="15" t="s">
        <v>102</v>
      </c>
      <c r="B122" s="15" t="s">
        <v>561</v>
      </c>
      <c r="C122" s="15" t="s">
        <v>591</v>
      </c>
      <c r="D122" s="15" t="s">
        <v>337</v>
      </c>
      <c r="E122" s="15" t="s">
        <v>337</v>
      </c>
      <c r="F122" s="15" t="s">
        <v>338</v>
      </c>
      <c r="G122" s="15"/>
      <c r="H122" s="15"/>
      <c r="I122" s="15"/>
      <c r="J122" s="15"/>
      <c r="K122" s="15"/>
      <c r="L122" s="15">
        <v>1481732.8497666104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/>
    </row>
    <row r="123" spans="1:20" x14ac:dyDescent="0.25">
      <c r="A123" s="15" t="s">
        <v>38</v>
      </c>
      <c r="B123" s="15" t="s">
        <v>561</v>
      </c>
      <c r="C123" s="15" t="s">
        <v>591</v>
      </c>
      <c r="D123" s="15" t="s">
        <v>337</v>
      </c>
      <c r="E123" s="15" t="s">
        <v>337</v>
      </c>
      <c r="F123" s="15" t="s">
        <v>338</v>
      </c>
      <c r="G123" s="15"/>
      <c r="H123" s="15"/>
      <c r="I123" s="15"/>
      <c r="J123" s="15"/>
      <c r="K123" s="15"/>
      <c r="L123" s="15">
        <v>740866.42488330521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/>
    </row>
    <row r="124" spans="1:20" x14ac:dyDescent="0.25">
      <c r="A124" s="15" t="s">
        <v>156</v>
      </c>
      <c r="B124" s="15" t="s">
        <v>561</v>
      </c>
      <c r="C124" s="15" t="s">
        <v>591</v>
      </c>
      <c r="D124" s="15" t="s">
        <v>337</v>
      </c>
      <c r="E124" s="15" t="s">
        <v>337</v>
      </c>
      <c r="F124" s="15" t="s">
        <v>338</v>
      </c>
      <c r="G124" s="15"/>
      <c r="H124" s="15"/>
      <c r="I124" s="15"/>
      <c r="J124" s="15"/>
      <c r="K124" s="15"/>
      <c r="L124" s="15">
        <v>2963465.6995332208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/>
    </row>
    <row r="125" spans="1:20" x14ac:dyDescent="0.25">
      <c r="A125" s="15" t="s">
        <v>18</v>
      </c>
      <c r="B125" s="15" t="s">
        <v>561</v>
      </c>
      <c r="C125" s="15" t="s">
        <v>591</v>
      </c>
      <c r="D125" s="15" t="s">
        <v>337</v>
      </c>
      <c r="E125" s="15" t="s">
        <v>337</v>
      </c>
      <c r="F125" s="15" t="s">
        <v>338</v>
      </c>
      <c r="G125" s="15"/>
      <c r="H125" s="15"/>
      <c r="I125" s="15"/>
      <c r="J125" s="15"/>
      <c r="K125" s="15" t="s">
        <v>343</v>
      </c>
      <c r="L125" s="15">
        <v>2963465.6995332208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/>
    </row>
    <row r="126" spans="1:20" x14ac:dyDescent="0.25">
      <c r="A126" s="15" t="s">
        <v>105</v>
      </c>
      <c r="B126" s="15" t="s">
        <v>561</v>
      </c>
      <c r="C126" s="15" t="s">
        <v>591</v>
      </c>
      <c r="D126" s="15" t="s">
        <v>337</v>
      </c>
      <c r="E126" s="15" t="s">
        <v>337</v>
      </c>
      <c r="F126" s="15" t="s">
        <v>338</v>
      </c>
      <c r="G126" s="15"/>
      <c r="H126" s="15"/>
      <c r="I126" s="15"/>
      <c r="J126" s="15"/>
      <c r="K126" s="15"/>
      <c r="L126" s="15">
        <v>3704332.1244165259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/>
    </row>
    <row r="127" spans="1:20" x14ac:dyDescent="0.25">
      <c r="A127" s="15" t="s">
        <v>346</v>
      </c>
      <c r="B127" s="15" t="s">
        <v>561</v>
      </c>
      <c r="C127" s="15" t="s">
        <v>591</v>
      </c>
      <c r="D127" s="15" t="s">
        <v>337</v>
      </c>
      <c r="E127" s="15" t="s">
        <v>337</v>
      </c>
      <c r="F127" s="15" t="s">
        <v>338</v>
      </c>
      <c r="G127" s="15"/>
      <c r="H127" s="15"/>
      <c r="I127" s="15"/>
      <c r="J127" s="15"/>
      <c r="K127" s="15" t="s">
        <v>342</v>
      </c>
      <c r="L127" s="15">
        <v>34820721.969515346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/>
    </row>
    <row r="128" spans="1:20" x14ac:dyDescent="0.25">
      <c r="A128" s="15" t="s">
        <v>154</v>
      </c>
      <c r="B128" s="15" t="s">
        <v>561</v>
      </c>
      <c r="C128" s="15" t="s">
        <v>591</v>
      </c>
      <c r="D128" s="15" t="s">
        <v>337</v>
      </c>
      <c r="E128" s="15" t="s">
        <v>337</v>
      </c>
      <c r="F128" s="15" t="s">
        <v>338</v>
      </c>
      <c r="G128" s="15"/>
      <c r="H128" s="15"/>
      <c r="I128" s="15"/>
      <c r="J128" s="15"/>
      <c r="K128" s="15"/>
      <c r="L128" s="15">
        <v>2222599.2746499158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/>
    </row>
    <row r="129" spans="1:20" x14ac:dyDescent="0.25">
      <c r="A129" s="15" t="s">
        <v>118</v>
      </c>
      <c r="B129" s="15" t="s">
        <v>561</v>
      </c>
      <c r="C129" s="15" t="s">
        <v>591</v>
      </c>
      <c r="D129" s="15" t="s">
        <v>337</v>
      </c>
      <c r="E129" s="15" t="s">
        <v>337</v>
      </c>
      <c r="F129" s="15" t="s">
        <v>338</v>
      </c>
      <c r="G129" s="15"/>
      <c r="H129" s="15"/>
      <c r="I129" s="15"/>
      <c r="J129" s="15"/>
      <c r="K129" s="15" t="s">
        <v>343</v>
      </c>
      <c r="L129" s="15">
        <v>6667797.8239497459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/>
    </row>
    <row r="130" spans="1:20" x14ac:dyDescent="0.25">
      <c r="A130" s="15" t="s">
        <v>151</v>
      </c>
      <c r="B130" s="15" t="s">
        <v>561</v>
      </c>
      <c r="C130" s="15" t="s">
        <v>591</v>
      </c>
      <c r="D130" s="15" t="s">
        <v>337</v>
      </c>
      <c r="E130" s="15" t="s">
        <v>337</v>
      </c>
      <c r="F130" s="15" t="s">
        <v>338</v>
      </c>
      <c r="G130" s="15"/>
      <c r="H130" s="15"/>
      <c r="I130" s="15"/>
      <c r="J130" s="15"/>
      <c r="K130" s="15"/>
      <c r="L130" s="15">
        <v>740866.42488330521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/>
    </row>
    <row r="131" spans="1:20" x14ac:dyDescent="0.25">
      <c r="A131" s="15" t="s">
        <v>93</v>
      </c>
      <c r="B131" s="15" t="s">
        <v>561</v>
      </c>
      <c r="C131" s="15" t="s">
        <v>591</v>
      </c>
      <c r="D131" s="15" t="s">
        <v>337</v>
      </c>
      <c r="E131" s="15" t="s">
        <v>337</v>
      </c>
      <c r="F131" s="15" t="s">
        <v>338</v>
      </c>
      <c r="G131" s="15"/>
      <c r="H131" s="15"/>
      <c r="I131" s="15"/>
      <c r="J131" s="15"/>
      <c r="K131" s="15" t="s">
        <v>343</v>
      </c>
      <c r="L131" s="15">
        <v>5186064.9741831366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/>
    </row>
    <row r="132" spans="1:20" x14ac:dyDescent="0.25">
      <c r="A132" s="15" t="s">
        <v>55</v>
      </c>
      <c r="B132" s="15" t="s">
        <v>561</v>
      </c>
      <c r="C132" s="15" t="s">
        <v>591</v>
      </c>
      <c r="D132" s="15" t="s">
        <v>337</v>
      </c>
      <c r="E132" s="15" t="s">
        <v>337</v>
      </c>
      <c r="F132" s="15" t="s">
        <v>338</v>
      </c>
      <c r="G132" s="15"/>
      <c r="H132" s="15"/>
      <c r="I132" s="15"/>
      <c r="J132" s="15"/>
      <c r="K132" s="15" t="s">
        <v>342</v>
      </c>
      <c r="L132" s="15">
        <v>2222599.2746499158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/>
    </row>
    <row r="133" spans="1:20" x14ac:dyDescent="0.25">
      <c r="A133" s="15" t="s">
        <v>17</v>
      </c>
      <c r="B133" s="15" t="s">
        <v>561</v>
      </c>
      <c r="C133" s="15" t="s">
        <v>591</v>
      </c>
      <c r="D133" s="15" t="s">
        <v>337</v>
      </c>
      <c r="E133" s="15" t="s">
        <v>337</v>
      </c>
      <c r="F133" s="15" t="s">
        <v>338</v>
      </c>
      <c r="G133" s="15"/>
      <c r="H133" s="15"/>
      <c r="I133" s="15"/>
      <c r="J133" s="15"/>
      <c r="K133" s="15" t="s">
        <v>343</v>
      </c>
      <c r="L133" s="15">
        <v>8149530.673716356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/>
    </row>
    <row r="134" spans="1:20" x14ac:dyDescent="0.25">
      <c r="A134" s="15" t="s">
        <v>120</v>
      </c>
      <c r="B134" s="15" t="s">
        <v>561</v>
      </c>
      <c r="C134" s="15" t="s">
        <v>591</v>
      </c>
      <c r="D134" s="15" t="s">
        <v>337</v>
      </c>
      <c r="E134" s="15" t="s">
        <v>337</v>
      </c>
      <c r="F134" s="15" t="s">
        <v>338</v>
      </c>
      <c r="G134" s="15"/>
      <c r="H134" s="15"/>
      <c r="I134" s="15"/>
      <c r="J134" s="15"/>
      <c r="K134" s="15" t="s">
        <v>343</v>
      </c>
      <c r="L134" s="15">
        <v>3704332.1244165259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/>
    </row>
    <row r="135" spans="1:20" x14ac:dyDescent="0.25">
      <c r="A135" s="15" t="s">
        <v>107</v>
      </c>
      <c r="B135" s="15" t="s">
        <v>561</v>
      </c>
      <c r="C135" s="15" t="s">
        <v>591</v>
      </c>
      <c r="D135" s="15" t="s">
        <v>337</v>
      </c>
      <c r="E135" s="15" t="s">
        <v>337</v>
      </c>
      <c r="F135" s="15" t="s">
        <v>338</v>
      </c>
      <c r="G135" s="15"/>
      <c r="H135" s="15"/>
      <c r="I135" s="15"/>
      <c r="J135" s="15"/>
      <c r="K135" s="15"/>
      <c r="L135" s="15">
        <v>740866.42488330521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/>
    </row>
    <row r="136" spans="1:20" ht="30" x14ac:dyDescent="0.25">
      <c r="A136" s="15" t="s">
        <v>347</v>
      </c>
      <c r="B136" s="15" t="s">
        <v>561</v>
      </c>
      <c r="C136" s="15" t="s">
        <v>591</v>
      </c>
      <c r="D136" s="15" t="s">
        <v>337</v>
      </c>
      <c r="E136" s="15" t="s">
        <v>337</v>
      </c>
      <c r="F136" s="15" t="s">
        <v>338</v>
      </c>
      <c r="G136" s="15"/>
      <c r="H136" s="15"/>
      <c r="I136" s="15"/>
      <c r="J136" s="15"/>
      <c r="K136" s="15"/>
      <c r="L136" s="15">
        <v>3704332.1244165259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/>
    </row>
    <row r="137" spans="1:20" x14ac:dyDescent="0.25">
      <c r="A137" s="15" t="s">
        <v>103</v>
      </c>
      <c r="B137" s="15" t="s">
        <v>561</v>
      </c>
      <c r="C137" s="15" t="s">
        <v>591</v>
      </c>
      <c r="D137" s="15" t="s">
        <v>337</v>
      </c>
      <c r="E137" s="15" t="s">
        <v>337</v>
      </c>
      <c r="F137" s="15" t="s">
        <v>338</v>
      </c>
      <c r="G137" s="15"/>
      <c r="H137" s="15"/>
      <c r="I137" s="15"/>
      <c r="J137" s="15"/>
      <c r="K137" s="15"/>
      <c r="L137" s="15">
        <v>2963465.6995332208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/>
    </row>
    <row r="138" spans="1:20" x14ac:dyDescent="0.25">
      <c r="A138" s="15" t="s">
        <v>51</v>
      </c>
      <c r="B138" s="15" t="s">
        <v>561</v>
      </c>
      <c r="C138" s="15" t="s">
        <v>591</v>
      </c>
      <c r="D138" s="15" t="s">
        <v>337</v>
      </c>
      <c r="E138" s="15" t="s">
        <v>337</v>
      </c>
      <c r="F138" s="15" t="s">
        <v>338</v>
      </c>
      <c r="G138" s="15"/>
      <c r="H138" s="15"/>
      <c r="I138" s="15"/>
      <c r="J138" s="15"/>
      <c r="K138" s="15" t="s">
        <v>342</v>
      </c>
      <c r="L138" s="15">
        <v>5186064.9741831366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/>
    </row>
    <row r="139" spans="1:20" x14ac:dyDescent="0.25">
      <c r="A139" s="15" t="s">
        <v>21</v>
      </c>
      <c r="B139" s="15" t="s">
        <v>561</v>
      </c>
      <c r="C139" s="15" t="s">
        <v>591</v>
      </c>
      <c r="D139" s="15" t="s">
        <v>337</v>
      </c>
      <c r="E139" s="15" t="s">
        <v>337</v>
      </c>
      <c r="F139" s="15" t="s">
        <v>348</v>
      </c>
      <c r="G139" s="15"/>
      <c r="H139" s="15" t="s">
        <v>320</v>
      </c>
      <c r="I139" s="15"/>
      <c r="J139" s="15">
        <v>2</v>
      </c>
      <c r="K139" s="15"/>
      <c r="L139" s="15">
        <v>4133704.7500000019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/>
    </row>
    <row r="140" spans="1:20" x14ac:dyDescent="0.25">
      <c r="A140" s="15" t="s">
        <v>22</v>
      </c>
      <c r="B140" s="15" t="s">
        <v>561</v>
      </c>
      <c r="C140" s="15" t="s">
        <v>591</v>
      </c>
      <c r="D140" s="15" t="s">
        <v>337</v>
      </c>
      <c r="E140" s="15" t="s">
        <v>337</v>
      </c>
      <c r="F140" s="15" t="s">
        <v>348</v>
      </c>
      <c r="G140" s="15"/>
      <c r="H140" s="15" t="s">
        <v>320</v>
      </c>
      <c r="I140" s="15"/>
      <c r="J140" s="15"/>
      <c r="K140" s="15"/>
      <c r="L140" s="15">
        <v>106329968.9599999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/>
    </row>
    <row r="141" spans="1:20" x14ac:dyDescent="0.25">
      <c r="A141" s="15" t="s">
        <v>56</v>
      </c>
      <c r="B141" s="15" t="s">
        <v>561</v>
      </c>
      <c r="C141" s="15" t="s">
        <v>591</v>
      </c>
      <c r="D141" s="15" t="s">
        <v>337</v>
      </c>
      <c r="E141" s="15" t="s">
        <v>337</v>
      </c>
      <c r="F141" s="15" t="s">
        <v>348</v>
      </c>
      <c r="G141" s="15"/>
      <c r="H141" s="15" t="s">
        <v>320</v>
      </c>
      <c r="I141" s="15"/>
      <c r="J141" s="15"/>
      <c r="K141" s="15"/>
      <c r="L141" s="15">
        <v>33638771.900000058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/>
    </row>
    <row r="142" spans="1:20" x14ac:dyDescent="0.25">
      <c r="A142" s="15" t="s">
        <v>25</v>
      </c>
      <c r="B142" s="15" t="s">
        <v>561</v>
      </c>
      <c r="C142" s="15" t="s">
        <v>591</v>
      </c>
      <c r="D142" s="15" t="s">
        <v>337</v>
      </c>
      <c r="E142" s="15" t="s">
        <v>337</v>
      </c>
      <c r="F142" s="15" t="s">
        <v>348</v>
      </c>
      <c r="G142" s="15"/>
      <c r="H142" s="15" t="s">
        <v>320</v>
      </c>
      <c r="I142" s="15"/>
      <c r="J142" s="15"/>
      <c r="K142" s="15"/>
      <c r="L142" s="15">
        <v>17735235.059999984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/>
    </row>
    <row r="143" spans="1:20" x14ac:dyDescent="0.25">
      <c r="A143" s="15" t="s">
        <v>54</v>
      </c>
      <c r="B143" s="15" t="s">
        <v>561</v>
      </c>
      <c r="C143" s="15" t="s">
        <v>591</v>
      </c>
      <c r="D143" s="15" t="s">
        <v>337</v>
      </c>
      <c r="E143" s="15" t="s">
        <v>337</v>
      </c>
      <c r="F143" s="15" t="s">
        <v>348</v>
      </c>
      <c r="G143" s="15"/>
      <c r="H143" s="15" t="s">
        <v>320</v>
      </c>
      <c r="I143" s="15"/>
      <c r="J143" s="15"/>
      <c r="K143" s="15"/>
      <c r="L143" s="15">
        <v>37869.070000000007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/>
    </row>
    <row r="144" spans="1:20" x14ac:dyDescent="0.25">
      <c r="A144" s="15" t="s">
        <v>350</v>
      </c>
      <c r="B144" s="15" t="s">
        <v>561</v>
      </c>
      <c r="C144" s="15" t="s">
        <v>591</v>
      </c>
      <c r="D144" s="15" t="s">
        <v>337</v>
      </c>
      <c r="E144" s="15" t="s">
        <v>337</v>
      </c>
      <c r="F144" s="15" t="s">
        <v>348</v>
      </c>
      <c r="G144" s="15"/>
      <c r="H144" s="15" t="s">
        <v>320</v>
      </c>
      <c r="I144" s="15"/>
      <c r="J144" s="15"/>
      <c r="K144" s="15"/>
      <c r="L144" s="15">
        <v>38645289.219999984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/>
    </row>
    <row r="145" spans="1:20" x14ac:dyDescent="0.25">
      <c r="A145" s="15" t="s">
        <v>27</v>
      </c>
      <c r="B145" s="15" t="s">
        <v>561</v>
      </c>
      <c r="C145" s="15" t="s">
        <v>591</v>
      </c>
      <c r="D145" s="15" t="s">
        <v>337</v>
      </c>
      <c r="E145" s="15" t="s">
        <v>337</v>
      </c>
      <c r="F145" s="15" t="s">
        <v>348</v>
      </c>
      <c r="G145" s="15"/>
      <c r="H145" s="15" t="s">
        <v>320</v>
      </c>
      <c r="I145" s="15"/>
      <c r="J145" s="15"/>
      <c r="K145" s="15"/>
      <c r="L145" s="15">
        <v>47237007.010000035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/>
    </row>
    <row r="146" spans="1:20" x14ac:dyDescent="0.25">
      <c r="A146" s="15" t="s">
        <v>21</v>
      </c>
      <c r="B146" s="15" t="s">
        <v>561</v>
      </c>
      <c r="C146" s="15" t="s">
        <v>591</v>
      </c>
      <c r="D146" s="15" t="s">
        <v>337</v>
      </c>
      <c r="E146" s="15" t="s">
        <v>337</v>
      </c>
      <c r="F146" s="15" t="s">
        <v>348</v>
      </c>
      <c r="G146" s="15"/>
      <c r="H146" s="15" t="s">
        <v>320</v>
      </c>
      <c r="I146" s="15"/>
      <c r="J146" s="15"/>
      <c r="K146" s="15"/>
      <c r="L146" s="15">
        <v>536814012.13001424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/>
    </row>
    <row r="147" spans="1:20" x14ac:dyDescent="0.25">
      <c r="A147" s="15" t="s">
        <v>152</v>
      </c>
      <c r="B147" s="15" t="s">
        <v>561</v>
      </c>
      <c r="C147" s="15" t="s">
        <v>591</v>
      </c>
      <c r="D147" s="15" t="s">
        <v>337</v>
      </c>
      <c r="E147" s="15" t="s">
        <v>337</v>
      </c>
      <c r="F147" s="15" t="s">
        <v>348</v>
      </c>
      <c r="G147" s="15"/>
      <c r="H147" s="15" t="s">
        <v>320</v>
      </c>
      <c r="I147" s="15"/>
      <c r="J147" s="15"/>
      <c r="K147" s="15"/>
      <c r="L147" s="15">
        <v>13739359.569999987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/>
    </row>
    <row r="148" spans="1:20" x14ac:dyDescent="0.25">
      <c r="A148" s="15" t="s">
        <v>18</v>
      </c>
      <c r="B148" s="15" t="s">
        <v>561</v>
      </c>
      <c r="C148" s="15" t="s">
        <v>591</v>
      </c>
      <c r="D148" s="15" t="s">
        <v>337</v>
      </c>
      <c r="E148" s="15" t="s">
        <v>337</v>
      </c>
      <c r="F148" s="15" t="s">
        <v>348</v>
      </c>
      <c r="G148" s="15"/>
      <c r="H148" s="15" t="s">
        <v>320</v>
      </c>
      <c r="I148" s="15"/>
      <c r="J148" s="15"/>
      <c r="K148" s="15"/>
      <c r="L148" s="15">
        <v>8153129.5399999972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/>
    </row>
    <row r="149" spans="1:20" x14ac:dyDescent="0.25">
      <c r="A149" s="15" t="s">
        <v>93</v>
      </c>
      <c r="B149" s="15" t="s">
        <v>561</v>
      </c>
      <c r="C149" s="15" t="s">
        <v>591</v>
      </c>
      <c r="D149" s="15" t="s">
        <v>337</v>
      </c>
      <c r="E149" s="15" t="s">
        <v>337</v>
      </c>
      <c r="F149" s="15" t="s">
        <v>348</v>
      </c>
      <c r="G149" s="15"/>
      <c r="H149" s="15" t="s">
        <v>320</v>
      </c>
      <c r="I149" s="15"/>
      <c r="J149" s="15"/>
      <c r="K149" s="15"/>
      <c r="L149" s="15">
        <v>22475823.93999996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/>
    </row>
    <row r="150" spans="1:20" x14ac:dyDescent="0.25">
      <c r="A150" s="15" t="s">
        <v>336</v>
      </c>
      <c r="B150" s="15" t="s">
        <v>561</v>
      </c>
      <c r="C150" s="15" t="s">
        <v>591</v>
      </c>
      <c r="D150" s="15" t="s">
        <v>337</v>
      </c>
      <c r="E150" s="15" t="s">
        <v>337</v>
      </c>
      <c r="F150" s="15" t="s">
        <v>348</v>
      </c>
      <c r="G150" s="15"/>
      <c r="H150" s="15" t="s">
        <v>320</v>
      </c>
      <c r="I150" s="15"/>
      <c r="J150" s="15"/>
      <c r="K150" s="15"/>
      <c r="L150" s="15">
        <v>27729672.150000017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/>
    </row>
    <row r="151" spans="1:20" x14ac:dyDescent="0.25">
      <c r="A151" s="15" t="s">
        <v>51</v>
      </c>
      <c r="B151" s="15" t="s">
        <v>561</v>
      </c>
      <c r="C151" s="15" t="s">
        <v>591</v>
      </c>
      <c r="D151" s="15" t="s">
        <v>337</v>
      </c>
      <c r="E151" s="15" t="s">
        <v>337</v>
      </c>
      <c r="F151" s="15" t="s">
        <v>348</v>
      </c>
      <c r="G151" s="15"/>
      <c r="H151" s="15" t="s">
        <v>320</v>
      </c>
      <c r="I151" s="15"/>
      <c r="J151" s="15"/>
      <c r="K151" s="15"/>
      <c r="L151" s="15">
        <v>12720317.61999999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/>
    </row>
    <row r="152" spans="1:20" x14ac:dyDescent="0.25">
      <c r="A152" s="15" t="s">
        <v>21</v>
      </c>
      <c r="B152" s="15" t="s">
        <v>561</v>
      </c>
      <c r="C152" s="15" t="s">
        <v>591</v>
      </c>
      <c r="D152" s="15" t="s">
        <v>337</v>
      </c>
      <c r="E152" s="15" t="s">
        <v>337</v>
      </c>
      <c r="F152" s="15" t="s">
        <v>348</v>
      </c>
      <c r="G152" s="15"/>
      <c r="H152" s="15" t="s">
        <v>322</v>
      </c>
      <c r="I152" s="15"/>
      <c r="J152" s="15"/>
      <c r="K152" s="15"/>
      <c r="L152" s="15">
        <v>4173924.4899999993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/>
    </row>
    <row r="153" spans="1:20" x14ac:dyDescent="0.25">
      <c r="A153" s="15" t="s">
        <v>22</v>
      </c>
      <c r="B153" s="15" t="s">
        <v>561</v>
      </c>
      <c r="C153" s="15" t="s">
        <v>591</v>
      </c>
      <c r="D153" s="15" t="s">
        <v>337</v>
      </c>
      <c r="E153" s="15" t="s">
        <v>337</v>
      </c>
      <c r="F153" s="15" t="s">
        <v>348</v>
      </c>
      <c r="G153" s="15"/>
      <c r="H153" s="15" t="s">
        <v>322</v>
      </c>
      <c r="I153" s="15"/>
      <c r="J153" s="15"/>
      <c r="K153" s="15"/>
      <c r="L153" s="15">
        <v>11023567.570000023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/>
    </row>
    <row r="154" spans="1:20" x14ac:dyDescent="0.25">
      <c r="A154" s="15" t="s">
        <v>20</v>
      </c>
      <c r="B154" s="15" t="s">
        <v>561</v>
      </c>
      <c r="C154" s="15" t="s">
        <v>591</v>
      </c>
      <c r="D154" s="15" t="s">
        <v>337</v>
      </c>
      <c r="E154" s="15" t="s">
        <v>337</v>
      </c>
      <c r="F154" s="15" t="s">
        <v>348</v>
      </c>
      <c r="G154" s="15"/>
      <c r="H154" s="15" t="s">
        <v>322</v>
      </c>
      <c r="I154" s="15"/>
      <c r="J154" s="15"/>
      <c r="K154" s="15"/>
      <c r="L154" s="15">
        <v>23926032.889999863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/>
    </row>
    <row r="155" spans="1:20" x14ac:dyDescent="0.25">
      <c r="A155" s="15" t="s">
        <v>345</v>
      </c>
      <c r="B155" s="15" t="s">
        <v>561</v>
      </c>
      <c r="C155" s="15" t="s">
        <v>591</v>
      </c>
      <c r="D155" s="15" t="s">
        <v>337</v>
      </c>
      <c r="E155" s="15" t="s">
        <v>337</v>
      </c>
      <c r="F155" s="15" t="s">
        <v>348</v>
      </c>
      <c r="G155" s="15"/>
      <c r="H155" s="15" t="s">
        <v>322</v>
      </c>
      <c r="I155" s="15"/>
      <c r="J155" s="15"/>
      <c r="K155" s="15"/>
      <c r="L155" s="15">
        <v>123535.67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/>
    </row>
    <row r="156" spans="1:20" x14ac:dyDescent="0.25">
      <c r="A156" s="15" t="s">
        <v>7</v>
      </c>
      <c r="B156" s="15" t="s">
        <v>561</v>
      </c>
      <c r="C156" s="15" t="s">
        <v>591</v>
      </c>
      <c r="D156" s="15" t="s">
        <v>337</v>
      </c>
      <c r="E156" s="15" t="s">
        <v>337</v>
      </c>
      <c r="F156" s="15" t="s">
        <v>348</v>
      </c>
      <c r="G156" s="15"/>
      <c r="H156" s="15" t="s">
        <v>322</v>
      </c>
      <c r="I156" s="15"/>
      <c r="J156" s="15"/>
      <c r="K156" s="15"/>
      <c r="L156" s="15">
        <v>107010419.06999928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/>
    </row>
    <row r="157" spans="1:20" x14ac:dyDescent="0.25">
      <c r="A157" s="15" t="s">
        <v>333</v>
      </c>
      <c r="B157" s="15" t="s">
        <v>561</v>
      </c>
      <c r="C157" s="15" t="s">
        <v>591</v>
      </c>
      <c r="D157" s="15" t="s">
        <v>337</v>
      </c>
      <c r="E157" s="15" t="s">
        <v>337</v>
      </c>
      <c r="F157" s="15" t="s">
        <v>348</v>
      </c>
      <c r="G157" s="15"/>
      <c r="H157" s="15" t="s">
        <v>322</v>
      </c>
      <c r="I157" s="15"/>
      <c r="J157" s="15"/>
      <c r="K157" s="15"/>
      <c r="L157" s="15">
        <v>154799260.07999986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/>
    </row>
    <row r="158" spans="1:20" x14ac:dyDescent="0.25">
      <c r="A158" s="15" t="s">
        <v>346</v>
      </c>
      <c r="B158" s="15" t="s">
        <v>561</v>
      </c>
      <c r="C158" s="15" t="s">
        <v>591</v>
      </c>
      <c r="D158" s="15" t="s">
        <v>337</v>
      </c>
      <c r="E158" s="15" t="s">
        <v>337</v>
      </c>
      <c r="F158" s="15" t="s">
        <v>348</v>
      </c>
      <c r="G158" s="15"/>
      <c r="H158" s="15" t="s">
        <v>322</v>
      </c>
      <c r="I158" s="15"/>
      <c r="J158" s="15"/>
      <c r="K158" s="15"/>
      <c r="L158" s="15">
        <v>7796925.8200000012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/>
    </row>
    <row r="159" spans="1:20" x14ac:dyDescent="0.25">
      <c r="A159" s="15" t="s">
        <v>55</v>
      </c>
      <c r="B159" s="15" t="s">
        <v>561</v>
      </c>
      <c r="C159" s="15" t="s">
        <v>591</v>
      </c>
      <c r="D159" s="15" t="s">
        <v>337</v>
      </c>
      <c r="E159" s="15" t="s">
        <v>337</v>
      </c>
      <c r="F159" s="15" t="s">
        <v>348</v>
      </c>
      <c r="G159" s="15"/>
      <c r="H159" s="15" t="s">
        <v>322</v>
      </c>
      <c r="I159" s="15"/>
      <c r="J159" s="15"/>
      <c r="K159" s="15"/>
      <c r="L159" s="15">
        <v>2517045.3900000011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/>
    </row>
    <row r="160" spans="1:20" x14ac:dyDescent="0.25">
      <c r="A160" s="15" t="s">
        <v>51</v>
      </c>
      <c r="B160" s="15" t="s">
        <v>561</v>
      </c>
      <c r="C160" s="15" t="s">
        <v>591</v>
      </c>
      <c r="D160" s="15" t="s">
        <v>337</v>
      </c>
      <c r="E160" s="15" t="s">
        <v>337</v>
      </c>
      <c r="F160" s="15" t="s">
        <v>348</v>
      </c>
      <c r="G160" s="15"/>
      <c r="H160" s="15" t="s">
        <v>322</v>
      </c>
      <c r="I160" s="15"/>
      <c r="J160" s="15"/>
      <c r="K160" s="15"/>
      <c r="L160" s="15">
        <v>445154.67000000004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/>
    </row>
    <row r="161" spans="1:20" x14ac:dyDescent="0.25">
      <c r="A161" s="15" t="s">
        <v>345</v>
      </c>
      <c r="B161" s="15" t="s">
        <v>561</v>
      </c>
      <c r="C161" s="15" t="s">
        <v>591</v>
      </c>
      <c r="D161" s="15" t="s">
        <v>318</v>
      </c>
      <c r="E161" s="15" t="s">
        <v>318</v>
      </c>
      <c r="F161" s="15" t="s">
        <v>319</v>
      </c>
      <c r="G161" s="15"/>
      <c r="H161" s="15" t="s">
        <v>351</v>
      </c>
      <c r="I161" s="15"/>
      <c r="J161" s="15"/>
      <c r="K161" s="15"/>
      <c r="L161" s="15">
        <v>5423625.7199999932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/>
    </row>
    <row r="162" spans="1:20" x14ac:dyDescent="0.25">
      <c r="A162" s="15" t="s">
        <v>35</v>
      </c>
      <c r="B162" s="15" t="s">
        <v>561</v>
      </c>
      <c r="C162" s="15" t="s">
        <v>591</v>
      </c>
      <c r="D162" s="15" t="s">
        <v>318</v>
      </c>
      <c r="E162" s="15" t="s">
        <v>318</v>
      </c>
      <c r="F162" s="15" t="s">
        <v>319</v>
      </c>
      <c r="G162" s="15"/>
      <c r="H162" s="15" t="s">
        <v>351</v>
      </c>
      <c r="I162" s="15"/>
      <c r="J162" s="15"/>
      <c r="K162" s="15"/>
      <c r="L162" s="15">
        <v>1456400.8099999996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/>
    </row>
    <row r="163" spans="1:20" x14ac:dyDescent="0.25">
      <c r="A163" s="15" t="s">
        <v>346</v>
      </c>
      <c r="B163" s="15" t="s">
        <v>561</v>
      </c>
      <c r="C163" s="15" t="s">
        <v>591</v>
      </c>
      <c r="D163" s="15" t="s">
        <v>318</v>
      </c>
      <c r="E163" s="15" t="s">
        <v>318</v>
      </c>
      <c r="F163" s="15" t="s">
        <v>319</v>
      </c>
      <c r="G163" s="15"/>
      <c r="H163" s="15" t="s">
        <v>351</v>
      </c>
      <c r="I163" s="15"/>
      <c r="J163" s="15">
        <v>1</v>
      </c>
      <c r="K163" s="15"/>
      <c r="L163" s="15">
        <v>54851077.389999077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/>
    </row>
    <row r="164" spans="1:20" x14ac:dyDescent="0.25">
      <c r="A164" s="15" t="s">
        <v>353</v>
      </c>
      <c r="B164" s="15" t="s">
        <v>561</v>
      </c>
      <c r="C164" s="15" t="s">
        <v>591</v>
      </c>
      <c r="D164" s="15" t="s">
        <v>318</v>
      </c>
      <c r="E164" s="15" t="s">
        <v>318</v>
      </c>
      <c r="F164" s="15" t="s">
        <v>319</v>
      </c>
      <c r="G164" s="15"/>
      <c r="H164" s="15" t="s">
        <v>325</v>
      </c>
      <c r="I164" s="15"/>
      <c r="J164" s="15"/>
      <c r="K164" s="15"/>
      <c r="L164" s="15">
        <v>25370.440000000002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/>
    </row>
    <row r="165" spans="1:20" x14ac:dyDescent="0.25">
      <c r="A165" s="15" t="s">
        <v>22</v>
      </c>
      <c r="B165" s="15" t="s">
        <v>561</v>
      </c>
      <c r="C165" s="15" t="s">
        <v>591</v>
      </c>
      <c r="D165" s="15" t="s">
        <v>318</v>
      </c>
      <c r="E165" s="15" t="s">
        <v>318</v>
      </c>
      <c r="F165" s="15" t="s">
        <v>319</v>
      </c>
      <c r="G165" s="15"/>
      <c r="H165" s="15" t="s">
        <v>325</v>
      </c>
      <c r="I165" s="15"/>
      <c r="J165" s="15"/>
      <c r="K165" s="15"/>
      <c r="L165" s="15">
        <v>18648.36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/>
    </row>
    <row r="166" spans="1:20" x14ac:dyDescent="0.25">
      <c r="A166" s="15" t="s">
        <v>148</v>
      </c>
      <c r="B166" s="15" t="s">
        <v>561</v>
      </c>
      <c r="C166" s="15" t="s">
        <v>591</v>
      </c>
      <c r="D166" s="15" t="s">
        <v>318</v>
      </c>
      <c r="E166" s="15" t="s">
        <v>318</v>
      </c>
      <c r="F166" s="15" t="s">
        <v>319</v>
      </c>
      <c r="G166" s="15"/>
      <c r="H166" s="15" t="s">
        <v>325</v>
      </c>
      <c r="I166" s="15"/>
      <c r="J166" s="15"/>
      <c r="K166" s="15"/>
      <c r="L166" s="15">
        <v>2366.4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/>
    </row>
    <row r="167" spans="1:20" x14ac:dyDescent="0.25">
      <c r="A167" s="15" t="s">
        <v>7</v>
      </c>
      <c r="B167" s="15" t="s">
        <v>561</v>
      </c>
      <c r="C167" s="15" t="s">
        <v>591</v>
      </c>
      <c r="D167" s="15" t="s">
        <v>318</v>
      </c>
      <c r="E167" s="15" t="s">
        <v>318</v>
      </c>
      <c r="F167" s="15" t="s">
        <v>319</v>
      </c>
      <c r="G167" s="15"/>
      <c r="H167" s="15" t="s">
        <v>325</v>
      </c>
      <c r="I167" s="15"/>
      <c r="J167" s="15"/>
      <c r="K167" s="15"/>
      <c r="L167" s="15">
        <v>37065.72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/>
    </row>
    <row r="168" spans="1:20" x14ac:dyDescent="0.25">
      <c r="A168" s="15" t="s">
        <v>333</v>
      </c>
      <c r="B168" s="15" t="s">
        <v>561</v>
      </c>
      <c r="C168" s="15" t="s">
        <v>591</v>
      </c>
      <c r="D168" s="15" t="s">
        <v>318</v>
      </c>
      <c r="E168" s="15" t="s">
        <v>318</v>
      </c>
      <c r="F168" s="15" t="s">
        <v>319</v>
      </c>
      <c r="G168" s="15"/>
      <c r="H168" s="15" t="s">
        <v>325</v>
      </c>
      <c r="I168" s="15"/>
      <c r="J168" s="15"/>
      <c r="K168" s="15"/>
      <c r="L168" s="15">
        <v>7905.2800000000007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/>
    </row>
    <row r="169" spans="1:20" x14ac:dyDescent="0.25">
      <c r="A169" s="15" t="s">
        <v>127</v>
      </c>
      <c r="B169" s="15" t="s">
        <v>561</v>
      </c>
      <c r="C169" s="15" t="s">
        <v>591</v>
      </c>
      <c r="D169" s="15" t="s">
        <v>318</v>
      </c>
      <c r="E169" s="15" t="s">
        <v>318</v>
      </c>
      <c r="F169" s="15" t="s">
        <v>319</v>
      </c>
      <c r="G169" s="15"/>
      <c r="H169" s="15" t="s">
        <v>325</v>
      </c>
      <c r="I169" s="15"/>
      <c r="J169" s="15"/>
      <c r="K169" s="15"/>
      <c r="L169" s="15">
        <v>8188.1200000000008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/>
    </row>
    <row r="170" spans="1:20" x14ac:dyDescent="0.25">
      <c r="A170" s="15" t="s">
        <v>102</v>
      </c>
      <c r="B170" s="15" t="s">
        <v>561</v>
      </c>
      <c r="C170" s="15" t="s">
        <v>591</v>
      </c>
      <c r="D170" s="15" t="s">
        <v>318</v>
      </c>
      <c r="E170" s="15" t="s">
        <v>318</v>
      </c>
      <c r="F170" s="15" t="s">
        <v>319</v>
      </c>
      <c r="G170" s="15"/>
      <c r="H170" s="15" t="s">
        <v>325</v>
      </c>
      <c r="I170" s="15"/>
      <c r="J170" s="15"/>
      <c r="K170" s="15"/>
      <c r="L170" s="15">
        <v>16376.24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/>
    </row>
    <row r="171" spans="1:20" x14ac:dyDescent="0.25">
      <c r="A171" s="15" t="s">
        <v>105</v>
      </c>
      <c r="B171" s="15" t="s">
        <v>561</v>
      </c>
      <c r="C171" s="15" t="s">
        <v>591</v>
      </c>
      <c r="D171" s="15" t="s">
        <v>318</v>
      </c>
      <c r="E171" s="15" t="s">
        <v>318</v>
      </c>
      <c r="F171" s="15" t="s">
        <v>319</v>
      </c>
      <c r="G171" s="15"/>
      <c r="H171" s="15" t="s">
        <v>325</v>
      </c>
      <c r="I171" s="15"/>
      <c r="J171" s="15"/>
      <c r="K171" s="15"/>
      <c r="L171" s="15">
        <v>21109.040000000001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/>
    </row>
    <row r="172" spans="1:20" x14ac:dyDescent="0.25">
      <c r="A172" s="15" t="s">
        <v>154</v>
      </c>
      <c r="B172" s="15" t="s">
        <v>561</v>
      </c>
      <c r="C172" s="15" t="s">
        <v>591</v>
      </c>
      <c r="D172" s="15" t="s">
        <v>318</v>
      </c>
      <c r="E172" s="15" t="s">
        <v>318</v>
      </c>
      <c r="F172" s="15" t="s">
        <v>319</v>
      </c>
      <c r="G172" s="15"/>
      <c r="H172" s="15" t="s">
        <v>325</v>
      </c>
      <c r="I172" s="15"/>
      <c r="J172" s="15"/>
      <c r="K172" s="15"/>
      <c r="L172" s="15">
        <v>1183.2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/>
    </row>
    <row r="173" spans="1:20" x14ac:dyDescent="0.25">
      <c r="A173" s="15" t="s">
        <v>118</v>
      </c>
      <c r="B173" s="15" t="s">
        <v>561</v>
      </c>
      <c r="C173" s="15" t="s">
        <v>591</v>
      </c>
      <c r="D173" s="15" t="s">
        <v>318</v>
      </c>
      <c r="E173" s="15" t="s">
        <v>318</v>
      </c>
      <c r="F173" s="15" t="s">
        <v>319</v>
      </c>
      <c r="G173" s="15"/>
      <c r="H173" s="15" t="s">
        <v>325</v>
      </c>
      <c r="I173" s="15"/>
      <c r="J173" s="15"/>
      <c r="K173" s="15"/>
      <c r="L173" s="15">
        <v>3549.6000000000004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/>
    </row>
    <row r="174" spans="1:20" x14ac:dyDescent="0.25">
      <c r="A174" s="15" t="s">
        <v>156</v>
      </c>
      <c r="B174" s="15" t="s">
        <v>561</v>
      </c>
      <c r="C174" s="15" t="s">
        <v>591</v>
      </c>
      <c r="D174" s="15" t="s">
        <v>318</v>
      </c>
      <c r="E174" s="15" t="s">
        <v>318</v>
      </c>
      <c r="F174" s="15" t="s">
        <v>319</v>
      </c>
      <c r="G174" s="15"/>
      <c r="H174" s="15" t="s">
        <v>354</v>
      </c>
      <c r="I174" s="15"/>
      <c r="J174" s="15"/>
      <c r="K174" s="15"/>
      <c r="L174" s="15">
        <v>921680.2300000001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/>
    </row>
    <row r="175" spans="1:20" x14ac:dyDescent="0.25">
      <c r="A175" s="15" t="s">
        <v>127</v>
      </c>
      <c r="B175" s="15" t="s">
        <v>561</v>
      </c>
      <c r="C175" s="15" t="s">
        <v>591</v>
      </c>
      <c r="D175" s="15" t="s">
        <v>318</v>
      </c>
      <c r="E175" s="15" t="s">
        <v>318</v>
      </c>
      <c r="F175" s="15" t="s">
        <v>319</v>
      </c>
      <c r="G175" s="15"/>
      <c r="H175" s="15" t="s">
        <v>355</v>
      </c>
      <c r="I175" s="15"/>
      <c r="J175" s="15"/>
      <c r="K175" s="15"/>
      <c r="L175" s="15">
        <v>5926665.4000000013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/>
    </row>
    <row r="176" spans="1:20" x14ac:dyDescent="0.25">
      <c r="A176" s="15" t="s">
        <v>22</v>
      </c>
      <c r="B176" s="15" t="s">
        <v>561</v>
      </c>
      <c r="C176" s="15" t="s">
        <v>591</v>
      </c>
      <c r="D176" s="15" t="s">
        <v>318</v>
      </c>
      <c r="E176" s="15" t="s">
        <v>318</v>
      </c>
      <c r="F176" s="15" t="s">
        <v>319</v>
      </c>
      <c r="G176" s="15"/>
      <c r="H176" s="15" t="s">
        <v>320</v>
      </c>
      <c r="I176" s="15"/>
      <c r="J176" s="15"/>
      <c r="K176" s="15"/>
      <c r="L176" s="15">
        <v>5086111.4299999988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/>
    </row>
    <row r="177" spans="1:20" x14ac:dyDescent="0.25">
      <c r="A177" s="15" t="s">
        <v>21</v>
      </c>
      <c r="B177" s="15" t="s">
        <v>561</v>
      </c>
      <c r="C177" s="15" t="s">
        <v>591</v>
      </c>
      <c r="D177" s="15" t="s">
        <v>318</v>
      </c>
      <c r="E177" s="15" t="s">
        <v>318</v>
      </c>
      <c r="F177" s="15" t="s">
        <v>319</v>
      </c>
      <c r="G177" s="15"/>
      <c r="H177" s="15" t="s">
        <v>320</v>
      </c>
      <c r="I177" s="15"/>
      <c r="J177" s="15">
        <v>1</v>
      </c>
      <c r="K177" s="15"/>
      <c r="L177" s="15">
        <v>26291849.469999973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/>
    </row>
    <row r="178" spans="1:20" x14ac:dyDescent="0.25">
      <c r="A178" s="15" t="s">
        <v>93</v>
      </c>
      <c r="B178" s="15" t="s">
        <v>561</v>
      </c>
      <c r="C178" s="15" t="s">
        <v>591</v>
      </c>
      <c r="D178" s="15" t="s">
        <v>318</v>
      </c>
      <c r="E178" s="15" t="s">
        <v>318</v>
      </c>
      <c r="F178" s="15" t="s">
        <v>319</v>
      </c>
      <c r="G178" s="15"/>
      <c r="H178" s="15" t="s">
        <v>320</v>
      </c>
      <c r="I178" s="15"/>
      <c r="J178" s="15"/>
      <c r="K178" s="15"/>
      <c r="L178" s="15">
        <v>22420066.279999983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/>
    </row>
    <row r="179" spans="1:20" x14ac:dyDescent="0.25">
      <c r="A179" s="15" t="s">
        <v>7</v>
      </c>
      <c r="B179" s="15" t="s">
        <v>561</v>
      </c>
      <c r="C179" s="15" t="s">
        <v>591</v>
      </c>
      <c r="D179" s="15" t="s">
        <v>318</v>
      </c>
      <c r="E179" s="15" t="s">
        <v>318</v>
      </c>
      <c r="F179" s="15" t="s">
        <v>319</v>
      </c>
      <c r="G179" s="15"/>
      <c r="H179" s="15" t="s">
        <v>322</v>
      </c>
      <c r="I179" s="15"/>
      <c r="J179" s="15"/>
      <c r="K179" s="15"/>
      <c r="L179" s="15">
        <v>85074102.199999839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/>
    </row>
    <row r="180" spans="1:20" x14ac:dyDescent="0.25">
      <c r="A180" s="15" t="s">
        <v>333</v>
      </c>
      <c r="B180" s="15" t="s">
        <v>561</v>
      </c>
      <c r="C180" s="15" t="s">
        <v>591</v>
      </c>
      <c r="D180" s="15" t="s">
        <v>318</v>
      </c>
      <c r="E180" s="15" t="s">
        <v>318</v>
      </c>
      <c r="F180" s="15" t="s">
        <v>319</v>
      </c>
      <c r="G180" s="15"/>
      <c r="H180" s="15" t="s">
        <v>322</v>
      </c>
      <c r="I180" s="15"/>
      <c r="J180" s="15"/>
      <c r="K180" s="15"/>
      <c r="L180" s="15">
        <v>3823372.6700000009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/>
    </row>
    <row r="181" spans="1:20" x14ac:dyDescent="0.25">
      <c r="A181" s="15" t="s">
        <v>148</v>
      </c>
      <c r="B181" s="15" t="s">
        <v>561</v>
      </c>
      <c r="C181" s="15" t="s">
        <v>591</v>
      </c>
      <c r="D181" s="15" t="s">
        <v>318</v>
      </c>
      <c r="E181" s="15" t="s">
        <v>318</v>
      </c>
      <c r="F181" s="15" t="s">
        <v>319</v>
      </c>
      <c r="G181" s="15"/>
      <c r="H181" s="15" t="s">
        <v>356</v>
      </c>
      <c r="I181" s="15"/>
      <c r="J181" s="15"/>
      <c r="K181" s="15"/>
      <c r="L181" s="15">
        <v>8536955.5500000007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/>
    </row>
    <row r="182" spans="1:20" x14ac:dyDescent="0.25">
      <c r="A182" s="15" t="s">
        <v>173</v>
      </c>
      <c r="B182" s="15" t="s">
        <v>561</v>
      </c>
      <c r="C182" s="15" t="s">
        <v>591</v>
      </c>
      <c r="D182" s="15" t="s">
        <v>318</v>
      </c>
      <c r="E182" s="15" t="s">
        <v>318</v>
      </c>
      <c r="F182" s="15" t="s">
        <v>319</v>
      </c>
      <c r="G182" s="15"/>
      <c r="H182" s="15" t="s">
        <v>356</v>
      </c>
      <c r="I182" s="15"/>
      <c r="J182" s="15"/>
      <c r="K182" s="15"/>
      <c r="L182" s="15">
        <v>10671112.189999996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/>
    </row>
    <row r="183" spans="1:20" x14ac:dyDescent="0.25">
      <c r="A183" s="15" t="s">
        <v>156</v>
      </c>
      <c r="B183" s="15" t="s">
        <v>561</v>
      </c>
      <c r="C183" s="15" t="s">
        <v>591</v>
      </c>
      <c r="D183" s="15" t="s">
        <v>318</v>
      </c>
      <c r="E183" s="15" t="s">
        <v>318</v>
      </c>
      <c r="F183" s="15" t="s">
        <v>319</v>
      </c>
      <c r="G183" s="15"/>
      <c r="H183" s="15" t="s">
        <v>356</v>
      </c>
      <c r="I183" s="15"/>
      <c r="J183" s="15"/>
      <c r="K183" s="15"/>
      <c r="L183" s="15">
        <v>647650.9600000002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/>
    </row>
    <row r="184" spans="1:20" x14ac:dyDescent="0.25">
      <c r="A184" s="15" t="s">
        <v>154</v>
      </c>
      <c r="B184" s="15" t="s">
        <v>561</v>
      </c>
      <c r="C184" s="15" t="s">
        <v>591</v>
      </c>
      <c r="D184" s="15" t="s">
        <v>318</v>
      </c>
      <c r="E184" s="15" t="s">
        <v>318</v>
      </c>
      <c r="F184" s="15" t="s">
        <v>319</v>
      </c>
      <c r="G184" s="15"/>
      <c r="H184" s="15" t="s">
        <v>356</v>
      </c>
      <c r="I184" s="15"/>
      <c r="J184" s="15"/>
      <c r="K184" s="15"/>
      <c r="L184" s="15">
        <v>4282666.66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/>
    </row>
    <row r="185" spans="1:20" x14ac:dyDescent="0.25">
      <c r="A185" s="15" t="s">
        <v>160</v>
      </c>
      <c r="B185" s="15" t="s">
        <v>561</v>
      </c>
      <c r="C185" s="15" t="s">
        <v>591</v>
      </c>
      <c r="D185" s="15" t="s">
        <v>318</v>
      </c>
      <c r="E185" s="15" t="s">
        <v>318</v>
      </c>
      <c r="F185" s="15" t="s">
        <v>319</v>
      </c>
      <c r="G185" s="15"/>
      <c r="H185" s="15" t="s">
        <v>356</v>
      </c>
      <c r="I185" s="15"/>
      <c r="J185" s="15"/>
      <c r="K185" s="15"/>
      <c r="L185" s="15">
        <v>6853605.1999999909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/>
    </row>
    <row r="186" spans="1:20" x14ac:dyDescent="0.25">
      <c r="A186" s="15" t="s">
        <v>127</v>
      </c>
      <c r="B186" s="15" t="s">
        <v>561</v>
      </c>
      <c r="C186" s="15" t="s">
        <v>591</v>
      </c>
      <c r="D186" s="15" t="s">
        <v>318</v>
      </c>
      <c r="E186" s="15" t="s">
        <v>318</v>
      </c>
      <c r="F186" s="15" t="s">
        <v>319</v>
      </c>
      <c r="G186" s="15"/>
      <c r="H186" s="15" t="s">
        <v>357</v>
      </c>
      <c r="I186" s="15"/>
      <c r="J186" s="15"/>
      <c r="K186" s="15"/>
      <c r="L186" s="15">
        <v>3186751.46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/>
    </row>
    <row r="187" spans="1:20" x14ac:dyDescent="0.25">
      <c r="A187" s="15" t="s">
        <v>102</v>
      </c>
      <c r="B187" s="15" t="s">
        <v>561</v>
      </c>
      <c r="C187" s="15" t="s">
        <v>591</v>
      </c>
      <c r="D187" s="15" t="s">
        <v>318</v>
      </c>
      <c r="E187" s="15" t="s">
        <v>318</v>
      </c>
      <c r="F187" s="15" t="s">
        <v>319</v>
      </c>
      <c r="G187" s="15"/>
      <c r="H187" s="15" t="s">
        <v>358</v>
      </c>
      <c r="I187" s="15"/>
      <c r="J187" s="15"/>
      <c r="K187" s="15"/>
      <c r="L187" s="15">
        <v>17566407.939999998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/>
    </row>
    <row r="188" spans="1:20" x14ac:dyDescent="0.25">
      <c r="A188" s="15" t="s">
        <v>103</v>
      </c>
      <c r="B188" s="15" t="s">
        <v>561</v>
      </c>
      <c r="C188" s="15" t="s">
        <v>591</v>
      </c>
      <c r="D188" s="15" t="s">
        <v>318</v>
      </c>
      <c r="E188" s="15" t="s">
        <v>318</v>
      </c>
      <c r="F188" s="15" t="s">
        <v>319</v>
      </c>
      <c r="G188" s="15"/>
      <c r="H188" s="15" t="s">
        <v>358</v>
      </c>
      <c r="I188" s="15"/>
      <c r="J188" s="15"/>
      <c r="K188" s="15"/>
      <c r="L188" s="15">
        <v>664339.91000000038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/>
    </row>
    <row r="189" spans="1:20" x14ac:dyDescent="0.25">
      <c r="A189" s="15" t="s">
        <v>105</v>
      </c>
      <c r="B189" s="15" t="s">
        <v>561</v>
      </c>
      <c r="C189" s="15" t="s">
        <v>591</v>
      </c>
      <c r="D189" s="15" t="s">
        <v>318</v>
      </c>
      <c r="E189" s="15" t="s">
        <v>318</v>
      </c>
      <c r="F189" s="15" t="s">
        <v>319</v>
      </c>
      <c r="G189" s="15"/>
      <c r="H189" s="15" t="s">
        <v>359</v>
      </c>
      <c r="I189" s="15"/>
      <c r="J189" s="15"/>
      <c r="K189" s="15"/>
      <c r="L189" s="15">
        <v>8668249.0399999991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/>
    </row>
    <row r="190" spans="1:20" x14ac:dyDescent="0.25">
      <c r="A190" s="15" t="s">
        <v>118</v>
      </c>
      <c r="B190" s="15" t="s">
        <v>561</v>
      </c>
      <c r="C190" s="15" t="s">
        <v>591</v>
      </c>
      <c r="D190" s="15" t="s">
        <v>318</v>
      </c>
      <c r="E190" s="15" t="s">
        <v>318</v>
      </c>
      <c r="F190" s="15" t="s">
        <v>319</v>
      </c>
      <c r="G190" s="15"/>
      <c r="H190" s="15" t="s">
        <v>360</v>
      </c>
      <c r="I190" s="15"/>
      <c r="J190" s="15"/>
      <c r="K190" s="15"/>
      <c r="L190" s="15">
        <v>20660.689999999999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/>
    </row>
    <row r="191" spans="1:20" x14ac:dyDescent="0.25">
      <c r="A191" s="15" t="s">
        <v>341</v>
      </c>
      <c r="B191" s="15" t="s">
        <v>561</v>
      </c>
      <c r="C191" s="15" t="s">
        <v>591</v>
      </c>
      <c r="D191" s="15" t="s">
        <v>337</v>
      </c>
      <c r="E191" s="15" t="s">
        <v>337</v>
      </c>
      <c r="F191" s="15" t="s">
        <v>338</v>
      </c>
      <c r="G191" s="15"/>
      <c r="H191" s="15" t="s">
        <v>325</v>
      </c>
      <c r="I191" s="15"/>
      <c r="J191" s="15"/>
      <c r="K191" s="15"/>
      <c r="L191" s="15">
        <v>43742.18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/>
    </row>
    <row r="192" spans="1:20" x14ac:dyDescent="0.25">
      <c r="A192" s="15" t="s">
        <v>7</v>
      </c>
      <c r="B192" s="15" t="s">
        <v>561</v>
      </c>
      <c r="C192" s="15" t="s">
        <v>591</v>
      </c>
      <c r="D192" s="15" t="s">
        <v>337</v>
      </c>
      <c r="E192" s="15" t="s">
        <v>337</v>
      </c>
      <c r="F192" s="15" t="s">
        <v>338</v>
      </c>
      <c r="G192" s="15"/>
      <c r="H192" s="15" t="s">
        <v>325</v>
      </c>
      <c r="I192" s="15"/>
      <c r="J192" s="15">
        <v>1</v>
      </c>
      <c r="K192" s="15"/>
      <c r="L192" s="15">
        <v>51488847.459999874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/>
    </row>
    <row r="193" spans="1:20" x14ac:dyDescent="0.25">
      <c r="A193" s="15" t="s">
        <v>333</v>
      </c>
      <c r="B193" s="15" t="s">
        <v>561</v>
      </c>
      <c r="C193" s="15" t="s">
        <v>591</v>
      </c>
      <c r="D193" s="15" t="s">
        <v>337</v>
      </c>
      <c r="E193" s="15" t="s">
        <v>337</v>
      </c>
      <c r="F193" s="15" t="s">
        <v>338</v>
      </c>
      <c r="G193" s="15"/>
      <c r="H193" s="15" t="s">
        <v>325</v>
      </c>
      <c r="I193" s="15"/>
      <c r="J193" s="15"/>
      <c r="K193" s="15"/>
      <c r="L193" s="15">
        <v>4983223.1399999978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/>
    </row>
    <row r="194" spans="1:20" x14ac:dyDescent="0.25">
      <c r="A194" s="15" t="s">
        <v>105</v>
      </c>
      <c r="B194" s="15" t="s">
        <v>561</v>
      </c>
      <c r="C194" s="15" t="s">
        <v>591</v>
      </c>
      <c r="D194" s="15" t="s">
        <v>337</v>
      </c>
      <c r="E194" s="15" t="s">
        <v>337</v>
      </c>
      <c r="F194" s="15" t="s">
        <v>338</v>
      </c>
      <c r="G194" s="15"/>
      <c r="H194" s="15" t="s">
        <v>325</v>
      </c>
      <c r="I194" s="15"/>
      <c r="J194" s="15"/>
      <c r="K194" s="15"/>
      <c r="L194" s="15">
        <v>28707.439999999991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/>
    </row>
    <row r="195" spans="1:20" x14ac:dyDescent="0.25">
      <c r="A195" s="15" t="s">
        <v>346</v>
      </c>
      <c r="B195" s="15" t="s">
        <v>561</v>
      </c>
      <c r="C195" s="15" t="s">
        <v>591</v>
      </c>
      <c r="D195" s="15" t="s">
        <v>337</v>
      </c>
      <c r="E195" s="15" t="s">
        <v>337</v>
      </c>
      <c r="F195" s="15" t="s">
        <v>338</v>
      </c>
      <c r="G195" s="15"/>
      <c r="H195" s="15" t="s">
        <v>325</v>
      </c>
      <c r="I195" s="15"/>
      <c r="J195" s="15"/>
      <c r="K195" s="15"/>
      <c r="L195" s="15">
        <v>904834.39000000013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/>
    </row>
    <row r="196" spans="1:20" x14ac:dyDescent="0.25">
      <c r="A196" s="15" t="s">
        <v>22</v>
      </c>
      <c r="B196" s="15" t="s">
        <v>561</v>
      </c>
      <c r="C196" s="15" t="s">
        <v>591</v>
      </c>
      <c r="D196" s="15" t="s">
        <v>362</v>
      </c>
      <c r="E196" s="15" t="s">
        <v>362</v>
      </c>
      <c r="F196" s="15" t="s">
        <v>363</v>
      </c>
      <c r="G196" s="15"/>
      <c r="H196" s="15"/>
      <c r="I196" s="15"/>
      <c r="J196" s="15"/>
      <c r="K196" s="15" t="s">
        <v>342</v>
      </c>
      <c r="L196" s="15">
        <v>0</v>
      </c>
      <c r="M196" s="15">
        <v>0</v>
      </c>
      <c r="N196" s="15">
        <v>0</v>
      </c>
      <c r="O196" s="15">
        <v>0</v>
      </c>
      <c r="P196" s="15">
        <v>1574705433.900434</v>
      </c>
      <c r="Q196" s="15">
        <v>0</v>
      </c>
      <c r="R196" s="23">
        <v>850113432.71010005</v>
      </c>
      <c r="S196" s="15">
        <v>0</v>
      </c>
      <c r="T196" s="15"/>
    </row>
    <row r="197" spans="1:20" x14ac:dyDescent="0.25">
      <c r="A197" s="15" t="s">
        <v>20</v>
      </c>
      <c r="B197" s="15" t="s">
        <v>561</v>
      </c>
      <c r="C197" s="15" t="s">
        <v>589</v>
      </c>
      <c r="D197" s="15" t="s">
        <v>364</v>
      </c>
      <c r="E197" s="15" t="s">
        <v>509</v>
      </c>
      <c r="F197" s="15" t="s">
        <v>365</v>
      </c>
      <c r="G197" s="15"/>
      <c r="H197" s="15"/>
      <c r="I197" s="15"/>
      <c r="J197" s="15"/>
      <c r="K197" s="15" t="s">
        <v>343</v>
      </c>
      <c r="L197" s="15">
        <v>0</v>
      </c>
      <c r="M197" s="15">
        <v>0</v>
      </c>
      <c r="N197" s="15">
        <v>0</v>
      </c>
      <c r="O197" s="15">
        <v>0</v>
      </c>
      <c r="P197" s="15">
        <v>1261789709.1353848</v>
      </c>
      <c r="Q197" s="15">
        <v>0</v>
      </c>
      <c r="R197" s="15">
        <v>662172794.79000032</v>
      </c>
      <c r="S197" s="15">
        <v>0</v>
      </c>
      <c r="T197" s="15"/>
    </row>
    <row r="198" spans="1:20" x14ac:dyDescent="0.25">
      <c r="A198" s="15" t="s">
        <v>25</v>
      </c>
      <c r="B198" s="15" t="s">
        <v>561</v>
      </c>
      <c r="C198" s="15" t="s">
        <v>386</v>
      </c>
      <c r="D198" s="15" t="s">
        <v>362</v>
      </c>
      <c r="E198" s="15" t="s">
        <v>399</v>
      </c>
      <c r="F198" s="15" t="s">
        <v>366</v>
      </c>
      <c r="G198" s="15"/>
      <c r="H198" s="15"/>
      <c r="I198" s="15"/>
      <c r="J198" s="15"/>
      <c r="K198" s="15" t="s">
        <v>342</v>
      </c>
      <c r="L198" s="15">
        <v>0</v>
      </c>
      <c r="M198" s="15">
        <v>0</v>
      </c>
      <c r="N198" s="15">
        <v>0</v>
      </c>
      <c r="O198" s="15">
        <v>0</v>
      </c>
      <c r="P198" s="15">
        <v>1008606761.4179183</v>
      </c>
      <c r="Q198" s="15">
        <v>0</v>
      </c>
      <c r="R198" s="15">
        <v>600256169.04110003</v>
      </c>
      <c r="S198" s="15">
        <v>0</v>
      </c>
      <c r="T198" s="15"/>
    </row>
    <row r="199" spans="1:20" x14ac:dyDescent="0.25">
      <c r="A199" s="15" t="s">
        <v>350</v>
      </c>
      <c r="B199" s="15" t="s">
        <v>561</v>
      </c>
      <c r="C199" s="15" t="s">
        <v>386</v>
      </c>
      <c r="D199" s="15" t="s">
        <v>362</v>
      </c>
      <c r="E199" s="15" t="s">
        <v>399</v>
      </c>
      <c r="F199" s="15" t="s">
        <v>366</v>
      </c>
      <c r="G199" s="15"/>
      <c r="H199" s="15"/>
      <c r="I199" s="15"/>
      <c r="J199" s="15"/>
      <c r="K199" s="15"/>
      <c r="L199" s="15">
        <v>0</v>
      </c>
      <c r="M199" s="15">
        <v>0</v>
      </c>
      <c r="N199" s="15">
        <v>0</v>
      </c>
      <c r="O199" s="15">
        <v>0</v>
      </c>
      <c r="P199" s="15">
        <v>372331071.40695155</v>
      </c>
      <c r="Q199" s="15">
        <v>0</v>
      </c>
      <c r="R199" s="15">
        <v>241381462.22059995</v>
      </c>
      <c r="S199" s="15">
        <v>6817750437.9784079</v>
      </c>
      <c r="T199" s="15"/>
    </row>
    <row r="200" spans="1:20" x14ac:dyDescent="0.25">
      <c r="A200" s="15" t="s">
        <v>27</v>
      </c>
      <c r="B200" s="15" t="s">
        <v>561</v>
      </c>
      <c r="C200" s="15" t="s">
        <v>386</v>
      </c>
      <c r="D200" s="15" t="s">
        <v>362</v>
      </c>
      <c r="E200" s="15" t="s">
        <v>399</v>
      </c>
      <c r="F200" s="15" t="s">
        <v>366</v>
      </c>
      <c r="G200" s="15"/>
      <c r="H200" s="15"/>
      <c r="I200" s="15"/>
      <c r="J200" s="15"/>
      <c r="K200" s="15" t="s">
        <v>368</v>
      </c>
      <c r="L200" s="15">
        <v>0</v>
      </c>
      <c r="M200" s="15">
        <v>0</v>
      </c>
      <c r="N200" s="15">
        <v>0</v>
      </c>
      <c r="O200" s="15">
        <v>0</v>
      </c>
      <c r="P200" s="15">
        <v>363908644.75262171</v>
      </c>
      <c r="Q200" s="15">
        <v>0</v>
      </c>
      <c r="R200" s="15">
        <v>118931747.26550004</v>
      </c>
      <c r="S200" s="15">
        <v>0</v>
      </c>
      <c r="T200" s="15"/>
    </row>
    <row r="201" spans="1:20" ht="30" x14ac:dyDescent="0.25">
      <c r="A201" s="15" t="s">
        <v>7</v>
      </c>
      <c r="B201" s="15" t="s">
        <v>561</v>
      </c>
      <c r="C201" s="15" t="s">
        <v>591</v>
      </c>
      <c r="D201" s="15" t="s">
        <v>362</v>
      </c>
      <c r="E201" s="15" t="s">
        <v>362</v>
      </c>
      <c r="F201" s="15" t="s">
        <v>369</v>
      </c>
      <c r="G201" s="15"/>
      <c r="H201" s="15"/>
      <c r="I201" s="15"/>
      <c r="J201" s="15"/>
      <c r="K201" s="15" t="s">
        <v>342</v>
      </c>
      <c r="L201" s="15">
        <v>0</v>
      </c>
      <c r="M201" s="15">
        <v>0</v>
      </c>
      <c r="N201" s="15">
        <v>0</v>
      </c>
      <c r="O201" s="15">
        <v>0</v>
      </c>
      <c r="P201" s="15">
        <v>1036468770.0691371</v>
      </c>
      <c r="Q201" s="15">
        <v>0</v>
      </c>
      <c r="R201" s="23">
        <v>657929607.73280001</v>
      </c>
      <c r="S201" s="15">
        <v>0</v>
      </c>
      <c r="T201" s="15"/>
    </row>
    <row r="202" spans="1:20" x14ac:dyDescent="0.25">
      <c r="A202" s="15" t="s">
        <v>7</v>
      </c>
      <c r="B202" s="15" t="s">
        <v>561</v>
      </c>
      <c r="C202" s="15" t="s">
        <v>591</v>
      </c>
      <c r="D202" s="15" t="s">
        <v>362</v>
      </c>
      <c r="E202" s="15" t="s">
        <v>362</v>
      </c>
      <c r="F202" s="15" t="s">
        <v>370</v>
      </c>
      <c r="G202" s="15"/>
      <c r="H202" s="15"/>
      <c r="I202" s="15"/>
      <c r="J202" s="15"/>
      <c r="K202" s="15" t="s">
        <v>342</v>
      </c>
      <c r="L202" s="15">
        <v>0</v>
      </c>
      <c r="M202" s="15">
        <v>0</v>
      </c>
      <c r="N202" s="15">
        <v>0</v>
      </c>
      <c r="O202" s="15">
        <v>0</v>
      </c>
      <c r="P202" s="15">
        <v>795403118.30058694</v>
      </c>
      <c r="Q202" s="15">
        <v>0</v>
      </c>
      <c r="R202" s="23">
        <v>680999942.92850018</v>
      </c>
      <c r="S202" s="15">
        <v>0</v>
      </c>
      <c r="T202" s="15"/>
    </row>
    <row r="203" spans="1:20" x14ac:dyDescent="0.25">
      <c r="A203" s="15" t="s">
        <v>7</v>
      </c>
      <c r="B203" s="15" t="s">
        <v>561</v>
      </c>
      <c r="C203" s="15" t="s">
        <v>591</v>
      </c>
      <c r="D203" s="15" t="s">
        <v>362</v>
      </c>
      <c r="E203" s="15" t="s">
        <v>362</v>
      </c>
      <c r="F203" s="15" t="s">
        <v>371</v>
      </c>
      <c r="G203" s="15"/>
      <c r="H203" s="15"/>
      <c r="I203" s="15"/>
      <c r="J203" s="15"/>
      <c r="K203" s="15" t="s">
        <v>342</v>
      </c>
      <c r="L203" s="15">
        <v>0</v>
      </c>
      <c r="M203" s="15">
        <v>0</v>
      </c>
      <c r="N203" s="15">
        <v>0</v>
      </c>
      <c r="O203" s="15">
        <v>0</v>
      </c>
      <c r="P203" s="15">
        <v>1515150860.7424669</v>
      </c>
      <c r="Q203" s="15">
        <v>0</v>
      </c>
      <c r="R203" s="23">
        <v>1000410897.2363987</v>
      </c>
      <c r="S203" s="15">
        <v>0</v>
      </c>
      <c r="T203" s="15"/>
    </row>
    <row r="204" spans="1:20" x14ac:dyDescent="0.25">
      <c r="A204" s="15" t="s">
        <v>7</v>
      </c>
      <c r="B204" s="15" t="s">
        <v>561</v>
      </c>
      <c r="C204" s="15" t="s">
        <v>591</v>
      </c>
      <c r="D204" s="15" t="s">
        <v>364</v>
      </c>
      <c r="E204" s="15" t="s">
        <v>364</v>
      </c>
      <c r="F204" s="15" t="s">
        <v>372</v>
      </c>
      <c r="G204" s="15"/>
      <c r="H204" s="15"/>
      <c r="I204" s="15"/>
      <c r="J204" s="15"/>
      <c r="K204" s="15" t="s">
        <v>343</v>
      </c>
      <c r="L204" s="15">
        <v>0</v>
      </c>
      <c r="M204" s="15">
        <v>0</v>
      </c>
      <c r="N204" s="15">
        <v>0</v>
      </c>
      <c r="O204" s="15">
        <v>0</v>
      </c>
      <c r="P204" s="15">
        <v>957298104.97257185</v>
      </c>
      <c r="Q204" s="15">
        <v>0</v>
      </c>
      <c r="R204" s="15">
        <v>647372110.11980021</v>
      </c>
      <c r="S204" s="15">
        <v>0</v>
      </c>
      <c r="T204" s="15"/>
    </row>
    <row r="205" spans="1:20" x14ac:dyDescent="0.25">
      <c r="A205" s="15" t="s">
        <v>7</v>
      </c>
      <c r="B205" s="15" t="s">
        <v>561</v>
      </c>
      <c r="C205" s="15" t="s">
        <v>591</v>
      </c>
      <c r="D205" s="15" t="s">
        <v>364</v>
      </c>
      <c r="E205" s="15" t="s">
        <v>364</v>
      </c>
      <c r="F205" s="15" t="s">
        <v>373</v>
      </c>
      <c r="G205" s="15"/>
      <c r="H205" s="15"/>
      <c r="I205" s="15"/>
      <c r="J205" s="15"/>
      <c r="K205" s="15" t="s">
        <v>343</v>
      </c>
      <c r="L205" s="15">
        <v>0</v>
      </c>
      <c r="M205" s="15">
        <v>0</v>
      </c>
      <c r="N205" s="15">
        <v>0</v>
      </c>
      <c r="O205" s="15">
        <v>0</v>
      </c>
      <c r="P205" s="15">
        <v>1830138460.7654872</v>
      </c>
      <c r="Q205" s="15">
        <v>0</v>
      </c>
      <c r="R205" s="15">
        <v>1033839503.4343996</v>
      </c>
      <c r="S205" s="15">
        <v>0</v>
      </c>
      <c r="T205" s="15"/>
    </row>
    <row r="206" spans="1:20" ht="30" x14ac:dyDescent="0.25">
      <c r="A206" s="15" t="s">
        <v>333</v>
      </c>
      <c r="B206" s="15" t="s">
        <v>561</v>
      </c>
      <c r="C206" s="15" t="s">
        <v>591</v>
      </c>
      <c r="D206" s="15" t="s">
        <v>362</v>
      </c>
      <c r="E206" s="15" t="s">
        <v>362</v>
      </c>
      <c r="F206" s="15" t="s">
        <v>369</v>
      </c>
      <c r="G206" s="15"/>
      <c r="H206" s="15"/>
      <c r="I206" s="15"/>
      <c r="J206" s="15"/>
      <c r="K206" s="15" t="s">
        <v>342</v>
      </c>
      <c r="L206" s="15">
        <v>0</v>
      </c>
      <c r="M206" s="15">
        <v>0</v>
      </c>
      <c r="N206" s="15">
        <v>0</v>
      </c>
      <c r="O206" s="15">
        <v>0</v>
      </c>
      <c r="P206" s="15">
        <v>2145155606.2921829</v>
      </c>
      <c r="Q206" s="15">
        <v>0</v>
      </c>
      <c r="R206" s="23">
        <v>1183794628.9130003</v>
      </c>
      <c r="S206" s="15">
        <v>0</v>
      </c>
      <c r="T206" s="15"/>
    </row>
    <row r="207" spans="1:20" x14ac:dyDescent="0.25">
      <c r="A207" s="15" t="s">
        <v>333</v>
      </c>
      <c r="B207" s="15" t="s">
        <v>561</v>
      </c>
      <c r="C207" s="15" t="s">
        <v>591</v>
      </c>
      <c r="D207" s="15" t="s">
        <v>362</v>
      </c>
      <c r="E207" s="15" t="s">
        <v>362</v>
      </c>
      <c r="F207" s="15" t="s">
        <v>370</v>
      </c>
      <c r="G207" s="15"/>
      <c r="H207" s="15"/>
      <c r="I207" s="15"/>
      <c r="J207" s="15"/>
      <c r="K207" s="15" t="s">
        <v>342</v>
      </c>
      <c r="L207" s="15">
        <v>0</v>
      </c>
      <c r="M207" s="15">
        <v>0</v>
      </c>
      <c r="N207" s="15">
        <v>0</v>
      </c>
      <c r="O207" s="15">
        <v>0</v>
      </c>
      <c r="P207" s="15">
        <v>1373186133.5273333</v>
      </c>
      <c r="Q207" s="15">
        <v>0</v>
      </c>
      <c r="R207" s="23">
        <v>679826351.63689983</v>
      </c>
      <c r="S207" s="15">
        <v>0</v>
      </c>
      <c r="T207" s="15"/>
    </row>
    <row r="208" spans="1:20" x14ac:dyDescent="0.25">
      <c r="A208" s="15" t="s">
        <v>333</v>
      </c>
      <c r="B208" s="15" t="s">
        <v>561</v>
      </c>
      <c r="C208" s="15" t="s">
        <v>591</v>
      </c>
      <c r="D208" s="15" t="s">
        <v>362</v>
      </c>
      <c r="E208" s="15" t="s">
        <v>362</v>
      </c>
      <c r="F208" s="15" t="s">
        <v>371</v>
      </c>
      <c r="G208" s="15"/>
      <c r="H208" s="15"/>
      <c r="I208" s="15"/>
      <c r="J208" s="15"/>
      <c r="K208" s="15" t="s">
        <v>342</v>
      </c>
      <c r="L208" s="15">
        <v>0</v>
      </c>
      <c r="M208" s="15">
        <v>0</v>
      </c>
      <c r="N208" s="15">
        <v>0</v>
      </c>
      <c r="O208" s="15">
        <v>0</v>
      </c>
      <c r="P208" s="15">
        <v>1682882221.7050142</v>
      </c>
      <c r="Q208" s="15">
        <v>0</v>
      </c>
      <c r="R208" s="23">
        <v>815322183.05460024</v>
      </c>
      <c r="S208" s="15">
        <v>0</v>
      </c>
      <c r="T208" s="15"/>
    </row>
    <row r="209" spans="1:20" x14ac:dyDescent="0.25">
      <c r="A209" s="15" t="s">
        <v>333</v>
      </c>
      <c r="B209" s="15" t="s">
        <v>561</v>
      </c>
      <c r="C209" s="15" t="s">
        <v>591</v>
      </c>
      <c r="D209" s="15" t="s">
        <v>364</v>
      </c>
      <c r="E209" s="15" t="s">
        <v>364</v>
      </c>
      <c r="F209" s="15" t="s">
        <v>372</v>
      </c>
      <c r="G209" s="15"/>
      <c r="H209" s="15"/>
      <c r="I209" s="15"/>
      <c r="J209" s="15"/>
      <c r="K209" s="15" t="s">
        <v>343</v>
      </c>
      <c r="L209" s="15">
        <v>0</v>
      </c>
      <c r="M209" s="15">
        <v>0</v>
      </c>
      <c r="N209" s="15">
        <v>0</v>
      </c>
      <c r="O209" s="15">
        <v>0</v>
      </c>
      <c r="P209" s="15">
        <v>2456433269.3302546</v>
      </c>
      <c r="Q209" s="15">
        <v>0</v>
      </c>
      <c r="R209" s="15">
        <v>1229216756.1869001</v>
      </c>
      <c r="S209" s="15">
        <v>0</v>
      </c>
      <c r="T209" s="15"/>
    </row>
    <row r="210" spans="1:20" x14ac:dyDescent="0.25">
      <c r="A210" s="15" t="s">
        <v>333</v>
      </c>
      <c r="B210" s="15" t="s">
        <v>561</v>
      </c>
      <c r="C210" s="15" t="s">
        <v>591</v>
      </c>
      <c r="D210" s="15" t="s">
        <v>364</v>
      </c>
      <c r="E210" s="15" t="s">
        <v>364</v>
      </c>
      <c r="F210" s="15" t="s">
        <v>373</v>
      </c>
      <c r="G210" s="15"/>
      <c r="H210" s="15"/>
      <c r="I210" s="15"/>
      <c r="J210" s="15"/>
      <c r="K210" s="15" t="s">
        <v>343</v>
      </c>
      <c r="L210" s="15">
        <v>0</v>
      </c>
      <c r="M210" s="15">
        <v>0</v>
      </c>
      <c r="N210" s="15">
        <v>0</v>
      </c>
      <c r="O210" s="15">
        <v>0</v>
      </c>
      <c r="P210" s="15">
        <v>2974553447.1966333</v>
      </c>
      <c r="Q210" s="15">
        <v>0</v>
      </c>
      <c r="R210" s="15">
        <v>1516192695.7996001</v>
      </c>
      <c r="S210" s="15">
        <v>0</v>
      </c>
      <c r="T210" s="15"/>
    </row>
    <row r="211" spans="1:20" x14ac:dyDescent="0.25">
      <c r="A211" s="15" t="s">
        <v>21</v>
      </c>
      <c r="B211" s="15" t="s">
        <v>561</v>
      </c>
      <c r="C211" s="15" t="s">
        <v>591</v>
      </c>
      <c r="D211" s="15" t="s">
        <v>362</v>
      </c>
      <c r="E211" s="15" t="s">
        <v>362</v>
      </c>
      <c r="F211" s="15" t="s">
        <v>363</v>
      </c>
      <c r="G211" s="15"/>
      <c r="H211" s="15"/>
      <c r="I211" s="15"/>
      <c r="J211" s="15"/>
      <c r="K211" s="15" t="s">
        <v>342</v>
      </c>
      <c r="L211" s="15">
        <v>0</v>
      </c>
      <c r="M211" s="15">
        <v>0</v>
      </c>
      <c r="N211" s="15">
        <v>0</v>
      </c>
      <c r="O211" s="15">
        <v>0</v>
      </c>
      <c r="P211" s="15">
        <v>1041681577.0615587</v>
      </c>
      <c r="Q211" s="15">
        <v>0</v>
      </c>
      <c r="R211" s="23">
        <v>651264436.76190007</v>
      </c>
      <c r="S211" s="15">
        <v>0</v>
      </c>
      <c r="T211" s="15"/>
    </row>
    <row r="212" spans="1:20" x14ac:dyDescent="0.25">
      <c r="A212" s="15" t="s">
        <v>21</v>
      </c>
      <c r="B212" s="15" t="s">
        <v>561</v>
      </c>
      <c r="C212" s="15" t="s">
        <v>591</v>
      </c>
      <c r="D212" s="15" t="s">
        <v>362</v>
      </c>
      <c r="E212" s="15" t="s">
        <v>362</v>
      </c>
      <c r="F212" s="15" t="s">
        <v>363</v>
      </c>
      <c r="G212" s="15"/>
      <c r="H212" s="15"/>
      <c r="I212" s="15"/>
      <c r="J212" s="15"/>
      <c r="K212" s="15" t="s">
        <v>342</v>
      </c>
      <c r="L212" s="15">
        <v>0</v>
      </c>
      <c r="M212" s="15">
        <v>0</v>
      </c>
      <c r="N212" s="15">
        <v>0</v>
      </c>
      <c r="O212" s="15">
        <v>0</v>
      </c>
      <c r="P212" s="15">
        <v>1765265709.8193688</v>
      </c>
      <c r="Q212" s="15">
        <v>0</v>
      </c>
      <c r="R212" s="23">
        <v>978077545.10700023</v>
      </c>
      <c r="S212" s="15">
        <v>0</v>
      </c>
      <c r="T212" s="15"/>
    </row>
    <row r="213" spans="1:20" x14ac:dyDescent="0.25">
      <c r="A213" s="15" t="s">
        <v>18</v>
      </c>
      <c r="B213" s="15" t="s">
        <v>561</v>
      </c>
      <c r="C213" s="15" t="s">
        <v>589</v>
      </c>
      <c r="D213" s="15" t="s">
        <v>364</v>
      </c>
      <c r="E213" s="15" t="s">
        <v>509</v>
      </c>
      <c r="F213" s="15" t="s">
        <v>365</v>
      </c>
      <c r="G213" s="15"/>
      <c r="H213" s="15"/>
      <c r="I213" s="15"/>
      <c r="J213" s="15"/>
      <c r="K213" s="15" t="s">
        <v>343</v>
      </c>
      <c r="L213" s="15">
        <v>0</v>
      </c>
      <c r="M213" s="15">
        <v>0</v>
      </c>
      <c r="N213" s="15">
        <v>0</v>
      </c>
      <c r="O213" s="15">
        <v>0</v>
      </c>
      <c r="P213" s="15">
        <v>1038614436.6483186</v>
      </c>
      <c r="Q213" s="15">
        <v>0</v>
      </c>
      <c r="R213" s="15">
        <v>480428274.77450013</v>
      </c>
      <c r="S213" s="15">
        <v>0</v>
      </c>
      <c r="T213" s="15"/>
    </row>
    <row r="214" spans="1:20" x14ac:dyDescent="0.25">
      <c r="A214" s="15" t="s">
        <v>17</v>
      </c>
      <c r="B214" s="15" t="s">
        <v>561</v>
      </c>
      <c r="C214" s="15" t="s">
        <v>589</v>
      </c>
      <c r="D214" s="15" t="s">
        <v>364</v>
      </c>
      <c r="E214" s="15" t="s">
        <v>509</v>
      </c>
      <c r="F214" s="15" t="s">
        <v>365</v>
      </c>
      <c r="G214" s="15"/>
      <c r="H214" s="15"/>
      <c r="I214" s="15"/>
      <c r="J214" s="15"/>
      <c r="K214" s="15" t="s">
        <v>343</v>
      </c>
      <c r="L214" s="15">
        <v>0</v>
      </c>
      <c r="M214" s="15">
        <v>0</v>
      </c>
      <c r="N214" s="15">
        <v>0</v>
      </c>
      <c r="O214" s="15">
        <v>0</v>
      </c>
      <c r="P214" s="15">
        <v>1627551925.4856875</v>
      </c>
      <c r="Q214" s="15">
        <v>0</v>
      </c>
      <c r="R214" s="15">
        <v>741268860.08500016</v>
      </c>
      <c r="S214" s="15">
        <v>0</v>
      </c>
      <c r="T214" s="15"/>
    </row>
    <row r="215" spans="1:20" x14ac:dyDescent="0.25">
      <c r="A215" s="15" t="s">
        <v>336</v>
      </c>
      <c r="B215" s="15" t="s">
        <v>561</v>
      </c>
      <c r="C215" s="15" t="s">
        <v>386</v>
      </c>
      <c r="D215" s="15" t="s">
        <v>362</v>
      </c>
      <c r="E215" s="15" t="s">
        <v>399</v>
      </c>
      <c r="F215" s="15" t="s">
        <v>366</v>
      </c>
      <c r="G215" s="15"/>
      <c r="H215" s="15"/>
      <c r="I215" s="15"/>
      <c r="J215" s="15"/>
      <c r="K215" s="15" t="s">
        <v>342</v>
      </c>
      <c r="L215" s="15">
        <v>0</v>
      </c>
      <c r="M215" s="15">
        <v>0</v>
      </c>
      <c r="N215" s="15">
        <v>0</v>
      </c>
      <c r="O215" s="15">
        <v>0</v>
      </c>
      <c r="P215" s="15">
        <v>666661438.05790865</v>
      </c>
      <c r="Q215" s="15">
        <v>0</v>
      </c>
      <c r="R215" s="15">
        <v>409132633.48490024</v>
      </c>
      <c r="S215" s="15">
        <v>0</v>
      </c>
      <c r="T215" s="15"/>
    </row>
    <row r="216" spans="1:20" ht="30" x14ac:dyDescent="0.25">
      <c r="A216" s="15" t="s">
        <v>333</v>
      </c>
      <c r="B216" s="15" t="s">
        <v>561</v>
      </c>
      <c r="C216" s="15" t="s">
        <v>591</v>
      </c>
      <c r="D216" s="15" t="s">
        <v>337</v>
      </c>
      <c r="E216" s="15" t="s">
        <v>337</v>
      </c>
      <c r="F216" s="15" t="s">
        <v>374</v>
      </c>
      <c r="G216" s="15"/>
      <c r="H216" s="15"/>
      <c r="I216" s="15"/>
      <c r="J216" s="15"/>
      <c r="K216" s="15" t="s">
        <v>375</v>
      </c>
      <c r="L216" s="15">
        <v>283124.17999999993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/>
    </row>
    <row r="217" spans="1:20" x14ac:dyDescent="0.25">
      <c r="A217" s="15" t="s">
        <v>22</v>
      </c>
      <c r="B217" s="15" t="s">
        <v>561</v>
      </c>
      <c r="C217" s="15" t="s">
        <v>591</v>
      </c>
      <c r="D217" s="15" t="s">
        <v>337</v>
      </c>
      <c r="E217" s="15" t="s">
        <v>337</v>
      </c>
      <c r="F217" s="15" t="s">
        <v>374</v>
      </c>
      <c r="G217" s="15"/>
      <c r="H217" s="15"/>
      <c r="I217" s="15"/>
      <c r="J217" s="15"/>
      <c r="K217" s="15" t="s">
        <v>377</v>
      </c>
      <c r="L217" s="15">
        <v>105566381.88999967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/>
    </row>
    <row r="218" spans="1:20" x14ac:dyDescent="0.25">
      <c r="A218" s="15" t="s">
        <v>20</v>
      </c>
      <c r="B218" s="15" t="s">
        <v>561</v>
      </c>
      <c r="C218" s="15" t="s">
        <v>591</v>
      </c>
      <c r="D218" s="15" t="s">
        <v>337</v>
      </c>
      <c r="E218" s="15" t="s">
        <v>337</v>
      </c>
      <c r="F218" s="15" t="s">
        <v>374</v>
      </c>
      <c r="G218" s="15"/>
      <c r="H218" s="15"/>
      <c r="I218" s="15"/>
      <c r="J218" s="15"/>
      <c r="K218" s="15" t="s">
        <v>343</v>
      </c>
      <c r="L218" s="15">
        <v>64720074.180000171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/>
    </row>
    <row r="219" spans="1:20" x14ac:dyDescent="0.25">
      <c r="A219" s="15" t="s">
        <v>345</v>
      </c>
      <c r="B219" s="15" t="s">
        <v>561</v>
      </c>
      <c r="C219" s="15" t="s">
        <v>591</v>
      </c>
      <c r="D219" s="15" t="s">
        <v>337</v>
      </c>
      <c r="E219" s="15" t="s">
        <v>337</v>
      </c>
      <c r="F219" s="15" t="s">
        <v>374</v>
      </c>
      <c r="G219" s="15"/>
      <c r="H219" s="15"/>
      <c r="I219" s="15"/>
      <c r="J219" s="15"/>
      <c r="K219" s="15" t="s">
        <v>377</v>
      </c>
      <c r="L219" s="15">
        <v>121614441.35999963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/>
    </row>
    <row r="220" spans="1:20" ht="30" x14ac:dyDescent="0.25">
      <c r="A220" s="15" t="s">
        <v>7</v>
      </c>
      <c r="B220" s="15" t="s">
        <v>561</v>
      </c>
      <c r="C220" s="15" t="s">
        <v>591</v>
      </c>
      <c r="D220" s="15" t="s">
        <v>337</v>
      </c>
      <c r="E220" s="15" t="s">
        <v>337</v>
      </c>
      <c r="F220" s="15" t="s">
        <v>374</v>
      </c>
      <c r="G220" s="15"/>
      <c r="H220" s="15"/>
      <c r="I220" s="15"/>
      <c r="J220" s="15">
        <v>1</v>
      </c>
      <c r="K220" s="15" t="s">
        <v>375</v>
      </c>
      <c r="L220" s="15">
        <v>112033790.56999968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/>
    </row>
    <row r="221" spans="1:20" ht="30" x14ac:dyDescent="0.25">
      <c r="A221" s="15" t="s">
        <v>333</v>
      </c>
      <c r="B221" s="15" t="s">
        <v>561</v>
      </c>
      <c r="C221" s="15" t="s">
        <v>591</v>
      </c>
      <c r="D221" s="15" t="s">
        <v>337</v>
      </c>
      <c r="E221" s="15" t="s">
        <v>337</v>
      </c>
      <c r="F221" s="15" t="s">
        <v>374</v>
      </c>
      <c r="G221" s="15"/>
      <c r="H221" s="15"/>
      <c r="I221" s="15"/>
      <c r="J221" s="15"/>
      <c r="K221" s="15" t="s">
        <v>375</v>
      </c>
      <c r="L221" s="15">
        <v>526009540.95000339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/>
    </row>
    <row r="222" spans="1:20" x14ac:dyDescent="0.25">
      <c r="A222" s="15" t="s">
        <v>36</v>
      </c>
      <c r="B222" s="15" t="s">
        <v>561</v>
      </c>
      <c r="C222" s="15" t="s">
        <v>591</v>
      </c>
      <c r="D222" s="15" t="s">
        <v>337</v>
      </c>
      <c r="E222" s="15" t="s">
        <v>337</v>
      </c>
      <c r="F222" s="15" t="s">
        <v>374</v>
      </c>
      <c r="G222" s="15"/>
      <c r="H222" s="15"/>
      <c r="I222" s="15"/>
      <c r="J222" s="15"/>
      <c r="K222" s="15" t="s">
        <v>377</v>
      </c>
      <c r="L222" s="15">
        <v>29237977.820000004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/>
    </row>
    <row r="223" spans="1:20" x14ac:dyDescent="0.25">
      <c r="A223" s="15" t="s">
        <v>346</v>
      </c>
      <c r="B223" s="15" t="s">
        <v>561</v>
      </c>
      <c r="C223" s="15" t="s">
        <v>591</v>
      </c>
      <c r="D223" s="15" t="s">
        <v>337</v>
      </c>
      <c r="E223" s="15" t="s">
        <v>337</v>
      </c>
      <c r="F223" s="15" t="s">
        <v>374</v>
      </c>
      <c r="G223" s="15"/>
      <c r="H223" s="15"/>
      <c r="I223" s="15"/>
      <c r="J223" s="15"/>
      <c r="K223" s="15" t="s">
        <v>377</v>
      </c>
      <c r="L223" s="15">
        <v>75479434.529999688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/>
    </row>
    <row r="224" spans="1:20" x14ac:dyDescent="0.25">
      <c r="A224" s="15" t="s">
        <v>118</v>
      </c>
      <c r="B224" s="15" t="s">
        <v>561</v>
      </c>
      <c r="C224" s="15" t="s">
        <v>591</v>
      </c>
      <c r="D224" s="15" t="s">
        <v>337</v>
      </c>
      <c r="E224" s="15" t="s">
        <v>337</v>
      </c>
      <c r="F224" s="15" t="s">
        <v>374</v>
      </c>
      <c r="G224" s="15"/>
      <c r="H224" s="15"/>
      <c r="I224" s="15"/>
      <c r="J224" s="15"/>
      <c r="K224" s="15" t="s">
        <v>343</v>
      </c>
      <c r="L224" s="15">
        <v>148975561.0899995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/>
    </row>
    <row r="225" spans="1:20" x14ac:dyDescent="0.25">
      <c r="A225" s="15" t="s">
        <v>93</v>
      </c>
      <c r="B225" s="15" t="s">
        <v>561</v>
      </c>
      <c r="C225" s="15" t="s">
        <v>591</v>
      </c>
      <c r="D225" s="15" t="s">
        <v>337</v>
      </c>
      <c r="E225" s="15" t="s">
        <v>337</v>
      </c>
      <c r="F225" s="15" t="s">
        <v>374</v>
      </c>
      <c r="G225" s="15"/>
      <c r="H225" s="15"/>
      <c r="I225" s="15"/>
      <c r="J225" s="15"/>
      <c r="K225" s="15" t="s">
        <v>343</v>
      </c>
      <c r="L225" s="15">
        <v>69785619.640000135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/>
    </row>
    <row r="226" spans="1:20" x14ac:dyDescent="0.25">
      <c r="A226" s="15" t="s">
        <v>55</v>
      </c>
      <c r="B226" s="15" t="s">
        <v>561</v>
      </c>
      <c r="C226" s="15" t="s">
        <v>591</v>
      </c>
      <c r="D226" s="15" t="s">
        <v>337</v>
      </c>
      <c r="E226" s="15" t="s">
        <v>337</v>
      </c>
      <c r="F226" s="15" t="s">
        <v>374</v>
      </c>
      <c r="G226" s="15"/>
      <c r="H226" s="15"/>
      <c r="I226" s="15"/>
      <c r="J226" s="15"/>
      <c r="K226" s="15" t="s">
        <v>377</v>
      </c>
      <c r="L226" s="15">
        <v>31075214.729999986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/>
    </row>
    <row r="227" spans="1:20" x14ac:dyDescent="0.25">
      <c r="A227" s="15" t="s">
        <v>17</v>
      </c>
      <c r="B227" s="15" t="s">
        <v>561</v>
      </c>
      <c r="C227" s="15" t="s">
        <v>591</v>
      </c>
      <c r="D227" s="15" t="s">
        <v>337</v>
      </c>
      <c r="E227" s="15" t="s">
        <v>337</v>
      </c>
      <c r="F227" s="15" t="s">
        <v>374</v>
      </c>
      <c r="G227" s="15"/>
      <c r="H227" s="15"/>
      <c r="I227" s="15"/>
      <c r="J227" s="15"/>
      <c r="K227" s="15" t="s">
        <v>343</v>
      </c>
      <c r="L227" s="15">
        <v>77073871.469999909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/>
    </row>
    <row r="228" spans="1:20" x14ac:dyDescent="0.25">
      <c r="A228" s="15" t="s">
        <v>51</v>
      </c>
      <c r="B228" s="15" t="s">
        <v>561</v>
      </c>
      <c r="C228" s="15" t="s">
        <v>591</v>
      </c>
      <c r="D228" s="15" t="s">
        <v>337</v>
      </c>
      <c r="E228" s="15" t="s">
        <v>337</v>
      </c>
      <c r="F228" s="15" t="s">
        <v>374</v>
      </c>
      <c r="G228" s="15"/>
      <c r="H228" s="15"/>
      <c r="I228" s="15"/>
      <c r="J228" s="15"/>
      <c r="K228" s="15" t="s">
        <v>377</v>
      </c>
      <c r="L228" s="15">
        <v>35515056.810000002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/>
    </row>
    <row r="229" spans="1:20" x14ac:dyDescent="0.25">
      <c r="A229" s="15" t="s">
        <v>7</v>
      </c>
      <c r="B229" s="15" t="s">
        <v>561</v>
      </c>
      <c r="C229" s="15" t="s">
        <v>591</v>
      </c>
      <c r="D229" s="15" t="s">
        <v>323</v>
      </c>
      <c r="E229" s="15" t="s">
        <v>318</v>
      </c>
      <c r="F229" s="15" t="s">
        <v>324</v>
      </c>
      <c r="G229" s="15"/>
      <c r="H229" s="15"/>
      <c r="I229" s="15"/>
      <c r="J229" s="15">
        <v>1</v>
      </c>
      <c r="K229" s="15" t="s">
        <v>379</v>
      </c>
      <c r="L229" s="15">
        <v>75907049.919999987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/>
    </row>
    <row r="230" spans="1:20" x14ac:dyDescent="0.25">
      <c r="A230" s="15" t="s">
        <v>380</v>
      </c>
      <c r="B230" s="15" t="s">
        <v>561</v>
      </c>
      <c r="C230" s="15" t="s">
        <v>386</v>
      </c>
      <c r="D230" s="15" t="s">
        <v>318</v>
      </c>
      <c r="E230" s="15" t="s">
        <v>390</v>
      </c>
      <c r="F230" s="15" t="s">
        <v>326</v>
      </c>
      <c r="G230" s="15"/>
      <c r="H230" s="15" t="s">
        <v>320</v>
      </c>
      <c r="I230" s="15"/>
      <c r="J230" s="15"/>
      <c r="K230" s="15"/>
      <c r="L230" s="15">
        <v>0</v>
      </c>
      <c r="M230" s="15">
        <v>0</v>
      </c>
      <c r="N230" s="15">
        <v>0</v>
      </c>
      <c r="O230" s="15">
        <v>27831061.140000023</v>
      </c>
      <c r="P230" s="15">
        <v>0</v>
      </c>
      <c r="Q230" s="15">
        <v>49094726.479999989</v>
      </c>
      <c r="R230" s="15">
        <v>0</v>
      </c>
      <c r="S230" s="15">
        <v>0</v>
      </c>
      <c r="T230" s="15"/>
    </row>
    <row r="231" spans="1:20" x14ac:dyDescent="0.25">
      <c r="A231" s="15" t="s">
        <v>21</v>
      </c>
      <c r="B231" s="15" t="s">
        <v>561</v>
      </c>
      <c r="C231" s="15" t="s">
        <v>591</v>
      </c>
      <c r="D231" s="15" t="s">
        <v>318</v>
      </c>
      <c r="E231" s="15" t="s">
        <v>318</v>
      </c>
      <c r="F231" s="15" t="s">
        <v>331</v>
      </c>
      <c r="G231" s="15"/>
      <c r="H231" s="15" t="s">
        <v>322</v>
      </c>
      <c r="I231" s="15"/>
      <c r="J231" s="15"/>
      <c r="K231" s="15"/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/>
    </row>
    <row r="232" spans="1:20" x14ac:dyDescent="0.25">
      <c r="A232" s="15" t="s">
        <v>333</v>
      </c>
      <c r="B232" s="15" t="s">
        <v>561</v>
      </c>
      <c r="C232" s="15" t="s">
        <v>591</v>
      </c>
      <c r="D232" s="15" t="s">
        <v>364</v>
      </c>
      <c r="E232" s="15" t="s">
        <v>364</v>
      </c>
      <c r="F232" s="15" t="s">
        <v>381</v>
      </c>
      <c r="G232" s="15"/>
      <c r="H232" s="15"/>
      <c r="I232" s="15"/>
      <c r="J232" s="15"/>
      <c r="K232" s="15"/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11314707530.999416</v>
      </c>
      <c r="T232" s="15"/>
    </row>
    <row r="233" spans="1:20" x14ac:dyDescent="0.25">
      <c r="A233" s="15" t="s">
        <v>383</v>
      </c>
      <c r="B233" s="15" t="s">
        <v>561</v>
      </c>
      <c r="C233" s="15" t="s">
        <v>591</v>
      </c>
      <c r="D233" s="15" t="s">
        <v>318</v>
      </c>
      <c r="E233" s="15" t="s">
        <v>318</v>
      </c>
      <c r="F233" s="15" t="s">
        <v>319</v>
      </c>
      <c r="G233" s="15"/>
      <c r="H233" s="15" t="s">
        <v>320</v>
      </c>
      <c r="I233" s="15"/>
      <c r="J233" s="15"/>
      <c r="K233" s="15"/>
      <c r="L233" s="15">
        <v>16492.399999999998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/>
    </row>
    <row r="234" spans="1:20" x14ac:dyDescent="0.25">
      <c r="A234" s="15" t="s">
        <v>353</v>
      </c>
      <c r="B234" s="15" t="s">
        <v>561</v>
      </c>
      <c r="C234" s="15" t="s">
        <v>591</v>
      </c>
      <c r="D234" s="15" t="s">
        <v>318</v>
      </c>
      <c r="E234" s="15" t="s">
        <v>318</v>
      </c>
      <c r="F234" s="15" t="s">
        <v>319</v>
      </c>
      <c r="G234" s="15"/>
      <c r="H234" s="15" t="s">
        <v>320</v>
      </c>
      <c r="I234" s="15"/>
      <c r="J234" s="15"/>
      <c r="K234" s="15"/>
      <c r="L234" s="15">
        <v>4318141.4600000009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/>
    </row>
    <row r="235" spans="1:20" x14ac:dyDescent="0.25">
      <c r="A235" s="15" t="s">
        <v>22</v>
      </c>
      <c r="B235" s="15" t="s">
        <v>561</v>
      </c>
      <c r="C235" s="15" t="s">
        <v>591</v>
      </c>
      <c r="D235" s="15" t="s">
        <v>318</v>
      </c>
      <c r="E235" s="15" t="s">
        <v>318</v>
      </c>
      <c r="F235" s="15" t="s">
        <v>319</v>
      </c>
      <c r="G235" s="15"/>
      <c r="H235" s="15" t="s">
        <v>320</v>
      </c>
      <c r="I235" s="15"/>
      <c r="J235" s="15"/>
      <c r="K235" s="15"/>
      <c r="L235" s="15">
        <v>21819448.430000007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/>
    </row>
    <row r="236" spans="1:20" x14ac:dyDescent="0.25">
      <c r="A236" s="15" t="s">
        <v>56</v>
      </c>
      <c r="B236" s="15" t="s">
        <v>561</v>
      </c>
      <c r="C236" s="15" t="s">
        <v>591</v>
      </c>
      <c r="D236" s="15" t="s">
        <v>318</v>
      </c>
      <c r="E236" s="15" t="s">
        <v>318</v>
      </c>
      <c r="F236" s="15" t="s">
        <v>319</v>
      </c>
      <c r="G236" s="15"/>
      <c r="H236" s="15" t="s">
        <v>320</v>
      </c>
      <c r="I236" s="15"/>
      <c r="J236" s="15"/>
      <c r="K236" s="15"/>
      <c r="L236" s="15">
        <v>9185746.0500000063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/>
    </row>
    <row r="237" spans="1:20" x14ac:dyDescent="0.25">
      <c r="A237" s="15" t="s">
        <v>90</v>
      </c>
      <c r="B237" s="15" t="s">
        <v>561</v>
      </c>
      <c r="C237" s="15" t="s">
        <v>591</v>
      </c>
      <c r="D237" s="15" t="s">
        <v>318</v>
      </c>
      <c r="E237" s="15" t="s">
        <v>318</v>
      </c>
      <c r="F237" s="15" t="s">
        <v>319</v>
      </c>
      <c r="G237" s="15"/>
      <c r="H237" s="15" t="s">
        <v>320</v>
      </c>
      <c r="I237" s="15"/>
      <c r="J237" s="15"/>
      <c r="K237" s="15"/>
      <c r="L237" s="15">
        <v>78932.240000000005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/>
    </row>
    <row r="238" spans="1:20" x14ac:dyDescent="0.25">
      <c r="A238" s="15" t="s">
        <v>20</v>
      </c>
      <c r="B238" s="15" t="s">
        <v>561</v>
      </c>
      <c r="C238" s="15" t="s">
        <v>591</v>
      </c>
      <c r="D238" s="15" t="s">
        <v>318</v>
      </c>
      <c r="E238" s="15" t="s">
        <v>318</v>
      </c>
      <c r="F238" s="15" t="s">
        <v>319</v>
      </c>
      <c r="G238" s="15" t="s">
        <v>319</v>
      </c>
      <c r="H238" s="15" t="s">
        <v>320</v>
      </c>
      <c r="I238" s="15"/>
      <c r="J238" s="15"/>
      <c r="K238" s="15"/>
      <c r="L238" s="15">
        <v>152696.55999999997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/>
    </row>
    <row r="239" spans="1:20" x14ac:dyDescent="0.25">
      <c r="A239" s="15" t="s">
        <v>20</v>
      </c>
      <c r="B239" s="15" t="s">
        <v>561</v>
      </c>
      <c r="C239" s="15" t="s">
        <v>591</v>
      </c>
      <c r="D239" s="15" t="s">
        <v>318</v>
      </c>
      <c r="E239" s="15" t="s">
        <v>318</v>
      </c>
      <c r="F239" s="15" t="s">
        <v>319</v>
      </c>
      <c r="G239" s="15" t="s">
        <v>319</v>
      </c>
      <c r="H239" s="15" t="s">
        <v>322</v>
      </c>
      <c r="I239" s="15"/>
      <c r="J239" s="15"/>
      <c r="K239" s="15"/>
      <c r="L239" s="15">
        <v>12786581.08999995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/>
    </row>
    <row r="240" spans="1:20" x14ac:dyDescent="0.25">
      <c r="A240" s="15" t="s">
        <v>25</v>
      </c>
      <c r="B240" s="15" t="s">
        <v>561</v>
      </c>
      <c r="C240" s="15" t="s">
        <v>591</v>
      </c>
      <c r="D240" s="15" t="s">
        <v>318</v>
      </c>
      <c r="E240" s="15" t="s">
        <v>318</v>
      </c>
      <c r="F240" s="15" t="s">
        <v>319</v>
      </c>
      <c r="G240" s="15"/>
      <c r="H240" s="15" t="s">
        <v>320</v>
      </c>
      <c r="I240" s="15"/>
      <c r="J240" s="15"/>
      <c r="K240" s="15"/>
      <c r="L240" s="15">
        <v>25568610.759999935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/>
    </row>
    <row r="241" spans="1:20" x14ac:dyDescent="0.25">
      <c r="A241" s="15" t="s">
        <v>54</v>
      </c>
      <c r="B241" s="15" t="s">
        <v>561</v>
      </c>
      <c r="C241" s="15" t="s">
        <v>591</v>
      </c>
      <c r="D241" s="15" t="s">
        <v>318</v>
      </c>
      <c r="E241" s="15" t="s">
        <v>318</v>
      </c>
      <c r="F241" s="15" t="s">
        <v>319</v>
      </c>
      <c r="G241" s="15"/>
      <c r="H241" s="15" t="s">
        <v>320</v>
      </c>
      <c r="I241" s="15"/>
      <c r="J241" s="15"/>
      <c r="K241" s="15"/>
      <c r="L241" s="15">
        <v>2964846.8800000008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/>
    </row>
    <row r="242" spans="1:20" x14ac:dyDescent="0.25">
      <c r="A242" s="15" t="s">
        <v>350</v>
      </c>
      <c r="B242" s="15" t="s">
        <v>561</v>
      </c>
      <c r="C242" s="15" t="s">
        <v>591</v>
      </c>
      <c r="D242" s="15" t="s">
        <v>318</v>
      </c>
      <c r="E242" s="15" t="s">
        <v>318</v>
      </c>
      <c r="F242" s="15" t="s">
        <v>319</v>
      </c>
      <c r="G242" s="15"/>
      <c r="H242" s="15" t="s">
        <v>320</v>
      </c>
      <c r="I242" s="15"/>
      <c r="J242" s="15"/>
      <c r="K242" s="15"/>
      <c r="L242" s="15">
        <v>11122562.409999976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/>
    </row>
    <row r="243" spans="1:20" x14ac:dyDescent="0.25">
      <c r="A243" s="15" t="s">
        <v>27</v>
      </c>
      <c r="B243" s="15" t="s">
        <v>561</v>
      </c>
      <c r="C243" s="15" t="s">
        <v>591</v>
      </c>
      <c r="D243" s="15" t="s">
        <v>318</v>
      </c>
      <c r="E243" s="15" t="s">
        <v>318</v>
      </c>
      <c r="F243" s="15" t="s">
        <v>319</v>
      </c>
      <c r="G243" s="15"/>
      <c r="H243" s="15" t="s">
        <v>320</v>
      </c>
      <c r="I243" s="15"/>
      <c r="J243" s="15"/>
      <c r="K243" s="15"/>
      <c r="L243" s="15">
        <v>5516975.6900000079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/>
    </row>
    <row r="244" spans="1:20" x14ac:dyDescent="0.25">
      <c r="A244" s="15" t="s">
        <v>7</v>
      </c>
      <c r="B244" s="15" t="s">
        <v>561</v>
      </c>
      <c r="C244" s="15" t="s">
        <v>591</v>
      </c>
      <c r="D244" s="15" t="s">
        <v>318</v>
      </c>
      <c r="E244" s="15" t="s">
        <v>318</v>
      </c>
      <c r="F244" s="15" t="s">
        <v>319</v>
      </c>
      <c r="G244" s="15"/>
      <c r="H244" s="15" t="s">
        <v>320</v>
      </c>
      <c r="I244" s="15"/>
      <c r="J244" s="15"/>
      <c r="K244" s="15"/>
      <c r="L244" s="15">
        <v>597781.92999999993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/>
    </row>
    <row r="245" spans="1:20" x14ac:dyDescent="0.25">
      <c r="A245" s="15" t="s">
        <v>7</v>
      </c>
      <c r="B245" s="15" t="s">
        <v>561</v>
      </c>
      <c r="C245" s="15" t="s">
        <v>591</v>
      </c>
      <c r="D245" s="15" t="s">
        <v>318</v>
      </c>
      <c r="E245" s="15" t="s">
        <v>318</v>
      </c>
      <c r="F245" s="15" t="s">
        <v>319</v>
      </c>
      <c r="G245" s="15"/>
      <c r="H245" s="15" t="s">
        <v>322</v>
      </c>
      <c r="I245" s="15"/>
      <c r="J245" s="15"/>
      <c r="K245" s="15"/>
      <c r="L245" s="15">
        <v>8503970.8899999987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/>
    </row>
    <row r="246" spans="1:20" x14ac:dyDescent="0.25">
      <c r="A246" s="15" t="s">
        <v>333</v>
      </c>
      <c r="B246" s="15" t="s">
        <v>561</v>
      </c>
      <c r="C246" s="15" t="s">
        <v>591</v>
      </c>
      <c r="D246" s="15" t="s">
        <v>318</v>
      </c>
      <c r="E246" s="15" t="s">
        <v>318</v>
      </c>
      <c r="F246" s="15" t="s">
        <v>319</v>
      </c>
      <c r="G246" s="15"/>
      <c r="H246" s="15" t="s">
        <v>322</v>
      </c>
      <c r="I246" s="15"/>
      <c r="J246" s="15"/>
      <c r="K246" s="15"/>
      <c r="L246" s="15">
        <v>38756102.86999961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/>
    </row>
    <row r="247" spans="1:20" x14ac:dyDescent="0.25">
      <c r="A247" s="15" t="s">
        <v>21</v>
      </c>
      <c r="B247" s="15" t="s">
        <v>561</v>
      </c>
      <c r="C247" s="15" t="s">
        <v>591</v>
      </c>
      <c r="D247" s="15" t="s">
        <v>318</v>
      </c>
      <c r="E247" s="15" t="s">
        <v>318</v>
      </c>
      <c r="F247" s="15" t="s">
        <v>319</v>
      </c>
      <c r="G247" s="15"/>
      <c r="H247" s="15" t="s">
        <v>320</v>
      </c>
      <c r="I247" s="15"/>
      <c r="J247" s="15"/>
      <c r="K247" s="15"/>
      <c r="L247" s="15">
        <v>40099952.099999592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/>
    </row>
    <row r="248" spans="1:20" x14ac:dyDescent="0.25">
      <c r="A248" s="15" t="s">
        <v>152</v>
      </c>
      <c r="B248" s="15" t="s">
        <v>561</v>
      </c>
      <c r="C248" s="15" t="s">
        <v>591</v>
      </c>
      <c r="D248" s="15" t="s">
        <v>318</v>
      </c>
      <c r="E248" s="15" t="s">
        <v>318</v>
      </c>
      <c r="F248" s="15" t="s">
        <v>319</v>
      </c>
      <c r="G248" s="15"/>
      <c r="H248" s="15" t="s">
        <v>320</v>
      </c>
      <c r="I248" s="15"/>
      <c r="J248" s="15"/>
      <c r="K248" s="15"/>
      <c r="L248" s="15">
        <v>6101533.7600000193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/>
    </row>
    <row r="249" spans="1:20" x14ac:dyDescent="0.25">
      <c r="A249" s="15" t="s">
        <v>18</v>
      </c>
      <c r="B249" s="15" t="s">
        <v>561</v>
      </c>
      <c r="C249" s="15" t="s">
        <v>591</v>
      </c>
      <c r="D249" s="15" t="s">
        <v>318</v>
      </c>
      <c r="E249" s="15" t="s">
        <v>318</v>
      </c>
      <c r="F249" s="15" t="s">
        <v>319</v>
      </c>
      <c r="G249" s="15" t="s">
        <v>319</v>
      </c>
      <c r="H249" s="15" t="s">
        <v>320</v>
      </c>
      <c r="I249" s="15"/>
      <c r="J249" s="15"/>
      <c r="K249" s="15"/>
      <c r="L249" s="15">
        <v>11308710.899999972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/>
    </row>
    <row r="250" spans="1:20" x14ac:dyDescent="0.25">
      <c r="A250" s="15" t="s">
        <v>105</v>
      </c>
      <c r="B250" s="15" t="s">
        <v>561</v>
      </c>
      <c r="C250" s="15" t="s">
        <v>591</v>
      </c>
      <c r="D250" s="15" t="s">
        <v>318</v>
      </c>
      <c r="E250" s="15" t="s">
        <v>318</v>
      </c>
      <c r="F250" s="15" t="s">
        <v>319</v>
      </c>
      <c r="G250" s="15"/>
      <c r="H250" s="15" t="s">
        <v>320</v>
      </c>
      <c r="I250" s="15"/>
      <c r="J250" s="15"/>
      <c r="K250" s="15"/>
      <c r="L250" s="15">
        <v>286145.93999999994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/>
    </row>
    <row r="251" spans="1:20" x14ac:dyDescent="0.25">
      <c r="A251" s="15" t="s">
        <v>93</v>
      </c>
      <c r="B251" s="15" t="s">
        <v>561</v>
      </c>
      <c r="C251" s="15" t="s">
        <v>591</v>
      </c>
      <c r="D251" s="15" t="s">
        <v>318</v>
      </c>
      <c r="E251" s="15" t="s">
        <v>318</v>
      </c>
      <c r="F251" s="15" t="s">
        <v>319</v>
      </c>
      <c r="G251" s="15"/>
      <c r="H251" s="15" t="s">
        <v>320</v>
      </c>
      <c r="I251" s="15"/>
      <c r="J251" s="15"/>
      <c r="K251" s="15"/>
      <c r="L251" s="15">
        <v>17912428.459999882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/>
    </row>
    <row r="252" spans="1:20" x14ac:dyDescent="0.25">
      <c r="A252" s="15" t="s">
        <v>55</v>
      </c>
      <c r="B252" s="15" t="s">
        <v>561</v>
      </c>
      <c r="C252" s="15" t="s">
        <v>591</v>
      </c>
      <c r="D252" s="15" t="s">
        <v>318</v>
      </c>
      <c r="E252" s="15" t="s">
        <v>318</v>
      </c>
      <c r="F252" s="15" t="s">
        <v>319</v>
      </c>
      <c r="G252" s="15"/>
      <c r="H252" s="15" t="s">
        <v>322</v>
      </c>
      <c r="I252" s="15"/>
      <c r="J252" s="15"/>
      <c r="K252" s="15"/>
      <c r="L252" s="15">
        <v>5842546.7000000197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/>
    </row>
    <row r="253" spans="1:20" x14ac:dyDescent="0.25">
      <c r="A253" s="15" t="s">
        <v>17</v>
      </c>
      <c r="B253" s="15" t="s">
        <v>561</v>
      </c>
      <c r="C253" s="15" t="s">
        <v>591</v>
      </c>
      <c r="D253" s="15" t="s">
        <v>318</v>
      </c>
      <c r="E253" s="15" t="s">
        <v>318</v>
      </c>
      <c r="F253" s="15" t="s">
        <v>319</v>
      </c>
      <c r="G253" s="15" t="s">
        <v>319</v>
      </c>
      <c r="H253" s="15" t="s">
        <v>322</v>
      </c>
      <c r="I253" s="15"/>
      <c r="J253" s="15"/>
      <c r="K253" s="15"/>
      <c r="L253" s="15">
        <v>19446886.789999954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/>
    </row>
    <row r="254" spans="1:20" x14ac:dyDescent="0.25">
      <c r="A254" s="15" t="s">
        <v>385</v>
      </c>
      <c r="B254" s="15" t="s">
        <v>561</v>
      </c>
      <c r="C254" s="15" t="s">
        <v>591</v>
      </c>
      <c r="D254" s="15" t="s">
        <v>318</v>
      </c>
      <c r="E254" s="15" t="s">
        <v>318</v>
      </c>
      <c r="F254" s="15" t="s">
        <v>319</v>
      </c>
      <c r="G254" s="15"/>
      <c r="H254" s="15" t="s">
        <v>320</v>
      </c>
      <c r="I254" s="15"/>
      <c r="J254" s="15"/>
      <c r="K254" s="15"/>
      <c r="L254" s="15">
        <v>7878247.5200000014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/>
    </row>
    <row r="255" spans="1:20" x14ac:dyDescent="0.25">
      <c r="A255" s="15" t="s">
        <v>107</v>
      </c>
      <c r="B255" s="15" t="s">
        <v>561</v>
      </c>
      <c r="C255" s="15" t="s">
        <v>591</v>
      </c>
      <c r="D255" s="15" t="s">
        <v>318</v>
      </c>
      <c r="E255" s="15" t="s">
        <v>318</v>
      </c>
      <c r="F255" s="15" t="s">
        <v>319</v>
      </c>
      <c r="G255" s="15"/>
      <c r="H255" s="15" t="s">
        <v>320</v>
      </c>
      <c r="I255" s="15"/>
      <c r="J255" s="15"/>
      <c r="K255" s="15"/>
      <c r="L255" s="15">
        <v>459590.29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/>
    </row>
    <row r="256" spans="1:20" x14ac:dyDescent="0.25">
      <c r="A256" s="15" t="s">
        <v>336</v>
      </c>
      <c r="B256" s="15" t="s">
        <v>561</v>
      </c>
      <c r="C256" s="15" t="s">
        <v>591</v>
      </c>
      <c r="D256" s="15" t="s">
        <v>318</v>
      </c>
      <c r="E256" s="15" t="s">
        <v>318</v>
      </c>
      <c r="F256" s="15" t="s">
        <v>319</v>
      </c>
      <c r="G256" s="15"/>
      <c r="H256" s="15" t="s">
        <v>320</v>
      </c>
      <c r="I256" s="15"/>
      <c r="J256" s="15"/>
      <c r="K256" s="15"/>
      <c r="L256" s="15">
        <v>11608457.909999993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/>
    </row>
    <row r="257" spans="1:20" x14ac:dyDescent="0.25">
      <c r="A257" s="15" t="s">
        <v>51</v>
      </c>
      <c r="B257" s="15" t="s">
        <v>561</v>
      </c>
      <c r="C257" s="15" t="s">
        <v>591</v>
      </c>
      <c r="D257" s="15" t="s">
        <v>318</v>
      </c>
      <c r="E257" s="15" t="s">
        <v>318</v>
      </c>
      <c r="F257" s="15" t="s">
        <v>319</v>
      </c>
      <c r="G257" s="15"/>
      <c r="H257" s="15" t="s">
        <v>320</v>
      </c>
      <c r="I257" s="15"/>
      <c r="J257" s="15"/>
      <c r="K257" s="15"/>
      <c r="L257" s="15">
        <v>2743343.1599999988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/>
    </row>
    <row r="258" spans="1:20" x14ac:dyDescent="0.25">
      <c r="A258" s="15" t="s">
        <v>51</v>
      </c>
      <c r="B258" s="15" t="s">
        <v>561</v>
      </c>
      <c r="C258" s="15" t="s">
        <v>591</v>
      </c>
      <c r="D258" s="15" t="s">
        <v>318</v>
      </c>
      <c r="E258" s="15" t="s">
        <v>318</v>
      </c>
      <c r="F258" s="15" t="s">
        <v>319</v>
      </c>
      <c r="G258" s="15"/>
      <c r="H258" s="15" t="s">
        <v>322</v>
      </c>
      <c r="I258" s="15"/>
      <c r="J258" s="15"/>
      <c r="K258" s="15"/>
      <c r="L258" s="15">
        <v>377880.25999999989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/>
    </row>
    <row r="259" spans="1:20" x14ac:dyDescent="0.25">
      <c r="A259" s="15" t="s">
        <v>18</v>
      </c>
      <c r="B259" s="15" t="s">
        <v>561</v>
      </c>
      <c r="C259" s="15" t="s">
        <v>589</v>
      </c>
      <c r="D259" s="15" t="s">
        <v>318</v>
      </c>
      <c r="E259" s="15" t="s">
        <v>495</v>
      </c>
      <c r="F259" s="15" t="s">
        <v>319</v>
      </c>
      <c r="G259" s="15" t="s">
        <v>319</v>
      </c>
      <c r="H259" s="15" t="s">
        <v>320</v>
      </c>
      <c r="I259" s="15"/>
      <c r="J259" s="15"/>
      <c r="K259" s="15"/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11308710.900000002</v>
      </c>
      <c r="R259" s="15">
        <v>0</v>
      </c>
      <c r="S259" s="15">
        <v>0</v>
      </c>
      <c r="T259" s="15"/>
    </row>
    <row r="260" spans="1:20" ht="30" x14ac:dyDescent="0.25">
      <c r="A260" s="15" t="s">
        <v>111</v>
      </c>
      <c r="B260" s="15" t="s">
        <v>386</v>
      </c>
      <c r="C260" s="15" t="str">
        <f>B260</f>
        <v>HSR Center</v>
      </c>
      <c r="D260" s="15" t="s">
        <v>387</v>
      </c>
      <c r="E260" s="15" t="str">
        <f>D260</f>
        <v>RADM CEN Grocery RKA+Monetka,Krasnoe i beloe, Kiro</v>
      </c>
      <c r="F260" s="15" t="s">
        <v>388</v>
      </c>
      <c r="G260" s="15"/>
      <c r="H260" s="15" t="s">
        <v>389</v>
      </c>
      <c r="I260" s="15">
        <v>1</v>
      </c>
      <c r="J260" s="15">
        <v>1</v>
      </c>
      <c r="K260" s="15" t="s">
        <v>343</v>
      </c>
      <c r="L260" s="15">
        <v>0</v>
      </c>
      <c r="M260" s="15">
        <v>273375212.92999798</v>
      </c>
      <c r="N260" s="15">
        <v>1308584.48</v>
      </c>
      <c r="O260" s="15">
        <v>27757720.270000011</v>
      </c>
      <c r="P260" s="15">
        <v>295869483.78616917</v>
      </c>
      <c r="Q260" s="15">
        <v>0</v>
      </c>
      <c r="R260" s="15">
        <v>136896493.58840001</v>
      </c>
      <c r="S260" s="15">
        <v>0</v>
      </c>
      <c r="T260" s="15">
        <v>18010939.100000001</v>
      </c>
    </row>
    <row r="261" spans="1:20" x14ac:dyDescent="0.25">
      <c r="A261" s="15" t="s">
        <v>108</v>
      </c>
      <c r="B261" s="15" t="s">
        <v>386</v>
      </c>
      <c r="C261" s="15" t="str">
        <f t="shared" ref="C261:C324" si="0">B261</f>
        <v>HSR Center</v>
      </c>
      <c r="D261" s="15" t="s">
        <v>390</v>
      </c>
      <c r="E261" s="15" t="str">
        <f t="shared" ref="E261:E324" si="1">D261</f>
        <v>ASM CEN Fud-trade+Reid-21</v>
      </c>
      <c r="F261" s="15" t="s">
        <v>391</v>
      </c>
      <c r="G261" s="15"/>
      <c r="H261" s="15" t="s">
        <v>389</v>
      </c>
      <c r="I261" s="15">
        <v>1</v>
      </c>
      <c r="J261" s="15"/>
      <c r="K261" s="15"/>
      <c r="L261" s="15">
        <v>0</v>
      </c>
      <c r="M261" s="15">
        <v>410425.87</v>
      </c>
      <c r="N261" s="15">
        <v>4796203.9399999995</v>
      </c>
      <c r="O261" s="15">
        <v>7264198.879999999</v>
      </c>
      <c r="P261" s="15">
        <v>0</v>
      </c>
      <c r="Q261" s="15">
        <v>0</v>
      </c>
      <c r="R261" s="15">
        <v>0</v>
      </c>
      <c r="S261" s="15">
        <v>0</v>
      </c>
      <c r="T261" s="15">
        <v>271516.5</v>
      </c>
    </row>
    <row r="262" spans="1:20" x14ac:dyDescent="0.25">
      <c r="A262" s="15" t="s">
        <v>350</v>
      </c>
      <c r="B262" s="15" t="s">
        <v>386</v>
      </c>
      <c r="C262" s="15" t="str">
        <f t="shared" si="0"/>
        <v>HSR Center</v>
      </c>
      <c r="D262" s="15" t="s">
        <v>390</v>
      </c>
      <c r="E262" s="15" t="str">
        <f t="shared" si="1"/>
        <v>ASM CEN Fud-trade+Reid-21</v>
      </c>
      <c r="F262" s="15" t="s">
        <v>392</v>
      </c>
      <c r="G262" s="15"/>
      <c r="H262" s="15" t="s">
        <v>389</v>
      </c>
      <c r="I262" s="15"/>
      <c r="J262" s="15"/>
      <c r="K262" s="15"/>
      <c r="L262" s="15">
        <v>0</v>
      </c>
      <c r="M262" s="15">
        <v>500000000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x14ac:dyDescent="0.25">
      <c r="A263" s="15" t="s">
        <v>108</v>
      </c>
      <c r="B263" s="15" t="s">
        <v>386</v>
      </c>
      <c r="C263" s="15" t="str">
        <f t="shared" si="0"/>
        <v>HSR Center</v>
      </c>
      <c r="D263" s="15" t="s">
        <v>390</v>
      </c>
      <c r="E263" s="15" t="str">
        <f t="shared" si="1"/>
        <v>ASM CEN Fud-trade+Reid-21</v>
      </c>
      <c r="F263" s="15" t="s">
        <v>393</v>
      </c>
      <c r="G263" s="15"/>
      <c r="H263" s="15" t="s">
        <v>394</v>
      </c>
      <c r="I263" s="15"/>
      <c r="J263" s="15"/>
      <c r="K263" s="15"/>
      <c r="L263" s="15">
        <v>0</v>
      </c>
      <c r="M263" s="15">
        <v>0</v>
      </c>
      <c r="N263" s="15">
        <v>6859376.6300000027</v>
      </c>
      <c r="O263" s="15">
        <v>1600855.32</v>
      </c>
      <c r="P263" s="15">
        <v>0</v>
      </c>
      <c r="Q263" s="15">
        <v>0</v>
      </c>
      <c r="R263" s="15">
        <v>0</v>
      </c>
      <c r="S263" s="15">
        <v>0</v>
      </c>
      <c r="T263" s="15">
        <v>98073.75</v>
      </c>
    </row>
    <row r="264" spans="1:20" x14ac:dyDescent="0.25">
      <c r="A264" s="15" t="s">
        <v>120</v>
      </c>
      <c r="B264" s="15" t="s">
        <v>386</v>
      </c>
      <c r="C264" s="15" t="str">
        <f t="shared" si="0"/>
        <v>HSR Center</v>
      </c>
      <c r="D264" s="15" t="s">
        <v>395</v>
      </c>
      <c r="E264" s="15" t="str">
        <f t="shared" si="1"/>
        <v>DDM CEN</v>
      </c>
      <c r="F264" s="15" t="s">
        <v>396</v>
      </c>
      <c r="G264" s="15"/>
      <c r="H264" s="15" t="s">
        <v>397</v>
      </c>
      <c r="I264" s="15">
        <v>1</v>
      </c>
      <c r="J264" s="15">
        <v>1</v>
      </c>
      <c r="K264" s="15" t="s">
        <v>343</v>
      </c>
      <c r="L264" s="15">
        <v>0</v>
      </c>
      <c r="M264" s="15">
        <v>11696539.060000004</v>
      </c>
      <c r="N264" s="15">
        <v>0</v>
      </c>
      <c r="O264" s="15">
        <v>55325264.270000003</v>
      </c>
      <c r="P264" s="15">
        <v>1077378891.5505776</v>
      </c>
      <c r="Q264" s="15">
        <v>212080190.04999906</v>
      </c>
      <c r="R264" s="15">
        <v>748324785.27690029</v>
      </c>
      <c r="S264" s="15">
        <v>0</v>
      </c>
      <c r="T264" s="15">
        <v>21870426.049999997</v>
      </c>
    </row>
    <row r="265" spans="1:20" ht="30" x14ac:dyDescent="0.25">
      <c r="A265" s="15" t="s">
        <v>107</v>
      </c>
      <c r="B265" s="15" t="s">
        <v>386</v>
      </c>
      <c r="C265" s="15" t="str">
        <f t="shared" si="0"/>
        <v>HSR Center</v>
      </c>
      <c r="D265" s="15" t="s">
        <v>387</v>
      </c>
      <c r="E265" s="15" t="str">
        <f t="shared" si="1"/>
        <v>RADM CEN Grocery RKA+Monetka,Krasnoe i beloe, Kiro</v>
      </c>
      <c r="F265" s="15" t="s">
        <v>398</v>
      </c>
      <c r="G265" s="15"/>
      <c r="H265" s="15" t="s">
        <v>389</v>
      </c>
      <c r="I265" s="15">
        <v>4</v>
      </c>
      <c r="J265" s="15">
        <v>2</v>
      </c>
      <c r="K265" s="15"/>
      <c r="L265" s="15">
        <v>743484501.85000026</v>
      </c>
      <c r="M265" s="15">
        <v>0</v>
      </c>
      <c r="N265" s="15">
        <v>17632294.399999999</v>
      </c>
      <c r="O265" s="15">
        <v>11623141.609999999</v>
      </c>
      <c r="P265" s="15">
        <v>0</v>
      </c>
      <c r="Q265" s="15">
        <v>0</v>
      </c>
      <c r="R265" s="15">
        <v>0</v>
      </c>
      <c r="S265" s="15">
        <v>0</v>
      </c>
      <c r="T265" s="15">
        <v>1288855.8400000001</v>
      </c>
    </row>
    <row r="266" spans="1:20" x14ac:dyDescent="0.25">
      <c r="A266" s="15" t="s">
        <v>350</v>
      </c>
      <c r="B266" s="15" t="s">
        <v>386</v>
      </c>
      <c r="C266" s="15" t="str">
        <f t="shared" si="0"/>
        <v>HSR Center</v>
      </c>
      <c r="D266" s="15" t="s">
        <v>399</v>
      </c>
      <c r="E266" s="15" t="str">
        <f t="shared" si="1"/>
        <v>TDM CEN Samara</v>
      </c>
      <c r="F266" s="15" t="s">
        <v>400</v>
      </c>
      <c r="G266" s="15"/>
      <c r="H266" s="15"/>
      <c r="I266" s="15"/>
      <c r="J266" s="15"/>
      <c r="K266" s="15" t="s">
        <v>343</v>
      </c>
      <c r="L266" s="15">
        <v>0</v>
      </c>
      <c r="M266" s="15">
        <v>0</v>
      </c>
      <c r="N266" s="15">
        <v>0</v>
      </c>
      <c r="O266" s="15">
        <v>0</v>
      </c>
      <c r="P266" s="15">
        <v>58644616.523887977</v>
      </c>
      <c r="Q266" s="15">
        <v>0</v>
      </c>
      <c r="R266" s="15">
        <v>0</v>
      </c>
      <c r="S266" s="15">
        <v>0</v>
      </c>
      <c r="T266" s="15">
        <v>0</v>
      </c>
    </row>
    <row r="267" spans="1:20" x14ac:dyDescent="0.25">
      <c r="A267" s="15" t="s">
        <v>93</v>
      </c>
      <c r="B267" s="15" t="s">
        <v>386</v>
      </c>
      <c r="C267" s="15" t="str">
        <f t="shared" si="0"/>
        <v>HSR Center</v>
      </c>
      <c r="D267" s="15" t="s">
        <v>399</v>
      </c>
      <c r="E267" s="15" t="str">
        <f t="shared" si="1"/>
        <v>TDM CEN Samara</v>
      </c>
      <c r="F267" s="15" t="s">
        <v>400</v>
      </c>
      <c r="G267" s="15"/>
      <c r="H267" s="15"/>
      <c r="I267" s="15"/>
      <c r="J267" s="15"/>
      <c r="K267" s="15" t="s">
        <v>343</v>
      </c>
      <c r="L267" s="15">
        <v>0</v>
      </c>
      <c r="M267" s="15">
        <v>0</v>
      </c>
      <c r="N267" s="15">
        <v>0</v>
      </c>
      <c r="O267" s="15">
        <v>0</v>
      </c>
      <c r="P267" s="15">
        <v>2477576350.1662774</v>
      </c>
      <c r="Q267" s="15">
        <v>0</v>
      </c>
      <c r="R267" s="15">
        <v>1259436385.0236988</v>
      </c>
      <c r="S267" s="15">
        <v>218761180.7299979</v>
      </c>
      <c r="T267" s="15">
        <v>0</v>
      </c>
    </row>
    <row r="268" spans="1:20" x14ac:dyDescent="0.25">
      <c r="A268" s="15" t="s">
        <v>103</v>
      </c>
      <c r="B268" s="15" t="s">
        <v>386</v>
      </c>
      <c r="C268" s="15" t="str">
        <f t="shared" si="0"/>
        <v>HSR Center</v>
      </c>
      <c r="D268" s="15" t="s">
        <v>401</v>
      </c>
      <c r="E268" s="15" t="str">
        <f t="shared" si="1"/>
        <v>TDM CEN Chelyabinsk</v>
      </c>
      <c r="F268" s="15" t="s">
        <v>402</v>
      </c>
      <c r="G268" s="15"/>
      <c r="H268" s="15"/>
      <c r="I268" s="15"/>
      <c r="J268" s="15"/>
      <c r="K268" s="15" t="s">
        <v>343</v>
      </c>
      <c r="L268" s="15">
        <v>0</v>
      </c>
      <c r="M268" s="15">
        <v>0</v>
      </c>
      <c r="N268" s="15">
        <v>0</v>
      </c>
      <c r="O268" s="15">
        <v>0</v>
      </c>
      <c r="P268" s="15">
        <v>2326531547.897965</v>
      </c>
      <c r="Q268" s="15">
        <v>0</v>
      </c>
      <c r="R268" s="15">
        <v>1270221008.9855001</v>
      </c>
      <c r="S268" s="15">
        <v>1003918901.3799986</v>
      </c>
      <c r="T268" s="15">
        <v>0</v>
      </c>
    </row>
    <row r="269" spans="1:20" x14ac:dyDescent="0.25">
      <c r="A269" s="15" t="s">
        <v>118</v>
      </c>
      <c r="B269" s="15" t="s">
        <v>386</v>
      </c>
      <c r="C269" s="15" t="str">
        <f t="shared" si="0"/>
        <v>HSR Center</v>
      </c>
      <c r="D269" s="15" t="s">
        <v>401</v>
      </c>
      <c r="E269" s="15" t="str">
        <f t="shared" si="1"/>
        <v>TDM CEN Chelyabinsk</v>
      </c>
      <c r="F269" s="15" t="s">
        <v>403</v>
      </c>
      <c r="G269" s="15"/>
      <c r="H269" s="15"/>
      <c r="I269" s="15"/>
      <c r="J269" s="15"/>
      <c r="K269" s="15" t="s">
        <v>343</v>
      </c>
      <c r="L269" s="15">
        <v>0</v>
      </c>
      <c r="M269" s="15">
        <v>0</v>
      </c>
      <c r="N269" s="15">
        <v>0</v>
      </c>
      <c r="O269" s="15">
        <v>0</v>
      </c>
      <c r="P269" s="15">
        <v>1556732899.31043</v>
      </c>
      <c r="Q269" s="15">
        <v>0</v>
      </c>
      <c r="R269" s="15">
        <v>809693097.54320014</v>
      </c>
      <c r="S269" s="15">
        <v>5201309809</v>
      </c>
      <c r="T269" s="15">
        <v>0</v>
      </c>
    </row>
    <row r="270" spans="1:20" x14ac:dyDescent="0.25">
      <c r="A270" s="15" t="s">
        <v>118</v>
      </c>
      <c r="B270" s="15" t="s">
        <v>386</v>
      </c>
      <c r="C270" s="15" t="str">
        <f t="shared" si="0"/>
        <v>HSR Center</v>
      </c>
      <c r="D270" s="15" t="s">
        <v>401</v>
      </c>
      <c r="E270" s="15" t="str">
        <f t="shared" si="1"/>
        <v>TDM CEN Chelyabinsk</v>
      </c>
      <c r="F270" s="15" t="s">
        <v>404</v>
      </c>
      <c r="G270" s="15"/>
      <c r="H270" s="15"/>
      <c r="I270" s="15"/>
      <c r="J270" s="15"/>
      <c r="K270" s="15" t="s">
        <v>343</v>
      </c>
      <c r="L270" s="15">
        <v>0</v>
      </c>
      <c r="M270" s="15">
        <v>0</v>
      </c>
      <c r="N270" s="15">
        <v>0</v>
      </c>
      <c r="O270" s="15">
        <v>0</v>
      </c>
      <c r="P270" s="15">
        <v>1431955621.1198773</v>
      </c>
      <c r="Q270" s="15">
        <v>0</v>
      </c>
      <c r="R270" s="15">
        <v>854540439.37340009</v>
      </c>
      <c r="S270" s="15">
        <v>7842292527.5393858</v>
      </c>
      <c r="T270" s="15">
        <v>0</v>
      </c>
    </row>
    <row r="271" spans="1:20" x14ac:dyDescent="0.25">
      <c r="A271" s="15" t="s">
        <v>102</v>
      </c>
      <c r="B271" s="15" t="s">
        <v>386</v>
      </c>
      <c r="C271" s="15" t="str">
        <f t="shared" si="0"/>
        <v>HSR Center</v>
      </c>
      <c r="D271" s="15" t="s">
        <v>401</v>
      </c>
      <c r="E271" s="15" t="str">
        <f t="shared" si="1"/>
        <v>TDM CEN Chelyabinsk</v>
      </c>
      <c r="F271" s="15" t="s">
        <v>405</v>
      </c>
      <c r="G271" s="15"/>
      <c r="H271" s="15"/>
      <c r="I271" s="15"/>
      <c r="J271" s="15"/>
      <c r="K271" s="15" t="s">
        <v>343</v>
      </c>
      <c r="L271" s="15">
        <v>0</v>
      </c>
      <c r="M271" s="15">
        <v>0</v>
      </c>
      <c r="N271" s="15">
        <v>0</v>
      </c>
      <c r="O271" s="15">
        <v>0</v>
      </c>
      <c r="P271" s="15">
        <v>1955446764.2040288</v>
      </c>
      <c r="Q271" s="15">
        <v>0</v>
      </c>
      <c r="R271" s="15">
        <v>1106109946.8952</v>
      </c>
      <c r="S271" s="15">
        <v>261530577.7100001</v>
      </c>
      <c r="T271" s="15">
        <v>0</v>
      </c>
    </row>
    <row r="272" spans="1:20" x14ac:dyDescent="0.25">
      <c r="A272" s="15" t="s">
        <v>385</v>
      </c>
      <c r="B272" s="15" t="s">
        <v>386</v>
      </c>
      <c r="C272" s="15" t="str">
        <f t="shared" si="0"/>
        <v>HSR Center</v>
      </c>
      <c r="D272" s="15" t="s">
        <v>401</v>
      </c>
      <c r="E272" s="15" t="str">
        <f t="shared" si="1"/>
        <v>TDM CEN Chelyabinsk</v>
      </c>
      <c r="F272" s="15" t="s">
        <v>405</v>
      </c>
      <c r="G272" s="15"/>
      <c r="H272" s="15"/>
      <c r="I272" s="15"/>
      <c r="J272" s="15"/>
      <c r="K272" s="15" t="s">
        <v>343</v>
      </c>
      <c r="L272" s="15">
        <v>0</v>
      </c>
      <c r="M272" s="15">
        <v>0</v>
      </c>
      <c r="N272" s="15">
        <v>0</v>
      </c>
      <c r="O272" s="15">
        <v>0</v>
      </c>
      <c r="P272" s="15">
        <v>1088667452.0411131</v>
      </c>
      <c r="Q272" s="15">
        <v>0</v>
      </c>
      <c r="R272" s="15">
        <v>753558814.78799975</v>
      </c>
      <c r="S272" s="15">
        <v>0</v>
      </c>
      <c r="T272" s="15">
        <v>0</v>
      </c>
    </row>
    <row r="273" spans="1:20" x14ac:dyDescent="0.25">
      <c r="A273" s="15" t="s">
        <v>105</v>
      </c>
      <c r="B273" s="15" t="s">
        <v>386</v>
      </c>
      <c r="C273" s="15" t="str">
        <f t="shared" si="0"/>
        <v>HSR Center</v>
      </c>
      <c r="D273" s="15" t="s">
        <v>399</v>
      </c>
      <c r="E273" s="15" t="str">
        <f t="shared" si="1"/>
        <v>TDM CEN Samara</v>
      </c>
      <c r="F273" s="15" t="s">
        <v>406</v>
      </c>
      <c r="G273" s="15"/>
      <c r="H273" s="15"/>
      <c r="I273" s="15"/>
      <c r="J273" s="15"/>
      <c r="K273" s="15" t="s">
        <v>343</v>
      </c>
      <c r="L273" s="15">
        <v>0</v>
      </c>
      <c r="M273" s="15">
        <v>0</v>
      </c>
      <c r="N273" s="15">
        <v>0</v>
      </c>
      <c r="O273" s="15">
        <v>0</v>
      </c>
      <c r="P273" s="15">
        <v>2532698383.7220397</v>
      </c>
      <c r="Q273" s="15">
        <v>0</v>
      </c>
      <c r="R273" s="15">
        <v>1635326902.4612002</v>
      </c>
      <c r="S273" s="15">
        <v>3581306822</v>
      </c>
      <c r="T273" s="15">
        <v>0</v>
      </c>
    </row>
    <row r="274" spans="1:20" x14ac:dyDescent="0.25">
      <c r="A274" s="15" t="s">
        <v>107</v>
      </c>
      <c r="B274" s="15" t="s">
        <v>386</v>
      </c>
      <c r="C274" s="15" t="str">
        <f t="shared" si="0"/>
        <v>HSR Center</v>
      </c>
      <c r="D274" s="15" t="s">
        <v>399</v>
      </c>
      <c r="E274" s="15" t="str">
        <f t="shared" si="1"/>
        <v>TDM CEN Samara</v>
      </c>
      <c r="F274" s="15" t="s">
        <v>406</v>
      </c>
      <c r="G274" s="15"/>
      <c r="H274" s="15"/>
      <c r="I274" s="15"/>
      <c r="J274" s="15"/>
      <c r="K274" s="15" t="s">
        <v>343</v>
      </c>
      <c r="L274" s="15">
        <v>0</v>
      </c>
      <c r="M274" s="15">
        <v>0</v>
      </c>
      <c r="N274" s="15">
        <v>0</v>
      </c>
      <c r="O274" s="15">
        <v>0</v>
      </c>
      <c r="P274" s="15">
        <v>737844954.10071135</v>
      </c>
      <c r="Q274" s="15">
        <v>0</v>
      </c>
      <c r="R274" s="15">
        <v>473242568.68590033</v>
      </c>
      <c r="S274" s="15">
        <v>0</v>
      </c>
      <c r="T274" s="15">
        <v>0</v>
      </c>
    </row>
    <row r="275" spans="1:20" x14ac:dyDescent="0.25">
      <c r="A275" s="15" t="s">
        <v>353</v>
      </c>
      <c r="B275" s="15" t="s">
        <v>386</v>
      </c>
      <c r="C275" s="15" t="str">
        <f t="shared" si="0"/>
        <v>HSR Center</v>
      </c>
      <c r="D275" s="15" t="s">
        <v>399</v>
      </c>
      <c r="E275" s="15" t="str">
        <f t="shared" si="1"/>
        <v>TDM CEN Samara</v>
      </c>
      <c r="F275" s="15" t="s">
        <v>407</v>
      </c>
      <c r="G275" s="15"/>
      <c r="H275" s="15"/>
      <c r="I275" s="15"/>
      <c r="J275" s="15"/>
      <c r="K275" s="15" t="s">
        <v>377</v>
      </c>
      <c r="L275" s="15">
        <v>0</v>
      </c>
      <c r="M275" s="15">
        <v>0</v>
      </c>
      <c r="N275" s="15">
        <v>0</v>
      </c>
      <c r="O275" s="15">
        <v>0</v>
      </c>
      <c r="P275" s="15">
        <v>1734424295.8827801</v>
      </c>
      <c r="Q275" s="15">
        <v>0</v>
      </c>
      <c r="R275" s="15">
        <v>911492076.11280048</v>
      </c>
      <c r="S275" s="15">
        <v>236932645.48000008</v>
      </c>
      <c r="T275" s="15">
        <v>0</v>
      </c>
    </row>
    <row r="276" spans="1:20" x14ac:dyDescent="0.25">
      <c r="A276" s="15" t="s">
        <v>108</v>
      </c>
      <c r="B276" s="15" t="s">
        <v>386</v>
      </c>
      <c r="C276" s="15" t="str">
        <f t="shared" si="0"/>
        <v>HSR Center</v>
      </c>
      <c r="D276" s="15" t="s">
        <v>399</v>
      </c>
      <c r="E276" s="15" t="str">
        <f t="shared" si="1"/>
        <v>TDM CEN Samara</v>
      </c>
      <c r="F276" s="15" t="s">
        <v>408</v>
      </c>
      <c r="G276" s="15"/>
      <c r="H276" s="15" t="s">
        <v>389</v>
      </c>
      <c r="I276" s="15">
        <v>1</v>
      </c>
      <c r="J276" s="15"/>
      <c r="K276" s="15" t="s">
        <v>343</v>
      </c>
      <c r="L276" s="15">
        <v>0</v>
      </c>
      <c r="M276" s="15">
        <v>14118688.039999999</v>
      </c>
      <c r="N276" s="15">
        <v>47082491.349999994</v>
      </c>
      <c r="O276" s="15">
        <v>21770737.020000003</v>
      </c>
      <c r="P276" s="15">
        <v>1195807959.6473541</v>
      </c>
      <c r="Q276" s="15">
        <v>0</v>
      </c>
      <c r="R276" s="15">
        <v>627491536.84229958</v>
      </c>
      <c r="S276" s="15">
        <v>1541010962</v>
      </c>
      <c r="T276" s="15">
        <v>1997857.99</v>
      </c>
    </row>
    <row r="277" spans="1:20" x14ac:dyDescent="0.25">
      <c r="A277" s="15" t="s">
        <v>353</v>
      </c>
      <c r="B277" s="15" t="s">
        <v>386</v>
      </c>
      <c r="C277" s="15" t="str">
        <f t="shared" si="0"/>
        <v>HSR Center</v>
      </c>
      <c r="D277" s="15" t="s">
        <v>390</v>
      </c>
      <c r="E277" s="15" t="str">
        <f t="shared" si="1"/>
        <v>ASM CEN Fud-trade+Reid-21</v>
      </c>
      <c r="F277" s="15" t="s">
        <v>393</v>
      </c>
      <c r="G277" s="15"/>
      <c r="H277" s="15" t="s">
        <v>394</v>
      </c>
      <c r="I277" s="15">
        <v>1</v>
      </c>
      <c r="J277" s="15">
        <v>1</v>
      </c>
      <c r="K277" s="15"/>
      <c r="L277" s="15">
        <v>0</v>
      </c>
      <c r="M277" s="15">
        <v>6797469.4299999997</v>
      </c>
      <c r="N277" s="15">
        <v>68919637.749999896</v>
      </c>
      <c r="O277" s="15">
        <v>60424031.840000011</v>
      </c>
      <c r="P277" s="15">
        <v>0</v>
      </c>
      <c r="Q277" s="15">
        <v>255081129.14000046</v>
      </c>
      <c r="R277" s="15">
        <v>119395924.48810005</v>
      </c>
      <c r="S277" s="15">
        <v>0</v>
      </c>
      <c r="T277" s="15">
        <v>16290350.629999997</v>
      </c>
    </row>
    <row r="278" spans="1:20" x14ac:dyDescent="0.25">
      <c r="A278" s="15" t="s">
        <v>102</v>
      </c>
      <c r="B278" s="15" t="s">
        <v>386</v>
      </c>
      <c r="C278" s="15" t="str">
        <f t="shared" si="0"/>
        <v>HSR Center</v>
      </c>
      <c r="D278" s="15" t="s">
        <v>390</v>
      </c>
      <c r="E278" s="15" t="str">
        <f t="shared" si="1"/>
        <v>ASM CEN Fud-trade+Reid-21</v>
      </c>
      <c r="F278" s="15" t="s">
        <v>409</v>
      </c>
      <c r="G278" s="15"/>
      <c r="H278" s="15" t="s">
        <v>389</v>
      </c>
      <c r="I278" s="15">
        <v>1</v>
      </c>
      <c r="J278" s="15">
        <v>2</v>
      </c>
      <c r="K278" s="15"/>
      <c r="L278" s="15">
        <v>0</v>
      </c>
      <c r="M278" s="15">
        <v>17566407.939999998</v>
      </c>
      <c r="N278" s="15">
        <v>38383692.549999997</v>
      </c>
      <c r="O278" s="15">
        <v>155048074.95999986</v>
      </c>
      <c r="P278" s="15">
        <v>0</v>
      </c>
      <c r="Q278" s="15">
        <v>399077386.26000172</v>
      </c>
      <c r="R278" s="15">
        <v>129383535.6268</v>
      </c>
      <c r="S278" s="15">
        <v>0</v>
      </c>
      <c r="T278" s="15">
        <v>36021878.199999981</v>
      </c>
    </row>
    <row r="279" spans="1:20" x14ac:dyDescent="0.25">
      <c r="A279" s="15" t="s">
        <v>102</v>
      </c>
      <c r="B279" s="15" t="s">
        <v>386</v>
      </c>
      <c r="C279" s="15" t="str">
        <f t="shared" si="0"/>
        <v>HSR Center</v>
      </c>
      <c r="D279" s="15" t="s">
        <v>395</v>
      </c>
      <c r="E279" s="15" t="str">
        <f t="shared" si="1"/>
        <v>DDM CEN</v>
      </c>
      <c r="F279" s="15" t="s">
        <v>410</v>
      </c>
      <c r="G279" s="15"/>
      <c r="H279" s="15" t="s">
        <v>360</v>
      </c>
      <c r="I279" s="15"/>
      <c r="J279" s="15"/>
      <c r="K279" s="15"/>
      <c r="L279" s="15">
        <v>0</v>
      </c>
      <c r="M279" s="15">
        <v>876061.97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x14ac:dyDescent="0.25">
      <c r="A280" s="15" t="s">
        <v>105</v>
      </c>
      <c r="B280" s="15" t="s">
        <v>386</v>
      </c>
      <c r="C280" s="15" t="str">
        <f t="shared" si="0"/>
        <v>HSR Center</v>
      </c>
      <c r="D280" s="15" t="s">
        <v>390</v>
      </c>
      <c r="E280" s="15" t="str">
        <f t="shared" si="1"/>
        <v>ASM CEN Fud-trade+Reid-21</v>
      </c>
      <c r="F280" s="15" t="s">
        <v>391</v>
      </c>
      <c r="G280" s="15"/>
      <c r="H280" s="15" t="s">
        <v>389</v>
      </c>
      <c r="I280" s="15">
        <v>1</v>
      </c>
      <c r="J280" s="15"/>
      <c r="K280" s="15"/>
      <c r="L280" s="15">
        <v>0</v>
      </c>
      <c r="M280" s="15">
        <v>11012437.9</v>
      </c>
      <c r="N280" s="15">
        <v>218337576.42999807</v>
      </c>
      <c r="O280" s="15">
        <v>101476809.00999995</v>
      </c>
      <c r="P280" s="15">
        <v>0</v>
      </c>
      <c r="Q280" s="15">
        <v>0</v>
      </c>
      <c r="R280" s="15">
        <v>0</v>
      </c>
      <c r="S280" s="15">
        <v>0</v>
      </c>
      <c r="T280" s="15">
        <v>6582960</v>
      </c>
    </row>
    <row r="281" spans="1:20" x14ac:dyDescent="0.25">
      <c r="A281" s="15" t="s">
        <v>105</v>
      </c>
      <c r="B281" s="15" t="s">
        <v>386</v>
      </c>
      <c r="C281" s="15" t="str">
        <f t="shared" si="0"/>
        <v>HSR Center</v>
      </c>
      <c r="D281" s="15" t="s">
        <v>390</v>
      </c>
      <c r="E281" s="15" t="str">
        <f t="shared" si="1"/>
        <v>ASM CEN Fud-trade+Reid-21</v>
      </c>
      <c r="F281" s="15" t="s">
        <v>393</v>
      </c>
      <c r="G281" s="15"/>
      <c r="H281" s="15" t="s">
        <v>394</v>
      </c>
      <c r="I281" s="15"/>
      <c r="J281" s="15"/>
      <c r="K281" s="15"/>
      <c r="L281" s="15">
        <v>0</v>
      </c>
      <c r="M281" s="15">
        <v>0</v>
      </c>
      <c r="N281" s="15">
        <v>778536.94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293012.60000000003</v>
      </c>
    </row>
    <row r="282" spans="1:20" ht="30" x14ac:dyDescent="0.25">
      <c r="A282" s="15" t="s">
        <v>118</v>
      </c>
      <c r="B282" s="15" t="s">
        <v>386</v>
      </c>
      <c r="C282" s="15" t="str">
        <f t="shared" si="0"/>
        <v>HSR Center</v>
      </c>
      <c r="D282" s="15" t="s">
        <v>387</v>
      </c>
      <c r="E282" s="15" t="str">
        <f t="shared" si="1"/>
        <v>RADM CEN Grocery RKA+Monetka,Krasnoe i beloe, Kiro</v>
      </c>
      <c r="F282" s="15" t="s">
        <v>411</v>
      </c>
      <c r="G282" s="15"/>
      <c r="H282" s="15" t="s">
        <v>360</v>
      </c>
      <c r="I282" s="15"/>
      <c r="J282" s="15">
        <v>1</v>
      </c>
      <c r="K282" s="15"/>
      <c r="L282" s="15">
        <v>0</v>
      </c>
      <c r="M282" s="15">
        <v>0</v>
      </c>
      <c r="N282" s="15">
        <v>26279873.48</v>
      </c>
      <c r="O282" s="15">
        <v>18050152.199999999</v>
      </c>
      <c r="P282" s="15">
        <v>0</v>
      </c>
      <c r="Q282" s="15">
        <v>745246078.51999485</v>
      </c>
      <c r="R282" s="15">
        <v>0</v>
      </c>
      <c r="S282" s="15">
        <v>0</v>
      </c>
      <c r="T282" s="15">
        <v>63038286.849999949</v>
      </c>
    </row>
    <row r="283" spans="1:20" ht="30" x14ac:dyDescent="0.25">
      <c r="A283" s="15" t="s">
        <v>118</v>
      </c>
      <c r="B283" s="15" t="s">
        <v>386</v>
      </c>
      <c r="C283" s="15" t="str">
        <f t="shared" si="0"/>
        <v>HSR Center</v>
      </c>
      <c r="D283" s="15" t="s">
        <v>387</v>
      </c>
      <c r="E283" s="15" t="str">
        <f t="shared" si="1"/>
        <v>RADM CEN Grocery RKA+Monetka,Krasnoe i beloe, Kiro</v>
      </c>
      <c r="F283" s="15" t="s">
        <v>412</v>
      </c>
      <c r="G283" s="15"/>
      <c r="H283" s="15" t="s">
        <v>360</v>
      </c>
      <c r="I283" s="15">
        <v>2</v>
      </c>
      <c r="J283" s="15"/>
      <c r="K283" s="15"/>
      <c r="L283" s="15">
        <v>323366528.169999</v>
      </c>
      <c r="M283" s="15">
        <v>0</v>
      </c>
      <c r="N283" s="15">
        <v>0</v>
      </c>
      <c r="O283" s="15">
        <v>0</v>
      </c>
      <c r="P283" s="15">
        <v>0</v>
      </c>
      <c r="Q283" s="15">
        <v>260328241.31999904</v>
      </c>
      <c r="R283" s="15">
        <v>260328241.31999904</v>
      </c>
      <c r="S283" s="15">
        <v>0</v>
      </c>
      <c r="T283" s="15">
        <v>0</v>
      </c>
    </row>
    <row r="284" spans="1:20" x14ac:dyDescent="0.25">
      <c r="A284" s="15" t="s">
        <v>118</v>
      </c>
      <c r="B284" s="15" t="s">
        <v>386</v>
      </c>
      <c r="C284" s="15" t="str">
        <f t="shared" si="0"/>
        <v>HSR Center</v>
      </c>
      <c r="D284" s="15" t="s">
        <v>395</v>
      </c>
      <c r="E284" s="15" t="str">
        <f t="shared" si="1"/>
        <v>DDM CEN</v>
      </c>
      <c r="F284" s="15" t="s">
        <v>410</v>
      </c>
      <c r="G284" s="15"/>
      <c r="H284" s="15" t="s">
        <v>360</v>
      </c>
      <c r="I284" s="15">
        <v>1</v>
      </c>
      <c r="J284" s="15"/>
      <c r="K284" s="15"/>
      <c r="L284" s="15">
        <v>0</v>
      </c>
      <c r="M284" s="15">
        <v>512675533.57000101</v>
      </c>
      <c r="N284" s="15">
        <v>3863402.85</v>
      </c>
      <c r="O284" s="15">
        <v>312364324.05999964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x14ac:dyDescent="0.25">
      <c r="A285" s="15" t="s">
        <v>118</v>
      </c>
      <c r="B285" s="15" t="s">
        <v>386</v>
      </c>
      <c r="C285" s="15" t="str">
        <f t="shared" si="0"/>
        <v>HSR Center</v>
      </c>
      <c r="D285" s="15" t="s">
        <v>390</v>
      </c>
      <c r="E285" s="15" t="str">
        <f t="shared" si="1"/>
        <v>ASM CEN Fud-trade+Reid-21</v>
      </c>
      <c r="F285" s="15" t="s">
        <v>409</v>
      </c>
      <c r="G285" s="15"/>
      <c r="H285" s="15" t="s">
        <v>389</v>
      </c>
      <c r="I285" s="15"/>
      <c r="J285" s="15"/>
      <c r="K285" s="15"/>
      <c r="L285" s="15">
        <v>0</v>
      </c>
      <c r="M285" s="15">
        <v>0</v>
      </c>
      <c r="N285" s="15">
        <v>6631434.7199999923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x14ac:dyDescent="0.25">
      <c r="A286" s="15" t="s">
        <v>118</v>
      </c>
      <c r="B286" s="15" t="s">
        <v>386</v>
      </c>
      <c r="C286" s="15" t="str">
        <f t="shared" si="0"/>
        <v>HSR Center</v>
      </c>
      <c r="D286" s="15" t="s">
        <v>395</v>
      </c>
      <c r="E286" s="15" t="str">
        <f t="shared" si="1"/>
        <v>DDM CEN</v>
      </c>
      <c r="F286" s="15" t="s">
        <v>396</v>
      </c>
      <c r="G286" s="15"/>
      <c r="H286" s="15" t="s">
        <v>397</v>
      </c>
      <c r="I286" s="15"/>
      <c r="J286" s="15"/>
      <c r="K286" s="15"/>
      <c r="L286" s="15">
        <v>0</v>
      </c>
      <c r="M286" s="15">
        <v>0</v>
      </c>
      <c r="N286" s="15">
        <v>0</v>
      </c>
      <c r="O286" s="15">
        <v>6961655.1200000001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x14ac:dyDescent="0.25">
      <c r="A287" s="15" t="s">
        <v>93</v>
      </c>
      <c r="B287" s="15" t="s">
        <v>386</v>
      </c>
      <c r="C287" s="15" t="str">
        <f t="shared" si="0"/>
        <v>HSR Center</v>
      </c>
      <c r="D287" s="15" t="s">
        <v>390</v>
      </c>
      <c r="E287" s="15" t="str">
        <f t="shared" si="1"/>
        <v>ASM CEN Fud-trade+Reid-21</v>
      </c>
      <c r="F287" s="15" t="s">
        <v>409</v>
      </c>
      <c r="G287" s="15"/>
      <c r="H287" s="15" t="s">
        <v>389</v>
      </c>
      <c r="I287" s="15"/>
      <c r="J287" s="15"/>
      <c r="K287" s="15"/>
      <c r="L287" s="15">
        <v>0</v>
      </c>
      <c r="M287" s="15">
        <v>0</v>
      </c>
      <c r="N287" s="15">
        <v>0</v>
      </c>
      <c r="O287" s="15">
        <v>727126.16999999993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x14ac:dyDescent="0.25">
      <c r="A288" s="15" t="s">
        <v>93</v>
      </c>
      <c r="B288" s="15" t="s">
        <v>386</v>
      </c>
      <c r="C288" s="15" t="str">
        <f t="shared" si="0"/>
        <v>HSR Center</v>
      </c>
      <c r="D288" s="15" t="s">
        <v>390</v>
      </c>
      <c r="E288" s="15" t="str">
        <f t="shared" si="1"/>
        <v>ASM CEN Fud-trade+Reid-21</v>
      </c>
      <c r="F288" s="15" t="s">
        <v>392</v>
      </c>
      <c r="G288" s="15"/>
      <c r="H288" s="15" t="s">
        <v>389</v>
      </c>
      <c r="I288" s="15">
        <v>1</v>
      </c>
      <c r="J288" s="15"/>
      <c r="K288" s="15"/>
      <c r="L288" s="15">
        <v>0</v>
      </c>
      <c r="M288" s="15">
        <v>37867925.61999999</v>
      </c>
      <c r="N288" s="15">
        <v>48991654.930000298</v>
      </c>
      <c r="O288" s="15">
        <v>83731236.620000064</v>
      </c>
      <c r="P288" s="15">
        <v>0</v>
      </c>
      <c r="Q288" s="15">
        <v>9452726.7900000159</v>
      </c>
      <c r="R288" s="15">
        <v>0</v>
      </c>
      <c r="S288" s="15">
        <v>0</v>
      </c>
      <c r="T288" s="15">
        <v>292274.43</v>
      </c>
    </row>
    <row r="289" spans="1:20" x14ac:dyDescent="0.25">
      <c r="A289" s="15" t="s">
        <v>133</v>
      </c>
      <c r="B289" s="15" t="s">
        <v>386</v>
      </c>
      <c r="C289" s="15" t="str">
        <f t="shared" si="0"/>
        <v>HSR Center</v>
      </c>
      <c r="D289" s="15" t="s">
        <v>395</v>
      </c>
      <c r="E289" s="15" t="str">
        <f t="shared" si="1"/>
        <v>DDM CEN</v>
      </c>
      <c r="F289" s="15" t="s">
        <v>413</v>
      </c>
      <c r="G289" s="15"/>
      <c r="H289" s="15" t="s">
        <v>397</v>
      </c>
      <c r="I289" s="15"/>
      <c r="J289" s="15">
        <v>1</v>
      </c>
      <c r="K289" s="15"/>
      <c r="L289" s="15">
        <v>0</v>
      </c>
      <c r="M289" s="15">
        <v>0</v>
      </c>
      <c r="N289" s="15">
        <v>0</v>
      </c>
      <c r="O289" s="15">
        <v>867862.86999999988</v>
      </c>
      <c r="P289" s="15">
        <v>0</v>
      </c>
      <c r="Q289" s="15">
        <v>9452726.7899999991</v>
      </c>
      <c r="R289" s="15">
        <v>0</v>
      </c>
      <c r="S289" s="15">
        <v>0</v>
      </c>
      <c r="T289" s="15">
        <v>0</v>
      </c>
    </row>
    <row r="290" spans="1:20" x14ac:dyDescent="0.25">
      <c r="A290" s="15" t="s">
        <v>120</v>
      </c>
      <c r="B290" s="15" t="s">
        <v>386</v>
      </c>
      <c r="C290" s="15" t="str">
        <f t="shared" si="0"/>
        <v>HSR Center</v>
      </c>
      <c r="D290" s="15" t="s">
        <v>395</v>
      </c>
      <c r="E290" s="15" t="str">
        <f t="shared" si="1"/>
        <v>DDM CEN</v>
      </c>
      <c r="F290" s="15" t="s">
        <v>410</v>
      </c>
      <c r="G290" s="15"/>
      <c r="H290" s="15" t="s">
        <v>360</v>
      </c>
      <c r="I290" s="15"/>
      <c r="J290" s="15"/>
      <c r="K290" s="15"/>
      <c r="L290" s="15">
        <v>0</v>
      </c>
      <c r="M290" s="15">
        <v>0</v>
      </c>
      <c r="N290" s="15">
        <v>1036658.8200000001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0" x14ac:dyDescent="0.25">
      <c r="A291" s="15" t="s">
        <v>120</v>
      </c>
      <c r="B291" s="15" t="s">
        <v>386</v>
      </c>
      <c r="C291" s="15" t="str">
        <f t="shared" si="0"/>
        <v>HSR Center</v>
      </c>
      <c r="D291" s="15" t="s">
        <v>387</v>
      </c>
      <c r="E291" s="15" t="str">
        <f t="shared" si="1"/>
        <v>RADM CEN Grocery RKA+Monetka,Krasnoe i beloe, Kiro</v>
      </c>
      <c r="F291" s="15" t="s">
        <v>388</v>
      </c>
      <c r="G291" s="15"/>
      <c r="H291" s="15" t="s">
        <v>389</v>
      </c>
      <c r="I291" s="15"/>
      <c r="J291" s="15"/>
      <c r="K291" s="15"/>
      <c r="L291" s="15">
        <v>0</v>
      </c>
      <c r="M291" s="15">
        <v>21095811.210000005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x14ac:dyDescent="0.25">
      <c r="A292" s="15" t="s">
        <v>385</v>
      </c>
      <c r="B292" s="15" t="s">
        <v>386</v>
      </c>
      <c r="C292" s="15" t="str">
        <f t="shared" si="0"/>
        <v>HSR Center</v>
      </c>
      <c r="D292" s="15" t="s">
        <v>390</v>
      </c>
      <c r="E292" s="15" t="str">
        <f t="shared" si="1"/>
        <v>ASM CEN Fud-trade+Reid-21</v>
      </c>
      <c r="F292" s="15" t="s">
        <v>409</v>
      </c>
      <c r="G292" s="15"/>
      <c r="H292" s="15" t="s">
        <v>389</v>
      </c>
      <c r="I292" s="15">
        <v>1</v>
      </c>
      <c r="J292" s="15"/>
      <c r="K292" s="15"/>
      <c r="L292" s="15">
        <v>0</v>
      </c>
      <c r="M292" s="15">
        <v>0</v>
      </c>
      <c r="N292" s="15">
        <v>3709919.7600000007</v>
      </c>
      <c r="O292" s="15">
        <v>61572551.459999993</v>
      </c>
      <c r="P292" s="15">
        <v>0</v>
      </c>
      <c r="Q292" s="15">
        <v>33039185.340000033</v>
      </c>
      <c r="R292" s="15">
        <v>6893112.2441999996</v>
      </c>
      <c r="S292" s="15">
        <v>0</v>
      </c>
      <c r="T292" s="15">
        <v>669466</v>
      </c>
    </row>
    <row r="293" spans="1:20" x14ac:dyDescent="0.25">
      <c r="A293" s="15" t="s">
        <v>385</v>
      </c>
      <c r="B293" s="15" t="s">
        <v>386</v>
      </c>
      <c r="C293" s="15" t="str">
        <f t="shared" si="0"/>
        <v>HSR Center</v>
      </c>
      <c r="D293" s="15" t="s">
        <v>390</v>
      </c>
      <c r="E293" s="15" t="str">
        <f t="shared" si="1"/>
        <v>ASM CEN Fud-trade+Reid-21</v>
      </c>
      <c r="F293" s="15" t="s">
        <v>393</v>
      </c>
      <c r="G293" s="15"/>
      <c r="H293" s="15" t="s">
        <v>394</v>
      </c>
      <c r="I293" s="15"/>
      <c r="J293" s="15"/>
      <c r="K293" s="15"/>
      <c r="L293" s="15">
        <v>0</v>
      </c>
      <c r="M293" s="15">
        <v>0</v>
      </c>
      <c r="N293" s="15">
        <v>0</v>
      </c>
      <c r="O293" s="15">
        <v>363411.85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30" x14ac:dyDescent="0.25">
      <c r="A294" s="15" t="s">
        <v>347</v>
      </c>
      <c r="B294" s="15" t="s">
        <v>386</v>
      </c>
      <c r="C294" s="15" t="str">
        <f t="shared" si="0"/>
        <v>HSR Center</v>
      </c>
      <c r="D294" s="15" t="s">
        <v>395</v>
      </c>
      <c r="E294" s="15" t="str">
        <f t="shared" si="1"/>
        <v>DDM CEN</v>
      </c>
      <c r="F294" s="15" t="s">
        <v>413</v>
      </c>
      <c r="G294" s="15"/>
      <c r="H294" s="15" t="s">
        <v>397</v>
      </c>
      <c r="I294" s="15">
        <v>1</v>
      </c>
      <c r="J294" s="15">
        <v>1</v>
      </c>
      <c r="K294" s="15" t="s">
        <v>343</v>
      </c>
      <c r="L294" s="15">
        <v>0</v>
      </c>
      <c r="M294" s="15">
        <v>8722385.4600000009</v>
      </c>
      <c r="N294" s="15">
        <v>656791.19999999995</v>
      </c>
      <c r="O294" s="15">
        <v>58926900.209999993</v>
      </c>
      <c r="P294" s="15">
        <v>1000058232.5383745</v>
      </c>
      <c r="Q294" s="15">
        <v>173307347.28000036</v>
      </c>
      <c r="R294" s="15">
        <v>601796653.87660027</v>
      </c>
      <c r="S294" s="15">
        <v>99474719.699999988</v>
      </c>
      <c r="T294" s="15">
        <v>0</v>
      </c>
    </row>
    <row r="295" spans="1:20" ht="30" x14ac:dyDescent="0.25">
      <c r="A295" s="15" t="s">
        <v>103</v>
      </c>
      <c r="B295" s="15" t="s">
        <v>386</v>
      </c>
      <c r="C295" s="15" t="str">
        <f t="shared" si="0"/>
        <v>HSR Center</v>
      </c>
      <c r="D295" s="15" t="s">
        <v>387</v>
      </c>
      <c r="E295" s="15" t="str">
        <f t="shared" si="1"/>
        <v>RADM CEN Grocery RKA+Monetka,Krasnoe i beloe, Kiro</v>
      </c>
      <c r="F295" s="15" t="s">
        <v>411</v>
      </c>
      <c r="G295" s="15"/>
      <c r="H295" s="15" t="s">
        <v>360</v>
      </c>
      <c r="I295" s="15"/>
      <c r="J295" s="15"/>
      <c r="K295" s="15"/>
      <c r="L295" s="15">
        <v>0</v>
      </c>
      <c r="M295" s="15">
        <v>0</v>
      </c>
      <c r="N295" s="15">
        <v>77805536.48999998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x14ac:dyDescent="0.25">
      <c r="A296" s="15" t="s">
        <v>103</v>
      </c>
      <c r="B296" s="15" t="s">
        <v>386</v>
      </c>
      <c r="C296" s="15" t="str">
        <f t="shared" si="0"/>
        <v>HSR Center</v>
      </c>
      <c r="D296" s="15" t="s">
        <v>390</v>
      </c>
      <c r="E296" s="15" t="str">
        <f t="shared" si="1"/>
        <v>ASM CEN Fud-trade+Reid-21</v>
      </c>
      <c r="F296" s="15" t="s">
        <v>414</v>
      </c>
      <c r="G296" s="15"/>
      <c r="H296" s="15" t="s">
        <v>389</v>
      </c>
      <c r="I296" s="15">
        <v>1</v>
      </c>
      <c r="J296" s="15">
        <v>1</v>
      </c>
      <c r="K296" s="15"/>
      <c r="L296" s="15">
        <v>0</v>
      </c>
      <c r="M296" s="15">
        <v>5248127.7100000009</v>
      </c>
      <c r="N296" s="15">
        <v>2517076.71</v>
      </c>
      <c r="O296" s="15">
        <v>101239778.97</v>
      </c>
      <c r="P296" s="15">
        <v>0</v>
      </c>
      <c r="Q296" s="15">
        <v>249482271.56000093</v>
      </c>
      <c r="R296" s="15">
        <v>92206844.813199982</v>
      </c>
      <c r="S296" s="15">
        <v>0</v>
      </c>
      <c r="T296" s="15">
        <v>59178799.899999954</v>
      </c>
    </row>
    <row r="297" spans="1:20" x14ac:dyDescent="0.25">
      <c r="A297" s="15" t="s">
        <v>103</v>
      </c>
      <c r="B297" s="15" t="s">
        <v>386</v>
      </c>
      <c r="C297" s="15" t="str">
        <f t="shared" si="0"/>
        <v>HSR Center</v>
      </c>
      <c r="D297" s="15" t="s">
        <v>395</v>
      </c>
      <c r="E297" s="15" t="str">
        <f t="shared" si="1"/>
        <v>DDM CEN</v>
      </c>
      <c r="F297" s="15" t="s">
        <v>410</v>
      </c>
      <c r="G297" s="15"/>
      <c r="H297" s="15" t="s">
        <v>360</v>
      </c>
      <c r="I297" s="15"/>
      <c r="J297" s="15"/>
      <c r="K297" s="15"/>
      <c r="L297" s="15">
        <v>0</v>
      </c>
      <c r="M297" s="15">
        <v>0</v>
      </c>
      <c r="N297" s="15">
        <v>2257325.5700000003</v>
      </c>
      <c r="O297" s="15">
        <v>1243551.72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x14ac:dyDescent="0.25">
      <c r="A298" s="15" t="s">
        <v>103</v>
      </c>
      <c r="B298" s="15" t="s">
        <v>386</v>
      </c>
      <c r="C298" s="15" t="str">
        <f t="shared" si="0"/>
        <v>HSR Center</v>
      </c>
      <c r="D298" s="15" t="s">
        <v>390</v>
      </c>
      <c r="E298" s="15" t="str">
        <f t="shared" si="1"/>
        <v>ASM CEN Fud-trade+Reid-21</v>
      </c>
      <c r="F298" s="15" t="s">
        <v>393</v>
      </c>
      <c r="G298" s="15"/>
      <c r="H298" s="15" t="s">
        <v>394</v>
      </c>
      <c r="I298" s="15"/>
      <c r="J298" s="15"/>
      <c r="K298" s="15"/>
      <c r="L298" s="15">
        <v>0</v>
      </c>
      <c r="M298" s="15">
        <v>0</v>
      </c>
      <c r="N298" s="15">
        <v>0</v>
      </c>
      <c r="O298" s="15">
        <v>1593870.07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x14ac:dyDescent="0.25">
      <c r="A299" s="15" t="s">
        <v>417</v>
      </c>
      <c r="B299" s="15" t="s">
        <v>386</v>
      </c>
      <c r="C299" s="15" t="str">
        <f t="shared" si="0"/>
        <v>HSR Center</v>
      </c>
      <c r="D299" s="15" t="s">
        <v>395</v>
      </c>
      <c r="E299" s="15" t="str">
        <f t="shared" si="1"/>
        <v>DDM CEN</v>
      </c>
      <c r="F299" s="15" t="s">
        <v>413</v>
      </c>
      <c r="G299" s="15"/>
      <c r="H299" s="15" t="s">
        <v>397</v>
      </c>
      <c r="I299" s="15"/>
      <c r="J299" s="15">
        <v>1</v>
      </c>
      <c r="K299" s="15" t="s">
        <v>343</v>
      </c>
      <c r="L299" s="15">
        <v>0</v>
      </c>
      <c r="M299" s="15">
        <v>0</v>
      </c>
      <c r="N299" s="15">
        <v>0</v>
      </c>
      <c r="O299" s="15">
        <v>10032609.34</v>
      </c>
      <c r="P299" s="15">
        <v>166575782.33000067</v>
      </c>
      <c r="Q299" s="15">
        <v>69327183.080000117</v>
      </c>
      <c r="R299" s="15">
        <v>23181716.654200006</v>
      </c>
      <c r="S299" s="15">
        <v>0</v>
      </c>
      <c r="T299" s="15">
        <v>3859752.72</v>
      </c>
    </row>
    <row r="300" spans="1:20" ht="30" x14ac:dyDescent="0.25">
      <c r="A300" s="15" t="s">
        <v>418</v>
      </c>
      <c r="B300" s="15" t="s">
        <v>386</v>
      </c>
      <c r="C300" s="15" t="str">
        <f t="shared" si="0"/>
        <v>HSR Center</v>
      </c>
      <c r="D300" s="15" t="s">
        <v>387</v>
      </c>
      <c r="E300" s="15" t="str">
        <f t="shared" si="1"/>
        <v>RADM CEN Grocery RKA+Monetka,Krasnoe i beloe, Kiro</v>
      </c>
      <c r="F300" s="15" t="s">
        <v>412</v>
      </c>
      <c r="G300" s="15"/>
      <c r="H300" s="15" t="s">
        <v>419</v>
      </c>
      <c r="I300" s="15"/>
      <c r="J300" s="15"/>
      <c r="K300" s="15"/>
      <c r="L300" s="15">
        <v>835821.95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30" x14ac:dyDescent="0.25">
      <c r="A301" s="15" t="s">
        <v>418</v>
      </c>
      <c r="B301" s="15" t="s">
        <v>386</v>
      </c>
      <c r="C301" s="15" t="str">
        <f t="shared" si="0"/>
        <v>HSR Center</v>
      </c>
      <c r="D301" s="15" t="s">
        <v>387</v>
      </c>
      <c r="E301" s="15" t="str">
        <f t="shared" si="1"/>
        <v>RADM CEN Grocery RKA+Monetka,Krasnoe i beloe, Kiro</v>
      </c>
      <c r="F301" s="15" t="s">
        <v>412</v>
      </c>
      <c r="G301" s="15"/>
      <c r="H301" s="15" t="s">
        <v>355</v>
      </c>
      <c r="I301" s="15"/>
      <c r="J301" s="15"/>
      <c r="K301" s="15"/>
      <c r="L301" s="15">
        <v>836011.14999999991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30" x14ac:dyDescent="0.25">
      <c r="A302" s="15" t="s">
        <v>418</v>
      </c>
      <c r="B302" s="15" t="s">
        <v>386</v>
      </c>
      <c r="C302" s="15" t="str">
        <f t="shared" si="0"/>
        <v>HSR Center</v>
      </c>
      <c r="D302" s="15" t="s">
        <v>387</v>
      </c>
      <c r="E302" s="15" t="str">
        <f t="shared" si="1"/>
        <v>RADM CEN Grocery RKA+Monetka,Krasnoe i beloe, Kiro</v>
      </c>
      <c r="F302" s="15" t="s">
        <v>412</v>
      </c>
      <c r="G302" s="15"/>
      <c r="H302" s="15" t="s">
        <v>389</v>
      </c>
      <c r="I302" s="15"/>
      <c r="J302" s="15"/>
      <c r="K302" s="15"/>
      <c r="L302" s="15">
        <v>228590.15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30" x14ac:dyDescent="0.25">
      <c r="A303" s="15" t="s">
        <v>418</v>
      </c>
      <c r="B303" s="15" t="s">
        <v>386</v>
      </c>
      <c r="C303" s="15" t="str">
        <f t="shared" si="0"/>
        <v>HSR Center</v>
      </c>
      <c r="D303" s="15" t="s">
        <v>387</v>
      </c>
      <c r="E303" s="15" t="str">
        <f t="shared" si="1"/>
        <v>RADM CEN Grocery RKA+Monetka,Krasnoe i beloe, Kiro</v>
      </c>
      <c r="F303" s="15" t="s">
        <v>412</v>
      </c>
      <c r="G303" s="15"/>
      <c r="H303" s="15" t="s">
        <v>389</v>
      </c>
      <c r="I303" s="15"/>
      <c r="J303" s="15"/>
      <c r="K303" s="15"/>
      <c r="L303" s="15">
        <v>688143.6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30" x14ac:dyDescent="0.25">
      <c r="A304" s="15" t="s">
        <v>174</v>
      </c>
      <c r="B304" s="15" t="s">
        <v>386</v>
      </c>
      <c r="C304" s="15" t="str">
        <f t="shared" si="0"/>
        <v>HSR Center</v>
      </c>
      <c r="D304" s="15" t="s">
        <v>387</v>
      </c>
      <c r="E304" s="15" t="str">
        <f t="shared" si="1"/>
        <v>RADM CEN Grocery RKA+Monetka,Krasnoe i beloe, Kiro</v>
      </c>
      <c r="F304" s="15" t="s">
        <v>412</v>
      </c>
      <c r="G304" s="15"/>
      <c r="H304" s="15" t="s">
        <v>419</v>
      </c>
      <c r="I304" s="15"/>
      <c r="J304" s="15"/>
      <c r="K304" s="15"/>
      <c r="L304" s="15">
        <v>44163988.919999994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30" x14ac:dyDescent="0.25">
      <c r="A305" s="15" t="s">
        <v>174</v>
      </c>
      <c r="B305" s="15" t="s">
        <v>386</v>
      </c>
      <c r="C305" s="15" t="str">
        <f t="shared" si="0"/>
        <v>HSR Center</v>
      </c>
      <c r="D305" s="15" t="s">
        <v>387</v>
      </c>
      <c r="E305" s="15" t="str">
        <f t="shared" si="1"/>
        <v>RADM CEN Grocery RKA+Monetka,Krasnoe i beloe, Kiro</v>
      </c>
      <c r="F305" s="15" t="s">
        <v>412</v>
      </c>
      <c r="G305" s="15"/>
      <c r="H305" s="15" t="s">
        <v>389</v>
      </c>
      <c r="I305" s="15"/>
      <c r="J305" s="15"/>
      <c r="K305" s="15"/>
      <c r="L305" s="15">
        <v>4002531.09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30" x14ac:dyDescent="0.25">
      <c r="A306" s="15" t="s">
        <v>420</v>
      </c>
      <c r="B306" s="15" t="s">
        <v>386</v>
      </c>
      <c r="C306" s="15" t="str">
        <f t="shared" si="0"/>
        <v>HSR Center</v>
      </c>
      <c r="D306" s="15" t="s">
        <v>387</v>
      </c>
      <c r="E306" s="15" t="str">
        <f t="shared" si="1"/>
        <v>RADM CEN Grocery RKA+Monetka,Krasnoe i beloe, Kiro</v>
      </c>
      <c r="F306" s="15" t="s">
        <v>412</v>
      </c>
      <c r="G306" s="15"/>
      <c r="H306" s="15" t="s">
        <v>355</v>
      </c>
      <c r="I306" s="15"/>
      <c r="J306" s="15"/>
      <c r="K306" s="15"/>
      <c r="L306" s="15">
        <v>3046694.5799999996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30" x14ac:dyDescent="0.25">
      <c r="A307" s="15" t="s">
        <v>420</v>
      </c>
      <c r="B307" s="15" t="s">
        <v>386</v>
      </c>
      <c r="C307" s="15" t="str">
        <f t="shared" si="0"/>
        <v>HSR Center</v>
      </c>
      <c r="D307" s="15" t="s">
        <v>387</v>
      </c>
      <c r="E307" s="15" t="str">
        <f t="shared" si="1"/>
        <v>RADM CEN Grocery RKA+Monetka,Krasnoe i beloe, Kiro</v>
      </c>
      <c r="F307" s="15" t="s">
        <v>412</v>
      </c>
      <c r="G307" s="15"/>
      <c r="H307" s="15" t="s">
        <v>389</v>
      </c>
      <c r="I307" s="15"/>
      <c r="J307" s="15"/>
      <c r="K307" s="15"/>
      <c r="L307" s="15">
        <v>2125019.96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30" x14ac:dyDescent="0.25">
      <c r="A308" s="15" t="s">
        <v>383</v>
      </c>
      <c r="B308" s="15" t="s">
        <v>386</v>
      </c>
      <c r="C308" s="15" t="str">
        <f t="shared" si="0"/>
        <v>HSR Center</v>
      </c>
      <c r="D308" s="15" t="s">
        <v>387</v>
      </c>
      <c r="E308" s="15" t="str">
        <f t="shared" si="1"/>
        <v>RADM CEN Grocery RKA+Monetka,Krasnoe i beloe, Kiro</v>
      </c>
      <c r="F308" s="15" t="s">
        <v>412</v>
      </c>
      <c r="G308" s="15"/>
      <c r="H308" s="15" t="s">
        <v>355</v>
      </c>
      <c r="I308" s="15"/>
      <c r="J308" s="15"/>
      <c r="K308" s="15"/>
      <c r="L308" s="15">
        <v>12307302.329999996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30" x14ac:dyDescent="0.25">
      <c r="A309" s="15" t="s">
        <v>383</v>
      </c>
      <c r="B309" s="15" t="s">
        <v>386</v>
      </c>
      <c r="C309" s="15" t="str">
        <f t="shared" si="0"/>
        <v>HSR Center</v>
      </c>
      <c r="D309" s="15" t="s">
        <v>387</v>
      </c>
      <c r="E309" s="15" t="str">
        <f t="shared" si="1"/>
        <v>RADM CEN Grocery RKA+Monetka,Krasnoe i beloe, Kiro</v>
      </c>
      <c r="F309" s="15" t="s">
        <v>412</v>
      </c>
      <c r="G309" s="15"/>
      <c r="H309" s="15" t="s">
        <v>389</v>
      </c>
      <c r="I309" s="15"/>
      <c r="J309" s="15"/>
      <c r="K309" s="15"/>
      <c r="L309" s="15">
        <v>9498768.2299999986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30" x14ac:dyDescent="0.25">
      <c r="A310" s="15" t="s">
        <v>81</v>
      </c>
      <c r="B310" s="15" t="s">
        <v>386</v>
      </c>
      <c r="C310" s="15" t="str">
        <f t="shared" si="0"/>
        <v>HSR Center</v>
      </c>
      <c r="D310" s="15" t="s">
        <v>387</v>
      </c>
      <c r="E310" s="15" t="str">
        <f t="shared" si="1"/>
        <v>RADM CEN Grocery RKA+Monetka,Krasnoe i beloe, Kiro</v>
      </c>
      <c r="F310" s="15" t="s">
        <v>412</v>
      </c>
      <c r="G310" s="15"/>
      <c r="H310" s="15" t="s">
        <v>421</v>
      </c>
      <c r="I310" s="15"/>
      <c r="J310" s="15"/>
      <c r="K310" s="15"/>
      <c r="L310" s="15">
        <v>1850809.5699999998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</row>
    <row r="311" spans="1:20" ht="30" x14ac:dyDescent="0.25">
      <c r="A311" s="15" t="s">
        <v>50</v>
      </c>
      <c r="B311" s="15" t="s">
        <v>386</v>
      </c>
      <c r="C311" s="15" t="str">
        <f t="shared" si="0"/>
        <v>HSR Center</v>
      </c>
      <c r="D311" s="15" t="s">
        <v>387</v>
      </c>
      <c r="E311" s="15" t="str">
        <f t="shared" si="1"/>
        <v>RADM CEN Grocery RKA+Monetka,Krasnoe i beloe, Kiro</v>
      </c>
      <c r="F311" s="15" t="s">
        <v>412</v>
      </c>
      <c r="G311" s="15"/>
      <c r="H311" s="15" t="s">
        <v>422</v>
      </c>
      <c r="I311" s="15"/>
      <c r="J311" s="15"/>
      <c r="K311" s="15"/>
      <c r="L311" s="15">
        <v>3916673.8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30" x14ac:dyDescent="0.25">
      <c r="A312" s="15" t="s">
        <v>50</v>
      </c>
      <c r="B312" s="15" t="s">
        <v>386</v>
      </c>
      <c r="C312" s="15" t="str">
        <f t="shared" si="0"/>
        <v>HSR Center</v>
      </c>
      <c r="D312" s="15" t="s">
        <v>387</v>
      </c>
      <c r="E312" s="15" t="str">
        <f t="shared" si="1"/>
        <v>RADM CEN Grocery RKA+Monetka,Krasnoe i beloe, Kiro</v>
      </c>
      <c r="F312" s="15" t="s">
        <v>412</v>
      </c>
      <c r="G312" s="15"/>
      <c r="H312" s="15" t="s">
        <v>423</v>
      </c>
      <c r="I312" s="15"/>
      <c r="J312" s="15"/>
      <c r="K312" s="15"/>
      <c r="L312" s="15">
        <v>2292216.67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30" x14ac:dyDescent="0.25">
      <c r="A313" s="15" t="s">
        <v>166</v>
      </c>
      <c r="B313" s="15" t="s">
        <v>386</v>
      </c>
      <c r="C313" s="15" t="str">
        <f t="shared" si="0"/>
        <v>HSR Center</v>
      </c>
      <c r="D313" s="15" t="s">
        <v>387</v>
      </c>
      <c r="E313" s="15" t="str">
        <f t="shared" si="1"/>
        <v>RADM CEN Grocery RKA+Monetka,Krasnoe i beloe, Kiro</v>
      </c>
      <c r="F313" s="15" t="s">
        <v>412</v>
      </c>
      <c r="G313" s="15"/>
      <c r="H313" s="15" t="s">
        <v>389</v>
      </c>
      <c r="I313" s="15"/>
      <c r="J313" s="15"/>
      <c r="K313" s="15"/>
      <c r="L313" s="15">
        <v>1669261.7300000004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30" x14ac:dyDescent="0.25">
      <c r="A314" s="15" t="s">
        <v>353</v>
      </c>
      <c r="B314" s="15" t="s">
        <v>386</v>
      </c>
      <c r="C314" s="15" t="str">
        <f t="shared" si="0"/>
        <v>HSR Center</v>
      </c>
      <c r="D314" s="15" t="s">
        <v>387</v>
      </c>
      <c r="E314" s="15" t="str">
        <f t="shared" si="1"/>
        <v>RADM CEN Grocery RKA+Monetka,Krasnoe i beloe, Kiro</v>
      </c>
      <c r="F314" s="15" t="s">
        <v>412</v>
      </c>
      <c r="G314" s="15"/>
      <c r="H314" s="15" t="s">
        <v>394</v>
      </c>
      <c r="I314" s="15"/>
      <c r="J314" s="15"/>
      <c r="K314" s="15"/>
      <c r="L314" s="15">
        <v>16290350.629999995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30" x14ac:dyDescent="0.25">
      <c r="A315" s="15" t="s">
        <v>341</v>
      </c>
      <c r="B315" s="15" t="s">
        <v>386</v>
      </c>
      <c r="C315" s="15" t="str">
        <f t="shared" si="0"/>
        <v>HSR Center</v>
      </c>
      <c r="D315" s="15" t="s">
        <v>387</v>
      </c>
      <c r="E315" s="15" t="str">
        <f t="shared" si="1"/>
        <v>RADM CEN Grocery RKA+Monetka,Krasnoe i beloe, Kiro</v>
      </c>
      <c r="F315" s="15" t="s">
        <v>412</v>
      </c>
      <c r="G315" s="15"/>
      <c r="H315" s="15" t="s">
        <v>389</v>
      </c>
      <c r="I315" s="15"/>
      <c r="J315" s="15"/>
      <c r="K315" s="15"/>
      <c r="L315" s="15">
        <v>13742490.699999999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30" x14ac:dyDescent="0.25">
      <c r="A316" s="15" t="s">
        <v>141</v>
      </c>
      <c r="B316" s="15" t="s">
        <v>386</v>
      </c>
      <c r="C316" s="15" t="str">
        <f t="shared" si="0"/>
        <v>HSR Center</v>
      </c>
      <c r="D316" s="15" t="s">
        <v>387</v>
      </c>
      <c r="E316" s="15" t="str">
        <f t="shared" si="1"/>
        <v>RADM CEN Grocery RKA+Monetka,Krasnoe i beloe, Kiro</v>
      </c>
      <c r="F316" s="15" t="s">
        <v>412</v>
      </c>
      <c r="G316" s="15"/>
      <c r="H316" s="15" t="s">
        <v>389</v>
      </c>
      <c r="I316" s="15"/>
      <c r="J316" s="15"/>
      <c r="K316" s="15"/>
      <c r="L316" s="15">
        <v>8182930.8999999994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30" x14ac:dyDescent="0.25">
      <c r="A317" s="15" t="s">
        <v>87</v>
      </c>
      <c r="B317" s="15" t="s">
        <v>386</v>
      </c>
      <c r="C317" s="15" t="str">
        <f t="shared" si="0"/>
        <v>HSR Center</v>
      </c>
      <c r="D317" s="15" t="s">
        <v>387</v>
      </c>
      <c r="E317" s="15" t="str">
        <f t="shared" si="1"/>
        <v>RADM CEN Grocery RKA+Monetka,Krasnoe i beloe, Kiro</v>
      </c>
      <c r="F317" s="15" t="s">
        <v>412</v>
      </c>
      <c r="G317" s="15"/>
      <c r="H317" s="15" t="s">
        <v>424</v>
      </c>
      <c r="I317" s="15"/>
      <c r="J317" s="15"/>
      <c r="K317" s="15"/>
      <c r="L317" s="15">
        <v>1212322.8800000001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" x14ac:dyDescent="0.25">
      <c r="A318" s="15" t="s">
        <v>155</v>
      </c>
      <c r="B318" s="15" t="s">
        <v>386</v>
      </c>
      <c r="C318" s="15" t="str">
        <f t="shared" si="0"/>
        <v>HSR Center</v>
      </c>
      <c r="D318" s="15" t="s">
        <v>387</v>
      </c>
      <c r="E318" s="15" t="str">
        <f t="shared" si="1"/>
        <v>RADM CEN Grocery RKA+Monetka,Krasnoe i beloe, Kiro</v>
      </c>
      <c r="F318" s="15" t="s">
        <v>412</v>
      </c>
      <c r="G318" s="15"/>
      <c r="H318" s="15" t="s">
        <v>389</v>
      </c>
      <c r="I318" s="15"/>
      <c r="J318" s="15"/>
      <c r="K318" s="15"/>
      <c r="L318" s="15">
        <v>3727231.73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x14ac:dyDescent="0.25">
      <c r="A319" s="15" t="s">
        <v>48</v>
      </c>
      <c r="B319" s="15" t="s">
        <v>386</v>
      </c>
      <c r="C319" s="15" t="str">
        <f t="shared" si="0"/>
        <v>HSR Center</v>
      </c>
      <c r="D319" s="15" t="s">
        <v>387</v>
      </c>
      <c r="E319" s="15" t="str">
        <f t="shared" si="1"/>
        <v>RADM CEN Grocery RKA+Monetka,Krasnoe i beloe, Kiro</v>
      </c>
      <c r="F319" s="15" t="s">
        <v>412</v>
      </c>
      <c r="G319" s="15"/>
      <c r="H319" s="15" t="s">
        <v>422</v>
      </c>
      <c r="I319" s="15"/>
      <c r="J319" s="15"/>
      <c r="K319" s="15"/>
      <c r="L319" s="15">
        <v>1282400.56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30" x14ac:dyDescent="0.25">
      <c r="A320" s="15" t="s">
        <v>48</v>
      </c>
      <c r="B320" s="15" t="s">
        <v>386</v>
      </c>
      <c r="C320" s="15" t="str">
        <f t="shared" si="0"/>
        <v>HSR Center</v>
      </c>
      <c r="D320" s="15" t="s">
        <v>387</v>
      </c>
      <c r="E320" s="15" t="str">
        <f t="shared" si="1"/>
        <v>RADM CEN Grocery RKA+Monetka,Krasnoe i beloe, Kiro</v>
      </c>
      <c r="F320" s="15" t="s">
        <v>412</v>
      </c>
      <c r="G320" s="15"/>
      <c r="H320" s="15" t="s">
        <v>423</v>
      </c>
      <c r="I320" s="15"/>
      <c r="J320" s="15"/>
      <c r="K320" s="15"/>
      <c r="L320" s="15">
        <v>551136.82000000007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30" x14ac:dyDescent="0.25">
      <c r="A321" s="15" t="s">
        <v>148</v>
      </c>
      <c r="B321" s="15" t="s">
        <v>386</v>
      </c>
      <c r="C321" s="15" t="str">
        <f t="shared" si="0"/>
        <v>HSR Center</v>
      </c>
      <c r="D321" s="15" t="s">
        <v>387</v>
      </c>
      <c r="E321" s="15" t="str">
        <f t="shared" si="1"/>
        <v>RADM CEN Grocery RKA+Monetka,Krasnoe i beloe, Kiro</v>
      </c>
      <c r="F321" s="15" t="s">
        <v>412</v>
      </c>
      <c r="G321" s="15"/>
      <c r="H321" s="15" t="s">
        <v>389</v>
      </c>
      <c r="I321" s="15"/>
      <c r="J321" s="15"/>
      <c r="K321" s="15"/>
      <c r="L321" s="15">
        <v>526862.52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30" x14ac:dyDescent="0.25">
      <c r="A322" s="15" t="s">
        <v>425</v>
      </c>
      <c r="B322" s="15" t="s">
        <v>386</v>
      </c>
      <c r="C322" s="15" t="str">
        <f t="shared" si="0"/>
        <v>HSR Center</v>
      </c>
      <c r="D322" s="15" t="s">
        <v>387</v>
      </c>
      <c r="E322" s="15" t="str">
        <f t="shared" si="1"/>
        <v>RADM CEN Grocery RKA+Monetka,Krasnoe i beloe, Kiro</v>
      </c>
      <c r="F322" s="15" t="s">
        <v>412</v>
      </c>
      <c r="G322" s="15"/>
      <c r="H322" s="15" t="s">
        <v>424</v>
      </c>
      <c r="I322" s="15"/>
      <c r="J322" s="15"/>
      <c r="K322" s="15"/>
      <c r="L322" s="15">
        <v>6645557.3500000015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30" x14ac:dyDescent="0.25">
      <c r="A323" s="15" t="s">
        <v>56</v>
      </c>
      <c r="B323" s="15" t="s">
        <v>386</v>
      </c>
      <c r="C323" s="15" t="str">
        <f t="shared" si="0"/>
        <v>HSR Center</v>
      </c>
      <c r="D323" s="15" t="s">
        <v>387</v>
      </c>
      <c r="E323" s="15" t="str">
        <f t="shared" si="1"/>
        <v>RADM CEN Grocery RKA+Monetka,Krasnoe i beloe, Kiro</v>
      </c>
      <c r="F323" s="15" t="s">
        <v>412</v>
      </c>
      <c r="G323" s="15"/>
      <c r="H323" s="15" t="s">
        <v>426</v>
      </c>
      <c r="I323" s="15"/>
      <c r="J323" s="15"/>
      <c r="K323" s="15"/>
      <c r="L323" s="15">
        <v>715825.47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30" x14ac:dyDescent="0.25">
      <c r="A324" s="15" t="s">
        <v>90</v>
      </c>
      <c r="B324" s="15" t="s">
        <v>386</v>
      </c>
      <c r="C324" s="15" t="str">
        <f t="shared" si="0"/>
        <v>HSR Center</v>
      </c>
      <c r="D324" s="15" t="s">
        <v>387</v>
      </c>
      <c r="E324" s="15" t="str">
        <f t="shared" si="1"/>
        <v>RADM CEN Grocery RKA+Monetka,Krasnoe i beloe, Kiro</v>
      </c>
      <c r="F324" s="15" t="s">
        <v>412</v>
      </c>
      <c r="G324" s="15"/>
      <c r="H324" s="15" t="s">
        <v>424</v>
      </c>
      <c r="I324" s="15"/>
      <c r="J324" s="15"/>
      <c r="K324" s="15"/>
      <c r="L324" s="15">
        <v>2816299.63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30" x14ac:dyDescent="0.25">
      <c r="A325" s="15" t="s">
        <v>20</v>
      </c>
      <c r="B325" s="15" t="s">
        <v>386</v>
      </c>
      <c r="C325" s="15" t="str">
        <f t="shared" ref="C325:C388" si="2">B325</f>
        <v>HSR Center</v>
      </c>
      <c r="D325" s="15" t="s">
        <v>387</v>
      </c>
      <c r="E325" s="15" t="str">
        <f t="shared" ref="E325:E388" si="3">D325</f>
        <v>RADM CEN Grocery RKA+Monetka,Krasnoe i beloe, Kiro</v>
      </c>
      <c r="F325" s="15" t="s">
        <v>412</v>
      </c>
      <c r="G325" s="15"/>
      <c r="H325" s="15" t="s">
        <v>389</v>
      </c>
      <c r="I325" s="15"/>
      <c r="J325" s="15"/>
      <c r="K325" s="15"/>
      <c r="L325" s="15">
        <v>1402526.35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30" x14ac:dyDescent="0.25">
      <c r="A326" s="15" t="s">
        <v>427</v>
      </c>
      <c r="B326" s="15" t="s">
        <v>386</v>
      </c>
      <c r="C326" s="15" t="str">
        <f t="shared" si="2"/>
        <v>HSR Center</v>
      </c>
      <c r="D326" s="15" t="s">
        <v>387</v>
      </c>
      <c r="E326" s="15" t="str">
        <f t="shared" si="3"/>
        <v>RADM CEN Grocery RKA+Monetka,Krasnoe i beloe, Kiro</v>
      </c>
      <c r="F326" s="15" t="s">
        <v>412</v>
      </c>
      <c r="G326" s="15"/>
      <c r="H326" s="15" t="s">
        <v>421</v>
      </c>
      <c r="I326" s="15"/>
      <c r="J326" s="15"/>
      <c r="K326" s="15"/>
      <c r="L326" s="15">
        <v>342333.51999999996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</row>
    <row r="327" spans="1:20" ht="30" x14ac:dyDescent="0.25">
      <c r="A327" s="15" t="s">
        <v>37</v>
      </c>
      <c r="B327" s="15" t="s">
        <v>386</v>
      </c>
      <c r="C327" s="15" t="str">
        <f t="shared" si="2"/>
        <v>HSR Center</v>
      </c>
      <c r="D327" s="15" t="s">
        <v>387</v>
      </c>
      <c r="E327" s="15" t="str">
        <f t="shared" si="3"/>
        <v>RADM CEN Grocery RKA+Monetka,Krasnoe i beloe, Kiro</v>
      </c>
      <c r="F327" s="15" t="s">
        <v>412</v>
      </c>
      <c r="G327" s="15"/>
      <c r="H327" s="15" t="s">
        <v>351</v>
      </c>
      <c r="I327" s="15"/>
      <c r="J327" s="15"/>
      <c r="K327" s="15"/>
      <c r="L327" s="15">
        <v>3642683.080000001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30" x14ac:dyDescent="0.25">
      <c r="A328" s="15" t="s">
        <v>344</v>
      </c>
      <c r="B328" s="15" t="s">
        <v>386</v>
      </c>
      <c r="C328" s="15" t="str">
        <f t="shared" si="2"/>
        <v>HSR Center</v>
      </c>
      <c r="D328" s="15" t="s">
        <v>387</v>
      </c>
      <c r="E328" s="15" t="str">
        <f t="shared" si="3"/>
        <v>RADM CEN Grocery RKA+Monetka,Krasnoe i beloe, Kiro</v>
      </c>
      <c r="F328" s="15" t="s">
        <v>412</v>
      </c>
      <c r="G328" s="15"/>
      <c r="H328" s="15" t="s">
        <v>428</v>
      </c>
      <c r="I328" s="15"/>
      <c r="J328" s="15"/>
      <c r="K328" s="15"/>
      <c r="L328" s="15">
        <v>16476732.709999997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30" x14ac:dyDescent="0.25">
      <c r="A329" s="15" t="s">
        <v>25</v>
      </c>
      <c r="B329" s="15" t="s">
        <v>386</v>
      </c>
      <c r="C329" s="15" t="str">
        <f t="shared" si="2"/>
        <v>HSR Center</v>
      </c>
      <c r="D329" s="15" t="s">
        <v>387</v>
      </c>
      <c r="E329" s="15" t="str">
        <f t="shared" si="3"/>
        <v>RADM CEN Grocery RKA+Monetka,Krasnoe i beloe, Kiro</v>
      </c>
      <c r="F329" s="15" t="s">
        <v>412</v>
      </c>
      <c r="G329" s="15"/>
      <c r="H329" s="15" t="s">
        <v>389</v>
      </c>
      <c r="I329" s="15"/>
      <c r="J329" s="15"/>
      <c r="K329" s="15"/>
      <c r="L329" s="15">
        <v>1067159.2200000002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30" x14ac:dyDescent="0.25">
      <c r="A330" s="15" t="s">
        <v>42</v>
      </c>
      <c r="B330" s="15" t="s">
        <v>386</v>
      </c>
      <c r="C330" s="15" t="str">
        <f t="shared" si="2"/>
        <v>HSR Center</v>
      </c>
      <c r="D330" s="15" t="s">
        <v>387</v>
      </c>
      <c r="E330" s="15" t="str">
        <f t="shared" si="3"/>
        <v>RADM CEN Grocery RKA+Monetka,Krasnoe i beloe, Kiro</v>
      </c>
      <c r="F330" s="15" t="s">
        <v>412</v>
      </c>
      <c r="G330" s="15"/>
      <c r="H330" s="15" t="s">
        <v>429</v>
      </c>
      <c r="I330" s="15"/>
      <c r="J330" s="15"/>
      <c r="K330" s="15"/>
      <c r="L330" s="15">
        <v>497928.88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30" x14ac:dyDescent="0.25">
      <c r="A331" s="15" t="s">
        <v>54</v>
      </c>
      <c r="B331" s="15" t="s">
        <v>386</v>
      </c>
      <c r="C331" s="15" t="str">
        <f t="shared" si="2"/>
        <v>HSR Center</v>
      </c>
      <c r="D331" s="15" t="s">
        <v>387</v>
      </c>
      <c r="E331" s="15" t="str">
        <f t="shared" si="3"/>
        <v>RADM CEN Grocery RKA+Monetka,Krasnoe i beloe, Kiro</v>
      </c>
      <c r="F331" s="15" t="s">
        <v>412</v>
      </c>
      <c r="G331" s="15"/>
      <c r="H331" s="15" t="s">
        <v>426</v>
      </c>
      <c r="I331" s="15"/>
      <c r="J331" s="15"/>
      <c r="K331" s="15"/>
      <c r="L331" s="15">
        <v>217936.43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30" x14ac:dyDescent="0.25">
      <c r="A332" s="15" t="s">
        <v>173</v>
      </c>
      <c r="B332" s="15" t="s">
        <v>386</v>
      </c>
      <c r="C332" s="15" t="str">
        <f t="shared" si="2"/>
        <v>HSR Center</v>
      </c>
      <c r="D332" s="15" t="s">
        <v>387</v>
      </c>
      <c r="E332" s="15" t="str">
        <f t="shared" si="3"/>
        <v>RADM CEN Grocery RKA+Monetka,Krasnoe i beloe, Kiro</v>
      </c>
      <c r="F332" s="15" t="s">
        <v>412</v>
      </c>
      <c r="G332" s="15"/>
      <c r="H332" s="15" t="s">
        <v>419</v>
      </c>
      <c r="I332" s="15"/>
      <c r="J332" s="15"/>
      <c r="K332" s="15"/>
      <c r="L332" s="15">
        <v>18206006.04000001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30" x14ac:dyDescent="0.25">
      <c r="A333" s="15" t="s">
        <v>173</v>
      </c>
      <c r="B333" s="15" t="s">
        <v>386</v>
      </c>
      <c r="C333" s="15" t="str">
        <f t="shared" si="2"/>
        <v>HSR Center</v>
      </c>
      <c r="D333" s="15" t="s">
        <v>387</v>
      </c>
      <c r="E333" s="15" t="str">
        <f t="shared" si="3"/>
        <v>RADM CEN Grocery RKA+Monetka,Krasnoe i beloe, Kiro</v>
      </c>
      <c r="F333" s="15" t="s">
        <v>412</v>
      </c>
      <c r="G333" s="15"/>
      <c r="H333" s="15" t="s">
        <v>389</v>
      </c>
      <c r="I333" s="15"/>
      <c r="J333" s="15"/>
      <c r="K333" s="15"/>
      <c r="L333" s="15">
        <v>22305574.450000003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30" x14ac:dyDescent="0.25">
      <c r="A334" s="15" t="s">
        <v>180</v>
      </c>
      <c r="B334" s="15" t="s">
        <v>386</v>
      </c>
      <c r="C334" s="15" t="str">
        <f t="shared" si="2"/>
        <v>HSR Center</v>
      </c>
      <c r="D334" s="15" t="s">
        <v>387</v>
      </c>
      <c r="E334" s="15" t="str">
        <f t="shared" si="3"/>
        <v>RADM CEN Grocery RKA+Monetka,Krasnoe i beloe, Kiro</v>
      </c>
      <c r="F334" s="15" t="s">
        <v>412</v>
      </c>
      <c r="G334" s="15"/>
      <c r="H334" s="15" t="s">
        <v>419</v>
      </c>
      <c r="I334" s="15"/>
      <c r="J334" s="15"/>
      <c r="K334" s="15"/>
      <c r="L334" s="15">
        <v>148303293.16999984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30" x14ac:dyDescent="0.25">
      <c r="A335" s="15" t="s">
        <v>111</v>
      </c>
      <c r="B335" s="15" t="s">
        <v>386</v>
      </c>
      <c r="C335" s="15" t="str">
        <f t="shared" si="2"/>
        <v>HSR Center</v>
      </c>
      <c r="D335" s="15" t="s">
        <v>387</v>
      </c>
      <c r="E335" s="15" t="str">
        <f t="shared" si="3"/>
        <v>RADM CEN Grocery RKA+Monetka,Krasnoe i beloe, Kiro</v>
      </c>
      <c r="F335" s="15" t="s">
        <v>412</v>
      </c>
      <c r="G335" s="15"/>
      <c r="H335" s="15" t="s">
        <v>360</v>
      </c>
      <c r="I335" s="15"/>
      <c r="J335" s="15"/>
      <c r="K335" s="15"/>
      <c r="L335" s="15">
        <v>18010939.100000005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30" x14ac:dyDescent="0.25">
      <c r="A336" s="15" t="s">
        <v>345</v>
      </c>
      <c r="B336" s="15" t="s">
        <v>386</v>
      </c>
      <c r="C336" s="15" t="str">
        <f t="shared" si="2"/>
        <v>HSR Center</v>
      </c>
      <c r="D336" s="15" t="s">
        <v>387</v>
      </c>
      <c r="E336" s="15" t="str">
        <f t="shared" si="3"/>
        <v>RADM CEN Grocery RKA+Monetka,Krasnoe i beloe, Kiro</v>
      </c>
      <c r="F336" s="15" t="s">
        <v>412</v>
      </c>
      <c r="G336" s="15"/>
      <c r="H336" s="15" t="s">
        <v>351</v>
      </c>
      <c r="I336" s="15"/>
      <c r="J336" s="15"/>
      <c r="K336" s="15"/>
      <c r="L336" s="15">
        <v>8843623.5500000007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30" x14ac:dyDescent="0.25">
      <c r="A337" s="15" t="s">
        <v>150</v>
      </c>
      <c r="B337" s="15" t="s">
        <v>386</v>
      </c>
      <c r="C337" s="15" t="str">
        <f t="shared" si="2"/>
        <v>HSR Center</v>
      </c>
      <c r="D337" s="15" t="s">
        <v>387</v>
      </c>
      <c r="E337" s="15" t="str">
        <f t="shared" si="3"/>
        <v>RADM CEN Grocery RKA+Monetka,Krasnoe i beloe, Kiro</v>
      </c>
      <c r="F337" s="15" t="s">
        <v>412</v>
      </c>
      <c r="G337" s="15"/>
      <c r="H337" s="15" t="s">
        <v>389</v>
      </c>
      <c r="I337" s="15"/>
      <c r="J337" s="15"/>
      <c r="K337" s="15"/>
      <c r="L337" s="15">
        <v>4388912.41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30" x14ac:dyDescent="0.25">
      <c r="A338" s="15" t="s">
        <v>333</v>
      </c>
      <c r="B338" s="15" t="s">
        <v>386</v>
      </c>
      <c r="C338" s="15" t="str">
        <f t="shared" si="2"/>
        <v>HSR Center</v>
      </c>
      <c r="D338" s="15" t="s">
        <v>387</v>
      </c>
      <c r="E338" s="15" t="str">
        <f t="shared" si="3"/>
        <v>RADM CEN Grocery RKA+Monetka,Krasnoe i beloe, Kiro</v>
      </c>
      <c r="F338" s="15" t="s">
        <v>412</v>
      </c>
      <c r="G338" s="15"/>
      <c r="H338" s="15" t="s">
        <v>389</v>
      </c>
      <c r="I338" s="15"/>
      <c r="J338" s="15"/>
      <c r="K338" s="15"/>
      <c r="L338" s="15">
        <v>16865038.440000001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30" x14ac:dyDescent="0.25">
      <c r="A339" s="15" t="s">
        <v>35</v>
      </c>
      <c r="B339" s="15" t="s">
        <v>386</v>
      </c>
      <c r="C339" s="15" t="str">
        <f t="shared" si="2"/>
        <v>HSR Center</v>
      </c>
      <c r="D339" s="15" t="s">
        <v>387</v>
      </c>
      <c r="E339" s="15" t="str">
        <f t="shared" si="3"/>
        <v>RADM CEN Grocery RKA+Monetka,Krasnoe i beloe, Kiro</v>
      </c>
      <c r="F339" s="15" t="s">
        <v>412</v>
      </c>
      <c r="G339" s="15"/>
      <c r="H339" s="15" t="s">
        <v>351</v>
      </c>
      <c r="I339" s="15"/>
      <c r="J339" s="15"/>
      <c r="K339" s="15"/>
      <c r="L339" s="15">
        <v>2126298.59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30" x14ac:dyDescent="0.25">
      <c r="A340" s="15" t="s">
        <v>36</v>
      </c>
      <c r="B340" s="15" t="s">
        <v>386</v>
      </c>
      <c r="C340" s="15" t="str">
        <f t="shared" si="2"/>
        <v>HSR Center</v>
      </c>
      <c r="D340" s="15" t="s">
        <v>387</v>
      </c>
      <c r="E340" s="15" t="str">
        <f t="shared" si="3"/>
        <v>RADM CEN Grocery RKA+Monetka,Krasnoe i beloe, Kiro</v>
      </c>
      <c r="F340" s="15" t="s">
        <v>412</v>
      </c>
      <c r="G340" s="15"/>
      <c r="H340" s="15" t="s">
        <v>351</v>
      </c>
      <c r="I340" s="15"/>
      <c r="J340" s="15"/>
      <c r="K340" s="15"/>
      <c r="L340" s="15">
        <v>2711752.3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30" x14ac:dyDescent="0.25">
      <c r="A341" s="15" t="s">
        <v>127</v>
      </c>
      <c r="B341" s="15" t="s">
        <v>386</v>
      </c>
      <c r="C341" s="15" t="str">
        <f t="shared" si="2"/>
        <v>HSR Center</v>
      </c>
      <c r="D341" s="15" t="s">
        <v>387</v>
      </c>
      <c r="E341" s="15" t="str">
        <f t="shared" si="3"/>
        <v>RADM CEN Grocery RKA+Monetka,Krasnoe i beloe, Kiro</v>
      </c>
      <c r="F341" s="15" t="s">
        <v>412</v>
      </c>
      <c r="G341" s="15"/>
      <c r="H341" s="15" t="s">
        <v>355</v>
      </c>
      <c r="I341" s="15"/>
      <c r="J341" s="15"/>
      <c r="K341" s="15"/>
      <c r="L341" s="15">
        <v>6187042.1399999997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0" x14ac:dyDescent="0.25">
      <c r="A342" s="15" t="s">
        <v>127</v>
      </c>
      <c r="B342" s="15" t="s">
        <v>386</v>
      </c>
      <c r="C342" s="15" t="str">
        <f t="shared" si="2"/>
        <v>HSR Center</v>
      </c>
      <c r="D342" s="15" t="s">
        <v>387</v>
      </c>
      <c r="E342" s="15" t="str">
        <f t="shared" si="3"/>
        <v>RADM CEN Grocery RKA+Monetka,Krasnoe i beloe, Kiro</v>
      </c>
      <c r="F342" s="15" t="s">
        <v>412</v>
      </c>
      <c r="G342" s="15"/>
      <c r="H342" s="15" t="s">
        <v>389</v>
      </c>
      <c r="I342" s="15"/>
      <c r="J342" s="15"/>
      <c r="K342" s="15"/>
      <c r="L342" s="15">
        <v>6168560.4500000011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30" x14ac:dyDescent="0.25">
      <c r="A343" s="15" t="s">
        <v>123</v>
      </c>
      <c r="B343" s="15" t="s">
        <v>386</v>
      </c>
      <c r="C343" s="15" t="str">
        <f t="shared" si="2"/>
        <v>HSR Center</v>
      </c>
      <c r="D343" s="15" t="s">
        <v>387</v>
      </c>
      <c r="E343" s="15" t="str">
        <f t="shared" si="3"/>
        <v>RADM CEN Grocery RKA+Monetka,Krasnoe i beloe, Kiro</v>
      </c>
      <c r="F343" s="15" t="s">
        <v>412</v>
      </c>
      <c r="G343" s="15"/>
      <c r="H343" s="15" t="s">
        <v>430</v>
      </c>
      <c r="I343" s="15"/>
      <c r="J343" s="15"/>
      <c r="K343" s="15"/>
      <c r="L343" s="15">
        <v>13379034.709999999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0" x14ac:dyDescent="0.25">
      <c r="A344" s="15" t="s">
        <v>108</v>
      </c>
      <c r="B344" s="15" t="s">
        <v>386</v>
      </c>
      <c r="C344" s="15" t="str">
        <f t="shared" si="2"/>
        <v>HSR Center</v>
      </c>
      <c r="D344" s="15" t="s">
        <v>387</v>
      </c>
      <c r="E344" s="15" t="str">
        <f t="shared" si="3"/>
        <v>RADM CEN Grocery RKA+Monetka,Krasnoe i beloe, Kiro</v>
      </c>
      <c r="F344" s="15" t="s">
        <v>412</v>
      </c>
      <c r="G344" s="15"/>
      <c r="H344" s="15" t="s">
        <v>389</v>
      </c>
      <c r="I344" s="15"/>
      <c r="J344" s="15"/>
      <c r="K344" s="15"/>
      <c r="L344" s="15">
        <v>2367448.2399999998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0" x14ac:dyDescent="0.25">
      <c r="A345" s="15" t="s">
        <v>145</v>
      </c>
      <c r="B345" s="15" t="s">
        <v>386</v>
      </c>
      <c r="C345" s="15" t="str">
        <f t="shared" si="2"/>
        <v>HSR Center</v>
      </c>
      <c r="D345" s="15" t="s">
        <v>387</v>
      </c>
      <c r="E345" s="15" t="str">
        <f t="shared" si="3"/>
        <v>RADM CEN Grocery RKA+Monetka,Krasnoe i beloe, Kiro</v>
      </c>
      <c r="F345" s="15" t="s">
        <v>412</v>
      </c>
      <c r="G345" s="15"/>
      <c r="H345" s="15" t="s">
        <v>389</v>
      </c>
      <c r="I345" s="15"/>
      <c r="J345" s="15"/>
      <c r="K345" s="15"/>
      <c r="L345" s="15">
        <v>66978.100000000006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0" x14ac:dyDescent="0.25">
      <c r="A346" s="15" t="s">
        <v>152</v>
      </c>
      <c r="B346" s="15" t="s">
        <v>386</v>
      </c>
      <c r="C346" s="15" t="str">
        <f t="shared" si="2"/>
        <v>HSR Center</v>
      </c>
      <c r="D346" s="15" t="s">
        <v>387</v>
      </c>
      <c r="E346" s="15" t="str">
        <f t="shared" si="3"/>
        <v>RADM CEN Grocery RKA+Monetka,Krasnoe i beloe, Kiro</v>
      </c>
      <c r="F346" s="15" t="s">
        <v>412</v>
      </c>
      <c r="G346" s="15"/>
      <c r="H346" s="15" t="s">
        <v>389</v>
      </c>
      <c r="I346" s="15"/>
      <c r="J346" s="15"/>
      <c r="K346" s="15"/>
      <c r="L346" s="15">
        <v>1620898.1300000001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30" x14ac:dyDescent="0.25">
      <c r="A347" s="15" t="s">
        <v>102</v>
      </c>
      <c r="B347" s="15" t="s">
        <v>386</v>
      </c>
      <c r="C347" s="15" t="str">
        <f t="shared" si="2"/>
        <v>HSR Center</v>
      </c>
      <c r="D347" s="15" t="s">
        <v>387</v>
      </c>
      <c r="E347" s="15" t="str">
        <f t="shared" si="3"/>
        <v>RADM CEN Grocery RKA+Monetka,Krasnoe i beloe, Kiro</v>
      </c>
      <c r="F347" s="15" t="s">
        <v>412</v>
      </c>
      <c r="G347" s="15"/>
      <c r="H347" s="15" t="s">
        <v>360</v>
      </c>
      <c r="I347" s="15"/>
      <c r="J347" s="15"/>
      <c r="K347" s="15"/>
      <c r="L347" s="15">
        <v>36021878.200000018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0" x14ac:dyDescent="0.25">
      <c r="A348" s="15" t="s">
        <v>431</v>
      </c>
      <c r="B348" s="15" t="s">
        <v>386</v>
      </c>
      <c r="C348" s="15" t="str">
        <f t="shared" si="2"/>
        <v>HSR Center</v>
      </c>
      <c r="D348" s="15" t="s">
        <v>387</v>
      </c>
      <c r="E348" s="15" t="str">
        <f t="shared" si="3"/>
        <v>RADM CEN Grocery RKA+Monetka,Krasnoe i beloe, Kiro</v>
      </c>
      <c r="F348" s="15" t="s">
        <v>412</v>
      </c>
      <c r="G348" s="15"/>
      <c r="H348" s="15" t="s">
        <v>421</v>
      </c>
      <c r="I348" s="15"/>
      <c r="J348" s="15"/>
      <c r="K348" s="15"/>
      <c r="L348" s="15">
        <v>132631.12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0" x14ac:dyDescent="0.25">
      <c r="A349" s="15" t="s">
        <v>38</v>
      </c>
      <c r="B349" s="15" t="s">
        <v>386</v>
      </c>
      <c r="C349" s="15" t="str">
        <f t="shared" si="2"/>
        <v>HSR Center</v>
      </c>
      <c r="D349" s="15" t="s">
        <v>387</v>
      </c>
      <c r="E349" s="15" t="str">
        <f t="shared" si="3"/>
        <v>RADM CEN Grocery RKA+Monetka,Krasnoe i beloe, Kiro</v>
      </c>
      <c r="F349" s="15" t="s">
        <v>412</v>
      </c>
      <c r="G349" s="15"/>
      <c r="H349" s="15" t="s">
        <v>351</v>
      </c>
      <c r="I349" s="15"/>
      <c r="J349" s="15"/>
      <c r="K349" s="15"/>
      <c r="L349" s="15">
        <v>7241718.1199999992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0" x14ac:dyDescent="0.25">
      <c r="A350" s="15" t="s">
        <v>156</v>
      </c>
      <c r="B350" s="15" t="s">
        <v>386</v>
      </c>
      <c r="C350" s="15" t="str">
        <f t="shared" si="2"/>
        <v>HSR Center</v>
      </c>
      <c r="D350" s="15" t="s">
        <v>387</v>
      </c>
      <c r="E350" s="15" t="str">
        <f t="shared" si="3"/>
        <v>RADM CEN Grocery RKA+Monetka,Krasnoe i beloe, Kiro</v>
      </c>
      <c r="F350" s="15" t="s">
        <v>412</v>
      </c>
      <c r="G350" s="15"/>
      <c r="H350" s="15" t="s">
        <v>354</v>
      </c>
      <c r="I350" s="15"/>
      <c r="J350" s="15"/>
      <c r="K350" s="15"/>
      <c r="L350" s="15">
        <v>2537846.2700000005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0" x14ac:dyDescent="0.25">
      <c r="A351" s="15" t="s">
        <v>18</v>
      </c>
      <c r="B351" s="15" t="s">
        <v>386</v>
      </c>
      <c r="C351" s="15" t="str">
        <f t="shared" si="2"/>
        <v>HSR Center</v>
      </c>
      <c r="D351" s="15" t="s">
        <v>387</v>
      </c>
      <c r="E351" s="15" t="str">
        <f t="shared" si="3"/>
        <v>RADM CEN Grocery RKA+Monetka,Krasnoe i beloe, Kiro</v>
      </c>
      <c r="F351" s="15" t="s">
        <v>412</v>
      </c>
      <c r="G351" s="15"/>
      <c r="H351" s="15" t="s">
        <v>389</v>
      </c>
      <c r="I351" s="15"/>
      <c r="J351" s="15"/>
      <c r="K351" s="15"/>
      <c r="L351" s="15">
        <v>1761030.05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0" x14ac:dyDescent="0.25">
      <c r="A352" s="15" t="s">
        <v>105</v>
      </c>
      <c r="B352" s="15" t="s">
        <v>386</v>
      </c>
      <c r="C352" s="15" t="str">
        <f t="shared" si="2"/>
        <v>HSR Center</v>
      </c>
      <c r="D352" s="15" t="s">
        <v>387</v>
      </c>
      <c r="E352" s="15" t="str">
        <f t="shared" si="3"/>
        <v>RADM CEN Grocery RKA+Monetka,Krasnoe i beloe, Kiro</v>
      </c>
      <c r="F352" s="15" t="s">
        <v>412</v>
      </c>
      <c r="G352" s="15"/>
      <c r="H352" s="15" t="s">
        <v>389</v>
      </c>
      <c r="I352" s="15"/>
      <c r="J352" s="15"/>
      <c r="K352" s="15"/>
      <c r="L352" s="15">
        <v>6875972.790000001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30" x14ac:dyDescent="0.25">
      <c r="A353" s="15" t="s">
        <v>346</v>
      </c>
      <c r="B353" s="15" t="s">
        <v>386</v>
      </c>
      <c r="C353" s="15" t="str">
        <f t="shared" si="2"/>
        <v>HSR Center</v>
      </c>
      <c r="D353" s="15" t="s">
        <v>387</v>
      </c>
      <c r="E353" s="15" t="str">
        <f t="shared" si="3"/>
        <v>RADM CEN Grocery RKA+Monetka,Krasnoe i beloe, Kiro</v>
      </c>
      <c r="F353" s="15" t="s">
        <v>412</v>
      </c>
      <c r="G353" s="15"/>
      <c r="H353" s="15" t="s">
        <v>351</v>
      </c>
      <c r="I353" s="15"/>
      <c r="J353" s="15"/>
      <c r="K353" s="15"/>
      <c r="L353" s="15">
        <v>166482.5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30" x14ac:dyDescent="0.25">
      <c r="A354" s="15" t="s">
        <v>154</v>
      </c>
      <c r="B354" s="15" t="s">
        <v>386</v>
      </c>
      <c r="C354" s="15" t="str">
        <f t="shared" si="2"/>
        <v>HSR Center</v>
      </c>
      <c r="D354" s="15" t="s">
        <v>387</v>
      </c>
      <c r="E354" s="15" t="str">
        <f t="shared" si="3"/>
        <v>RADM CEN Grocery RKA+Monetka,Krasnoe i beloe, Kiro</v>
      </c>
      <c r="F354" s="15" t="s">
        <v>412</v>
      </c>
      <c r="G354" s="15"/>
      <c r="H354" s="15" t="s">
        <v>389</v>
      </c>
      <c r="I354" s="15"/>
      <c r="J354" s="15"/>
      <c r="K354" s="15"/>
      <c r="L354" s="15">
        <v>923748.45000000019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0" x14ac:dyDescent="0.25">
      <c r="A355" s="15" t="s">
        <v>65</v>
      </c>
      <c r="B355" s="15" t="s">
        <v>386</v>
      </c>
      <c r="C355" s="15" t="str">
        <f t="shared" si="2"/>
        <v>HSR Center</v>
      </c>
      <c r="D355" s="15" t="s">
        <v>387</v>
      </c>
      <c r="E355" s="15" t="str">
        <f t="shared" si="3"/>
        <v>RADM CEN Grocery RKA+Monetka,Krasnoe i beloe, Kiro</v>
      </c>
      <c r="F355" s="15" t="s">
        <v>412</v>
      </c>
      <c r="G355" s="15"/>
      <c r="H355" s="15" t="s">
        <v>421</v>
      </c>
      <c r="I355" s="15"/>
      <c r="J355" s="15"/>
      <c r="K355" s="15"/>
      <c r="L355" s="15">
        <v>915171.79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30" x14ac:dyDescent="0.25">
      <c r="A356" s="15" t="s">
        <v>432</v>
      </c>
      <c r="B356" s="15" t="s">
        <v>386</v>
      </c>
      <c r="C356" s="15" t="str">
        <f t="shared" si="2"/>
        <v>HSR Center</v>
      </c>
      <c r="D356" s="15" t="s">
        <v>387</v>
      </c>
      <c r="E356" s="15" t="str">
        <f t="shared" si="3"/>
        <v>RADM CEN Grocery RKA+Monetka,Krasnoe i beloe, Kiro</v>
      </c>
      <c r="F356" s="15" t="s">
        <v>412</v>
      </c>
      <c r="G356" s="15"/>
      <c r="H356" s="15" t="s">
        <v>419</v>
      </c>
      <c r="I356" s="15"/>
      <c r="J356" s="15"/>
      <c r="K356" s="15"/>
      <c r="L356" s="15">
        <v>24173379.469999999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0" x14ac:dyDescent="0.25">
      <c r="A357" s="15" t="s">
        <v>160</v>
      </c>
      <c r="B357" s="15" t="s">
        <v>386</v>
      </c>
      <c r="C357" s="15" t="str">
        <f t="shared" si="2"/>
        <v>HSR Center</v>
      </c>
      <c r="D357" s="15" t="s">
        <v>387</v>
      </c>
      <c r="E357" s="15" t="str">
        <f t="shared" si="3"/>
        <v>RADM CEN Grocery RKA+Monetka,Krasnoe i beloe, Kiro</v>
      </c>
      <c r="F357" s="15" t="s">
        <v>412</v>
      </c>
      <c r="G357" s="15"/>
      <c r="H357" s="15" t="s">
        <v>389</v>
      </c>
      <c r="I357" s="15"/>
      <c r="J357" s="15"/>
      <c r="K357" s="15"/>
      <c r="L357" s="15">
        <v>3460921.04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0" x14ac:dyDescent="0.25">
      <c r="A358" s="15" t="s">
        <v>151</v>
      </c>
      <c r="B358" s="15" t="s">
        <v>386</v>
      </c>
      <c r="C358" s="15" t="str">
        <f t="shared" si="2"/>
        <v>HSR Center</v>
      </c>
      <c r="D358" s="15" t="s">
        <v>387</v>
      </c>
      <c r="E358" s="15" t="str">
        <f t="shared" si="3"/>
        <v>RADM CEN Grocery RKA+Monetka,Krasnoe i beloe, Kiro</v>
      </c>
      <c r="F358" s="15" t="s">
        <v>412</v>
      </c>
      <c r="G358" s="15"/>
      <c r="H358" s="15" t="s">
        <v>389</v>
      </c>
      <c r="I358" s="15"/>
      <c r="J358" s="15"/>
      <c r="K358" s="15"/>
      <c r="L358" s="15">
        <v>3728265.5200000005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30" x14ac:dyDescent="0.25">
      <c r="A359" s="15" t="s">
        <v>93</v>
      </c>
      <c r="B359" s="15" t="s">
        <v>386</v>
      </c>
      <c r="C359" s="15" t="str">
        <f t="shared" si="2"/>
        <v>HSR Center</v>
      </c>
      <c r="D359" s="15" t="s">
        <v>387</v>
      </c>
      <c r="E359" s="15" t="str">
        <f t="shared" si="3"/>
        <v>RADM CEN Grocery RKA+Monetka,Krasnoe i beloe, Kiro</v>
      </c>
      <c r="F359" s="15" t="s">
        <v>412</v>
      </c>
      <c r="G359" s="15"/>
      <c r="H359" s="15" t="s">
        <v>389</v>
      </c>
      <c r="I359" s="15"/>
      <c r="J359" s="15"/>
      <c r="K359" s="15"/>
      <c r="L359" s="15">
        <v>292274.43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30" x14ac:dyDescent="0.25">
      <c r="A360" s="15" t="s">
        <v>55</v>
      </c>
      <c r="B360" s="15" t="s">
        <v>386</v>
      </c>
      <c r="C360" s="15" t="str">
        <f t="shared" si="2"/>
        <v>HSR Center</v>
      </c>
      <c r="D360" s="15" t="s">
        <v>387</v>
      </c>
      <c r="E360" s="15" t="str">
        <f t="shared" si="3"/>
        <v>RADM CEN Grocery RKA+Monetka,Krasnoe i beloe, Kiro</v>
      </c>
      <c r="F360" s="15" t="s">
        <v>412</v>
      </c>
      <c r="G360" s="15"/>
      <c r="H360" s="15" t="s">
        <v>426</v>
      </c>
      <c r="I360" s="15"/>
      <c r="J360" s="15"/>
      <c r="K360" s="15"/>
      <c r="L360" s="15">
        <v>372200.5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30" x14ac:dyDescent="0.25">
      <c r="A361" s="15" t="s">
        <v>133</v>
      </c>
      <c r="B361" s="15" t="s">
        <v>386</v>
      </c>
      <c r="C361" s="15" t="str">
        <f t="shared" si="2"/>
        <v>HSR Center</v>
      </c>
      <c r="D361" s="15" t="s">
        <v>387</v>
      </c>
      <c r="E361" s="15" t="str">
        <f t="shared" si="3"/>
        <v>RADM CEN Grocery RKA+Monetka,Krasnoe i beloe, Kiro</v>
      </c>
      <c r="F361" s="15" t="s">
        <v>412</v>
      </c>
      <c r="G361" s="15"/>
      <c r="H361" s="15" t="s">
        <v>428</v>
      </c>
      <c r="I361" s="15"/>
      <c r="J361" s="15"/>
      <c r="K361" s="15"/>
      <c r="L361" s="15">
        <v>5559329.3000000007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30" x14ac:dyDescent="0.25">
      <c r="A362" s="15" t="s">
        <v>17</v>
      </c>
      <c r="B362" s="15" t="s">
        <v>386</v>
      </c>
      <c r="C362" s="15" t="str">
        <f t="shared" si="2"/>
        <v>HSR Center</v>
      </c>
      <c r="D362" s="15" t="s">
        <v>387</v>
      </c>
      <c r="E362" s="15" t="str">
        <f t="shared" si="3"/>
        <v>RADM CEN Grocery RKA+Monetka,Krasnoe i beloe, Kiro</v>
      </c>
      <c r="F362" s="15" t="s">
        <v>412</v>
      </c>
      <c r="G362" s="15"/>
      <c r="H362" s="15" t="s">
        <v>389</v>
      </c>
      <c r="I362" s="15"/>
      <c r="J362" s="15"/>
      <c r="K362" s="15"/>
      <c r="L362" s="15">
        <v>1871079.9999999998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30" x14ac:dyDescent="0.25">
      <c r="A363" s="15" t="s">
        <v>120</v>
      </c>
      <c r="B363" s="15" t="s">
        <v>386</v>
      </c>
      <c r="C363" s="15" t="str">
        <f t="shared" si="2"/>
        <v>HSR Center</v>
      </c>
      <c r="D363" s="15" t="s">
        <v>387</v>
      </c>
      <c r="E363" s="15" t="str">
        <f t="shared" si="3"/>
        <v>RADM CEN Grocery RKA+Monetka,Krasnoe i beloe, Kiro</v>
      </c>
      <c r="F363" s="15" t="s">
        <v>412</v>
      </c>
      <c r="G363" s="15"/>
      <c r="H363" s="15" t="s">
        <v>360</v>
      </c>
      <c r="I363" s="15"/>
      <c r="J363" s="15"/>
      <c r="K363" s="15"/>
      <c r="L363" s="15">
        <v>21870426.050000016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0" x14ac:dyDescent="0.25">
      <c r="A364" s="15" t="s">
        <v>385</v>
      </c>
      <c r="B364" s="15" t="s">
        <v>386</v>
      </c>
      <c r="C364" s="15" t="str">
        <f t="shared" si="2"/>
        <v>HSR Center</v>
      </c>
      <c r="D364" s="15" t="s">
        <v>387</v>
      </c>
      <c r="E364" s="15" t="str">
        <f t="shared" si="3"/>
        <v>RADM CEN Grocery RKA+Monetka,Krasnoe i beloe, Kiro</v>
      </c>
      <c r="F364" s="15" t="s">
        <v>412</v>
      </c>
      <c r="G364" s="15"/>
      <c r="H364" s="15" t="s">
        <v>389</v>
      </c>
      <c r="I364" s="15"/>
      <c r="J364" s="15"/>
      <c r="K364" s="15"/>
      <c r="L364" s="15">
        <v>669465.87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30" x14ac:dyDescent="0.25">
      <c r="A365" s="15" t="s">
        <v>103</v>
      </c>
      <c r="B365" s="15" t="s">
        <v>386</v>
      </c>
      <c r="C365" s="15" t="str">
        <f t="shared" si="2"/>
        <v>HSR Center</v>
      </c>
      <c r="D365" s="15" t="s">
        <v>387</v>
      </c>
      <c r="E365" s="15" t="str">
        <f t="shared" si="3"/>
        <v>RADM CEN Grocery RKA+Monetka,Krasnoe i beloe, Kiro</v>
      </c>
      <c r="F365" s="15" t="s">
        <v>412</v>
      </c>
      <c r="G365" s="15"/>
      <c r="H365" s="15" t="s">
        <v>360</v>
      </c>
      <c r="I365" s="15"/>
      <c r="J365" s="15"/>
      <c r="K365" s="15"/>
      <c r="L365" s="15">
        <v>59178799.899999708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30" x14ac:dyDescent="0.25">
      <c r="A366" s="15" t="s">
        <v>336</v>
      </c>
      <c r="B366" s="15" t="s">
        <v>386</v>
      </c>
      <c r="C366" s="15" t="str">
        <f t="shared" si="2"/>
        <v>HSR Center</v>
      </c>
      <c r="D366" s="15" t="s">
        <v>387</v>
      </c>
      <c r="E366" s="15" t="str">
        <f t="shared" si="3"/>
        <v>RADM CEN Grocery RKA+Monetka,Krasnoe i beloe, Kiro</v>
      </c>
      <c r="F366" s="15" t="s">
        <v>412</v>
      </c>
      <c r="G366" s="15"/>
      <c r="H366" s="15" t="s">
        <v>389</v>
      </c>
      <c r="I366" s="15"/>
      <c r="J366" s="15"/>
      <c r="K366" s="15"/>
      <c r="L366" s="15">
        <v>221696.62000000002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0" x14ac:dyDescent="0.25">
      <c r="A367" s="15" t="s">
        <v>417</v>
      </c>
      <c r="B367" s="15" t="s">
        <v>386</v>
      </c>
      <c r="C367" s="15" t="str">
        <f t="shared" si="2"/>
        <v>HSR Center</v>
      </c>
      <c r="D367" s="15" t="s">
        <v>387</v>
      </c>
      <c r="E367" s="15" t="str">
        <f t="shared" si="3"/>
        <v>RADM CEN Grocery RKA+Monetka,Krasnoe i beloe, Kiro</v>
      </c>
      <c r="F367" s="15" t="s">
        <v>412</v>
      </c>
      <c r="G367" s="15"/>
      <c r="H367" s="15" t="s">
        <v>360</v>
      </c>
      <c r="I367" s="15"/>
      <c r="J367" s="15"/>
      <c r="K367" s="15"/>
      <c r="L367" s="15">
        <v>3859752.7199999997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0" x14ac:dyDescent="0.25">
      <c r="A368" s="15" t="s">
        <v>51</v>
      </c>
      <c r="B368" s="15" t="s">
        <v>386</v>
      </c>
      <c r="C368" s="15" t="str">
        <f t="shared" si="2"/>
        <v>HSR Center</v>
      </c>
      <c r="D368" s="15" t="s">
        <v>387</v>
      </c>
      <c r="E368" s="15" t="str">
        <f t="shared" si="3"/>
        <v>RADM CEN Grocery RKA+Monetka,Krasnoe i beloe, Kiro</v>
      </c>
      <c r="F368" s="15" t="s">
        <v>412</v>
      </c>
      <c r="G368" s="15"/>
      <c r="H368" s="15" t="s">
        <v>426</v>
      </c>
      <c r="I368" s="15"/>
      <c r="J368" s="15"/>
      <c r="K368" s="15"/>
      <c r="L368" s="15">
        <v>1319912.0300000003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30" x14ac:dyDescent="0.25">
      <c r="A369" s="15" t="s">
        <v>595</v>
      </c>
      <c r="B369" s="15" t="s">
        <v>386</v>
      </c>
      <c r="C369" s="15" t="str">
        <f t="shared" si="2"/>
        <v>HSR Center</v>
      </c>
      <c r="D369" s="15" t="s">
        <v>387</v>
      </c>
      <c r="E369" s="15" t="str">
        <f t="shared" si="3"/>
        <v>RADM CEN Grocery RKA+Monetka,Krasnoe i beloe, Kiro</v>
      </c>
      <c r="F369" s="15" t="s">
        <v>398</v>
      </c>
      <c r="G369" s="15"/>
      <c r="H369" s="15" t="s">
        <v>389</v>
      </c>
      <c r="I369" s="15"/>
      <c r="J369" s="15"/>
      <c r="K369" s="15"/>
      <c r="L369" s="15">
        <v>18991406.05999998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30" x14ac:dyDescent="0.25">
      <c r="A370" s="15" t="s">
        <v>595</v>
      </c>
      <c r="B370" s="15" t="s">
        <v>386</v>
      </c>
      <c r="C370" s="15" t="str">
        <f t="shared" si="2"/>
        <v>HSR Center</v>
      </c>
      <c r="D370" s="15" t="s">
        <v>387</v>
      </c>
      <c r="E370" s="15" t="str">
        <f t="shared" si="3"/>
        <v>RADM CEN Grocery RKA+Monetka,Krasnoe i beloe, Kiro</v>
      </c>
      <c r="F370" s="15" t="s">
        <v>398</v>
      </c>
      <c r="G370" s="15"/>
      <c r="H370" s="15" t="s">
        <v>389</v>
      </c>
      <c r="I370" s="15"/>
      <c r="J370" s="15"/>
      <c r="K370" s="15"/>
      <c r="L370" s="15">
        <v>1221334.9700000002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30" x14ac:dyDescent="0.25">
      <c r="A371" s="15" t="s">
        <v>174</v>
      </c>
      <c r="B371" s="15" t="s">
        <v>386</v>
      </c>
      <c r="C371" s="15" t="str">
        <f t="shared" si="2"/>
        <v>HSR Center</v>
      </c>
      <c r="D371" s="15" t="s">
        <v>387</v>
      </c>
      <c r="E371" s="15" t="str">
        <f t="shared" si="3"/>
        <v>RADM CEN Grocery RKA+Monetka,Krasnoe i beloe, Kiro</v>
      </c>
      <c r="F371" s="15" t="s">
        <v>398</v>
      </c>
      <c r="G371" s="15"/>
      <c r="H371" s="15" t="s">
        <v>389</v>
      </c>
      <c r="I371" s="15"/>
      <c r="J371" s="15"/>
      <c r="K371" s="15"/>
      <c r="L371" s="15">
        <v>90879464.680000007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0" x14ac:dyDescent="0.25">
      <c r="A372" s="15" t="s">
        <v>166</v>
      </c>
      <c r="B372" s="15" t="s">
        <v>386</v>
      </c>
      <c r="C372" s="15" t="str">
        <f t="shared" si="2"/>
        <v>HSR Center</v>
      </c>
      <c r="D372" s="15" t="s">
        <v>387</v>
      </c>
      <c r="E372" s="15" t="str">
        <f t="shared" si="3"/>
        <v>RADM CEN Grocery RKA+Monetka,Krasnoe i beloe, Kiro</v>
      </c>
      <c r="F372" s="15" t="s">
        <v>398</v>
      </c>
      <c r="G372" s="15"/>
      <c r="H372" s="15" t="s">
        <v>389</v>
      </c>
      <c r="I372" s="15"/>
      <c r="J372" s="15"/>
      <c r="K372" s="15"/>
      <c r="L372" s="15">
        <v>10828622.959999999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30" x14ac:dyDescent="0.25">
      <c r="A373" s="15" t="s">
        <v>353</v>
      </c>
      <c r="B373" s="15" t="s">
        <v>386</v>
      </c>
      <c r="C373" s="15" t="str">
        <f t="shared" si="2"/>
        <v>HSR Center</v>
      </c>
      <c r="D373" s="15" t="s">
        <v>387</v>
      </c>
      <c r="E373" s="15" t="str">
        <f t="shared" si="3"/>
        <v>RADM CEN Grocery RKA+Monetka,Krasnoe i beloe, Kiro</v>
      </c>
      <c r="F373" s="15" t="s">
        <v>398</v>
      </c>
      <c r="G373" s="15"/>
      <c r="H373" s="15" t="s">
        <v>389</v>
      </c>
      <c r="I373" s="15"/>
      <c r="J373" s="15"/>
      <c r="K373" s="15"/>
      <c r="L373" s="15">
        <v>56096761.779999882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30" x14ac:dyDescent="0.25">
      <c r="A374" s="15" t="s">
        <v>341</v>
      </c>
      <c r="B374" s="15" t="s">
        <v>386</v>
      </c>
      <c r="C374" s="15" t="str">
        <f t="shared" si="2"/>
        <v>HSR Center</v>
      </c>
      <c r="D374" s="15" t="s">
        <v>387</v>
      </c>
      <c r="E374" s="15" t="str">
        <f t="shared" si="3"/>
        <v>RADM CEN Grocery RKA+Monetka,Krasnoe i beloe, Kiro</v>
      </c>
      <c r="F374" s="15" t="s">
        <v>398</v>
      </c>
      <c r="G374" s="15"/>
      <c r="H374" s="15" t="s">
        <v>389</v>
      </c>
      <c r="I374" s="15"/>
      <c r="J374" s="15"/>
      <c r="K374" s="15"/>
      <c r="L374" s="15">
        <v>42349125.859999932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30" x14ac:dyDescent="0.25">
      <c r="A375" s="15" t="s">
        <v>141</v>
      </c>
      <c r="B375" s="15" t="s">
        <v>386</v>
      </c>
      <c r="C375" s="15" t="str">
        <f t="shared" si="2"/>
        <v>HSR Center</v>
      </c>
      <c r="D375" s="15" t="s">
        <v>387</v>
      </c>
      <c r="E375" s="15" t="str">
        <f t="shared" si="3"/>
        <v>RADM CEN Grocery RKA+Monetka,Krasnoe i beloe, Kiro</v>
      </c>
      <c r="F375" s="15" t="s">
        <v>398</v>
      </c>
      <c r="G375" s="15"/>
      <c r="H375" s="15" t="s">
        <v>389</v>
      </c>
      <c r="I375" s="15"/>
      <c r="J375" s="15"/>
      <c r="K375" s="15"/>
      <c r="L375" s="15">
        <v>12460186.710000001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30" x14ac:dyDescent="0.25">
      <c r="A376" s="15" t="s">
        <v>22</v>
      </c>
      <c r="B376" s="15" t="s">
        <v>386</v>
      </c>
      <c r="C376" s="15" t="str">
        <f t="shared" si="2"/>
        <v>HSR Center</v>
      </c>
      <c r="D376" s="15" t="s">
        <v>387</v>
      </c>
      <c r="E376" s="15" t="str">
        <f t="shared" si="3"/>
        <v>RADM CEN Grocery RKA+Monetka,Krasnoe i beloe, Kiro</v>
      </c>
      <c r="F376" s="15" t="s">
        <v>398</v>
      </c>
      <c r="G376" s="15"/>
      <c r="H376" s="15" t="s">
        <v>389</v>
      </c>
      <c r="I376" s="15"/>
      <c r="J376" s="15"/>
      <c r="K376" s="15"/>
      <c r="L376" s="15">
        <v>1513833.15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30" x14ac:dyDescent="0.25">
      <c r="A377" s="15" t="s">
        <v>155</v>
      </c>
      <c r="B377" s="15" t="s">
        <v>386</v>
      </c>
      <c r="C377" s="15" t="str">
        <f t="shared" si="2"/>
        <v>HSR Center</v>
      </c>
      <c r="D377" s="15" t="s">
        <v>387</v>
      </c>
      <c r="E377" s="15" t="str">
        <f t="shared" si="3"/>
        <v>RADM CEN Grocery RKA+Monetka,Krasnoe i beloe, Kiro</v>
      </c>
      <c r="F377" s="15" t="s">
        <v>398</v>
      </c>
      <c r="G377" s="15"/>
      <c r="H377" s="15" t="s">
        <v>389</v>
      </c>
      <c r="I377" s="15"/>
      <c r="J377" s="15"/>
      <c r="K377" s="15"/>
      <c r="L377" s="15">
        <v>242485214.69000125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30" x14ac:dyDescent="0.25">
      <c r="A378" s="15" t="s">
        <v>148</v>
      </c>
      <c r="B378" s="15" t="s">
        <v>386</v>
      </c>
      <c r="C378" s="15" t="str">
        <f t="shared" si="2"/>
        <v>HSR Center</v>
      </c>
      <c r="D378" s="15" t="s">
        <v>387</v>
      </c>
      <c r="E378" s="15" t="str">
        <f t="shared" si="3"/>
        <v>RADM CEN Grocery RKA+Monetka,Krasnoe i beloe, Kiro</v>
      </c>
      <c r="F378" s="15" t="s">
        <v>398</v>
      </c>
      <c r="G378" s="15"/>
      <c r="H378" s="15" t="s">
        <v>389</v>
      </c>
      <c r="I378" s="15"/>
      <c r="J378" s="15"/>
      <c r="K378" s="15"/>
      <c r="L378" s="15">
        <v>130075043.88000013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30" x14ac:dyDescent="0.25">
      <c r="A379" s="15" t="s">
        <v>434</v>
      </c>
      <c r="B379" s="15" t="s">
        <v>386</v>
      </c>
      <c r="C379" s="15" t="str">
        <f t="shared" si="2"/>
        <v>HSR Center</v>
      </c>
      <c r="D379" s="15" t="s">
        <v>387</v>
      </c>
      <c r="E379" s="15" t="str">
        <f t="shared" si="3"/>
        <v>RADM CEN Grocery RKA+Monetka,Krasnoe i beloe, Kiro</v>
      </c>
      <c r="F379" s="15" t="s">
        <v>398</v>
      </c>
      <c r="G379" s="15"/>
      <c r="H379" s="15" t="s">
        <v>389</v>
      </c>
      <c r="I379" s="15"/>
      <c r="J379" s="15"/>
      <c r="K379" s="15"/>
      <c r="L379" s="15">
        <v>8317598.129999999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30" x14ac:dyDescent="0.25">
      <c r="A380" s="15" t="s">
        <v>20</v>
      </c>
      <c r="B380" s="15" t="s">
        <v>386</v>
      </c>
      <c r="C380" s="15" t="str">
        <f t="shared" si="2"/>
        <v>HSR Center</v>
      </c>
      <c r="D380" s="15" t="s">
        <v>387</v>
      </c>
      <c r="E380" s="15" t="str">
        <f t="shared" si="3"/>
        <v>RADM CEN Grocery RKA+Monetka,Krasnoe i beloe, Kiro</v>
      </c>
      <c r="F380" s="15" t="s">
        <v>398</v>
      </c>
      <c r="G380" s="15"/>
      <c r="H380" s="15" t="s">
        <v>389</v>
      </c>
      <c r="I380" s="15"/>
      <c r="J380" s="15"/>
      <c r="K380" s="15"/>
      <c r="L380" s="15">
        <v>19951807.690000013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30" x14ac:dyDescent="0.25">
      <c r="A381" s="15" t="s">
        <v>25</v>
      </c>
      <c r="B381" s="15" t="s">
        <v>386</v>
      </c>
      <c r="C381" s="15" t="str">
        <f t="shared" si="2"/>
        <v>HSR Center</v>
      </c>
      <c r="D381" s="15" t="s">
        <v>387</v>
      </c>
      <c r="E381" s="15" t="str">
        <f t="shared" si="3"/>
        <v>RADM CEN Grocery RKA+Monetka,Krasnoe i beloe, Kiro</v>
      </c>
      <c r="F381" s="15" t="s">
        <v>398</v>
      </c>
      <c r="G381" s="15"/>
      <c r="H381" s="15" t="s">
        <v>389</v>
      </c>
      <c r="I381" s="15"/>
      <c r="J381" s="15"/>
      <c r="K381" s="15"/>
      <c r="L381" s="15">
        <v>3514936.0200000005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30" x14ac:dyDescent="0.25">
      <c r="A382" s="15" t="s">
        <v>173</v>
      </c>
      <c r="B382" s="15" t="s">
        <v>386</v>
      </c>
      <c r="C382" s="15" t="str">
        <f t="shared" si="2"/>
        <v>HSR Center</v>
      </c>
      <c r="D382" s="15" t="s">
        <v>387</v>
      </c>
      <c r="E382" s="15" t="str">
        <f t="shared" si="3"/>
        <v>RADM CEN Grocery RKA+Monetka,Krasnoe i beloe, Kiro</v>
      </c>
      <c r="F382" s="15" t="s">
        <v>398</v>
      </c>
      <c r="G382" s="15"/>
      <c r="H382" s="15" t="s">
        <v>389</v>
      </c>
      <c r="I382" s="15"/>
      <c r="J382" s="15"/>
      <c r="K382" s="15"/>
      <c r="L382" s="15">
        <v>579441303.72000396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30" x14ac:dyDescent="0.25">
      <c r="A383" s="15" t="s">
        <v>180</v>
      </c>
      <c r="B383" s="15" t="s">
        <v>386</v>
      </c>
      <c r="C383" s="15" t="str">
        <f t="shared" si="2"/>
        <v>HSR Center</v>
      </c>
      <c r="D383" s="15" t="s">
        <v>387</v>
      </c>
      <c r="E383" s="15" t="str">
        <f t="shared" si="3"/>
        <v>RADM CEN Grocery RKA+Monetka,Krasnoe i beloe, Kiro</v>
      </c>
      <c r="F383" s="15" t="s">
        <v>398</v>
      </c>
      <c r="G383" s="15"/>
      <c r="H383" s="15" t="s">
        <v>389</v>
      </c>
      <c r="I383" s="15"/>
      <c r="J383" s="15"/>
      <c r="K383" s="15"/>
      <c r="L383" s="15">
        <v>170025769.98000044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30" x14ac:dyDescent="0.25">
      <c r="A384" s="15" t="s">
        <v>146</v>
      </c>
      <c r="B384" s="15" t="s">
        <v>386</v>
      </c>
      <c r="C384" s="15" t="str">
        <f t="shared" si="2"/>
        <v>HSR Center</v>
      </c>
      <c r="D384" s="15" t="s">
        <v>387</v>
      </c>
      <c r="E384" s="15" t="str">
        <f t="shared" si="3"/>
        <v>RADM CEN Grocery RKA+Monetka,Krasnoe i beloe, Kiro</v>
      </c>
      <c r="F384" s="15" t="s">
        <v>398</v>
      </c>
      <c r="G384" s="15"/>
      <c r="H384" s="15" t="s">
        <v>389</v>
      </c>
      <c r="I384" s="15"/>
      <c r="J384" s="15"/>
      <c r="K384" s="15"/>
      <c r="L384" s="15">
        <v>60282489.34999986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0" x14ac:dyDescent="0.25">
      <c r="A385" s="15" t="s">
        <v>150</v>
      </c>
      <c r="B385" s="15" t="s">
        <v>386</v>
      </c>
      <c r="C385" s="15" t="str">
        <f t="shared" si="2"/>
        <v>HSR Center</v>
      </c>
      <c r="D385" s="15" t="s">
        <v>387</v>
      </c>
      <c r="E385" s="15" t="str">
        <f t="shared" si="3"/>
        <v>RADM CEN Grocery RKA+Monetka,Krasnoe i beloe, Kiro</v>
      </c>
      <c r="F385" s="15" t="s">
        <v>398</v>
      </c>
      <c r="G385" s="15"/>
      <c r="H385" s="15" t="s">
        <v>389</v>
      </c>
      <c r="I385" s="15"/>
      <c r="J385" s="15"/>
      <c r="K385" s="15"/>
      <c r="L385" s="15">
        <v>103135696.96999992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30" x14ac:dyDescent="0.25">
      <c r="A386" s="15" t="s">
        <v>350</v>
      </c>
      <c r="B386" s="15" t="s">
        <v>386</v>
      </c>
      <c r="C386" s="15" t="str">
        <f t="shared" si="2"/>
        <v>HSR Center</v>
      </c>
      <c r="D386" s="15" t="s">
        <v>387</v>
      </c>
      <c r="E386" s="15" t="str">
        <f t="shared" si="3"/>
        <v>RADM CEN Grocery RKA+Monetka,Krasnoe i beloe, Kiro</v>
      </c>
      <c r="F386" s="15" t="s">
        <v>398</v>
      </c>
      <c r="G386" s="15"/>
      <c r="H386" s="15" t="s">
        <v>389</v>
      </c>
      <c r="I386" s="15"/>
      <c r="J386" s="15"/>
      <c r="K386" s="15"/>
      <c r="L386" s="15">
        <v>21394608.250000011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30" x14ac:dyDescent="0.25">
      <c r="A387" s="15" t="s">
        <v>27</v>
      </c>
      <c r="B387" s="15" t="s">
        <v>386</v>
      </c>
      <c r="C387" s="15" t="str">
        <f t="shared" si="2"/>
        <v>HSR Center</v>
      </c>
      <c r="D387" s="15" t="s">
        <v>387</v>
      </c>
      <c r="E387" s="15" t="str">
        <f t="shared" si="3"/>
        <v>RADM CEN Grocery RKA+Monetka,Krasnoe i beloe, Kiro</v>
      </c>
      <c r="F387" s="15" t="s">
        <v>398</v>
      </c>
      <c r="G387" s="15"/>
      <c r="H387" s="15" t="s">
        <v>389</v>
      </c>
      <c r="I387" s="15"/>
      <c r="J387" s="15"/>
      <c r="K387" s="15"/>
      <c r="L387" s="15">
        <v>20762694.490000002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30" x14ac:dyDescent="0.25">
      <c r="A388" s="15" t="s">
        <v>7</v>
      </c>
      <c r="B388" s="15" t="s">
        <v>386</v>
      </c>
      <c r="C388" s="15" t="str">
        <f t="shared" si="2"/>
        <v>HSR Center</v>
      </c>
      <c r="D388" s="15" t="s">
        <v>387</v>
      </c>
      <c r="E388" s="15" t="str">
        <f t="shared" si="3"/>
        <v>RADM CEN Grocery RKA+Monetka,Krasnoe i beloe, Kiro</v>
      </c>
      <c r="F388" s="15" t="s">
        <v>398</v>
      </c>
      <c r="G388" s="15"/>
      <c r="H388" s="15" t="s">
        <v>389</v>
      </c>
      <c r="I388" s="15"/>
      <c r="J388" s="15"/>
      <c r="K388" s="15"/>
      <c r="L388" s="15">
        <v>5977787.830000001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30" x14ac:dyDescent="0.25">
      <c r="A389" s="15" t="s">
        <v>333</v>
      </c>
      <c r="B389" s="15" t="s">
        <v>386</v>
      </c>
      <c r="C389" s="15" t="str">
        <f t="shared" ref="C389:C452" si="4">B389</f>
        <v>HSR Center</v>
      </c>
      <c r="D389" s="15" t="s">
        <v>387</v>
      </c>
      <c r="E389" s="15" t="str">
        <f t="shared" ref="E389:E452" si="5">D389</f>
        <v>RADM CEN Grocery RKA+Monetka,Krasnoe i beloe, Kiro</v>
      </c>
      <c r="F389" s="15" t="s">
        <v>398</v>
      </c>
      <c r="G389" s="15"/>
      <c r="H389" s="15" t="s">
        <v>389</v>
      </c>
      <c r="I389" s="15"/>
      <c r="J389" s="15"/>
      <c r="K389" s="15"/>
      <c r="L389" s="15">
        <v>181352079.10000029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30" x14ac:dyDescent="0.25">
      <c r="A390" s="15" t="s">
        <v>21</v>
      </c>
      <c r="B390" s="15" t="s">
        <v>386</v>
      </c>
      <c r="C390" s="15" t="str">
        <f t="shared" si="4"/>
        <v>HSR Center</v>
      </c>
      <c r="D390" s="15" t="s">
        <v>387</v>
      </c>
      <c r="E390" s="15" t="str">
        <f t="shared" si="5"/>
        <v>RADM CEN Grocery RKA+Monetka,Krasnoe i beloe, Kiro</v>
      </c>
      <c r="F390" s="15" t="s">
        <v>398</v>
      </c>
      <c r="G390" s="15"/>
      <c r="H390" s="15" t="s">
        <v>389</v>
      </c>
      <c r="I390" s="15"/>
      <c r="J390" s="15"/>
      <c r="K390" s="15"/>
      <c r="L390" s="15">
        <v>2442669.94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30" x14ac:dyDescent="0.25">
      <c r="A391" s="15" t="s">
        <v>108</v>
      </c>
      <c r="B391" s="15" t="s">
        <v>386</v>
      </c>
      <c r="C391" s="15" t="str">
        <f t="shared" si="4"/>
        <v>HSR Center</v>
      </c>
      <c r="D391" s="15" t="s">
        <v>387</v>
      </c>
      <c r="E391" s="15" t="str">
        <f t="shared" si="5"/>
        <v>RADM CEN Grocery RKA+Monetka,Krasnoe i beloe, Kiro</v>
      </c>
      <c r="F391" s="15" t="s">
        <v>398</v>
      </c>
      <c r="G391" s="15"/>
      <c r="H391" s="15" t="s">
        <v>389</v>
      </c>
      <c r="I391" s="15"/>
      <c r="J391" s="15"/>
      <c r="K391" s="15"/>
      <c r="L391" s="15">
        <v>25712040.959999997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30" x14ac:dyDescent="0.25">
      <c r="A392" s="15" t="s">
        <v>145</v>
      </c>
      <c r="B392" s="15" t="s">
        <v>386</v>
      </c>
      <c r="C392" s="15" t="str">
        <f t="shared" si="4"/>
        <v>HSR Center</v>
      </c>
      <c r="D392" s="15" t="s">
        <v>387</v>
      </c>
      <c r="E392" s="15" t="str">
        <f t="shared" si="5"/>
        <v>RADM CEN Grocery RKA+Monetka,Krasnoe i beloe, Kiro</v>
      </c>
      <c r="F392" s="15" t="s">
        <v>398</v>
      </c>
      <c r="G392" s="15"/>
      <c r="H392" s="15" t="s">
        <v>389</v>
      </c>
      <c r="I392" s="15"/>
      <c r="J392" s="15"/>
      <c r="K392" s="15"/>
      <c r="L392" s="15">
        <v>36875949.079999946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30" x14ac:dyDescent="0.25">
      <c r="A393" s="15" t="s">
        <v>152</v>
      </c>
      <c r="B393" s="15" t="s">
        <v>386</v>
      </c>
      <c r="C393" s="15" t="str">
        <f t="shared" si="4"/>
        <v>HSR Center</v>
      </c>
      <c r="D393" s="15" t="s">
        <v>387</v>
      </c>
      <c r="E393" s="15" t="str">
        <f t="shared" si="5"/>
        <v>RADM CEN Grocery RKA+Monetka,Krasnoe i beloe, Kiro</v>
      </c>
      <c r="F393" s="15" t="s">
        <v>398</v>
      </c>
      <c r="G393" s="15"/>
      <c r="H393" s="15" t="s">
        <v>389</v>
      </c>
      <c r="I393" s="15"/>
      <c r="J393" s="15"/>
      <c r="K393" s="15"/>
      <c r="L393" s="15">
        <v>1009222.1000000001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0" x14ac:dyDescent="0.25">
      <c r="A394" s="15" t="s">
        <v>152</v>
      </c>
      <c r="B394" s="15" t="s">
        <v>386</v>
      </c>
      <c r="C394" s="15" t="str">
        <f t="shared" si="4"/>
        <v>HSR Center</v>
      </c>
      <c r="D394" s="15" t="s">
        <v>387</v>
      </c>
      <c r="E394" s="15" t="str">
        <f t="shared" si="5"/>
        <v>RADM CEN Grocery RKA+Monetka,Krasnoe i beloe, Kiro</v>
      </c>
      <c r="F394" s="15" t="s">
        <v>398</v>
      </c>
      <c r="G394" s="15"/>
      <c r="H394" s="15" t="s">
        <v>389</v>
      </c>
      <c r="I394" s="15"/>
      <c r="J394" s="15"/>
      <c r="K394" s="15"/>
      <c r="L394" s="15">
        <v>14656019.640000004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30" x14ac:dyDescent="0.25">
      <c r="A395" s="15" t="s">
        <v>102</v>
      </c>
      <c r="B395" s="15" t="s">
        <v>386</v>
      </c>
      <c r="C395" s="15" t="str">
        <f t="shared" si="4"/>
        <v>HSR Center</v>
      </c>
      <c r="D395" s="15" t="s">
        <v>387</v>
      </c>
      <c r="E395" s="15" t="str">
        <f t="shared" si="5"/>
        <v>RADM CEN Grocery RKA+Monetka,Krasnoe i beloe, Kiro</v>
      </c>
      <c r="F395" s="15" t="s">
        <v>398</v>
      </c>
      <c r="G395" s="15"/>
      <c r="H395" s="15" t="s">
        <v>389</v>
      </c>
      <c r="I395" s="15"/>
      <c r="J395" s="15"/>
      <c r="K395" s="15"/>
      <c r="L395" s="15">
        <v>7030017.2700000023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30" x14ac:dyDescent="0.25">
      <c r="A396" s="15" t="s">
        <v>156</v>
      </c>
      <c r="B396" s="15" t="s">
        <v>386</v>
      </c>
      <c r="C396" s="15" t="str">
        <f t="shared" si="4"/>
        <v>HSR Center</v>
      </c>
      <c r="D396" s="15" t="s">
        <v>387</v>
      </c>
      <c r="E396" s="15" t="str">
        <f t="shared" si="5"/>
        <v>RADM CEN Grocery RKA+Monetka,Krasnoe i beloe, Kiro</v>
      </c>
      <c r="F396" s="15" t="s">
        <v>398</v>
      </c>
      <c r="G396" s="15"/>
      <c r="H396" s="15" t="s">
        <v>389</v>
      </c>
      <c r="I396" s="15"/>
      <c r="J396" s="15"/>
      <c r="K396" s="15"/>
      <c r="L396" s="15">
        <v>348384027.26000243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30" x14ac:dyDescent="0.25">
      <c r="A397" s="15" t="s">
        <v>18</v>
      </c>
      <c r="B397" s="15" t="s">
        <v>386</v>
      </c>
      <c r="C397" s="15" t="str">
        <f t="shared" si="4"/>
        <v>HSR Center</v>
      </c>
      <c r="D397" s="15" t="s">
        <v>387</v>
      </c>
      <c r="E397" s="15" t="str">
        <f t="shared" si="5"/>
        <v>RADM CEN Grocery RKA+Monetka,Krasnoe i beloe, Kiro</v>
      </c>
      <c r="F397" s="15" t="s">
        <v>398</v>
      </c>
      <c r="G397" s="15"/>
      <c r="H397" s="15" t="s">
        <v>389</v>
      </c>
      <c r="I397" s="15"/>
      <c r="J397" s="15"/>
      <c r="K397" s="15"/>
      <c r="L397" s="15">
        <v>66260277.17999991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30" x14ac:dyDescent="0.25">
      <c r="A398" s="15" t="s">
        <v>105</v>
      </c>
      <c r="B398" s="15" t="s">
        <v>386</v>
      </c>
      <c r="C398" s="15" t="str">
        <f t="shared" si="4"/>
        <v>HSR Center</v>
      </c>
      <c r="D398" s="15" t="s">
        <v>387</v>
      </c>
      <c r="E398" s="15" t="str">
        <f t="shared" si="5"/>
        <v>RADM CEN Grocery RKA+Monetka,Krasnoe i beloe, Kiro</v>
      </c>
      <c r="F398" s="15" t="s">
        <v>398</v>
      </c>
      <c r="G398" s="15"/>
      <c r="H398" s="15" t="s">
        <v>389</v>
      </c>
      <c r="I398" s="15"/>
      <c r="J398" s="15"/>
      <c r="K398" s="15"/>
      <c r="L398" s="15">
        <v>339032466.54000002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30" x14ac:dyDescent="0.25">
      <c r="A399" s="15" t="s">
        <v>154</v>
      </c>
      <c r="B399" s="15" t="s">
        <v>386</v>
      </c>
      <c r="C399" s="15" t="str">
        <f t="shared" si="4"/>
        <v>HSR Center</v>
      </c>
      <c r="D399" s="15" t="s">
        <v>387</v>
      </c>
      <c r="E399" s="15" t="str">
        <f t="shared" si="5"/>
        <v>RADM CEN Grocery RKA+Monetka,Krasnoe i beloe, Kiro</v>
      </c>
      <c r="F399" s="15" t="s">
        <v>398</v>
      </c>
      <c r="G399" s="15"/>
      <c r="H399" s="15" t="s">
        <v>389</v>
      </c>
      <c r="I399" s="15"/>
      <c r="J399" s="15"/>
      <c r="K399" s="15"/>
      <c r="L399" s="15">
        <v>182776693.56999993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30" x14ac:dyDescent="0.25">
      <c r="A400" s="15" t="s">
        <v>432</v>
      </c>
      <c r="B400" s="15" t="s">
        <v>386</v>
      </c>
      <c r="C400" s="15" t="str">
        <f t="shared" si="4"/>
        <v>HSR Center</v>
      </c>
      <c r="D400" s="15" t="s">
        <v>387</v>
      </c>
      <c r="E400" s="15" t="str">
        <f t="shared" si="5"/>
        <v>RADM CEN Grocery RKA+Monetka,Krasnoe i beloe, Kiro</v>
      </c>
      <c r="F400" s="15" t="s">
        <v>398</v>
      </c>
      <c r="G400" s="15"/>
      <c r="H400" s="15" t="s">
        <v>389</v>
      </c>
      <c r="I400" s="15"/>
      <c r="J400" s="15"/>
      <c r="K400" s="15"/>
      <c r="L400" s="15">
        <v>614114.75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30" x14ac:dyDescent="0.25">
      <c r="A401" s="15" t="s">
        <v>160</v>
      </c>
      <c r="B401" s="15" t="s">
        <v>386</v>
      </c>
      <c r="C401" s="15" t="str">
        <f t="shared" si="4"/>
        <v>HSR Center</v>
      </c>
      <c r="D401" s="15" t="s">
        <v>387</v>
      </c>
      <c r="E401" s="15" t="str">
        <f t="shared" si="5"/>
        <v>RADM CEN Grocery RKA+Monetka,Krasnoe i beloe, Kiro</v>
      </c>
      <c r="F401" s="15" t="s">
        <v>398</v>
      </c>
      <c r="G401" s="15"/>
      <c r="H401" s="15" t="s">
        <v>389</v>
      </c>
      <c r="I401" s="15"/>
      <c r="J401" s="15"/>
      <c r="K401" s="15"/>
      <c r="L401" s="15">
        <v>92721808.929999992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30" x14ac:dyDescent="0.25">
      <c r="A402" s="15" t="s">
        <v>151</v>
      </c>
      <c r="B402" s="15" t="s">
        <v>386</v>
      </c>
      <c r="C402" s="15" t="str">
        <f t="shared" si="4"/>
        <v>HSR Center</v>
      </c>
      <c r="D402" s="15" t="s">
        <v>387</v>
      </c>
      <c r="E402" s="15" t="str">
        <f t="shared" si="5"/>
        <v>RADM CEN Grocery RKA+Monetka,Krasnoe i beloe, Kiro</v>
      </c>
      <c r="F402" s="15" t="s">
        <v>398</v>
      </c>
      <c r="G402" s="15"/>
      <c r="H402" s="15" t="s">
        <v>389</v>
      </c>
      <c r="I402" s="15"/>
      <c r="J402" s="15"/>
      <c r="K402" s="15"/>
      <c r="L402" s="15">
        <v>42349125.859999947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0" x14ac:dyDescent="0.25">
      <c r="A403" s="15" t="s">
        <v>93</v>
      </c>
      <c r="B403" s="15" t="s">
        <v>386</v>
      </c>
      <c r="C403" s="15" t="str">
        <f t="shared" si="4"/>
        <v>HSR Center</v>
      </c>
      <c r="D403" s="15" t="s">
        <v>387</v>
      </c>
      <c r="E403" s="15" t="str">
        <f t="shared" si="5"/>
        <v>RADM CEN Grocery RKA+Monetka,Krasnoe i beloe, Kiro</v>
      </c>
      <c r="F403" s="15" t="s">
        <v>398</v>
      </c>
      <c r="G403" s="15"/>
      <c r="H403" s="15" t="s">
        <v>389</v>
      </c>
      <c r="I403" s="15"/>
      <c r="J403" s="15"/>
      <c r="K403" s="15"/>
      <c r="L403" s="15">
        <v>139760675.00000012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30" x14ac:dyDescent="0.25">
      <c r="A404" s="15" t="s">
        <v>17</v>
      </c>
      <c r="B404" s="15" t="s">
        <v>386</v>
      </c>
      <c r="C404" s="15" t="str">
        <f t="shared" si="4"/>
        <v>HSR Center</v>
      </c>
      <c r="D404" s="15" t="s">
        <v>387</v>
      </c>
      <c r="E404" s="15" t="str">
        <f t="shared" si="5"/>
        <v>RADM CEN Grocery RKA+Monetka,Krasnoe i beloe, Kiro</v>
      </c>
      <c r="F404" s="15" t="s">
        <v>398</v>
      </c>
      <c r="G404" s="15"/>
      <c r="H404" s="15" t="s">
        <v>389</v>
      </c>
      <c r="I404" s="15"/>
      <c r="J404" s="15"/>
      <c r="K404" s="15"/>
      <c r="L404" s="15">
        <v>84690420.809999883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30" x14ac:dyDescent="0.25">
      <c r="A405" s="15" t="s">
        <v>435</v>
      </c>
      <c r="B405" s="15" t="s">
        <v>386</v>
      </c>
      <c r="C405" s="15" t="str">
        <f t="shared" si="4"/>
        <v>HSR Center</v>
      </c>
      <c r="D405" s="15" t="s">
        <v>387</v>
      </c>
      <c r="E405" s="15" t="str">
        <f t="shared" si="5"/>
        <v>RADM CEN Grocery RKA+Monetka,Krasnoe i beloe, Kiro</v>
      </c>
      <c r="F405" s="15" t="s">
        <v>398</v>
      </c>
      <c r="G405" s="15"/>
      <c r="H405" s="15" t="s">
        <v>389</v>
      </c>
      <c r="I405" s="15"/>
      <c r="J405" s="15"/>
      <c r="K405" s="15"/>
      <c r="L405" s="15">
        <v>7703483.379999999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30" x14ac:dyDescent="0.25">
      <c r="A406" s="15" t="s">
        <v>336</v>
      </c>
      <c r="B406" s="15" t="s">
        <v>386</v>
      </c>
      <c r="C406" s="15" t="str">
        <f t="shared" si="4"/>
        <v>HSR Center</v>
      </c>
      <c r="D406" s="15" t="s">
        <v>387</v>
      </c>
      <c r="E406" s="15" t="str">
        <f t="shared" si="5"/>
        <v>RADM CEN Grocery RKA+Monetka,Krasnoe i beloe, Kiro</v>
      </c>
      <c r="F406" s="15" t="s">
        <v>398</v>
      </c>
      <c r="G406" s="15"/>
      <c r="H406" s="15" t="s">
        <v>389</v>
      </c>
      <c r="I406" s="15"/>
      <c r="J406" s="15"/>
      <c r="K406" s="15"/>
      <c r="L406" s="15">
        <v>32976044.18999996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30" x14ac:dyDescent="0.25">
      <c r="A407" s="15" t="s">
        <v>420</v>
      </c>
      <c r="B407" s="15" t="s">
        <v>386</v>
      </c>
      <c r="C407" s="15" t="str">
        <f t="shared" si="4"/>
        <v>HSR Center</v>
      </c>
      <c r="D407" s="15" t="s">
        <v>387</v>
      </c>
      <c r="E407" s="15" t="str">
        <f t="shared" si="5"/>
        <v>RADM CEN Grocery RKA+Monetka,Krasnoe i beloe, Kiro</v>
      </c>
      <c r="F407" s="15" t="s">
        <v>436</v>
      </c>
      <c r="G407" s="15"/>
      <c r="H407" s="15" t="s">
        <v>360</v>
      </c>
      <c r="I407" s="15"/>
      <c r="J407" s="15"/>
      <c r="K407" s="15"/>
      <c r="L407" s="15">
        <v>4386979.9100000029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30" x14ac:dyDescent="0.25">
      <c r="A408" s="15" t="s">
        <v>383</v>
      </c>
      <c r="B408" s="15" t="s">
        <v>386</v>
      </c>
      <c r="C408" s="15" t="str">
        <f t="shared" si="4"/>
        <v>HSR Center</v>
      </c>
      <c r="D408" s="15" t="s">
        <v>387</v>
      </c>
      <c r="E408" s="15" t="str">
        <f t="shared" si="5"/>
        <v>RADM CEN Grocery RKA+Monetka,Krasnoe i beloe, Kiro</v>
      </c>
      <c r="F408" s="15" t="s">
        <v>436</v>
      </c>
      <c r="G408" s="15"/>
      <c r="H408" s="15" t="s">
        <v>360</v>
      </c>
      <c r="I408" s="15"/>
      <c r="J408" s="15"/>
      <c r="K408" s="15"/>
      <c r="L408" s="15">
        <v>108629205.9599967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30" x14ac:dyDescent="0.25">
      <c r="A409" s="15" t="s">
        <v>353</v>
      </c>
      <c r="B409" s="15" t="s">
        <v>386</v>
      </c>
      <c r="C409" s="15" t="str">
        <f t="shared" si="4"/>
        <v>HSR Center</v>
      </c>
      <c r="D409" s="15" t="s">
        <v>387</v>
      </c>
      <c r="E409" s="15" t="str">
        <f t="shared" si="5"/>
        <v>RADM CEN Grocery RKA+Monetka,Krasnoe i beloe, Kiro</v>
      </c>
      <c r="F409" s="15" t="s">
        <v>436</v>
      </c>
      <c r="G409" s="15"/>
      <c r="H409" s="15" t="s">
        <v>360</v>
      </c>
      <c r="I409" s="15"/>
      <c r="J409" s="15"/>
      <c r="K409" s="15"/>
      <c r="L409" s="15">
        <v>255081129.14003366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30" x14ac:dyDescent="0.25">
      <c r="A410" s="15" t="s">
        <v>155</v>
      </c>
      <c r="B410" s="15" t="s">
        <v>386</v>
      </c>
      <c r="C410" s="15" t="str">
        <f t="shared" si="4"/>
        <v>HSR Center</v>
      </c>
      <c r="D410" s="15" t="s">
        <v>387</v>
      </c>
      <c r="E410" s="15" t="str">
        <f t="shared" si="5"/>
        <v>RADM CEN Grocery RKA+Monetka,Krasnoe i beloe, Kiro</v>
      </c>
      <c r="F410" s="15" t="s">
        <v>436</v>
      </c>
      <c r="G410" s="15"/>
      <c r="H410" s="15" t="s">
        <v>360</v>
      </c>
      <c r="I410" s="15"/>
      <c r="J410" s="15"/>
      <c r="K410" s="15"/>
      <c r="L410" s="15">
        <v>1006884.1400000002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30" x14ac:dyDescent="0.25">
      <c r="A411" s="15" t="s">
        <v>90</v>
      </c>
      <c r="B411" s="15" t="s">
        <v>386</v>
      </c>
      <c r="C411" s="15" t="str">
        <f t="shared" si="4"/>
        <v>HSR Center</v>
      </c>
      <c r="D411" s="15" t="s">
        <v>387</v>
      </c>
      <c r="E411" s="15" t="str">
        <f t="shared" si="5"/>
        <v>RADM CEN Grocery RKA+Monetka,Krasnoe i beloe, Kiro</v>
      </c>
      <c r="F411" s="15" t="s">
        <v>436</v>
      </c>
      <c r="G411" s="15"/>
      <c r="H411" s="15" t="s">
        <v>360</v>
      </c>
      <c r="I411" s="15"/>
      <c r="J411" s="15"/>
      <c r="K411" s="15"/>
      <c r="L411" s="15">
        <v>1220654.8799999994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  <row r="412" spans="1:20" ht="30" x14ac:dyDescent="0.25">
      <c r="A412" s="15" t="s">
        <v>344</v>
      </c>
      <c r="B412" s="15" t="s">
        <v>386</v>
      </c>
      <c r="C412" s="15" t="str">
        <f t="shared" si="4"/>
        <v>HSR Center</v>
      </c>
      <c r="D412" s="15" t="s">
        <v>387</v>
      </c>
      <c r="E412" s="15" t="str">
        <f t="shared" si="5"/>
        <v>RADM CEN Grocery RKA+Monetka,Krasnoe i beloe, Kiro</v>
      </c>
      <c r="F412" s="15" t="s">
        <v>436</v>
      </c>
      <c r="G412" s="15"/>
      <c r="H412" s="15" t="s">
        <v>360</v>
      </c>
      <c r="I412" s="15"/>
      <c r="J412" s="15"/>
      <c r="K412" s="15"/>
      <c r="L412" s="15">
        <v>238713553.10999355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</row>
    <row r="413" spans="1:20" ht="30" x14ac:dyDescent="0.25">
      <c r="A413" s="15" t="s">
        <v>42</v>
      </c>
      <c r="B413" s="15" t="s">
        <v>386</v>
      </c>
      <c r="C413" s="15" t="str">
        <f t="shared" si="4"/>
        <v>HSR Center</v>
      </c>
      <c r="D413" s="15" t="s">
        <v>387</v>
      </c>
      <c r="E413" s="15" t="str">
        <f t="shared" si="5"/>
        <v>RADM CEN Grocery RKA+Monetka,Krasnoe i beloe, Kiro</v>
      </c>
      <c r="F413" s="15" t="s">
        <v>436</v>
      </c>
      <c r="G413" s="15"/>
      <c r="H413" s="15" t="s">
        <v>360</v>
      </c>
      <c r="I413" s="15"/>
      <c r="J413" s="15"/>
      <c r="K413" s="15"/>
      <c r="L413" s="15">
        <v>911585.5900000002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</row>
    <row r="414" spans="1:20" ht="30" x14ac:dyDescent="0.25">
      <c r="A414" s="15" t="s">
        <v>173</v>
      </c>
      <c r="B414" s="15" t="s">
        <v>386</v>
      </c>
      <c r="C414" s="15" t="str">
        <f t="shared" si="4"/>
        <v>HSR Center</v>
      </c>
      <c r="D414" s="15" t="s">
        <v>387</v>
      </c>
      <c r="E414" s="15" t="str">
        <f t="shared" si="5"/>
        <v>RADM CEN Grocery RKA+Monetka,Krasnoe i beloe, Kiro</v>
      </c>
      <c r="F414" s="15" t="s">
        <v>436</v>
      </c>
      <c r="G414" s="15"/>
      <c r="H414" s="15" t="s">
        <v>360</v>
      </c>
      <c r="I414" s="15"/>
      <c r="J414" s="15"/>
      <c r="K414" s="15"/>
      <c r="L414" s="15">
        <v>2132240.4700000016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</row>
    <row r="415" spans="1:20" ht="30" x14ac:dyDescent="0.25">
      <c r="A415" s="15" t="s">
        <v>135</v>
      </c>
      <c r="B415" s="15" t="s">
        <v>386</v>
      </c>
      <c r="C415" s="15" t="str">
        <f t="shared" si="4"/>
        <v>HSR Center</v>
      </c>
      <c r="D415" s="15" t="s">
        <v>387</v>
      </c>
      <c r="E415" s="15" t="str">
        <f t="shared" si="5"/>
        <v>RADM CEN Grocery RKA+Monetka,Krasnoe i beloe, Kiro</v>
      </c>
      <c r="F415" s="15" t="s">
        <v>436</v>
      </c>
      <c r="G415" s="15"/>
      <c r="H415" s="15" t="s">
        <v>360</v>
      </c>
      <c r="I415" s="15"/>
      <c r="J415" s="15"/>
      <c r="K415" s="15"/>
      <c r="L415" s="15">
        <v>1220654.8799999997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</row>
    <row r="416" spans="1:20" ht="30" x14ac:dyDescent="0.25">
      <c r="A416" s="15" t="s">
        <v>111</v>
      </c>
      <c r="B416" s="15" t="s">
        <v>386</v>
      </c>
      <c r="C416" s="15" t="str">
        <f t="shared" si="4"/>
        <v>HSR Center</v>
      </c>
      <c r="D416" s="15" t="s">
        <v>387</v>
      </c>
      <c r="E416" s="15" t="str">
        <f t="shared" si="5"/>
        <v>RADM CEN Grocery RKA+Monetka,Krasnoe i beloe, Kiro</v>
      </c>
      <c r="F416" s="15" t="s">
        <v>436</v>
      </c>
      <c r="G416" s="15"/>
      <c r="H416" s="15" t="s">
        <v>360</v>
      </c>
      <c r="I416" s="15"/>
      <c r="J416" s="15"/>
      <c r="K416" s="15"/>
      <c r="L416" s="15">
        <v>62849378.649999693</v>
      </c>
      <c r="M416" s="15">
        <v>0</v>
      </c>
      <c r="N416" s="15">
        <v>0</v>
      </c>
      <c r="O416" s="15">
        <v>0</v>
      </c>
      <c r="P416" s="15">
        <v>0</v>
      </c>
      <c r="Q416" s="15">
        <v>62849378.649999693</v>
      </c>
      <c r="R416" s="15">
        <v>0</v>
      </c>
      <c r="S416" s="15">
        <v>0</v>
      </c>
      <c r="T416" s="15">
        <v>0</v>
      </c>
    </row>
    <row r="417" spans="1:20" ht="30" x14ac:dyDescent="0.25">
      <c r="A417" s="15" t="s">
        <v>345</v>
      </c>
      <c r="B417" s="15" t="s">
        <v>386</v>
      </c>
      <c r="C417" s="15" t="str">
        <f t="shared" si="4"/>
        <v>HSR Center</v>
      </c>
      <c r="D417" s="15" t="s">
        <v>387</v>
      </c>
      <c r="E417" s="15" t="str">
        <f t="shared" si="5"/>
        <v>RADM CEN Grocery RKA+Monetka,Krasnoe i beloe, Kiro</v>
      </c>
      <c r="F417" s="15" t="s">
        <v>436</v>
      </c>
      <c r="G417" s="15"/>
      <c r="H417" s="15" t="s">
        <v>360</v>
      </c>
      <c r="I417" s="15"/>
      <c r="J417" s="15"/>
      <c r="K417" s="15"/>
      <c r="L417" s="15">
        <v>3592537.7499999967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</row>
    <row r="418" spans="1:20" ht="30" x14ac:dyDescent="0.25">
      <c r="A418" s="15" t="s">
        <v>333</v>
      </c>
      <c r="B418" s="15" t="s">
        <v>386</v>
      </c>
      <c r="C418" s="15" t="str">
        <f t="shared" si="4"/>
        <v>HSR Center</v>
      </c>
      <c r="D418" s="15" t="s">
        <v>387</v>
      </c>
      <c r="E418" s="15" t="str">
        <f t="shared" si="5"/>
        <v>RADM CEN Grocery RKA+Monetka,Krasnoe i beloe, Kiro</v>
      </c>
      <c r="F418" s="15" t="s">
        <v>436</v>
      </c>
      <c r="G418" s="15"/>
      <c r="H418" s="15" t="s">
        <v>360</v>
      </c>
      <c r="I418" s="15"/>
      <c r="J418" s="15"/>
      <c r="K418" s="15"/>
      <c r="L418" s="15">
        <v>3020652.4200000013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</row>
    <row r="419" spans="1:20" ht="30" x14ac:dyDescent="0.25">
      <c r="A419" s="15" t="s">
        <v>127</v>
      </c>
      <c r="B419" s="15" t="s">
        <v>386</v>
      </c>
      <c r="C419" s="15" t="str">
        <f t="shared" si="4"/>
        <v>HSR Center</v>
      </c>
      <c r="D419" s="15" t="s">
        <v>387</v>
      </c>
      <c r="E419" s="15" t="str">
        <f t="shared" si="5"/>
        <v>RADM CEN Grocery RKA+Monetka,Krasnoe i beloe, Kiro</v>
      </c>
      <c r="F419" s="15" t="s">
        <v>436</v>
      </c>
      <c r="G419" s="15"/>
      <c r="H419" s="15" t="s">
        <v>360</v>
      </c>
      <c r="I419" s="15"/>
      <c r="J419" s="15"/>
      <c r="K419" s="15"/>
      <c r="L419" s="15">
        <v>300455001.50000781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</row>
    <row r="420" spans="1:20" ht="30" x14ac:dyDescent="0.25">
      <c r="A420" s="15" t="s">
        <v>123</v>
      </c>
      <c r="B420" s="15" t="s">
        <v>386</v>
      </c>
      <c r="C420" s="15" t="str">
        <f t="shared" si="4"/>
        <v>HSR Center</v>
      </c>
      <c r="D420" s="15" t="s">
        <v>387</v>
      </c>
      <c r="E420" s="15" t="str">
        <f t="shared" si="5"/>
        <v>RADM CEN Grocery RKA+Monetka,Krasnoe i beloe, Kiro</v>
      </c>
      <c r="F420" s="15" t="s">
        <v>436</v>
      </c>
      <c r="G420" s="15"/>
      <c r="H420" s="15" t="s">
        <v>360</v>
      </c>
      <c r="I420" s="15"/>
      <c r="J420" s="15"/>
      <c r="K420" s="15"/>
      <c r="L420" s="15">
        <v>1220654.8799999992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</row>
    <row r="421" spans="1:20" ht="30" x14ac:dyDescent="0.25">
      <c r="A421" s="15" t="s">
        <v>102</v>
      </c>
      <c r="B421" s="15" t="s">
        <v>386</v>
      </c>
      <c r="C421" s="15" t="str">
        <f t="shared" si="4"/>
        <v>HSR Center</v>
      </c>
      <c r="D421" s="15" t="s">
        <v>387</v>
      </c>
      <c r="E421" s="15" t="str">
        <f t="shared" si="5"/>
        <v>RADM CEN Grocery RKA+Monetka,Krasnoe i beloe, Kiro</v>
      </c>
      <c r="F421" s="15" t="s">
        <v>436</v>
      </c>
      <c r="G421" s="15"/>
      <c r="H421" s="15" t="s">
        <v>360</v>
      </c>
      <c r="I421" s="15"/>
      <c r="J421" s="15"/>
      <c r="K421" s="15"/>
      <c r="L421" s="15">
        <v>399077386.25999945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</row>
    <row r="422" spans="1:20" ht="30" x14ac:dyDescent="0.25">
      <c r="A422" s="15" t="s">
        <v>156</v>
      </c>
      <c r="B422" s="15" t="s">
        <v>386</v>
      </c>
      <c r="C422" s="15" t="str">
        <f t="shared" si="4"/>
        <v>HSR Center</v>
      </c>
      <c r="D422" s="15" t="s">
        <v>387</v>
      </c>
      <c r="E422" s="15" t="str">
        <f t="shared" si="5"/>
        <v>RADM CEN Grocery RKA+Monetka,Krasnoe i beloe, Kiro</v>
      </c>
      <c r="F422" s="15" t="s">
        <v>436</v>
      </c>
      <c r="G422" s="15"/>
      <c r="H422" s="15" t="s">
        <v>360</v>
      </c>
      <c r="I422" s="15"/>
      <c r="J422" s="15"/>
      <c r="K422" s="15"/>
      <c r="L422" s="15">
        <v>1006884.1399999999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</row>
    <row r="423" spans="1:20" ht="30" x14ac:dyDescent="0.25">
      <c r="A423" s="15" t="s">
        <v>346</v>
      </c>
      <c r="B423" s="15" t="s">
        <v>386</v>
      </c>
      <c r="C423" s="15" t="str">
        <f t="shared" si="4"/>
        <v>HSR Center</v>
      </c>
      <c r="D423" s="15" t="s">
        <v>387</v>
      </c>
      <c r="E423" s="15" t="str">
        <f t="shared" si="5"/>
        <v>RADM CEN Grocery RKA+Monetka,Krasnoe i beloe, Kiro</v>
      </c>
      <c r="F423" s="15" t="s">
        <v>436</v>
      </c>
      <c r="G423" s="15"/>
      <c r="H423" s="15" t="s">
        <v>360</v>
      </c>
      <c r="I423" s="15"/>
      <c r="J423" s="15"/>
      <c r="K423" s="15"/>
      <c r="L423" s="15">
        <v>1006884.1400000001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</row>
    <row r="424" spans="1:20" ht="30" x14ac:dyDescent="0.25">
      <c r="A424" s="15" t="s">
        <v>118</v>
      </c>
      <c r="B424" s="15" t="s">
        <v>386</v>
      </c>
      <c r="C424" s="15" t="str">
        <f t="shared" si="4"/>
        <v>HSR Center</v>
      </c>
      <c r="D424" s="15" t="s">
        <v>387</v>
      </c>
      <c r="E424" s="15" t="str">
        <f t="shared" si="5"/>
        <v>RADM CEN Grocery RKA+Monetka,Krasnoe i beloe, Kiro</v>
      </c>
      <c r="F424" s="15" t="s">
        <v>436</v>
      </c>
      <c r="G424" s="15"/>
      <c r="H424" s="15" t="s">
        <v>360</v>
      </c>
      <c r="I424" s="15">
        <v>1</v>
      </c>
      <c r="J424" s="15">
        <v>1</v>
      </c>
      <c r="K424" s="15" t="s">
        <v>343</v>
      </c>
      <c r="L424" s="15">
        <v>745246078.52010083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453601227.03999996</v>
      </c>
      <c r="S424" s="15">
        <v>0</v>
      </c>
      <c r="T424" s="15">
        <v>0</v>
      </c>
    </row>
    <row r="425" spans="1:20" ht="30" x14ac:dyDescent="0.25">
      <c r="A425" s="15" t="s">
        <v>160</v>
      </c>
      <c r="B425" s="15" t="s">
        <v>386</v>
      </c>
      <c r="C425" s="15" t="str">
        <f t="shared" si="4"/>
        <v>HSR Center</v>
      </c>
      <c r="D425" s="15" t="s">
        <v>387</v>
      </c>
      <c r="E425" s="15" t="str">
        <f t="shared" si="5"/>
        <v>RADM CEN Grocery RKA+Monetka,Krasnoe i beloe, Kiro</v>
      </c>
      <c r="F425" s="15" t="s">
        <v>436</v>
      </c>
      <c r="G425" s="15"/>
      <c r="H425" s="15" t="s">
        <v>360</v>
      </c>
      <c r="I425" s="15"/>
      <c r="J425" s="15"/>
      <c r="K425" s="15"/>
      <c r="L425" s="15">
        <v>1006884.1400000001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</row>
    <row r="426" spans="1:20" ht="30" x14ac:dyDescent="0.25">
      <c r="A426" s="15" t="s">
        <v>93</v>
      </c>
      <c r="B426" s="15" t="s">
        <v>386</v>
      </c>
      <c r="C426" s="15" t="str">
        <f t="shared" si="4"/>
        <v>HSR Center</v>
      </c>
      <c r="D426" s="15" t="s">
        <v>387</v>
      </c>
      <c r="E426" s="15" t="str">
        <f t="shared" si="5"/>
        <v>RADM CEN Grocery RKA+Monetka,Krasnoe i beloe, Kiro</v>
      </c>
      <c r="F426" s="15" t="s">
        <v>436</v>
      </c>
      <c r="G426" s="15"/>
      <c r="H426" s="15" t="s">
        <v>360</v>
      </c>
      <c r="I426" s="15"/>
      <c r="J426" s="15"/>
      <c r="K426" s="15"/>
      <c r="L426" s="15">
        <v>9452726.7900000159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</row>
    <row r="427" spans="1:20" ht="30" x14ac:dyDescent="0.25">
      <c r="A427" s="15" t="s">
        <v>55</v>
      </c>
      <c r="B427" s="15" t="s">
        <v>386</v>
      </c>
      <c r="C427" s="15" t="str">
        <f t="shared" si="4"/>
        <v>HSR Center</v>
      </c>
      <c r="D427" s="15" t="s">
        <v>387</v>
      </c>
      <c r="E427" s="15" t="str">
        <f t="shared" si="5"/>
        <v>RADM CEN Grocery RKA+Monetka,Krasnoe i beloe, Kiro</v>
      </c>
      <c r="F427" s="15" t="s">
        <v>436</v>
      </c>
      <c r="G427" s="15"/>
      <c r="H427" s="15" t="s">
        <v>360</v>
      </c>
      <c r="I427" s="15"/>
      <c r="J427" s="15"/>
      <c r="K427" s="15"/>
      <c r="L427" s="15">
        <v>1006884.1399999999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</row>
    <row r="428" spans="1:20" ht="30" x14ac:dyDescent="0.25">
      <c r="A428" s="15" t="s">
        <v>133</v>
      </c>
      <c r="B428" s="15" t="s">
        <v>386</v>
      </c>
      <c r="C428" s="15" t="str">
        <f t="shared" si="4"/>
        <v>HSR Center</v>
      </c>
      <c r="D428" s="15" t="s">
        <v>387</v>
      </c>
      <c r="E428" s="15" t="str">
        <f t="shared" si="5"/>
        <v>RADM CEN Grocery RKA+Monetka,Krasnoe i beloe, Kiro</v>
      </c>
      <c r="F428" s="15" t="s">
        <v>436</v>
      </c>
      <c r="G428" s="15"/>
      <c r="H428" s="15" t="s">
        <v>360</v>
      </c>
      <c r="I428" s="15"/>
      <c r="J428" s="15"/>
      <c r="K428" s="15"/>
      <c r="L428" s="15">
        <v>22106208.609999988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</row>
    <row r="429" spans="1:20" ht="30" x14ac:dyDescent="0.25">
      <c r="A429" s="15" t="s">
        <v>120</v>
      </c>
      <c r="B429" s="15" t="s">
        <v>386</v>
      </c>
      <c r="C429" s="15" t="str">
        <f t="shared" si="4"/>
        <v>HSR Center</v>
      </c>
      <c r="D429" s="15" t="s">
        <v>387</v>
      </c>
      <c r="E429" s="15" t="str">
        <f t="shared" si="5"/>
        <v>RADM CEN Grocery RKA+Monetka,Krasnoe i beloe, Kiro</v>
      </c>
      <c r="F429" s="15" t="s">
        <v>436</v>
      </c>
      <c r="G429" s="15"/>
      <c r="H429" s="15" t="s">
        <v>360</v>
      </c>
      <c r="I429" s="15"/>
      <c r="J429" s="15"/>
      <c r="K429" s="15"/>
      <c r="L429" s="15">
        <v>212080190.05000722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</row>
    <row r="430" spans="1:20" ht="30" x14ac:dyDescent="0.25">
      <c r="A430" s="15" t="s">
        <v>385</v>
      </c>
      <c r="B430" s="15" t="s">
        <v>386</v>
      </c>
      <c r="C430" s="15" t="str">
        <f t="shared" si="4"/>
        <v>HSR Center</v>
      </c>
      <c r="D430" s="15" t="s">
        <v>387</v>
      </c>
      <c r="E430" s="15" t="str">
        <f t="shared" si="5"/>
        <v>RADM CEN Grocery RKA+Monetka,Krasnoe i beloe, Kiro</v>
      </c>
      <c r="F430" s="15" t="s">
        <v>436</v>
      </c>
      <c r="G430" s="15"/>
      <c r="H430" s="15" t="s">
        <v>360</v>
      </c>
      <c r="I430" s="15"/>
      <c r="J430" s="15"/>
      <c r="K430" s="15"/>
      <c r="L430" s="15">
        <v>33039185.340000134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</row>
    <row r="431" spans="1:20" ht="30" x14ac:dyDescent="0.25">
      <c r="A431" s="15" t="s">
        <v>347</v>
      </c>
      <c r="B431" s="15" t="s">
        <v>386</v>
      </c>
      <c r="C431" s="15" t="str">
        <f t="shared" si="4"/>
        <v>HSR Center</v>
      </c>
      <c r="D431" s="15" t="s">
        <v>387</v>
      </c>
      <c r="E431" s="15" t="str">
        <f t="shared" si="5"/>
        <v>RADM CEN Grocery RKA+Monetka,Krasnoe i beloe, Kiro</v>
      </c>
      <c r="F431" s="15" t="s">
        <v>436</v>
      </c>
      <c r="G431" s="15"/>
      <c r="H431" s="15" t="s">
        <v>360</v>
      </c>
      <c r="I431" s="15"/>
      <c r="J431" s="15"/>
      <c r="K431" s="15"/>
      <c r="L431" s="15">
        <v>173307347.28000385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</row>
    <row r="432" spans="1:20" ht="30" x14ac:dyDescent="0.25">
      <c r="A432" s="15" t="s">
        <v>103</v>
      </c>
      <c r="B432" s="15" t="s">
        <v>386</v>
      </c>
      <c r="C432" s="15" t="str">
        <f t="shared" si="4"/>
        <v>HSR Center</v>
      </c>
      <c r="D432" s="15" t="s">
        <v>387</v>
      </c>
      <c r="E432" s="15" t="str">
        <f t="shared" si="5"/>
        <v>RADM CEN Grocery RKA+Monetka,Krasnoe i beloe, Kiro</v>
      </c>
      <c r="F432" s="15" t="s">
        <v>436</v>
      </c>
      <c r="G432" s="15"/>
      <c r="H432" s="15" t="s">
        <v>360</v>
      </c>
      <c r="I432" s="15"/>
      <c r="J432" s="15"/>
      <c r="K432" s="15"/>
      <c r="L432" s="15">
        <v>249482271.56004351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</row>
    <row r="433" spans="1:20" ht="30" x14ac:dyDescent="0.25">
      <c r="A433" s="15" t="s">
        <v>417</v>
      </c>
      <c r="B433" s="15" t="s">
        <v>386</v>
      </c>
      <c r="C433" s="15" t="str">
        <f t="shared" si="4"/>
        <v>HSR Center</v>
      </c>
      <c r="D433" s="15" t="s">
        <v>387</v>
      </c>
      <c r="E433" s="15" t="str">
        <f t="shared" si="5"/>
        <v>RADM CEN Grocery RKA+Monetka,Krasnoe i beloe, Kiro</v>
      </c>
      <c r="F433" s="15" t="s">
        <v>436</v>
      </c>
      <c r="G433" s="15"/>
      <c r="H433" s="15" t="s">
        <v>360</v>
      </c>
      <c r="I433" s="15"/>
      <c r="J433" s="15"/>
      <c r="K433" s="15"/>
      <c r="L433" s="15">
        <v>69327183.080001146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</row>
    <row r="434" spans="1:20" x14ac:dyDescent="0.25">
      <c r="A434" s="15" t="s">
        <v>81</v>
      </c>
      <c r="B434" s="15" t="s">
        <v>438</v>
      </c>
      <c r="C434" s="15" t="str">
        <f t="shared" si="4"/>
        <v>HSR RFE</v>
      </c>
      <c r="D434" s="15" t="s">
        <v>439</v>
      </c>
      <c r="E434" s="15" t="str">
        <f t="shared" si="5"/>
        <v>ASM RFE Grocery+SPT Khabarovsk</v>
      </c>
      <c r="F434" s="15" t="s">
        <v>440</v>
      </c>
      <c r="G434" s="15"/>
      <c r="H434" s="15" t="s">
        <v>421</v>
      </c>
      <c r="I434" s="15"/>
      <c r="J434" s="15"/>
      <c r="K434" s="15"/>
      <c r="L434" s="15">
        <v>0</v>
      </c>
      <c r="M434" s="15">
        <v>0</v>
      </c>
      <c r="N434" s="15">
        <v>0</v>
      </c>
      <c r="O434" s="15">
        <v>208688.66999999998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</row>
    <row r="435" spans="1:20" x14ac:dyDescent="0.25">
      <c r="A435" s="15" t="s">
        <v>81</v>
      </c>
      <c r="B435" s="15" t="s">
        <v>438</v>
      </c>
      <c r="C435" s="15" t="str">
        <f t="shared" si="4"/>
        <v>HSR RFE</v>
      </c>
      <c r="D435" s="15" t="s">
        <v>439</v>
      </c>
      <c r="E435" s="15" t="str">
        <f t="shared" si="5"/>
        <v>ASM RFE Grocery+SPT Khabarovsk</v>
      </c>
      <c r="F435" s="15" t="s">
        <v>441</v>
      </c>
      <c r="G435" s="15"/>
      <c r="H435" s="15" t="s">
        <v>442</v>
      </c>
      <c r="I435" s="15"/>
      <c r="J435" s="15"/>
      <c r="K435" s="15"/>
      <c r="L435" s="15">
        <v>0</v>
      </c>
      <c r="M435" s="15">
        <v>0</v>
      </c>
      <c r="N435" s="15">
        <v>0</v>
      </c>
      <c r="O435" s="15">
        <v>11776760.620000001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</row>
    <row r="436" spans="1:20" x14ac:dyDescent="0.25">
      <c r="A436" s="15" t="s">
        <v>81</v>
      </c>
      <c r="B436" s="15" t="s">
        <v>438</v>
      </c>
      <c r="C436" s="15" t="str">
        <f t="shared" si="4"/>
        <v>HSR RFE</v>
      </c>
      <c r="D436" s="15" t="s">
        <v>439</v>
      </c>
      <c r="E436" s="15" t="str">
        <f t="shared" si="5"/>
        <v>ASM RFE Grocery+SPT Khabarovsk</v>
      </c>
      <c r="F436" s="15" t="s">
        <v>441</v>
      </c>
      <c r="G436" s="15"/>
      <c r="H436" s="15" t="s">
        <v>421</v>
      </c>
      <c r="I436" s="15"/>
      <c r="J436" s="15"/>
      <c r="K436" s="15" t="s">
        <v>343</v>
      </c>
      <c r="L436" s="15">
        <v>0</v>
      </c>
      <c r="M436" s="15">
        <v>153019583.42999998</v>
      </c>
      <c r="N436" s="15">
        <v>134970165.77000001</v>
      </c>
      <c r="O436" s="15">
        <v>322128488.81000018</v>
      </c>
      <c r="P436" s="15">
        <v>13117256.509999998</v>
      </c>
      <c r="Q436" s="15">
        <v>27361099.270000003</v>
      </c>
      <c r="R436" s="15">
        <v>1989224.5970999999</v>
      </c>
      <c r="S436" s="15">
        <v>0</v>
      </c>
      <c r="T436" s="15">
        <v>0</v>
      </c>
    </row>
    <row r="437" spans="1:20" x14ac:dyDescent="0.25">
      <c r="A437" s="15" t="s">
        <v>87</v>
      </c>
      <c r="B437" s="15" t="s">
        <v>438</v>
      </c>
      <c r="C437" s="15" t="str">
        <f t="shared" si="4"/>
        <v>HSR RFE</v>
      </c>
      <c r="D437" s="15" t="s">
        <v>443</v>
      </c>
      <c r="E437" s="15" t="str">
        <f t="shared" si="5"/>
        <v>ASM RFE Grocery+SPT Irkutsk</v>
      </c>
      <c r="F437" s="15" t="s">
        <v>444</v>
      </c>
      <c r="G437" s="15"/>
      <c r="H437" s="15" t="s">
        <v>424</v>
      </c>
      <c r="I437" s="15"/>
      <c r="J437" s="15"/>
      <c r="K437" s="15" t="s">
        <v>377</v>
      </c>
      <c r="L437" s="15">
        <v>0</v>
      </c>
      <c r="M437" s="15">
        <v>6003235.9700000007</v>
      </c>
      <c r="N437" s="15">
        <v>221515033.27000004</v>
      </c>
      <c r="O437" s="15">
        <v>26051285.77999999</v>
      </c>
      <c r="P437" s="15">
        <v>43675974.810000084</v>
      </c>
      <c r="Q437" s="15">
        <v>0</v>
      </c>
      <c r="R437" s="15">
        <v>43675974.810000084</v>
      </c>
      <c r="S437" s="15">
        <v>0</v>
      </c>
      <c r="T437" s="15">
        <v>0</v>
      </c>
    </row>
    <row r="438" spans="1:20" x14ac:dyDescent="0.25">
      <c r="A438" s="15" t="s">
        <v>87</v>
      </c>
      <c r="B438" s="15" t="s">
        <v>438</v>
      </c>
      <c r="C438" s="15" t="str">
        <f t="shared" si="4"/>
        <v>HSR RFE</v>
      </c>
      <c r="D438" s="15" t="s">
        <v>443</v>
      </c>
      <c r="E438" s="15" t="str">
        <f t="shared" si="5"/>
        <v>ASM RFE Grocery+SPT Irkutsk</v>
      </c>
      <c r="F438" s="15" t="s">
        <v>445</v>
      </c>
      <c r="G438" s="15"/>
      <c r="H438" s="15" t="s">
        <v>424</v>
      </c>
      <c r="I438" s="15"/>
      <c r="J438" s="15"/>
      <c r="K438" s="15"/>
      <c r="L438" s="15">
        <v>0</v>
      </c>
      <c r="M438" s="15">
        <v>23080630.669999998</v>
      </c>
      <c r="N438" s="15">
        <v>628783.19000000006</v>
      </c>
      <c r="O438" s="15">
        <v>141679553.97000003</v>
      </c>
      <c r="P438" s="15">
        <v>511490.75000000006</v>
      </c>
      <c r="Q438" s="15">
        <v>0</v>
      </c>
      <c r="R438" s="15">
        <v>0</v>
      </c>
      <c r="S438" s="15">
        <v>0</v>
      </c>
      <c r="T438" s="15">
        <v>0</v>
      </c>
    </row>
    <row r="439" spans="1:20" x14ac:dyDescent="0.25">
      <c r="A439" s="15" t="s">
        <v>87</v>
      </c>
      <c r="B439" s="15" t="s">
        <v>438</v>
      </c>
      <c r="C439" s="15" t="str">
        <f t="shared" si="4"/>
        <v>HSR RFE</v>
      </c>
      <c r="D439" s="15" t="s">
        <v>443</v>
      </c>
      <c r="E439" s="15" t="str">
        <f t="shared" si="5"/>
        <v>ASM RFE Grocery+SPT Irkutsk</v>
      </c>
      <c r="F439" s="15" t="s">
        <v>446</v>
      </c>
      <c r="G439" s="15"/>
      <c r="H439" s="15" t="s">
        <v>424</v>
      </c>
      <c r="I439" s="15"/>
      <c r="J439" s="15"/>
      <c r="K439" s="15"/>
      <c r="L439" s="15">
        <v>0</v>
      </c>
      <c r="M439" s="15">
        <v>3048091.0600000005</v>
      </c>
      <c r="N439" s="15">
        <v>2767536.3699999996</v>
      </c>
      <c r="O439" s="15">
        <v>20306140.809999995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</row>
    <row r="440" spans="1:20" x14ac:dyDescent="0.25">
      <c r="A440" s="15" t="s">
        <v>87</v>
      </c>
      <c r="B440" s="15" t="s">
        <v>438</v>
      </c>
      <c r="C440" s="15" t="str">
        <f t="shared" si="4"/>
        <v>HSR RFE</v>
      </c>
      <c r="D440" s="15" t="s">
        <v>447</v>
      </c>
      <c r="E440" s="15" t="str">
        <f t="shared" si="5"/>
        <v>RDM RFE Grocery SS</v>
      </c>
      <c r="F440" s="15" t="s">
        <v>448</v>
      </c>
      <c r="G440" s="15"/>
      <c r="H440" s="15" t="s">
        <v>424</v>
      </c>
      <c r="I440" s="15"/>
      <c r="J440" s="15"/>
      <c r="K440" s="15"/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179038670.03000003</v>
      </c>
    </row>
    <row r="441" spans="1:20" x14ac:dyDescent="0.25">
      <c r="A441" s="15" t="s">
        <v>449</v>
      </c>
      <c r="B441" s="15" t="s">
        <v>438</v>
      </c>
      <c r="C441" s="15" t="str">
        <f t="shared" si="4"/>
        <v>HSR RFE</v>
      </c>
      <c r="D441" s="15" t="s">
        <v>439</v>
      </c>
      <c r="E441" s="15" t="str">
        <f t="shared" si="5"/>
        <v>ASM RFE Grocery+SPT Khabarovsk</v>
      </c>
      <c r="F441" s="15" t="s">
        <v>440</v>
      </c>
      <c r="G441" s="15"/>
      <c r="H441" s="15" t="s">
        <v>450</v>
      </c>
      <c r="I441" s="15"/>
      <c r="J441" s="15"/>
      <c r="K441" s="15"/>
      <c r="L441" s="15">
        <v>0</v>
      </c>
      <c r="M441" s="15">
        <v>0</v>
      </c>
      <c r="N441" s="15">
        <v>0</v>
      </c>
      <c r="O441" s="15">
        <v>1185678.5599999998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</row>
    <row r="442" spans="1:20" x14ac:dyDescent="0.25">
      <c r="A442" s="15" t="s">
        <v>449</v>
      </c>
      <c r="B442" s="15" t="s">
        <v>438</v>
      </c>
      <c r="C442" s="15" t="str">
        <f t="shared" si="4"/>
        <v>HSR RFE</v>
      </c>
      <c r="D442" s="15" t="s">
        <v>439</v>
      </c>
      <c r="E442" s="15" t="str">
        <f t="shared" si="5"/>
        <v>ASM RFE Grocery+SPT Khabarovsk</v>
      </c>
      <c r="F442" s="15" t="s">
        <v>451</v>
      </c>
      <c r="G442" s="15"/>
      <c r="H442" s="15" t="s">
        <v>421</v>
      </c>
      <c r="I442" s="15"/>
      <c r="J442" s="15"/>
      <c r="K442" s="15"/>
      <c r="L442" s="15">
        <v>0</v>
      </c>
      <c r="M442" s="15">
        <v>0</v>
      </c>
      <c r="N442" s="15">
        <v>0</v>
      </c>
      <c r="O442" s="15">
        <v>60209490.649999976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</row>
    <row r="443" spans="1:20" x14ac:dyDescent="0.25">
      <c r="A443" s="15" t="s">
        <v>449</v>
      </c>
      <c r="B443" s="15" t="s">
        <v>438</v>
      </c>
      <c r="C443" s="15" t="str">
        <f t="shared" si="4"/>
        <v>HSR RFE</v>
      </c>
      <c r="D443" s="15" t="s">
        <v>439</v>
      </c>
      <c r="E443" s="15" t="str">
        <f t="shared" si="5"/>
        <v>ASM RFE Grocery+SPT Khabarovsk</v>
      </c>
      <c r="F443" s="15" t="s">
        <v>440</v>
      </c>
      <c r="G443" s="15"/>
      <c r="H443" s="15" t="s">
        <v>421</v>
      </c>
      <c r="I443" s="15"/>
      <c r="J443" s="15"/>
      <c r="K443" s="15" t="s">
        <v>343</v>
      </c>
      <c r="L443" s="15">
        <v>0</v>
      </c>
      <c r="M443" s="15">
        <v>34691444.800000004</v>
      </c>
      <c r="N443" s="15">
        <v>0</v>
      </c>
      <c r="O443" s="15">
        <v>0</v>
      </c>
      <c r="P443" s="15">
        <v>12714006.299999993</v>
      </c>
      <c r="Q443" s="15">
        <v>19653666.589999996</v>
      </c>
      <c r="R443" s="15">
        <v>650000</v>
      </c>
      <c r="S443" s="15">
        <v>0</v>
      </c>
      <c r="T443" s="15">
        <v>0</v>
      </c>
    </row>
    <row r="444" spans="1:20" x14ac:dyDescent="0.25">
      <c r="A444" s="15" t="s">
        <v>425</v>
      </c>
      <c r="B444" s="15" t="s">
        <v>438</v>
      </c>
      <c r="C444" s="15" t="str">
        <f t="shared" si="4"/>
        <v>HSR RFE</v>
      </c>
      <c r="D444" s="15" t="s">
        <v>443</v>
      </c>
      <c r="E444" s="15" t="str">
        <f t="shared" si="5"/>
        <v>ASM RFE Grocery+SPT Irkutsk</v>
      </c>
      <c r="F444" s="15" t="s">
        <v>452</v>
      </c>
      <c r="G444" s="15"/>
      <c r="H444" s="15" t="s">
        <v>424</v>
      </c>
      <c r="I444" s="15"/>
      <c r="J444" s="15"/>
      <c r="K444" s="15" t="s">
        <v>377</v>
      </c>
      <c r="L444" s="15">
        <v>0</v>
      </c>
      <c r="M444" s="15">
        <v>121671430.49999997</v>
      </c>
      <c r="N444" s="15">
        <v>183658746.71000001</v>
      </c>
      <c r="O444" s="15">
        <v>227938901.79999974</v>
      </c>
      <c r="P444" s="15">
        <v>121867232.1300009</v>
      </c>
      <c r="Q444" s="15">
        <v>0</v>
      </c>
      <c r="R444" s="15">
        <v>70488320.631299987</v>
      </c>
      <c r="S444" s="15">
        <v>0</v>
      </c>
      <c r="T444" s="15">
        <v>0</v>
      </c>
    </row>
    <row r="445" spans="1:20" x14ac:dyDescent="0.25">
      <c r="A445" s="15" t="s">
        <v>425</v>
      </c>
      <c r="B445" s="15" t="s">
        <v>438</v>
      </c>
      <c r="C445" s="15" t="str">
        <f t="shared" si="4"/>
        <v>HSR RFE</v>
      </c>
      <c r="D445" s="15" t="s">
        <v>447</v>
      </c>
      <c r="E445" s="15" t="str">
        <f t="shared" si="5"/>
        <v>RDM RFE Grocery SS</v>
      </c>
      <c r="F445" s="15" t="s">
        <v>448</v>
      </c>
      <c r="G445" s="15"/>
      <c r="H445" s="15" t="s">
        <v>424</v>
      </c>
      <c r="I445" s="15"/>
      <c r="J445" s="15"/>
      <c r="K445" s="15"/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120850016.12999998</v>
      </c>
    </row>
    <row r="446" spans="1:20" x14ac:dyDescent="0.25">
      <c r="A446" s="15" t="s">
        <v>90</v>
      </c>
      <c r="B446" s="15" t="s">
        <v>438</v>
      </c>
      <c r="C446" s="15" t="str">
        <f t="shared" si="4"/>
        <v>HSR RFE</v>
      </c>
      <c r="D446" s="15" t="s">
        <v>443</v>
      </c>
      <c r="E446" s="15" t="str">
        <f t="shared" si="5"/>
        <v>ASM RFE Grocery+SPT Irkutsk</v>
      </c>
      <c r="F446" s="15" t="s">
        <v>444</v>
      </c>
      <c r="G446" s="15"/>
      <c r="H446" s="15" t="s">
        <v>424</v>
      </c>
      <c r="I446" s="15">
        <v>1</v>
      </c>
      <c r="J446" s="15">
        <v>2</v>
      </c>
      <c r="K446" s="15" t="s">
        <v>377</v>
      </c>
      <c r="L446" s="15">
        <v>0</v>
      </c>
      <c r="M446" s="15">
        <v>201600905.64000005</v>
      </c>
      <c r="N446" s="15">
        <v>46083759.960000001</v>
      </c>
      <c r="O446" s="15">
        <v>38379886.579999991</v>
      </c>
      <c r="P446" s="15">
        <v>311425467.55000055</v>
      </c>
      <c r="Q446" s="15">
        <v>0</v>
      </c>
      <c r="R446" s="15">
        <v>296054124.14759994</v>
      </c>
      <c r="S446" s="15">
        <v>0</v>
      </c>
      <c r="T446" s="15">
        <v>0</v>
      </c>
    </row>
    <row r="447" spans="1:20" x14ac:dyDescent="0.25">
      <c r="A447" s="15" t="s">
        <v>90</v>
      </c>
      <c r="B447" s="15" t="s">
        <v>438</v>
      </c>
      <c r="C447" s="15" t="str">
        <f t="shared" si="4"/>
        <v>HSR RFE</v>
      </c>
      <c r="D447" s="15" t="s">
        <v>443</v>
      </c>
      <c r="E447" s="15" t="str">
        <f t="shared" si="5"/>
        <v>ASM RFE Grocery+SPT Irkutsk</v>
      </c>
      <c r="F447" s="15" t="s">
        <v>445</v>
      </c>
      <c r="G447" s="15"/>
      <c r="H447" s="15" t="s">
        <v>424</v>
      </c>
      <c r="I447" s="15"/>
      <c r="J447" s="15"/>
      <c r="K447" s="15"/>
      <c r="L447" s="15">
        <v>0</v>
      </c>
      <c r="M447" s="15">
        <v>104860578.90999995</v>
      </c>
      <c r="N447" s="15">
        <v>1722313.4900000002</v>
      </c>
      <c r="O447" s="15">
        <v>162118278.36999997</v>
      </c>
      <c r="P447" s="15">
        <v>0</v>
      </c>
      <c r="Q447" s="15">
        <v>18110606.940000001</v>
      </c>
      <c r="R447" s="15">
        <v>0</v>
      </c>
      <c r="S447" s="15">
        <v>0</v>
      </c>
      <c r="T447" s="15">
        <v>0</v>
      </c>
    </row>
    <row r="448" spans="1:20" x14ac:dyDescent="0.25">
      <c r="A448" s="15" t="s">
        <v>90</v>
      </c>
      <c r="B448" s="15" t="s">
        <v>438</v>
      </c>
      <c r="C448" s="15" t="str">
        <f t="shared" si="4"/>
        <v>HSR RFE</v>
      </c>
      <c r="D448" s="15" t="s">
        <v>443</v>
      </c>
      <c r="E448" s="15" t="str">
        <f t="shared" si="5"/>
        <v>ASM RFE Grocery+SPT Irkutsk</v>
      </c>
      <c r="F448" s="15" t="s">
        <v>446</v>
      </c>
      <c r="G448" s="15"/>
      <c r="H448" s="15" t="s">
        <v>424</v>
      </c>
      <c r="I448" s="15"/>
      <c r="J448" s="15"/>
      <c r="K448" s="15" t="s">
        <v>377</v>
      </c>
      <c r="L448" s="15">
        <v>0</v>
      </c>
      <c r="M448" s="15">
        <v>441448884.41999984</v>
      </c>
      <c r="N448" s="15">
        <v>65985340.409999982</v>
      </c>
      <c r="O448" s="15">
        <v>262371949.57000005</v>
      </c>
      <c r="P448" s="15">
        <v>275845491.41999978</v>
      </c>
      <c r="Q448" s="15">
        <v>0</v>
      </c>
      <c r="R448" s="15">
        <v>176294026.74129999</v>
      </c>
      <c r="S448" s="15">
        <v>0</v>
      </c>
      <c r="T448" s="15">
        <v>0</v>
      </c>
    </row>
    <row r="449" spans="1:20" x14ac:dyDescent="0.25">
      <c r="A449" s="15" t="s">
        <v>90</v>
      </c>
      <c r="B449" s="15" t="s">
        <v>438</v>
      </c>
      <c r="C449" s="15" t="str">
        <f t="shared" si="4"/>
        <v>HSR RFE</v>
      </c>
      <c r="D449" s="15" t="s">
        <v>453</v>
      </c>
      <c r="E449" s="15" t="str">
        <f t="shared" si="5"/>
        <v>ASM RFE Grocery+SPT Vladivostok</v>
      </c>
      <c r="F449" s="15" t="s">
        <v>454</v>
      </c>
      <c r="G449" s="15"/>
      <c r="H449" s="15" t="s">
        <v>424</v>
      </c>
      <c r="I449" s="15"/>
      <c r="J449" s="15"/>
      <c r="K449" s="15"/>
      <c r="L449" s="15">
        <v>0</v>
      </c>
      <c r="M449" s="15">
        <v>0</v>
      </c>
      <c r="N449" s="15">
        <v>0</v>
      </c>
      <c r="O449" s="15">
        <v>99500.459999999992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</row>
    <row r="450" spans="1:20" x14ac:dyDescent="0.25">
      <c r="A450" s="15" t="s">
        <v>90</v>
      </c>
      <c r="B450" s="15" t="s">
        <v>438</v>
      </c>
      <c r="C450" s="15" t="str">
        <f t="shared" si="4"/>
        <v>HSR RFE</v>
      </c>
      <c r="D450" s="15" t="s">
        <v>447</v>
      </c>
      <c r="E450" s="15" t="str">
        <f t="shared" si="5"/>
        <v>RDM RFE Grocery SS</v>
      </c>
      <c r="F450" s="15" t="s">
        <v>448</v>
      </c>
      <c r="G450" s="15"/>
      <c r="H450" s="15" t="s">
        <v>424</v>
      </c>
      <c r="I450" s="15"/>
      <c r="J450" s="15"/>
      <c r="K450" s="15"/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535714473.38999999</v>
      </c>
    </row>
    <row r="451" spans="1:20" x14ac:dyDescent="0.25">
      <c r="A451" s="15" t="s">
        <v>427</v>
      </c>
      <c r="B451" s="15" t="s">
        <v>438</v>
      </c>
      <c r="C451" s="15" t="str">
        <f t="shared" si="4"/>
        <v>HSR RFE</v>
      </c>
      <c r="D451" s="15" t="s">
        <v>453</v>
      </c>
      <c r="E451" s="15" t="str">
        <f t="shared" si="5"/>
        <v>ASM RFE Grocery+SPT Vladivostok</v>
      </c>
      <c r="F451" s="15" t="s">
        <v>455</v>
      </c>
      <c r="G451" s="15"/>
      <c r="H451" s="15" t="s">
        <v>421</v>
      </c>
      <c r="I451" s="15"/>
      <c r="J451" s="15"/>
      <c r="K451" s="15"/>
      <c r="L451" s="15">
        <v>0</v>
      </c>
      <c r="M451" s="15">
        <v>342333.52</v>
      </c>
      <c r="N451" s="15">
        <v>73470389.230000004</v>
      </c>
      <c r="O451" s="15">
        <v>129327350.88000001</v>
      </c>
      <c r="P451" s="15">
        <v>0</v>
      </c>
      <c r="Q451" s="15">
        <v>51890853.25</v>
      </c>
      <c r="R451" s="15">
        <v>0</v>
      </c>
      <c r="S451" s="15">
        <v>0</v>
      </c>
      <c r="T451" s="15">
        <v>0</v>
      </c>
    </row>
    <row r="452" spans="1:20" x14ac:dyDescent="0.25">
      <c r="A452" s="15" t="s">
        <v>66</v>
      </c>
      <c r="B452" s="15" t="s">
        <v>438</v>
      </c>
      <c r="C452" s="15" t="str">
        <f t="shared" si="4"/>
        <v>HSR RFE</v>
      </c>
      <c r="D452" s="15" t="s">
        <v>453</v>
      </c>
      <c r="E452" s="15" t="str">
        <f t="shared" si="5"/>
        <v>ASM RFE Grocery+SPT Vladivostok</v>
      </c>
      <c r="F452" s="15" t="s">
        <v>454</v>
      </c>
      <c r="G452" s="15"/>
      <c r="H452" s="15" t="s">
        <v>450</v>
      </c>
      <c r="I452" s="15"/>
      <c r="J452" s="15"/>
      <c r="K452" s="15"/>
      <c r="L452" s="15">
        <v>0</v>
      </c>
      <c r="M452" s="15">
        <v>0</v>
      </c>
      <c r="N452" s="15">
        <v>0</v>
      </c>
      <c r="O452" s="15">
        <v>1138102.06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</row>
    <row r="453" spans="1:20" x14ac:dyDescent="0.25">
      <c r="A453" s="15" t="s">
        <v>66</v>
      </c>
      <c r="B453" s="15" t="s">
        <v>438</v>
      </c>
      <c r="C453" s="15" t="str">
        <f t="shared" ref="C453:C516" si="6">B453</f>
        <v>HSR RFE</v>
      </c>
      <c r="D453" s="15" t="s">
        <v>453</v>
      </c>
      <c r="E453" s="15" t="str">
        <f t="shared" ref="E453:E516" si="7">D453</f>
        <v>ASM RFE Grocery+SPT Vladivostok</v>
      </c>
      <c r="F453" s="15" t="s">
        <v>454</v>
      </c>
      <c r="G453" s="15"/>
      <c r="H453" s="15" t="s">
        <v>421</v>
      </c>
      <c r="I453" s="15"/>
      <c r="J453" s="15"/>
      <c r="K453" s="15"/>
      <c r="L453" s="15">
        <v>0</v>
      </c>
      <c r="M453" s="15">
        <v>0</v>
      </c>
      <c r="N453" s="15">
        <v>0</v>
      </c>
      <c r="O453" s="15">
        <v>85490087.909999996</v>
      </c>
      <c r="P453" s="15">
        <v>0</v>
      </c>
      <c r="Q453" s="15">
        <v>18132123.189999998</v>
      </c>
      <c r="R453" s="15">
        <v>0</v>
      </c>
      <c r="S453" s="15">
        <v>0</v>
      </c>
      <c r="T453" s="15">
        <v>0</v>
      </c>
    </row>
    <row r="454" spans="1:20" x14ac:dyDescent="0.25">
      <c r="A454" s="15" t="s">
        <v>431</v>
      </c>
      <c r="B454" s="15" t="s">
        <v>438</v>
      </c>
      <c r="C454" s="15" t="str">
        <f t="shared" si="6"/>
        <v>HSR RFE</v>
      </c>
      <c r="D454" s="15" t="s">
        <v>453</v>
      </c>
      <c r="E454" s="15" t="str">
        <f t="shared" si="7"/>
        <v>ASM RFE Grocery+SPT Vladivostok</v>
      </c>
      <c r="F454" s="15" t="s">
        <v>456</v>
      </c>
      <c r="G454" s="15"/>
      <c r="H454" s="15" t="s">
        <v>450</v>
      </c>
      <c r="I454" s="15">
        <v>1</v>
      </c>
      <c r="J454" s="15">
        <v>2</v>
      </c>
      <c r="K454" s="15" t="s">
        <v>343</v>
      </c>
      <c r="L454" s="15">
        <v>0</v>
      </c>
      <c r="M454" s="15">
        <v>162288104.04000002</v>
      </c>
      <c r="N454" s="15">
        <v>2795778.5500000003</v>
      </c>
      <c r="O454" s="15">
        <v>253464764.50999996</v>
      </c>
      <c r="P454" s="15">
        <v>42057506.110000044</v>
      </c>
      <c r="Q454" s="15">
        <v>0</v>
      </c>
      <c r="R454" s="15">
        <v>42057506.110000044</v>
      </c>
      <c r="S454" s="15">
        <v>0</v>
      </c>
      <c r="T454" s="15">
        <v>0</v>
      </c>
    </row>
    <row r="455" spans="1:20" x14ac:dyDescent="0.25">
      <c r="A455" s="15" t="s">
        <v>431</v>
      </c>
      <c r="B455" s="15" t="s">
        <v>438</v>
      </c>
      <c r="C455" s="15" t="str">
        <f t="shared" si="6"/>
        <v>HSR RFE</v>
      </c>
      <c r="D455" s="15" t="s">
        <v>453</v>
      </c>
      <c r="E455" s="15" t="str">
        <f t="shared" si="7"/>
        <v>ASM RFE Grocery+SPT Vladivostok</v>
      </c>
      <c r="F455" s="15" t="s">
        <v>456</v>
      </c>
      <c r="G455" s="15"/>
      <c r="H455" s="15" t="s">
        <v>421</v>
      </c>
      <c r="I455" s="15"/>
      <c r="J455" s="15">
        <v>3</v>
      </c>
      <c r="K455" s="15"/>
      <c r="L455" s="15">
        <v>0</v>
      </c>
      <c r="M455" s="15">
        <v>72507901.849999994</v>
      </c>
      <c r="N455" s="15">
        <v>0</v>
      </c>
      <c r="O455" s="15">
        <v>11787053.539999999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</row>
    <row r="456" spans="1:20" x14ac:dyDescent="0.25">
      <c r="A456" s="15" t="s">
        <v>431</v>
      </c>
      <c r="B456" s="15" t="s">
        <v>438</v>
      </c>
      <c r="C456" s="15" t="str">
        <f t="shared" si="6"/>
        <v>HSR RFE</v>
      </c>
      <c r="D456" s="15" t="s">
        <v>453</v>
      </c>
      <c r="E456" s="15" t="str">
        <f t="shared" si="7"/>
        <v>ASM RFE Grocery+SPT Vladivostok</v>
      </c>
      <c r="F456" s="15" t="s">
        <v>457</v>
      </c>
      <c r="G456" s="15"/>
      <c r="H456" s="15" t="s">
        <v>450</v>
      </c>
      <c r="I456" s="15"/>
      <c r="J456" s="15"/>
      <c r="K456" s="15"/>
      <c r="L456" s="15">
        <v>0</v>
      </c>
      <c r="M456" s="15">
        <v>108176429.54000001</v>
      </c>
      <c r="N456" s="15">
        <v>965889.3600000001</v>
      </c>
      <c r="O456" s="15">
        <v>153317268.61999995</v>
      </c>
      <c r="P456" s="15">
        <v>0</v>
      </c>
      <c r="Q456" s="15">
        <v>112886230.99000001</v>
      </c>
      <c r="R456" s="15">
        <v>0</v>
      </c>
      <c r="S456" s="15">
        <v>0</v>
      </c>
      <c r="T456" s="15">
        <v>0</v>
      </c>
    </row>
    <row r="457" spans="1:20" x14ac:dyDescent="0.25">
      <c r="A457" s="15" t="s">
        <v>431</v>
      </c>
      <c r="B457" s="15" t="s">
        <v>438</v>
      </c>
      <c r="C457" s="15" t="str">
        <f t="shared" si="6"/>
        <v>HSR RFE</v>
      </c>
      <c r="D457" s="15" t="s">
        <v>453</v>
      </c>
      <c r="E457" s="15" t="str">
        <f t="shared" si="7"/>
        <v>ASM RFE Grocery+SPT Vladivostok</v>
      </c>
      <c r="F457" s="15" t="s">
        <v>457</v>
      </c>
      <c r="G457" s="15"/>
      <c r="H457" s="15" t="s">
        <v>421</v>
      </c>
      <c r="I457" s="15"/>
      <c r="J457" s="15"/>
      <c r="K457" s="15" t="s">
        <v>343</v>
      </c>
      <c r="L457" s="15">
        <v>0</v>
      </c>
      <c r="M457" s="15">
        <v>136311684.74000001</v>
      </c>
      <c r="N457" s="15">
        <v>0</v>
      </c>
      <c r="O457" s="15">
        <v>161329599.02000001</v>
      </c>
      <c r="P457" s="15">
        <v>85979673.750000238</v>
      </c>
      <c r="Q457" s="15">
        <v>0</v>
      </c>
      <c r="R457" s="15">
        <v>52620015.693699993</v>
      </c>
      <c r="S457" s="15">
        <v>0</v>
      </c>
      <c r="T457" s="15">
        <v>0</v>
      </c>
    </row>
    <row r="458" spans="1:20" x14ac:dyDescent="0.25">
      <c r="A458" s="15" t="s">
        <v>431</v>
      </c>
      <c r="B458" s="15" t="s">
        <v>438</v>
      </c>
      <c r="C458" s="15" t="str">
        <f t="shared" si="6"/>
        <v>HSR RFE</v>
      </c>
      <c r="D458" s="15" t="s">
        <v>453</v>
      </c>
      <c r="E458" s="15" t="str">
        <f t="shared" si="7"/>
        <v>ASM RFE Grocery+SPT Vladivostok</v>
      </c>
      <c r="F458" s="15" t="s">
        <v>454</v>
      </c>
      <c r="G458" s="15"/>
      <c r="H458" s="15" t="s">
        <v>450</v>
      </c>
      <c r="I458" s="15"/>
      <c r="J458" s="15"/>
      <c r="K458" s="15" t="s">
        <v>343</v>
      </c>
      <c r="L458" s="15">
        <v>0</v>
      </c>
      <c r="M458" s="15">
        <v>124147509.69999997</v>
      </c>
      <c r="N458" s="15">
        <v>1186505.8400000001</v>
      </c>
      <c r="O458" s="15">
        <v>406056098.95000011</v>
      </c>
      <c r="P458" s="15">
        <v>73076719.090000346</v>
      </c>
      <c r="Q458" s="15">
        <v>70473505.910000011</v>
      </c>
      <c r="R458" s="15">
        <v>44026513.027900003</v>
      </c>
      <c r="S458" s="15">
        <v>0</v>
      </c>
      <c r="T458" s="15">
        <v>0</v>
      </c>
    </row>
    <row r="459" spans="1:20" x14ac:dyDescent="0.25">
      <c r="A459" s="15" t="s">
        <v>431</v>
      </c>
      <c r="B459" s="15" t="s">
        <v>438</v>
      </c>
      <c r="C459" s="15" t="str">
        <f t="shared" si="6"/>
        <v>HSR RFE</v>
      </c>
      <c r="D459" s="15" t="s">
        <v>453</v>
      </c>
      <c r="E459" s="15" t="str">
        <f t="shared" si="7"/>
        <v>ASM RFE Grocery+SPT Vladivostok</v>
      </c>
      <c r="F459" s="15" t="s">
        <v>454</v>
      </c>
      <c r="G459" s="15"/>
      <c r="H459" s="15" t="s">
        <v>421</v>
      </c>
      <c r="I459" s="15"/>
      <c r="J459" s="15"/>
      <c r="K459" s="15"/>
      <c r="L459" s="15">
        <v>0</v>
      </c>
      <c r="M459" s="15">
        <v>144232227.30999997</v>
      </c>
      <c r="N459" s="15">
        <v>0</v>
      </c>
      <c r="O459" s="15">
        <v>5910.24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</row>
    <row r="460" spans="1:20" x14ac:dyDescent="0.25">
      <c r="A460" s="15" t="s">
        <v>431</v>
      </c>
      <c r="B460" s="15" t="s">
        <v>438</v>
      </c>
      <c r="C460" s="15" t="str">
        <f t="shared" si="6"/>
        <v>HSR RFE</v>
      </c>
      <c r="D460" s="15" t="s">
        <v>447</v>
      </c>
      <c r="E460" s="15" t="str">
        <f t="shared" si="7"/>
        <v>RDM RFE Grocery SS</v>
      </c>
      <c r="F460" s="15" t="s">
        <v>448</v>
      </c>
      <c r="G460" s="15"/>
      <c r="H460" s="15" t="s">
        <v>450</v>
      </c>
      <c r="I460" s="15"/>
      <c r="J460" s="15"/>
      <c r="K460" s="15"/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306584396.88999999</v>
      </c>
    </row>
    <row r="461" spans="1:20" x14ac:dyDescent="0.25">
      <c r="A461" s="15" t="s">
        <v>431</v>
      </c>
      <c r="B461" s="15" t="s">
        <v>438</v>
      </c>
      <c r="C461" s="15" t="str">
        <f t="shared" si="6"/>
        <v>HSR RFE</v>
      </c>
      <c r="D461" s="15" t="s">
        <v>447</v>
      </c>
      <c r="E461" s="15" t="str">
        <f t="shared" si="7"/>
        <v>RDM RFE Grocery SS</v>
      </c>
      <c r="F461" s="15" t="s">
        <v>448</v>
      </c>
      <c r="G461" s="15"/>
      <c r="H461" s="15" t="s">
        <v>421</v>
      </c>
      <c r="I461" s="15"/>
      <c r="J461" s="15"/>
      <c r="K461" s="15"/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133764346.09999998</v>
      </c>
    </row>
    <row r="462" spans="1:20" x14ac:dyDescent="0.25">
      <c r="A462" s="15" t="s">
        <v>458</v>
      </c>
      <c r="B462" s="15" t="s">
        <v>438</v>
      </c>
      <c r="C462" s="15" t="str">
        <f t="shared" si="6"/>
        <v>HSR RFE</v>
      </c>
      <c r="D462" s="15" t="s">
        <v>439</v>
      </c>
      <c r="E462" s="15" t="str">
        <f t="shared" si="7"/>
        <v>ASM RFE Grocery+SPT Khabarovsk</v>
      </c>
      <c r="F462" s="15" t="s">
        <v>459</v>
      </c>
      <c r="G462" s="15"/>
      <c r="H462" s="15" t="s">
        <v>442</v>
      </c>
      <c r="I462" s="15">
        <v>1</v>
      </c>
      <c r="J462" s="15"/>
      <c r="K462" s="15" t="s">
        <v>343</v>
      </c>
      <c r="L462" s="15">
        <v>0</v>
      </c>
      <c r="M462" s="15">
        <v>0</v>
      </c>
      <c r="N462" s="15">
        <v>99588543.879999995</v>
      </c>
      <c r="O462" s="15">
        <v>304359569.74999988</v>
      </c>
      <c r="P462" s="15">
        <v>10295973.709999979</v>
      </c>
      <c r="Q462" s="15">
        <v>41179517.719999999</v>
      </c>
      <c r="R462" s="15">
        <v>650000</v>
      </c>
      <c r="S462" s="15">
        <v>0</v>
      </c>
      <c r="T462" s="15">
        <v>0</v>
      </c>
    </row>
    <row r="463" spans="1:20" x14ac:dyDescent="0.25">
      <c r="A463" s="15" t="s">
        <v>458</v>
      </c>
      <c r="B463" s="15" t="s">
        <v>438</v>
      </c>
      <c r="C463" s="15" t="str">
        <f t="shared" si="6"/>
        <v>HSR RFE</v>
      </c>
      <c r="D463" s="15" t="s">
        <v>439</v>
      </c>
      <c r="E463" s="15" t="str">
        <f t="shared" si="7"/>
        <v>ASM RFE Grocery+SPT Khabarovsk</v>
      </c>
      <c r="F463" s="15" t="s">
        <v>459</v>
      </c>
      <c r="G463" s="15"/>
      <c r="H463" s="15" t="s">
        <v>450</v>
      </c>
      <c r="I463" s="15"/>
      <c r="J463" s="15"/>
      <c r="K463" s="15"/>
      <c r="L463" s="15">
        <v>0</v>
      </c>
      <c r="M463" s="15">
        <v>0</v>
      </c>
      <c r="N463" s="15">
        <v>0</v>
      </c>
      <c r="O463" s="15">
        <v>4068172.7399999998</v>
      </c>
      <c r="P463" s="15">
        <v>0</v>
      </c>
      <c r="Q463" s="15">
        <v>0</v>
      </c>
      <c r="R463" s="15">
        <v>0</v>
      </c>
      <c r="S463" s="15">
        <v>0</v>
      </c>
      <c r="T463" s="15">
        <v>0</v>
      </c>
    </row>
    <row r="464" spans="1:20" x14ac:dyDescent="0.25">
      <c r="A464" s="15" t="s">
        <v>458</v>
      </c>
      <c r="B464" s="15" t="s">
        <v>438</v>
      </c>
      <c r="C464" s="15" t="str">
        <f t="shared" si="6"/>
        <v>HSR RFE</v>
      </c>
      <c r="D464" s="15" t="s">
        <v>439</v>
      </c>
      <c r="E464" s="15" t="str">
        <f t="shared" si="7"/>
        <v>ASM RFE Grocery+SPT Khabarovsk</v>
      </c>
      <c r="F464" s="15" t="s">
        <v>459</v>
      </c>
      <c r="G464" s="15"/>
      <c r="H464" s="15" t="s">
        <v>421</v>
      </c>
      <c r="I464" s="15"/>
      <c r="J464" s="15"/>
      <c r="K464" s="15"/>
      <c r="L464" s="15">
        <v>0</v>
      </c>
      <c r="M464" s="15">
        <v>0</v>
      </c>
      <c r="N464" s="15">
        <v>0</v>
      </c>
      <c r="O464" s="15">
        <v>92672.789999999979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</row>
    <row r="465" spans="1:20" x14ac:dyDescent="0.25">
      <c r="A465" s="15" t="s">
        <v>65</v>
      </c>
      <c r="B465" s="15" t="s">
        <v>438</v>
      </c>
      <c r="C465" s="15" t="str">
        <f t="shared" si="6"/>
        <v>HSR RFE</v>
      </c>
      <c r="D465" s="15" t="s">
        <v>453</v>
      </c>
      <c r="E465" s="15" t="str">
        <f t="shared" si="7"/>
        <v>ASM RFE Grocery+SPT Vladivostok</v>
      </c>
      <c r="F465" s="15" t="s">
        <v>455</v>
      </c>
      <c r="G465" s="15"/>
      <c r="H465" s="15" t="s">
        <v>450</v>
      </c>
      <c r="I465" s="15"/>
      <c r="J465" s="15"/>
      <c r="K465" s="15"/>
      <c r="L465" s="15">
        <v>0</v>
      </c>
      <c r="M465" s="15">
        <v>0</v>
      </c>
      <c r="N465" s="15">
        <v>0</v>
      </c>
      <c r="O465" s="15">
        <v>1571412.16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</row>
    <row r="466" spans="1:20" x14ac:dyDescent="0.25">
      <c r="A466" s="15" t="s">
        <v>65</v>
      </c>
      <c r="B466" s="15" t="s">
        <v>438</v>
      </c>
      <c r="C466" s="15" t="str">
        <f t="shared" si="6"/>
        <v>HSR RFE</v>
      </c>
      <c r="D466" s="15" t="s">
        <v>453</v>
      </c>
      <c r="E466" s="15" t="str">
        <f t="shared" si="7"/>
        <v>ASM RFE Grocery+SPT Vladivostok</v>
      </c>
      <c r="F466" s="15" t="s">
        <v>455</v>
      </c>
      <c r="G466" s="15"/>
      <c r="H466" s="15" t="s">
        <v>421</v>
      </c>
      <c r="I466" s="15"/>
      <c r="J466" s="15"/>
      <c r="K466" s="15"/>
      <c r="L466" s="15">
        <v>0</v>
      </c>
      <c r="M466" s="15">
        <v>87513734.649999991</v>
      </c>
      <c r="N466" s="15">
        <v>0</v>
      </c>
      <c r="O466" s="15">
        <v>322766397.86999983</v>
      </c>
      <c r="P466" s="15">
        <v>0</v>
      </c>
      <c r="Q466" s="15">
        <v>107271744.92999998</v>
      </c>
      <c r="R466" s="15">
        <v>0</v>
      </c>
      <c r="S466" s="15">
        <v>0</v>
      </c>
      <c r="T466" s="15">
        <v>0</v>
      </c>
    </row>
    <row r="467" spans="1:20" x14ac:dyDescent="0.25">
      <c r="A467" s="15" t="s">
        <v>74</v>
      </c>
      <c r="B467" s="15" t="s">
        <v>438</v>
      </c>
      <c r="C467" s="15" t="str">
        <f t="shared" si="6"/>
        <v>HSR RFE</v>
      </c>
      <c r="D467" s="15" t="s">
        <v>439</v>
      </c>
      <c r="E467" s="15" t="str">
        <f t="shared" si="7"/>
        <v>ASM RFE Grocery+SPT Khabarovsk</v>
      </c>
      <c r="F467" s="15" t="s">
        <v>440</v>
      </c>
      <c r="G467" s="15"/>
      <c r="H467" s="15" t="s">
        <v>450</v>
      </c>
      <c r="I467" s="15"/>
      <c r="J467" s="15"/>
      <c r="K467" s="15"/>
      <c r="L467" s="15">
        <v>0</v>
      </c>
      <c r="M467" s="15">
        <v>72973257.709999979</v>
      </c>
      <c r="N467" s="15">
        <v>1069912.8400000001</v>
      </c>
      <c r="O467" s="15">
        <v>199166366.24000001</v>
      </c>
      <c r="P467" s="15">
        <v>0</v>
      </c>
      <c r="Q467" s="15">
        <v>151412020.53999996</v>
      </c>
      <c r="R467" s="15">
        <v>0</v>
      </c>
      <c r="S467" s="15">
        <v>0</v>
      </c>
      <c r="T467" s="15">
        <v>0</v>
      </c>
    </row>
    <row r="468" spans="1:20" x14ac:dyDescent="0.25">
      <c r="A468" s="15" t="s">
        <v>74</v>
      </c>
      <c r="B468" s="15" t="s">
        <v>438</v>
      </c>
      <c r="C468" s="15" t="str">
        <f t="shared" si="6"/>
        <v>HSR RFE</v>
      </c>
      <c r="D468" s="15" t="s">
        <v>439</v>
      </c>
      <c r="E468" s="15" t="str">
        <f t="shared" si="7"/>
        <v>ASM RFE Grocery+SPT Khabarovsk</v>
      </c>
      <c r="F468" s="15" t="s">
        <v>440</v>
      </c>
      <c r="G468" s="15"/>
      <c r="H468" s="15" t="s">
        <v>421</v>
      </c>
      <c r="I468" s="15">
        <v>1</v>
      </c>
      <c r="J468" s="15"/>
      <c r="K468" s="15" t="s">
        <v>343</v>
      </c>
      <c r="L468" s="15">
        <v>0</v>
      </c>
      <c r="M468" s="15">
        <v>272667604.43000001</v>
      </c>
      <c r="N468" s="15">
        <v>0</v>
      </c>
      <c r="O468" s="15">
        <v>71722248.539999992</v>
      </c>
      <c r="P468" s="15">
        <v>129002635.05000092</v>
      </c>
      <c r="Q468" s="15">
        <v>0</v>
      </c>
      <c r="R468" s="15">
        <v>19381660.741299998</v>
      </c>
      <c r="S468" s="15">
        <v>0</v>
      </c>
      <c r="T468" s="15">
        <v>0</v>
      </c>
    </row>
    <row r="469" spans="1:20" x14ac:dyDescent="0.25">
      <c r="A469" s="15" t="s">
        <v>74</v>
      </c>
      <c r="B469" s="15" t="s">
        <v>438</v>
      </c>
      <c r="C469" s="15" t="str">
        <f t="shared" si="6"/>
        <v>HSR RFE</v>
      </c>
      <c r="D469" s="15" t="s">
        <v>439</v>
      </c>
      <c r="E469" s="15" t="str">
        <f t="shared" si="7"/>
        <v>ASM RFE Grocery+SPT Khabarovsk</v>
      </c>
      <c r="F469" s="15" t="s">
        <v>451</v>
      </c>
      <c r="G469" s="15"/>
      <c r="H469" s="15" t="s">
        <v>450</v>
      </c>
      <c r="I469" s="15"/>
      <c r="J469" s="15"/>
      <c r="K469" s="15"/>
      <c r="L469" s="15">
        <v>0</v>
      </c>
      <c r="M469" s="15">
        <v>0</v>
      </c>
      <c r="N469" s="15">
        <v>0</v>
      </c>
      <c r="O469" s="15">
        <v>25022.84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</row>
    <row r="470" spans="1:20" x14ac:dyDescent="0.25">
      <c r="A470" s="15" t="s">
        <v>74</v>
      </c>
      <c r="B470" s="15" t="s">
        <v>438</v>
      </c>
      <c r="C470" s="15" t="str">
        <f t="shared" si="6"/>
        <v>HSR RFE</v>
      </c>
      <c r="D470" s="15" t="s">
        <v>439</v>
      </c>
      <c r="E470" s="15" t="str">
        <f t="shared" si="7"/>
        <v>ASM RFE Grocery+SPT Khabarovsk</v>
      </c>
      <c r="F470" s="15" t="s">
        <v>451</v>
      </c>
      <c r="G470" s="15"/>
      <c r="H470" s="15" t="s">
        <v>421</v>
      </c>
      <c r="I470" s="15"/>
      <c r="J470" s="15"/>
      <c r="K470" s="15" t="s">
        <v>343</v>
      </c>
      <c r="L470" s="15">
        <v>0</v>
      </c>
      <c r="M470" s="15">
        <v>180123255.57999998</v>
      </c>
      <c r="N470" s="15">
        <v>0</v>
      </c>
      <c r="O470" s="15">
        <v>105165021.79999992</v>
      </c>
      <c r="P470" s="15">
        <v>149308281.99999991</v>
      </c>
      <c r="Q470" s="15">
        <v>17840405.869999994</v>
      </c>
      <c r="R470" s="15">
        <v>107753024.60259996</v>
      </c>
      <c r="S470" s="15">
        <v>0</v>
      </c>
      <c r="T470" s="15">
        <v>0</v>
      </c>
    </row>
    <row r="471" spans="1:20" x14ac:dyDescent="0.25">
      <c r="A471" s="15" t="s">
        <v>74</v>
      </c>
      <c r="B471" s="15" t="s">
        <v>438</v>
      </c>
      <c r="C471" s="15" t="str">
        <f t="shared" si="6"/>
        <v>HSR RFE</v>
      </c>
      <c r="D471" s="15" t="s">
        <v>447</v>
      </c>
      <c r="E471" s="15" t="str">
        <f t="shared" si="7"/>
        <v>RDM RFE Grocery SS</v>
      </c>
      <c r="F471" s="15" t="s">
        <v>448</v>
      </c>
      <c r="G471" s="15"/>
      <c r="H471" s="15" t="s">
        <v>450</v>
      </c>
      <c r="I471" s="15"/>
      <c r="J471" s="15"/>
      <c r="K471" s="15"/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39536460.18</v>
      </c>
    </row>
    <row r="472" spans="1:20" x14ac:dyDescent="0.25">
      <c r="A472" s="15" t="s">
        <v>74</v>
      </c>
      <c r="B472" s="15" t="s">
        <v>438</v>
      </c>
      <c r="C472" s="15" t="str">
        <f t="shared" si="6"/>
        <v>HSR RFE</v>
      </c>
      <c r="D472" s="15" t="s">
        <v>447</v>
      </c>
      <c r="E472" s="15" t="str">
        <f t="shared" si="7"/>
        <v>RDM RFE Grocery SS</v>
      </c>
      <c r="F472" s="15" t="s">
        <v>448</v>
      </c>
      <c r="G472" s="15"/>
      <c r="H472" s="15" t="s">
        <v>421</v>
      </c>
      <c r="I472" s="15"/>
      <c r="J472" s="15"/>
      <c r="K472" s="15"/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170304571.24000007</v>
      </c>
    </row>
    <row r="473" spans="1:20" x14ac:dyDescent="0.25">
      <c r="A473" s="15" t="s">
        <v>460</v>
      </c>
      <c r="B473" s="15" t="s">
        <v>438</v>
      </c>
      <c r="C473" s="15" t="str">
        <f t="shared" si="6"/>
        <v>HSR RFE</v>
      </c>
      <c r="D473" s="15" t="s">
        <v>439</v>
      </c>
      <c r="E473" s="15" t="str">
        <f t="shared" si="7"/>
        <v>ASM RFE Grocery+SPT Khabarovsk</v>
      </c>
      <c r="F473" s="15" t="s">
        <v>440</v>
      </c>
      <c r="G473" s="15"/>
      <c r="H473" s="15" t="s">
        <v>450</v>
      </c>
      <c r="I473" s="15"/>
      <c r="J473" s="15"/>
      <c r="K473" s="15"/>
      <c r="L473" s="15">
        <v>0</v>
      </c>
      <c r="M473" s="15">
        <v>0</v>
      </c>
      <c r="N473" s="15">
        <v>0</v>
      </c>
      <c r="O473" s="15">
        <v>1908716.2599999998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</row>
    <row r="474" spans="1:20" x14ac:dyDescent="0.25">
      <c r="A474" s="15" t="s">
        <v>460</v>
      </c>
      <c r="B474" s="15" t="s">
        <v>438</v>
      </c>
      <c r="C474" s="15" t="str">
        <f t="shared" si="6"/>
        <v>HSR RFE</v>
      </c>
      <c r="D474" s="15" t="s">
        <v>439</v>
      </c>
      <c r="E474" s="15" t="str">
        <f t="shared" si="7"/>
        <v>ASM RFE Grocery+SPT Khabarovsk</v>
      </c>
      <c r="F474" s="15" t="s">
        <v>440</v>
      </c>
      <c r="G474" s="15"/>
      <c r="H474" s="15" t="s">
        <v>421</v>
      </c>
      <c r="I474" s="15"/>
      <c r="J474" s="15"/>
      <c r="K474" s="15"/>
      <c r="L474" s="15">
        <v>0</v>
      </c>
      <c r="M474" s="15">
        <v>0</v>
      </c>
      <c r="N474" s="15">
        <v>0</v>
      </c>
      <c r="O474" s="15">
        <v>216311.05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</row>
    <row r="475" spans="1:20" x14ac:dyDescent="0.25">
      <c r="A475" s="15" t="s">
        <v>81</v>
      </c>
      <c r="B475" s="15" t="s">
        <v>438</v>
      </c>
      <c r="C475" s="15" t="str">
        <f t="shared" si="6"/>
        <v>HSR RFE</v>
      </c>
      <c r="D475" s="15" t="s">
        <v>453</v>
      </c>
      <c r="E475" s="15" t="str">
        <f t="shared" si="7"/>
        <v>ASM RFE Grocery+SPT Vladivostok</v>
      </c>
      <c r="F475" s="15" t="s">
        <v>461</v>
      </c>
      <c r="G475" s="15"/>
      <c r="H475" s="15"/>
      <c r="I475" s="15"/>
      <c r="J475" s="15"/>
      <c r="K475" s="15"/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13117256.510000009</v>
      </c>
      <c r="T475" s="15">
        <v>0</v>
      </c>
    </row>
    <row r="476" spans="1:20" x14ac:dyDescent="0.25">
      <c r="A476" s="15" t="s">
        <v>87</v>
      </c>
      <c r="B476" s="15" t="s">
        <v>438</v>
      </c>
      <c r="C476" s="15" t="str">
        <f t="shared" si="6"/>
        <v>HSR RFE</v>
      </c>
      <c r="D476" s="15" t="s">
        <v>453</v>
      </c>
      <c r="E476" s="15" t="str">
        <f t="shared" si="7"/>
        <v>ASM RFE Grocery+SPT Vladivostok</v>
      </c>
      <c r="F476" s="15" t="s">
        <v>461</v>
      </c>
      <c r="G476" s="15"/>
      <c r="H476" s="15"/>
      <c r="I476" s="15"/>
      <c r="J476" s="15"/>
      <c r="K476" s="15"/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44187465.560000092</v>
      </c>
      <c r="T476" s="15">
        <v>0</v>
      </c>
    </row>
    <row r="477" spans="1:20" x14ac:dyDescent="0.25">
      <c r="A477" s="15" t="s">
        <v>449</v>
      </c>
      <c r="B477" s="15" t="s">
        <v>438</v>
      </c>
      <c r="C477" s="15" t="str">
        <f t="shared" si="6"/>
        <v>HSR RFE</v>
      </c>
      <c r="D477" s="15" t="s">
        <v>453</v>
      </c>
      <c r="E477" s="15" t="str">
        <f t="shared" si="7"/>
        <v>ASM RFE Grocery+SPT Vladivostok</v>
      </c>
      <c r="F477" s="15" t="s">
        <v>461</v>
      </c>
      <c r="G477" s="15"/>
      <c r="H477" s="15"/>
      <c r="I477" s="15"/>
      <c r="J477" s="15"/>
      <c r="K477" s="15"/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12714006.299999991</v>
      </c>
      <c r="T477" s="15">
        <v>0</v>
      </c>
    </row>
    <row r="478" spans="1:20" x14ac:dyDescent="0.25">
      <c r="A478" s="15" t="s">
        <v>425</v>
      </c>
      <c r="B478" s="15" t="s">
        <v>438</v>
      </c>
      <c r="C478" s="15" t="str">
        <f t="shared" si="6"/>
        <v>HSR RFE</v>
      </c>
      <c r="D478" s="15" t="s">
        <v>453</v>
      </c>
      <c r="E478" s="15" t="str">
        <f t="shared" si="7"/>
        <v>ASM RFE Grocery+SPT Vladivostok</v>
      </c>
      <c r="F478" s="15" t="s">
        <v>461</v>
      </c>
      <c r="G478" s="15"/>
      <c r="H478" s="15"/>
      <c r="I478" s="15"/>
      <c r="J478" s="15"/>
      <c r="K478" s="15"/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121867232.13000081</v>
      </c>
      <c r="T478" s="15">
        <v>0</v>
      </c>
    </row>
    <row r="479" spans="1:20" x14ac:dyDescent="0.25">
      <c r="A479" s="15" t="s">
        <v>90</v>
      </c>
      <c r="B479" s="15" t="s">
        <v>438</v>
      </c>
      <c r="C479" s="15" t="str">
        <f t="shared" si="6"/>
        <v>HSR RFE</v>
      </c>
      <c r="D479" s="15" t="s">
        <v>453</v>
      </c>
      <c r="E479" s="15" t="str">
        <f t="shared" si="7"/>
        <v>ASM RFE Grocery+SPT Vladivostok</v>
      </c>
      <c r="F479" s="15" t="s">
        <v>461</v>
      </c>
      <c r="G479" s="15"/>
      <c r="H479" s="15"/>
      <c r="I479" s="15"/>
      <c r="J479" s="15"/>
      <c r="K479" s="15"/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304655540.56999564</v>
      </c>
      <c r="T479" s="15">
        <v>0</v>
      </c>
    </row>
    <row r="480" spans="1:20" x14ac:dyDescent="0.25">
      <c r="A480" s="15" t="s">
        <v>431</v>
      </c>
      <c r="B480" s="15" t="s">
        <v>438</v>
      </c>
      <c r="C480" s="15" t="str">
        <f t="shared" si="6"/>
        <v>HSR RFE</v>
      </c>
      <c r="D480" s="15" t="s">
        <v>453</v>
      </c>
      <c r="E480" s="15" t="str">
        <f t="shared" si="7"/>
        <v>ASM RFE Grocery+SPT Vladivostok</v>
      </c>
      <c r="F480" s="15" t="s">
        <v>461</v>
      </c>
      <c r="G480" s="15"/>
      <c r="H480" s="15"/>
      <c r="I480" s="15"/>
      <c r="J480" s="15"/>
      <c r="K480" s="15"/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201113898.94999927</v>
      </c>
      <c r="T480" s="15">
        <v>0</v>
      </c>
    </row>
    <row r="481" spans="1:20" x14ac:dyDescent="0.25">
      <c r="A481" s="15" t="s">
        <v>458</v>
      </c>
      <c r="B481" s="15" t="s">
        <v>438</v>
      </c>
      <c r="C481" s="15" t="str">
        <f t="shared" si="6"/>
        <v>HSR RFE</v>
      </c>
      <c r="D481" s="15" t="s">
        <v>453</v>
      </c>
      <c r="E481" s="15" t="str">
        <f t="shared" si="7"/>
        <v>ASM RFE Grocery+SPT Vladivostok</v>
      </c>
      <c r="F481" s="15" t="s">
        <v>461</v>
      </c>
      <c r="G481" s="15"/>
      <c r="H481" s="15"/>
      <c r="I481" s="15"/>
      <c r="J481" s="15"/>
      <c r="K481" s="15"/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10295973.709999979</v>
      </c>
      <c r="T481" s="15">
        <v>0</v>
      </c>
    </row>
    <row r="482" spans="1:20" x14ac:dyDescent="0.25">
      <c r="A482" s="15" t="s">
        <v>74</v>
      </c>
      <c r="B482" s="15" t="s">
        <v>438</v>
      </c>
      <c r="C482" s="15" t="str">
        <f t="shared" si="6"/>
        <v>HSR RFE</v>
      </c>
      <c r="D482" s="15" t="s">
        <v>453</v>
      </c>
      <c r="E482" s="15" t="str">
        <f t="shared" si="7"/>
        <v>ASM RFE Grocery+SPT Vladivostok</v>
      </c>
      <c r="F482" s="15" t="s">
        <v>461</v>
      </c>
      <c r="G482" s="15"/>
      <c r="H482" s="15"/>
      <c r="I482" s="15"/>
      <c r="J482" s="15"/>
      <c r="K482" s="15"/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278310917.04999495</v>
      </c>
      <c r="T482" s="15">
        <v>0</v>
      </c>
    </row>
    <row r="483" spans="1:20" x14ac:dyDescent="0.25">
      <c r="A483" s="15" t="s">
        <v>81</v>
      </c>
      <c r="B483" s="15" t="s">
        <v>438</v>
      </c>
      <c r="C483" s="15" t="str">
        <f t="shared" si="6"/>
        <v>HSR RFE</v>
      </c>
      <c r="D483" s="15" t="s">
        <v>462</v>
      </c>
      <c r="E483" s="15" t="str">
        <f t="shared" si="7"/>
        <v>SPT Manager RFE</v>
      </c>
      <c r="F483" s="15" t="s">
        <v>463</v>
      </c>
      <c r="G483" s="15"/>
      <c r="H483" s="15" t="s">
        <v>421</v>
      </c>
      <c r="I483" s="15"/>
      <c r="J483" s="15"/>
      <c r="K483" s="15"/>
      <c r="L483" s="15">
        <v>27361099.270000003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37125393.990000002</v>
      </c>
    </row>
    <row r="484" spans="1:20" x14ac:dyDescent="0.25">
      <c r="A484" s="15" t="s">
        <v>87</v>
      </c>
      <c r="B484" s="15" t="s">
        <v>438</v>
      </c>
      <c r="C484" s="15" t="str">
        <f t="shared" si="6"/>
        <v>HSR RFE</v>
      </c>
      <c r="D484" s="15" t="s">
        <v>462</v>
      </c>
      <c r="E484" s="15" t="str">
        <f t="shared" si="7"/>
        <v>SPT Manager RFE</v>
      </c>
      <c r="F484" s="15" t="s">
        <v>463</v>
      </c>
      <c r="G484" s="15"/>
      <c r="H484" s="15" t="s">
        <v>424</v>
      </c>
      <c r="I484" s="15"/>
      <c r="J484" s="15"/>
      <c r="K484" s="15"/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24916398.850000013</v>
      </c>
    </row>
    <row r="485" spans="1:20" x14ac:dyDescent="0.25">
      <c r="A485" s="15" t="s">
        <v>449</v>
      </c>
      <c r="B485" s="15" t="s">
        <v>438</v>
      </c>
      <c r="C485" s="15" t="str">
        <f t="shared" si="6"/>
        <v>HSR RFE</v>
      </c>
      <c r="D485" s="15" t="s">
        <v>462</v>
      </c>
      <c r="E485" s="15" t="str">
        <f t="shared" si="7"/>
        <v>SPT Manager RFE</v>
      </c>
      <c r="F485" s="15" t="s">
        <v>463</v>
      </c>
      <c r="G485" s="15"/>
      <c r="H485" s="15" t="s">
        <v>421</v>
      </c>
      <c r="I485" s="15"/>
      <c r="J485" s="15"/>
      <c r="K485" s="15"/>
      <c r="L485" s="15">
        <v>19653666.590000004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</row>
    <row r="486" spans="1:20" x14ac:dyDescent="0.25">
      <c r="A486" s="15" t="s">
        <v>425</v>
      </c>
      <c r="B486" s="15" t="s">
        <v>438</v>
      </c>
      <c r="C486" s="15" t="str">
        <f t="shared" si="6"/>
        <v>HSR RFE</v>
      </c>
      <c r="D486" s="15" t="s">
        <v>462</v>
      </c>
      <c r="E486" s="15" t="str">
        <f t="shared" si="7"/>
        <v>SPT Manager RFE</v>
      </c>
      <c r="F486" s="15" t="s">
        <v>463</v>
      </c>
      <c r="G486" s="15"/>
      <c r="H486" s="15" t="s">
        <v>424</v>
      </c>
      <c r="I486" s="15"/>
      <c r="J486" s="15"/>
      <c r="K486" s="15"/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16294318.680000011</v>
      </c>
    </row>
    <row r="487" spans="1:20" x14ac:dyDescent="0.25">
      <c r="A487" s="15" t="s">
        <v>90</v>
      </c>
      <c r="B487" s="15" t="s">
        <v>438</v>
      </c>
      <c r="C487" s="15" t="str">
        <f t="shared" si="6"/>
        <v>HSR RFE</v>
      </c>
      <c r="D487" s="15" t="s">
        <v>462</v>
      </c>
      <c r="E487" s="15" t="str">
        <f t="shared" si="7"/>
        <v>SPT Manager RFE</v>
      </c>
      <c r="F487" s="15" t="s">
        <v>463</v>
      </c>
      <c r="G487" s="15"/>
      <c r="H487" s="15" t="s">
        <v>424</v>
      </c>
      <c r="I487" s="15"/>
      <c r="J487" s="15"/>
      <c r="K487" s="15"/>
      <c r="L487" s="15">
        <v>18110606.940000001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115017032.07000068</v>
      </c>
    </row>
    <row r="488" spans="1:20" x14ac:dyDescent="0.25">
      <c r="A488" s="15" t="s">
        <v>427</v>
      </c>
      <c r="B488" s="15" t="s">
        <v>438</v>
      </c>
      <c r="C488" s="15" t="str">
        <f t="shared" si="6"/>
        <v>HSR RFE</v>
      </c>
      <c r="D488" s="15" t="s">
        <v>462</v>
      </c>
      <c r="E488" s="15" t="str">
        <f t="shared" si="7"/>
        <v>SPT Manager RFE</v>
      </c>
      <c r="F488" s="15" t="s">
        <v>463</v>
      </c>
      <c r="G488" s="15"/>
      <c r="H488" s="15" t="s">
        <v>421</v>
      </c>
      <c r="I488" s="15"/>
      <c r="J488" s="15"/>
      <c r="K488" s="15"/>
      <c r="L488" s="15">
        <v>51890853.249999955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</row>
    <row r="489" spans="1:20" x14ac:dyDescent="0.25">
      <c r="A489" s="15" t="s">
        <v>66</v>
      </c>
      <c r="B489" s="15" t="s">
        <v>438</v>
      </c>
      <c r="C489" s="15" t="str">
        <f t="shared" si="6"/>
        <v>HSR RFE</v>
      </c>
      <c r="D489" s="15" t="s">
        <v>462</v>
      </c>
      <c r="E489" s="15" t="str">
        <f t="shared" si="7"/>
        <v>SPT Manager RFE</v>
      </c>
      <c r="F489" s="15" t="s">
        <v>463</v>
      </c>
      <c r="G489" s="15"/>
      <c r="H489" s="15" t="s">
        <v>421</v>
      </c>
      <c r="I489" s="15"/>
      <c r="J489" s="15"/>
      <c r="K489" s="15"/>
      <c r="L489" s="15">
        <v>18132123.190000005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</row>
    <row r="490" spans="1:20" x14ac:dyDescent="0.25">
      <c r="A490" s="15" t="s">
        <v>431</v>
      </c>
      <c r="B490" s="15" t="s">
        <v>438</v>
      </c>
      <c r="C490" s="15" t="str">
        <f t="shared" si="6"/>
        <v>HSR RFE</v>
      </c>
      <c r="D490" s="15" t="s">
        <v>462</v>
      </c>
      <c r="E490" s="15" t="str">
        <f t="shared" si="7"/>
        <v>SPT Manager RFE</v>
      </c>
      <c r="F490" s="15" t="s">
        <v>463</v>
      </c>
      <c r="G490" s="15"/>
      <c r="H490" s="15" t="s">
        <v>450</v>
      </c>
      <c r="I490" s="15"/>
      <c r="J490" s="15">
        <v>1</v>
      </c>
      <c r="K490" s="15"/>
      <c r="L490" s="15">
        <v>411669864.01999992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88027646.390002668</v>
      </c>
    </row>
    <row r="491" spans="1:20" x14ac:dyDescent="0.25">
      <c r="A491" s="15" t="s">
        <v>458</v>
      </c>
      <c r="B491" s="15" t="s">
        <v>438</v>
      </c>
      <c r="C491" s="15" t="str">
        <f t="shared" si="6"/>
        <v>HSR RFE</v>
      </c>
      <c r="D491" s="15" t="s">
        <v>462</v>
      </c>
      <c r="E491" s="15" t="str">
        <f t="shared" si="7"/>
        <v>SPT Manager RFE</v>
      </c>
      <c r="F491" s="15" t="s">
        <v>463</v>
      </c>
      <c r="G491" s="15"/>
      <c r="H491" s="15" t="s">
        <v>442</v>
      </c>
      <c r="I491" s="15"/>
      <c r="J491" s="15"/>
      <c r="K491" s="15"/>
      <c r="L491" s="15">
        <v>41179517.719999976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</row>
    <row r="492" spans="1:20" x14ac:dyDescent="0.25">
      <c r="A492" s="15" t="s">
        <v>65</v>
      </c>
      <c r="B492" s="15" t="s">
        <v>438</v>
      </c>
      <c r="C492" s="15" t="str">
        <f t="shared" si="6"/>
        <v>HSR RFE</v>
      </c>
      <c r="D492" s="15" t="s">
        <v>462</v>
      </c>
      <c r="E492" s="15" t="str">
        <f t="shared" si="7"/>
        <v>SPT Manager RFE</v>
      </c>
      <c r="F492" s="15" t="s">
        <v>463</v>
      </c>
      <c r="G492" s="15"/>
      <c r="H492" s="15" t="s">
        <v>421</v>
      </c>
      <c r="I492" s="15"/>
      <c r="J492" s="15"/>
      <c r="K492" s="15"/>
      <c r="L492" s="15">
        <v>107271744.92999998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57027462.479999512</v>
      </c>
    </row>
    <row r="493" spans="1:20" x14ac:dyDescent="0.25">
      <c r="A493" s="15" t="s">
        <v>74</v>
      </c>
      <c r="B493" s="15" t="s">
        <v>438</v>
      </c>
      <c r="C493" s="15" t="str">
        <f t="shared" si="6"/>
        <v>HSR RFE</v>
      </c>
      <c r="D493" s="15" t="s">
        <v>462</v>
      </c>
      <c r="E493" s="15" t="str">
        <f t="shared" si="7"/>
        <v>SPT Manager RFE</v>
      </c>
      <c r="F493" s="15" t="s">
        <v>463</v>
      </c>
      <c r="G493" s="15"/>
      <c r="H493" s="15" t="s">
        <v>450</v>
      </c>
      <c r="I493" s="15"/>
      <c r="J493" s="15"/>
      <c r="K493" s="15"/>
      <c r="L493" s="15">
        <v>151412020.53999996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33436797.529999971</v>
      </c>
    </row>
    <row r="494" spans="1:20" x14ac:dyDescent="0.25">
      <c r="A494" s="15" t="s">
        <v>74</v>
      </c>
      <c r="B494" s="15" t="s">
        <v>438</v>
      </c>
      <c r="C494" s="15" t="str">
        <f t="shared" si="6"/>
        <v>HSR RFE</v>
      </c>
      <c r="D494" s="15" t="s">
        <v>462</v>
      </c>
      <c r="E494" s="15" t="str">
        <f t="shared" si="7"/>
        <v>SPT Manager RFE</v>
      </c>
      <c r="F494" s="15" t="s">
        <v>463</v>
      </c>
      <c r="G494" s="15"/>
      <c r="H494" s="15" t="s">
        <v>421</v>
      </c>
      <c r="I494" s="15"/>
      <c r="J494" s="15"/>
      <c r="K494" s="15"/>
      <c r="L494" s="15">
        <v>17840405.869999994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56020149.88000001</v>
      </c>
    </row>
    <row r="495" spans="1:20" x14ac:dyDescent="0.25">
      <c r="A495" s="15" t="s">
        <v>420</v>
      </c>
      <c r="B495" s="15" t="s">
        <v>464</v>
      </c>
      <c r="C495" s="15" t="str">
        <f t="shared" si="6"/>
        <v>HSR Siberia</v>
      </c>
      <c r="D495" s="15" t="s">
        <v>465</v>
      </c>
      <c r="E495" s="15" t="str">
        <f t="shared" si="7"/>
        <v>TDM Siberia</v>
      </c>
      <c r="F495" s="15" t="s">
        <v>466</v>
      </c>
      <c r="G495" s="15"/>
      <c r="H495" s="15"/>
      <c r="I495" s="15"/>
      <c r="J495" s="15"/>
      <c r="K495" s="15" t="s">
        <v>343</v>
      </c>
      <c r="L495" s="15">
        <v>0</v>
      </c>
      <c r="M495" s="15">
        <v>0</v>
      </c>
      <c r="N495" s="15">
        <v>0</v>
      </c>
      <c r="O495" s="15">
        <v>0</v>
      </c>
      <c r="P495" s="15">
        <v>26878553.780000001</v>
      </c>
      <c r="Q495" s="15">
        <v>0</v>
      </c>
      <c r="R495" s="15">
        <v>16195212.219508626</v>
      </c>
      <c r="S495" s="15">
        <v>0</v>
      </c>
      <c r="T495" s="15"/>
    </row>
    <row r="496" spans="1:20" x14ac:dyDescent="0.25">
      <c r="A496" s="15" t="s">
        <v>420</v>
      </c>
      <c r="B496" s="15" t="s">
        <v>464</v>
      </c>
      <c r="C496" s="15" t="str">
        <f t="shared" si="6"/>
        <v>HSR Siberia</v>
      </c>
      <c r="D496" s="15" t="s">
        <v>465</v>
      </c>
      <c r="E496" s="15" t="str">
        <f t="shared" si="7"/>
        <v>TDM Siberia</v>
      </c>
      <c r="F496" s="15" t="s">
        <v>467</v>
      </c>
      <c r="G496" s="15"/>
      <c r="H496" s="15"/>
      <c r="I496" s="15"/>
      <c r="J496" s="15"/>
      <c r="K496" s="15" t="s">
        <v>343</v>
      </c>
      <c r="L496" s="15">
        <v>0</v>
      </c>
      <c r="M496" s="15">
        <v>0</v>
      </c>
      <c r="N496" s="15">
        <v>0</v>
      </c>
      <c r="O496" s="15">
        <v>0</v>
      </c>
      <c r="P496" s="15">
        <v>23322433.139999986</v>
      </c>
      <c r="Q496" s="15">
        <v>0</v>
      </c>
      <c r="R496" s="15">
        <v>13664666.418945458</v>
      </c>
      <c r="S496" s="15">
        <v>0</v>
      </c>
      <c r="T496" s="15"/>
    </row>
    <row r="497" spans="1:20" x14ac:dyDescent="0.25">
      <c r="A497" s="15" t="s">
        <v>383</v>
      </c>
      <c r="B497" s="15" t="s">
        <v>464</v>
      </c>
      <c r="C497" s="15" t="str">
        <f t="shared" si="6"/>
        <v>HSR Siberia</v>
      </c>
      <c r="D497" s="15" t="s">
        <v>465</v>
      </c>
      <c r="E497" s="15" t="str">
        <f t="shared" si="7"/>
        <v>TDM Siberia</v>
      </c>
      <c r="F497" s="15" t="s">
        <v>468</v>
      </c>
      <c r="G497" s="15"/>
      <c r="H497" s="15"/>
      <c r="I497" s="15"/>
      <c r="J497" s="15"/>
      <c r="K497" s="15" t="s">
        <v>343</v>
      </c>
      <c r="L497" s="15">
        <v>0</v>
      </c>
      <c r="M497" s="15">
        <v>0</v>
      </c>
      <c r="N497" s="15">
        <v>0</v>
      </c>
      <c r="O497" s="15">
        <v>0</v>
      </c>
      <c r="P497" s="15">
        <v>332413436.29000008</v>
      </c>
      <c r="Q497" s="15">
        <v>0</v>
      </c>
      <c r="R497" s="15">
        <v>174616680.01398039</v>
      </c>
      <c r="S497" s="15">
        <v>0</v>
      </c>
      <c r="T497" s="15"/>
    </row>
    <row r="498" spans="1:20" x14ac:dyDescent="0.25">
      <c r="A498" s="15" t="s">
        <v>383</v>
      </c>
      <c r="B498" s="15" t="s">
        <v>464</v>
      </c>
      <c r="C498" s="15" t="str">
        <f t="shared" si="6"/>
        <v>HSR Siberia</v>
      </c>
      <c r="D498" s="15" t="s">
        <v>465</v>
      </c>
      <c r="E498" s="15" t="str">
        <f t="shared" si="7"/>
        <v>TDM Siberia</v>
      </c>
      <c r="F498" s="15" t="s">
        <v>466</v>
      </c>
      <c r="G498" s="15"/>
      <c r="H498" s="15"/>
      <c r="I498" s="15"/>
      <c r="J498" s="15"/>
      <c r="K498" s="15" t="s">
        <v>343</v>
      </c>
      <c r="L498" s="15">
        <v>0</v>
      </c>
      <c r="M498" s="15">
        <v>0</v>
      </c>
      <c r="N498" s="15">
        <v>0</v>
      </c>
      <c r="O498" s="15">
        <v>0</v>
      </c>
      <c r="P498" s="15">
        <v>240333341.74999815</v>
      </c>
      <c r="Q498" s="15">
        <v>0</v>
      </c>
      <c r="R498" s="15">
        <v>144155161.36722988</v>
      </c>
      <c r="S498" s="15">
        <v>0</v>
      </c>
      <c r="T498" s="15"/>
    </row>
    <row r="499" spans="1:20" x14ac:dyDescent="0.25">
      <c r="A499" s="15" t="s">
        <v>383</v>
      </c>
      <c r="B499" s="15" t="s">
        <v>464</v>
      </c>
      <c r="C499" s="15" t="str">
        <f t="shared" si="6"/>
        <v>HSR Siberia</v>
      </c>
      <c r="D499" s="15" t="s">
        <v>465</v>
      </c>
      <c r="E499" s="15" t="str">
        <f t="shared" si="7"/>
        <v>TDM Siberia</v>
      </c>
      <c r="F499" s="15" t="s">
        <v>467</v>
      </c>
      <c r="G499" s="15"/>
      <c r="H499" s="15"/>
      <c r="I499" s="15"/>
      <c r="J499" s="15"/>
      <c r="K499" s="15" t="s">
        <v>343</v>
      </c>
      <c r="L499" s="15">
        <v>0</v>
      </c>
      <c r="M499" s="15">
        <v>0</v>
      </c>
      <c r="N499" s="15">
        <v>0</v>
      </c>
      <c r="O499" s="15">
        <v>0</v>
      </c>
      <c r="P499" s="15">
        <v>397528163.22705197</v>
      </c>
      <c r="Q499" s="15">
        <v>0</v>
      </c>
      <c r="R499" s="15">
        <v>214707919.45257866</v>
      </c>
      <c r="S499" s="15">
        <v>0</v>
      </c>
      <c r="T499" s="15"/>
    </row>
    <row r="500" spans="1:20" x14ac:dyDescent="0.25">
      <c r="A500" s="15" t="s">
        <v>344</v>
      </c>
      <c r="B500" s="15" t="s">
        <v>464</v>
      </c>
      <c r="C500" s="15" t="str">
        <f t="shared" si="6"/>
        <v>HSR Siberia</v>
      </c>
      <c r="D500" s="15" t="s">
        <v>465</v>
      </c>
      <c r="E500" s="15" t="str">
        <f t="shared" si="7"/>
        <v>TDM Siberia</v>
      </c>
      <c r="F500" s="15" t="s">
        <v>468</v>
      </c>
      <c r="G500" s="15"/>
      <c r="H500" s="15"/>
      <c r="I500" s="15"/>
      <c r="J500" s="15"/>
      <c r="K500" s="15" t="s">
        <v>343</v>
      </c>
      <c r="L500" s="15">
        <v>0</v>
      </c>
      <c r="M500" s="15">
        <v>0</v>
      </c>
      <c r="N500" s="15">
        <v>0</v>
      </c>
      <c r="O500" s="15">
        <v>0</v>
      </c>
      <c r="P500" s="15">
        <v>304780849.35999978</v>
      </c>
      <c r="Q500" s="15">
        <v>0</v>
      </c>
      <c r="R500" s="15">
        <v>256886599.36924022</v>
      </c>
      <c r="S500" s="15">
        <v>0</v>
      </c>
      <c r="T500" s="15"/>
    </row>
    <row r="501" spans="1:20" x14ac:dyDescent="0.25">
      <c r="A501" s="15" t="s">
        <v>344</v>
      </c>
      <c r="B501" s="15" t="s">
        <v>464</v>
      </c>
      <c r="C501" s="15" t="str">
        <f t="shared" si="6"/>
        <v>HSR Siberia</v>
      </c>
      <c r="D501" s="15" t="s">
        <v>465</v>
      </c>
      <c r="E501" s="15" t="str">
        <f t="shared" si="7"/>
        <v>TDM Siberia</v>
      </c>
      <c r="F501" s="15" t="s">
        <v>466</v>
      </c>
      <c r="G501" s="15"/>
      <c r="H501" s="15"/>
      <c r="I501" s="15"/>
      <c r="J501" s="15"/>
      <c r="K501" s="15" t="s">
        <v>343</v>
      </c>
      <c r="L501" s="15">
        <v>0</v>
      </c>
      <c r="M501" s="15">
        <v>0</v>
      </c>
      <c r="N501" s="15">
        <v>0</v>
      </c>
      <c r="O501" s="15">
        <v>0</v>
      </c>
      <c r="P501" s="15">
        <v>495952707.25997794</v>
      </c>
      <c r="Q501" s="15">
        <v>0</v>
      </c>
      <c r="R501" s="15">
        <v>364637232.31962079</v>
      </c>
      <c r="S501" s="15">
        <v>0</v>
      </c>
      <c r="T501" s="15"/>
    </row>
    <row r="502" spans="1:20" x14ac:dyDescent="0.25">
      <c r="A502" s="15" t="s">
        <v>344</v>
      </c>
      <c r="B502" s="15" t="s">
        <v>464</v>
      </c>
      <c r="C502" s="15" t="str">
        <f t="shared" si="6"/>
        <v>HSR Siberia</v>
      </c>
      <c r="D502" s="15" t="s">
        <v>465</v>
      </c>
      <c r="E502" s="15" t="str">
        <f t="shared" si="7"/>
        <v>TDM Siberia</v>
      </c>
      <c r="F502" s="15" t="s">
        <v>467</v>
      </c>
      <c r="G502" s="15"/>
      <c r="H502" s="15"/>
      <c r="I502" s="15"/>
      <c r="J502" s="15"/>
      <c r="K502" s="15" t="s">
        <v>343</v>
      </c>
      <c r="L502" s="15">
        <v>0</v>
      </c>
      <c r="M502" s="15">
        <v>0</v>
      </c>
      <c r="N502" s="15">
        <v>0</v>
      </c>
      <c r="O502" s="15">
        <v>0</v>
      </c>
      <c r="P502" s="15">
        <v>756592001.80682433</v>
      </c>
      <c r="Q502" s="15">
        <v>0</v>
      </c>
      <c r="R502" s="15">
        <v>439291285.33328962</v>
      </c>
      <c r="S502" s="15">
        <v>0</v>
      </c>
      <c r="T502" s="15"/>
    </row>
    <row r="503" spans="1:20" x14ac:dyDescent="0.25">
      <c r="A503" s="15" t="s">
        <v>135</v>
      </c>
      <c r="B503" s="15" t="s">
        <v>464</v>
      </c>
      <c r="C503" s="15" t="str">
        <f t="shared" si="6"/>
        <v>HSR Siberia</v>
      </c>
      <c r="D503" s="15" t="s">
        <v>465</v>
      </c>
      <c r="E503" s="15" t="str">
        <f t="shared" si="7"/>
        <v>TDM Siberia</v>
      </c>
      <c r="F503" s="15" t="s">
        <v>468</v>
      </c>
      <c r="G503" s="15"/>
      <c r="H503" s="15"/>
      <c r="I503" s="15"/>
      <c r="J503" s="15"/>
      <c r="K503" s="15" t="s">
        <v>343</v>
      </c>
      <c r="L503" s="15">
        <v>0</v>
      </c>
      <c r="M503" s="15">
        <v>0</v>
      </c>
      <c r="N503" s="15">
        <v>0</v>
      </c>
      <c r="O503" s="15">
        <v>0</v>
      </c>
      <c r="P503" s="15">
        <v>495583291.13000023</v>
      </c>
      <c r="Q503" s="15">
        <v>0</v>
      </c>
      <c r="R503" s="15">
        <v>376762477.31162196</v>
      </c>
      <c r="S503" s="15">
        <v>0</v>
      </c>
      <c r="T503" s="15"/>
    </row>
    <row r="504" spans="1:20" x14ac:dyDescent="0.25">
      <c r="A504" s="15" t="s">
        <v>135</v>
      </c>
      <c r="B504" s="15" t="s">
        <v>464</v>
      </c>
      <c r="C504" s="15" t="str">
        <f t="shared" si="6"/>
        <v>HSR Siberia</v>
      </c>
      <c r="D504" s="15" t="s">
        <v>465</v>
      </c>
      <c r="E504" s="15" t="str">
        <f t="shared" si="7"/>
        <v>TDM Siberia</v>
      </c>
      <c r="F504" s="15" t="s">
        <v>466</v>
      </c>
      <c r="G504" s="15"/>
      <c r="H504" s="15"/>
      <c r="I504" s="15"/>
      <c r="J504" s="15"/>
      <c r="K504" s="15" t="s">
        <v>343</v>
      </c>
      <c r="L504" s="15">
        <v>0</v>
      </c>
      <c r="M504" s="15">
        <v>0</v>
      </c>
      <c r="N504" s="15">
        <v>0</v>
      </c>
      <c r="O504" s="15">
        <v>0</v>
      </c>
      <c r="P504" s="15">
        <v>412164553.66998988</v>
      </c>
      <c r="Q504" s="15">
        <v>0</v>
      </c>
      <c r="R504" s="15">
        <v>162136070.93284538</v>
      </c>
      <c r="S504" s="15">
        <v>0</v>
      </c>
      <c r="T504" s="15"/>
    </row>
    <row r="505" spans="1:20" x14ac:dyDescent="0.25">
      <c r="A505" s="15" t="s">
        <v>135</v>
      </c>
      <c r="B505" s="15" t="s">
        <v>464</v>
      </c>
      <c r="C505" s="15" t="str">
        <f t="shared" si="6"/>
        <v>HSR Siberia</v>
      </c>
      <c r="D505" s="15" t="s">
        <v>465</v>
      </c>
      <c r="E505" s="15" t="str">
        <f t="shared" si="7"/>
        <v>TDM Siberia</v>
      </c>
      <c r="F505" s="15" t="s">
        <v>467</v>
      </c>
      <c r="G505" s="15"/>
      <c r="H505" s="15"/>
      <c r="I505" s="15"/>
      <c r="J505" s="15"/>
      <c r="K505" s="15" t="s">
        <v>343</v>
      </c>
      <c r="L505" s="15">
        <v>0</v>
      </c>
      <c r="M505" s="15">
        <v>0</v>
      </c>
      <c r="N505" s="15">
        <v>0</v>
      </c>
      <c r="O505" s="15">
        <v>0</v>
      </c>
      <c r="P505" s="15">
        <v>345434227.77508652</v>
      </c>
      <c r="Q505" s="15">
        <v>0</v>
      </c>
      <c r="R505" s="15">
        <v>109997293.42112722</v>
      </c>
      <c r="S505" s="15">
        <v>0</v>
      </c>
      <c r="T505" s="15"/>
    </row>
    <row r="506" spans="1:20" x14ac:dyDescent="0.25">
      <c r="A506" s="15" t="s">
        <v>127</v>
      </c>
      <c r="B506" s="15" t="s">
        <v>464</v>
      </c>
      <c r="C506" s="15" t="str">
        <f t="shared" si="6"/>
        <v>HSR Siberia</v>
      </c>
      <c r="D506" s="15" t="s">
        <v>465</v>
      </c>
      <c r="E506" s="15" t="str">
        <f t="shared" si="7"/>
        <v>TDM Siberia</v>
      </c>
      <c r="F506" s="15" t="s">
        <v>468</v>
      </c>
      <c r="G506" s="15"/>
      <c r="H506" s="15"/>
      <c r="I506" s="15"/>
      <c r="J506" s="15"/>
      <c r="K506" s="15" t="s">
        <v>343</v>
      </c>
      <c r="L506" s="15">
        <v>0</v>
      </c>
      <c r="M506" s="15">
        <v>0</v>
      </c>
      <c r="N506" s="15">
        <v>0</v>
      </c>
      <c r="O506" s="15">
        <v>0</v>
      </c>
      <c r="P506" s="15">
        <v>432450294.59999979</v>
      </c>
      <c r="Q506" s="15">
        <v>0</v>
      </c>
      <c r="R506" s="15">
        <v>399355093.71045363</v>
      </c>
      <c r="S506" s="15">
        <v>0</v>
      </c>
      <c r="T506" s="15"/>
    </row>
    <row r="507" spans="1:20" x14ac:dyDescent="0.25">
      <c r="A507" s="15" t="s">
        <v>127</v>
      </c>
      <c r="B507" s="15" t="s">
        <v>464</v>
      </c>
      <c r="C507" s="15" t="str">
        <f t="shared" si="6"/>
        <v>HSR Siberia</v>
      </c>
      <c r="D507" s="15" t="s">
        <v>465</v>
      </c>
      <c r="E507" s="15" t="str">
        <f t="shared" si="7"/>
        <v>TDM Siberia</v>
      </c>
      <c r="F507" s="15" t="s">
        <v>466</v>
      </c>
      <c r="G507" s="15"/>
      <c r="H507" s="15"/>
      <c r="I507" s="15"/>
      <c r="J507" s="15"/>
      <c r="K507" s="15" t="s">
        <v>343</v>
      </c>
      <c r="L507" s="15">
        <v>0</v>
      </c>
      <c r="M507" s="15">
        <v>0</v>
      </c>
      <c r="N507" s="15">
        <v>0</v>
      </c>
      <c r="O507" s="15">
        <v>0</v>
      </c>
      <c r="P507" s="15">
        <v>720357330.67994857</v>
      </c>
      <c r="Q507" s="15">
        <v>0</v>
      </c>
      <c r="R507" s="15">
        <v>457684038.42423284</v>
      </c>
      <c r="S507" s="15">
        <v>0</v>
      </c>
      <c r="T507" s="15"/>
    </row>
    <row r="508" spans="1:20" x14ac:dyDescent="0.25">
      <c r="A508" s="15" t="s">
        <v>127</v>
      </c>
      <c r="B508" s="15" t="s">
        <v>464</v>
      </c>
      <c r="C508" s="15" t="str">
        <f t="shared" si="6"/>
        <v>HSR Siberia</v>
      </c>
      <c r="D508" s="15" t="s">
        <v>465</v>
      </c>
      <c r="E508" s="15" t="str">
        <f t="shared" si="7"/>
        <v>TDM Siberia</v>
      </c>
      <c r="F508" s="15" t="s">
        <v>467</v>
      </c>
      <c r="G508" s="15"/>
      <c r="H508" s="15"/>
      <c r="I508" s="15"/>
      <c r="J508" s="15"/>
      <c r="K508" s="15" t="s">
        <v>343</v>
      </c>
      <c r="L508" s="15">
        <v>0</v>
      </c>
      <c r="M508" s="15">
        <v>0</v>
      </c>
      <c r="N508" s="15">
        <v>0</v>
      </c>
      <c r="O508" s="15">
        <v>0</v>
      </c>
      <c r="P508" s="15">
        <v>678890851.25582337</v>
      </c>
      <c r="Q508" s="15">
        <v>0</v>
      </c>
      <c r="R508" s="15">
        <v>317998083.97826719</v>
      </c>
      <c r="S508" s="15">
        <v>0</v>
      </c>
      <c r="T508" s="15"/>
    </row>
    <row r="509" spans="1:20" x14ac:dyDescent="0.25">
      <c r="A509" s="15" t="s">
        <v>123</v>
      </c>
      <c r="B509" s="15" t="s">
        <v>464</v>
      </c>
      <c r="C509" s="15" t="str">
        <f t="shared" si="6"/>
        <v>HSR Siberia</v>
      </c>
      <c r="D509" s="15" t="s">
        <v>465</v>
      </c>
      <c r="E509" s="15" t="str">
        <f t="shared" si="7"/>
        <v>TDM Siberia</v>
      </c>
      <c r="F509" s="15" t="s">
        <v>468</v>
      </c>
      <c r="G509" s="15"/>
      <c r="H509" s="15"/>
      <c r="I509" s="15"/>
      <c r="J509" s="15"/>
      <c r="K509" s="15" t="s">
        <v>343</v>
      </c>
      <c r="L509" s="15">
        <v>0</v>
      </c>
      <c r="M509" s="15">
        <v>0</v>
      </c>
      <c r="N509" s="15">
        <v>0</v>
      </c>
      <c r="O509" s="15">
        <v>0</v>
      </c>
      <c r="P509" s="15">
        <v>391069588.05999988</v>
      </c>
      <c r="Q509" s="15">
        <v>0</v>
      </c>
      <c r="R509" s="15">
        <v>270622904.49078172</v>
      </c>
      <c r="S509" s="15">
        <v>0</v>
      </c>
      <c r="T509" s="15"/>
    </row>
    <row r="510" spans="1:20" x14ac:dyDescent="0.25">
      <c r="A510" s="15" t="s">
        <v>123</v>
      </c>
      <c r="B510" s="15" t="s">
        <v>464</v>
      </c>
      <c r="C510" s="15" t="str">
        <f t="shared" si="6"/>
        <v>HSR Siberia</v>
      </c>
      <c r="D510" s="15" t="s">
        <v>465</v>
      </c>
      <c r="E510" s="15" t="str">
        <f t="shared" si="7"/>
        <v>TDM Siberia</v>
      </c>
      <c r="F510" s="15" t="s">
        <v>466</v>
      </c>
      <c r="G510" s="15"/>
      <c r="H510" s="15"/>
      <c r="I510" s="15"/>
      <c r="J510" s="15"/>
      <c r="K510" s="15" t="s">
        <v>343</v>
      </c>
      <c r="L510" s="15">
        <v>0</v>
      </c>
      <c r="M510" s="15">
        <v>0</v>
      </c>
      <c r="N510" s="15">
        <v>0</v>
      </c>
      <c r="O510" s="15">
        <v>0</v>
      </c>
      <c r="P510" s="15">
        <v>405930565.79998654</v>
      </c>
      <c r="Q510" s="15">
        <v>0</v>
      </c>
      <c r="R510" s="15">
        <v>239646523.62898597</v>
      </c>
      <c r="S510" s="15">
        <v>0</v>
      </c>
      <c r="T510" s="15"/>
    </row>
    <row r="511" spans="1:20" x14ac:dyDescent="0.25">
      <c r="A511" s="15" t="s">
        <v>123</v>
      </c>
      <c r="B511" s="15" t="s">
        <v>464</v>
      </c>
      <c r="C511" s="15" t="str">
        <f t="shared" si="6"/>
        <v>HSR Siberia</v>
      </c>
      <c r="D511" s="15" t="s">
        <v>465</v>
      </c>
      <c r="E511" s="15" t="str">
        <f t="shared" si="7"/>
        <v>TDM Siberia</v>
      </c>
      <c r="F511" s="15" t="s">
        <v>467</v>
      </c>
      <c r="G511" s="15"/>
      <c r="H511" s="15"/>
      <c r="I511" s="15"/>
      <c r="J511" s="15"/>
      <c r="K511" s="15" t="s">
        <v>343</v>
      </c>
      <c r="L511" s="15">
        <v>0</v>
      </c>
      <c r="M511" s="15">
        <v>0</v>
      </c>
      <c r="N511" s="15">
        <v>0</v>
      </c>
      <c r="O511" s="15">
        <v>0</v>
      </c>
      <c r="P511" s="15">
        <v>667958742.03163064</v>
      </c>
      <c r="Q511" s="15">
        <v>0</v>
      </c>
      <c r="R511" s="15">
        <v>372755289.98508257</v>
      </c>
      <c r="S511" s="15">
        <v>0</v>
      </c>
      <c r="T511" s="15"/>
    </row>
    <row r="512" spans="1:20" x14ac:dyDescent="0.25">
      <c r="A512" s="15" t="s">
        <v>133</v>
      </c>
      <c r="B512" s="15" t="s">
        <v>464</v>
      </c>
      <c r="C512" s="15" t="str">
        <f t="shared" si="6"/>
        <v>HSR Siberia</v>
      </c>
      <c r="D512" s="15" t="s">
        <v>465</v>
      </c>
      <c r="E512" s="15" t="str">
        <f t="shared" si="7"/>
        <v>TDM Siberia</v>
      </c>
      <c r="F512" s="15" t="s">
        <v>468</v>
      </c>
      <c r="G512" s="15"/>
      <c r="H512" s="15"/>
      <c r="I512" s="15"/>
      <c r="J512" s="15"/>
      <c r="K512" s="15" t="s">
        <v>343</v>
      </c>
      <c r="L512" s="15">
        <v>0</v>
      </c>
      <c r="M512" s="15">
        <v>0</v>
      </c>
      <c r="N512" s="15">
        <v>0</v>
      </c>
      <c r="O512" s="15">
        <v>0</v>
      </c>
      <c r="P512" s="15">
        <v>193965373.34000003</v>
      </c>
      <c r="Q512" s="15">
        <v>0</v>
      </c>
      <c r="R512" s="15">
        <v>92070658.783025026</v>
      </c>
      <c r="S512" s="15">
        <v>0</v>
      </c>
      <c r="T512" s="15"/>
    </row>
    <row r="513" spans="1:20" x14ac:dyDescent="0.25">
      <c r="A513" s="15" t="s">
        <v>133</v>
      </c>
      <c r="B513" s="15" t="s">
        <v>464</v>
      </c>
      <c r="C513" s="15" t="str">
        <f t="shared" si="6"/>
        <v>HSR Siberia</v>
      </c>
      <c r="D513" s="15" t="s">
        <v>465</v>
      </c>
      <c r="E513" s="15" t="str">
        <f t="shared" si="7"/>
        <v>TDM Siberia</v>
      </c>
      <c r="F513" s="15" t="s">
        <v>466</v>
      </c>
      <c r="G513" s="15"/>
      <c r="H513" s="15"/>
      <c r="I513" s="15"/>
      <c r="J513" s="15"/>
      <c r="K513" s="15" t="s">
        <v>343</v>
      </c>
      <c r="L513" s="15">
        <v>0</v>
      </c>
      <c r="M513" s="15">
        <v>0</v>
      </c>
      <c r="N513" s="15">
        <v>0</v>
      </c>
      <c r="O513" s="15">
        <v>0</v>
      </c>
      <c r="P513" s="15">
        <v>174182560.96000022</v>
      </c>
      <c r="Q513" s="15">
        <v>0</v>
      </c>
      <c r="R513" s="15">
        <v>79420634.167939931</v>
      </c>
      <c r="S513" s="15">
        <v>0</v>
      </c>
      <c r="T513" s="15"/>
    </row>
    <row r="514" spans="1:20" x14ac:dyDescent="0.25">
      <c r="A514" s="15" t="s">
        <v>133</v>
      </c>
      <c r="B514" s="15" t="s">
        <v>464</v>
      </c>
      <c r="C514" s="15" t="str">
        <f t="shared" si="6"/>
        <v>HSR Siberia</v>
      </c>
      <c r="D514" s="15" t="s">
        <v>465</v>
      </c>
      <c r="E514" s="15" t="str">
        <f t="shared" si="7"/>
        <v>TDM Siberia</v>
      </c>
      <c r="F514" s="15" t="s">
        <v>467</v>
      </c>
      <c r="G514" s="15"/>
      <c r="H514" s="15"/>
      <c r="I514" s="15"/>
      <c r="J514" s="15"/>
      <c r="K514" s="15" t="s">
        <v>343</v>
      </c>
      <c r="L514" s="15">
        <v>0</v>
      </c>
      <c r="M514" s="15">
        <v>0</v>
      </c>
      <c r="N514" s="15">
        <v>0</v>
      </c>
      <c r="O514" s="15">
        <v>0</v>
      </c>
      <c r="P514" s="15">
        <v>202035965.30119014</v>
      </c>
      <c r="Q514" s="15">
        <v>0</v>
      </c>
      <c r="R514" s="15">
        <v>75843903.12156269</v>
      </c>
      <c r="S514" s="15">
        <v>0</v>
      </c>
      <c r="T514" s="15"/>
    </row>
    <row r="515" spans="1:20" x14ac:dyDescent="0.25">
      <c r="A515" s="15" t="s">
        <v>139</v>
      </c>
      <c r="B515" s="15" t="s">
        <v>464</v>
      </c>
      <c r="C515" s="15" t="str">
        <f t="shared" si="6"/>
        <v>HSR Siberia</v>
      </c>
      <c r="D515" s="15" t="s">
        <v>465</v>
      </c>
      <c r="E515" s="15" t="str">
        <f t="shared" si="7"/>
        <v>TDM Siberia</v>
      </c>
      <c r="F515" s="15" t="s">
        <v>466</v>
      </c>
      <c r="G515" s="15"/>
      <c r="H515" s="15"/>
      <c r="I515" s="15"/>
      <c r="J515" s="15"/>
      <c r="K515" s="15" t="s">
        <v>343</v>
      </c>
      <c r="L515" s="15">
        <v>0</v>
      </c>
      <c r="M515" s="15">
        <v>0</v>
      </c>
      <c r="N515" s="15">
        <v>0</v>
      </c>
      <c r="O515" s="15">
        <v>0</v>
      </c>
      <c r="P515" s="15">
        <v>5973567.5699999966</v>
      </c>
      <c r="Q515" s="15">
        <v>0</v>
      </c>
      <c r="R515" s="15">
        <v>1647175.0264981817</v>
      </c>
      <c r="S515" s="15">
        <v>0</v>
      </c>
      <c r="T515" s="15"/>
    </row>
    <row r="516" spans="1:20" x14ac:dyDescent="0.25">
      <c r="A516" s="15" t="s">
        <v>138</v>
      </c>
      <c r="B516" s="15" t="s">
        <v>464</v>
      </c>
      <c r="C516" s="15" t="str">
        <f t="shared" si="6"/>
        <v>HSR Siberia</v>
      </c>
      <c r="D516" s="15" t="s">
        <v>465</v>
      </c>
      <c r="E516" s="15" t="str">
        <f t="shared" si="7"/>
        <v>TDM Siberia</v>
      </c>
      <c r="F516" s="15" t="s">
        <v>466</v>
      </c>
      <c r="G516" s="15"/>
      <c r="H516" s="15"/>
      <c r="I516" s="15"/>
      <c r="J516" s="15"/>
      <c r="K516" s="15" t="s">
        <v>343</v>
      </c>
      <c r="L516" s="15">
        <v>0</v>
      </c>
      <c r="M516" s="15">
        <v>0</v>
      </c>
      <c r="N516" s="15">
        <v>0</v>
      </c>
      <c r="O516" s="15">
        <v>0</v>
      </c>
      <c r="P516" s="15">
        <v>96871737.75000076</v>
      </c>
      <c r="Q516" s="15">
        <v>0</v>
      </c>
      <c r="R516" s="15">
        <v>58048939.991533652</v>
      </c>
      <c r="S516" s="15">
        <v>0</v>
      </c>
      <c r="T516" s="15"/>
    </row>
    <row r="517" spans="1:20" x14ac:dyDescent="0.25">
      <c r="A517" s="15" t="s">
        <v>138</v>
      </c>
      <c r="B517" s="15" t="s">
        <v>464</v>
      </c>
      <c r="C517" s="15" t="str">
        <f t="shared" ref="C517:C580" si="8">B517</f>
        <v>HSR Siberia</v>
      </c>
      <c r="D517" s="15" t="s">
        <v>465</v>
      </c>
      <c r="E517" s="15" t="str">
        <f t="shared" ref="E517:E580" si="9">D517</f>
        <v>TDM Siberia</v>
      </c>
      <c r="F517" s="15" t="s">
        <v>467</v>
      </c>
      <c r="G517" s="15"/>
      <c r="H517" s="15"/>
      <c r="I517" s="15"/>
      <c r="J517" s="15"/>
      <c r="K517" s="15" t="s">
        <v>343</v>
      </c>
      <c r="L517" s="15">
        <v>0</v>
      </c>
      <c r="M517" s="15">
        <v>0</v>
      </c>
      <c r="N517" s="15">
        <v>0</v>
      </c>
      <c r="O517" s="15">
        <v>0</v>
      </c>
      <c r="P517" s="15">
        <v>39857025.539999969</v>
      </c>
      <c r="Q517" s="15">
        <v>0</v>
      </c>
      <c r="R517" s="15">
        <v>20859020.983254999</v>
      </c>
      <c r="S517" s="15">
        <v>0</v>
      </c>
      <c r="T517" s="15"/>
    </row>
    <row r="518" spans="1:20" x14ac:dyDescent="0.25">
      <c r="A518" s="15" t="s">
        <v>148</v>
      </c>
      <c r="B518" s="15" t="s">
        <v>464</v>
      </c>
      <c r="C518" s="15" t="str">
        <f t="shared" si="8"/>
        <v>HSR Siberia</v>
      </c>
      <c r="D518" s="15" t="s">
        <v>469</v>
      </c>
      <c r="E518" s="15" t="str">
        <f t="shared" si="9"/>
        <v>RADM Siberia</v>
      </c>
      <c r="F518" s="15" t="s">
        <v>470</v>
      </c>
      <c r="G518" s="15"/>
      <c r="H518" s="15"/>
      <c r="I518" s="15"/>
      <c r="J518" s="15"/>
      <c r="K518" s="15" t="s">
        <v>343</v>
      </c>
      <c r="L518" s="15">
        <v>973063.07778321125</v>
      </c>
      <c r="M518" s="15">
        <v>0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/>
    </row>
    <row r="519" spans="1:20" x14ac:dyDescent="0.25">
      <c r="A519" s="15" t="s">
        <v>146</v>
      </c>
      <c r="B519" s="15" t="s">
        <v>464</v>
      </c>
      <c r="C519" s="15" t="str">
        <f t="shared" si="8"/>
        <v>HSR Siberia</v>
      </c>
      <c r="D519" s="15" t="s">
        <v>469</v>
      </c>
      <c r="E519" s="15" t="str">
        <f t="shared" si="9"/>
        <v>RADM Siberia</v>
      </c>
      <c r="F519" s="15" t="s">
        <v>470</v>
      </c>
      <c r="G519" s="15"/>
      <c r="H519" s="15"/>
      <c r="I519" s="15"/>
      <c r="J519" s="15"/>
      <c r="K519" s="15" t="s">
        <v>343</v>
      </c>
      <c r="L519" s="15">
        <v>1284322.225178503</v>
      </c>
      <c r="M519" s="15">
        <v>0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/>
    </row>
    <row r="520" spans="1:20" x14ac:dyDescent="0.25">
      <c r="A520" s="15" t="s">
        <v>141</v>
      </c>
      <c r="B520" s="15" t="s">
        <v>464</v>
      </c>
      <c r="C520" s="15" t="str">
        <f t="shared" si="8"/>
        <v>HSR Siberia</v>
      </c>
      <c r="D520" s="15" t="s">
        <v>469</v>
      </c>
      <c r="E520" s="15" t="str">
        <f t="shared" si="9"/>
        <v>RADM Siberia</v>
      </c>
      <c r="F520" s="15" t="s">
        <v>470</v>
      </c>
      <c r="G520" s="15"/>
      <c r="H520" s="15"/>
      <c r="I520" s="15"/>
      <c r="J520" s="15"/>
      <c r="K520" s="15" t="s">
        <v>343</v>
      </c>
      <c r="L520" s="15">
        <v>1732123.1739566694</v>
      </c>
      <c r="M520" s="15">
        <v>0</v>
      </c>
      <c r="N520" s="15">
        <v>0</v>
      </c>
      <c r="O520" s="15">
        <v>0</v>
      </c>
      <c r="P520" s="15">
        <v>0</v>
      </c>
      <c r="Q520" s="15">
        <v>0</v>
      </c>
      <c r="R520" s="15">
        <v>0</v>
      </c>
      <c r="S520" s="15">
        <v>0</v>
      </c>
      <c r="T520" s="15"/>
    </row>
    <row r="521" spans="1:20" x14ac:dyDescent="0.25">
      <c r="A521" s="15" t="s">
        <v>145</v>
      </c>
      <c r="B521" s="15" t="s">
        <v>464</v>
      </c>
      <c r="C521" s="15" t="str">
        <f t="shared" si="8"/>
        <v>HSR Siberia</v>
      </c>
      <c r="D521" s="15" t="s">
        <v>469</v>
      </c>
      <c r="E521" s="15" t="str">
        <f t="shared" si="9"/>
        <v>RADM Siberia</v>
      </c>
      <c r="F521" s="15" t="s">
        <v>470</v>
      </c>
      <c r="G521" s="15"/>
      <c r="H521" s="15"/>
      <c r="I521" s="15"/>
      <c r="J521" s="15"/>
      <c r="K521" s="15" t="s">
        <v>343</v>
      </c>
      <c r="L521" s="15">
        <v>1183998.7546954493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/>
    </row>
    <row r="522" spans="1:20" x14ac:dyDescent="0.25">
      <c r="A522" s="15" t="s">
        <v>151</v>
      </c>
      <c r="B522" s="15" t="s">
        <v>464</v>
      </c>
      <c r="C522" s="15" t="str">
        <f t="shared" si="8"/>
        <v>HSR Siberia</v>
      </c>
      <c r="D522" s="15" t="s">
        <v>469</v>
      </c>
      <c r="E522" s="15" t="str">
        <f t="shared" si="9"/>
        <v>RADM Siberia</v>
      </c>
      <c r="F522" s="15" t="s">
        <v>470</v>
      </c>
      <c r="G522" s="15"/>
      <c r="H522" s="15"/>
      <c r="I522" s="15"/>
      <c r="J522" s="15"/>
      <c r="K522" s="15" t="s">
        <v>343</v>
      </c>
      <c r="L522" s="15">
        <v>4528032.3227405883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/>
    </row>
    <row r="523" spans="1:20" x14ac:dyDescent="0.25">
      <c r="A523" s="15" t="s">
        <v>118</v>
      </c>
      <c r="B523" s="15" t="s">
        <v>464</v>
      </c>
      <c r="C523" s="15" t="str">
        <f t="shared" si="8"/>
        <v>HSR Siberia</v>
      </c>
      <c r="D523" s="15" t="s">
        <v>469</v>
      </c>
      <c r="E523" s="15" t="str">
        <f t="shared" si="9"/>
        <v>RADM Siberia</v>
      </c>
      <c r="F523" s="15" t="s">
        <v>470</v>
      </c>
      <c r="G523" s="15"/>
      <c r="H523" s="15"/>
      <c r="I523" s="15"/>
      <c r="J523" s="15"/>
      <c r="K523" s="15" t="s">
        <v>343</v>
      </c>
      <c r="L523" s="15">
        <v>2979722.6300543761</v>
      </c>
      <c r="M523" s="15">
        <v>0</v>
      </c>
      <c r="N523" s="15">
        <v>0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/>
    </row>
    <row r="524" spans="1:20" x14ac:dyDescent="0.25">
      <c r="A524" s="15" t="s">
        <v>120</v>
      </c>
      <c r="B524" s="15" t="s">
        <v>464</v>
      </c>
      <c r="C524" s="15" t="str">
        <f t="shared" si="8"/>
        <v>HSR Siberia</v>
      </c>
      <c r="D524" s="15" t="s">
        <v>469</v>
      </c>
      <c r="E524" s="15" t="str">
        <f t="shared" si="9"/>
        <v>RADM Siberia</v>
      </c>
      <c r="F524" s="15" t="s">
        <v>470</v>
      </c>
      <c r="G524" s="15"/>
      <c r="H524" s="15"/>
      <c r="I524" s="15"/>
      <c r="J524" s="15"/>
      <c r="K524" s="15" t="s">
        <v>343</v>
      </c>
      <c r="L524" s="15">
        <v>4739026.6542581888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/>
    </row>
    <row r="525" spans="1:20" x14ac:dyDescent="0.25">
      <c r="A525" s="15" t="s">
        <v>102</v>
      </c>
      <c r="B525" s="15" t="s">
        <v>464</v>
      </c>
      <c r="C525" s="15" t="str">
        <f t="shared" si="8"/>
        <v>HSR Siberia</v>
      </c>
      <c r="D525" s="15" t="s">
        <v>469</v>
      </c>
      <c r="E525" s="15" t="str">
        <f t="shared" si="9"/>
        <v>RADM Siberia</v>
      </c>
      <c r="F525" s="15" t="s">
        <v>470</v>
      </c>
      <c r="G525" s="15"/>
      <c r="H525" s="15"/>
      <c r="I525" s="15"/>
      <c r="J525" s="15"/>
      <c r="K525" s="15" t="s">
        <v>343</v>
      </c>
      <c r="L525" s="15">
        <v>4968506.8015938709</v>
      </c>
      <c r="M525" s="15">
        <v>0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0</v>
      </c>
      <c r="T525" s="15"/>
    </row>
    <row r="526" spans="1:20" x14ac:dyDescent="0.25">
      <c r="A526" s="15" t="s">
        <v>103</v>
      </c>
      <c r="B526" s="15" t="s">
        <v>464</v>
      </c>
      <c r="C526" s="15" t="str">
        <f t="shared" si="8"/>
        <v>HSR Siberia</v>
      </c>
      <c r="D526" s="15" t="s">
        <v>469</v>
      </c>
      <c r="E526" s="15" t="str">
        <f t="shared" si="9"/>
        <v>RADM Siberia</v>
      </c>
      <c r="F526" s="15" t="s">
        <v>470</v>
      </c>
      <c r="G526" s="15"/>
      <c r="H526" s="15"/>
      <c r="I526" s="15"/>
      <c r="J526" s="15"/>
      <c r="K526" s="15" t="s">
        <v>343</v>
      </c>
      <c r="L526" s="15">
        <v>2203885.0860657538</v>
      </c>
      <c r="M526" s="15">
        <v>0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/>
    </row>
    <row r="527" spans="1:20" x14ac:dyDescent="0.25">
      <c r="A527" s="15" t="s">
        <v>105</v>
      </c>
      <c r="B527" s="15" t="s">
        <v>464</v>
      </c>
      <c r="C527" s="15" t="str">
        <f t="shared" si="8"/>
        <v>HSR Siberia</v>
      </c>
      <c r="D527" s="15" t="s">
        <v>469</v>
      </c>
      <c r="E527" s="15" t="str">
        <f t="shared" si="9"/>
        <v>RADM Siberia</v>
      </c>
      <c r="F527" s="15" t="s">
        <v>470</v>
      </c>
      <c r="G527" s="15"/>
      <c r="H527" s="15"/>
      <c r="I527" s="15"/>
      <c r="J527" s="15"/>
      <c r="K527" s="15" t="s">
        <v>343</v>
      </c>
      <c r="L527" s="15">
        <v>3042784.7210369534</v>
      </c>
      <c r="M527" s="15">
        <v>0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/>
    </row>
    <row r="528" spans="1:20" x14ac:dyDescent="0.25">
      <c r="A528" s="15" t="s">
        <v>56</v>
      </c>
      <c r="B528" s="15" t="s">
        <v>464</v>
      </c>
      <c r="C528" s="15" t="str">
        <f t="shared" si="8"/>
        <v>HSR Siberia</v>
      </c>
      <c r="D528" s="15" t="s">
        <v>469</v>
      </c>
      <c r="E528" s="15" t="str">
        <f t="shared" si="9"/>
        <v>RADM Siberia</v>
      </c>
      <c r="F528" s="15" t="s">
        <v>470</v>
      </c>
      <c r="G528" s="15"/>
      <c r="H528" s="15"/>
      <c r="I528" s="15"/>
      <c r="J528" s="15"/>
      <c r="K528" s="15" t="s">
        <v>343</v>
      </c>
      <c r="L528" s="15">
        <v>4023682.8871393208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/>
    </row>
    <row r="529" spans="1:20" x14ac:dyDescent="0.25">
      <c r="A529" s="15" t="s">
        <v>55</v>
      </c>
      <c r="B529" s="15" t="s">
        <v>464</v>
      </c>
      <c r="C529" s="15" t="str">
        <f t="shared" si="8"/>
        <v>HSR Siberia</v>
      </c>
      <c r="D529" s="15" t="s">
        <v>469</v>
      </c>
      <c r="E529" s="15" t="str">
        <f t="shared" si="9"/>
        <v>RADM Siberia</v>
      </c>
      <c r="F529" s="15" t="s">
        <v>470</v>
      </c>
      <c r="G529" s="15"/>
      <c r="H529" s="15"/>
      <c r="I529" s="15"/>
      <c r="J529" s="15"/>
      <c r="K529" s="15" t="s">
        <v>343</v>
      </c>
      <c r="L529" s="15">
        <v>1880421.7924100675</v>
      </c>
      <c r="M529" s="15">
        <v>0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/>
    </row>
    <row r="530" spans="1:20" x14ac:dyDescent="0.25">
      <c r="A530" s="15" t="s">
        <v>51</v>
      </c>
      <c r="B530" s="15" t="s">
        <v>464</v>
      </c>
      <c r="C530" s="15" t="str">
        <f t="shared" si="8"/>
        <v>HSR Siberia</v>
      </c>
      <c r="D530" s="15" t="s">
        <v>469</v>
      </c>
      <c r="E530" s="15" t="str">
        <f t="shared" si="9"/>
        <v>RADM Siberia</v>
      </c>
      <c r="F530" s="15" t="s">
        <v>470</v>
      </c>
      <c r="G530" s="15"/>
      <c r="H530" s="15"/>
      <c r="I530" s="15"/>
      <c r="J530" s="15"/>
      <c r="K530" s="15" t="s">
        <v>343</v>
      </c>
      <c r="L530" s="15">
        <v>27130505.840957616</v>
      </c>
      <c r="M530" s="15">
        <v>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/>
    </row>
    <row r="531" spans="1:20" x14ac:dyDescent="0.25">
      <c r="A531" s="15" t="s">
        <v>55</v>
      </c>
      <c r="B531" s="15" t="s">
        <v>464</v>
      </c>
      <c r="C531" s="15" t="str">
        <f t="shared" si="8"/>
        <v>HSR Siberia</v>
      </c>
      <c r="D531" s="15" t="s">
        <v>469</v>
      </c>
      <c r="E531" s="15" t="str">
        <f t="shared" si="9"/>
        <v>RADM Siberia</v>
      </c>
      <c r="F531" s="15" t="s">
        <v>470</v>
      </c>
      <c r="G531" s="15"/>
      <c r="H531" s="15"/>
      <c r="I531" s="15"/>
      <c r="J531" s="15"/>
      <c r="K531" s="15" t="s">
        <v>343</v>
      </c>
      <c r="L531" s="15">
        <v>8930720.8169237953</v>
      </c>
      <c r="M531" s="15">
        <v>0</v>
      </c>
      <c r="N531" s="15">
        <v>0</v>
      </c>
      <c r="O531" s="15">
        <v>0</v>
      </c>
      <c r="P531" s="15">
        <v>0</v>
      </c>
      <c r="Q531" s="15">
        <v>0</v>
      </c>
      <c r="R531" s="15">
        <v>0</v>
      </c>
      <c r="S531" s="15">
        <v>0</v>
      </c>
      <c r="T531" s="15"/>
    </row>
    <row r="532" spans="1:20" x14ac:dyDescent="0.25">
      <c r="A532" s="15" t="s">
        <v>333</v>
      </c>
      <c r="B532" s="15" t="s">
        <v>464</v>
      </c>
      <c r="C532" s="15" t="str">
        <f t="shared" si="8"/>
        <v>HSR Siberia</v>
      </c>
      <c r="D532" s="15" t="s">
        <v>469</v>
      </c>
      <c r="E532" s="15" t="str">
        <f t="shared" si="9"/>
        <v>RADM Siberia</v>
      </c>
      <c r="F532" s="15" t="s">
        <v>470</v>
      </c>
      <c r="G532" s="15"/>
      <c r="H532" s="15"/>
      <c r="I532" s="15"/>
      <c r="J532" s="15"/>
      <c r="K532" s="15" t="s">
        <v>472</v>
      </c>
      <c r="L532" s="15">
        <v>193413695.79842499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/>
    </row>
    <row r="533" spans="1:20" x14ac:dyDescent="0.25">
      <c r="A533" s="15" t="s">
        <v>22</v>
      </c>
      <c r="B533" s="15" t="s">
        <v>464</v>
      </c>
      <c r="C533" s="15" t="str">
        <f t="shared" si="8"/>
        <v>HSR Siberia</v>
      </c>
      <c r="D533" s="15" t="s">
        <v>469</v>
      </c>
      <c r="E533" s="15" t="str">
        <f t="shared" si="9"/>
        <v>RADM Siberia</v>
      </c>
      <c r="F533" s="15" t="s">
        <v>470</v>
      </c>
      <c r="G533" s="15"/>
      <c r="H533" s="15"/>
      <c r="I533" s="15"/>
      <c r="J533" s="15"/>
      <c r="K533" s="15" t="s">
        <v>472</v>
      </c>
      <c r="L533" s="15">
        <v>28521750.036892459</v>
      </c>
      <c r="M533" s="15">
        <v>0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/>
    </row>
    <row r="534" spans="1:20" x14ac:dyDescent="0.25">
      <c r="A534" s="15" t="s">
        <v>21</v>
      </c>
      <c r="B534" s="15" t="s">
        <v>464</v>
      </c>
      <c r="C534" s="15" t="str">
        <f t="shared" si="8"/>
        <v>HSR Siberia</v>
      </c>
      <c r="D534" s="15" t="s">
        <v>469</v>
      </c>
      <c r="E534" s="15" t="str">
        <f t="shared" si="9"/>
        <v>RADM Siberia</v>
      </c>
      <c r="F534" s="15" t="s">
        <v>470</v>
      </c>
      <c r="G534" s="15"/>
      <c r="H534" s="15"/>
      <c r="I534" s="15"/>
      <c r="J534" s="15"/>
      <c r="K534" s="15" t="s">
        <v>472</v>
      </c>
      <c r="L534" s="15">
        <v>1384314.2112077558</v>
      </c>
      <c r="M534" s="15">
        <v>0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/>
    </row>
    <row r="535" spans="1:20" x14ac:dyDescent="0.25">
      <c r="A535" s="15" t="s">
        <v>17</v>
      </c>
      <c r="B535" s="15" t="s">
        <v>464</v>
      </c>
      <c r="C535" s="15" t="str">
        <f t="shared" si="8"/>
        <v>HSR Siberia</v>
      </c>
      <c r="D535" s="15" t="s">
        <v>469</v>
      </c>
      <c r="E535" s="15" t="str">
        <f t="shared" si="9"/>
        <v>RADM Siberia</v>
      </c>
      <c r="F535" s="15" t="s">
        <v>470</v>
      </c>
      <c r="G535" s="15"/>
      <c r="H535" s="15"/>
      <c r="I535" s="15"/>
      <c r="J535" s="15"/>
      <c r="K535" s="15" t="s">
        <v>472</v>
      </c>
      <c r="L535" s="15">
        <v>22746542.853066351</v>
      </c>
      <c r="M535" s="15">
        <v>0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/>
    </row>
    <row r="536" spans="1:20" x14ac:dyDescent="0.25">
      <c r="A536" s="15" t="s">
        <v>20</v>
      </c>
      <c r="B536" s="15" t="s">
        <v>464</v>
      </c>
      <c r="C536" s="15" t="str">
        <f t="shared" si="8"/>
        <v>HSR Siberia</v>
      </c>
      <c r="D536" s="15" t="s">
        <v>469</v>
      </c>
      <c r="E536" s="15" t="str">
        <f t="shared" si="9"/>
        <v>RADM Siberia</v>
      </c>
      <c r="F536" s="15" t="s">
        <v>470</v>
      </c>
      <c r="G536" s="15"/>
      <c r="H536" s="15"/>
      <c r="I536" s="15"/>
      <c r="J536" s="15"/>
      <c r="K536" s="15" t="s">
        <v>472</v>
      </c>
      <c r="L536" s="15">
        <v>2348828.3742962028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0</v>
      </c>
      <c r="T536" s="15"/>
    </row>
    <row r="537" spans="1:20" x14ac:dyDescent="0.25">
      <c r="A537" s="15" t="s">
        <v>150</v>
      </c>
      <c r="B537" s="15" t="s">
        <v>464</v>
      </c>
      <c r="C537" s="15" t="str">
        <f t="shared" si="8"/>
        <v>HSR Siberia</v>
      </c>
      <c r="D537" s="15" t="s">
        <v>469</v>
      </c>
      <c r="E537" s="15" t="str">
        <f t="shared" si="9"/>
        <v>RADM Siberia</v>
      </c>
      <c r="F537" s="15" t="s">
        <v>470</v>
      </c>
      <c r="G537" s="15"/>
      <c r="H537" s="15"/>
      <c r="I537" s="15"/>
      <c r="J537" s="15"/>
      <c r="K537" s="15" t="s">
        <v>472</v>
      </c>
      <c r="L537" s="15">
        <v>1595653.2482846803</v>
      </c>
      <c r="M537" s="15">
        <v>0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/>
    </row>
    <row r="538" spans="1:20" x14ac:dyDescent="0.25">
      <c r="A538" s="15" t="s">
        <v>18</v>
      </c>
      <c r="B538" s="15" t="s">
        <v>464</v>
      </c>
      <c r="C538" s="15" t="str">
        <f t="shared" si="8"/>
        <v>HSR Siberia</v>
      </c>
      <c r="D538" s="15" t="s">
        <v>469</v>
      </c>
      <c r="E538" s="15" t="str">
        <f t="shared" si="9"/>
        <v>RADM Siberia</v>
      </c>
      <c r="F538" s="15" t="s">
        <v>470</v>
      </c>
      <c r="G538" s="15"/>
      <c r="H538" s="15"/>
      <c r="I538" s="15"/>
      <c r="J538" s="15"/>
      <c r="K538" s="15" t="s">
        <v>472</v>
      </c>
      <c r="L538" s="15">
        <v>11732044.909700001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/>
    </row>
    <row r="539" spans="1:20" x14ac:dyDescent="0.25">
      <c r="A539" s="15" t="s">
        <v>383</v>
      </c>
      <c r="B539" s="15" t="s">
        <v>464</v>
      </c>
      <c r="C539" s="15" t="str">
        <f t="shared" si="8"/>
        <v>HSR Siberia</v>
      </c>
      <c r="D539" s="15" t="s">
        <v>469</v>
      </c>
      <c r="E539" s="15" t="str">
        <f t="shared" si="9"/>
        <v>RADM Siberia</v>
      </c>
      <c r="F539" s="15" t="s">
        <v>470</v>
      </c>
      <c r="G539" s="15"/>
      <c r="H539" s="15"/>
      <c r="I539" s="15"/>
      <c r="J539" s="15"/>
      <c r="K539" s="15" t="s">
        <v>343</v>
      </c>
      <c r="L539" s="15">
        <v>153865470.28550819</v>
      </c>
      <c r="M539" s="15">
        <v>0</v>
      </c>
      <c r="N539" s="15">
        <v>0</v>
      </c>
      <c r="O539" s="15">
        <v>0</v>
      </c>
      <c r="P539" s="15">
        <v>0</v>
      </c>
      <c r="Q539" s="15">
        <v>0</v>
      </c>
      <c r="R539" s="15">
        <v>0</v>
      </c>
      <c r="S539" s="15">
        <v>0</v>
      </c>
      <c r="T539" s="15"/>
    </row>
    <row r="540" spans="1:20" x14ac:dyDescent="0.25">
      <c r="A540" s="15" t="s">
        <v>344</v>
      </c>
      <c r="B540" s="15" t="s">
        <v>464</v>
      </c>
      <c r="C540" s="15" t="str">
        <f t="shared" si="8"/>
        <v>HSR Siberia</v>
      </c>
      <c r="D540" s="15" t="s">
        <v>469</v>
      </c>
      <c r="E540" s="15" t="str">
        <f t="shared" si="9"/>
        <v>RADM Siberia</v>
      </c>
      <c r="F540" s="15" t="s">
        <v>470</v>
      </c>
      <c r="G540" s="15"/>
      <c r="H540" s="15"/>
      <c r="I540" s="15"/>
      <c r="J540" s="15"/>
      <c r="K540" s="15" t="s">
        <v>343</v>
      </c>
      <c r="L540" s="15">
        <v>300562568.50841665</v>
      </c>
      <c r="M540" s="15">
        <v>0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/>
    </row>
    <row r="541" spans="1:20" x14ac:dyDescent="0.25">
      <c r="A541" s="15" t="s">
        <v>135</v>
      </c>
      <c r="B541" s="15" t="s">
        <v>464</v>
      </c>
      <c r="C541" s="15" t="str">
        <f t="shared" si="8"/>
        <v>HSR Siberia</v>
      </c>
      <c r="D541" s="15" t="s">
        <v>469</v>
      </c>
      <c r="E541" s="15" t="str">
        <f t="shared" si="9"/>
        <v>RADM Siberia</v>
      </c>
      <c r="F541" s="15" t="s">
        <v>470</v>
      </c>
      <c r="G541" s="15"/>
      <c r="H541" s="15"/>
      <c r="I541" s="15"/>
      <c r="J541" s="15"/>
      <c r="K541" s="15" t="s">
        <v>343</v>
      </c>
      <c r="L541" s="15">
        <v>49400893.391934566</v>
      </c>
      <c r="M541" s="15">
        <v>0</v>
      </c>
      <c r="N541" s="15">
        <v>0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/>
    </row>
    <row r="542" spans="1:20" x14ac:dyDescent="0.25">
      <c r="A542" s="15" t="s">
        <v>127</v>
      </c>
      <c r="B542" s="15" t="s">
        <v>464</v>
      </c>
      <c r="C542" s="15" t="str">
        <f t="shared" si="8"/>
        <v>HSR Siberia</v>
      </c>
      <c r="D542" s="15" t="s">
        <v>469</v>
      </c>
      <c r="E542" s="15" t="str">
        <f t="shared" si="9"/>
        <v>RADM Siberia</v>
      </c>
      <c r="F542" s="15" t="s">
        <v>470</v>
      </c>
      <c r="G542" s="15"/>
      <c r="H542" s="15"/>
      <c r="I542" s="15"/>
      <c r="J542" s="15"/>
      <c r="K542" s="15" t="s">
        <v>343</v>
      </c>
      <c r="L542" s="15">
        <v>282709671.91138828</v>
      </c>
      <c r="M542" s="15">
        <v>0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/>
    </row>
    <row r="543" spans="1:20" x14ac:dyDescent="0.25">
      <c r="A543" s="15" t="s">
        <v>123</v>
      </c>
      <c r="B543" s="15" t="s">
        <v>464</v>
      </c>
      <c r="C543" s="15" t="str">
        <f t="shared" si="8"/>
        <v>HSR Siberia</v>
      </c>
      <c r="D543" s="15" t="s">
        <v>469</v>
      </c>
      <c r="E543" s="15" t="str">
        <f t="shared" si="9"/>
        <v>RADM Siberia</v>
      </c>
      <c r="F543" s="15" t="s">
        <v>470</v>
      </c>
      <c r="G543" s="15"/>
      <c r="H543" s="15"/>
      <c r="I543" s="15"/>
      <c r="J543" s="15"/>
      <c r="K543" s="15" t="s">
        <v>343</v>
      </c>
      <c r="L543" s="15">
        <v>117114145.83411548</v>
      </c>
      <c r="M543" s="15">
        <v>0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/>
    </row>
    <row r="544" spans="1:20" x14ac:dyDescent="0.25">
      <c r="A544" s="15" t="s">
        <v>133</v>
      </c>
      <c r="B544" s="15" t="s">
        <v>464</v>
      </c>
      <c r="C544" s="15" t="str">
        <f t="shared" si="8"/>
        <v>HSR Siberia</v>
      </c>
      <c r="D544" s="15" t="s">
        <v>469</v>
      </c>
      <c r="E544" s="15" t="str">
        <f t="shared" si="9"/>
        <v>RADM Siberia</v>
      </c>
      <c r="F544" s="15" t="s">
        <v>470</v>
      </c>
      <c r="G544" s="15"/>
      <c r="H544" s="15"/>
      <c r="I544" s="15"/>
      <c r="J544" s="15">
        <v>1</v>
      </c>
      <c r="K544" s="15" t="s">
        <v>343</v>
      </c>
      <c r="L544" s="15">
        <v>228502433.21530333</v>
      </c>
      <c r="M544" s="15">
        <v>0</v>
      </c>
      <c r="N544" s="15">
        <v>0</v>
      </c>
      <c r="O544" s="15">
        <v>0</v>
      </c>
      <c r="P544" s="15">
        <v>0</v>
      </c>
      <c r="Q544" s="15">
        <v>0</v>
      </c>
      <c r="R544" s="15">
        <v>0</v>
      </c>
      <c r="S544" s="15">
        <v>0</v>
      </c>
      <c r="T544" s="15"/>
    </row>
    <row r="545" spans="1:20" x14ac:dyDescent="0.25">
      <c r="A545" s="15" t="s">
        <v>383</v>
      </c>
      <c r="B545" s="15" t="s">
        <v>464</v>
      </c>
      <c r="C545" s="15" t="str">
        <f t="shared" si="8"/>
        <v>HSR Siberia</v>
      </c>
      <c r="D545" s="15" t="s">
        <v>465</v>
      </c>
      <c r="E545" s="15" t="str">
        <f t="shared" si="9"/>
        <v>TDM Siberia</v>
      </c>
      <c r="F545" s="15" t="s">
        <v>473</v>
      </c>
      <c r="G545" s="15"/>
      <c r="H545" s="15"/>
      <c r="I545" s="15"/>
      <c r="J545" s="15"/>
      <c r="K545" s="15" t="s">
        <v>343</v>
      </c>
      <c r="L545" s="15">
        <v>0</v>
      </c>
      <c r="M545" s="15">
        <v>0</v>
      </c>
      <c r="N545" s="15">
        <v>0</v>
      </c>
      <c r="O545" s="15">
        <v>0</v>
      </c>
      <c r="P545" s="15">
        <v>0</v>
      </c>
      <c r="Q545" s="15">
        <v>153865470.28550819</v>
      </c>
      <c r="R545" s="15">
        <v>116547393.0289679</v>
      </c>
      <c r="S545" s="15">
        <v>0</v>
      </c>
      <c r="T545" s="15"/>
    </row>
    <row r="546" spans="1:20" x14ac:dyDescent="0.25">
      <c r="A546" s="15" t="s">
        <v>344</v>
      </c>
      <c r="B546" s="15" t="s">
        <v>464</v>
      </c>
      <c r="C546" s="15" t="str">
        <f t="shared" si="8"/>
        <v>HSR Siberia</v>
      </c>
      <c r="D546" s="15" t="s">
        <v>465</v>
      </c>
      <c r="E546" s="15" t="str">
        <f t="shared" si="9"/>
        <v>TDM Siberia</v>
      </c>
      <c r="F546" s="15" t="s">
        <v>473</v>
      </c>
      <c r="G546" s="15"/>
      <c r="H546" s="15"/>
      <c r="I546" s="15"/>
      <c r="J546" s="15"/>
      <c r="K546" s="15" t="s">
        <v>343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300562568.50841665</v>
      </c>
      <c r="R546" s="15">
        <v>231806702.65685073</v>
      </c>
      <c r="S546" s="15">
        <v>0</v>
      </c>
      <c r="T546" s="15"/>
    </row>
    <row r="547" spans="1:20" x14ac:dyDescent="0.25">
      <c r="A547" s="15" t="s">
        <v>135</v>
      </c>
      <c r="B547" s="15" t="s">
        <v>464</v>
      </c>
      <c r="C547" s="15" t="str">
        <f t="shared" si="8"/>
        <v>HSR Siberia</v>
      </c>
      <c r="D547" s="15" t="s">
        <v>465</v>
      </c>
      <c r="E547" s="15" t="str">
        <f t="shared" si="9"/>
        <v>TDM Siberia</v>
      </c>
      <c r="F547" s="15" t="s">
        <v>473</v>
      </c>
      <c r="G547" s="15"/>
      <c r="H547" s="15"/>
      <c r="I547" s="15"/>
      <c r="J547" s="15"/>
      <c r="K547" s="15" t="s">
        <v>343</v>
      </c>
      <c r="L547" s="15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49400893.391934566</v>
      </c>
      <c r="R547" s="15">
        <v>13861067.77554908</v>
      </c>
      <c r="S547" s="15">
        <v>0</v>
      </c>
      <c r="T547" s="15"/>
    </row>
    <row r="548" spans="1:20" x14ac:dyDescent="0.25">
      <c r="A548" s="15" t="s">
        <v>127</v>
      </c>
      <c r="B548" s="15" t="s">
        <v>464</v>
      </c>
      <c r="C548" s="15" t="str">
        <f t="shared" si="8"/>
        <v>HSR Siberia</v>
      </c>
      <c r="D548" s="15" t="s">
        <v>465</v>
      </c>
      <c r="E548" s="15" t="str">
        <f t="shared" si="9"/>
        <v>TDM Siberia</v>
      </c>
      <c r="F548" s="15" t="s">
        <v>473</v>
      </c>
      <c r="G548" s="15"/>
      <c r="H548" s="15"/>
      <c r="I548" s="15"/>
      <c r="J548" s="15"/>
      <c r="K548" s="15" t="s">
        <v>343</v>
      </c>
      <c r="L548" s="15">
        <v>0</v>
      </c>
      <c r="M548" s="15">
        <v>0</v>
      </c>
      <c r="N548" s="15">
        <v>0</v>
      </c>
      <c r="O548" s="15">
        <v>0</v>
      </c>
      <c r="P548" s="15">
        <v>0</v>
      </c>
      <c r="Q548" s="15">
        <v>282709671.91138828</v>
      </c>
      <c r="R548" s="15">
        <v>217785764.00050426</v>
      </c>
      <c r="S548" s="15">
        <v>0</v>
      </c>
      <c r="T548" s="15"/>
    </row>
    <row r="549" spans="1:20" x14ac:dyDescent="0.25">
      <c r="A549" s="15" t="s">
        <v>123</v>
      </c>
      <c r="B549" s="15" t="s">
        <v>464</v>
      </c>
      <c r="C549" s="15" t="str">
        <f t="shared" si="8"/>
        <v>HSR Siberia</v>
      </c>
      <c r="D549" s="15" t="s">
        <v>465</v>
      </c>
      <c r="E549" s="15" t="str">
        <f t="shared" si="9"/>
        <v>TDM Siberia</v>
      </c>
      <c r="F549" s="15" t="s">
        <v>473</v>
      </c>
      <c r="G549" s="15"/>
      <c r="H549" s="15"/>
      <c r="I549" s="15"/>
      <c r="J549" s="15"/>
      <c r="K549" s="15" t="s">
        <v>343</v>
      </c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117114145.83411548</v>
      </c>
      <c r="R549" s="15">
        <v>76132782.152658641</v>
      </c>
      <c r="S549" s="15">
        <v>0</v>
      </c>
      <c r="T549" s="15"/>
    </row>
    <row r="550" spans="1:20" x14ac:dyDescent="0.25">
      <c r="A550" s="15" t="s">
        <v>133</v>
      </c>
      <c r="B550" s="15" t="s">
        <v>464</v>
      </c>
      <c r="C550" s="15" t="str">
        <f t="shared" si="8"/>
        <v>HSR Siberia</v>
      </c>
      <c r="D550" s="15" t="s">
        <v>465</v>
      </c>
      <c r="E550" s="15" t="str">
        <f t="shared" si="9"/>
        <v>TDM Siberia</v>
      </c>
      <c r="F550" s="15" t="s">
        <v>473</v>
      </c>
      <c r="G550" s="15"/>
      <c r="H550" s="15"/>
      <c r="I550" s="15"/>
      <c r="J550" s="15"/>
      <c r="K550" s="15" t="s">
        <v>343</v>
      </c>
      <c r="L550" s="15">
        <v>0</v>
      </c>
      <c r="M550" s="15">
        <v>0</v>
      </c>
      <c r="N550" s="15">
        <v>0</v>
      </c>
      <c r="O550" s="15">
        <v>0</v>
      </c>
      <c r="P550" s="15">
        <v>0</v>
      </c>
      <c r="Q550" s="15">
        <v>228502433.21530333</v>
      </c>
      <c r="R550" s="15">
        <v>132744789.49687061</v>
      </c>
      <c r="S550" s="15">
        <v>0</v>
      </c>
      <c r="T550" s="15"/>
    </row>
    <row r="551" spans="1:20" x14ac:dyDescent="0.25">
      <c r="A551" s="15" t="s">
        <v>383</v>
      </c>
      <c r="B551" s="15" t="s">
        <v>464</v>
      </c>
      <c r="C551" s="15" t="str">
        <f t="shared" si="8"/>
        <v>HSR Siberia</v>
      </c>
      <c r="D551" s="15" t="s">
        <v>469</v>
      </c>
      <c r="E551" s="15" t="str">
        <f t="shared" si="9"/>
        <v>RADM Siberia</v>
      </c>
      <c r="F551" s="15" t="s">
        <v>474</v>
      </c>
      <c r="G551" s="15"/>
      <c r="H551" s="15"/>
      <c r="I551" s="15"/>
      <c r="J551" s="15">
        <v>1</v>
      </c>
      <c r="K551" s="15" t="s">
        <v>343</v>
      </c>
      <c r="L551" s="15">
        <v>594299663.16174626</v>
      </c>
      <c r="M551" s="15">
        <v>0</v>
      </c>
      <c r="N551" s="15">
        <v>0</v>
      </c>
      <c r="O551" s="15">
        <v>0</v>
      </c>
      <c r="P551" s="15">
        <v>0</v>
      </c>
      <c r="Q551" s="15">
        <v>0</v>
      </c>
      <c r="R551" s="15">
        <v>0</v>
      </c>
      <c r="S551" s="15">
        <v>0</v>
      </c>
      <c r="T551" s="15"/>
    </row>
    <row r="552" spans="1:20" x14ac:dyDescent="0.25">
      <c r="A552" s="15" t="s">
        <v>344</v>
      </c>
      <c r="B552" s="15" t="s">
        <v>464</v>
      </c>
      <c r="C552" s="15" t="str">
        <f t="shared" si="8"/>
        <v>HSR Siberia</v>
      </c>
      <c r="D552" s="15" t="s">
        <v>469</v>
      </c>
      <c r="E552" s="15" t="str">
        <f t="shared" si="9"/>
        <v>RADM Siberia</v>
      </c>
      <c r="F552" s="15" t="s">
        <v>474</v>
      </c>
      <c r="G552" s="15"/>
      <c r="H552" s="15"/>
      <c r="I552" s="15"/>
      <c r="J552" s="15"/>
      <c r="K552" s="15" t="s">
        <v>343</v>
      </c>
      <c r="L552" s="15">
        <v>491515278.56228167</v>
      </c>
      <c r="M552" s="15">
        <v>0</v>
      </c>
      <c r="N552" s="15">
        <v>0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/>
    </row>
    <row r="553" spans="1:20" x14ac:dyDescent="0.25">
      <c r="A553" s="15" t="s">
        <v>127</v>
      </c>
      <c r="B553" s="15" t="s">
        <v>464</v>
      </c>
      <c r="C553" s="15" t="str">
        <f t="shared" si="8"/>
        <v>HSR Siberia</v>
      </c>
      <c r="D553" s="15" t="s">
        <v>469</v>
      </c>
      <c r="E553" s="15" t="str">
        <f t="shared" si="9"/>
        <v>RADM Siberia</v>
      </c>
      <c r="F553" s="15" t="s">
        <v>474</v>
      </c>
      <c r="G553" s="15"/>
      <c r="H553" s="15"/>
      <c r="I553" s="15"/>
      <c r="J553" s="15"/>
      <c r="K553" s="15" t="s">
        <v>343</v>
      </c>
      <c r="L553" s="15">
        <v>321261802.06234795</v>
      </c>
      <c r="M553" s="15">
        <v>0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/>
    </row>
    <row r="554" spans="1:20" x14ac:dyDescent="0.25">
      <c r="A554" s="15" t="s">
        <v>133</v>
      </c>
      <c r="B554" s="15" t="s">
        <v>464</v>
      </c>
      <c r="C554" s="15" t="str">
        <f t="shared" si="8"/>
        <v>HSR Siberia</v>
      </c>
      <c r="D554" s="15" t="s">
        <v>469</v>
      </c>
      <c r="E554" s="15" t="str">
        <f t="shared" si="9"/>
        <v>RADM Siberia</v>
      </c>
      <c r="F554" s="15" t="s">
        <v>474</v>
      </c>
      <c r="G554" s="15"/>
      <c r="H554" s="15"/>
      <c r="I554" s="15"/>
      <c r="J554" s="15"/>
      <c r="K554" s="15" t="s">
        <v>343</v>
      </c>
      <c r="L554" s="15">
        <v>114883267.42855136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/>
    </row>
    <row r="555" spans="1:20" x14ac:dyDescent="0.25">
      <c r="A555" s="15" t="s">
        <v>420</v>
      </c>
      <c r="B555" s="15" t="s">
        <v>464</v>
      </c>
      <c r="C555" s="15" t="str">
        <f t="shared" si="8"/>
        <v>HSR Siberia</v>
      </c>
      <c r="D555" s="15" t="s">
        <v>469</v>
      </c>
      <c r="E555" s="15" t="str">
        <f t="shared" si="9"/>
        <v>RADM Siberia</v>
      </c>
      <c r="F555" s="15" t="s">
        <v>474</v>
      </c>
      <c r="G555" s="15"/>
      <c r="H555" s="15"/>
      <c r="I555" s="15"/>
      <c r="J555" s="15"/>
      <c r="K555" s="15" t="s">
        <v>343</v>
      </c>
      <c r="L555" s="15">
        <v>24762485.965072762</v>
      </c>
      <c r="M555" s="15">
        <v>0</v>
      </c>
      <c r="N555" s="15">
        <v>0</v>
      </c>
      <c r="O555" s="15">
        <v>0</v>
      </c>
      <c r="P555" s="15">
        <v>0</v>
      </c>
      <c r="Q555" s="15">
        <v>0</v>
      </c>
      <c r="R555" s="15">
        <v>0</v>
      </c>
      <c r="S555" s="15">
        <v>0</v>
      </c>
      <c r="T555" s="15"/>
    </row>
    <row r="556" spans="1:20" x14ac:dyDescent="0.25">
      <c r="A556" s="15" t="s">
        <v>383</v>
      </c>
      <c r="B556" s="15" t="s">
        <v>464</v>
      </c>
      <c r="C556" s="15" t="str">
        <f t="shared" si="8"/>
        <v>HSR Siberia</v>
      </c>
      <c r="D556" s="15" t="s">
        <v>465</v>
      </c>
      <c r="E556" s="15" t="str">
        <f t="shared" si="9"/>
        <v>TDM Siberia</v>
      </c>
      <c r="F556" s="15" t="s">
        <v>473</v>
      </c>
      <c r="G556" s="15"/>
      <c r="H556" s="15"/>
      <c r="I556" s="15"/>
      <c r="J556" s="15"/>
      <c r="K556" s="15" t="s">
        <v>343</v>
      </c>
      <c r="L556" s="15">
        <v>0</v>
      </c>
      <c r="M556" s="15">
        <v>0</v>
      </c>
      <c r="N556" s="15">
        <v>0</v>
      </c>
      <c r="O556" s="15">
        <v>0</v>
      </c>
      <c r="P556" s="15">
        <v>0</v>
      </c>
      <c r="Q556" s="15">
        <v>594299663.16174626</v>
      </c>
      <c r="R556" s="15">
        <v>461572470.0557043</v>
      </c>
      <c r="S556" s="15">
        <v>0</v>
      </c>
      <c r="T556" s="15"/>
    </row>
    <row r="557" spans="1:20" x14ac:dyDescent="0.25">
      <c r="A557" s="15" t="s">
        <v>344</v>
      </c>
      <c r="B557" s="15" t="s">
        <v>464</v>
      </c>
      <c r="C557" s="15" t="str">
        <f t="shared" si="8"/>
        <v>HSR Siberia</v>
      </c>
      <c r="D557" s="15" t="s">
        <v>465</v>
      </c>
      <c r="E557" s="15" t="str">
        <f t="shared" si="9"/>
        <v>TDM Siberia</v>
      </c>
      <c r="F557" s="15" t="s">
        <v>473</v>
      </c>
      <c r="G557" s="15"/>
      <c r="H557" s="15"/>
      <c r="I557" s="15"/>
      <c r="J557" s="15"/>
      <c r="K557" s="15" t="s">
        <v>343</v>
      </c>
      <c r="L557" s="15">
        <v>0</v>
      </c>
      <c r="M557" s="15">
        <v>0</v>
      </c>
      <c r="N557" s="15">
        <v>0</v>
      </c>
      <c r="O557" s="15">
        <v>0</v>
      </c>
      <c r="P557" s="15">
        <v>0</v>
      </c>
      <c r="Q557" s="15">
        <v>491515278.56228167</v>
      </c>
      <c r="R557" s="15">
        <v>368676205.98230016</v>
      </c>
      <c r="S557" s="15">
        <v>0</v>
      </c>
      <c r="T557" s="15"/>
    </row>
    <row r="558" spans="1:20" x14ac:dyDescent="0.25">
      <c r="A558" s="15" t="s">
        <v>127</v>
      </c>
      <c r="B558" s="15" t="s">
        <v>464</v>
      </c>
      <c r="C558" s="15" t="str">
        <f t="shared" si="8"/>
        <v>HSR Siberia</v>
      </c>
      <c r="D558" s="15" t="s">
        <v>465</v>
      </c>
      <c r="E558" s="15" t="str">
        <f t="shared" si="9"/>
        <v>TDM Siberia</v>
      </c>
      <c r="F558" s="15" t="s">
        <v>473</v>
      </c>
      <c r="G558" s="15"/>
      <c r="H558" s="15"/>
      <c r="I558" s="15"/>
      <c r="J558" s="15"/>
      <c r="K558" s="15" t="s">
        <v>343</v>
      </c>
      <c r="L558" s="15">
        <v>0</v>
      </c>
      <c r="M558" s="15">
        <v>0</v>
      </c>
      <c r="N558" s="15">
        <v>0</v>
      </c>
      <c r="O558" s="15">
        <v>0</v>
      </c>
      <c r="P558" s="15">
        <v>0</v>
      </c>
      <c r="Q558" s="15">
        <v>321261802.06234795</v>
      </c>
      <c r="R558" s="15">
        <v>256180909.35876647</v>
      </c>
      <c r="S558" s="15">
        <v>0</v>
      </c>
      <c r="T558" s="15"/>
    </row>
    <row r="559" spans="1:20" x14ac:dyDescent="0.25">
      <c r="A559" s="15" t="s">
        <v>133</v>
      </c>
      <c r="B559" s="15" t="s">
        <v>464</v>
      </c>
      <c r="C559" s="15" t="str">
        <f t="shared" si="8"/>
        <v>HSR Siberia</v>
      </c>
      <c r="D559" s="15" t="s">
        <v>465</v>
      </c>
      <c r="E559" s="15" t="str">
        <f t="shared" si="9"/>
        <v>TDM Siberia</v>
      </c>
      <c r="F559" s="15" t="s">
        <v>473</v>
      </c>
      <c r="G559" s="15"/>
      <c r="H559" s="15"/>
      <c r="I559" s="15"/>
      <c r="J559" s="15"/>
      <c r="K559" s="15" t="s">
        <v>343</v>
      </c>
      <c r="L559" s="15">
        <v>0</v>
      </c>
      <c r="M559" s="15">
        <v>0</v>
      </c>
      <c r="N559" s="15">
        <v>0</v>
      </c>
      <c r="O559" s="15">
        <v>0</v>
      </c>
      <c r="P559" s="15">
        <v>0</v>
      </c>
      <c r="Q559" s="15">
        <v>114883267.42855136</v>
      </c>
      <c r="R559" s="15">
        <v>68437168.244202793</v>
      </c>
      <c r="S559" s="15">
        <v>0</v>
      </c>
      <c r="T559" s="15"/>
    </row>
    <row r="560" spans="1:20" x14ac:dyDescent="0.25">
      <c r="A560" s="15" t="s">
        <v>420</v>
      </c>
      <c r="B560" s="15" t="s">
        <v>464</v>
      </c>
      <c r="C560" s="15" t="str">
        <f t="shared" si="8"/>
        <v>HSR Siberia</v>
      </c>
      <c r="D560" s="15" t="s">
        <v>465</v>
      </c>
      <c r="E560" s="15" t="str">
        <f t="shared" si="9"/>
        <v>TDM Siberia</v>
      </c>
      <c r="F560" s="15" t="s">
        <v>473</v>
      </c>
      <c r="G560" s="15"/>
      <c r="H560" s="15"/>
      <c r="I560" s="15"/>
      <c r="J560" s="15"/>
      <c r="K560" s="15" t="s">
        <v>343</v>
      </c>
      <c r="L560" s="15">
        <v>0</v>
      </c>
      <c r="M560" s="15">
        <v>0</v>
      </c>
      <c r="N560" s="15">
        <v>0</v>
      </c>
      <c r="O560" s="15">
        <v>0</v>
      </c>
      <c r="P560" s="15">
        <v>0</v>
      </c>
      <c r="Q560" s="15">
        <v>24762485.965072762</v>
      </c>
      <c r="R560" s="15">
        <v>0</v>
      </c>
      <c r="S560" s="15">
        <v>0</v>
      </c>
      <c r="T560" s="15"/>
    </row>
    <row r="561" spans="1:20" x14ac:dyDescent="0.25">
      <c r="A561" s="15" t="s">
        <v>420</v>
      </c>
      <c r="B561" s="15" t="s">
        <v>464</v>
      </c>
      <c r="C561" s="15" t="str">
        <f t="shared" si="8"/>
        <v>HSR Siberia</v>
      </c>
      <c r="D561" s="15" t="s">
        <v>465</v>
      </c>
      <c r="E561" s="15" t="str">
        <f t="shared" si="9"/>
        <v>TDM Siberia</v>
      </c>
      <c r="F561" s="15" t="s">
        <v>473</v>
      </c>
      <c r="G561" s="15"/>
      <c r="H561" s="15"/>
      <c r="I561" s="15"/>
      <c r="J561" s="15"/>
      <c r="K561" s="15" t="s">
        <v>343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4386979.91</v>
      </c>
      <c r="R561" s="15">
        <v>0</v>
      </c>
      <c r="S561" s="15">
        <v>0</v>
      </c>
      <c r="T561" s="15"/>
    </row>
    <row r="562" spans="1:20" x14ac:dyDescent="0.25">
      <c r="A562" s="15" t="s">
        <v>383</v>
      </c>
      <c r="B562" s="15" t="s">
        <v>464</v>
      </c>
      <c r="C562" s="15" t="str">
        <f t="shared" si="8"/>
        <v>HSR Siberia</v>
      </c>
      <c r="D562" s="15" t="s">
        <v>465</v>
      </c>
      <c r="E562" s="15" t="str">
        <f t="shared" si="9"/>
        <v>TDM Siberia</v>
      </c>
      <c r="F562" s="15" t="s">
        <v>473</v>
      </c>
      <c r="G562" s="15"/>
      <c r="H562" s="15"/>
      <c r="I562" s="15"/>
      <c r="J562" s="15"/>
      <c r="K562" s="15" t="s">
        <v>343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108629205.9599995</v>
      </c>
      <c r="R562" s="15">
        <v>27587077.313190907</v>
      </c>
      <c r="S562" s="15">
        <v>0</v>
      </c>
      <c r="T562" s="15"/>
    </row>
    <row r="563" spans="1:20" x14ac:dyDescent="0.25">
      <c r="A563" s="15" t="s">
        <v>344</v>
      </c>
      <c r="B563" s="15" t="s">
        <v>464</v>
      </c>
      <c r="C563" s="15" t="str">
        <f t="shared" si="8"/>
        <v>HSR Siberia</v>
      </c>
      <c r="D563" s="15" t="s">
        <v>465</v>
      </c>
      <c r="E563" s="15" t="str">
        <f t="shared" si="9"/>
        <v>TDM Siberia</v>
      </c>
      <c r="F563" s="15" t="s">
        <v>473</v>
      </c>
      <c r="G563" s="15"/>
      <c r="H563" s="15"/>
      <c r="I563" s="15"/>
      <c r="J563" s="15"/>
      <c r="K563" s="15" t="s">
        <v>343</v>
      </c>
      <c r="L563" s="15">
        <v>0</v>
      </c>
      <c r="M563" s="15">
        <v>0</v>
      </c>
      <c r="N563" s="15">
        <v>0</v>
      </c>
      <c r="O563" s="15">
        <v>0</v>
      </c>
      <c r="P563" s="15">
        <v>0</v>
      </c>
      <c r="Q563" s="15">
        <v>238713553.10999873</v>
      </c>
      <c r="R563" s="15">
        <v>160342343.65884095</v>
      </c>
      <c r="S563" s="15">
        <v>0</v>
      </c>
      <c r="T563" s="15"/>
    </row>
    <row r="564" spans="1:20" x14ac:dyDescent="0.25">
      <c r="A564" s="15" t="s">
        <v>135</v>
      </c>
      <c r="B564" s="15" t="s">
        <v>464</v>
      </c>
      <c r="C564" s="15" t="str">
        <f t="shared" si="8"/>
        <v>HSR Siberia</v>
      </c>
      <c r="D564" s="15" t="s">
        <v>465</v>
      </c>
      <c r="E564" s="15" t="str">
        <f t="shared" si="9"/>
        <v>TDM Siberia</v>
      </c>
      <c r="F564" s="15" t="s">
        <v>473</v>
      </c>
      <c r="G564" s="15"/>
      <c r="H564" s="15"/>
      <c r="I564" s="15"/>
      <c r="J564" s="15"/>
      <c r="K564" s="15" t="s">
        <v>343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1220654.8799999997</v>
      </c>
      <c r="R564" s="15">
        <v>0</v>
      </c>
      <c r="S564" s="15">
        <v>0</v>
      </c>
      <c r="T564" s="15"/>
    </row>
    <row r="565" spans="1:20" x14ac:dyDescent="0.25">
      <c r="A565" s="15" t="s">
        <v>127</v>
      </c>
      <c r="B565" s="15" t="s">
        <v>464</v>
      </c>
      <c r="C565" s="15" t="str">
        <f t="shared" si="8"/>
        <v>HSR Siberia</v>
      </c>
      <c r="D565" s="15" t="s">
        <v>465</v>
      </c>
      <c r="E565" s="15" t="str">
        <f t="shared" si="9"/>
        <v>TDM Siberia</v>
      </c>
      <c r="F565" s="15" t="s">
        <v>473</v>
      </c>
      <c r="G565" s="15"/>
      <c r="H565" s="15"/>
      <c r="I565" s="15"/>
      <c r="J565" s="15"/>
      <c r="K565" s="15" t="s">
        <v>343</v>
      </c>
      <c r="L565" s="15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300455001.49999845</v>
      </c>
      <c r="R565" s="15">
        <v>77923810.478209168</v>
      </c>
      <c r="S565" s="15">
        <v>0</v>
      </c>
      <c r="T565" s="15"/>
    </row>
    <row r="566" spans="1:20" x14ac:dyDescent="0.25">
      <c r="A566" s="15" t="s">
        <v>123</v>
      </c>
      <c r="B566" s="15" t="s">
        <v>464</v>
      </c>
      <c r="C566" s="15" t="str">
        <f t="shared" si="8"/>
        <v>HSR Siberia</v>
      </c>
      <c r="D566" s="15" t="s">
        <v>465</v>
      </c>
      <c r="E566" s="15" t="str">
        <f t="shared" si="9"/>
        <v>TDM Siberia</v>
      </c>
      <c r="F566" s="15" t="s">
        <v>473</v>
      </c>
      <c r="G566" s="15"/>
      <c r="H566" s="15"/>
      <c r="I566" s="15"/>
      <c r="J566" s="15"/>
      <c r="K566" s="15" t="s">
        <v>343</v>
      </c>
      <c r="L566" s="15">
        <v>0</v>
      </c>
      <c r="M566" s="15">
        <v>0</v>
      </c>
      <c r="N566" s="15">
        <v>0</v>
      </c>
      <c r="O566" s="15">
        <v>0</v>
      </c>
      <c r="P566" s="15">
        <v>0</v>
      </c>
      <c r="Q566" s="15">
        <v>1220654.8799999999</v>
      </c>
      <c r="R566" s="15">
        <v>0</v>
      </c>
      <c r="S566" s="15">
        <v>0</v>
      </c>
      <c r="T566" s="15"/>
    </row>
    <row r="567" spans="1:20" x14ac:dyDescent="0.25">
      <c r="A567" s="15" t="s">
        <v>133</v>
      </c>
      <c r="B567" s="15" t="s">
        <v>464</v>
      </c>
      <c r="C567" s="15" t="str">
        <f t="shared" si="8"/>
        <v>HSR Siberia</v>
      </c>
      <c r="D567" s="15" t="s">
        <v>465</v>
      </c>
      <c r="E567" s="15" t="str">
        <f t="shared" si="9"/>
        <v>TDM Siberia</v>
      </c>
      <c r="F567" s="15" t="s">
        <v>473</v>
      </c>
      <c r="G567" s="15"/>
      <c r="H567" s="15"/>
      <c r="I567" s="15"/>
      <c r="J567" s="15"/>
      <c r="K567" s="15" t="s">
        <v>343</v>
      </c>
      <c r="L567" s="15">
        <v>0</v>
      </c>
      <c r="M567" s="15">
        <v>0</v>
      </c>
      <c r="N567" s="15">
        <v>0</v>
      </c>
      <c r="O567" s="15">
        <v>0</v>
      </c>
      <c r="P567" s="15">
        <v>0</v>
      </c>
      <c r="Q567" s="15">
        <v>22106208.609999988</v>
      </c>
      <c r="R567" s="15">
        <v>0</v>
      </c>
      <c r="S567" s="15">
        <v>0</v>
      </c>
      <c r="T567" s="15"/>
    </row>
    <row r="568" spans="1:20" x14ac:dyDescent="0.25">
      <c r="A568" s="15" t="s">
        <v>135</v>
      </c>
      <c r="B568" s="15" t="s">
        <v>464</v>
      </c>
      <c r="C568" s="15" t="str">
        <f t="shared" si="8"/>
        <v>HSR Siberia</v>
      </c>
      <c r="D568" s="15" t="s">
        <v>469</v>
      </c>
      <c r="E568" s="15" t="str">
        <f t="shared" si="9"/>
        <v>RADM Siberia</v>
      </c>
      <c r="F568" s="15" t="s">
        <v>477</v>
      </c>
      <c r="G568" s="15"/>
      <c r="H568" s="15" t="s">
        <v>478</v>
      </c>
      <c r="I568" s="15"/>
      <c r="J568" s="15">
        <v>1</v>
      </c>
      <c r="K568" s="15"/>
      <c r="L568" s="15">
        <v>190260307.72000337</v>
      </c>
      <c r="M568" s="15">
        <v>0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/>
    </row>
    <row r="569" spans="1:20" x14ac:dyDescent="0.25">
      <c r="A569" s="15" t="s">
        <v>138</v>
      </c>
      <c r="B569" s="15" t="s">
        <v>464</v>
      </c>
      <c r="C569" s="15" t="str">
        <f t="shared" si="8"/>
        <v>HSR Siberia</v>
      </c>
      <c r="D569" s="15" t="s">
        <v>469</v>
      </c>
      <c r="E569" s="15" t="str">
        <f t="shared" si="9"/>
        <v>RADM Siberia</v>
      </c>
      <c r="F569" s="15" t="s">
        <v>477</v>
      </c>
      <c r="G569" s="15"/>
      <c r="H569" s="15" t="s">
        <v>478</v>
      </c>
      <c r="I569" s="15"/>
      <c r="J569" s="15"/>
      <c r="K569" s="15"/>
      <c r="L569" s="15">
        <v>29062463.519999985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/>
    </row>
    <row r="570" spans="1:20" x14ac:dyDescent="0.25">
      <c r="A570" s="15" t="s">
        <v>135</v>
      </c>
      <c r="B570" s="15" t="s">
        <v>464</v>
      </c>
      <c r="C570" s="15" t="str">
        <f t="shared" si="8"/>
        <v>HSR Siberia</v>
      </c>
      <c r="D570" s="15" t="s">
        <v>469</v>
      </c>
      <c r="E570" s="15" t="str">
        <f t="shared" si="9"/>
        <v>RADM Siberia</v>
      </c>
      <c r="F570" s="15" t="s">
        <v>477</v>
      </c>
      <c r="G570" s="15"/>
      <c r="H570" s="15" t="s">
        <v>478</v>
      </c>
      <c r="I570" s="15"/>
      <c r="J570" s="15">
        <v>1</v>
      </c>
      <c r="K570" s="15"/>
      <c r="L570" s="15">
        <v>398858193.26999992</v>
      </c>
      <c r="M570" s="15">
        <v>0</v>
      </c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/>
    </row>
    <row r="571" spans="1:20" x14ac:dyDescent="0.25">
      <c r="A571" s="15" t="s">
        <v>135</v>
      </c>
      <c r="B571" s="15" t="s">
        <v>464</v>
      </c>
      <c r="C571" s="15" t="str">
        <f t="shared" si="8"/>
        <v>HSR Siberia</v>
      </c>
      <c r="D571" s="15" t="s">
        <v>465</v>
      </c>
      <c r="E571" s="15" t="str">
        <f t="shared" si="9"/>
        <v>TDM Siberia</v>
      </c>
      <c r="F571" s="15" t="s">
        <v>473</v>
      </c>
      <c r="G571" s="15"/>
      <c r="H571" s="15"/>
      <c r="I571" s="15"/>
      <c r="J571" s="15"/>
      <c r="K571" s="15" t="s">
        <v>343</v>
      </c>
      <c r="L571" s="15">
        <v>0</v>
      </c>
      <c r="M571" s="15">
        <v>0</v>
      </c>
      <c r="N571" s="15">
        <v>0</v>
      </c>
      <c r="O571" s="15">
        <v>0</v>
      </c>
      <c r="P571" s="15">
        <v>0</v>
      </c>
      <c r="Q571" s="15">
        <v>190260307.72000337</v>
      </c>
      <c r="R571" s="15">
        <v>0</v>
      </c>
      <c r="S571" s="15">
        <v>0</v>
      </c>
      <c r="T571" s="15"/>
    </row>
    <row r="572" spans="1:20" x14ac:dyDescent="0.25">
      <c r="A572" s="15" t="s">
        <v>138</v>
      </c>
      <c r="B572" s="15" t="s">
        <v>464</v>
      </c>
      <c r="C572" s="15" t="str">
        <f t="shared" si="8"/>
        <v>HSR Siberia</v>
      </c>
      <c r="D572" s="15" t="s">
        <v>465</v>
      </c>
      <c r="E572" s="15" t="str">
        <f t="shared" si="9"/>
        <v>TDM Siberia</v>
      </c>
      <c r="F572" s="15" t="s">
        <v>473</v>
      </c>
      <c r="G572" s="15"/>
      <c r="H572" s="15"/>
      <c r="I572" s="15"/>
      <c r="J572" s="15"/>
      <c r="K572" s="15" t="s">
        <v>343</v>
      </c>
      <c r="L572" s="15">
        <v>0</v>
      </c>
      <c r="M572" s="15">
        <v>0</v>
      </c>
      <c r="N572" s="15">
        <v>0</v>
      </c>
      <c r="O572" s="15">
        <v>0</v>
      </c>
      <c r="P572" s="15">
        <v>0</v>
      </c>
      <c r="Q572" s="15">
        <v>29062463.519999985</v>
      </c>
      <c r="R572" s="15">
        <v>0</v>
      </c>
      <c r="S572" s="15">
        <v>0</v>
      </c>
      <c r="T572" s="15"/>
    </row>
    <row r="573" spans="1:20" x14ac:dyDescent="0.25">
      <c r="A573" s="15" t="s">
        <v>135</v>
      </c>
      <c r="B573" s="15" t="s">
        <v>464</v>
      </c>
      <c r="C573" s="15" t="str">
        <f t="shared" si="8"/>
        <v>HSR Siberia</v>
      </c>
      <c r="D573" s="15" t="s">
        <v>465</v>
      </c>
      <c r="E573" s="15" t="str">
        <f t="shared" si="9"/>
        <v>TDM Siberia</v>
      </c>
      <c r="F573" s="15" t="s">
        <v>473</v>
      </c>
      <c r="G573" s="15"/>
      <c r="H573" s="15"/>
      <c r="I573" s="15"/>
      <c r="J573" s="15"/>
      <c r="K573" s="15" t="s">
        <v>343</v>
      </c>
      <c r="L573" s="15">
        <v>0</v>
      </c>
      <c r="M573" s="15">
        <v>0</v>
      </c>
      <c r="N573" s="15">
        <v>0</v>
      </c>
      <c r="O573" s="15">
        <v>0</v>
      </c>
      <c r="P573" s="15">
        <v>0</v>
      </c>
      <c r="Q573" s="15">
        <v>398858193.26999992</v>
      </c>
      <c r="R573" s="15">
        <v>0</v>
      </c>
      <c r="S573" s="15">
        <v>0</v>
      </c>
      <c r="T573" s="15"/>
    </row>
    <row r="574" spans="1:20" ht="30" x14ac:dyDescent="0.25">
      <c r="A574" s="15" t="s">
        <v>135</v>
      </c>
      <c r="B574" s="15" t="s">
        <v>464</v>
      </c>
      <c r="C574" s="15" t="str">
        <f t="shared" si="8"/>
        <v>HSR Siberia</v>
      </c>
      <c r="D574" s="15" t="s">
        <v>481</v>
      </c>
      <c r="E574" s="15" t="str">
        <f t="shared" si="9"/>
        <v>ASM SIB Krasnoyarsk+Abakan+Tuva+Kuzbass+Norilsk</v>
      </c>
      <c r="F574" s="15" t="s">
        <v>482</v>
      </c>
      <c r="G574" s="15"/>
      <c r="H574" s="15" t="s">
        <v>478</v>
      </c>
      <c r="I574" s="15">
        <v>1</v>
      </c>
      <c r="J574" s="15"/>
      <c r="K574" s="15"/>
      <c r="L574" s="15">
        <v>0</v>
      </c>
      <c r="M574" s="15">
        <v>283457019.83000004</v>
      </c>
      <c r="N574" s="15">
        <v>14201168.000000009</v>
      </c>
      <c r="O574" s="15">
        <v>196318626.89000005</v>
      </c>
      <c r="P574" s="15">
        <v>0</v>
      </c>
      <c r="Q574" s="15">
        <v>0</v>
      </c>
      <c r="R574" s="15">
        <v>0</v>
      </c>
      <c r="S574" s="15">
        <v>0</v>
      </c>
      <c r="T574" s="15"/>
    </row>
    <row r="575" spans="1:20" ht="30" x14ac:dyDescent="0.25">
      <c r="A575" s="15" t="s">
        <v>127</v>
      </c>
      <c r="B575" s="15" t="s">
        <v>464</v>
      </c>
      <c r="C575" s="15" t="str">
        <f t="shared" si="8"/>
        <v>HSR Siberia</v>
      </c>
      <c r="D575" s="15" t="s">
        <v>481</v>
      </c>
      <c r="E575" s="15" t="str">
        <f t="shared" si="9"/>
        <v>ASM SIB Krasnoyarsk+Abakan+Tuva+Kuzbass+Norilsk</v>
      </c>
      <c r="F575" s="15" t="s">
        <v>483</v>
      </c>
      <c r="G575" s="15"/>
      <c r="H575" s="15" t="s">
        <v>355</v>
      </c>
      <c r="I575" s="15">
        <v>1</v>
      </c>
      <c r="J575" s="15"/>
      <c r="K575" s="15"/>
      <c r="L575" s="15">
        <v>0</v>
      </c>
      <c r="M575" s="15">
        <v>34880558.810000002</v>
      </c>
      <c r="N575" s="15">
        <v>2091125.26</v>
      </c>
      <c r="O575" s="15">
        <v>139815950.95999998</v>
      </c>
      <c r="P575" s="15">
        <v>0</v>
      </c>
      <c r="Q575" s="15">
        <v>0</v>
      </c>
      <c r="R575" s="15">
        <v>0</v>
      </c>
      <c r="S575" s="15">
        <v>0</v>
      </c>
      <c r="T575" s="15"/>
    </row>
    <row r="576" spans="1:20" ht="30" x14ac:dyDescent="0.25">
      <c r="A576" s="15" t="s">
        <v>420</v>
      </c>
      <c r="B576" s="15" t="s">
        <v>464</v>
      </c>
      <c r="C576" s="15" t="str">
        <f t="shared" si="8"/>
        <v>HSR Siberia</v>
      </c>
      <c r="D576" s="15" t="s">
        <v>481</v>
      </c>
      <c r="E576" s="15" t="str">
        <f t="shared" si="9"/>
        <v>ASM SIB Krasnoyarsk+Abakan+Tuva+Kuzbass+Norilsk</v>
      </c>
      <c r="F576" s="15" t="s">
        <v>484</v>
      </c>
      <c r="G576" s="15"/>
      <c r="H576" s="15" t="s">
        <v>355</v>
      </c>
      <c r="I576" s="15"/>
      <c r="J576" s="15"/>
      <c r="K576" s="15"/>
      <c r="L576" s="15">
        <v>0</v>
      </c>
      <c r="M576" s="15">
        <v>7559280.2800000003</v>
      </c>
      <c r="N576" s="15">
        <v>293180.96000000002</v>
      </c>
      <c r="O576" s="15">
        <v>6270010.7999999998</v>
      </c>
      <c r="P576" s="15">
        <v>0</v>
      </c>
      <c r="Q576" s="15">
        <v>0</v>
      </c>
      <c r="R576" s="15">
        <v>0</v>
      </c>
      <c r="S576" s="15">
        <v>0</v>
      </c>
      <c r="T576" s="15"/>
    </row>
    <row r="577" spans="1:20" x14ac:dyDescent="0.25">
      <c r="A577" s="15" t="s">
        <v>420</v>
      </c>
      <c r="B577" s="15" t="s">
        <v>464</v>
      </c>
      <c r="C577" s="15" t="str">
        <f t="shared" si="8"/>
        <v>HSR Siberia</v>
      </c>
      <c r="D577" s="15" t="s">
        <v>469</v>
      </c>
      <c r="E577" s="15" t="str">
        <f t="shared" si="9"/>
        <v>RADM Siberia</v>
      </c>
      <c r="F577" s="15" t="s">
        <v>485</v>
      </c>
      <c r="G577" s="15"/>
      <c r="H577" s="15" t="s">
        <v>355</v>
      </c>
      <c r="I577" s="15"/>
      <c r="J577" s="15"/>
      <c r="K577" s="15"/>
      <c r="L577" s="15">
        <v>0</v>
      </c>
      <c r="M577" s="15">
        <v>0</v>
      </c>
      <c r="N577" s="15">
        <v>8338655.9999999981</v>
      </c>
      <c r="O577" s="15">
        <v>0</v>
      </c>
      <c r="P577" s="15">
        <v>0</v>
      </c>
      <c r="Q577" s="15">
        <v>8338655.9999999981</v>
      </c>
      <c r="R577" s="15">
        <v>0</v>
      </c>
      <c r="S577" s="15">
        <v>0</v>
      </c>
      <c r="T577" s="15"/>
    </row>
    <row r="578" spans="1:20" ht="30" x14ac:dyDescent="0.25">
      <c r="A578" s="15" t="s">
        <v>383</v>
      </c>
      <c r="B578" s="15" t="s">
        <v>464</v>
      </c>
      <c r="C578" s="15" t="str">
        <f t="shared" si="8"/>
        <v>HSR Siberia</v>
      </c>
      <c r="D578" s="15" t="s">
        <v>481</v>
      </c>
      <c r="E578" s="15" t="str">
        <f t="shared" si="9"/>
        <v>ASM SIB Krasnoyarsk+Abakan+Tuva+Kuzbass+Norilsk</v>
      </c>
      <c r="F578" s="15" t="s">
        <v>484</v>
      </c>
      <c r="G578" s="15"/>
      <c r="H578" s="15" t="s">
        <v>355</v>
      </c>
      <c r="I578" s="15">
        <v>1</v>
      </c>
      <c r="J578" s="15"/>
      <c r="K578" s="15"/>
      <c r="L578" s="15">
        <v>0</v>
      </c>
      <c r="M578" s="15">
        <v>86102087.389999986</v>
      </c>
      <c r="N578" s="15">
        <v>2997710.13</v>
      </c>
      <c r="O578" s="15">
        <v>111635936.67000006</v>
      </c>
      <c r="P578" s="15">
        <v>0</v>
      </c>
      <c r="Q578" s="15">
        <v>0</v>
      </c>
      <c r="R578" s="15">
        <v>0</v>
      </c>
      <c r="S578" s="15">
        <v>0</v>
      </c>
      <c r="T578" s="15"/>
    </row>
    <row r="579" spans="1:20" ht="30" x14ac:dyDescent="0.25">
      <c r="A579" s="15" t="s">
        <v>383</v>
      </c>
      <c r="B579" s="15" t="s">
        <v>464</v>
      </c>
      <c r="C579" s="15" t="str">
        <f t="shared" si="8"/>
        <v>HSR Siberia</v>
      </c>
      <c r="D579" s="15" t="s">
        <v>481</v>
      </c>
      <c r="E579" s="15" t="str">
        <f t="shared" si="9"/>
        <v>ASM SIB Krasnoyarsk+Abakan+Tuva+Kuzbass+Norilsk</v>
      </c>
      <c r="F579" s="15" t="s">
        <v>482</v>
      </c>
      <c r="G579" s="15"/>
      <c r="H579" s="15" t="s">
        <v>478</v>
      </c>
      <c r="I579" s="15"/>
      <c r="J579" s="15"/>
      <c r="K579" s="15"/>
      <c r="L579" s="15">
        <v>0</v>
      </c>
      <c r="M579" s="15">
        <v>0</v>
      </c>
      <c r="N579" s="15">
        <v>0</v>
      </c>
      <c r="O579" s="15">
        <v>28433.079999999998</v>
      </c>
      <c r="P579" s="15">
        <v>0</v>
      </c>
      <c r="Q579" s="15">
        <v>0</v>
      </c>
      <c r="R579" s="15">
        <v>0</v>
      </c>
      <c r="S579" s="15">
        <v>0</v>
      </c>
      <c r="T579" s="15"/>
    </row>
    <row r="580" spans="1:20" ht="30" x14ac:dyDescent="0.25">
      <c r="A580" s="15" t="s">
        <v>383</v>
      </c>
      <c r="B580" s="15" t="s">
        <v>464</v>
      </c>
      <c r="C580" s="15" t="str">
        <f t="shared" si="8"/>
        <v>HSR Siberia</v>
      </c>
      <c r="D580" s="15" t="s">
        <v>481</v>
      </c>
      <c r="E580" s="15" t="str">
        <f t="shared" si="9"/>
        <v>ASM SIB Krasnoyarsk+Abakan+Tuva+Kuzbass+Norilsk</v>
      </c>
      <c r="F580" s="15" t="s">
        <v>486</v>
      </c>
      <c r="G580" s="15"/>
      <c r="H580" s="15" t="s">
        <v>428</v>
      </c>
      <c r="I580" s="15"/>
      <c r="J580" s="15"/>
      <c r="K580" s="15"/>
      <c r="L580" s="15">
        <v>0</v>
      </c>
      <c r="M580" s="15">
        <v>0</v>
      </c>
      <c r="N580" s="15">
        <v>0</v>
      </c>
      <c r="O580" s="15">
        <v>6889610.7199999969</v>
      </c>
      <c r="P580" s="15">
        <v>0</v>
      </c>
      <c r="Q580" s="15">
        <v>0</v>
      </c>
      <c r="R580" s="15">
        <v>0</v>
      </c>
      <c r="S580" s="15">
        <v>0</v>
      </c>
      <c r="T580" s="15"/>
    </row>
    <row r="581" spans="1:20" x14ac:dyDescent="0.25">
      <c r="A581" s="15" t="s">
        <v>383</v>
      </c>
      <c r="B581" s="15" t="s">
        <v>464</v>
      </c>
      <c r="C581" s="15" t="str">
        <f t="shared" ref="C581:C644" si="10">B581</f>
        <v>HSR Siberia</v>
      </c>
      <c r="D581" s="15" t="s">
        <v>469</v>
      </c>
      <c r="E581" s="15" t="str">
        <f t="shared" ref="E581:E644" si="11">D581</f>
        <v>RADM Siberia</v>
      </c>
      <c r="F581" s="15" t="s">
        <v>485</v>
      </c>
      <c r="G581" s="15"/>
      <c r="H581" s="15" t="s">
        <v>355</v>
      </c>
      <c r="I581" s="15">
        <v>1</v>
      </c>
      <c r="J581" s="15"/>
      <c r="K581" s="15"/>
      <c r="L581" s="15">
        <v>0</v>
      </c>
      <c r="M581" s="15">
        <v>0</v>
      </c>
      <c r="N581" s="15">
        <v>55786787.809999935</v>
      </c>
      <c r="O581" s="15">
        <v>0</v>
      </c>
      <c r="P581" s="15">
        <v>0</v>
      </c>
      <c r="Q581" s="15">
        <v>55786787.809999935</v>
      </c>
      <c r="R581" s="15">
        <v>0</v>
      </c>
      <c r="S581" s="15">
        <v>0</v>
      </c>
      <c r="T581" s="15"/>
    </row>
    <row r="582" spans="1:20" ht="30" x14ac:dyDescent="0.25">
      <c r="A582" s="15" t="s">
        <v>383</v>
      </c>
      <c r="B582" s="15" t="s">
        <v>464</v>
      </c>
      <c r="C582" s="15" t="str">
        <f t="shared" si="10"/>
        <v>HSR Siberia</v>
      </c>
      <c r="D582" s="15" t="s">
        <v>481</v>
      </c>
      <c r="E582" s="15" t="str">
        <f t="shared" si="11"/>
        <v>ASM SIB Krasnoyarsk+Abakan+Tuva+Kuzbass+Norilsk</v>
      </c>
      <c r="F582" s="15" t="s">
        <v>486</v>
      </c>
      <c r="G582" s="15"/>
      <c r="H582" s="15" t="s">
        <v>430</v>
      </c>
      <c r="I582" s="15"/>
      <c r="J582" s="15"/>
      <c r="K582" s="15"/>
      <c r="L582" s="15">
        <v>0</v>
      </c>
      <c r="M582" s="15">
        <v>0</v>
      </c>
      <c r="N582" s="15">
        <v>2201971.15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/>
    </row>
    <row r="583" spans="1:20" ht="30" x14ac:dyDescent="0.25">
      <c r="A583" s="15" t="s">
        <v>344</v>
      </c>
      <c r="B583" s="15" t="s">
        <v>464</v>
      </c>
      <c r="C583" s="15" t="str">
        <f t="shared" si="10"/>
        <v>HSR Siberia</v>
      </c>
      <c r="D583" s="15" t="s">
        <v>481</v>
      </c>
      <c r="E583" s="15" t="str">
        <f t="shared" si="11"/>
        <v>ASM SIB Krasnoyarsk+Abakan+Tuva+Kuzbass+Norilsk</v>
      </c>
      <c r="F583" s="15" t="s">
        <v>486</v>
      </c>
      <c r="G583" s="15"/>
      <c r="H583" s="15" t="s">
        <v>428</v>
      </c>
      <c r="I583" s="15">
        <v>1</v>
      </c>
      <c r="J583" s="15"/>
      <c r="K583" s="15"/>
      <c r="L583" s="15">
        <v>0</v>
      </c>
      <c r="M583" s="15">
        <v>16476732.709999999</v>
      </c>
      <c r="N583" s="15">
        <v>4822398.8600000003</v>
      </c>
      <c r="O583" s="15">
        <v>58859998.560000047</v>
      </c>
      <c r="P583" s="15">
        <v>0</v>
      </c>
      <c r="Q583" s="15">
        <v>0</v>
      </c>
      <c r="R583" s="15">
        <v>0</v>
      </c>
      <c r="S583" s="15">
        <v>0</v>
      </c>
      <c r="T583" s="15"/>
    </row>
    <row r="584" spans="1:20" ht="30" x14ac:dyDescent="0.25">
      <c r="A584" s="15" t="s">
        <v>344</v>
      </c>
      <c r="B584" s="15" t="s">
        <v>464</v>
      </c>
      <c r="C584" s="15" t="str">
        <f t="shared" si="10"/>
        <v>HSR Siberia</v>
      </c>
      <c r="D584" s="15" t="s">
        <v>481</v>
      </c>
      <c r="E584" s="15" t="str">
        <f t="shared" si="11"/>
        <v>ASM SIB Krasnoyarsk+Abakan+Tuva+Kuzbass+Norilsk</v>
      </c>
      <c r="F584" s="15" t="s">
        <v>486</v>
      </c>
      <c r="G584" s="15"/>
      <c r="H584" s="15" t="s">
        <v>430</v>
      </c>
      <c r="I584" s="15"/>
      <c r="J584" s="15"/>
      <c r="K584" s="15"/>
      <c r="L584" s="15">
        <v>0</v>
      </c>
      <c r="M584" s="15">
        <v>0</v>
      </c>
      <c r="N584" s="15">
        <v>390935.39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/>
    </row>
    <row r="585" spans="1:20" x14ac:dyDescent="0.25">
      <c r="A585" s="15" t="s">
        <v>344</v>
      </c>
      <c r="B585" s="15" t="s">
        <v>464</v>
      </c>
      <c r="C585" s="15" t="str">
        <f t="shared" si="10"/>
        <v>HSR Siberia</v>
      </c>
      <c r="D585" s="15" t="s">
        <v>469</v>
      </c>
      <c r="E585" s="15" t="str">
        <f t="shared" si="11"/>
        <v>RADM Siberia</v>
      </c>
      <c r="F585" s="15" t="s">
        <v>485</v>
      </c>
      <c r="G585" s="15"/>
      <c r="H585" s="15" t="s">
        <v>428</v>
      </c>
      <c r="I585" s="15">
        <v>1</v>
      </c>
      <c r="J585" s="15"/>
      <c r="K585" s="15"/>
      <c r="L585" s="15">
        <v>0</v>
      </c>
      <c r="M585" s="15">
        <v>0</v>
      </c>
      <c r="N585" s="15">
        <v>26885692.90000001</v>
      </c>
      <c r="O585" s="15">
        <v>0</v>
      </c>
      <c r="P585" s="15">
        <v>0</v>
      </c>
      <c r="Q585" s="15">
        <v>26885692.90000001</v>
      </c>
      <c r="R585" s="15">
        <v>0</v>
      </c>
      <c r="S585" s="15">
        <v>0</v>
      </c>
      <c r="T585" s="15"/>
    </row>
    <row r="586" spans="1:20" x14ac:dyDescent="0.25">
      <c r="A586" s="15" t="s">
        <v>344</v>
      </c>
      <c r="B586" s="15" t="s">
        <v>464</v>
      </c>
      <c r="C586" s="15" t="str">
        <f t="shared" si="10"/>
        <v>HSR Siberia</v>
      </c>
      <c r="D586" s="15" t="s">
        <v>469</v>
      </c>
      <c r="E586" s="15" t="str">
        <f t="shared" si="11"/>
        <v>RADM Siberia</v>
      </c>
      <c r="F586" s="15" t="s">
        <v>485</v>
      </c>
      <c r="G586" s="15"/>
      <c r="H586" s="15" t="s">
        <v>355</v>
      </c>
      <c r="I586" s="15"/>
      <c r="J586" s="15"/>
      <c r="K586" s="15"/>
      <c r="L586" s="15">
        <v>0</v>
      </c>
      <c r="M586" s="15">
        <v>0</v>
      </c>
      <c r="N586" s="15">
        <v>47364394.949999921</v>
      </c>
      <c r="O586" s="15">
        <v>0</v>
      </c>
      <c r="P586" s="15">
        <v>0</v>
      </c>
      <c r="Q586" s="15">
        <v>47364394.949999921</v>
      </c>
      <c r="R586" s="15">
        <v>0</v>
      </c>
      <c r="S586" s="15">
        <v>0</v>
      </c>
      <c r="T586" s="15"/>
    </row>
    <row r="587" spans="1:20" ht="30" x14ac:dyDescent="0.25">
      <c r="A587" s="15" t="s">
        <v>344</v>
      </c>
      <c r="B587" s="15" t="s">
        <v>464</v>
      </c>
      <c r="C587" s="15" t="str">
        <f t="shared" si="10"/>
        <v>HSR Siberia</v>
      </c>
      <c r="D587" s="15" t="s">
        <v>481</v>
      </c>
      <c r="E587" s="15" t="str">
        <f t="shared" si="11"/>
        <v>ASM SIB Krasnoyarsk+Abakan+Tuva+Kuzbass+Norilsk</v>
      </c>
      <c r="F587" s="15" t="s">
        <v>486</v>
      </c>
      <c r="G587" s="15"/>
      <c r="H587" s="15" t="s">
        <v>355</v>
      </c>
      <c r="I587" s="15"/>
      <c r="J587" s="15"/>
      <c r="K587" s="15"/>
      <c r="L587" s="15">
        <v>0</v>
      </c>
      <c r="M587" s="15">
        <v>0</v>
      </c>
      <c r="N587" s="15">
        <v>0</v>
      </c>
      <c r="O587" s="15">
        <v>5225326.0500000007</v>
      </c>
      <c r="P587" s="15">
        <v>0</v>
      </c>
      <c r="Q587" s="15">
        <v>0</v>
      </c>
      <c r="R587" s="15">
        <v>0</v>
      </c>
      <c r="S587" s="15">
        <v>0</v>
      </c>
      <c r="T587" s="15"/>
    </row>
    <row r="588" spans="1:20" ht="30" x14ac:dyDescent="0.25">
      <c r="A588" s="15" t="s">
        <v>344</v>
      </c>
      <c r="B588" s="15" t="s">
        <v>464</v>
      </c>
      <c r="C588" s="15" t="str">
        <f t="shared" si="10"/>
        <v>HSR Siberia</v>
      </c>
      <c r="D588" s="15" t="s">
        <v>481</v>
      </c>
      <c r="E588" s="15" t="str">
        <f t="shared" si="11"/>
        <v>ASM SIB Krasnoyarsk+Abakan+Tuva+Kuzbass+Norilsk</v>
      </c>
      <c r="F588" s="15" t="s">
        <v>482</v>
      </c>
      <c r="G588" s="15"/>
      <c r="H588" s="15" t="s">
        <v>478</v>
      </c>
      <c r="I588" s="15"/>
      <c r="J588" s="15"/>
      <c r="K588" s="15"/>
      <c r="L588" s="15">
        <v>0</v>
      </c>
      <c r="M588" s="15">
        <v>0</v>
      </c>
      <c r="N588" s="15">
        <v>0</v>
      </c>
      <c r="O588" s="15">
        <v>9909.8700000000008</v>
      </c>
      <c r="P588" s="15">
        <v>0</v>
      </c>
      <c r="Q588" s="15">
        <v>0</v>
      </c>
      <c r="R588" s="15">
        <v>0</v>
      </c>
      <c r="S588" s="15">
        <v>0</v>
      </c>
      <c r="T588" s="15"/>
    </row>
    <row r="589" spans="1:20" ht="30" x14ac:dyDescent="0.25">
      <c r="A589" s="15" t="s">
        <v>344</v>
      </c>
      <c r="B589" s="15" t="s">
        <v>464</v>
      </c>
      <c r="C589" s="15" t="str">
        <f t="shared" si="10"/>
        <v>HSR Siberia</v>
      </c>
      <c r="D589" s="15" t="s">
        <v>481</v>
      </c>
      <c r="E589" s="15" t="str">
        <f t="shared" si="11"/>
        <v>ASM SIB Krasnoyarsk+Abakan+Tuva+Kuzbass+Norilsk</v>
      </c>
      <c r="F589" s="15" t="s">
        <v>483</v>
      </c>
      <c r="G589" s="15"/>
      <c r="H589" s="15" t="s">
        <v>428</v>
      </c>
      <c r="I589" s="15"/>
      <c r="J589" s="15"/>
      <c r="K589" s="15"/>
      <c r="L589" s="15">
        <v>0</v>
      </c>
      <c r="M589" s="15">
        <v>0</v>
      </c>
      <c r="N589" s="15">
        <v>0</v>
      </c>
      <c r="O589" s="15">
        <v>7785298.8700000001</v>
      </c>
      <c r="P589" s="15">
        <v>0</v>
      </c>
      <c r="Q589" s="15">
        <v>0</v>
      </c>
      <c r="R589" s="15">
        <v>0</v>
      </c>
      <c r="S589" s="15">
        <v>0</v>
      </c>
      <c r="T589" s="15"/>
    </row>
    <row r="590" spans="1:20" ht="30" x14ac:dyDescent="0.25">
      <c r="A590" s="15" t="s">
        <v>135</v>
      </c>
      <c r="B590" s="15" t="s">
        <v>464</v>
      </c>
      <c r="C590" s="15" t="str">
        <f t="shared" si="10"/>
        <v>HSR Siberia</v>
      </c>
      <c r="D590" s="15" t="s">
        <v>481</v>
      </c>
      <c r="E590" s="15" t="str">
        <f t="shared" si="11"/>
        <v>ASM SIB Krasnoyarsk+Abakan+Tuva+Kuzbass+Norilsk</v>
      </c>
      <c r="F590" s="15" t="s">
        <v>482</v>
      </c>
      <c r="G590" s="15"/>
      <c r="H590" s="15" t="s">
        <v>487</v>
      </c>
      <c r="I590" s="15">
        <v>1</v>
      </c>
      <c r="J590" s="15"/>
      <c r="K590" s="15"/>
      <c r="L590" s="15">
        <v>0</v>
      </c>
      <c r="M590" s="15">
        <v>0</v>
      </c>
      <c r="N590" s="15">
        <v>0</v>
      </c>
      <c r="O590" s="15">
        <v>109518113.71000004</v>
      </c>
      <c r="P590" s="15">
        <v>0</v>
      </c>
      <c r="Q590" s="15">
        <v>0</v>
      </c>
      <c r="R590" s="15">
        <v>0</v>
      </c>
      <c r="S590" s="15">
        <v>0</v>
      </c>
      <c r="T590" s="15"/>
    </row>
    <row r="591" spans="1:20" ht="30" x14ac:dyDescent="0.25">
      <c r="A591" s="15" t="s">
        <v>135</v>
      </c>
      <c r="B591" s="15" t="s">
        <v>464</v>
      </c>
      <c r="C591" s="15" t="str">
        <f t="shared" si="10"/>
        <v>HSR Siberia</v>
      </c>
      <c r="D591" s="15" t="s">
        <v>481</v>
      </c>
      <c r="E591" s="15" t="str">
        <f t="shared" si="11"/>
        <v>ASM SIB Krasnoyarsk+Abakan+Tuva+Kuzbass+Norilsk</v>
      </c>
      <c r="F591" s="15" t="s">
        <v>483</v>
      </c>
      <c r="G591" s="15"/>
      <c r="H591" s="15" t="s">
        <v>355</v>
      </c>
      <c r="I591" s="15"/>
      <c r="J591" s="15"/>
      <c r="K591" s="15"/>
      <c r="L591" s="15">
        <v>0</v>
      </c>
      <c r="M591" s="15">
        <v>0</v>
      </c>
      <c r="N591" s="15">
        <v>0</v>
      </c>
      <c r="O591" s="15">
        <v>3302547.12</v>
      </c>
      <c r="P591" s="15">
        <v>0</v>
      </c>
      <c r="Q591" s="15">
        <v>0</v>
      </c>
      <c r="R591" s="15">
        <v>0</v>
      </c>
      <c r="S591" s="15">
        <v>0</v>
      </c>
      <c r="T591" s="15"/>
    </row>
    <row r="592" spans="1:20" ht="30" x14ac:dyDescent="0.25">
      <c r="A592" s="15" t="s">
        <v>135</v>
      </c>
      <c r="B592" s="15" t="s">
        <v>464</v>
      </c>
      <c r="C592" s="15" t="str">
        <f t="shared" si="10"/>
        <v>HSR Siberia</v>
      </c>
      <c r="D592" s="15" t="s">
        <v>481</v>
      </c>
      <c r="E592" s="15" t="str">
        <f t="shared" si="11"/>
        <v>ASM SIB Krasnoyarsk+Abakan+Tuva+Kuzbass+Norilsk</v>
      </c>
      <c r="F592" s="15" t="s">
        <v>483</v>
      </c>
      <c r="G592" s="15"/>
      <c r="H592" s="15" t="s">
        <v>478</v>
      </c>
      <c r="I592" s="15"/>
      <c r="J592" s="15"/>
      <c r="K592" s="15"/>
      <c r="L592" s="15">
        <v>0</v>
      </c>
      <c r="M592" s="15">
        <v>19524447.250000004</v>
      </c>
      <c r="N592" s="15">
        <v>0</v>
      </c>
      <c r="O592" s="15">
        <v>65665.02</v>
      </c>
      <c r="P592" s="15">
        <v>0</v>
      </c>
      <c r="Q592" s="15">
        <v>0</v>
      </c>
      <c r="R592" s="15">
        <v>0</v>
      </c>
      <c r="S592" s="15">
        <v>0</v>
      </c>
      <c r="T592" s="15"/>
    </row>
    <row r="593" spans="1:20" ht="30" x14ac:dyDescent="0.25">
      <c r="A593" s="15" t="s">
        <v>127</v>
      </c>
      <c r="B593" s="15" t="s">
        <v>464</v>
      </c>
      <c r="C593" s="15" t="str">
        <f t="shared" si="10"/>
        <v>HSR Siberia</v>
      </c>
      <c r="D593" s="15" t="s">
        <v>481</v>
      </c>
      <c r="E593" s="15" t="str">
        <f t="shared" si="11"/>
        <v>ASM SIB Krasnoyarsk+Abakan+Tuva+Kuzbass+Norilsk</v>
      </c>
      <c r="F593" s="15" t="s">
        <v>484</v>
      </c>
      <c r="G593" s="15"/>
      <c r="H593" s="15" t="s">
        <v>355</v>
      </c>
      <c r="I593" s="15"/>
      <c r="J593" s="15"/>
      <c r="K593" s="15"/>
      <c r="L593" s="15">
        <v>0</v>
      </c>
      <c r="M593" s="15">
        <v>0</v>
      </c>
      <c r="N593" s="15">
        <v>0</v>
      </c>
      <c r="O593" s="15">
        <v>10775322.740000002</v>
      </c>
      <c r="P593" s="15">
        <v>0</v>
      </c>
      <c r="Q593" s="15">
        <v>0</v>
      </c>
      <c r="R593" s="15">
        <v>0</v>
      </c>
      <c r="S593" s="15">
        <v>0</v>
      </c>
      <c r="T593" s="15"/>
    </row>
    <row r="594" spans="1:20" x14ac:dyDescent="0.25">
      <c r="A594" s="15" t="s">
        <v>127</v>
      </c>
      <c r="B594" s="15" t="s">
        <v>464</v>
      </c>
      <c r="C594" s="15" t="str">
        <f t="shared" si="10"/>
        <v>HSR Siberia</v>
      </c>
      <c r="D594" s="15" t="s">
        <v>469</v>
      </c>
      <c r="E594" s="15" t="str">
        <f t="shared" si="11"/>
        <v>RADM Siberia</v>
      </c>
      <c r="F594" s="15" t="s">
        <v>485</v>
      </c>
      <c r="G594" s="15"/>
      <c r="H594" s="15" t="s">
        <v>355</v>
      </c>
      <c r="I594" s="15">
        <v>1</v>
      </c>
      <c r="J594" s="15"/>
      <c r="K594" s="15"/>
      <c r="L594" s="15">
        <v>0</v>
      </c>
      <c r="M594" s="15">
        <v>0</v>
      </c>
      <c r="N594" s="15">
        <v>31316449.110000011</v>
      </c>
      <c r="O594" s="15">
        <v>0</v>
      </c>
      <c r="P594" s="15">
        <v>0</v>
      </c>
      <c r="Q594" s="15">
        <v>31316449.110000011</v>
      </c>
      <c r="R594" s="15">
        <v>0</v>
      </c>
      <c r="S594" s="15">
        <v>0</v>
      </c>
      <c r="T594" s="15"/>
    </row>
    <row r="595" spans="1:20" ht="30" x14ac:dyDescent="0.25">
      <c r="A595" s="15" t="s">
        <v>127</v>
      </c>
      <c r="B595" s="15" t="s">
        <v>464</v>
      </c>
      <c r="C595" s="15" t="str">
        <f t="shared" si="10"/>
        <v>HSR Siberia</v>
      </c>
      <c r="D595" s="15" t="s">
        <v>481</v>
      </c>
      <c r="E595" s="15" t="str">
        <f t="shared" si="11"/>
        <v>ASM SIB Krasnoyarsk+Abakan+Tuva+Kuzbass+Norilsk</v>
      </c>
      <c r="F595" s="15" t="s">
        <v>486</v>
      </c>
      <c r="G595" s="15"/>
      <c r="H595" s="15" t="s">
        <v>430</v>
      </c>
      <c r="I595" s="15"/>
      <c r="J595" s="15"/>
      <c r="K595" s="15"/>
      <c r="L595" s="15">
        <v>0</v>
      </c>
      <c r="M595" s="15">
        <v>0</v>
      </c>
      <c r="N595" s="15">
        <v>16367163.050000001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/>
    </row>
    <row r="596" spans="1:20" ht="30" x14ac:dyDescent="0.25">
      <c r="A596" s="15" t="s">
        <v>127</v>
      </c>
      <c r="B596" s="15" t="s">
        <v>464</v>
      </c>
      <c r="C596" s="15" t="str">
        <f t="shared" si="10"/>
        <v>HSR Siberia</v>
      </c>
      <c r="D596" s="15" t="s">
        <v>481</v>
      </c>
      <c r="E596" s="15" t="str">
        <f t="shared" si="11"/>
        <v>ASM SIB Krasnoyarsk+Abakan+Tuva+Kuzbass+Norilsk</v>
      </c>
      <c r="F596" s="15" t="s">
        <v>483</v>
      </c>
      <c r="G596" s="15"/>
      <c r="H596" s="15" t="s">
        <v>478</v>
      </c>
      <c r="I596" s="15"/>
      <c r="J596" s="15"/>
      <c r="K596" s="15"/>
      <c r="L596" s="15">
        <v>0</v>
      </c>
      <c r="M596" s="15">
        <v>0</v>
      </c>
      <c r="N596" s="15">
        <v>0</v>
      </c>
      <c r="O596" s="15">
        <v>15694.580000000002</v>
      </c>
      <c r="P596" s="15">
        <v>0</v>
      </c>
      <c r="Q596" s="15">
        <v>0</v>
      </c>
      <c r="R596" s="15">
        <v>0</v>
      </c>
      <c r="S596" s="15">
        <v>0</v>
      </c>
      <c r="T596" s="15"/>
    </row>
    <row r="597" spans="1:20" ht="30" x14ac:dyDescent="0.25">
      <c r="A597" s="15" t="s">
        <v>127</v>
      </c>
      <c r="B597" s="15" t="s">
        <v>464</v>
      </c>
      <c r="C597" s="15" t="str">
        <f t="shared" si="10"/>
        <v>HSR Siberia</v>
      </c>
      <c r="D597" s="15" t="s">
        <v>481</v>
      </c>
      <c r="E597" s="15" t="str">
        <f t="shared" si="11"/>
        <v>ASM SIB Krasnoyarsk+Abakan+Tuva+Kuzbass+Norilsk</v>
      </c>
      <c r="F597" s="15" t="s">
        <v>483</v>
      </c>
      <c r="G597" s="15"/>
      <c r="H597" s="15" t="s">
        <v>428</v>
      </c>
      <c r="I597" s="15"/>
      <c r="J597" s="15"/>
      <c r="K597" s="15"/>
      <c r="L597" s="15">
        <v>0</v>
      </c>
      <c r="M597" s="15">
        <v>0</v>
      </c>
      <c r="N597" s="15">
        <v>0</v>
      </c>
      <c r="O597" s="15">
        <v>31116021.569999993</v>
      </c>
      <c r="P597" s="15">
        <v>0</v>
      </c>
      <c r="Q597" s="15">
        <v>0</v>
      </c>
      <c r="R597" s="15">
        <v>0</v>
      </c>
      <c r="S597" s="15">
        <v>0</v>
      </c>
      <c r="T597" s="15"/>
    </row>
    <row r="598" spans="1:20" ht="30" x14ac:dyDescent="0.25">
      <c r="A598" s="15" t="s">
        <v>123</v>
      </c>
      <c r="B598" s="15" t="s">
        <v>464</v>
      </c>
      <c r="C598" s="15" t="str">
        <f t="shared" si="10"/>
        <v>HSR Siberia</v>
      </c>
      <c r="D598" s="15" t="s">
        <v>481</v>
      </c>
      <c r="E598" s="15" t="str">
        <f t="shared" si="11"/>
        <v>ASM SIB Krasnoyarsk+Abakan+Tuva+Kuzbass+Norilsk</v>
      </c>
      <c r="F598" s="15" t="s">
        <v>486</v>
      </c>
      <c r="G598" s="15"/>
      <c r="H598" s="15" t="s">
        <v>430</v>
      </c>
      <c r="I598" s="15">
        <v>1</v>
      </c>
      <c r="J598" s="15"/>
      <c r="K598" s="15"/>
      <c r="L598" s="15">
        <v>0</v>
      </c>
      <c r="M598" s="15">
        <v>14587671.609999998</v>
      </c>
      <c r="N598" s="15">
        <v>84991549.110000074</v>
      </c>
      <c r="O598" s="15">
        <v>61231694.460000016</v>
      </c>
      <c r="P598" s="15">
        <v>0</v>
      </c>
      <c r="Q598" s="15">
        <v>0</v>
      </c>
      <c r="R598" s="15">
        <v>0</v>
      </c>
      <c r="S598" s="15">
        <v>0</v>
      </c>
      <c r="T598" s="15"/>
    </row>
    <row r="599" spans="1:20" x14ac:dyDescent="0.25">
      <c r="A599" s="15" t="s">
        <v>133</v>
      </c>
      <c r="B599" s="15" t="s">
        <v>464</v>
      </c>
      <c r="C599" s="15" t="str">
        <f t="shared" si="10"/>
        <v>HSR Siberia</v>
      </c>
      <c r="D599" s="15" t="s">
        <v>469</v>
      </c>
      <c r="E599" s="15" t="str">
        <f t="shared" si="11"/>
        <v>RADM Siberia</v>
      </c>
      <c r="F599" s="15" t="s">
        <v>485</v>
      </c>
      <c r="G599" s="15"/>
      <c r="H599" s="15" t="s">
        <v>428</v>
      </c>
      <c r="I599" s="15">
        <v>1</v>
      </c>
      <c r="J599" s="15"/>
      <c r="K599" s="15"/>
      <c r="L599" s="15">
        <v>0</v>
      </c>
      <c r="M599" s="15">
        <v>0</v>
      </c>
      <c r="N599" s="15">
        <v>87333646.37999998</v>
      </c>
      <c r="O599" s="15">
        <v>0</v>
      </c>
      <c r="P599" s="15">
        <v>0</v>
      </c>
      <c r="Q599" s="15">
        <v>87333646.37999998</v>
      </c>
      <c r="R599" s="15">
        <v>0</v>
      </c>
      <c r="S599" s="15">
        <v>0</v>
      </c>
      <c r="T599" s="15"/>
    </row>
    <row r="600" spans="1:20" x14ac:dyDescent="0.25">
      <c r="A600" s="15" t="s">
        <v>133</v>
      </c>
      <c r="B600" s="15" t="s">
        <v>464</v>
      </c>
      <c r="C600" s="15" t="str">
        <f t="shared" si="10"/>
        <v>HSR Siberia</v>
      </c>
      <c r="D600" s="15" t="s">
        <v>469</v>
      </c>
      <c r="E600" s="15" t="str">
        <f t="shared" si="11"/>
        <v>RADM Siberia</v>
      </c>
      <c r="F600" s="15" t="s">
        <v>485</v>
      </c>
      <c r="G600" s="15"/>
      <c r="H600" s="15" t="s">
        <v>355</v>
      </c>
      <c r="I600" s="15"/>
      <c r="J600" s="15"/>
      <c r="K600" s="15"/>
      <c r="L600" s="15">
        <v>0</v>
      </c>
      <c r="M600" s="15">
        <v>0</v>
      </c>
      <c r="N600" s="15">
        <v>855691.44000000006</v>
      </c>
      <c r="O600" s="15">
        <v>0</v>
      </c>
      <c r="P600" s="15">
        <v>0</v>
      </c>
      <c r="Q600" s="15">
        <v>855691.44000000006</v>
      </c>
      <c r="R600" s="15">
        <v>0</v>
      </c>
      <c r="S600" s="15">
        <v>0</v>
      </c>
      <c r="T600" s="15"/>
    </row>
    <row r="601" spans="1:20" ht="30" x14ac:dyDescent="0.25">
      <c r="A601" s="15" t="s">
        <v>133</v>
      </c>
      <c r="B601" s="15" t="s">
        <v>464</v>
      </c>
      <c r="C601" s="15" t="str">
        <f t="shared" si="10"/>
        <v>HSR Siberia</v>
      </c>
      <c r="D601" s="15" t="s">
        <v>481</v>
      </c>
      <c r="E601" s="15" t="str">
        <f t="shared" si="11"/>
        <v>ASM SIB Krasnoyarsk+Abakan+Tuva+Kuzbass+Norilsk</v>
      </c>
      <c r="F601" s="15" t="s">
        <v>483</v>
      </c>
      <c r="G601" s="15"/>
      <c r="H601" s="15" t="s">
        <v>355</v>
      </c>
      <c r="I601" s="15"/>
      <c r="J601" s="15"/>
      <c r="K601" s="15"/>
      <c r="L601" s="15">
        <v>0</v>
      </c>
      <c r="M601" s="15">
        <v>0</v>
      </c>
      <c r="N601" s="15">
        <v>0</v>
      </c>
      <c r="O601" s="15">
        <v>508431.55999999994</v>
      </c>
      <c r="P601" s="15">
        <v>0</v>
      </c>
      <c r="Q601" s="15">
        <v>0</v>
      </c>
      <c r="R601" s="15">
        <v>0</v>
      </c>
      <c r="S601" s="15">
        <v>0</v>
      </c>
      <c r="T601" s="15"/>
    </row>
    <row r="602" spans="1:20" ht="30" x14ac:dyDescent="0.25">
      <c r="A602" s="15" t="s">
        <v>133</v>
      </c>
      <c r="B602" s="15" t="s">
        <v>464</v>
      </c>
      <c r="C602" s="15" t="str">
        <f t="shared" si="10"/>
        <v>HSR Siberia</v>
      </c>
      <c r="D602" s="15" t="s">
        <v>481</v>
      </c>
      <c r="E602" s="15" t="str">
        <f t="shared" si="11"/>
        <v>ASM SIB Krasnoyarsk+Abakan+Tuva+Kuzbass+Norilsk</v>
      </c>
      <c r="F602" s="15" t="s">
        <v>486</v>
      </c>
      <c r="G602" s="15"/>
      <c r="H602" s="15" t="s">
        <v>428</v>
      </c>
      <c r="I602" s="15">
        <v>1</v>
      </c>
      <c r="J602" s="15"/>
      <c r="K602" s="15"/>
      <c r="L602" s="15">
        <v>0</v>
      </c>
      <c r="M602" s="15">
        <v>6077749.5899999999</v>
      </c>
      <c r="N602" s="15">
        <v>982012.08</v>
      </c>
      <c r="O602" s="15">
        <v>47188551.959999993</v>
      </c>
      <c r="P602" s="15">
        <v>0</v>
      </c>
      <c r="Q602" s="15">
        <v>0</v>
      </c>
      <c r="R602" s="15">
        <v>0</v>
      </c>
      <c r="S602" s="15">
        <v>0</v>
      </c>
      <c r="T602" s="15"/>
    </row>
    <row r="603" spans="1:20" ht="30" x14ac:dyDescent="0.25">
      <c r="A603" s="15" t="s">
        <v>133</v>
      </c>
      <c r="B603" s="15" t="s">
        <v>464</v>
      </c>
      <c r="C603" s="15" t="str">
        <f t="shared" si="10"/>
        <v>HSR Siberia</v>
      </c>
      <c r="D603" s="15" t="s">
        <v>481</v>
      </c>
      <c r="E603" s="15" t="str">
        <f t="shared" si="11"/>
        <v>ASM SIB Krasnoyarsk+Abakan+Tuva+Kuzbass+Norilsk</v>
      </c>
      <c r="F603" s="15" t="s">
        <v>483</v>
      </c>
      <c r="G603" s="15"/>
      <c r="H603" s="15" t="s">
        <v>428</v>
      </c>
      <c r="I603" s="15"/>
      <c r="J603" s="15"/>
      <c r="K603" s="15"/>
      <c r="L603" s="15">
        <v>0</v>
      </c>
      <c r="M603" s="15">
        <v>6196445.6400000006</v>
      </c>
      <c r="N603" s="15">
        <v>0</v>
      </c>
      <c r="O603" s="15">
        <v>1588019.9799999997</v>
      </c>
      <c r="P603" s="15">
        <v>0</v>
      </c>
      <c r="Q603" s="15">
        <v>0</v>
      </c>
      <c r="R603" s="15">
        <v>0</v>
      </c>
      <c r="S603" s="15">
        <v>0</v>
      </c>
      <c r="T603" s="15"/>
    </row>
    <row r="604" spans="1:20" ht="30" x14ac:dyDescent="0.25">
      <c r="A604" s="15" t="s">
        <v>139</v>
      </c>
      <c r="B604" s="15" t="s">
        <v>464</v>
      </c>
      <c r="C604" s="15" t="str">
        <f t="shared" si="10"/>
        <v>HSR Siberia</v>
      </c>
      <c r="D604" s="15" t="s">
        <v>481</v>
      </c>
      <c r="E604" s="15" t="str">
        <f t="shared" si="11"/>
        <v>ASM SIB Krasnoyarsk+Abakan+Tuva+Kuzbass+Norilsk</v>
      </c>
      <c r="F604" s="15" t="s">
        <v>482</v>
      </c>
      <c r="G604" s="15"/>
      <c r="H604" s="15" t="s">
        <v>478</v>
      </c>
      <c r="I604" s="15"/>
      <c r="J604" s="15"/>
      <c r="K604" s="15"/>
      <c r="L604" s="15">
        <v>0</v>
      </c>
      <c r="M604" s="15">
        <v>7522983.4700000007</v>
      </c>
      <c r="N604" s="15">
        <v>98786.069999999992</v>
      </c>
      <c r="O604" s="15">
        <v>9930056.3099999987</v>
      </c>
      <c r="P604" s="15">
        <v>0</v>
      </c>
      <c r="Q604" s="15">
        <v>0</v>
      </c>
      <c r="R604" s="15">
        <v>0</v>
      </c>
      <c r="S604" s="15">
        <v>0</v>
      </c>
      <c r="T604" s="15"/>
    </row>
    <row r="605" spans="1:20" ht="30" x14ac:dyDescent="0.25">
      <c r="A605" s="15" t="s">
        <v>138</v>
      </c>
      <c r="B605" s="15" t="s">
        <v>464</v>
      </c>
      <c r="C605" s="15" t="str">
        <f t="shared" si="10"/>
        <v>HSR Siberia</v>
      </c>
      <c r="D605" s="15" t="s">
        <v>481</v>
      </c>
      <c r="E605" s="15" t="str">
        <f t="shared" si="11"/>
        <v>ASM SIB Krasnoyarsk+Abakan+Tuva+Kuzbass+Norilsk</v>
      </c>
      <c r="F605" s="15" t="s">
        <v>482</v>
      </c>
      <c r="G605" s="15"/>
      <c r="H605" s="15" t="s">
        <v>478</v>
      </c>
      <c r="I605" s="15">
        <v>1</v>
      </c>
      <c r="J605" s="15"/>
      <c r="K605" s="15"/>
      <c r="L605" s="15">
        <v>0</v>
      </c>
      <c r="M605" s="15">
        <v>31451267.149999999</v>
      </c>
      <c r="N605" s="15">
        <v>1880603.23</v>
      </c>
      <c r="O605" s="15">
        <v>94654020.920000017</v>
      </c>
      <c r="P605" s="15">
        <v>0</v>
      </c>
      <c r="Q605" s="15">
        <v>0</v>
      </c>
      <c r="R605" s="15">
        <v>0</v>
      </c>
      <c r="S605" s="15">
        <v>0</v>
      </c>
      <c r="T605" s="15"/>
    </row>
    <row r="606" spans="1:20" x14ac:dyDescent="0.25">
      <c r="A606" s="15" t="s">
        <v>90</v>
      </c>
      <c r="B606" s="15" t="s">
        <v>464</v>
      </c>
      <c r="C606" s="15" t="str">
        <f t="shared" si="10"/>
        <v>HSR Siberia</v>
      </c>
      <c r="D606" s="15" t="s">
        <v>469</v>
      </c>
      <c r="E606" s="15" t="str">
        <f t="shared" si="11"/>
        <v>RADM Siberia</v>
      </c>
      <c r="F606" s="15" t="s">
        <v>477</v>
      </c>
      <c r="G606" s="15"/>
      <c r="H606" s="15" t="s">
        <v>424</v>
      </c>
      <c r="I606" s="15"/>
      <c r="J606" s="15"/>
      <c r="K606" s="15"/>
      <c r="L606" s="15">
        <v>34087387.920000017</v>
      </c>
      <c r="M606" s="15">
        <v>0</v>
      </c>
      <c r="N606" s="15">
        <v>0</v>
      </c>
      <c r="O606" s="15">
        <v>0</v>
      </c>
      <c r="P606" s="15">
        <v>0</v>
      </c>
      <c r="Q606" s="15">
        <v>0</v>
      </c>
      <c r="R606" s="15">
        <v>0</v>
      </c>
      <c r="S606" s="15">
        <v>0</v>
      </c>
      <c r="T606" s="15"/>
    </row>
    <row r="607" spans="1:20" x14ac:dyDescent="0.25">
      <c r="A607" s="15" t="s">
        <v>90</v>
      </c>
      <c r="B607" s="15" t="s">
        <v>464</v>
      </c>
      <c r="C607" s="15" t="str">
        <f t="shared" si="10"/>
        <v>HSR Siberia</v>
      </c>
      <c r="D607" s="15" t="s">
        <v>469</v>
      </c>
      <c r="E607" s="15" t="str">
        <f t="shared" si="11"/>
        <v>RADM Siberia</v>
      </c>
      <c r="F607" s="15" t="s">
        <v>477</v>
      </c>
      <c r="G607" s="15"/>
      <c r="H607" s="15" t="s">
        <v>424</v>
      </c>
      <c r="I607" s="15"/>
      <c r="J607" s="15"/>
      <c r="K607" s="15"/>
      <c r="L607" s="15">
        <v>100115674.67999995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0</v>
      </c>
      <c r="S607" s="15">
        <v>0</v>
      </c>
      <c r="T607" s="15"/>
    </row>
    <row r="608" spans="1:20" x14ac:dyDescent="0.25">
      <c r="A608" s="15" t="s">
        <v>167</v>
      </c>
      <c r="B608" s="15" t="s">
        <v>489</v>
      </c>
      <c r="C608" s="15" t="str">
        <f t="shared" si="10"/>
        <v>HSR SOUTH</v>
      </c>
      <c r="D608" s="15" t="s">
        <v>490</v>
      </c>
      <c r="E608" s="15" t="str">
        <f t="shared" si="11"/>
        <v>ASM SOU Krasnodar</v>
      </c>
      <c r="F608" s="15" t="s">
        <v>491</v>
      </c>
      <c r="G608" s="15"/>
      <c r="H608" s="15" t="s">
        <v>492</v>
      </c>
      <c r="I608" s="15">
        <v>1</v>
      </c>
      <c r="J608" s="15"/>
      <c r="K608" s="15" t="s">
        <v>342</v>
      </c>
      <c r="L608" s="15">
        <v>0</v>
      </c>
      <c r="M608" s="15">
        <v>0</v>
      </c>
      <c r="N608" s="15">
        <v>0</v>
      </c>
      <c r="O608" s="15">
        <v>227263261.77000019</v>
      </c>
      <c r="P608" s="15">
        <v>1176382.5</v>
      </c>
      <c r="Q608" s="15">
        <v>0</v>
      </c>
      <c r="R608" s="15">
        <v>0</v>
      </c>
      <c r="S608" s="15">
        <v>0</v>
      </c>
      <c r="T608" s="15"/>
    </row>
    <row r="609" spans="1:20" x14ac:dyDescent="0.25">
      <c r="A609" s="15" t="s">
        <v>493</v>
      </c>
      <c r="B609" s="15" t="s">
        <v>489</v>
      </c>
      <c r="C609" s="15" t="str">
        <f t="shared" si="10"/>
        <v>HSR SOUTH</v>
      </c>
      <c r="D609" s="15" t="s">
        <v>490</v>
      </c>
      <c r="E609" s="15" t="str">
        <f t="shared" si="11"/>
        <v>ASM SOU Krasnodar</v>
      </c>
      <c r="F609" s="15" t="s">
        <v>491</v>
      </c>
      <c r="G609" s="15"/>
      <c r="H609" s="15" t="s">
        <v>492</v>
      </c>
      <c r="I609" s="15"/>
      <c r="J609" s="15"/>
      <c r="K609" s="15" t="s">
        <v>342</v>
      </c>
      <c r="L609" s="15">
        <v>0</v>
      </c>
      <c r="M609" s="15">
        <v>0</v>
      </c>
      <c r="N609" s="15">
        <v>0</v>
      </c>
      <c r="O609" s="15">
        <v>16462739.199999999</v>
      </c>
      <c r="P609" s="15">
        <v>30322114.23</v>
      </c>
      <c r="Q609" s="15">
        <v>0</v>
      </c>
      <c r="R609" s="15">
        <v>0</v>
      </c>
      <c r="S609" s="15">
        <v>0</v>
      </c>
      <c r="T609" s="15"/>
    </row>
    <row r="610" spans="1:20" x14ac:dyDescent="0.25">
      <c r="A610" s="15" t="s">
        <v>171</v>
      </c>
      <c r="B610" s="15" t="s">
        <v>489</v>
      </c>
      <c r="C610" s="15" t="str">
        <f t="shared" si="10"/>
        <v>HSR SOUTH</v>
      </c>
      <c r="D610" s="15" t="s">
        <v>490</v>
      </c>
      <c r="E610" s="15" t="str">
        <f t="shared" si="11"/>
        <v>ASM SOU Krasnodar</v>
      </c>
      <c r="F610" s="15" t="s">
        <v>491</v>
      </c>
      <c r="G610" s="15"/>
      <c r="H610" s="15" t="s">
        <v>494</v>
      </c>
      <c r="I610" s="15">
        <v>1</v>
      </c>
      <c r="J610" s="15"/>
      <c r="K610" s="15" t="s">
        <v>342</v>
      </c>
      <c r="L610" s="15">
        <v>0</v>
      </c>
      <c r="M610" s="15">
        <v>0</v>
      </c>
      <c r="N610" s="15">
        <v>0</v>
      </c>
      <c r="O610" s="15">
        <v>169980065.36999968</v>
      </c>
      <c r="P610" s="15">
        <v>231789435.21883488</v>
      </c>
      <c r="Q610" s="15">
        <v>0</v>
      </c>
      <c r="R610" s="15">
        <v>0</v>
      </c>
      <c r="S610" s="15">
        <v>0</v>
      </c>
      <c r="T610" s="15"/>
    </row>
    <row r="611" spans="1:20" x14ac:dyDescent="0.25">
      <c r="A611" s="15" t="s">
        <v>341</v>
      </c>
      <c r="B611" s="15" t="s">
        <v>489</v>
      </c>
      <c r="C611" s="15" t="str">
        <f t="shared" si="10"/>
        <v>HSR SOUTH</v>
      </c>
      <c r="D611" s="15" t="s">
        <v>495</v>
      </c>
      <c r="E611" s="15" t="str">
        <f t="shared" si="11"/>
        <v>ASM SOU Voronezh</v>
      </c>
      <c r="F611" s="15" t="s">
        <v>496</v>
      </c>
      <c r="G611" s="15"/>
      <c r="H611" s="15" t="s">
        <v>497</v>
      </c>
      <c r="I611" s="15"/>
      <c r="J611" s="15"/>
      <c r="K611" s="15"/>
      <c r="L611" s="15">
        <v>0</v>
      </c>
      <c r="M611" s="15">
        <v>9630012.4900000021</v>
      </c>
      <c r="N611" s="15">
        <v>17548196.280000009</v>
      </c>
      <c r="O611" s="15">
        <v>65743240.020000026</v>
      </c>
      <c r="P611" s="15">
        <v>0</v>
      </c>
      <c r="Q611" s="15">
        <v>0</v>
      </c>
      <c r="R611" s="15">
        <v>0</v>
      </c>
      <c r="S611" s="15">
        <v>0</v>
      </c>
      <c r="T611" s="15"/>
    </row>
    <row r="612" spans="1:20" x14ac:dyDescent="0.25">
      <c r="A612" s="15" t="s">
        <v>141</v>
      </c>
      <c r="B612" s="15" t="s">
        <v>489</v>
      </c>
      <c r="C612" s="15" t="str">
        <f t="shared" si="10"/>
        <v>HSR SOUTH</v>
      </c>
      <c r="D612" s="15" t="s">
        <v>495</v>
      </c>
      <c r="E612" s="15" t="str">
        <f t="shared" si="11"/>
        <v>ASM SOU Voronezh</v>
      </c>
      <c r="F612" s="15" t="s">
        <v>496</v>
      </c>
      <c r="G612" s="15"/>
      <c r="H612" s="15" t="s">
        <v>497</v>
      </c>
      <c r="I612" s="15"/>
      <c r="J612" s="15"/>
      <c r="K612" s="15"/>
      <c r="L612" s="15">
        <v>0</v>
      </c>
      <c r="M612" s="15">
        <v>4048926.66</v>
      </c>
      <c r="N612" s="15">
        <v>9623118.0900000036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5"/>
    </row>
    <row r="613" spans="1:20" x14ac:dyDescent="0.25">
      <c r="A613" s="15" t="s">
        <v>148</v>
      </c>
      <c r="B613" s="15" t="s">
        <v>489</v>
      </c>
      <c r="C613" s="15" t="str">
        <f t="shared" si="10"/>
        <v>HSR SOUTH</v>
      </c>
      <c r="D613" s="15" t="s">
        <v>495</v>
      </c>
      <c r="E613" s="15" t="str">
        <f t="shared" si="11"/>
        <v>ASM SOU Voronezh</v>
      </c>
      <c r="F613" s="15" t="s">
        <v>496</v>
      </c>
      <c r="G613" s="15"/>
      <c r="H613" s="15" t="s">
        <v>497</v>
      </c>
      <c r="I613" s="15"/>
      <c r="J613" s="15"/>
      <c r="K613" s="15"/>
      <c r="L613" s="15">
        <v>0</v>
      </c>
      <c r="M613" s="15">
        <v>5071280.9400000013</v>
      </c>
      <c r="N613" s="15">
        <v>5044642.3100000024</v>
      </c>
      <c r="O613" s="15">
        <v>423235.34</v>
      </c>
      <c r="P613" s="15">
        <v>0</v>
      </c>
      <c r="Q613" s="15">
        <v>0</v>
      </c>
      <c r="R613" s="15">
        <v>0</v>
      </c>
      <c r="S613" s="15">
        <v>0</v>
      </c>
      <c r="T613" s="15"/>
    </row>
    <row r="614" spans="1:20" x14ac:dyDescent="0.25">
      <c r="A614" s="15" t="s">
        <v>20</v>
      </c>
      <c r="B614" s="15" t="s">
        <v>489</v>
      </c>
      <c r="C614" s="15" t="str">
        <f t="shared" si="10"/>
        <v>HSR SOUTH</v>
      </c>
      <c r="D614" s="15" t="s">
        <v>495</v>
      </c>
      <c r="E614" s="15" t="str">
        <f t="shared" si="11"/>
        <v>ASM SOU Voronezh</v>
      </c>
      <c r="F614" s="15" t="s">
        <v>496</v>
      </c>
      <c r="G614" s="15"/>
      <c r="H614" s="15" t="s">
        <v>497</v>
      </c>
      <c r="I614" s="15"/>
      <c r="J614" s="15"/>
      <c r="K614" s="15"/>
      <c r="L614" s="15">
        <v>0</v>
      </c>
      <c r="M614" s="15">
        <v>0</v>
      </c>
      <c r="N614" s="15">
        <v>1842842.9100000006</v>
      </c>
      <c r="O614" s="15">
        <v>0</v>
      </c>
      <c r="P614" s="15">
        <v>0</v>
      </c>
      <c r="Q614" s="15">
        <v>0</v>
      </c>
      <c r="R614" s="15">
        <v>0</v>
      </c>
      <c r="S614" s="15">
        <v>0</v>
      </c>
      <c r="T614" s="15"/>
    </row>
    <row r="615" spans="1:20" x14ac:dyDescent="0.25">
      <c r="A615" s="15" t="s">
        <v>146</v>
      </c>
      <c r="B615" s="15" t="s">
        <v>489</v>
      </c>
      <c r="C615" s="15" t="str">
        <f t="shared" si="10"/>
        <v>HSR SOUTH</v>
      </c>
      <c r="D615" s="15" t="s">
        <v>495</v>
      </c>
      <c r="E615" s="15" t="str">
        <f t="shared" si="11"/>
        <v>ASM SOU Voronezh</v>
      </c>
      <c r="F615" s="15" t="s">
        <v>496</v>
      </c>
      <c r="G615" s="15"/>
      <c r="H615" s="15" t="s">
        <v>497</v>
      </c>
      <c r="I615" s="15">
        <v>1</v>
      </c>
      <c r="J615" s="15">
        <v>1</v>
      </c>
      <c r="K615" s="15"/>
      <c r="L615" s="15">
        <v>0</v>
      </c>
      <c r="M615" s="15">
        <v>331967808.94</v>
      </c>
      <c r="N615" s="15">
        <v>22487563.250000011</v>
      </c>
      <c r="O615" s="15">
        <v>54774882.81000001</v>
      </c>
      <c r="P615" s="15">
        <v>0</v>
      </c>
      <c r="Q615" s="15">
        <v>0</v>
      </c>
      <c r="R615" s="15">
        <v>0</v>
      </c>
      <c r="S615" s="15">
        <v>0</v>
      </c>
      <c r="T615" s="15"/>
    </row>
    <row r="616" spans="1:20" x14ac:dyDescent="0.25">
      <c r="A616" s="15" t="s">
        <v>150</v>
      </c>
      <c r="B616" s="15" t="s">
        <v>489</v>
      </c>
      <c r="C616" s="15" t="str">
        <f t="shared" si="10"/>
        <v>HSR SOUTH</v>
      </c>
      <c r="D616" s="15" t="s">
        <v>495</v>
      </c>
      <c r="E616" s="15" t="str">
        <f t="shared" si="11"/>
        <v>ASM SOU Voronezh</v>
      </c>
      <c r="F616" s="15" t="s">
        <v>496</v>
      </c>
      <c r="G616" s="15"/>
      <c r="H616" s="15" t="s">
        <v>497</v>
      </c>
      <c r="I616" s="15"/>
      <c r="J616" s="15"/>
      <c r="K616" s="15"/>
      <c r="L616" s="15">
        <v>0</v>
      </c>
      <c r="M616" s="15">
        <v>5013011.4000000013</v>
      </c>
      <c r="N616" s="15">
        <v>8840937.0700000059</v>
      </c>
      <c r="O616" s="15">
        <v>51865.83</v>
      </c>
      <c r="P616" s="15">
        <v>0</v>
      </c>
      <c r="Q616" s="15">
        <v>0</v>
      </c>
      <c r="R616" s="15">
        <v>0</v>
      </c>
      <c r="S616" s="15">
        <v>0</v>
      </c>
      <c r="T616" s="15"/>
    </row>
    <row r="617" spans="1:20" x14ac:dyDescent="0.25">
      <c r="A617" s="15" t="s">
        <v>145</v>
      </c>
      <c r="B617" s="15" t="s">
        <v>489</v>
      </c>
      <c r="C617" s="15" t="str">
        <f t="shared" si="10"/>
        <v>HSR SOUTH</v>
      </c>
      <c r="D617" s="15" t="s">
        <v>495</v>
      </c>
      <c r="E617" s="15" t="str">
        <f t="shared" si="11"/>
        <v>ASM SOU Voronezh</v>
      </c>
      <c r="F617" s="15" t="s">
        <v>496</v>
      </c>
      <c r="G617" s="15"/>
      <c r="H617" s="15" t="s">
        <v>497</v>
      </c>
      <c r="I617" s="15"/>
      <c r="J617" s="15"/>
      <c r="K617" s="15"/>
      <c r="L617" s="15">
        <v>0</v>
      </c>
      <c r="M617" s="15">
        <v>10686714.570000002</v>
      </c>
      <c r="N617" s="15">
        <v>7538965.8100000042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/>
    </row>
    <row r="618" spans="1:20" x14ac:dyDescent="0.25">
      <c r="A618" s="15" t="s">
        <v>18</v>
      </c>
      <c r="B618" s="15" t="s">
        <v>489</v>
      </c>
      <c r="C618" s="15" t="str">
        <f t="shared" si="10"/>
        <v>HSR SOUTH</v>
      </c>
      <c r="D618" s="15" t="s">
        <v>495</v>
      </c>
      <c r="E618" s="15" t="str">
        <f t="shared" si="11"/>
        <v>ASM SOU Voronezh</v>
      </c>
      <c r="F618" s="15" t="s">
        <v>496</v>
      </c>
      <c r="G618" s="15"/>
      <c r="H618" s="15" t="s">
        <v>497</v>
      </c>
      <c r="I618" s="15"/>
      <c r="J618" s="15"/>
      <c r="K618" s="15"/>
      <c r="L618" s="15">
        <v>0</v>
      </c>
      <c r="M618" s="15">
        <v>2385267.1800000006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/>
    </row>
    <row r="619" spans="1:20" x14ac:dyDescent="0.25">
      <c r="A619" s="15" t="s">
        <v>58</v>
      </c>
      <c r="B619" s="15" t="s">
        <v>489</v>
      </c>
      <c r="C619" s="15" t="str">
        <f t="shared" si="10"/>
        <v>HSR SOUTH</v>
      </c>
      <c r="D619" s="15" t="s">
        <v>495</v>
      </c>
      <c r="E619" s="15" t="str">
        <f t="shared" si="11"/>
        <v>ASM SOU Voronezh</v>
      </c>
      <c r="F619" s="15" t="s">
        <v>496</v>
      </c>
      <c r="G619" s="15"/>
      <c r="H619" s="15" t="s">
        <v>497</v>
      </c>
      <c r="I619" s="15"/>
      <c r="J619" s="15"/>
      <c r="K619" s="15"/>
      <c r="L619" s="15">
        <v>0</v>
      </c>
      <c r="M619" s="15">
        <v>0</v>
      </c>
      <c r="N619" s="15">
        <v>3476324.0200000023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/>
    </row>
    <row r="620" spans="1:20" x14ac:dyDescent="0.25">
      <c r="A620" s="15" t="s">
        <v>151</v>
      </c>
      <c r="B620" s="15" t="s">
        <v>489</v>
      </c>
      <c r="C620" s="15" t="str">
        <f t="shared" si="10"/>
        <v>HSR SOUTH</v>
      </c>
      <c r="D620" s="15" t="s">
        <v>495</v>
      </c>
      <c r="E620" s="15" t="str">
        <f t="shared" si="11"/>
        <v>ASM SOU Voronezh</v>
      </c>
      <c r="F620" s="15" t="s">
        <v>496</v>
      </c>
      <c r="G620" s="15"/>
      <c r="H620" s="15" t="s">
        <v>497</v>
      </c>
      <c r="I620" s="15"/>
      <c r="J620" s="15"/>
      <c r="K620" s="15"/>
      <c r="L620" s="15">
        <v>0</v>
      </c>
      <c r="M620" s="15">
        <v>4475652.3499999996</v>
      </c>
      <c r="N620" s="15">
        <v>2618541.3100000019</v>
      </c>
      <c r="O620" s="15">
        <v>0</v>
      </c>
      <c r="P620" s="15">
        <v>0</v>
      </c>
      <c r="Q620" s="15">
        <v>0</v>
      </c>
      <c r="R620" s="15">
        <v>0</v>
      </c>
      <c r="S620" s="15">
        <v>0</v>
      </c>
      <c r="T620" s="15"/>
    </row>
    <row r="621" spans="1:20" x14ac:dyDescent="0.25">
      <c r="A621" s="15" t="s">
        <v>17</v>
      </c>
      <c r="B621" s="15" t="s">
        <v>489</v>
      </c>
      <c r="C621" s="15" t="str">
        <f t="shared" si="10"/>
        <v>HSR SOUTH</v>
      </c>
      <c r="D621" s="15" t="s">
        <v>495</v>
      </c>
      <c r="E621" s="15" t="str">
        <f t="shared" si="11"/>
        <v>ASM SOU Voronezh</v>
      </c>
      <c r="F621" s="15" t="s">
        <v>496</v>
      </c>
      <c r="G621" s="15"/>
      <c r="H621" s="15" t="s">
        <v>497</v>
      </c>
      <c r="I621" s="15"/>
      <c r="J621" s="15"/>
      <c r="K621" s="15"/>
      <c r="L621" s="15">
        <v>0</v>
      </c>
      <c r="M621" s="15">
        <v>0</v>
      </c>
      <c r="N621" s="15">
        <v>4029235.5400000019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/>
    </row>
    <row r="622" spans="1:20" x14ac:dyDescent="0.25">
      <c r="A622" s="15" t="s">
        <v>141</v>
      </c>
      <c r="B622" s="15" t="s">
        <v>489</v>
      </c>
      <c r="C622" s="15" t="str">
        <f t="shared" si="10"/>
        <v>HSR SOUTH</v>
      </c>
      <c r="D622" s="15" t="s">
        <v>495</v>
      </c>
      <c r="E622" s="15" t="str">
        <f t="shared" si="11"/>
        <v>ASM SOU Voronezh</v>
      </c>
      <c r="F622" s="15" t="s">
        <v>498</v>
      </c>
      <c r="G622" s="15"/>
      <c r="H622" s="15" t="s">
        <v>497</v>
      </c>
      <c r="I622" s="15"/>
      <c r="J622" s="15"/>
      <c r="K622" s="15"/>
      <c r="L622" s="15">
        <v>0</v>
      </c>
      <c r="M622" s="15">
        <v>0</v>
      </c>
      <c r="N622" s="15">
        <v>0</v>
      </c>
      <c r="O622" s="15">
        <v>58509460.75</v>
      </c>
      <c r="P622" s="15">
        <v>0</v>
      </c>
      <c r="Q622" s="15">
        <v>0</v>
      </c>
      <c r="R622" s="15">
        <v>0</v>
      </c>
      <c r="S622" s="15">
        <v>0</v>
      </c>
      <c r="T622" s="15"/>
    </row>
    <row r="623" spans="1:20" x14ac:dyDescent="0.25">
      <c r="A623" s="15" t="s">
        <v>145</v>
      </c>
      <c r="B623" s="15" t="s">
        <v>489</v>
      </c>
      <c r="C623" s="15" t="str">
        <f t="shared" si="10"/>
        <v>HSR SOUTH</v>
      </c>
      <c r="D623" s="15" t="s">
        <v>495</v>
      </c>
      <c r="E623" s="15" t="str">
        <f t="shared" si="11"/>
        <v>ASM SOU Voronezh</v>
      </c>
      <c r="F623" s="15" t="s">
        <v>498</v>
      </c>
      <c r="G623" s="15"/>
      <c r="H623" s="15" t="s">
        <v>497</v>
      </c>
      <c r="I623" s="15"/>
      <c r="J623" s="15"/>
      <c r="K623" s="15"/>
      <c r="L623" s="15">
        <v>0</v>
      </c>
      <c r="M623" s="15">
        <v>0</v>
      </c>
      <c r="N623" s="15">
        <v>0</v>
      </c>
      <c r="O623" s="15">
        <v>42690834.829999998</v>
      </c>
      <c r="P623" s="15">
        <v>0</v>
      </c>
      <c r="Q623" s="15">
        <v>0</v>
      </c>
      <c r="R623" s="15">
        <v>0</v>
      </c>
      <c r="S623" s="15">
        <v>0</v>
      </c>
      <c r="T623" s="15"/>
    </row>
    <row r="624" spans="1:20" x14ac:dyDescent="0.25">
      <c r="A624" s="15" t="s">
        <v>434</v>
      </c>
      <c r="B624" s="15" t="s">
        <v>489</v>
      </c>
      <c r="C624" s="15" t="str">
        <f t="shared" si="10"/>
        <v>HSR SOUTH</v>
      </c>
      <c r="D624" s="15" t="s">
        <v>490</v>
      </c>
      <c r="E624" s="15" t="str">
        <f t="shared" si="11"/>
        <v>ASM SOU Krasnodar</v>
      </c>
      <c r="F624" s="15" t="s">
        <v>499</v>
      </c>
      <c r="G624" s="15"/>
      <c r="H624" s="15" t="s">
        <v>419</v>
      </c>
      <c r="I624" s="15"/>
      <c r="J624" s="15"/>
      <c r="K624" s="15"/>
      <c r="L624" s="15">
        <v>0</v>
      </c>
      <c r="M624" s="15">
        <v>0</v>
      </c>
      <c r="N624" s="15">
        <v>9007988.3699999992</v>
      </c>
      <c r="O624" s="15">
        <v>0</v>
      </c>
      <c r="P624" s="15">
        <v>0</v>
      </c>
      <c r="Q624" s="15">
        <v>0</v>
      </c>
      <c r="R624" s="15">
        <v>0</v>
      </c>
      <c r="S624" s="15">
        <v>0</v>
      </c>
      <c r="T624" s="15"/>
    </row>
    <row r="625" spans="1:20" x14ac:dyDescent="0.25">
      <c r="A625" s="15" t="s">
        <v>173</v>
      </c>
      <c r="B625" s="15" t="s">
        <v>489</v>
      </c>
      <c r="C625" s="15" t="str">
        <f t="shared" si="10"/>
        <v>HSR SOUTH</v>
      </c>
      <c r="D625" s="15" t="s">
        <v>490</v>
      </c>
      <c r="E625" s="15" t="str">
        <f t="shared" si="11"/>
        <v>ASM SOU Krasnodar</v>
      </c>
      <c r="F625" s="15" t="s">
        <v>499</v>
      </c>
      <c r="G625" s="15"/>
      <c r="H625" s="15" t="s">
        <v>419</v>
      </c>
      <c r="I625" s="15"/>
      <c r="J625" s="15"/>
      <c r="K625" s="15" t="s">
        <v>342</v>
      </c>
      <c r="L625" s="15">
        <v>0</v>
      </c>
      <c r="M625" s="15">
        <v>19610069.489999998</v>
      </c>
      <c r="N625" s="15">
        <v>0</v>
      </c>
      <c r="O625" s="15">
        <v>87453026.309999973</v>
      </c>
      <c r="P625" s="15">
        <v>0</v>
      </c>
      <c r="Q625" s="15">
        <v>0</v>
      </c>
      <c r="R625" s="15">
        <v>0</v>
      </c>
      <c r="S625" s="15">
        <v>0</v>
      </c>
      <c r="T625" s="15"/>
    </row>
    <row r="626" spans="1:20" x14ac:dyDescent="0.25">
      <c r="A626" s="15" t="s">
        <v>180</v>
      </c>
      <c r="B626" s="15" t="s">
        <v>489</v>
      </c>
      <c r="C626" s="15" t="str">
        <f t="shared" si="10"/>
        <v>HSR SOUTH</v>
      </c>
      <c r="D626" s="15" t="s">
        <v>490</v>
      </c>
      <c r="E626" s="15" t="str">
        <f t="shared" si="11"/>
        <v>ASM SOU Krasnodar</v>
      </c>
      <c r="F626" s="15" t="s">
        <v>499</v>
      </c>
      <c r="G626" s="15"/>
      <c r="H626" s="15" t="s">
        <v>419</v>
      </c>
      <c r="I626" s="15">
        <v>1</v>
      </c>
      <c r="J626" s="15"/>
      <c r="K626" s="15" t="s">
        <v>342</v>
      </c>
      <c r="L626" s="15">
        <v>0</v>
      </c>
      <c r="M626" s="15">
        <v>8664932.9100000001</v>
      </c>
      <c r="N626" s="15">
        <v>0</v>
      </c>
      <c r="O626" s="15">
        <v>176490389.13000005</v>
      </c>
      <c r="P626" s="15">
        <v>108346020.1999999</v>
      </c>
      <c r="Q626" s="15">
        <v>0</v>
      </c>
      <c r="R626" s="15">
        <v>0</v>
      </c>
      <c r="S626" s="15">
        <v>0</v>
      </c>
      <c r="T626" s="15"/>
    </row>
    <row r="627" spans="1:20" x14ac:dyDescent="0.25">
      <c r="A627" s="15" t="s">
        <v>500</v>
      </c>
      <c r="B627" s="15" t="s">
        <v>489</v>
      </c>
      <c r="C627" s="15" t="str">
        <f t="shared" si="10"/>
        <v>HSR SOUTH</v>
      </c>
      <c r="D627" s="15" t="s">
        <v>490</v>
      </c>
      <c r="E627" s="15" t="str">
        <f t="shared" si="11"/>
        <v>ASM SOU Krasnodar</v>
      </c>
      <c r="F627" s="15" t="s">
        <v>499</v>
      </c>
      <c r="G627" s="15"/>
      <c r="H627" s="15" t="s">
        <v>419</v>
      </c>
      <c r="I627" s="15"/>
      <c r="J627" s="15"/>
      <c r="K627" s="15"/>
      <c r="L627" s="15">
        <v>0</v>
      </c>
      <c r="M627" s="15">
        <v>0</v>
      </c>
      <c r="N627" s="15">
        <v>862676.57000000007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/>
    </row>
    <row r="628" spans="1:20" x14ac:dyDescent="0.25">
      <c r="A628" s="15" t="s">
        <v>432</v>
      </c>
      <c r="B628" s="15" t="s">
        <v>489</v>
      </c>
      <c r="C628" s="15" t="str">
        <f t="shared" si="10"/>
        <v>HSR SOUTH</v>
      </c>
      <c r="D628" s="15" t="s">
        <v>490</v>
      </c>
      <c r="E628" s="15" t="str">
        <f t="shared" si="11"/>
        <v>ASM SOU Krasnodar</v>
      </c>
      <c r="F628" s="15" t="s">
        <v>499</v>
      </c>
      <c r="G628" s="15"/>
      <c r="H628" s="15" t="s">
        <v>419</v>
      </c>
      <c r="I628" s="15"/>
      <c r="J628" s="15"/>
      <c r="K628" s="15" t="s">
        <v>342</v>
      </c>
      <c r="L628" s="15">
        <v>0</v>
      </c>
      <c r="M628" s="15">
        <v>926090.49</v>
      </c>
      <c r="N628" s="15">
        <v>1738562.6699999997</v>
      </c>
      <c r="O628" s="15">
        <v>128342701.22</v>
      </c>
      <c r="P628" s="15">
        <v>22129635.599999979</v>
      </c>
      <c r="Q628" s="15">
        <v>0</v>
      </c>
      <c r="R628" s="15">
        <v>0</v>
      </c>
      <c r="S628" s="15">
        <v>0</v>
      </c>
      <c r="T628" s="15"/>
    </row>
    <row r="629" spans="1:20" x14ac:dyDescent="0.25">
      <c r="A629" s="15" t="s">
        <v>180</v>
      </c>
      <c r="B629" s="15" t="s">
        <v>489</v>
      </c>
      <c r="C629" s="15" t="str">
        <f t="shared" si="10"/>
        <v>HSR SOUTH</v>
      </c>
      <c r="D629" s="15" t="s">
        <v>490</v>
      </c>
      <c r="E629" s="15" t="str">
        <f t="shared" si="11"/>
        <v>ASM SOU Krasnodar</v>
      </c>
      <c r="F629" s="15" t="s">
        <v>501</v>
      </c>
      <c r="G629" s="15"/>
      <c r="H629" s="15" t="s">
        <v>419</v>
      </c>
      <c r="I629" s="15"/>
      <c r="J629" s="15"/>
      <c r="K629" s="15"/>
      <c r="L629" s="15">
        <v>0</v>
      </c>
      <c r="M629" s="15">
        <v>140474182.20999998</v>
      </c>
      <c r="N629" s="15">
        <v>452439335.18000209</v>
      </c>
      <c r="O629" s="15">
        <v>0</v>
      </c>
      <c r="P629" s="15">
        <v>0</v>
      </c>
      <c r="Q629" s="15">
        <v>0</v>
      </c>
      <c r="R629" s="15">
        <v>0</v>
      </c>
      <c r="S629" s="15">
        <v>0</v>
      </c>
      <c r="T629" s="15"/>
    </row>
    <row r="630" spans="1:20" x14ac:dyDescent="0.25">
      <c r="A630" s="15" t="s">
        <v>432</v>
      </c>
      <c r="B630" s="15" t="s">
        <v>489</v>
      </c>
      <c r="C630" s="15" t="str">
        <f t="shared" si="10"/>
        <v>HSR SOUTH</v>
      </c>
      <c r="D630" s="15" t="s">
        <v>490</v>
      </c>
      <c r="E630" s="15" t="str">
        <f t="shared" si="11"/>
        <v>ASM SOU Krasnodar</v>
      </c>
      <c r="F630" s="15" t="s">
        <v>501</v>
      </c>
      <c r="G630" s="15"/>
      <c r="H630" s="15" t="s">
        <v>419</v>
      </c>
      <c r="I630" s="15"/>
      <c r="J630" s="15"/>
      <c r="K630" s="15"/>
      <c r="L630" s="15">
        <v>0</v>
      </c>
      <c r="M630" s="15">
        <v>23247288.98</v>
      </c>
      <c r="N630" s="15">
        <v>133489459.22000003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/>
    </row>
    <row r="631" spans="1:20" x14ac:dyDescent="0.25">
      <c r="A631" s="15" t="s">
        <v>174</v>
      </c>
      <c r="B631" s="15" t="s">
        <v>489</v>
      </c>
      <c r="C631" s="15" t="str">
        <f t="shared" si="10"/>
        <v>HSR SOUTH</v>
      </c>
      <c r="D631" s="15" t="s">
        <v>490</v>
      </c>
      <c r="E631" s="15" t="str">
        <f t="shared" si="11"/>
        <v>ASM SOU Krasnodar</v>
      </c>
      <c r="F631" s="15" t="s">
        <v>502</v>
      </c>
      <c r="G631" s="15"/>
      <c r="H631" s="15" t="s">
        <v>419</v>
      </c>
      <c r="I631" s="15"/>
      <c r="J631" s="15"/>
      <c r="K631" s="15"/>
      <c r="L631" s="15">
        <v>0</v>
      </c>
      <c r="M631" s="15">
        <v>44163988.920000002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/>
    </row>
    <row r="632" spans="1:20" x14ac:dyDescent="0.25">
      <c r="A632" s="15" t="s">
        <v>434</v>
      </c>
      <c r="B632" s="15" t="s">
        <v>489</v>
      </c>
      <c r="C632" s="15" t="str">
        <f t="shared" si="10"/>
        <v>HSR SOUTH</v>
      </c>
      <c r="D632" s="15" t="s">
        <v>503</v>
      </c>
      <c r="E632" s="15" t="str">
        <f t="shared" si="11"/>
        <v>DDM SOU Rostov-On-Don</v>
      </c>
      <c r="F632" s="15" t="s">
        <v>504</v>
      </c>
      <c r="G632" s="15"/>
      <c r="H632" s="15" t="s">
        <v>354</v>
      </c>
      <c r="I632" s="15"/>
      <c r="J632" s="15"/>
      <c r="K632" s="15"/>
      <c r="L632" s="15">
        <v>0</v>
      </c>
      <c r="M632" s="15">
        <v>0</v>
      </c>
      <c r="N632" s="15">
        <v>0</v>
      </c>
      <c r="O632" s="15">
        <v>1104480.68</v>
      </c>
      <c r="P632" s="15">
        <v>0</v>
      </c>
      <c r="Q632" s="15">
        <v>0</v>
      </c>
      <c r="R632" s="15">
        <v>0</v>
      </c>
      <c r="S632" s="15">
        <v>0</v>
      </c>
      <c r="T632" s="15"/>
    </row>
    <row r="633" spans="1:20" x14ac:dyDescent="0.25">
      <c r="A633" s="15" t="s">
        <v>173</v>
      </c>
      <c r="B633" s="15" t="s">
        <v>489</v>
      </c>
      <c r="C633" s="15" t="str">
        <f t="shared" si="10"/>
        <v>HSR SOUTH</v>
      </c>
      <c r="D633" s="15" t="s">
        <v>503</v>
      </c>
      <c r="E633" s="15" t="str">
        <f t="shared" si="11"/>
        <v>DDM SOU Rostov-On-Don</v>
      </c>
      <c r="F633" s="15" t="s">
        <v>504</v>
      </c>
      <c r="G633" s="15"/>
      <c r="H633" s="15" t="s">
        <v>354</v>
      </c>
      <c r="I633" s="15"/>
      <c r="J633" s="15"/>
      <c r="K633" s="15"/>
      <c r="L633" s="15">
        <v>0</v>
      </c>
      <c r="M633" s="15">
        <v>0</v>
      </c>
      <c r="N633" s="15">
        <v>0</v>
      </c>
      <c r="O633" s="15">
        <v>24991736.36999999</v>
      </c>
      <c r="P633" s="15">
        <v>0</v>
      </c>
      <c r="Q633" s="15">
        <v>0</v>
      </c>
      <c r="R633" s="15">
        <v>0</v>
      </c>
      <c r="S633" s="15">
        <v>0</v>
      </c>
      <c r="T633" s="15"/>
    </row>
    <row r="634" spans="1:20" x14ac:dyDescent="0.25">
      <c r="A634" s="15" t="s">
        <v>156</v>
      </c>
      <c r="B634" s="15" t="s">
        <v>489</v>
      </c>
      <c r="C634" s="15" t="str">
        <f t="shared" si="10"/>
        <v>HSR SOUTH</v>
      </c>
      <c r="D634" s="15" t="s">
        <v>503</v>
      </c>
      <c r="E634" s="15" t="str">
        <f t="shared" si="11"/>
        <v>DDM SOU Rostov-On-Don</v>
      </c>
      <c r="F634" s="15" t="s">
        <v>504</v>
      </c>
      <c r="G634" s="15"/>
      <c r="H634" s="15" t="s">
        <v>354</v>
      </c>
      <c r="I634" s="15">
        <v>1</v>
      </c>
      <c r="J634" s="15"/>
      <c r="K634" s="15"/>
      <c r="L634" s="15">
        <v>0</v>
      </c>
      <c r="M634" s="15">
        <v>109650428.40999998</v>
      </c>
      <c r="N634" s="15">
        <v>178509407.2299999</v>
      </c>
      <c r="O634" s="15">
        <v>134460850.65000001</v>
      </c>
      <c r="P634" s="15">
        <v>0</v>
      </c>
      <c r="Q634" s="15">
        <v>0</v>
      </c>
      <c r="R634" s="15">
        <v>0</v>
      </c>
      <c r="S634" s="15">
        <v>0</v>
      </c>
      <c r="T634" s="15"/>
    </row>
    <row r="635" spans="1:20" x14ac:dyDescent="0.25">
      <c r="A635" s="15" t="s">
        <v>165</v>
      </c>
      <c r="B635" s="15" t="s">
        <v>489</v>
      </c>
      <c r="C635" s="15" t="str">
        <f t="shared" si="10"/>
        <v>HSR SOUTH</v>
      </c>
      <c r="D635" s="15" t="s">
        <v>503</v>
      </c>
      <c r="E635" s="15" t="str">
        <f t="shared" si="11"/>
        <v>DDM SOU Rostov-On-Don</v>
      </c>
      <c r="F635" s="15" t="s">
        <v>504</v>
      </c>
      <c r="G635" s="15"/>
      <c r="H635" s="15" t="s">
        <v>354</v>
      </c>
      <c r="I635" s="15"/>
      <c r="J635" s="15"/>
      <c r="K635" s="15"/>
      <c r="L635" s="15">
        <v>0</v>
      </c>
      <c r="M635" s="15">
        <v>0</v>
      </c>
      <c r="N635" s="15">
        <v>0</v>
      </c>
      <c r="O635" s="15">
        <v>335637.49</v>
      </c>
      <c r="P635" s="15">
        <v>0</v>
      </c>
      <c r="Q635" s="15">
        <v>0</v>
      </c>
      <c r="R635" s="15">
        <v>0</v>
      </c>
      <c r="S635" s="15">
        <v>0</v>
      </c>
      <c r="T635" s="15"/>
    </row>
    <row r="636" spans="1:20" x14ac:dyDescent="0.25">
      <c r="A636" s="15" t="s">
        <v>173</v>
      </c>
      <c r="B636" s="15" t="s">
        <v>489</v>
      </c>
      <c r="C636" s="15" t="str">
        <f t="shared" si="10"/>
        <v>HSR SOUTH</v>
      </c>
      <c r="D636" s="15" t="s">
        <v>503</v>
      </c>
      <c r="E636" s="15" t="str">
        <f t="shared" si="11"/>
        <v>DDM SOU Rostov-On-Don</v>
      </c>
      <c r="F636" s="15" t="s">
        <v>505</v>
      </c>
      <c r="G636" s="15"/>
      <c r="H636" s="15" t="s">
        <v>354</v>
      </c>
      <c r="I636" s="15"/>
      <c r="J636" s="15"/>
      <c r="K636" s="15" t="s">
        <v>342</v>
      </c>
      <c r="L636" s="15">
        <v>0</v>
      </c>
      <c r="M636" s="15">
        <v>0</v>
      </c>
      <c r="N636" s="15">
        <v>11059.08</v>
      </c>
      <c r="O636" s="15">
        <v>65360653.509999998</v>
      </c>
      <c r="P636" s="15">
        <v>889574794.65997851</v>
      </c>
      <c r="Q636" s="15">
        <v>0</v>
      </c>
      <c r="R636" s="15">
        <v>577762884.74320006</v>
      </c>
      <c r="S636" s="15">
        <v>0</v>
      </c>
      <c r="T636" s="15"/>
    </row>
    <row r="637" spans="1:20" x14ac:dyDescent="0.25">
      <c r="A637" s="15" t="s">
        <v>506</v>
      </c>
      <c r="B637" s="15" t="s">
        <v>489</v>
      </c>
      <c r="C637" s="15" t="str">
        <f t="shared" si="10"/>
        <v>HSR SOUTH</v>
      </c>
      <c r="D637" s="15" t="s">
        <v>503</v>
      </c>
      <c r="E637" s="15" t="str">
        <f t="shared" si="11"/>
        <v>DDM SOU Rostov-On-Don</v>
      </c>
      <c r="F637" s="15" t="s">
        <v>505</v>
      </c>
      <c r="G637" s="15"/>
      <c r="H637" s="15" t="s">
        <v>354</v>
      </c>
      <c r="I637" s="15"/>
      <c r="J637" s="15"/>
      <c r="K637" s="15"/>
      <c r="L637" s="15">
        <v>0</v>
      </c>
      <c r="M637" s="15">
        <v>0</v>
      </c>
      <c r="N637" s="15">
        <v>0</v>
      </c>
      <c r="O637" s="15">
        <v>4263920.2100000018</v>
      </c>
      <c r="P637" s="15">
        <v>0</v>
      </c>
      <c r="Q637" s="15">
        <v>0</v>
      </c>
      <c r="R637" s="15">
        <v>0</v>
      </c>
      <c r="S637" s="15">
        <v>0</v>
      </c>
      <c r="T637" s="15"/>
    </row>
    <row r="638" spans="1:20" x14ac:dyDescent="0.25">
      <c r="A638" s="15" t="s">
        <v>174</v>
      </c>
      <c r="B638" s="15" t="s">
        <v>489</v>
      </c>
      <c r="C638" s="15" t="str">
        <f t="shared" si="10"/>
        <v>HSR SOUTH</v>
      </c>
      <c r="D638" s="15" t="s">
        <v>507</v>
      </c>
      <c r="E638" s="15" t="str">
        <f t="shared" si="11"/>
        <v>TDM SOUTH 1</v>
      </c>
      <c r="F638" s="15" t="s">
        <v>508</v>
      </c>
      <c r="G638" s="15"/>
      <c r="H638" s="15"/>
      <c r="I638" s="15"/>
      <c r="J638" s="15"/>
      <c r="K638" s="15" t="s">
        <v>342</v>
      </c>
      <c r="L638" s="15">
        <v>0</v>
      </c>
      <c r="M638" s="15">
        <v>0</v>
      </c>
      <c r="N638" s="15">
        <v>0</v>
      </c>
      <c r="O638" s="15">
        <v>0</v>
      </c>
      <c r="P638" s="15">
        <v>59940865.589999959</v>
      </c>
      <c r="Q638" s="15">
        <v>0</v>
      </c>
      <c r="R638" s="15">
        <v>23887809.095800001</v>
      </c>
      <c r="S638" s="15">
        <v>2065790674.7799973</v>
      </c>
      <c r="T638" s="15"/>
    </row>
    <row r="639" spans="1:20" x14ac:dyDescent="0.25">
      <c r="A639" s="15" t="s">
        <v>174</v>
      </c>
      <c r="B639" s="15" t="s">
        <v>489</v>
      </c>
      <c r="C639" s="15" t="str">
        <f t="shared" si="10"/>
        <v>HSR SOUTH</v>
      </c>
      <c r="D639" s="15" t="s">
        <v>490</v>
      </c>
      <c r="E639" s="15" t="str">
        <f t="shared" si="11"/>
        <v>ASM SOU Krasnodar</v>
      </c>
      <c r="F639" s="15" t="s">
        <v>491</v>
      </c>
      <c r="G639" s="15"/>
      <c r="H639" s="15" t="s">
        <v>96</v>
      </c>
      <c r="I639" s="15"/>
      <c r="J639" s="15"/>
      <c r="K639" s="15" t="s">
        <v>342</v>
      </c>
      <c r="L639" s="15">
        <v>0</v>
      </c>
      <c r="M639" s="15">
        <v>1673944.2999999998</v>
      </c>
      <c r="N639" s="15">
        <v>5644864.1600000011</v>
      </c>
      <c r="O639" s="15">
        <v>17962969.829999998</v>
      </c>
      <c r="P639" s="15">
        <v>279412824.3448205</v>
      </c>
      <c r="Q639" s="15">
        <v>0</v>
      </c>
      <c r="R639" s="15">
        <v>147977785.23060003</v>
      </c>
      <c r="S639" s="15">
        <v>0</v>
      </c>
      <c r="T639" s="15"/>
    </row>
    <row r="640" spans="1:20" x14ac:dyDescent="0.25">
      <c r="A640" s="15" t="s">
        <v>166</v>
      </c>
      <c r="B640" s="15" t="s">
        <v>489</v>
      </c>
      <c r="C640" s="15" t="str">
        <f t="shared" si="10"/>
        <v>HSR SOUTH</v>
      </c>
      <c r="D640" s="15" t="s">
        <v>509</v>
      </c>
      <c r="E640" s="15" t="str">
        <f t="shared" si="11"/>
        <v>TDM SOUTH 2</v>
      </c>
      <c r="F640" s="15" t="s">
        <v>510</v>
      </c>
      <c r="G640" s="15"/>
      <c r="H640" s="15"/>
      <c r="I640" s="15"/>
      <c r="J640" s="15"/>
      <c r="K640" s="15" t="s">
        <v>342</v>
      </c>
      <c r="L640" s="15">
        <v>0</v>
      </c>
      <c r="M640" s="15">
        <v>0</v>
      </c>
      <c r="N640" s="15">
        <v>0</v>
      </c>
      <c r="O640" s="15">
        <v>0</v>
      </c>
      <c r="P640" s="15">
        <v>790815852.52475572</v>
      </c>
      <c r="Q640" s="15">
        <v>0</v>
      </c>
      <c r="R640" s="15">
        <v>544184205.98619974</v>
      </c>
      <c r="S640" s="15">
        <v>6441328980.5292301</v>
      </c>
      <c r="T640" s="15"/>
    </row>
    <row r="641" spans="1:20" x14ac:dyDescent="0.25">
      <c r="A641" s="15" t="s">
        <v>341</v>
      </c>
      <c r="B641" s="15" t="s">
        <v>489</v>
      </c>
      <c r="C641" s="15" t="str">
        <f t="shared" si="10"/>
        <v>HSR SOUTH</v>
      </c>
      <c r="D641" s="15" t="s">
        <v>509</v>
      </c>
      <c r="E641" s="15" t="str">
        <f t="shared" si="11"/>
        <v>TDM SOUTH 2</v>
      </c>
      <c r="F641" s="15" t="s">
        <v>511</v>
      </c>
      <c r="G641" s="15"/>
      <c r="H641" s="15"/>
      <c r="I641" s="15"/>
      <c r="J641" s="15"/>
      <c r="K641" s="15" t="s">
        <v>342</v>
      </c>
      <c r="L641" s="15">
        <v>0</v>
      </c>
      <c r="M641" s="15">
        <v>0</v>
      </c>
      <c r="N641" s="15">
        <v>0</v>
      </c>
      <c r="O641" s="15">
        <v>0</v>
      </c>
      <c r="P641" s="15">
        <v>506111051.7499826</v>
      </c>
      <c r="Q641" s="15">
        <v>0</v>
      </c>
      <c r="R641" s="15">
        <v>280737179.26800001</v>
      </c>
      <c r="S641" s="15">
        <v>8562904904.0596447</v>
      </c>
      <c r="T641" s="15"/>
    </row>
    <row r="642" spans="1:20" x14ac:dyDescent="0.25">
      <c r="A642" s="15" t="s">
        <v>141</v>
      </c>
      <c r="B642" s="15" t="s">
        <v>489</v>
      </c>
      <c r="C642" s="15" t="str">
        <f t="shared" si="10"/>
        <v>HSR SOUTH</v>
      </c>
      <c r="D642" s="15" t="s">
        <v>509</v>
      </c>
      <c r="E642" s="15" t="str">
        <f t="shared" si="11"/>
        <v>TDM SOUTH 2</v>
      </c>
      <c r="F642" s="15" t="s">
        <v>511</v>
      </c>
      <c r="G642" s="15"/>
      <c r="H642" s="15"/>
      <c r="I642" s="15"/>
      <c r="J642" s="15"/>
      <c r="K642" s="15" t="s">
        <v>342</v>
      </c>
      <c r="L642" s="15">
        <v>0</v>
      </c>
      <c r="M642" s="15">
        <v>0</v>
      </c>
      <c r="N642" s="15">
        <v>0</v>
      </c>
      <c r="O642" s="15">
        <v>0</v>
      </c>
      <c r="P642" s="15">
        <v>363427541.97998726</v>
      </c>
      <c r="Q642" s="15">
        <v>0</v>
      </c>
      <c r="R642" s="15">
        <v>221090062.43870005</v>
      </c>
      <c r="S642" s="15">
        <v>0</v>
      </c>
      <c r="T642" s="15"/>
    </row>
    <row r="643" spans="1:20" x14ac:dyDescent="0.25">
      <c r="A643" s="15" t="s">
        <v>155</v>
      </c>
      <c r="B643" s="15" t="s">
        <v>489</v>
      </c>
      <c r="C643" s="15" t="str">
        <f t="shared" si="10"/>
        <v>HSR SOUTH</v>
      </c>
      <c r="D643" s="15" t="s">
        <v>509</v>
      </c>
      <c r="E643" s="15" t="str">
        <f t="shared" si="11"/>
        <v>TDM SOUTH 2</v>
      </c>
      <c r="F643" s="15" t="s">
        <v>510</v>
      </c>
      <c r="G643" s="15"/>
      <c r="H643" s="15"/>
      <c r="I643" s="15"/>
      <c r="J643" s="15"/>
      <c r="K643" s="15" t="s">
        <v>342</v>
      </c>
      <c r="L643" s="15">
        <v>0</v>
      </c>
      <c r="M643" s="15">
        <v>0</v>
      </c>
      <c r="N643" s="15">
        <v>0</v>
      </c>
      <c r="O643" s="15">
        <v>0</v>
      </c>
      <c r="P643" s="15">
        <v>1704417290.2950521</v>
      </c>
      <c r="Q643" s="15">
        <v>0</v>
      </c>
      <c r="R643" s="15">
        <v>1131603727.040801</v>
      </c>
      <c r="S643" s="15">
        <v>0</v>
      </c>
      <c r="T643" s="15"/>
    </row>
    <row r="644" spans="1:20" x14ac:dyDescent="0.25">
      <c r="A644" s="15" t="s">
        <v>148</v>
      </c>
      <c r="B644" s="15" t="s">
        <v>489</v>
      </c>
      <c r="C644" s="15" t="str">
        <f t="shared" si="10"/>
        <v>HSR SOUTH</v>
      </c>
      <c r="D644" s="15" t="s">
        <v>509</v>
      </c>
      <c r="E644" s="15" t="str">
        <f t="shared" si="11"/>
        <v>TDM SOUTH 2</v>
      </c>
      <c r="F644" s="15" t="s">
        <v>511</v>
      </c>
      <c r="G644" s="15"/>
      <c r="H644" s="15"/>
      <c r="I644" s="15"/>
      <c r="J644" s="15"/>
      <c r="K644" s="15" t="s">
        <v>342</v>
      </c>
      <c r="L644" s="15">
        <v>0</v>
      </c>
      <c r="M644" s="15">
        <v>0</v>
      </c>
      <c r="N644" s="15">
        <v>0</v>
      </c>
      <c r="O644" s="15">
        <v>0</v>
      </c>
      <c r="P644" s="15">
        <v>794455738.63996136</v>
      </c>
      <c r="Q644" s="15">
        <v>0</v>
      </c>
      <c r="R644" s="15">
        <v>573647981.04380012</v>
      </c>
      <c r="S644" s="15">
        <v>0</v>
      </c>
      <c r="T644" s="15"/>
    </row>
    <row r="645" spans="1:20" x14ac:dyDescent="0.25">
      <c r="A645" s="15" t="s">
        <v>512</v>
      </c>
      <c r="B645" s="15" t="s">
        <v>489</v>
      </c>
      <c r="C645" s="15" t="str">
        <f t="shared" ref="C645:C694" si="12">B645</f>
        <v>HSR SOUTH</v>
      </c>
      <c r="D645" s="15" t="s">
        <v>507</v>
      </c>
      <c r="E645" s="15" t="str">
        <f t="shared" ref="E645:E694" si="13">D645</f>
        <v>TDM SOUTH 1</v>
      </c>
      <c r="F645" s="15" t="s">
        <v>513</v>
      </c>
      <c r="G645" s="15"/>
      <c r="H645" s="15"/>
      <c r="I645" s="15"/>
      <c r="J645" s="15"/>
      <c r="K645" s="15" t="s">
        <v>342</v>
      </c>
      <c r="L645" s="15">
        <v>0</v>
      </c>
      <c r="M645" s="15">
        <v>0</v>
      </c>
      <c r="N645" s="15">
        <v>0</v>
      </c>
      <c r="O645" s="15">
        <v>0</v>
      </c>
      <c r="P645" s="15">
        <v>256667592.99931648</v>
      </c>
      <c r="Q645" s="15">
        <v>0</v>
      </c>
      <c r="R645" s="15">
        <v>136655603.58450004</v>
      </c>
      <c r="S645" s="15">
        <v>0</v>
      </c>
      <c r="T645" s="15"/>
    </row>
    <row r="646" spans="1:20" x14ac:dyDescent="0.25">
      <c r="A646" s="15" t="s">
        <v>165</v>
      </c>
      <c r="B646" s="15" t="s">
        <v>489</v>
      </c>
      <c r="C646" s="15" t="str">
        <f t="shared" si="12"/>
        <v>HSR SOUTH</v>
      </c>
      <c r="D646" s="15" t="s">
        <v>509</v>
      </c>
      <c r="E646" s="15" t="str">
        <f t="shared" si="13"/>
        <v>TDM SOUTH 2</v>
      </c>
      <c r="F646" s="15" t="s">
        <v>510</v>
      </c>
      <c r="G646" s="15"/>
      <c r="H646" s="15"/>
      <c r="I646" s="15"/>
      <c r="J646" s="15"/>
      <c r="K646" s="15" t="s">
        <v>342</v>
      </c>
      <c r="L646" s="15">
        <v>0</v>
      </c>
      <c r="M646" s="15">
        <v>0</v>
      </c>
      <c r="N646" s="15">
        <v>0</v>
      </c>
      <c r="O646" s="15">
        <v>0</v>
      </c>
      <c r="P646" s="15">
        <v>92954906.814622194</v>
      </c>
      <c r="Q646" s="15">
        <v>0</v>
      </c>
      <c r="R646" s="15">
        <v>51890148.134499997</v>
      </c>
      <c r="S646" s="15">
        <v>0</v>
      </c>
      <c r="T646" s="15"/>
    </row>
    <row r="647" spans="1:20" x14ac:dyDescent="0.25">
      <c r="A647" s="15" t="s">
        <v>514</v>
      </c>
      <c r="B647" s="15" t="s">
        <v>489</v>
      </c>
      <c r="C647" s="15" t="str">
        <f t="shared" si="12"/>
        <v>HSR SOUTH</v>
      </c>
      <c r="D647" s="15" t="s">
        <v>507</v>
      </c>
      <c r="E647" s="15" t="str">
        <f t="shared" si="13"/>
        <v>TDM SOUTH 1</v>
      </c>
      <c r="F647" s="15" t="s">
        <v>513</v>
      </c>
      <c r="G647" s="15"/>
      <c r="H647" s="15"/>
      <c r="I647" s="15"/>
      <c r="J647" s="15"/>
      <c r="K647" s="15" t="s">
        <v>342</v>
      </c>
      <c r="L647" s="15">
        <v>0</v>
      </c>
      <c r="M647" s="15">
        <v>0</v>
      </c>
      <c r="N647" s="15">
        <v>0</v>
      </c>
      <c r="O647" s="15">
        <v>0</v>
      </c>
      <c r="P647" s="15">
        <v>144770267.3128247</v>
      </c>
      <c r="Q647" s="15">
        <v>0</v>
      </c>
      <c r="R647" s="15">
        <v>85552599.98739998</v>
      </c>
      <c r="S647" s="15">
        <v>0</v>
      </c>
      <c r="T647" s="15"/>
    </row>
    <row r="648" spans="1:20" x14ac:dyDescent="0.25">
      <c r="A648" s="15" t="s">
        <v>173</v>
      </c>
      <c r="B648" s="15" t="s">
        <v>489</v>
      </c>
      <c r="C648" s="15" t="str">
        <f t="shared" si="12"/>
        <v>HSR SOUTH</v>
      </c>
      <c r="D648" s="15" t="s">
        <v>507</v>
      </c>
      <c r="E648" s="15" t="str">
        <f t="shared" si="13"/>
        <v>TDM SOUTH 1</v>
      </c>
      <c r="F648" s="15" t="s">
        <v>508</v>
      </c>
      <c r="G648" s="15"/>
      <c r="H648" s="15"/>
      <c r="I648" s="15"/>
      <c r="J648" s="15"/>
      <c r="K648" s="15" t="s">
        <v>342</v>
      </c>
      <c r="L648" s="15">
        <v>0</v>
      </c>
      <c r="M648" s="15">
        <v>0</v>
      </c>
      <c r="N648" s="15">
        <v>0</v>
      </c>
      <c r="O648" s="15">
        <v>0</v>
      </c>
      <c r="P648" s="15">
        <v>2721243855.1642342</v>
      </c>
      <c r="Q648" s="15">
        <v>0</v>
      </c>
      <c r="R648" s="15">
        <v>1938906834.9962986</v>
      </c>
      <c r="S648" s="15">
        <v>0</v>
      </c>
      <c r="T648" s="15"/>
    </row>
    <row r="649" spans="1:20" x14ac:dyDescent="0.25">
      <c r="A649" s="15" t="s">
        <v>173</v>
      </c>
      <c r="B649" s="15" t="s">
        <v>489</v>
      </c>
      <c r="C649" s="15" t="str">
        <f t="shared" si="12"/>
        <v>HSR SOUTH</v>
      </c>
      <c r="D649" s="15" t="s">
        <v>507</v>
      </c>
      <c r="E649" s="15" t="str">
        <f t="shared" si="13"/>
        <v>TDM SOUTH 1</v>
      </c>
      <c r="F649" s="15" t="s">
        <v>515</v>
      </c>
      <c r="G649" s="15"/>
      <c r="H649" s="15"/>
      <c r="I649" s="15"/>
      <c r="J649" s="15"/>
      <c r="K649" s="15" t="s">
        <v>342</v>
      </c>
      <c r="L649" s="15">
        <v>0</v>
      </c>
      <c r="M649" s="15">
        <v>0</v>
      </c>
      <c r="N649" s="15">
        <v>0</v>
      </c>
      <c r="O649" s="15">
        <v>0</v>
      </c>
      <c r="P649" s="15">
        <v>261404870.19377583</v>
      </c>
      <c r="Q649" s="15">
        <v>0</v>
      </c>
      <c r="R649" s="15">
        <v>105970379.57999998</v>
      </c>
      <c r="S649" s="15">
        <v>6441328980.5292301</v>
      </c>
      <c r="T649" s="15"/>
    </row>
    <row r="650" spans="1:20" x14ac:dyDescent="0.25">
      <c r="A650" s="15" t="s">
        <v>146</v>
      </c>
      <c r="B650" s="15" t="s">
        <v>489</v>
      </c>
      <c r="C650" s="15" t="str">
        <f t="shared" si="12"/>
        <v>HSR SOUTH</v>
      </c>
      <c r="D650" s="15" t="s">
        <v>509</v>
      </c>
      <c r="E650" s="15" t="str">
        <f t="shared" si="13"/>
        <v>TDM SOUTH 2</v>
      </c>
      <c r="F650" s="15" t="s">
        <v>511</v>
      </c>
      <c r="G650" s="15"/>
      <c r="H650" s="15"/>
      <c r="I650" s="15"/>
      <c r="J650" s="15"/>
      <c r="K650" s="15" t="s">
        <v>342</v>
      </c>
      <c r="L650" s="15">
        <v>0</v>
      </c>
      <c r="M650" s="15">
        <v>0</v>
      </c>
      <c r="N650" s="15">
        <v>0</v>
      </c>
      <c r="O650" s="15">
        <v>0</v>
      </c>
      <c r="P650" s="15">
        <v>407168168.51999384</v>
      </c>
      <c r="Q650" s="15">
        <v>0</v>
      </c>
      <c r="R650" s="15">
        <v>242263446.25079992</v>
      </c>
      <c r="S650" s="15">
        <v>0</v>
      </c>
      <c r="T650" s="15"/>
    </row>
    <row r="651" spans="1:20" x14ac:dyDescent="0.25">
      <c r="A651" s="15" t="s">
        <v>150</v>
      </c>
      <c r="B651" s="15" t="s">
        <v>489</v>
      </c>
      <c r="C651" s="15" t="str">
        <f t="shared" si="12"/>
        <v>HSR SOUTH</v>
      </c>
      <c r="D651" s="15" t="s">
        <v>509</v>
      </c>
      <c r="E651" s="15" t="str">
        <f t="shared" si="13"/>
        <v>TDM SOUTH 2</v>
      </c>
      <c r="F651" s="15" t="s">
        <v>511</v>
      </c>
      <c r="G651" s="15"/>
      <c r="H651" s="15"/>
      <c r="I651" s="15"/>
      <c r="J651" s="15"/>
      <c r="K651" s="15" t="s">
        <v>342</v>
      </c>
      <c r="L651" s="15">
        <v>0</v>
      </c>
      <c r="M651" s="15">
        <v>0</v>
      </c>
      <c r="N651" s="15">
        <v>0</v>
      </c>
      <c r="O651" s="15">
        <v>0</v>
      </c>
      <c r="P651" s="15">
        <v>482326588.95998514</v>
      </c>
      <c r="Q651" s="15">
        <v>0</v>
      </c>
      <c r="R651" s="15">
        <v>362534982.53960001</v>
      </c>
      <c r="S651" s="15">
        <v>0</v>
      </c>
      <c r="T651" s="15"/>
    </row>
    <row r="652" spans="1:20" x14ac:dyDescent="0.25">
      <c r="A652" s="15" t="s">
        <v>145</v>
      </c>
      <c r="B652" s="15" t="s">
        <v>489</v>
      </c>
      <c r="C652" s="15" t="str">
        <f t="shared" si="12"/>
        <v>HSR SOUTH</v>
      </c>
      <c r="D652" s="15" t="s">
        <v>509</v>
      </c>
      <c r="E652" s="15" t="str">
        <f t="shared" si="13"/>
        <v>TDM SOUTH 2</v>
      </c>
      <c r="F652" s="15" t="s">
        <v>511</v>
      </c>
      <c r="G652" s="15"/>
      <c r="H652" s="15"/>
      <c r="I652" s="15"/>
      <c r="J652" s="15"/>
      <c r="K652" s="15" t="s">
        <v>342</v>
      </c>
      <c r="L652" s="15">
        <v>0</v>
      </c>
      <c r="M652" s="15">
        <v>0</v>
      </c>
      <c r="N652" s="15">
        <v>0</v>
      </c>
      <c r="O652" s="15">
        <v>0</v>
      </c>
      <c r="P652" s="15">
        <v>274661986.03999752</v>
      </c>
      <c r="Q652" s="15">
        <v>0</v>
      </c>
      <c r="R652" s="15">
        <v>181023400.17449993</v>
      </c>
      <c r="S652" s="15">
        <v>0</v>
      </c>
      <c r="T652" s="15"/>
    </row>
    <row r="653" spans="1:20" x14ac:dyDescent="0.25">
      <c r="A653" s="15" t="s">
        <v>152</v>
      </c>
      <c r="B653" s="15" t="s">
        <v>489</v>
      </c>
      <c r="C653" s="15" t="str">
        <f t="shared" si="12"/>
        <v>HSR SOUTH</v>
      </c>
      <c r="D653" s="15" t="s">
        <v>509</v>
      </c>
      <c r="E653" s="15" t="str">
        <f t="shared" si="13"/>
        <v>TDM SOUTH 2</v>
      </c>
      <c r="F653" s="15" t="s">
        <v>516</v>
      </c>
      <c r="G653" s="15"/>
      <c r="H653" s="15"/>
      <c r="I653" s="15"/>
      <c r="J653" s="15"/>
      <c r="K653" s="15" t="s">
        <v>342</v>
      </c>
      <c r="L653" s="15">
        <v>0</v>
      </c>
      <c r="M653" s="15">
        <v>0</v>
      </c>
      <c r="N653" s="15">
        <v>0</v>
      </c>
      <c r="O653" s="15">
        <v>0</v>
      </c>
      <c r="P653" s="15">
        <v>777585366.91837251</v>
      </c>
      <c r="Q653" s="15">
        <v>0</v>
      </c>
      <c r="R653" s="15">
        <v>381960960.90099984</v>
      </c>
      <c r="S653" s="15">
        <v>333354165.76000047</v>
      </c>
      <c r="T653" s="15"/>
    </row>
    <row r="654" spans="1:20" x14ac:dyDescent="0.25">
      <c r="A654" s="15" t="s">
        <v>156</v>
      </c>
      <c r="B654" s="15" t="s">
        <v>489</v>
      </c>
      <c r="C654" s="15" t="str">
        <f t="shared" si="12"/>
        <v>HSR SOUTH</v>
      </c>
      <c r="D654" s="15" t="s">
        <v>507</v>
      </c>
      <c r="E654" s="15" t="str">
        <f t="shared" si="13"/>
        <v>TDM SOUTH 1</v>
      </c>
      <c r="F654" s="15" t="s">
        <v>515</v>
      </c>
      <c r="G654" s="15"/>
      <c r="H654" s="15"/>
      <c r="I654" s="15"/>
      <c r="J654" s="15"/>
      <c r="K654" s="15" t="s">
        <v>342</v>
      </c>
      <c r="L654" s="15">
        <v>0</v>
      </c>
      <c r="M654" s="15">
        <v>0</v>
      </c>
      <c r="N654" s="15">
        <v>0</v>
      </c>
      <c r="O654" s="15">
        <v>0</v>
      </c>
      <c r="P654" s="15">
        <v>4631433153.9692402</v>
      </c>
      <c r="Q654" s="15">
        <v>0</v>
      </c>
      <c r="R654" s="15">
        <v>2969791621.8204007</v>
      </c>
      <c r="S654" s="15">
        <v>0</v>
      </c>
      <c r="T654" s="15"/>
    </row>
    <row r="655" spans="1:20" x14ac:dyDescent="0.25">
      <c r="A655" s="15" t="s">
        <v>154</v>
      </c>
      <c r="B655" s="15" t="s">
        <v>489</v>
      </c>
      <c r="C655" s="15" t="str">
        <f t="shared" si="12"/>
        <v>HSR SOUTH</v>
      </c>
      <c r="D655" s="15" t="s">
        <v>509</v>
      </c>
      <c r="E655" s="15" t="str">
        <f t="shared" si="13"/>
        <v>TDM SOUTH 2</v>
      </c>
      <c r="F655" s="15" t="s">
        <v>516</v>
      </c>
      <c r="G655" s="15"/>
      <c r="H655" s="15"/>
      <c r="I655" s="15"/>
      <c r="J655" s="15"/>
      <c r="K655" s="15" t="s">
        <v>342</v>
      </c>
      <c r="L655" s="15">
        <v>0</v>
      </c>
      <c r="M655" s="15">
        <v>0</v>
      </c>
      <c r="N655" s="15">
        <v>0</v>
      </c>
      <c r="O655" s="15">
        <v>0</v>
      </c>
      <c r="P655" s="15">
        <v>1690562926.0115399</v>
      </c>
      <c r="Q655" s="15">
        <v>0</v>
      </c>
      <c r="R655" s="15">
        <v>1050024310.0880005</v>
      </c>
      <c r="S655" s="15">
        <v>0</v>
      </c>
      <c r="T655" s="15"/>
    </row>
    <row r="656" spans="1:20" x14ac:dyDescent="0.25">
      <c r="A656" s="15" t="s">
        <v>517</v>
      </c>
      <c r="B656" s="15" t="s">
        <v>489</v>
      </c>
      <c r="C656" s="15" t="str">
        <f t="shared" si="12"/>
        <v>HSR SOUTH</v>
      </c>
      <c r="D656" s="15" t="s">
        <v>507</v>
      </c>
      <c r="E656" s="15" t="str">
        <f t="shared" si="13"/>
        <v>TDM SOUTH 1</v>
      </c>
      <c r="F656" s="15" t="s">
        <v>513</v>
      </c>
      <c r="G656" s="15"/>
      <c r="H656" s="15"/>
      <c r="I656" s="15"/>
      <c r="J656" s="15"/>
      <c r="K656" s="15" t="s">
        <v>342</v>
      </c>
      <c r="L656" s="15">
        <v>0</v>
      </c>
      <c r="M656" s="15">
        <v>0</v>
      </c>
      <c r="N656" s="15">
        <v>0</v>
      </c>
      <c r="O656" s="15">
        <v>0</v>
      </c>
      <c r="P656" s="15">
        <v>300363427.39183956</v>
      </c>
      <c r="Q656" s="15">
        <v>0</v>
      </c>
      <c r="R656" s="15">
        <v>195799301.25860009</v>
      </c>
      <c r="S656" s="15">
        <v>0</v>
      </c>
      <c r="T656" s="15"/>
    </row>
    <row r="657" spans="1:20" x14ac:dyDescent="0.25">
      <c r="A657" s="15" t="s">
        <v>160</v>
      </c>
      <c r="B657" s="15" t="s">
        <v>489</v>
      </c>
      <c r="C657" s="15" t="str">
        <f t="shared" si="12"/>
        <v>HSR SOUTH</v>
      </c>
      <c r="D657" s="15" t="s">
        <v>507</v>
      </c>
      <c r="E657" s="15" t="str">
        <f t="shared" si="13"/>
        <v>TDM SOUTH 1</v>
      </c>
      <c r="F657" s="15" t="s">
        <v>513</v>
      </c>
      <c r="G657" s="15"/>
      <c r="H657" s="15"/>
      <c r="I657" s="15"/>
      <c r="J657" s="15"/>
      <c r="K657" s="15" t="s">
        <v>342</v>
      </c>
      <c r="L657" s="15">
        <v>0</v>
      </c>
      <c r="M657" s="15">
        <v>0</v>
      </c>
      <c r="N657" s="15">
        <v>0</v>
      </c>
      <c r="O657" s="15">
        <v>0</v>
      </c>
      <c r="P657" s="15">
        <v>1748815591.954936</v>
      </c>
      <c r="Q657" s="15">
        <v>0</v>
      </c>
      <c r="R657" s="15">
        <v>1113203080.3724992</v>
      </c>
      <c r="S657" s="15">
        <v>0</v>
      </c>
      <c r="T657" s="15"/>
    </row>
    <row r="658" spans="1:20" x14ac:dyDescent="0.25">
      <c r="A658" s="15" t="s">
        <v>151</v>
      </c>
      <c r="B658" s="15" t="s">
        <v>489</v>
      </c>
      <c r="C658" s="15" t="str">
        <f t="shared" si="12"/>
        <v>HSR SOUTH</v>
      </c>
      <c r="D658" s="15" t="s">
        <v>509</v>
      </c>
      <c r="E658" s="15" t="str">
        <f t="shared" si="13"/>
        <v>TDM SOUTH 2</v>
      </c>
      <c r="F658" s="15" t="s">
        <v>511</v>
      </c>
      <c r="G658" s="15"/>
      <c r="H658" s="15"/>
      <c r="I658" s="15"/>
      <c r="J658" s="15"/>
      <c r="K658" s="15" t="s">
        <v>342</v>
      </c>
      <c r="L658" s="15">
        <v>0</v>
      </c>
      <c r="M658" s="15">
        <v>0</v>
      </c>
      <c r="N658" s="15">
        <v>0</v>
      </c>
      <c r="O658" s="15">
        <v>0</v>
      </c>
      <c r="P658" s="15">
        <v>320497709.13999486</v>
      </c>
      <c r="Q658" s="15">
        <v>0</v>
      </c>
      <c r="R658" s="15">
        <v>193982358.73899996</v>
      </c>
      <c r="S658" s="15">
        <v>0</v>
      </c>
      <c r="T658" s="15"/>
    </row>
    <row r="659" spans="1:20" x14ac:dyDescent="0.25">
      <c r="A659" s="15" t="s">
        <v>341</v>
      </c>
      <c r="B659" s="15" t="s">
        <v>489</v>
      </c>
      <c r="C659" s="15" t="str">
        <f t="shared" si="12"/>
        <v>HSR SOUTH</v>
      </c>
      <c r="D659" s="15" t="s">
        <v>509</v>
      </c>
      <c r="E659" s="15" t="str">
        <f t="shared" si="13"/>
        <v>TDM SOUTH 2</v>
      </c>
      <c r="F659" s="15" t="s">
        <v>518</v>
      </c>
      <c r="G659" s="15"/>
      <c r="H659" s="15"/>
      <c r="I659" s="15"/>
      <c r="J659" s="15"/>
      <c r="K659" s="15" t="s">
        <v>342</v>
      </c>
      <c r="L659" s="15">
        <v>0</v>
      </c>
      <c r="M659" s="15">
        <v>0</v>
      </c>
      <c r="N659" s="15">
        <v>0</v>
      </c>
      <c r="O659" s="15">
        <v>0</v>
      </c>
      <c r="P659" s="15">
        <v>686433526.75362909</v>
      </c>
      <c r="Q659" s="15">
        <v>0</v>
      </c>
      <c r="R659" s="15">
        <v>383589624.24380004</v>
      </c>
      <c r="S659" s="15">
        <v>1264255297.0799983</v>
      </c>
      <c r="T659" s="15"/>
    </row>
    <row r="660" spans="1:20" x14ac:dyDescent="0.25">
      <c r="A660" s="15" t="s">
        <v>141</v>
      </c>
      <c r="B660" s="15" t="s">
        <v>489</v>
      </c>
      <c r="C660" s="15" t="str">
        <f t="shared" si="12"/>
        <v>HSR SOUTH</v>
      </c>
      <c r="D660" s="15" t="s">
        <v>509</v>
      </c>
      <c r="E660" s="15" t="str">
        <f t="shared" si="13"/>
        <v>TDM SOUTH 2</v>
      </c>
      <c r="F660" s="15" t="s">
        <v>518</v>
      </c>
      <c r="G660" s="15"/>
      <c r="H660" s="15"/>
      <c r="I660" s="15"/>
      <c r="J660" s="15"/>
      <c r="K660" s="15" t="s">
        <v>342</v>
      </c>
      <c r="L660" s="15">
        <v>0</v>
      </c>
      <c r="M660" s="15">
        <v>0</v>
      </c>
      <c r="N660" s="15">
        <v>0</v>
      </c>
      <c r="O660" s="15">
        <v>0</v>
      </c>
      <c r="P660" s="15">
        <v>588019498.70052648</v>
      </c>
      <c r="Q660" s="15">
        <v>0</v>
      </c>
      <c r="R660" s="15">
        <v>319467848.86250019</v>
      </c>
      <c r="S660" s="15">
        <v>0</v>
      </c>
      <c r="T660" s="15"/>
    </row>
    <row r="661" spans="1:20" x14ac:dyDescent="0.25">
      <c r="A661" s="15" t="s">
        <v>148</v>
      </c>
      <c r="B661" s="15" t="s">
        <v>489</v>
      </c>
      <c r="C661" s="15" t="str">
        <f t="shared" si="12"/>
        <v>HSR SOUTH</v>
      </c>
      <c r="D661" s="15" t="s">
        <v>509</v>
      </c>
      <c r="E661" s="15" t="str">
        <f t="shared" si="13"/>
        <v>TDM SOUTH 2</v>
      </c>
      <c r="F661" s="15" t="s">
        <v>518</v>
      </c>
      <c r="G661" s="15"/>
      <c r="H661" s="15"/>
      <c r="I661" s="15"/>
      <c r="J661" s="15"/>
      <c r="K661" s="15" t="s">
        <v>342</v>
      </c>
      <c r="L661" s="15">
        <v>0</v>
      </c>
      <c r="M661" s="15">
        <v>0</v>
      </c>
      <c r="N661" s="15">
        <v>0</v>
      </c>
      <c r="O661" s="15">
        <v>0</v>
      </c>
      <c r="P661" s="15">
        <v>949621290.1921854</v>
      </c>
      <c r="Q661" s="15">
        <v>0</v>
      </c>
      <c r="R661" s="15">
        <v>577722381.09299958</v>
      </c>
      <c r="S661" s="15">
        <v>0</v>
      </c>
      <c r="T661" s="15"/>
    </row>
    <row r="662" spans="1:20" x14ac:dyDescent="0.25">
      <c r="A662" s="15" t="s">
        <v>173</v>
      </c>
      <c r="B662" s="15" t="s">
        <v>489</v>
      </c>
      <c r="C662" s="15" t="str">
        <f t="shared" si="12"/>
        <v>HSR SOUTH</v>
      </c>
      <c r="D662" s="15" t="s">
        <v>509</v>
      </c>
      <c r="E662" s="15" t="str">
        <f t="shared" si="13"/>
        <v>TDM SOUTH 2</v>
      </c>
      <c r="F662" s="15" t="s">
        <v>510</v>
      </c>
      <c r="G662" s="15"/>
      <c r="H662" s="15"/>
      <c r="I662" s="15"/>
      <c r="J662" s="15"/>
      <c r="K662" s="15" t="s">
        <v>342</v>
      </c>
      <c r="L662" s="15">
        <v>0</v>
      </c>
      <c r="M662" s="15">
        <v>0</v>
      </c>
      <c r="N662" s="15">
        <v>0</v>
      </c>
      <c r="O662" s="15">
        <v>0</v>
      </c>
      <c r="P662" s="15">
        <v>1494673.280976</v>
      </c>
      <c r="Q662" s="15">
        <v>0</v>
      </c>
      <c r="R662" s="15">
        <v>0</v>
      </c>
      <c r="S662" s="15">
        <v>0</v>
      </c>
      <c r="T662" s="15"/>
    </row>
    <row r="663" spans="1:20" x14ac:dyDescent="0.25">
      <c r="A663" s="15" t="s">
        <v>146</v>
      </c>
      <c r="B663" s="15" t="s">
        <v>489</v>
      </c>
      <c r="C663" s="15" t="str">
        <f t="shared" si="12"/>
        <v>HSR SOUTH</v>
      </c>
      <c r="D663" s="15" t="s">
        <v>509</v>
      </c>
      <c r="E663" s="15" t="str">
        <f t="shared" si="13"/>
        <v>TDM SOUTH 2</v>
      </c>
      <c r="F663" s="15" t="s">
        <v>518</v>
      </c>
      <c r="G663" s="15"/>
      <c r="H663" s="15"/>
      <c r="I663" s="15"/>
      <c r="J663" s="15"/>
      <c r="K663" s="15" t="s">
        <v>342</v>
      </c>
      <c r="L663" s="15">
        <v>0</v>
      </c>
      <c r="M663" s="15">
        <v>0</v>
      </c>
      <c r="N663" s="15">
        <v>0</v>
      </c>
      <c r="O663" s="15">
        <v>0</v>
      </c>
      <c r="P663" s="15">
        <v>439515234.61708415</v>
      </c>
      <c r="Q663" s="15">
        <v>0</v>
      </c>
      <c r="R663" s="15">
        <v>244595402.85570005</v>
      </c>
      <c r="S663" s="15">
        <v>0</v>
      </c>
      <c r="T663" s="15"/>
    </row>
    <row r="664" spans="1:20" x14ac:dyDescent="0.25">
      <c r="A664" s="15" t="s">
        <v>150</v>
      </c>
      <c r="B664" s="15" t="s">
        <v>489</v>
      </c>
      <c r="C664" s="15" t="str">
        <f t="shared" si="12"/>
        <v>HSR SOUTH</v>
      </c>
      <c r="D664" s="15" t="s">
        <v>509</v>
      </c>
      <c r="E664" s="15" t="str">
        <f t="shared" si="13"/>
        <v>TDM SOUTH 2</v>
      </c>
      <c r="F664" s="15" t="s">
        <v>518</v>
      </c>
      <c r="G664" s="15"/>
      <c r="H664" s="15"/>
      <c r="I664" s="15"/>
      <c r="J664" s="15"/>
      <c r="K664" s="15" t="s">
        <v>342</v>
      </c>
      <c r="L664" s="15">
        <v>0</v>
      </c>
      <c r="M664" s="15">
        <v>0</v>
      </c>
      <c r="N664" s="15">
        <v>0</v>
      </c>
      <c r="O664" s="15">
        <v>0</v>
      </c>
      <c r="P664" s="15">
        <v>384967335.97932667</v>
      </c>
      <c r="Q664" s="15">
        <v>0</v>
      </c>
      <c r="R664" s="15">
        <v>238600337.93050003</v>
      </c>
      <c r="S664" s="15">
        <v>0</v>
      </c>
      <c r="T664" s="15"/>
    </row>
    <row r="665" spans="1:20" x14ac:dyDescent="0.25">
      <c r="A665" s="15" t="s">
        <v>145</v>
      </c>
      <c r="B665" s="15" t="s">
        <v>489</v>
      </c>
      <c r="C665" s="15" t="str">
        <f t="shared" si="12"/>
        <v>HSR SOUTH</v>
      </c>
      <c r="D665" s="15" t="s">
        <v>509</v>
      </c>
      <c r="E665" s="15" t="str">
        <f t="shared" si="13"/>
        <v>TDM SOUTH 2</v>
      </c>
      <c r="F665" s="15" t="s">
        <v>518</v>
      </c>
      <c r="G665" s="15"/>
      <c r="H665" s="15"/>
      <c r="I665" s="15"/>
      <c r="J665" s="15"/>
      <c r="K665" s="15" t="s">
        <v>342</v>
      </c>
      <c r="L665" s="15">
        <v>0</v>
      </c>
      <c r="M665" s="15">
        <v>0</v>
      </c>
      <c r="N665" s="15">
        <v>0</v>
      </c>
      <c r="O665" s="15">
        <v>0</v>
      </c>
      <c r="P665" s="15">
        <v>332584151.66513157</v>
      </c>
      <c r="Q665" s="15">
        <v>0</v>
      </c>
      <c r="R665" s="15">
        <v>175410934.04640001</v>
      </c>
      <c r="S665" s="15">
        <v>0</v>
      </c>
      <c r="T665" s="15"/>
    </row>
    <row r="666" spans="1:20" x14ac:dyDescent="0.25">
      <c r="A666" s="15" t="s">
        <v>154</v>
      </c>
      <c r="B666" s="15" t="s">
        <v>489</v>
      </c>
      <c r="C666" s="15" t="str">
        <f t="shared" si="12"/>
        <v>HSR SOUTH</v>
      </c>
      <c r="D666" s="15" t="s">
        <v>509</v>
      </c>
      <c r="E666" s="15" t="str">
        <f t="shared" si="13"/>
        <v>TDM SOUTH 2</v>
      </c>
      <c r="F666" s="15" t="s">
        <v>510</v>
      </c>
      <c r="G666" s="15"/>
      <c r="H666" s="15"/>
      <c r="I666" s="15"/>
      <c r="J666" s="15"/>
      <c r="K666" s="15" t="s">
        <v>342</v>
      </c>
      <c r="L666" s="15">
        <v>0</v>
      </c>
      <c r="M666" s="15">
        <v>0</v>
      </c>
      <c r="N666" s="15">
        <v>0</v>
      </c>
      <c r="O666" s="15">
        <v>0</v>
      </c>
      <c r="P666" s="15">
        <v>347336.67000000004</v>
      </c>
      <c r="Q666" s="15">
        <v>0</v>
      </c>
      <c r="R666" s="15">
        <v>3357900</v>
      </c>
      <c r="S666" s="15">
        <v>0</v>
      </c>
      <c r="T666" s="15"/>
    </row>
    <row r="667" spans="1:20" x14ac:dyDescent="0.25">
      <c r="A667" s="15" t="s">
        <v>151</v>
      </c>
      <c r="B667" s="15" t="s">
        <v>489</v>
      </c>
      <c r="C667" s="15" t="str">
        <f t="shared" si="12"/>
        <v>HSR SOUTH</v>
      </c>
      <c r="D667" s="15" t="s">
        <v>509</v>
      </c>
      <c r="E667" s="15" t="str">
        <f t="shared" si="13"/>
        <v>TDM SOUTH 2</v>
      </c>
      <c r="F667" s="15" t="s">
        <v>516</v>
      </c>
      <c r="G667" s="15"/>
      <c r="H667" s="15"/>
      <c r="I667" s="15"/>
      <c r="J667" s="15"/>
      <c r="K667" s="15" t="s">
        <v>342</v>
      </c>
      <c r="L667" s="15">
        <v>0</v>
      </c>
      <c r="M667" s="15">
        <v>0</v>
      </c>
      <c r="N667" s="15">
        <v>0</v>
      </c>
      <c r="O667" s="15">
        <v>0</v>
      </c>
      <c r="P667" s="15">
        <v>382313707.37538594</v>
      </c>
      <c r="Q667" s="15">
        <v>0</v>
      </c>
      <c r="R667" s="15">
        <v>191982465.48129994</v>
      </c>
      <c r="S667" s="15">
        <v>0</v>
      </c>
      <c r="T667" s="15"/>
    </row>
    <row r="668" spans="1:20" x14ac:dyDescent="0.25">
      <c r="A668" s="15" t="s">
        <v>174</v>
      </c>
      <c r="B668" s="15" t="s">
        <v>489</v>
      </c>
      <c r="C668" s="15" t="str">
        <f t="shared" si="12"/>
        <v>HSR SOUTH</v>
      </c>
      <c r="D668" s="15" t="s">
        <v>490</v>
      </c>
      <c r="E668" s="15" t="str">
        <f t="shared" si="13"/>
        <v>ASM SOU Krasnodar</v>
      </c>
      <c r="F668" s="15" t="s">
        <v>502</v>
      </c>
      <c r="G668" s="15"/>
      <c r="H668" s="15" t="s">
        <v>96</v>
      </c>
      <c r="I668" s="15"/>
      <c r="J668" s="15"/>
      <c r="K668" s="15"/>
      <c r="L668" s="15">
        <v>0</v>
      </c>
      <c r="M668" s="15">
        <v>2328586.79</v>
      </c>
      <c r="N668" s="15">
        <v>13130.27</v>
      </c>
      <c r="O668" s="15">
        <v>806469.12999999989</v>
      </c>
      <c r="P668" s="15">
        <v>0</v>
      </c>
      <c r="Q668" s="15">
        <v>90879464.679999992</v>
      </c>
      <c r="R668" s="15">
        <v>0</v>
      </c>
      <c r="S668" s="15">
        <v>0</v>
      </c>
      <c r="T668" s="15"/>
    </row>
    <row r="669" spans="1:20" x14ac:dyDescent="0.25">
      <c r="A669" s="15" t="s">
        <v>341</v>
      </c>
      <c r="B669" s="15" t="s">
        <v>489</v>
      </c>
      <c r="C669" s="15" t="str">
        <f t="shared" si="12"/>
        <v>HSR SOUTH</v>
      </c>
      <c r="D669" s="15" t="s">
        <v>495</v>
      </c>
      <c r="E669" s="15" t="str">
        <f t="shared" si="13"/>
        <v>ASM SOU Voronezh</v>
      </c>
      <c r="F669" s="15" t="s">
        <v>496</v>
      </c>
      <c r="G669" s="15"/>
      <c r="H669" s="15" t="s">
        <v>96</v>
      </c>
      <c r="I669" s="15"/>
      <c r="J669" s="15"/>
      <c r="K669" s="15"/>
      <c r="L669" s="15">
        <v>0</v>
      </c>
      <c r="M669" s="15">
        <v>13742490.699999999</v>
      </c>
      <c r="N669" s="15">
        <v>3022022.7600000002</v>
      </c>
      <c r="O669" s="15">
        <v>400453.30999999994</v>
      </c>
      <c r="P669" s="15">
        <v>0</v>
      </c>
      <c r="Q669" s="15">
        <v>42349125.859999992</v>
      </c>
      <c r="R669" s="15">
        <v>0</v>
      </c>
      <c r="S669" s="15">
        <v>0</v>
      </c>
      <c r="T669" s="15"/>
    </row>
    <row r="670" spans="1:20" x14ac:dyDescent="0.25">
      <c r="A670" s="15" t="s">
        <v>341</v>
      </c>
      <c r="B670" s="15" t="s">
        <v>489</v>
      </c>
      <c r="C670" s="15" t="str">
        <f t="shared" si="12"/>
        <v>HSR SOUTH</v>
      </c>
      <c r="D670" s="15" t="s">
        <v>495</v>
      </c>
      <c r="E670" s="15" t="str">
        <f t="shared" si="13"/>
        <v>ASM SOU Voronezh</v>
      </c>
      <c r="F670" s="15" t="s">
        <v>498</v>
      </c>
      <c r="G670" s="15"/>
      <c r="H670" s="15" t="s">
        <v>96</v>
      </c>
      <c r="I670" s="15"/>
      <c r="J670" s="15"/>
      <c r="K670" s="15"/>
      <c r="L670" s="15">
        <v>0</v>
      </c>
      <c r="M670" s="15">
        <v>0</v>
      </c>
      <c r="N670" s="15">
        <v>0</v>
      </c>
      <c r="O670" s="15">
        <v>1361356.9399999995</v>
      </c>
      <c r="P670" s="15">
        <v>0</v>
      </c>
      <c r="Q670" s="15">
        <v>0</v>
      </c>
      <c r="R670" s="15">
        <v>0</v>
      </c>
      <c r="S670" s="15">
        <v>0</v>
      </c>
      <c r="T670" s="15"/>
    </row>
    <row r="671" spans="1:20" x14ac:dyDescent="0.25">
      <c r="A671" s="15" t="s">
        <v>141</v>
      </c>
      <c r="B671" s="15" t="s">
        <v>489</v>
      </c>
      <c r="C671" s="15" t="str">
        <f t="shared" si="12"/>
        <v>HSR SOUTH</v>
      </c>
      <c r="D671" s="15" t="s">
        <v>495</v>
      </c>
      <c r="E671" s="15" t="str">
        <f t="shared" si="13"/>
        <v>ASM SOU Voronezh</v>
      </c>
      <c r="F671" s="15" t="s">
        <v>496</v>
      </c>
      <c r="G671" s="15"/>
      <c r="H671" s="15" t="s">
        <v>96</v>
      </c>
      <c r="I671" s="15"/>
      <c r="J671" s="15"/>
      <c r="K671" s="15"/>
      <c r="L671" s="15">
        <v>0</v>
      </c>
      <c r="M671" s="15">
        <v>8182930.8999999994</v>
      </c>
      <c r="N671" s="15">
        <v>0</v>
      </c>
      <c r="O671" s="15">
        <v>0</v>
      </c>
      <c r="P671" s="15">
        <v>0</v>
      </c>
      <c r="Q671" s="15">
        <v>12460186.710000001</v>
      </c>
      <c r="R671" s="15">
        <v>0</v>
      </c>
      <c r="S671" s="15">
        <v>0</v>
      </c>
      <c r="T671" s="15"/>
    </row>
    <row r="672" spans="1:20" x14ac:dyDescent="0.25">
      <c r="A672" s="15" t="s">
        <v>148</v>
      </c>
      <c r="B672" s="15" t="s">
        <v>489</v>
      </c>
      <c r="C672" s="15" t="str">
        <f t="shared" si="12"/>
        <v>HSR SOUTH</v>
      </c>
      <c r="D672" s="15" t="s">
        <v>495</v>
      </c>
      <c r="E672" s="15" t="str">
        <f t="shared" si="13"/>
        <v>ASM SOU Voronezh</v>
      </c>
      <c r="F672" s="15" t="s">
        <v>496</v>
      </c>
      <c r="G672" s="15"/>
      <c r="H672" s="15" t="s">
        <v>96</v>
      </c>
      <c r="I672" s="15">
        <v>1</v>
      </c>
      <c r="J672" s="15"/>
      <c r="K672" s="15"/>
      <c r="L672" s="15">
        <v>0</v>
      </c>
      <c r="M672" s="15">
        <v>526862.52</v>
      </c>
      <c r="N672" s="15">
        <v>0</v>
      </c>
      <c r="O672" s="15">
        <v>1241115.1800000004</v>
      </c>
      <c r="P672" s="15">
        <v>0</v>
      </c>
      <c r="Q672" s="15">
        <v>130075043.87999995</v>
      </c>
      <c r="R672" s="15">
        <v>0</v>
      </c>
      <c r="S672" s="15">
        <v>0</v>
      </c>
      <c r="T672" s="15"/>
    </row>
    <row r="673" spans="1:20" x14ac:dyDescent="0.25">
      <c r="A673" s="15" t="s">
        <v>148</v>
      </c>
      <c r="B673" s="15" t="s">
        <v>489</v>
      </c>
      <c r="C673" s="15" t="str">
        <f t="shared" si="12"/>
        <v>HSR SOUTH</v>
      </c>
      <c r="D673" s="15" t="s">
        <v>495</v>
      </c>
      <c r="E673" s="15" t="str">
        <f t="shared" si="13"/>
        <v>ASM SOU Voronezh</v>
      </c>
      <c r="F673" s="15" t="s">
        <v>498</v>
      </c>
      <c r="G673" s="15"/>
      <c r="H673" s="15" t="s">
        <v>96</v>
      </c>
      <c r="I673" s="15"/>
      <c r="J673" s="15"/>
      <c r="K673" s="15"/>
      <c r="L673" s="15">
        <v>0</v>
      </c>
      <c r="M673" s="15">
        <v>8536955.5500000007</v>
      </c>
      <c r="N673" s="15">
        <v>5757796.0499999989</v>
      </c>
      <c r="O673" s="15">
        <v>78761623.449999958</v>
      </c>
      <c r="P673" s="15">
        <v>0</v>
      </c>
      <c r="Q673" s="15">
        <v>0</v>
      </c>
      <c r="R673" s="15">
        <v>0</v>
      </c>
      <c r="S673" s="15">
        <v>0</v>
      </c>
      <c r="T673" s="15"/>
    </row>
    <row r="674" spans="1:20" x14ac:dyDescent="0.25">
      <c r="A674" s="15" t="s">
        <v>171</v>
      </c>
      <c r="B674" s="15" t="s">
        <v>489</v>
      </c>
      <c r="C674" s="15" t="str">
        <f t="shared" si="12"/>
        <v>HSR SOUTH</v>
      </c>
      <c r="D674" s="15" t="s">
        <v>490</v>
      </c>
      <c r="E674" s="15" t="str">
        <f t="shared" si="13"/>
        <v>ASM SOU Krasnodar</v>
      </c>
      <c r="F674" s="15" t="s">
        <v>491</v>
      </c>
      <c r="G674" s="15"/>
      <c r="H674" s="15" t="s">
        <v>96</v>
      </c>
      <c r="I674" s="15"/>
      <c r="J674" s="15"/>
      <c r="K674" s="15"/>
      <c r="L674" s="15">
        <v>0</v>
      </c>
      <c r="M674" s="15">
        <v>0</v>
      </c>
      <c r="N674" s="15">
        <v>0</v>
      </c>
      <c r="O674" s="15">
        <v>492352.85000000003</v>
      </c>
      <c r="P674" s="15">
        <v>0</v>
      </c>
      <c r="Q674" s="15">
        <v>0</v>
      </c>
      <c r="R674" s="15">
        <v>104971901.41360001</v>
      </c>
      <c r="S674" s="15">
        <v>0</v>
      </c>
      <c r="T674" s="15"/>
    </row>
    <row r="675" spans="1:20" x14ac:dyDescent="0.25">
      <c r="A675" s="15" t="s">
        <v>434</v>
      </c>
      <c r="B675" s="15" t="s">
        <v>489</v>
      </c>
      <c r="C675" s="15" t="str">
        <f t="shared" si="12"/>
        <v>HSR SOUTH</v>
      </c>
      <c r="D675" s="15" t="s">
        <v>490</v>
      </c>
      <c r="E675" s="15" t="str">
        <f t="shared" si="13"/>
        <v>ASM SOU Krasnodar</v>
      </c>
      <c r="F675" s="15" t="s">
        <v>502</v>
      </c>
      <c r="G675" s="15"/>
      <c r="H675" s="15" t="s">
        <v>96</v>
      </c>
      <c r="I675" s="15"/>
      <c r="J675" s="15"/>
      <c r="K675" s="15"/>
      <c r="L675" s="15">
        <v>0</v>
      </c>
      <c r="M675" s="15">
        <v>0</v>
      </c>
      <c r="N675" s="15">
        <v>0</v>
      </c>
      <c r="O675" s="15">
        <v>2874266.73</v>
      </c>
      <c r="P675" s="15">
        <v>0</v>
      </c>
      <c r="Q675" s="15">
        <v>8317598.1300000008</v>
      </c>
      <c r="R675" s="15">
        <v>0</v>
      </c>
      <c r="S675" s="15">
        <v>0</v>
      </c>
      <c r="T675" s="15"/>
    </row>
    <row r="676" spans="1:20" x14ac:dyDescent="0.25">
      <c r="A676" s="15" t="s">
        <v>20</v>
      </c>
      <c r="B676" s="15" t="s">
        <v>489</v>
      </c>
      <c r="C676" s="15" t="str">
        <f t="shared" si="12"/>
        <v>HSR SOUTH</v>
      </c>
      <c r="D676" s="15" t="s">
        <v>495</v>
      </c>
      <c r="E676" s="15" t="str">
        <f t="shared" si="13"/>
        <v>ASM SOU Voronezh</v>
      </c>
      <c r="F676" s="15" t="s">
        <v>496</v>
      </c>
      <c r="G676" s="15"/>
      <c r="H676" s="15" t="s">
        <v>96</v>
      </c>
      <c r="I676" s="15"/>
      <c r="J676" s="15"/>
      <c r="K676" s="15"/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19951807.690000005</v>
      </c>
      <c r="R676" s="15">
        <v>0</v>
      </c>
      <c r="S676" s="15">
        <v>0</v>
      </c>
      <c r="T676" s="15"/>
    </row>
    <row r="677" spans="1:20" x14ac:dyDescent="0.25">
      <c r="A677" s="15" t="s">
        <v>173</v>
      </c>
      <c r="B677" s="15" t="s">
        <v>489</v>
      </c>
      <c r="C677" s="15" t="str">
        <f t="shared" si="12"/>
        <v>HSR SOUTH</v>
      </c>
      <c r="D677" s="15" t="s">
        <v>490</v>
      </c>
      <c r="E677" s="15" t="str">
        <f t="shared" si="13"/>
        <v>ASM SOU Krasnodar</v>
      </c>
      <c r="F677" s="15" t="s">
        <v>499</v>
      </c>
      <c r="G677" s="15"/>
      <c r="H677" s="15" t="s">
        <v>96</v>
      </c>
      <c r="I677" s="15">
        <v>1</v>
      </c>
      <c r="J677" s="15"/>
      <c r="K677" s="15"/>
      <c r="L677" s="15">
        <v>0</v>
      </c>
      <c r="M677" s="15">
        <v>0</v>
      </c>
      <c r="N677" s="15">
        <v>0</v>
      </c>
      <c r="O677" s="15">
        <v>10295643.300000003</v>
      </c>
      <c r="P677" s="15">
        <v>0</v>
      </c>
      <c r="Q677" s="15">
        <v>0</v>
      </c>
      <c r="R677" s="15">
        <v>0</v>
      </c>
      <c r="S677" s="15">
        <v>0</v>
      </c>
      <c r="T677" s="15"/>
    </row>
    <row r="678" spans="1:20" x14ac:dyDescent="0.25">
      <c r="A678" s="15" t="s">
        <v>173</v>
      </c>
      <c r="B678" s="15" t="s">
        <v>489</v>
      </c>
      <c r="C678" s="15" t="str">
        <f t="shared" si="12"/>
        <v>HSR SOUTH</v>
      </c>
      <c r="D678" s="15" t="s">
        <v>490</v>
      </c>
      <c r="E678" s="15" t="str">
        <f t="shared" si="13"/>
        <v>ASM SOU Krasnodar</v>
      </c>
      <c r="F678" s="15" t="s">
        <v>502</v>
      </c>
      <c r="G678" s="15"/>
      <c r="H678" s="15" t="s">
        <v>96</v>
      </c>
      <c r="I678" s="15"/>
      <c r="J678" s="15"/>
      <c r="K678" s="15"/>
      <c r="L678" s="15">
        <v>0</v>
      </c>
      <c r="M678" s="15">
        <v>4270575.3600000003</v>
      </c>
      <c r="N678" s="15">
        <v>111221156.59</v>
      </c>
      <c r="O678" s="15">
        <v>637981612.9000001</v>
      </c>
      <c r="P678" s="15">
        <v>0</v>
      </c>
      <c r="Q678" s="15">
        <v>541872107.94999981</v>
      </c>
      <c r="R678" s="15">
        <v>0</v>
      </c>
      <c r="S678" s="15">
        <v>0</v>
      </c>
      <c r="T678" s="15"/>
    </row>
    <row r="679" spans="1:20" x14ac:dyDescent="0.25">
      <c r="A679" s="15" t="s">
        <v>173</v>
      </c>
      <c r="B679" s="15" t="s">
        <v>489</v>
      </c>
      <c r="C679" s="15" t="str">
        <f t="shared" si="12"/>
        <v>HSR SOUTH</v>
      </c>
      <c r="D679" s="15" t="s">
        <v>503</v>
      </c>
      <c r="E679" s="15" t="str">
        <f t="shared" si="13"/>
        <v>DDM SOU Rostov-On-Don</v>
      </c>
      <c r="F679" s="15" t="s">
        <v>504</v>
      </c>
      <c r="G679" s="15"/>
      <c r="H679" s="15" t="s">
        <v>96</v>
      </c>
      <c r="I679" s="15"/>
      <c r="J679" s="15"/>
      <c r="K679" s="15"/>
      <c r="L679" s="15">
        <v>0</v>
      </c>
      <c r="M679" s="15">
        <v>8978605.0899999999</v>
      </c>
      <c r="N679" s="15">
        <v>0</v>
      </c>
      <c r="O679" s="15">
        <v>1849561.63</v>
      </c>
      <c r="P679" s="15">
        <v>0</v>
      </c>
      <c r="Q679" s="15">
        <v>8931712.879999999</v>
      </c>
      <c r="R679" s="15">
        <v>0</v>
      </c>
      <c r="S679" s="15">
        <v>0</v>
      </c>
      <c r="T679" s="15"/>
    </row>
    <row r="680" spans="1:20" x14ac:dyDescent="0.25">
      <c r="A680" s="15" t="s">
        <v>173</v>
      </c>
      <c r="B680" s="15" t="s">
        <v>489</v>
      </c>
      <c r="C680" s="15" t="str">
        <f t="shared" si="12"/>
        <v>HSR SOUTH</v>
      </c>
      <c r="D680" s="15" t="s">
        <v>503</v>
      </c>
      <c r="E680" s="15" t="str">
        <f t="shared" si="13"/>
        <v>DDM SOU Rostov-On-Don</v>
      </c>
      <c r="F680" s="15" t="s">
        <v>505</v>
      </c>
      <c r="G680" s="15"/>
      <c r="H680" s="15" t="s">
        <v>96</v>
      </c>
      <c r="I680" s="15"/>
      <c r="J680" s="15"/>
      <c r="K680" s="15"/>
      <c r="L680" s="15">
        <v>0</v>
      </c>
      <c r="M680" s="15">
        <v>3701884.3000000007</v>
      </c>
      <c r="N680" s="15">
        <v>1630364.4800000007</v>
      </c>
      <c r="O680" s="15">
        <v>1121129.4099999999</v>
      </c>
      <c r="P680" s="15">
        <v>0</v>
      </c>
      <c r="Q680" s="15">
        <v>614114.75</v>
      </c>
      <c r="R680" s="15">
        <v>0</v>
      </c>
      <c r="S680" s="15">
        <v>0</v>
      </c>
      <c r="T680" s="15"/>
    </row>
    <row r="681" spans="1:20" x14ac:dyDescent="0.25">
      <c r="A681" s="15" t="s">
        <v>173</v>
      </c>
      <c r="B681" s="15" t="s">
        <v>489</v>
      </c>
      <c r="C681" s="15" t="str">
        <f t="shared" si="12"/>
        <v>HSR SOUTH</v>
      </c>
      <c r="D681" s="15" t="s">
        <v>490</v>
      </c>
      <c r="E681" s="15" t="str">
        <f t="shared" si="13"/>
        <v>ASM SOU Krasnodar</v>
      </c>
      <c r="F681" s="15" t="s">
        <v>491</v>
      </c>
      <c r="G681" s="15"/>
      <c r="H681" s="15" t="s">
        <v>96</v>
      </c>
      <c r="I681" s="15"/>
      <c r="J681" s="15"/>
      <c r="K681" s="15" t="s">
        <v>342</v>
      </c>
      <c r="L681" s="15">
        <v>0</v>
      </c>
      <c r="M681" s="15">
        <v>16025621.889999999</v>
      </c>
      <c r="N681" s="15">
        <v>9900680.1600000001</v>
      </c>
      <c r="O681" s="15">
        <v>163356771.46999994</v>
      </c>
      <c r="P681" s="15">
        <v>1467439433.5898113</v>
      </c>
      <c r="Q681" s="15">
        <v>10774057.129999999</v>
      </c>
      <c r="R681" s="15">
        <v>663558106.29289997</v>
      </c>
      <c r="S681" s="15">
        <v>0</v>
      </c>
      <c r="T681" s="15"/>
    </row>
    <row r="682" spans="1:20" x14ac:dyDescent="0.25">
      <c r="A682" s="15" t="s">
        <v>180</v>
      </c>
      <c r="B682" s="15" t="s">
        <v>489</v>
      </c>
      <c r="C682" s="15" t="str">
        <f t="shared" si="12"/>
        <v>HSR SOUTH</v>
      </c>
      <c r="D682" s="15" t="s">
        <v>490</v>
      </c>
      <c r="E682" s="15" t="str">
        <f t="shared" si="13"/>
        <v>ASM SOU Krasnodar</v>
      </c>
      <c r="F682" s="15" t="s">
        <v>499</v>
      </c>
      <c r="G682" s="15"/>
      <c r="H682" s="15" t="s">
        <v>96</v>
      </c>
      <c r="I682" s="15"/>
      <c r="J682" s="15"/>
      <c r="K682" s="15"/>
      <c r="L682" s="15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4912918.0000000009</v>
      </c>
      <c r="R682" s="15">
        <v>162486690.05530003</v>
      </c>
      <c r="S682" s="15">
        <v>0</v>
      </c>
      <c r="T682" s="15"/>
    </row>
    <row r="683" spans="1:20" x14ac:dyDescent="0.25">
      <c r="A683" s="15" t="s">
        <v>180</v>
      </c>
      <c r="B683" s="15" t="s">
        <v>489</v>
      </c>
      <c r="C683" s="15" t="str">
        <f t="shared" si="12"/>
        <v>HSR SOUTH</v>
      </c>
      <c r="D683" s="15" t="s">
        <v>490</v>
      </c>
      <c r="E683" s="15" t="str">
        <f t="shared" si="13"/>
        <v>ASM SOU Krasnodar</v>
      </c>
      <c r="F683" s="15" t="s">
        <v>502</v>
      </c>
      <c r="G683" s="15"/>
      <c r="H683" s="15" t="s">
        <v>96</v>
      </c>
      <c r="I683" s="15"/>
      <c r="J683" s="15"/>
      <c r="K683" s="15"/>
      <c r="L683" s="15">
        <v>0</v>
      </c>
      <c r="M683" s="15">
        <v>0</v>
      </c>
      <c r="N683" s="15">
        <v>0</v>
      </c>
      <c r="O683" s="15">
        <v>173787.44</v>
      </c>
      <c r="P683" s="15">
        <v>0</v>
      </c>
      <c r="Q683" s="15">
        <v>165112851.97999996</v>
      </c>
      <c r="R683" s="15">
        <v>0</v>
      </c>
      <c r="S683" s="15">
        <v>0</v>
      </c>
      <c r="T683" s="15"/>
    </row>
    <row r="684" spans="1:20" x14ac:dyDescent="0.25">
      <c r="A684" s="15" t="s">
        <v>146</v>
      </c>
      <c r="B684" s="15" t="s">
        <v>489</v>
      </c>
      <c r="C684" s="15" t="str">
        <f t="shared" si="12"/>
        <v>HSR SOUTH</v>
      </c>
      <c r="D684" s="15" t="s">
        <v>495</v>
      </c>
      <c r="E684" s="15" t="str">
        <f t="shared" si="13"/>
        <v>ASM SOU Voronezh</v>
      </c>
      <c r="F684" s="15" t="s">
        <v>496</v>
      </c>
      <c r="G684" s="15"/>
      <c r="H684" s="15" t="s">
        <v>96</v>
      </c>
      <c r="I684" s="15"/>
      <c r="J684" s="15"/>
      <c r="K684" s="15"/>
      <c r="L684" s="15">
        <v>0</v>
      </c>
      <c r="M684" s="15">
        <v>0</v>
      </c>
      <c r="N684" s="15">
        <v>313148.25</v>
      </c>
      <c r="O684" s="15">
        <v>0</v>
      </c>
      <c r="P684" s="15">
        <v>0</v>
      </c>
      <c r="Q684" s="15">
        <v>60282489.349999987</v>
      </c>
      <c r="R684" s="15">
        <v>0</v>
      </c>
      <c r="S684" s="15">
        <v>0</v>
      </c>
      <c r="T684" s="15"/>
    </row>
    <row r="685" spans="1:20" x14ac:dyDescent="0.25">
      <c r="A685" s="15" t="s">
        <v>146</v>
      </c>
      <c r="B685" s="15" t="s">
        <v>489</v>
      </c>
      <c r="C685" s="15" t="str">
        <f t="shared" si="12"/>
        <v>HSR SOUTH</v>
      </c>
      <c r="D685" s="15" t="s">
        <v>495</v>
      </c>
      <c r="E685" s="15" t="str">
        <f t="shared" si="13"/>
        <v>ASM SOU Voronezh</v>
      </c>
      <c r="F685" s="15" t="s">
        <v>498</v>
      </c>
      <c r="G685" s="15"/>
      <c r="H685" s="15" t="s">
        <v>96</v>
      </c>
      <c r="I685" s="15"/>
      <c r="J685" s="15"/>
      <c r="K685" s="15"/>
      <c r="L685" s="15">
        <v>0</v>
      </c>
      <c r="M685" s="15">
        <v>0</v>
      </c>
      <c r="N685" s="15">
        <v>0</v>
      </c>
      <c r="O685" s="15">
        <v>21807.65</v>
      </c>
      <c r="P685" s="15">
        <v>0</v>
      </c>
      <c r="Q685" s="15">
        <v>0</v>
      </c>
      <c r="R685" s="15">
        <v>0</v>
      </c>
      <c r="S685" s="15">
        <v>0</v>
      </c>
      <c r="T685" s="15"/>
    </row>
    <row r="686" spans="1:20" x14ac:dyDescent="0.25">
      <c r="A686" s="15" t="s">
        <v>150</v>
      </c>
      <c r="B686" s="15" t="s">
        <v>489</v>
      </c>
      <c r="C686" s="15" t="str">
        <f t="shared" si="12"/>
        <v>HSR SOUTH</v>
      </c>
      <c r="D686" s="15" t="s">
        <v>495</v>
      </c>
      <c r="E686" s="15" t="str">
        <f t="shared" si="13"/>
        <v>ASM SOU Voronezh</v>
      </c>
      <c r="F686" s="15" t="s">
        <v>496</v>
      </c>
      <c r="G686" s="15"/>
      <c r="H686" s="15" t="s">
        <v>96</v>
      </c>
      <c r="I686" s="15"/>
      <c r="J686" s="15"/>
      <c r="K686" s="15"/>
      <c r="L686" s="15">
        <v>0</v>
      </c>
      <c r="M686" s="15">
        <v>4388912.41</v>
      </c>
      <c r="N686" s="15">
        <v>1236435.1200000001</v>
      </c>
      <c r="O686" s="15">
        <v>2294897.2300000004</v>
      </c>
      <c r="P686" s="15">
        <v>0</v>
      </c>
      <c r="Q686" s="15">
        <v>103135696.96999998</v>
      </c>
      <c r="R686" s="15">
        <v>0</v>
      </c>
      <c r="S686" s="15">
        <v>0</v>
      </c>
      <c r="T686" s="15"/>
    </row>
    <row r="687" spans="1:20" x14ac:dyDescent="0.25">
      <c r="A687" s="15" t="s">
        <v>150</v>
      </c>
      <c r="B687" s="15" t="s">
        <v>489</v>
      </c>
      <c r="C687" s="15" t="str">
        <f t="shared" si="12"/>
        <v>HSR SOUTH</v>
      </c>
      <c r="D687" s="15" t="s">
        <v>495</v>
      </c>
      <c r="E687" s="15" t="str">
        <f t="shared" si="13"/>
        <v>ASM SOU Voronezh</v>
      </c>
      <c r="F687" s="15" t="s">
        <v>498</v>
      </c>
      <c r="G687" s="15"/>
      <c r="H687" s="15" t="s">
        <v>96</v>
      </c>
      <c r="I687" s="15"/>
      <c r="J687" s="15"/>
      <c r="K687" s="15"/>
      <c r="L687" s="15">
        <v>0</v>
      </c>
      <c r="M687" s="15">
        <v>0</v>
      </c>
      <c r="N687" s="15">
        <v>0</v>
      </c>
      <c r="O687" s="15">
        <v>13155875.800000003</v>
      </c>
      <c r="P687" s="15">
        <v>0</v>
      </c>
      <c r="Q687" s="15">
        <v>0</v>
      </c>
      <c r="R687" s="15">
        <v>0</v>
      </c>
      <c r="S687" s="15">
        <v>0</v>
      </c>
      <c r="T687" s="15"/>
    </row>
    <row r="688" spans="1:20" x14ac:dyDescent="0.25">
      <c r="A688" s="15" t="s">
        <v>500</v>
      </c>
      <c r="B688" s="15" t="s">
        <v>489</v>
      </c>
      <c r="C688" s="15" t="str">
        <f t="shared" si="12"/>
        <v>HSR SOUTH</v>
      </c>
      <c r="D688" s="15" t="s">
        <v>490</v>
      </c>
      <c r="E688" s="15" t="str">
        <f t="shared" si="13"/>
        <v>ASM SOU Krasnodar</v>
      </c>
      <c r="F688" s="15" t="s">
        <v>502</v>
      </c>
      <c r="G688" s="15"/>
      <c r="H688" s="15" t="s">
        <v>96</v>
      </c>
      <c r="I688" s="15"/>
      <c r="J688" s="15"/>
      <c r="K688" s="15"/>
      <c r="L688" s="15">
        <v>0</v>
      </c>
      <c r="M688" s="15">
        <v>0</v>
      </c>
      <c r="N688" s="15">
        <v>0</v>
      </c>
      <c r="O688" s="15">
        <v>16108388.52</v>
      </c>
      <c r="P688" s="15">
        <v>0</v>
      </c>
      <c r="Q688" s="15">
        <v>0</v>
      </c>
      <c r="R688" s="15">
        <v>0</v>
      </c>
      <c r="S688" s="15">
        <v>0</v>
      </c>
      <c r="T688" s="15"/>
    </row>
    <row r="689" spans="1:20" x14ac:dyDescent="0.25">
      <c r="A689" s="15" t="s">
        <v>7</v>
      </c>
      <c r="B689" s="15" t="s">
        <v>489</v>
      </c>
      <c r="C689" s="15" t="str">
        <f t="shared" si="12"/>
        <v>HSR SOUTH</v>
      </c>
      <c r="D689" s="15" t="s">
        <v>495</v>
      </c>
      <c r="E689" s="15" t="str">
        <f t="shared" si="13"/>
        <v>ASM SOU Voronezh</v>
      </c>
      <c r="F689" s="15" t="s">
        <v>496</v>
      </c>
      <c r="G689" s="15"/>
      <c r="H689" s="15" t="s">
        <v>96</v>
      </c>
      <c r="I689" s="15"/>
      <c r="J689" s="15"/>
      <c r="K689" s="15"/>
      <c r="L689" s="15">
        <v>0</v>
      </c>
      <c r="M689" s="15">
        <v>0</v>
      </c>
      <c r="N689" s="15">
        <v>0</v>
      </c>
      <c r="O689" s="15">
        <v>0</v>
      </c>
      <c r="P689" s="15">
        <v>0</v>
      </c>
      <c r="Q689" s="15">
        <v>5977787.8299999991</v>
      </c>
      <c r="R689" s="15">
        <v>0</v>
      </c>
      <c r="S689" s="15">
        <v>0</v>
      </c>
      <c r="T689" s="15"/>
    </row>
    <row r="690" spans="1:20" x14ac:dyDescent="0.25">
      <c r="A690" s="15" t="s">
        <v>145</v>
      </c>
      <c r="B690" s="15" t="s">
        <v>489</v>
      </c>
      <c r="C690" s="15" t="str">
        <f t="shared" si="12"/>
        <v>HSR SOUTH</v>
      </c>
      <c r="D690" s="15" t="s">
        <v>495</v>
      </c>
      <c r="E690" s="15" t="str">
        <f t="shared" si="13"/>
        <v>ASM SOU Voronezh</v>
      </c>
      <c r="F690" s="15" t="s">
        <v>496</v>
      </c>
      <c r="G690" s="15"/>
      <c r="H690" s="15" t="s">
        <v>96</v>
      </c>
      <c r="I690" s="15"/>
      <c r="J690" s="15"/>
      <c r="K690" s="15"/>
      <c r="L690" s="15">
        <v>0</v>
      </c>
      <c r="M690" s="15">
        <v>66978.099999999991</v>
      </c>
      <c r="N690" s="15">
        <v>0</v>
      </c>
      <c r="O690" s="15">
        <v>0</v>
      </c>
      <c r="P690" s="15">
        <v>0</v>
      </c>
      <c r="Q690" s="15">
        <v>36875949.079999991</v>
      </c>
      <c r="R690" s="15">
        <v>0</v>
      </c>
      <c r="S690" s="15">
        <v>0</v>
      </c>
      <c r="T690" s="15"/>
    </row>
    <row r="691" spans="1:20" x14ac:dyDescent="0.25">
      <c r="A691" s="15" t="s">
        <v>145</v>
      </c>
      <c r="B691" s="15" t="s">
        <v>489</v>
      </c>
      <c r="C691" s="15" t="str">
        <f t="shared" si="12"/>
        <v>HSR SOUTH</v>
      </c>
      <c r="D691" s="15" t="s">
        <v>495</v>
      </c>
      <c r="E691" s="15" t="str">
        <f t="shared" si="13"/>
        <v>ASM SOU Voronezh</v>
      </c>
      <c r="F691" s="15" t="s">
        <v>498</v>
      </c>
      <c r="G691" s="15"/>
      <c r="H691" s="15" t="s">
        <v>96</v>
      </c>
      <c r="I691" s="15"/>
      <c r="J691" s="15"/>
      <c r="K691" s="15"/>
      <c r="L691" s="15">
        <v>0</v>
      </c>
      <c r="M691" s="15">
        <v>0</v>
      </c>
      <c r="N691" s="15">
        <v>0</v>
      </c>
      <c r="O691" s="15">
        <v>965432.04999999993</v>
      </c>
      <c r="P691" s="15">
        <v>0</v>
      </c>
      <c r="Q691" s="15">
        <v>0</v>
      </c>
      <c r="R691" s="15">
        <v>0</v>
      </c>
      <c r="S691" s="15">
        <v>0</v>
      </c>
      <c r="T691" s="15"/>
    </row>
    <row r="692" spans="1:20" x14ac:dyDescent="0.25">
      <c r="A692" s="15" t="s">
        <v>156</v>
      </c>
      <c r="B692" s="15" t="s">
        <v>489</v>
      </c>
      <c r="C692" s="15" t="str">
        <f t="shared" si="12"/>
        <v>HSR SOUTH</v>
      </c>
      <c r="D692" s="15" t="s">
        <v>490</v>
      </c>
      <c r="E692" s="15" t="str">
        <f t="shared" si="13"/>
        <v>ASM SOU Krasnodar</v>
      </c>
      <c r="F692" s="15" t="s">
        <v>502</v>
      </c>
      <c r="G692" s="15"/>
      <c r="H692" s="15" t="s">
        <v>96</v>
      </c>
      <c r="I692" s="15"/>
      <c r="J692" s="15"/>
      <c r="K692" s="15"/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154349675.96999997</v>
      </c>
      <c r="R692" s="15">
        <v>0</v>
      </c>
      <c r="S692" s="15">
        <v>0</v>
      </c>
      <c r="T692" s="15"/>
    </row>
    <row r="693" spans="1:20" x14ac:dyDescent="0.25">
      <c r="A693" s="15" t="s">
        <v>156</v>
      </c>
      <c r="B693" s="15" t="s">
        <v>489</v>
      </c>
      <c r="C693" s="15" t="str">
        <f t="shared" si="12"/>
        <v>HSR SOUTH</v>
      </c>
      <c r="D693" s="15" t="s">
        <v>495</v>
      </c>
      <c r="E693" s="15" t="str">
        <f t="shared" si="13"/>
        <v>ASM SOU Voronezh</v>
      </c>
      <c r="F693" s="15" t="s">
        <v>519</v>
      </c>
      <c r="G693" s="15"/>
      <c r="H693" s="15" t="s">
        <v>96</v>
      </c>
      <c r="I693" s="15"/>
      <c r="J693" s="15"/>
      <c r="K693" s="15"/>
      <c r="L693" s="15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97457606.640000045</v>
      </c>
      <c r="R693" s="15">
        <v>0</v>
      </c>
      <c r="S693" s="15">
        <v>0</v>
      </c>
      <c r="T693" s="15"/>
    </row>
    <row r="694" spans="1:20" x14ac:dyDescent="0.25">
      <c r="A694" s="15" t="s">
        <v>156</v>
      </c>
      <c r="B694" s="15" t="s">
        <v>489</v>
      </c>
      <c r="C694" s="15" t="str">
        <f t="shared" si="12"/>
        <v>HSR SOUTH</v>
      </c>
      <c r="D694" s="15" t="s">
        <v>503</v>
      </c>
      <c r="E694" s="15" t="str">
        <f t="shared" si="13"/>
        <v>DDM SOU Rostov-On-Don</v>
      </c>
      <c r="F694" s="15" t="s">
        <v>504</v>
      </c>
      <c r="G694" s="15"/>
      <c r="H694" s="15" t="s">
        <v>96</v>
      </c>
      <c r="I694" s="15"/>
      <c r="J694" s="15"/>
      <c r="K694" s="15"/>
      <c r="L694" s="15">
        <v>0</v>
      </c>
      <c r="M694" s="15">
        <v>647650.96</v>
      </c>
      <c r="N694" s="15">
        <v>0</v>
      </c>
      <c r="O694" s="15">
        <v>2343202.3099999996</v>
      </c>
      <c r="P694" s="15">
        <v>0</v>
      </c>
      <c r="Q694" s="15">
        <v>96576744.649999991</v>
      </c>
      <c r="R694" s="15">
        <v>0</v>
      </c>
      <c r="S694" s="15">
        <v>0</v>
      </c>
      <c r="T694" s="15"/>
    </row>
    <row r="695" spans="1:20" x14ac:dyDescent="0.25">
      <c r="A695" s="15" t="s">
        <v>18</v>
      </c>
      <c r="B695" s="15" t="s">
        <v>561</v>
      </c>
      <c r="C695" s="15" t="s">
        <v>589</v>
      </c>
      <c r="D695" s="15" t="s">
        <v>318</v>
      </c>
      <c r="E695" s="15" t="s">
        <v>495</v>
      </c>
      <c r="F695" s="15" t="s">
        <v>319</v>
      </c>
      <c r="G695" s="15" t="s">
        <v>319</v>
      </c>
      <c r="H695" s="15" t="s">
        <v>96</v>
      </c>
      <c r="I695" s="15"/>
      <c r="J695" s="15"/>
      <c r="K695" s="15"/>
      <c r="L695" s="15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66260277.179999992</v>
      </c>
      <c r="R695" s="15">
        <v>0</v>
      </c>
      <c r="S695" s="15">
        <v>0</v>
      </c>
      <c r="T695" s="15"/>
    </row>
    <row r="696" spans="1:20" x14ac:dyDescent="0.25">
      <c r="A696" s="15" t="s">
        <v>432</v>
      </c>
      <c r="B696" s="15" t="s">
        <v>489</v>
      </c>
      <c r="C696" s="15" t="str">
        <f t="shared" ref="C696:C699" si="14">B696</f>
        <v>HSR SOUTH</v>
      </c>
      <c r="D696" s="15" t="s">
        <v>490</v>
      </c>
      <c r="E696" s="15" t="str">
        <f t="shared" ref="E696:E699" si="15">D696</f>
        <v>ASM SOU Krasnodar</v>
      </c>
      <c r="F696" s="15" t="s">
        <v>499</v>
      </c>
      <c r="G696" s="15"/>
      <c r="H696" s="15" t="s">
        <v>96</v>
      </c>
      <c r="I696" s="15"/>
      <c r="J696" s="15"/>
      <c r="K696" s="15"/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614114.75000000012</v>
      </c>
      <c r="R696" s="15">
        <v>0</v>
      </c>
      <c r="S696" s="15">
        <v>0</v>
      </c>
      <c r="T696" s="15"/>
    </row>
    <row r="697" spans="1:20" x14ac:dyDescent="0.25">
      <c r="A697" s="15" t="s">
        <v>151</v>
      </c>
      <c r="B697" s="15" t="s">
        <v>489</v>
      </c>
      <c r="C697" s="15" t="str">
        <f t="shared" si="14"/>
        <v>HSR SOUTH</v>
      </c>
      <c r="D697" s="15" t="s">
        <v>495</v>
      </c>
      <c r="E697" s="15" t="str">
        <f t="shared" si="15"/>
        <v>ASM SOU Voronezh</v>
      </c>
      <c r="F697" s="15" t="s">
        <v>496</v>
      </c>
      <c r="G697" s="15"/>
      <c r="H697" s="15" t="s">
        <v>96</v>
      </c>
      <c r="I697" s="15"/>
      <c r="J697" s="15"/>
      <c r="K697" s="15"/>
      <c r="L697" s="15">
        <v>0</v>
      </c>
      <c r="M697" s="15">
        <v>3728265.5199999996</v>
      </c>
      <c r="N697" s="15">
        <v>690778.12</v>
      </c>
      <c r="O697" s="15">
        <v>14242540.309999997</v>
      </c>
      <c r="P697" s="15">
        <v>0</v>
      </c>
      <c r="Q697" s="15">
        <v>42349125.859999992</v>
      </c>
      <c r="R697" s="15">
        <v>0</v>
      </c>
      <c r="S697" s="15">
        <v>0</v>
      </c>
      <c r="T697" s="15"/>
    </row>
    <row r="698" spans="1:20" x14ac:dyDescent="0.25">
      <c r="A698" s="15" t="s">
        <v>151</v>
      </c>
      <c r="B698" s="15" t="s">
        <v>489</v>
      </c>
      <c r="C698" s="15" t="str">
        <f t="shared" si="14"/>
        <v>HSR SOUTH</v>
      </c>
      <c r="D698" s="15" t="s">
        <v>495</v>
      </c>
      <c r="E698" s="15" t="str">
        <f t="shared" si="15"/>
        <v>ASM SOU Voronezh</v>
      </c>
      <c r="F698" s="15" t="s">
        <v>498</v>
      </c>
      <c r="G698" s="15"/>
      <c r="H698" s="15" t="s">
        <v>96</v>
      </c>
      <c r="I698" s="15"/>
      <c r="J698" s="15"/>
      <c r="K698" s="15"/>
      <c r="L698" s="15">
        <v>0</v>
      </c>
      <c r="M698" s="15">
        <v>0</v>
      </c>
      <c r="N698" s="15">
        <v>0</v>
      </c>
      <c r="O698" s="15">
        <v>20217879.569999993</v>
      </c>
      <c r="P698" s="15">
        <v>0</v>
      </c>
      <c r="Q698" s="15">
        <v>0</v>
      </c>
      <c r="R698" s="15">
        <v>0</v>
      </c>
      <c r="S698" s="15">
        <v>0</v>
      </c>
      <c r="T698" s="15"/>
    </row>
    <row r="699" spans="1:20" x14ac:dyDescent="0.25">
      <c r="A699" s="15" t="s">
        <v>151</v>
      </c>
      <c r="B699" s="15" t="s">
        <v>489</v>
      </c>
      <c r="C699" s="15" t="str">
        <f t="shared" si="14"/>
        <v>HSR SOUTH</v>
      </c>
      <c r="D699" s="15" t="s">
        <v>495</v>
      </c>
      <c r="E699" s="15" t="str">
        <f t="shared" si="15"/>
        <v>ASM SOU Voronezh</v>
      </c>
      <c r="F699" s="15" t="s">
        <v>519</v>
      </c>
      <c r="G699" s="15"/>
      <c r="H699" s="15" t="s">
        <v>96</v>
      </c>
      <c r="I699" s="15"/>
      <c r="J699" s="15"/>
      <c r="K699" s="15"/>
      <c r="L699" s="15">
        <v>0</v>
      </c>
      <c r="M699" s="15">
        <v>0</v>
      </c>
      <c r="N699" s="15">
        <v>915017.40000000014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/>
    </row>
    <row r="700" spans="1:20" x14ac:dyDescent="0.25">
      <c r="A700" s="15" t="s">
        <v>17</v>
      </c>
      <c r="B700" s="15" t="s">
        <v>561</v>
      </c>
      <c r="C700" s="15" t="s">
        <v>589</v>
      </c>
      <c r="D700" s="15" t="s">
        <v>318</v>
      </c>
      <c r="E700" s="15" t="s">
        <v>495</v>
      </c>
      <c r="F700" s="15" t="s">
        <v>331</v>
      </c>
      <c r="G700" s="15" t="s">
        <v>331</v>
      </c>
      <c r="H700" s="15" t="s">
        <v>96</v>
      </c>
      <c r="I700" s="15"/>
      <c r="J700" s="15"/>
      <c r="K700" s="15"/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84690420.809999987</v>
      </c>
      <c r="R700" s="15">
        <v>0</v>
      </c>
      <c r="S700" s="15">
        <v>0</v>
      </c>
      <c r="T700" s="15"/>
    </row>
    <row r="701" spans="1:20" x14ac:dyDescent="0.25">
      <c r="A701" s="15" t="s">
        <v>167</v>
      </c>
      <c r="B701" s="15" t="s">
        <v>489</v>
      </c>
      <c r="C701" s="15" t="str">
        <f t="shared" ref="C701:C714" si="16">B701</f>
        <v>HSR SOUTH</v>
      </c>
      <c r="D701" s="15" t="s">
        <v>490</v>
      </c>
      <c r="E701" s="15" t="str">
        <f t="shared" ref="E701:E714" si="17">D701</f>
        <v>ASM SOU Krasnodar</v>
      </c>
      <c r="F701" s="15" t="s">
        <v>491</v>
      </c>
      <c r="G701" s="15"/>
      <c r="H701" s="15" t="s">
        <v>96</v>
      </c>
      <c r="I701" s="15"/>
      <c r="J701" s="15"/>
      <c r="K701" s="15"/>
      <c r="L701" s="15">
        <v>0</v>
      </c>
      <c r="M701" s="15">
        <v>0</v>
      </c>
      <c r="N701" s="15">
        <v>0</v>
      </c>
      <c r="O701" s="15">
        <v>7100323.7600000007</v>
      </c>
      <c r="P701" s="15">
        <v>0</v>
      </c>
      <c r="Q701" s="15">
        <v>0</v>
      </c>
      <c r="R701" s="15">
        <v>0</v>
      </c>
      <c r="S701" s="15">
        <v>0</v>
      </c>
      <c r="T701" s="15"/>
    </row>
    <row r="702" spans="1:20" x14ac:dyDescent="0.25">
      <c r="A702" s="15" t="s">
        <v>154</v>
      </c>
      <c r="B702" s="15" t="s">
        <v>489</v>
      </c>
      <c r="C702" s="15" t="str">
        <f t="shared" si="16"/>
        <v>HSR SOUTH</v>
      </c>
      <c r="D702" s="15" t="s">
        <v>495</v>
      </c>
      <c r="E702" s="15" t="str">
        <f t="shared" si="17"/>
        <v>ASM SOU Voronezh</v>
      </c>
      <c r="F702" s="15" t="s">
        <v>519</v>
      </c>
      <c r="G702" s="15"/>
      <c r="H702" s="15" t="s">
        <v>96</v>
      </c>
      <c r="I702" s="15">
        <v>1</v>
      </c>
      <c r="J702" s="15"/>
      <c r="K702" s="15"/>
      <c r="L702" s="15">
        <v>0</v>
      </c>
      <c r="M702" s="15">
        <v>5206415.1100000003</v>
      </c>
      <c r="N702" s="15">
        <v>19855977.530000001</v>
      </c>
      <c r="O702" s="15">
        <v>55258671.310000002</v>
      </c>
      <c r="P702" s="15">
        <v>0</v>
      </c>
      <c r="Q702" s="15">
        <v>88824023.780000031</v>
      </c>
      <c r="R702" s="15">
        <v>0</v>
      </c>
      <c r="S702" s="15">
        <v>0</v>
      </c>
      <c r="T702" s="15"/>
    </row>
    <row r="703" spans="1:20" x14ac:dyDescent="0.25">
      <c r="A703" s="15" t="s">
        <v>333</v>
      </c>
      <c r="B703" s="15" t="s">
        <v>489</v>
      </c>
      <c r="C703" s="15" t="str">
        <f t="shared" si="16"/>
        <v>HSR SOUTH</v>
      </c>
      <c r="D703" s="15" t="s">
        <v>495</v>
      </c>
      <c r="E703" s="15" t="str">
        <f t="shared" si="17"/>
        <v>ASM SOU Voronezh</v>
      </c>
      <c r="F703" s="15" t="s">
        <v>496</v>
      </c>
      <c r="G703" s="15"/>
      <c r="H703" s="15" t="s">
        <v>96</v>
      </c>
      <c r="I703" s="15"/>
      <c r="J703" s="15"/>
      <c r="K703" s="15"/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181352079.10000005</v>
      </c>
      <c r="R703" s="15">
        <v>0</v>
      </c>
      <c r="S703" s="15">
        <v>0</v>
      </c>
      <c r="T703" s="15"/>
    </row>
    <row r="704" spans="1:20" x14ac:dyDescent="0.25">
      <c r="A704" s="15" t="s">
        <v>152</v>
      </c>
      <c r="B704" s="15" t="s">
        <v>489</v>
      </c>
      <c r="C704" s="15" t="str">
        <f t="shared" si="16"/>
        <v>HSR SOUTH</v>
      </c>
      <c r="D704" s="15" t="s">
        <v>490</v>
      </c>
      <c r="E704" s="15" t="str">
        <f t="shared" si="17"/>
        <v>ASM SOU Krasnodar</v>
      </c>
      <c r="F704" s="15" t="s">
        <v>502</v>
      </c>
      <c r="G704" s="15"/>
      <c r="H704" s="15" t="s">
        <v>96</v>
      </c>
      <c r="I704" s="15">
        <v>1</v>
      </c>
      <c r="J704" s="15"/>
      <c r="K704" s="15"/>
      <c r="L704" s="15">
        <v>0</v>
      </c>
      <c r="M704" s="15">
        <v>0</v>
      </c>
      <c r="N704" s="15">
        <v>0</v>
      </c>
      <c r="O704" s="15">
        <v>11634677.039999999</v>
      </c>
      <c r="P704" s="15">
        <v>0</v>
      </c>
      <c r="Q704" s="15">
        <v>0</v>
      </c>
      <c r="R704" s="15">
        <v>0</v>
      </c>
      <c r="S704" s="15">
        <v>0</v>
      </c>
      <c r="T704" s="15"/>
    </row>
    <row r="705" spans="1:20" x14ac:dyDescent="0.25">
      <c r="A705" s="15" t="s">
        <v>152</v>
      </c>
      <c r="B705" s="15" t="s">
        <v>489</v>
      </c>
      <c r="C705" s="15" t="str">
        <f t="shared" si="16"/>
        <v>HSR SOUTH</v>
      </c>
      <c r="D705" s="15" t="s">
        <v>495</v>
      </c>
      <c r="E705" s="15" t="str">
        <f t="shared" si="17"/>
        <v>ASM SOU Voronezh</v>
      </c>
      <c r="F705" s="15" t="s">
        <v>519</v>
      </c>
      <c r="G705" s="15"/>
      <c r="H705" s="15" t="s">
        <v>96</v>
      </c>
      <c r="I705" s="15"/>
      <c r="J705" s="15"/>
      <c r="K705" s="15"/>
      <c r="L705" s="15">
        <v>0</v>
      </c>
      <c r="M705" s="15">
        <v>1620898.13</v>
      </c>
      <c r="N705" s="15">
        <v>124765002.74000025</v>
      </c>
      <c r="O705" s="15">
        <v>230945526.10000005</v>
      </c>
      <c r="P705" s="15">
        <v>0</v>
      </c>
      <c r="Q705" s="15">
        <v>1009222.0999999999</v>
      </c>
      <c r="R705" s="15">
        <v>1117306.8829000001</v>
      </c>
      <c r="S705" s="15">
        <v>0</v>
      </c>
      <c r="T705" s="15"/>
    </row>
    <row r="706" spans="1:20" x14ac:dyDescent="0.25">
      <c r="A706" s="15" t="s">
        <v>107</v>
      </c>
      <c r="B706" s="15" t="s">
        <v>489</v>
      </c>
      <c r="C706" s="15" t="str">
        <f t="shared" si="16"/>
        <v>HSR SOUTH</v>
      </c>
      <c r="D706" s="15" t="s">
        <v>495</v>
      </c>
      <c r="E706" s="15" t="str">
        <f t="shared" si="17"/>
        <v>ASM SOU Voronezh</v>
      </c>
      <c r="F706" s="15" t="s">
        <v>519</v>
      </c>
      <c r="G706" s="15"/>
      <c r="H706" s="15" t="s">
        <v>96</v>
      </c>
      <c r="I706" s="15"/>
      <c r="J706" s="15"/>
      <c r="K706" s="15"/>
      <c r="L706" s="15">
        <v>0</v>
      </c>
      <c r="M706" s="15">
        <v>0</v>
      </c>
      <c r="N706" s="15">
        <v>11906702.150000004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/>
    </row>
    <row r="707" spans="1:20" x14ac:dyDescent="0.25">
      <c r="A707" s="15" t="s">
        <v>27</v>
      </c>
      <c r="B707" s="15" t="s">
        <v>489</v>
      </c>
      <c r="C707" s="15" t="str">
        <f t="shared" si="16"/>
        <v>HSR SOUTH</v>
      </c>
      <c r="D707" s="15" t="s">
        <v>495</v>
      </c>
      <c r="E707" s="15" t="str">
        <f t="shared" si="17"/>
        <v>ASM SOU Voronezh</v>
      </c>
      <c r="F707" s="15" t="s">
        <v>519</v>
      </c>
      <c r="G707" s="15"/>
      <c r="H707" s="15" t="s">
        <v>96</v>
      </c>
      <c r="I707" s="15"/>
      <c r="J707" s="15"/>
      <c r="K707" s="15"/>
      <c r="L707" s="15">
        <v>0</v>
      </c>
      <c r="M707" s="15">
        <v>0</v>
      </c>
      <c r="N707" s="15">
        <v>6405121.8000000017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/>
    </row>
    <row r="708" spans="1:20" x14ac:dyDescent="0.25">
      <c r="A708" s="15" t="s">
        <v>105</v>
      </c>
      <c r="B708" s="15" t="s">
        <v>489</v>
      </c>
      <c r="C708" s="15" t="str">
        <f t="shared" si="16"/>
        <v>HSR SOUTH</v>
      </c>
      <c r="D708" s="15" t="s">
        <v>495</v>
      </c>
      <c r="E708" s="15" t="str">
        <f t="shared" si="17"/>
        <v>ASM SOU Voronezh</v>
      </c>
      <c r="F708" s="15" t="s">
        <v>519</v>
      </c>
      <c r="G708" s="15"/>
      <c r="H708" s="15" t="s">
        <v>96</v>
      </c>
      <c r="I708" s="15"/>
      <c r="J708" s="15"/>
      <c r="K708" s="15"/>
      <c r="L708" s="15">
        <v>0</v>
      </c>
      <c r="M708" s="15">
        <v>0</v>
      </c>
      <c r="N708" s="15">
        <v>12810243.600000003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/>
    </row>
    <row r="709" spans="1:20" x14ac:dyDescent="0.25">
      <c r="A709" s="15" t="s">
        <v>512</v>
      </c>
      <c r="B709" s="15" t="s">
        <v>489</v>
      </c>
      <c r="C709" s="15" t="str">
        <f t="shared" si="16"/>
        <v>HSR SOUTH</v>
      </c>
      <c r="D709" s="15" t="s">
        <v>503</v>
      </c>
      <c r="E709" s="15" t="str">
        <f t="shared" si="17"/>
        <v>DDM SOU Rostov-On-Don</v>
      </c>
      <c r="F709" s="15" t="s">
        <v>520</v>
      </c>
      <c r="G709" s="15"/>
      <c r="H709" s="15" t="s">
        <v>96</v>
      </c>
      <c r="I709" s="15"/>
      <c r="J709" s="15"/>
      <c r="K709" s="15"/>
      <c r="L709" s="15">
        <v>0</v>
      </c>
      <c r="M709" s="15">
        <v>0</v>
      </c>
      <c r="N709" s="15">
        <v>0</v>
      </c>
      <c r="O709" s="15">
        <v>24907468.829999991</v>
      </c>
      <c r="P709" s="15">
        <v>0</v>
      </c>
      <c r="Q709" s="15">
        <v>0</v>
      </c>
      <c r="R709" s="15">
        <v>0</v>
      </c>
      <c r="S709" s="15">
        <v>0</v>
      </c>
      <c r="T709" s="15"/>
    </row>
    <row r="710" spans="1:20" x14ac:dyDescent="0.25">
      <c r="A710" s="15" t="s">
        <v>517</v>
      </c>
      <c r="B710" s="15" t="s">
        <v>489</v>
      </c>
      <c r="C710" s="15" t="str">
        <f t="shared" si="16"/>
        <v>HSR SOUTH</v>
      </c>
      <c r="D710" s="15" t="s">
        <v>503</v>
      </c>
      <c r="E710" s="15" t="str">
        <f t="shared" si="17"/>
        <v>DDM SOU Rostov-On-Don</v>
      </c>
      <c r="F710" s="15" t="s">
        <v>520</v>
      </c>
      <c r="G710" s="15"/>
      <c r="H710" s="15" t="s">
        <v>96</v>
      </c>
      <c r="I710" s="15"/>
      <c r="J710" s="15"/>
      <c r="K710" s="15"/>
      <c r="L710" s="15">
        <v>0</v>
      </c>
      <c r="M710" s="15">
        <v>0</v>
      </c>
      <c r="N710" s="15">
        <v>0</v>
      </c>
      <c r="O710" s="15">
        <v>30155136.449999988</v>
      </c>
      <c r="P710" s="15">
        <v>0</v>
      </c>
      <c r="Q710" s="15">
        <v>0</v>
      </c>
      <c r="R710" s="15">
        <v>0</v>
      </c>
      <c r="S710" s="15">
        <v>0</v>
      </c>
      <c r="T710" s="15"/>
    </row>
    <row r="711" spans="1:20" x14ac:dyDescent="0.25">
      <c r="A711" s="15" t="s">
        <v>160</v>
      </c>
      <c r="B711" s="15" t="s">
        <v>489</v>
      </c>
      <c r="C711" s="15" t="str">
        <f t="shared" si="16"/>
        <v>HSR SOUTH</v>
      </c>
      <c r="D711" s="15" t="s">
        <v>490</v>
      </c>
      <c r="E711" s="15" t="str">
        <f t="shared" si="17"/>
        <v>ASM SOU Krasnodar</v>
      </c>
      <c r="F711" s="15" t="s">
        <v>502</v>
      </c>
      <c r="G711" s="15"/>
      <c r="H711" s="15" t="s">
        <v>96</v>
      </c>
      <c r="I711" s="15">
        <v>1</v>
      </c>
      <c r="J711" s="15"/>
      <c r="K711" s="15"/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89037120.429999992</v>
      </c>
      <c r="R711" s="15">
        <v>0</v>
      </c>
      <c r="S711" s="15">
        <v>0</v>
      </c>
      <c r="T711" s="15"/>
    </row>
    <row r="712" spans="1:20" x14ac:dyDescent="0.25">
      <c r="A712" s="15" t="s">
        <v>160</v>
      </c>
      <c r="B712" s="15" t="s">
        <v>489</v>
      </c>
      <c r="C712" s="15" t="str">
        <f t="shared" si="16"/>
        <v>HSR SOUTH</v>
      </c>
      <c r="D712" s="15" t="s">
        <v>503</v>
      </c>
      <c r="E712" s="15" t="str">
        <f t="shared" si="17"/>
        <v>DDM SOU Rostov-On-Don</v>
      </c>
      <c r="F712" s="15" t="s">
        <v>520</v>
      </c>
      <c r="G712" s="15"/>
      <c r="H712" s="15" t="s">
        <v>96</v>
      </c>
      <c r="I712" s="15"/>
      <c r="J712" s="15"/>
      <c r="K712" s="15"/>
      <c r="L712" s="15">
        <v>0</v>
      </c>
      <c r="M712" s="15">
        <v>10314526.239999991</v>
      </c>
      <c r="N712" s="15">
        <v>24605835.830000002</v>
      </c>
      <c r="O712" s="15">
        <v>109960896.36000003</v>
      </c>
      <c r="P712" s="15">
        <v>0</v>
      </c>
      <c r="Q712" s="15">
        <v>3684688.5000000005</v>
      </c>
      <c r="R712" s="15">
        <v>0</v>
      </c>
      <c r="S712" s="15">
        <v>0</v>
      </c>
      <c r="T712" s="15"/>
    </row>
    <row r="713" spans="1:20" x14ac:dyDescent="0.25">
      <c r="A713" s="15" t="s">
        <v>514</v>
      </c>
      <c r="B713" s="15" t="s">
        <v>489</v>
      </c>
      <c r="C713" s="15" t="str">
        <f t="shared" si="16"/>
        <v>HSR SOUTH</v>
      </c>
      <c r="D713" s="15" t="s">
        <v>503</v>
      </c>
      <c r="E713" s="15" t="str">
        <f t="shared" si="17"/>
        <v>DDM SOU Rostov-On-Don</v>
      </c>
      <c r="F713" s="15" t="s">
        <v>520</v>
      </c>
      <c r="G713" s="15"/>
      <c r="H713" s="15" t="s">
        <v>96</v>
      </c>
      <c r="I713" s="15"/>
      <c r="J713" s="15"/>
      <c r="K713" s="15"/>
      <c r="L713" s="15">
        <v>0</v>
      </c>
      <c r="M713" s="15">
        <v>0</v>
      </c>
      <c r="N713" s="15">
        <v>0</v>
      </c>
      <c r="O713" s="15">
        <v>14702241.270000007</v>
      </c>
      <c r="P713" s="15">
        <v>0</v>
      </c>
      <c r="Q713" s="15">
        <v>0</v>
      </c>
      <c r="R713" s="15">
        <v>0</v>
      </c>
      <c r="S713" s="15">
        <v>0</v>
      </c>
      <c r="T713" s="15"/>
    </row>
    <row r="714" spans="1:20" x14ac:dyDescent="0.25">
      <c r="A714" s="15" t="s">
        <v>165</v>
      </c>
      <c r="B714" s="15" t="s">
        <v>489</v>
      </c>
      <c r="C714" s="15" t="str">
        <f t="shared" si="16"/>
        <v>HSR SOUTH</v>
      </c>
      <c r="D714" s="15" t="s">
        <v>495</v>
      </c>
      <c r="E714" s="15" t="str">
        <f t="shared" si="17"/>
        <v>ASM SOU Voronezh</v>
      </c>
      <c r="F714" s="15" t="s">
        <v>519</v>
      </c>
      <c r="G714" s="15"/>
      <c r="H714" s="15" t="s">
        <v>96</v>
      </c>
      <c r="I714" s="15"/>
      <c r="J714" s="15"/>
      <c r="K714" s="15"/>
      <c r="L714" s="15">
        <v>0</v>
      </c>
      <c r="M714" s="15">
        <v>0</v>
      </c>
      <c r="N714" s="15">
        <v>237522.24999999997</v>
      </c>
      <c r="O714" s="15">
        <v>2479073.3599999994</v>
      </c>
      <c r="P714" s="15">
        <v>0</v>
      </c>
      <c r="Q714" s="15">
        <v>0</v>
      </c>
      <c r="R714" s="15">
        <v>0</v>
      </c>
      <c r="S714" s="15">
        <v>0</v>
      </c>
      <c r="T714" s="15"/>
    </row>
    <row r="715" spans="1:20" x14ac:dyDescent="0.25">
      <c r="A715" s="15" t="s">
        <v>22</v>
      </c>
      <c r="B715" s="15" t="s">
        <v>561</v>
      </c>
      <c r="C715" s="15" t="s">
        <v>591</v>
      </c>
      <c r="D715" s="15" t="s">
        <v>318</v>
      </c>
      <c r="E715" s="15" t="s">
        <v>318</v>
      </c>
      <c r="F715" s="15" t="s">
        <v>319</v>
      </c>
      <c r="G715" s="15"/>
      <c r="H715" s="15" t="s">
        <v>96</v>
      </c>
      <c r="I715" s="15"/>
      <c r="J715" s="15"/>
      <c r="K715" s="15"/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1513833.15</v>
      </c>
      <c r="R715" s="15">
        <v>0</v>
      </c>
      <c r="S715" s="15">
        <v>0</v>
      </c>
      <c r="T715" s="15"/>
    </row>
    <row r="716" spans="1:20" x14ac:dyDescent="0.25">
      <c r="A716" s="15" t="s">
        <v>155</v>
      </c>
      <c r="B716" s="15" t="s">
        <v>489</v>
      </c>
      <c r="C716" s="15" t="str">
        <f t="shared" ref="C716:C719" si="18">B716</f>
        <v>HSR SOUTH</v>
      </c>
      <c r="D716" s="15" t="s">
        <v>495</v>
      </c>
      <c r="E716" s="15" t="str">
        <f t="shared" ref="E716:E719" si="19">D716</f>
        <v>ASM SOU Voronezh</v>
      </c>
      <c r="F716" s="15" t="s">
        <v>519</v>
      </c>
      <c r="G716" s="15"/>
      <c r="H716" s="15" t="s">
        <v>96</v>
      </c>
      <c r="I716" s="15">
        <v>1</v>
      </c>
      <c r="J716" s="15"/>
      <c r="K716" s="15"/>
      <c r="L716" s="15">
        <v>0</v>
      </c>
      <c r="M716" s="15">
        <v>3727231.7300000004</v>
      </c>
      <c r="N716" s="15">
        <v>10856478.960000003</v>
      </c>
      <c r="O716" s="15">
        <v>50522859.790000044</v>
      </c>
      <c r="P716" s="15">
        <v>0</v>
      </c>
      <c r="Q716" s="15">
        <v>242485214.68999997</v>
      </c>
      <c r="R716" s="15">
        <v>0</v>
      </c>
      <c r="S716" s="15">
        <v>0</v>
      </c>
      <c r="T716" s="15"/>
    </row>
    <row r="717" spans="1:20" x14ac:dyDescent="0.25">
      <c r="A717" s="15" t="s">
        <v>166</v>
      </c>
      <c r="B717" s="15" t="s">
        <v>489</v>
      </c>
      <c r="C717" s="15" t="str">
        <f t="shared" si="18"/>
        <v>HSR SOUTH</v>
      </c>
      <c r="D717" s="15" t="s">
        <v>495</v>
      </c>
      <c r="E717" s="15" t="str">
        <f t="shared" si="19"/>
        <v>ASM SOU Voronezh</v>
      </c>
      <c r="F717" s="15" t="s">
        <v>519</v>
      </c>
      <c r="G717" s="15"/>
      <c r="H717" s="15" t="s">
        <v>96</v>
      </c>
      <c r="I717" s="15"/>
      <c r="J717" s="15"/>
      <c r="K717" s="15"/>
      <c r="L717" s="15">
        <v>0</v>
      </c>
      <c r="M717" s="15">
        <v>1669261.73</v>
      </c>
      <c r="N717" s="15">
        <v>1934370.9699999997</v>
      </c>
      <c r="O717" s="15">
        <v>41914160.969999999</v>
      </c>
      <c r="P717" s="15">
        <v>0</v>
      </c>
      <c r="Q717" s="15">
        <v>10828622.960000001</v>
      </c>
      <c r="R717" s="15">
        <v>2678030.1171000004</v>
      </c>
      <c r="S717" s="15">
        <v>0</v>
      </c>
      <c r="T717" s="15"/>
    </row>
    <row r="718" spans="1:20" x14ac:dyDescent="0.25">
      <c r="A718" s="15" t="s">
        <v>435</v>
      </c>
      <c r="B718" s="15" t="s">
        <v>489</v>
      </c>
      <c r="C718" s="15" t="str">
        <f t="shared" si="18"/>
        <v>HSR SOUTH</v>
      </c>
      <c r="D718" s="15" t="s">
        <v>490</v>
      </c>
      <c r="E718" s="15" t="str">
        <f t="shared" si="19"/>
        <v>ASM SOU Krasnodar</v>
      </c>
      <c r="F718" s="15" t="s">
        <v>502</v>
      </c>
      <c r="G718" s="15"/>
      <c r="H718" s="15" t="s">
        <v>96</v>
      </c>
      <c r="I718" s="15"/>
      <c r="J718" s="15"/>
      <c r="K718" s="15"/>
      <c r="L718" s="15">
        <v>0</v>
      </c>
      <c r="M718" s="15">
        <v>0</v>
      </c>
      <c r="N718" s="15">
        <v>0</v>
      </c>
      <c r="O718" s="15">
        <v>899894.52</v>
      </c>
      <c r="P718" s="15">
        <v>0</v>
      </c>
      <c r="Q718" s="15">
        <v>7703483.3799999999</v>
      </c>
      <c r="R718" s="15">
        <v>0</v>
      </c>
      <c r="S718" s="15">
        <v>0</v>
      </c>
      <c r="T718" s="15"/>
    </row>
    <row r="719" spans="1:20" x14ac:dyDescent="0.25">
      <c r="A719" s="15" t="s">
        <v>521</v>
      </c>
      <c r="B719" s="15" t="s">
        <v>489</v>
      </c>
      <c r="C719" s="15" t="str">
        <f t="shared" si="18"/>
        <v>HSR SOUTH</v>
      </c>
      <c r="D719" s="15" t="s">
        <v>490</v>
      </c>
      <c r="E719" s="15" t="str">
        <f t="shared" si="19"/>
        <v>ASM SOU Krasnodar</v>
      </c>
      <c r="F719" s="15" t="s">
        <v>502</v>
      </c>
      <c r="G719" s="15"/>
      <c r="H719" s="15" t="s">
        <v>96</v>
      </c>
      <c r="I719" s="15"/>
      <c r="J719" s="15"/>
      <c r="K719" s="15"/>
      <c r="L719" s="15">
        <v>0</v>
      </c>
      <c r="M719" s="15">
        <v>0</v>
      </c>
      <c r="N719" s="15">
        <v>0</v>
      </c>
      <c r="O719" s="15">
        <v>3774807.22</v>
      </c>
      <c r="P719" s="15">
        <v>0</v>
      </c>
      <c r="Q719" s="15">
        <v>0</v>
      </c>
      <c r="R719" s="15">
        <v>0</v>
      </c>
      <c r="S719" s="15">
        <v>0</v>
      </c>
      <c r="T719" s="15"/>
    </row>
    <row r="720" spans="1:20" x14ac:dyDescent="0.25">
      <c r="A720" s="15" t="s">
        <v>18</v>
      </c>
      <c r="B720" s="15" t="s">
        <v>561</v>
      </c>
      <c r="C720" s="15" t="s">
        <v>589</v>
      </c>
      <c r="D720" s="15" t="s">
        <v>318</v>
      </c>
      <c r="E720" s="15" t="s">
        <v>495</v>
      </c>
      <c r="F720" s="15" t="s">
        <v>319</v>
      </c>
      <c r="G720" s="15" t="s">
        <v>319</v>
      </c>
      <c r="H720" s="15" t="s">
        <v>96</v>
      </c>
      <c r="I720" s="15"/>
      <c r="J720" s="15"/>
      <c r="K720" s="15"/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1761030.0499999998</v>
      </c>
      <c r="R720" s="15">
        <v>0</v>
      </c>
      <c r="S720" s="15">
        <v>0</v>
      </c>
      <c r="T720" s="15"/>
    </row>
    <row r="721" spans="1:20" x14ac:dyDescent="0.25">
      <c r="A721" s="15" t="s">
        <v>17</v>
      </c>
      <c r="B721" s="15" t="s">
        <v>561</v>
      </c>
      <c r="C721" s="15" t="s">
        <v>589</v>
      </c>
      <c r="D721" s="15" t="s">
        <v>318</v>
      </c>
      <c r="E721" s="15" t="s">
        <v>495</v>
      </c>
      <c r="F721" s="15" t="s">
        <v>522</v>
      </c>
      <c r="G721" s="15" t="s">
        <v>522</v>
      </c>
      <c r="H721" s="15" t="s">
        <v>96</v>
      </c>
      <c r="I721" s="15"/>
      <c r="J721" s="15"/>
      <c r="K721" s="15"/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1871080</v>
      </c>
      <c r="R721" s="15">
        <v>0</v>
      </c>
      <c r="S721" s="15">
        <v>0</v>
      </c>
      <c r="T721" s="15"/>
    </row>
    <row r="722" spans="1:20" x14ac:dyDescent="0.25">
      <c r="A722" s="15" t="s">
        <v>20</v>
      </c>
      <c r="B722" s="15" t="s">
        <v>561</v>
      </c>
      <c r="C722" s="15" t="s">
        <v>589</v>
      </c>
      <c r="D722" s="15" t="s">
        <v>323</v>
      </c>
      <c r="E722" s="15" t="s">
        <v>495</v>
      </c>
      <c r="F722" s="15" t="s">
        <v>324</v>
      </c>
      <c r="G722" s="15"/>
      <c r="H722" s="15" t="s">
        <v>96</v>
      </c>
      <c r="I722" s="15"/>
      <c r="J722" s="15"/>
      <c r="K722" s="15"/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1402526.35</v>
      </c>
      <c r="R722" s="15">
        <v>0</v>
      </c>
      <c r="S722" s="15">
        <v>0</v>
      </c>
      <c r="T722" s="15"/>
    </row>
    <row r="723" spans="1:20" x14ac:dyDescent="0.25">
      <c r="A723" s="15" t="s">
        <v>525</v>
      </c>
      <c r="B723" s="15" t="s">
        <v>526</v>
      </c>
      <c r="C723" s="15" t="s">
        <v>591</v>
      </c>
      <c r="D723" s="15" t="s">
        <v>527</v>
      </c>
      <c r="E723" s="15" t="str">
        <f t="shared" ref="E723:E786" si="20">D723</f>
        <v>ASM NOR Vector Dendi</v>
      </c>
      <c r="F723" s="15" t="s">
        <v>528</v>
      </c>
      <c r="G723" s="15"/>
      <c r="H723" s="15" t="s">
        <v>423</v>
      </c>
      <c r="I723" s="15"/>
      <c r="J723" s="15"/>
      <c r="K723" s="15"/>
      <c r="L723" s="15">
        <v>98053376.850000009</v>
      </c>
      <c r="M723" s="15">
        <v>6208890.4699999997</v>
      </c>
      <c r="N723" s="15">
        <v>0</v>
      </c>
      <c r="O723" s="15">
        <v>124811072.15000001</v>
      </c>
      <c r="P723" s="15">
        <v>0</v>
      </c>
      <c r="Q723" s="15">
        <v>0</v>
      </c>
      <c r="R723" s="15">
        <v>1119300</v>
      </c>
      <c r="S723" s="15">
        <v>0</v>
      </c>
      <c r="T723" s="15"/>
    </row>
    <row r="724" spans="1:20" x14ac:dyDescent="0.25">
      <c r="A724" s="15" t="s">
        <v>525</v>
      </c>
      <c r="B724" s="15" t="s">
        <v>526</v>
      </c>
      <c r="C724" s="15" t="s">
        <v>591</v>
      </c>
      <c r="D724" s="15" t="s">
        <v>529</v>
      </c>
      <c r="E724" s="15" t="str">
        <f t="shared" si="20"/>
        <v>DDM NOR Grocery+SPT Spb Nov Pskov</v>
      </c>
      <c r="F724" s="15" t="s">
        <v>530</v>
      </c>
      <c r="G724" s="15"/>
      <c r="H724" s="15" t="s">
        <v>351</v>
      </c>
      <c r="I724" s="15"/>
      <c r="J724" s="15"/>
      <c r="K724" s="15"/>
      <c r="L724" s="15">
        <v>0</v>
      </c>
      <c r="M724" s="15">
        <v>0</v>
      </c>
      <c r="N724" s="15">
        <v>323974269.37999994</v>
      </c>
      <c r="O724" s="15">
        <v>163844.40999999997</v>
      </c>
      <c r="P724" s="15">
        <v>0</v>
      </c>
      <c r="Q724" s="15">
        <v>0</v>
      </c>
      <c r="R724" s="15">
        <v>0</v>
      </c>
      <c r="S724" s="15">
        <v>0</v>
      </c>
      <c r="T724" s="15"/>
    </row>
    <row r="725" spans="1:20" x14ac:dyDescent="0.25">
      <c r="A725" s="15" t="s">
        <v>531</v>
      </c>
      <c r="B725" s="15" t="s">
        <v>526</v>
      </c>
      <c r="C725" s="15" t="s">
        <v>591</v>
      </c>
      <c r="D725" s="15" t="s">
        <v>527</v>
      </c>
      <c r="E725" s="15" t="str">
        <f t="shared" si="20"/>
        <v>ASM NOR Vector Dendi</v>
      </c>
      <c r="F725" s="15" t="s">
        <v>532</v>
      </c>
      <c r="G725" s="15"/>
      <c r="H725" s="15" t="s">
        <v>426</v>
      </c>
      <c r="I725" s="15"/>
      <c r="J725" s="15"/>
      <c r="K725" s="15"/>
      <c r="L725" s="15">
        <v>0</v>
      </c>
      <c r="M725" s="15">
        <v>0</v>
      </c>
      <c r="N725" s="15">
        <v>0</v>
      </c>
      <c r="O725" s="15">
        <v>29118.399999999994</v>
      </c>
      <c r="P725" s="15">
        <v>0</v>
      </c>
      <c r="Q725" s="15">
        <v>0</v>
      </c>
      <c r="R725" s="15">
        <v>0</v>
      </c>
      <c r="S725" s="15">
        <v>0</v>
      </c>
      <c r="T725" s="15"/>
    </row>
    <row r="726" spans="1:20" x14ac:dyDescent="0.25">
      <c r="A726" s="15" t="s">
        <v>533</v>
      </c>
      <c r="B726" s="15" t="s">
        <v>526</v>
      </c>
      <c r="C726" s="15" t="s">
        <v>591</v>
      </c>
      <c r="D726" s="15" t="s">
        <v>527</v>
      </c>
      <c r="E726" s="15" t="str">
        <f t="shared" si="20"/>
        <v>ASM NOR Vector Dendi</v>
      </c>
      <c r="F726" s="15" t="s">
        <v>532</v>
      </c>
      <c r="G726" s="15"/>
      <c r="H726" s="15" t="s">
        <v>426</v>
      </c>
      <c r="I726" s="15"/>
      <c r="J726" s="15"/>
      <c r="K726" s="15"/>
      <c r="L726" s="15">
        <v>0</v>
      </c>
      <c r="M726" s="15">
        <v>0</v>
      </c>
      <c r="N726" s="15">
        <v>0</v>
      </c>
      <c r="O726" s="15">
        <v>1899221.75</v>
      </c>
      <c r="P726" s="15">
        <v>0</v>
      </c>
      <c r="Q726" s="15">
        <v>0</v>
      </c>
      <c r="R726" s="15">
        <v>0</v>
      </c>
      <c r="S726" s="15">
        <v>0</v>
      </c>
      <c r="T726" s="15"/>
    </row>
    <row r="727" spans="1:20" x14ac:dyDescent="0.25">
      <c r="A727" s="15" t="s">
        <v>534</v>
      </c>
      <c r="B727" s="15" t="s">
        <v>526</v>
      </c>
      <c r="C727" s="15" t="s">
        <v>591</v>
      </c>
      <c r="D727" s="15" t="s">
        <v>527</v>
      </c>
      <c r="E727" s="15" t="str">
        <f t="shared" si="20"/>
        <v>ASM NOR Vector Dendi</v>
      </c>
      <c r="F727" s="15" t="s">
        <v>532</v>
      </c>
      <c r="G727" s="15"/>
      <c r="H727" s="15" t="s">
        <v>426</v>
      </c>
      <c r="I727" s="15"/>
      <c r="J727" s="15"/>
      <c r="K727" s="15"/>
      <c r="L727" s="15">
        <v>0</v>
      </c>
      <c r="M727" s="15">
        <v>0</v>
      </c>
      <c r="N727" s="15">
        <v>0</v>
      </c>
      <c r="O727" s="15">
        <v>152530.80999999997</v>
      </c>
      <c r="P727" s="15">
        <v>0</v>
      </c>
      <c r="Q727" s="15">
        <v>0</v>
      </c>
      <c r="R727" s="15">
        <v>0</v>
      </c>
      <c r="S727" s="15">
        <v>0</v>
      </c>
      <c r="T727" s="15"/>
    </row>
    <row r="728" spans="1:20" x14ac:dyDescent="0.25">
      <c r="A728" s="15" t="s">
        <v>534</v>
      </c>
      <c r="B728" s="15" t="s">
        <v>526</v>
      </c>
      <c r="C728" s="15" t="s">
        <v>591</v>
      </c>
      <c r="D728" s="15" t="s">
        <v>527</v>
      </c>
      <c r="E728" s="15" t="str">
        <f t="shared" si="20"/>
        <v>ASM NOR Vector Dendi</v>
      </c>
      <c r="F728" s="15" t="s">
        <v>528</v>
      </c>
      <c r="G728" s="15"/>
      <c r="H728" s="15" t="s">
        <v>423</v>
      </c>
      <c r="I728" s="15">
        <v>1</v>
      </c>
      <c r="J728" s="15">
        <v>1</v>
      </c>
      <c r="K728" s="15"/>
      <c r="L728" s="15">
        <v>248808684.2100001</v>
      </c>
      <c r="M728" s="15">
        <v>1833537.3800000001</v>
      </c>
      <c r="N728" s="15">
        <v>0</v>
      </c>
      <c r="O728" s="15">
        <v>270601609.64999998</v>
      </c>
      <c r="P728" s="15">
        <v>0</v>
      </c>
      <c r="Q728" s="15">
        <v>0</v>
      </c>
      <c r="R728" s="15">
        <v>0</v>
      </c>
      <c r="S728" s="15">
        <v>0</v>
      </c>
      <c r="T728" s="15"/>
    </row>
    <row r="729" spans="1:20" x14ac:dyDescent="0.25">
      <c r="A729" s="15" t="s">
        <v>533</v>
      </c>
      <c r="B729" s="15" t="s">
        <v>526</v>
      </c>
      <c r="C729" s="15" t="s">
        <v>591</v>
      </c>
      <c r="D729" s="15" t="s">
        <v>527</v>
      </c>
      <c r="E729" s="15" t="str">
        <f t="shared" si="20"/>
        <v>ASM NOR Vector Dendi</v>
      </c>
      <c r="F729" s="15" t="s">
        <v>535</v>
      </c>
      <c r="G729" s="15"/>
      <c r="H729" s="15" t="s">
        <v>426</v>
      </c>
      <c r="I729" s="15">
        <v>1</v>
      </c>
      <c r="J729" s="15"/>
      <c r="K729" s="15"/>
      <c r="L729" s="15">
        <v>0</v>
      </c>
      <c r="M729" s="15">
        <v>14108514.950000038</v>
      </c>
      <c r="N729" s="15">
        <v>26769822.289999992</v>
      </c>
      <c r="O729" s="15">
        <v>19226500.279999997</v>
      </c>
      <c r="P729" s="15">
        <v>0</v>
      </c>
      <c r="Q729" s="15">
        <v>0</v>
      </c>
      <c r="R729" s="15">
        <v>0</v>
      </c>
      <c r="S729" s="15">
        <v>0</v>
      </c>
      <c r="T729" s="15"/>
    </row>
    <row r="730" spans="1:20" x14ac:dyDescent="0.25">
      <c r="A730" s="15" t="s">
        <v>536</v>
      </c>
      <c r="B730" s="15" t="s">
        <v>526</v>
      </c>
      <c r="C730" s="15" t="s">
        <v>591</v>
      </c>
      <c r="D730" s="15" t="s">
        <v>529</v>
      </c>
      <c r="E730" s="15" t="str">
        <f t="shared" si="20"/>
        <v>DDM NOR Grocery+SPT Spb Nov Pskov</v>
      </c>
      <c r="F730" s="15" t="s">
        <v>537</v>
      </c>
      <c r="G730" s="15"/>
      <c r="H730" s="15" t="s">
        <v>538</v>
      </c>
      <c r="I730" s="15">
        <v>1</v>
      </c>
      <c r="J730" s="15"/>
      <c r="K730" s="15"/>
      <c r="L730" s="15">
        <v>455626091.64999998</v>
      </c>
      <c r="M730" s="15">
        <v>240569215.74000001</v>
      </c>
      <c r="N730" s="15">
        <v>130862903.00999998</v>
      </c>
      <c r="O730" s="15">
        <v>352208206.12</v>
      </c>
      <c r="P730" s="15">
        <v>0</v>
      </c>
      <c r="Q730" s="15">
        <v>0</v>
      </c>
      <c r="R730" s="15">
        <v>398605680.44700003</v>
      </c>
      <c r="S730" s="15">
        <v>0</v>
      </c>
      <c r="T730" s="15"/>
    </row>
    <row r="731" spans="1:20" x14ac:dyDescent="0.25">
      <c r="A731" s="15" t="s">
        <v>539</v>
      </c>
      <c r="B731" s="15" t="s">
        <v>526</v>
      </c>
      <c r="C731" s="15" t="s">
        <v>591</v>
      </c>
      <c r="D731" s="15" t="s">
        <v>529</v>
      </c>
      <c r="E731" s="15" t="str">
        <f t="shared" si="20"/>
        <v>DDM NOR Grocery+SPT Spb Nov Pskov</v>
      </c>
      <c r="F731" s="15" t="s">
        <v>530</v>
      </c>
      <c r="G731" s="15"/>
      <c r="H731" s="15" t="s">
        <v>351</v>
      </c>
      <c r="I731" s="15"/>
      <c r="J731" s="15"/>
      <c r="K731" s="15"/>
      <c r="L731" s="15">
        <v>0</v>
      </c>
      <c r="M731" s="15">
        <v>5204.96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/>
    </row>
    <row r="732" spans="1:20" x14ac:dyDescent="0.25">
      <c r="A732" s="15" t="s">
        <v>539</v>
      </c>
      <c r="B732" s="15" t="s">
        <v>526</v>
      </c>
      <c r="C732" s="15" t="s">
        <v>591</v>
      </c>
      <c r="D732" s="15" t="s">
        <v>529</v>
      </c>
      <c r="E732" s="15" t="str">
        <f t="shared" si="20"/>
        <v>DDM NOR Grocery+SPT Spb Nov Pskov</v>
      </c>
      <c r="F732" s="15" t="s">
        <v>540</v>
      </c>
      <c r="G732" s="15"/>
      <c r="H732" s="15" t="s">
        <v>351</v>
      </c>
      <c r="I732" s="15"/>
      <c r="J732" s="15"/>
      <c r="K732" s="15"/>
      <c r="L732" s="15">
        <v>0</v>
      </c>
      <c r="M732" s="15">
        <v>3642683.0799999996</v>
      </c>
      <c r="N732" s="15">
        <v>33326363.230000008</v>
      </c>
      <c r="O732" s="15">
        <v>43984312.290000007</v>
      </c>
      <c r="P732" s="15">
        <v>0</v>
      </c>
      <c r="Q732" s="15">
        <v>0</v>
      </c>
      <c r="R732" s="15">
        <v>0</v>
      </c>
      <c r="S732" s="15">
        <v>0</v>
      </c>
      <c r="T732" s="15"/>
    </row>
    <row r="733" spans="1:20" x14ac:dyDescent="0.25">
      <c r="A733" s="15" t="s">
        <v>541</v>
      </c>
      <c r="B733" s="15" t="s">
        <v>526</v>
      </c>
      <c r="C733" s="15" t="s">
        <v>591</v>
      </c>
      <c r="D733" s="15" t="s">
        <v>527</v>
      </c>
      <c r="E733" s="15" t="str">
        <f t="shared" si="20"/>
        <v>ASM NOR Vector Dendi</v>
      </c>
      <c r="F733" s="15" t="s">
        <v>528</v>
      </c>
      <c r="G733" s="15"/>
      <c r="H733" s="15" t="s">
        <v>429</v>
      </c>
      <c r="I733" s="15">
        <v>1</v>
      </c>
      <c r="J733" s="15"/>
      <c r="K733" s="15"/>
      <c r="L733" s="15">
        <v>0</v>
      </c>
      <c r="M733" s="15">
        <v>497928.87999999995</v>
      </c>
      <c r="N733" s="15">
        <v>0</v>
      </c>
      <c r="O733" s="15">
        <v>56459824.24000001</v>
      </c>
      <c r="P733" s="15">
        <v>0</v>
      </c>
      <c r="Q733" s="15">
        <v>0</v>
      </c>
      <c r="R733" s="15">
        <v>0</v>
      </c>
      <c r="S733" s="15">
        <v>0</v>
      </c>
      <c r="T733" s="15"/>
    </row>
    <row r="734" spans="1:20" x14ac:dyDescent="0.25">
      <c r="A734" s="15" t="s">
        <v>542</v>
      </c>
      <c r="B734" s="15" t="s">
        <v>526</v>
      </c>
      <c r="C734" s="15" t="s">
        <v>591</v>
      </c>
      <c r="D734" s="15" t="s">
        <v>527</v>
      </c>
      <c r="E734" s="15" t="str">
        <f t="shared" si="20"/>
        <v>ASM NOR Vector Dendi</v>
      </c>
      <c r="F734" s="15" t="s">
        <v>532</v>
      </c>
      <c r="G734" s="15"/>
      <c r="H734" s="15" t="s">
        <v>426</v>
      </c>
      <c r="I734" s="15"/>
      <c r="J734" s="15"/>
      <c r="K734" s="15"/>
      <c r="L734" s="15">
        <v>0</v>
      </c>
      <c r="M734" s="15">
        <v>0</v>
      </c>
      <c r="N734" s="15">
        <v>132750834.23999995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/>
    </row>
    <row r="735" spans="1:20" x14ac:dyDescent="0.25">
      <c r="A735" s="15" t="s">
        <v>542</v>
      </c>
      <c r="B735" s="15" t="s">
        <v>526</v>
      </c>
      <c r="C735" s="15" t="s">
        <v>591</v>
      </c>
      <c r="D735" s="15" t="s">
        <v>527</v>
      </c>
      <c r="E735" s="15" t="str">
        <f t="shared" si="20"/>
        <v>ASM NOR Vector Dendi</v>
      </c>
      <c r="F735" s="15" t="s">
        <v>535</v>
      </c>
      <c r="G735" s="15"/>
      <c r="H735" s="15" t="s">
        <v>426</v>
      </c>
      <c r="I735" s="15"/>
      <c r="J735" s="15"/>
      <c r="K735" s="15"/>
      <c r="L735" s="15">
        <v>0</v>
      </c>
      <c r="M735" s="15">
        <v>217936.43</v>
      </c>
      <c r="N735" s="15">
        <v>199150953.43999991</v>
      </c>
      <c r="O735" s="15">
        <v>25826029.060000006</v>
      </c>
      <c r="P735" s="15">
        <v>0</v>
      </c>
      <c r="Q735" s="15">
        <v>0</v>
      </c>
      <c r="R735" s="15">
        <v>0</v>
      </c>
      <c r="S735" s="15">
        <v>0</v>
      </c>
      <c r="T735" s="15"/>
    </row>
    <row r="736" spans="1:20" x14ac:dyDescent="0.25">
      <c r="A736" s="15" t="s">
        <v>543</v>
      </c>
      <c r="B736" s="15" t="s">
        <v>526</v>
      </c>
      <c r="C736" s="15" t="s">
        <v>591</v>
      </c>
      <c r="D736" s="15" t="s">
        <v>529</v>
      </c>
      <c r="E736" s="15" t="str">
        <f t="shared" si="20"/>
        <v>DDM NOR Grocery+SPT Spb Nov Pskov</v>
      </c>
      <c r="F736" s="15" t="s">
        <v>530</v>
      </c>
      <c r="G736" s="15"/>
      <c r="H736" s="15" t="s">
        <v>351</v>
      </c>
      <c r="I736" s="15"/>
      <c r="J736" s="15"/>
      <c r="K736" s="15"/>
      <c r="L736" s="15">
        <v>0</v>
      </c>
      <c r="M736" s="15">
        <v>3967429.6400000006</v>
      </c>
      <c r="N736" s="15">
        <v>0</v>
      </c>
      <c r="O736" s="15">
        <v>16454309.859999999</v>
      </c>
      <c r="P736" s="15">
        <v>0</v>
      </c>
      <c r="Q736" s="15">
        <v>0</v>
      </c>
      <c r="R736" s="15">
        <v>0</v>
      </c>
      <c r="S736" s="15">
        <v>0</v>
      </c>
      <c r="T736" s="15"/>
    </row>
    <row r="737" spans="1:20" x14ac:dyDescent="0.25">
      <c r="A737" s="15" t="s">
        <v>543</v>
      </c>
      <c r="B737" s="15" t="s">
        <v>526</v>
      </c>
      <c r="C737" s="15" t="s">
        <v>591</v>
      </c>
      <c r="D737" s="15" t="s">
        <v>529</v>
      </c>
      <c r="E737" s="15" t="str">
        <f t="shared" si="20"/>
        <v>DDM NOR Grocery+SPT Spb Nov Pskov</v>
      </c>
      <c r="F737" s="15" t="s">
        <v>540</v>
      </c>
      <c r="G737" s="15"/>
      <c r="H737" s="15" t="s">
        <v>351</v>
      </c>
      <c r="I737" s="15"/>
      <c r="J737" s="15"/>
      <c r="K737" s="15"/>
      <c r="L737" s="15">
        <v>0</v>
      </c>
      <c r="M737" s="15">
        <v>14267249.269999998</v>
      </c>
      <c r="N737" s="15">
        <v>577223.67999999993</v>
      </c>
      <c r="O737" s="15">
        <v>52068124.899999984</v>
      </c>
      <c r="P737" s="15">
        <v>0</v>
      </c>
      <c r="Q737" s="15">
        <v>0</v>
      </c>
      <c r="R737" s="15">
        <v>14550900</v>
      </c>
      <c r="S737" s="15">
        <v>0</v>
      </c>
      <c r="T737" s="15"/>
    </row>
    <row r="738" spans="1:20" x14ac:dyDescent="0.25">
      <c r="A738" s="15" t="s">
        <v>543</v>
      </c>
      <c r="B738" s="15" t="s">
        <v>526</v>
      </c>
      <c r="C738" s="15" t="s">
        <v>591</v>
      </c>
      <c r="D738" s="15" t="s">
        <v>529</v>
      </c>
      <c r="E738" s="15" t="str">
        <f t="shared" si="20"/>
        <v>DDM NOR Grocery+SPT Spb Nov Pskov</v>
      </c>
      <c r="F738" s="15" t="s">
        <v>544</v>
      </c>
      <c r="G738" s="15"/>
      <c r="H738" s="15" t="s">
        <v>351</v>
      </c>
      <c r="I738" s="15"/>
      <c r="J738" s="15"/>
      <c r="K738" s="15"/>
      <c r="L738" s="15">
        <v>164492870.23000002</v>
      </c>
      <c r="M738" s="15">
        <v>0</v>
      </c>
      <c r="N738" s="15">
        <v>0</v>
      </c>
      <c r="O738" s="15">
        <v>1102.44</v>
      </c>
      <c r="P738" s="15">
        <v>0</v>
      </c>
      <c r="Q738" s="15">
        <v>0</v>
      </c>
      <c r="R738" s="15">
        <v>0</v>
      </c>
      <c r="S738" s="15">
        <v>0</v>
      </c>
      <c r="T738" s="15"/>
    </row>
    <row r="739" spans="1:20" x14ac:dyDescent="0.25">
      <c r="A739" s="15" t="s">
        <v>545</v>
      </c>
      <c r="B739" s="15" t="s">
        <v>526</v>
      </c>
      <c r="C739" s="15" t="s">
        <v>591</v>
      </c>
      <c r="D739" s="15" t="s">
        <v>527</v>
      </c>
      <c r="E739" s="15" t="str">
        <f t="shared" si="20"/>
        <v>ASM NOR Vector Dendi</v>
      </c>
      <c r="F739" s="15" t="s">
        <v>532</v>
      </c>
      <c r="G739" s="15"/>
      <c r="H739" s="15" t="s">
        <v>426</v>
      </c>
      <c r="I739" s="15"/>
      <c r="J739" s="15"/>
      <c r="K739" s="15"/>
      <c r="L739" s="15">
        <v>0</v>
      </c>
      <c r="M739" s="15">
        <v>0</v>
      </c>
      <c r="N739" s="15">
        <v>0</v>
      </c>
      <c r="O739" s="15">
        <v>226.72</v>
      </c>
      <c r="P739" s="15">
        <v>0</v>
      </c>
      <c r="Q739" s="15">
        <v>0</v>
      </c>
      <c r="R739" s="15">
        <v>0</v>
      </c>
      <c r="S739" s="15">
        <v>0</v>
      </c>
      <c r="T739" s="15"/>
    </row>
    <row r="740" spans="1:20" x14ac:dyDescent="0.25">
      <c r="A740" s="15" t="s">
        <v>545</v>
      </c>
      <c r="B740" s="15" t="s">
        <v>526</v>
      </c>
      <c r="C740" s="15" t="s">
        <v>591</v>
      </c>
      <c r="D740" s="15" t="s">
        <v>527</v>
      </c>
      <c r="E740" s="15" t="str">
        <f t="shared" si="20"/>
        <v>ASM NOR Vector Dendi</v>
      </c>
      <c r="F740" s="15" t="s">
        <v>535</v>
      </c>
      <c r="G740" s="15"/>
      <c r="H740" s="15" t="s">
        <v>426</v>
      </c>
      <c r="I740" s="15"/>
      <c r="J740" s="15"/>
      <c r="K740" s="15"/>
      <c r="L740" s="15">
        <v>0</v>
      </c>
      <c r="M740" s="15">
        <v>7225392.2900000028</v>
      </c>
      <c r="N740" s="15">
        <v>0</v>
      </c>
      <c r="O740" s="15">
        <v>18155.52</v>
      </c>
      <c r="P740" s="15">
        <v>0</v>
      </c>
      <c r="Q740" s="15">
        <v>0</v>
      </c>
      <c r="R740" s="15">
        <v>0</v>
      </c>
      <c r="S740" s="15">
        <v>0</v>
      </c>
      <c r="T740" s="15"/>
    </row>
    <row r="741" spans="1:20" x14ac:dyDescent="0.25">
      <c r="A741" s="15" t="s">
        <v>545</v>
      </c>
      <c r="B741" s="15" t="s">
        <v>526</v>
      </c>
      <c r="C741" s="15" t="s">
        <v>591</v>
      </c>
      <c r="D741" s="15" t="s">
        <v>529</v>
      </c>
      <c r="E741" s="15" t="str">
        <f t="shared" si="20"/>
        <v>DDM NOR Grocery+SPT Spb Nov Pskov</v>
      </c>
      <c r="F741" s="15" t="s">
        <v>544</v>
      </c>
      <c r="G741" s="15"/>
      <c r="H741" s="15" t="s">
        <v>351</v>
      </c>
      <c r="I741" s="15"/>
      <c r="J741" s="15"/>
      <c r="K741" s="15"/>
      <c r="L741" s="15">
        <v>0</v>
      </c>
      <c r="M741" s="15">
        <v>0</v>
      </c>
      <c r="N741" s="15">
        <v>2886118.4000000004</v>
      </c>
      <c r="O741" s="15">
        <v>0</v>
      </c>
      <c r="P741" s="15">
        <v>0</v>
      </c>
      <c r="Q741" s="15">
        <v>0</v>
      </c>
      <c r="R741" s="15">
        <v>0</v>
      </c>
      <c r="S741" s="15">
        <v>0</v>
      </c>
      <c r="T741" s="15"/>
    </row>
    <row r="742" spans="1:20" x14ac:dyDescent="0.25">
      <c r="A742" s="15" t="s">
        <v>545</v>
      </c>
      <c r="B742" s="15" t="s">
        <v>526</v>
      </c>
      <c r="C742" s="15" t="s">
        <v>591</v>
      </c>
      <c r="D742" s="15" t="s">
        <v>527</v>
      </c>
      <c r="E742" s="15" t="str">
        <f t="shared" si="20"/>
        <v>ASM NOR Vector Dendi</v>
      </c>
      <c r="F742" s="15" t="s">
        <v>532</v>
      </c>
      <c r="G742" s="15"/>
      <c r="H742" s="15" t="s">
        <v>426</v>
      </c>
      <c r="I742" s="15"/>
      <c r="J742" s="15"/>
      <c r="K742" s="15"/>
      <c r="L742" s="15">
        <v>0</v>
      </c>
      <c r="M742" s="15">
        <v>0</v>
      </c>
      <c r="N742" s="15">
        <v>0</v>
      </c>
      <c r="O742" s="15">
        <v>2602.48</v>
      </c>
      <c r="P742" s="15">
        <v>0</v>
      </c>
      <c r="Q742" s="15">
        <v>0</v>
      </c>
      <c r="R742" s="15">
        <v>0</v>
      </c>
      <c r="S742" s="15">
        <v>0</v>
      </c>
      <c r="T742" s="15"/>
    </row>
    <row r="743" spans="1:20" x14ac:dyDescent="0.25">
      <c r="A743" s="15" t="s">
        <v>545</v>
      </c>
      <c r="B743" s="15" t="s">
        <v>526</v>
      </c>
      <c r="C743" s="15" t="s">
        <v>591</v>
      </c>
      <c r="D743" s="15" t="s">
        <v>527</v>
      </c>
      <c r="E743" s="15" t="str">
        <f t="shared" si="20"/>
        <v>ASM NOR Vector Dendi</v>
      </c>
      <c r="F743" s="15" t="s">
        <v>535</v>
      </c>
      <c r="G743" s="15"/>
      <c r="H743" s="15" t="s">
        <v>426</v>
      </c>
      <c r="I743" s="15"/>
      <c r="J743" s="15"/>
      <c r="K743" s="15"/>
      <c r="L743" s="15">
        <v>0</v>
      </c>
      <c r="M743" s="15">
        <v>0</v>
      </c>
      <c r="N743" s="15">
        <v>2602.48</v>
      </c>
      <c r="O743" s="15">
        <v>21753.73</v>
      </c>
      <c r="P743" s="15">
        <v>0</v>
      </c>
      <c r="Q743" s="15">
        <v>0</v>
      </c>
      <c r="R743" s="15">
        <v>0</v>
      </c>
      <c r="S743" s="15">
        <v>0</v>
      </c>
      <c r="T743" s="15"/>
    </row>
    <row r="744" spans="1:20" x14ac:dyDescent="0.25">
      <c r="A744" s="15" t="s">
        <v>546</v>
      </c>
      <c r="B744" s="15" t="s">
        <v>526</v>
      </c>
      <c r="C744" s="15" t="s">
        <v>591</v>
      </c>
      <c r="D744" s="15" t="s">
        <v>529</v>
      </c>
      <c r="E744" s="15" t="str">
        <f t="shared" si="20"/>
        <v>DDM NOR Grocery+SPT Spb Nov Pskov</v>
      </c>
      <c r="F744" s="15" t="s">
        <v>530</v>
      </c>
      <c r="G744" s="15"/>
      <c r="H744" s="15" t="s">
        <v>351</v>
      </c>
      <c r="I744" s="15"/>
      <c r="J744" s="15"/>
      <c r="K744" s="15"/>
      <c r="L744" s="15">
        <v>0</v>
      </c>
      <c r="M744" s="15">
        <v>0</v>
      </c>
      <c r="N744" s="15">
        <v>577223.67999999993</v>
      </c>
      <c r="O744" s="15">
        <v>0</v>
      </c>
      <c r="P744" s="15">
        <v>0</v>
      </c>
      <c r="Q744" s="15">
        <v>0</v>
      </c>
      <c r="R744" s="15">
        <v>0</v>
      </c>
      <c r="S744" s="15">
        <v>0</v>
      </c>
      <c r="T744" s="15"/>
    </row>
    <row r="745" spans="1:20" x14ac:dyDescent="0.25">
      <c r="A745" s="15" t="s">
        <v>546</v>
      </c>
      <c r="B745" s="15" t="s">
        <v>526</v>
      </c>
      <c r="C745" s="15" t="s">
        <v>591</v>
      </c>
      <c r="D745" s="15" t="s">
        <v>529</v>
      </c>
      <c r="E745" s="15" t="str">
        <f t="shared" si="20"/>
        <v>DDM NOR Grocery+SPT Spb Nov Pskov</v>
      </c>
      <c r="F745" s="15" t="s">
        <v>544</v>
      </c>
      <c r="G745" s="15"/>
      <c r="H745" s="15" t="s">
        <v>351</v>
      </c>
      <c r="I745" s="15"/>
      <c r="J745" s="15"/>
      <c r="K745" s="15"/>
      <c r="L745" s="15">
        <v>0</v>
      </c>
      <c r="M745" s="15">
        <v>0</v>
      </c>
      <c r="N745" s="15">
        <v>5772236.169999999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/>
    </row>
    <row r="746" spans="1:20" x14ac:dyDescent="0.25">
      <c r="A746" s="15" t="s">
        <v>547</v>
      </c>
      <c r="B746" s="15" t="s">
        <v>526</v>
      </c>
      <c r="C746" s="15" t="s">
        <v>591</v>
      </c>
      <c r="D746" s="15" t="s">
        <v>529</v>
      </c>
      <c r="E746" s="15" t="str">
        <f t="shared" si="20"/>
        <v>DDM NOR Grocery+SPT Spb Nov Pskov</v>
      </c>
      <c r="F746" s="15" t="s">
        <v>530</v>
      </c>
      <c r="G746" s="15"/>
      <c r="H746" s="15" t="s">
        <v>351</v>
      </c>
      <c r="I746" s="15"/>
      <c r="J746" s="15"/>
      <c r="K746" s="15"/>
      <c r="L746" s="15">
        <v>0</v>
      </c>
      <c r="M746" s="15">
        <v>2148542.7700000005</v>
      </c>
      <c r="N746" s="15">
        <v>0</v>
      </c>
      <c r="O746" s="15">
        <v>20448323.419999998</v>
      </c>
      <c r="P746" s="15">
        <v>0</v>
      </c>
      <c r="Q746" s="15">
        <v>0</v>
      </c>
      <c r="R746" s="15">
        <v>1119300</v>
      </c>
      <c r="S746" s="15">
        <v>0</v>
      </c>
      <c r="T746" s="15"/>
    </row>
    <row r="747" spans="1:20" x14ac:dyDescent="0.25">
      <c r="A747" s="15" t="s">
        <v>548</v>
      </c>
      <c r="B747" s="15" t="s">
        <v>526</v>
      </c>
      <c r="C747" s="15" t="s">
        <v>591</v>
      </c>
      <c r="D747" s="15" t="s">
        <v>527</v>
      </c>
      <c r="E747" s="15" t="str">
        <f t="shared" si="20"/>
        <v>ASM NOR Vector Dendi</v>
      </c>
      <c r="F747" s="15" t="s">
        <v>528</v>
      </c>
      <c r="G747" s="15"/>
      <c r="H747" s="15" t="s">
        <v>423</v>
      </c>
      <c r="I747" s="15"/>
      <c r="J747" s="15"/>
      <c r="K747" s="15"/>
      <c r="L747" s="15">
        <v>0</v>
      </c>
      <c r="M747" s="15">
        <v>0</v>
      </c>
      <c r="N747" s="15">
        <v>0</v>
      </c>
      <c r="O747" s="15">
        <v>5930871.1500000004</v>
      </c>
      <c r="P747" s="15">
        <v>0</v>
      </c>
      <c r="Q747" s="15">
        <v>0</v>
      </c>
      <c r="R747" s="15">
        <v>0</v>
      </c>
      <c r="S747" s="15">
        <v>0</v>
      </c>
      <c r="T747" s="15"/>
    </row>
    <row r="748" spans="1:20" x14ac:dyDescent="0.25">
      <c r="A748" s="15" t="s">
        <v>548</v>
      </c>
      <c r="B748" s="15" t="s">
        <v>526</v>
      </c>
      <c r="C748" s="15" t="s">
        <v>591</v>
      </c>
      <c r="D748" s="15" t="s">
        <v>527</v>
      </c>
      <c r="E748" s="15" t="str">
        <f t="shared" si="20"/>
        <v>ASM NOR Vector Dendi</v>
      </c>
      <c r="F748" s="15" t="s">
        <v>528</v>
      </c>
      <c r="G748" s="15"/>
      <c r="H748" s="15" t="s">
        <v>429</v>
      </c>
      <c r="I748" s="15"/>
      <c r="J748" s="15"/>
      <c r="K748" s="15"/>
      <c r="L748" s="15">
        <v>0</v>
      </c>
      <c r="M748" s="15">
        <v>0</v>
      </c>
      <c r="N748" s="15">
        <v>154394419.58000001</v>
      </c>
      <c r="O748" s="15">
        <v>11272.92</v>
      </c>
      <c r="P748" s="15">
        <v>0</v>
      </c>
      <c r="Q748" s="15">
        <v>0</v>
      </c>
      <c r="R748" s="15">
        <v>0</v>
      </c>
      <c r="S748" s="15">
        <v>0</v>
      </c>
      <c r="T748" s="15"/>
    </row>
    <row r="749" spans="1:20" x14ac:dyDescent="0.25">
      <c r="A749" s="15" t="s">
        <v>549</v>
      </c>
      <c r="B749" s="15" t="s">
        <v>526</v>
      </c>
      <c r="C749" s="15" t="s">
        <v>591</v>
      </c>
      <c r="D749" s="15" t="s">
        <v>529</v>
      </c>
      <c r="E749" s="15" t="str">
        <f t="shared" si="20"/>
        <v>DDM NOR Grocery+SPT Spb Nov Pskov</v>
      </c>
      <c r="F749" s="15" t="s">
        <v>530</v>
      </c>
      <c r="G749" s="15"/>
      <c r="H749" s="15" t="s">
        <v>351</v>
      </c>
      <c r="I749" s="15"/>
      <c r="J749" s="15"/>
      <c r="K749" s="15"/>
      <c r="L749" s="15">
        <v>0</v>
      </c>
      <c r="M749" s="15">
        <v>58695919.390000023</v>
      </c>
      <c r="N749" s="15">
        <v>3463342.0800000001</v>
      </c>
      <c r="O749" s="15">
        <v>50107053.129999988</v>
      </c>
      <c r="P749" s="15">
        <v>0</v>
      </c>
      <c r="Q749" s="15">
        <v>0</v>
      </c>
      <c r="R749" s="15">
        <v>0</v>
      </c>
      <c r="S749" s="15">
        <v>0</v>
      </c>
      <c r="T749" s="15"/>
    </row>
    <row r="750" spans="1:20" x14ac:dyDescent="0.25">
      <c r="A750" s="15" t="s">
        <v>546</v>
      </c>
      <c r="B750" s="15" t="s">
        <v>526</v>
      </c>
      <c r="C750" s="15" t="s">
        <v>591</v>
      </c>
      <c r="D750" s="15" t="s">
        <v>527</v>
      </c>
      <c r="E750" s="15" t="str">
        <f t="shared" si="20"/>
        <v>ASM NOR Vector Dendi</v>
      </c>
      <c r="F750" s="15" t="s">
        <v>532</v>
      </c>
      <c r="G750" s="15"/>
      <c r="H750" s="15" t="s">
        <v>426</v>
      </c>
      <c r="I750" s="15"/>
      <c r="J750" s="15"/>
      <c r="K750" s="15"/>
      <c r="L750" s="15">
        <v>0</v>
      </c>
      <c r="M750" s="15">
        <v>0</v>
      </c>
      <c r="N750" s="15">
        <v>1706.04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/>
    </row>
    <row r="751" spans="1:20" x14ac:dyDescent="0.25">
      <c r="A751" s="15" t="s">
        <v>546</v>
      </c>
      <c r="B751" s="15" t="s">
        <v>526</v>
      </c>
      <c r="C751" s="15" t="s">
        <v>591</v>
      </c>
      <c r="D751" s="15" t="s">
        <v>529</v>
      </c>
      <c r="E751" s="15" t="str">
        <f t="shared" si="20"/>
        <v>DDM NOR Grocery+SPT Spb Nov Pskov</v>
      </c>
      <c r="F751" s="15" t="s">
        <v>544</v>
      </c>
      <c r="G751" s="15"/>
      <c r="H751" s="15" t="s">
        <v>351</v>
      </c>
      <c r="I751" s="15"/>
      <c r="J751" s="15"/>
      <c r="K751" s="15"/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/>
    </row>
    <row r="752" spans="1:20" x14ac:dyDescent="0.25">
      <c r="A752" s="15" t="s">
        <v>346</v>
      </c>
      <c r="B752" s="15" t="s">
        <v>526</v>
      </c>
      <c r="C752" s="15" t="s">
        <v>591</v>
      </c>
      <c r="D752" s="15" t="s">
        <v>529</v>
      </c>
      <c r="E752" s="15" t="str">
        <f t="shared" si="20"/>
        <v>DDM NOR Grocery+SPT Spb Nov Pskov</v>
      </c>
      <c r="F752" s="15" t="s">
        <v>530</v>
      </c>
      <c r="G752" s="15"/>
      <c r="H752" s="15" t="s">
        <v>351</v>
      </c>
      <c r="I752" s="15">
        <v>1</v>
      </c>
      <c r="J752" s="15"/>
      <c r="K752" s="15"/>
      <c r="L752" s="15">
        <v>0</v>
      </c>
      <c r="M752" s="15">
        <v>32393444.969999995</v>
      </c>
      <c r="N752" s="15">
        <v>933137.57000000007</v>
      </c>
      <c r="O752" s="15">
        <v>38392610.00999999</v>
      </c>
      <c r="P752" s="15">
        <v>0</v>
      </c>
      <c r="Q752" s="15">
        <v>0</v>
      </c>
      <c r="R752" s="15">
        <v>66047800</v>
      </c>
      <c r="S752" s="15">
        <v>0</v>
      </c>
      <c r="T752" s="15"/>
    </row>
    <row r="753" spans="1:20" x14ac:dyDescent="0.25">
      <c r="A753" s="15" t="s">
        <v>346</v>
      </c>
      <c r="B753" s="15" t="s">
        <v>526</v>
      </c>
      <c r="C753" s="15" t="s">
        <v>591</v>
      </c>
      <c r="D753" s="15" t="s">
        <v>529</v>
      </c>
      <c r="E753" s="15" t="str">
        <f t="shared" si="20"/>
        <v>DDM NOR Grocery+SPT Spb Nov Pskov</v>
      </c>
      <c r="F753" s="15" t="s">
        <v>540</v>
      </c>
      <c r="G753" s="15"/>
      <c r="H753" s="15" t="s">
        <v>351</v>
      </c>
      <c r="I753" s="15">
        <v>1</v>
      </c>
      <c r="J753" s="15"/>
      <c r="K753" s="15"/>
      <c r="L753" s="15">
        <v>0</v>
      </c>
      <c r="M753" s="15">
        <v>296693840.26999998</v>
      </c>
      <c r="N753" s="15">
        <v>52911435.689999998</v>
      </c>
      <c r="O753" s="15">
        <v>58847600.110000007</v>
      </c>
      <c r="P753" s="15">
        <v>0</v>
      </c>
      <c r="Q753" s="15">
        <v>0</v>
      </c>
      <c r="R753" s="15">
        <v>11475100</v>
      </c>
      <c r="S753" s="15">
        <v>0</v>
      </c>
      <c r="T753" s="15"/>
    </row>
    <row r="754" spans="1:20" x14ac:dyDescent="0.25">
      <c r="A754" s="15" t="s">
        <v>346</v>
      </c>
      <c r="B754" s="15" t="s">
        <v>526</v>
      </c>
      <c r="C754" s="15" t="s">
        <v>591</v>
      </c>
      <c r="D754" s="15" t="s">
        <v>529</v>
      </c>
      <c r="E754" s="15" t="str">
        <f t="shared" si="20"/>
        <v>DDM NOR Grocery+SPT Spb Nov Pskov</v>
      </c>
      <c r="F754" s="15" t="s">
        <v>544</v>
      </c>
      <c r="G754" s="15"/>
      <c r="H754" s="15" t="s">
        <v>351</v>
      </c>
      <c r="I754" s="15">
        <v>1</v>
      </c>
      <c r="J754" s="15">
        <v>1</v>
      </c>
      <c r="K754" s="15"/>
      <c r="L754" s="15">
        <v>386058892.07000017</v>
      </c>
      <c r="M754" s="15">
        <v>20589477.049999982</v>
      </c>
      <c r="N754" s="15">
        <v>0</v>
      </c>
      <c r="O754" s="15">
        <v>0</v>
      </c>
      <c r="P754" s="15">
        <v>0</v>
      </c>
      <c r="Q754" s="15">
        <v>0</v>
      </c>
      <c r="R754" s="15">
        <v>41486900</v>
      </c>
      <c r="S754" s="15">
        <v>0</v>
      </c>
      <c r="T754" s="15"/>
    </row>
    <row r="755" spans="1:20" x14ac:dyDescent="0.25">
      <c r="A755" s="15" t="s">
        <v>531</v>
      </c>
      <c r="B755" s="15" t="s">
        <v>526</v>
      </c>
      <c r="C755" s="15" t="s">
        <v>591</v>
      </c>
      <c r="D755" s="15" t="s">
        <v>527</v>
      </c>
      <c r="E755" s="15" t="str">
        <f t="shared" si="20"/>
        <v>ASM NOR Vector Dendi</v>
      </c>
      <c r="F755" s="15" t="s">
        <v>532</v>
      </c>
      <c r="G755" s="15"/>
      <c r="H755" s="15" t="s">
        <v>426</v>
      </c>
      <c r="I755" s="15"/>
      <c r="J755" s="15"/>
      <c r="K755" s="15"/>
      <c r="L755" s="15">
        <v>0</v>
      </c>
      <c r="M755" s="15">
        <v>0</v>
      </c>
      <c r="N755" s="15">
        <v>291668161.47000003</v>
      </c>
      <c r="O755" s="15">
        <v>2953223.4999999995</v>
      </c>
      <c r="P755" s="15">
        <v>0</v>
      </c>
      <c r="Q755" s="15">
        <v>0</v>
      </c>
      <c r="R755" s="15">
        <v>0</v>
      </c>
      <c r="S755" s="15">
        <v>0</v>
      </c>
      <c r="T755" s="15"/>
    </row>
    <row r="756" spans="1:20" x14ac:dyDescent="0.25">
      <c r="A756" s="15" t="s">
        <v>545</v>
      </c>
      <c r="B756" s="15" t="s">
        <v>526</v>
      </c>
      <c r="C756" s="15" t="s">
        <v>591</v>
      </c>
      <c r="D756" s="15" t="s">
        <v>527</v>
      </c>
      <c r="E756" s="15" t="str">
        <f t="shared" si="20"/>
        <v>ASM NOR Vector Dendi</v>
      </c>
      <c r="F756" s="15" t="s">
        <v>535</v>
      </c>
      <c r="G756" s="15"/>
      <c r="H756" s="15" t="s">
        <v>426</v>
      </c>
      <c r="I756" s="15"/>
      <c r="J756" s="15"/>
      <c r="K756" s="15" t="s">
        <v>377</v>
      </c>
      <c r="L756" s="15">
        <v>0</v>
      </c>
      <c r="M756" s="15">
        <v>372200.5</v>
      </c>
      <c r="N756" s="15">
        <v>57536.499999999993</v>
      </c>
      <c r="O756" s="15">
        <v>91160814.329999998</v>
      </c>
      <c r="P756" s="15">
        <v>0</v>
      </c>
      <c r="Q756" s="15">
        <v>0</v>
      </c>
      <c r="R756" s="15">
        <v>0</v>
      </c>
      <c r="S756" s="15">
        <v>0</v>
      </c>
      <c r="T756" s="15"/>
    </row>
    <row r="757" spans="1:20" x14ac:dyDescent="0.25">
      <c r="A757" s="15" t="s">
        <v>545</v>
      </c>
      <c r="B757" s="15" t="s">
        <v>526</v>
      </c>
      <c r="C757" s="15" t="s">
        <v>591</v>
      </c>
      <c r="D757" s="15" t="s">
        <v>529</v>
      </c>
      <c r="E757" s="15" t="str">
        <f t="shared" si="20"/>
        <v>DDM NOR Grocery+SPT Spb Nov Pskov</v>
      </c>
      <c r="F757" s="15" t="s">
        <v>540</v>
      </c>
      <c r="G757" s="15"/>
      <c r="H757" s="15" t="s">
        <v>351</v>
      </c>
      <c r="I757" s="15"/>
      <c r="J757" s="15"/>
      <c r="K757" s="15"/>
      <c r="L757" s="15">
        <v>0</v>
      </c>
      <c r="M757" s="15">
        <v>4078128.26</v>
      </c>
      <c r="N757" s="15">
        <v>17222382.179999996</v>
      </c>
      <c r="O757" s="15">
        <v>231481.23</v>
      </c>
      <c r="P757" s="15">
        <v>0</v>
      </c>
      <c r="Q757" s="15">
        <v>0</v>
      </c>
      <c r="R757" s="15">
        <v>0</v>
      </c>
      <c r="S757" s="15">
        <v>0</v>
      </c>
      <c r="T757" s="15"/>
    </row>
    <row r="758" spans="1:20" x14ac:dyDescent="0.25">
      <c r="A758" s="15" t="s">
        <v>417</v>
      </c>
      <c r="B758" s="15" t="s">
        <v>526</v>
      </c>
      <c r="C758" s="15" t="s">
        <v>591</v>
      </c>
      <c r="D758" s="15" t="s">
        <v>527</v>
      </c>
      <c r="E758" s="15" t="str">
        <f t="shared" si="20"/>
        <v>ASM NOR Vector Dendi</v>
      </c>
      <c r="F758" s="15" t="s">
        <v>528</v>
      </c>
      <c r="G758" s="15"/>
      <c r="H758" s="15" t="s">
        <v>429</v>
      </c>
      <c r="I758" s="15"/>
      <c r="J758" s="15"/>
      <c r="K758" s="15"/>
      <c r="L758" s="15">
        <v>0</v>
      </c>
      <c r="M758" s="15">
        <v>0</v>
      </c>
      <c r="N758" s="15">
        <v>0</v>
      </c>
      <c r="O758" s="15">
        <v>350170504.11000001</v>
      </c>
      <c r="P758" s="15">
        <v>0</v>
      </c>
      <c r="Q758" s="15">
        <v>0</v>
      </c>
      <c r="R758" s="15">
        <v>0</v>
      </c>
      <c r="S758" s="15">
        <v>0</v>
      </c>
      <c r="T758" s="15"/>
    </row>
    <row r="759" spans="1:20" ht="45" x14ac:dyDescent="0.25">
      <c r="A759" s="15" t="s">
        <v>550</v>
      </c>
      <c r="B759" s="15" t="s">
        <v>526</v>
      </c>
      <c r="C759" s="15" t="s">
        <v>591</v>
      </c>
      <c r="D759" s="15" t="s">
        <v>527</v>
      </c>
      <c r="E759" s="15" t="str">
        <f t="shared" si="20"/>
        <v>ASM NOR Vector Dendi</v>
      </c>
      <c r="F759" s="15" t="s">
        <v>528</v>
      </c>
      <c r="G759" s="15"/>
      <c r="H759" s="15" t="s">
        <v>429</v>
      </c>
      <c r="I759" s="15"/>
      <c r="J759" s="15"/>
      <c r="K759" s="15"/>
      <c r="L759" s="15">
        <v>0</v>
      </c>
      <c r="M759" s="15">
        <v>0</v>
      </c>
      <c r="N759" s="15">
        <v>0</v>
      </c>
      <c r="O759" s="15">
        <v>72525.900000000009</v>
      </c>
      <c r="P759" s="15">
        <v>0</v>
      </c>
      <c r="Q759" s="15">
        <v>0</v>
      </c>
      <c r="R759" s="15">
        <v>0</v>
      </c>
      <c r="S759" s="15">
        <v>0</v>
      </c>
      <c r="T759" s="15"/>
    </row>
    <row r="760" spans="1:20" x14ac:dyDescent="0.25">
      <c r="A760" s="15" t="s">
        <v>551</v>
      </c>
      <c r="B760" s="15" t="s">
        <v>526</v>
      </c>
      <c r="C760" s="15" t="s">
        <v>591</v>
      </c>
      <c r="D760" s="15" t="s">
        <v>527</v>
      </c>
      <c r="E760" s="15" t="str">
        <f t="shared" si="20"/>
        <v>ASM NOR Vector Dendi</v>
      </c>
      <c r="F760" s="15" t="s">
        <v>532</v>
      </c>
      <c r="G760" s="15"/>
      <c r="H760" s="15" t="s">
        <v>426</v>
      </c>
      <c r="I760" s="15"/>
      <c r="J760" s="15"/>
      <c r="K760" s="15"/>
      <c r="L760" s="15">
        <v>0</v>
      </c>
      <c r="M760" s="15">
        <v>0</v>
      </c>
      <c r="N760" s="15">
        <v>2267890.4699999997</v>
      </c>
      <c r="O760" s="15">
        <v>0</v>
      </c>
      <c r="P760" s="15">
        <v>0</v>
      </c>
      <c r="Q760" s="15">
        <v>0</v>
      </c>
      <c r="R760" s="15">
        <v>0</v>
      </c>
      <c r="S760" s="15">
        <v>0</v>
      </c>
      <c r="T760" s="15"/>
    </row>
    <row r="761" spans="1:20" x14ac:dyDescent="0.25">
      <c r="A761" s="15" t="s">
        <v>551</v>
      </c>
      <c r="B761" s="15" t="s">
        <v>526</v>
      </c>
      <c r="C761" s="15" t="s">
        <v>591</v>
      </c>
      <c r="D761" s="15" t="s">
        <v>527</v>
      </c>
      <c r="E761" s="15" t="str">
        <f t="shared" si="20"/>
        <v>ASM NOR Vector Dendi</v>
      </c>
      <c r="F761" s="15" t="s">
        <v>535</v>
      </c>
      <c r="G761" s="15"/>
      <c r="H761" s="15" t="s">
        <v>426</v>
      </c>
      <c r="I761" s="15"/>
      <c r="J761" s="15"/>
      <c r="K761" s="15"/>
      <c r="L761" s="15">
        <v>0</v>
      </c>
      <c r="M761" s="15">
        <v>1319912.03</v>
      </c>
      <c r="N761" s="15">
        <v>0</v>
      </c>
      <c r="O761" s="15">
        <v>26874644.050000004</v>
      </c>
      <c r="P761" s="15">
        <v>0</v>
      </c>
      <c r="Q761" s="15">
        <v>0</v>
      </c>
      <c r="R761" s="15">
        <v>0</v>
      </c>
      <c r="S761" s="15">
        <v>0</v>
      </c>
      <c r="T761" s="15"/>
    </row>
    <row r="762" spans="1:20" x14ac:dyDescent="0.25">
      <c r="A762" s="15" t="s">
        <v>525</v>
      </c>
      <c r="B762" s="15" t="s">
        <v>526</v>
      </c>
      <c r="C762" s="15" t="s">
        <v>591</v>
      </c>
      <c r="D762" s="15" t="s">
        <v>552</v>
      </c>
      <c r="E762" s="15" t="str">
        <f t="shared" si="20"/>
        <v>TDM NOR Action</v>
      </c>
      <c r="F762" s="15" t="s">
        <v>553</v>
      </c>
      <c r="G762" s="15"/>
      <c r="H762" s="15"/>
      <c r="I762" s="15"/>
      <c r="J762" s="15"/>
      <c r="K762" s="15" t="s">
        <v>377</v>
      </c>
      <c r="L762" s="15">
        <v>0</v>
      </c>
      <c r="M762" s="15">
        <v>0</v>
      </c>
      <c r="N762" s="15">
        <v>0</v>
      </c>
      <c r="O762" s="15">
        <v>0</v>
      </c>
      <c r="P762" s="15">
        <v>836729573.17709005</v>
      </c>
      <c r="Q762" s="15">
        <v>0</v>
      </c>
      <c r="R762" s="15">
        <v>473767979.99310005</v>
      </c>
      <c r="S762" s="15">
        <v>797692429.12999988</v>
      </c>
      <c r="T762" s="15"/>
    </row>
    <row r="763" spans="1:20" x14ac:dyDescent="0.25">
      <c r="A763" s="15" t="s">
        <v>534</v>
      </c>
      <c r="B763" s="15" t="s">
        <v>526</v>
      </c>
      <c r="C763" s="15" t="s">
        <v>591</v>
      </c>
      <c r="D763" s="15" t="s">
        <v>552</v>
      </c>
      <c r="E763" s="15" t="str">
        <f t="shared" si="20"/>
        <v>TDM NOR Action</v>
      </c>
      <c r="F763" s="15" t="s">
        <v>554</v>
      </c>
      <c r="G763" s="15"/>
      <c r="H763" s="15"/>
      <c r="I763" s="15"/>
      <c r="J763" s="15"/>
      <c r="K763" s="15" t="s">
        <v>377</v>
      </c>
      <c r="L763" s="15">
        <v>0</v>
      </c>
      <c r="M763" s="15">
        <v>0</v>
      </c>
      <c r="N763" s="15">
        <v>0</v>
      </c>
      <c r="O763" s="15">
        <v>0</v>
      </c>
      <c r="P763" s="15">
        <v>875989074.51481271</v>
      </c>
      <c r="Q763" s="15">
        <v>0</v>
      </c>
      <c r="R763" s="15">
        <v>464654798.07890016</v>
      </c>
      <c r="S763" s="15">
        <v>0</v>
      </c>
      <c r="T763" s="15"/>
    </row>
    <row r="764" spans="1:20" x14ac:dyDescent="0.25">
      <c r="A764" s="15" t="s">
        <v>533</v>
      </c>
      <c r="B764" s="15" t="s">
        <v>526</v>
      </c>
      <c r="C764" s="15" t="s">
        <v>591</v>
      </c>
      <c r="D764" s="15" t="s">
        <v>552</v>
      </c>
      <c r="E764" s="15" t="str">
        <f t="shared" si="20"/>
        <v>TDM NOR Action</v>
      </c>
      <c r="F764" s="15" t="s">
        <v>553</v>
      </c>
      <c r="G764" s="15"/>
      <c r="H764" s="15"/>
      <c r="I764" s="15"/>
      <c r="J764" s="15"/>
      <c r="K764" s="15" t="s">
        <v>377</v>
      </c>
      <c r="L764" s="15">
        <v>0</v>
      </c>
      <c r="M764" s="15">
        <v>0</v>
      </c>
      <c r="N764" s="15">
        <v>0</v>
      </c>
      <c r="O764" s="15">
        <v>0</v>
      </c>
      <c r="P764" s="15">
        <v>972681258.01652825</v>
      </c>
      <c r="Q764" s="15">
        <v>0</v>
      </c>
      <c r="R764" s="15">
        <v>0</v>
      </c>
      <c r="S764" s="15">
        <v>441584308.78997934</v>
      </c>
      <c r="T764" s="15"/>
    </row>
    <row r="765" spans="1:20" x14ac:dyDescent="0.25">
      <c r="A765" s="15" t="s">
        <v>542</v>
      </c>
      <c r="B765" s="15" t="s">
        <v>526</v>
      </c>
      <c r="C765" s="15" t="s">
        <v>591</v>
      </c>
      <c r="D765" s="15" t="s">
        <v>552</v>
      </c>
      <c r="E765" s="15" t="str">
        <f t="shared" si="20"/>
        <v>TDM NOR Action</v>
      </c>
      <c r="F765" s="15" t="s">
        <v>555</v>
      </c>
      <c r="G765" s="15"/>
      <c r="H765" s="15"/>
      <c r="I765" s="15"/>
      <c r="J765" s="15"/>
      <c r="K765" s="15" t="s">
        <v>377</v>
      </c>
      <c r="L765" s="15">
        <v>0</v>
      </c>
      <c r="M765" s="15">
        <v>0</v>
      </c>
      <c r="N765" s="15">
        <v>0</v>
      </c>
      <c r="O765" s="15">
        <v>0</v>
      </c>
      <c r="P765" s="15">
        <v>411849664.02079684</v>
      </c>
      <c r="Q765" s="15">
        <v>0</v>
      </c>
      <c r="R765" s="15">
        <v>201456929.39970002</v>
      </c>
      <c r="S765" s="15">
        <v>0</v>
      </c>
      <c r="T765" s="15"/>
    </row>
    <row r="766" spans="1:20" x14ac:dyDescent="0.25">
      <c r="A766" s="15" t="s">
        <v>543</v>
      </c>
      <c r="B766" s="15" t="s">
        <v>526</v>
      </c>
      <c r="C766" s="15" t="s">
        <v>591</v>
      </c>
      <c r="D766" s="15" t="s">
        <v>556</v>
      </c>
      <c r="E766" s="15" t="str">
        <f t="shared" si="20"/>
        <v>TDM NOR Grocery</v>
      </c>
      <c r="F766" s="15" t="s">
        <v>557</v>
      </c>
      <c r="G766" s="15"/>
      <c r="H766" s="15"/>
      <c r="I766" s="15"/>
      <c r="J766" s="15"/>
      <c r="K766" s="15" t="s">
        <v>377</v>
      </c>
      <c r="L766" s="15">
        <v>0</v>
      </c>
      <c r="M766" s="15">
        <v>0</v>
      </c>
      <c r="N766" s="15">
        <v>0</v>
      </c>
      <c r="O766" s="15">
        <v>0</v>
      </c>
      <c r="P766" s="15">
        <v>888852025.48993647</v>
      </c>
      <c r="Q766" s="15">
        <v>0</v>
      </c>
      <c r="R766" s="15">
        <v>543043386.05659974</v>
      </c>
      <c r="S766" s="15">
        <v>6981487904.4999857</v>
      </c>
      <c r="T766" s="15"/>
    </row>
    <row r="767" spans="1:20" x14ac:dyDescent="0.25">
      <c r="A767" s="15" t="s">
        <v>543</v>
      </c>
      <c r="B767" s="15" t="s">
        <v>526</v>
      </c>
      <c r="C767" s="15" t="s">
        <v>591</v>
      </c>
      <c r="D767" s="15" t="s">
        <v>556</v>
      </c>
      <c r="E767" s="15" t="str">
        <f t="shared" si="20"/>
        <v>TDM NOR Grocery</v>
      </c>
      <c r="F767" s="15" t="s">
        <v>558</v>
      </c>
      <c r="G767" s="15"/>
      <c r="H767" s="15"/>
      <c r="I767" s="15"/>
      <c r="J767" s="15"/>
      <c r="K767" s="15" t="s">
        <v>377</v>
      </c>
      <c r="L767" s="15">
        <v>0</v>
      </c>
      <c r="M767" s="15">
        <v>0</v>
      </c>
      <c r="N767" s="15">
        <v>0</v>
      </c>
      <c r="O767" s="15">
        <v>0</v>
      </c>
      <c r="P767" s="15">
        <v>667890310.36386871</v>
      </c>
      <c r="Q767" s="15">
        <v>1006884.1399999999</v>
      </c>
      <c r="R767" s="15">
        <v>567872517.65789998</v>
      </c>
      <c r="S767" s="15">
        <v>1812890091.9499843</v>
      </c>
      <c r="T767" s="15"/>
    </row>
    <row r="768" spans="1:20" x14ac:dyDescent="0.25">
      <c r="A768" s="15" t="s">
        <v>547</v>
      </c>
      <c r="B768" s="15" t="s">
        <v>526</v>
      </c>
      <c r="C768" s="15" t="s">
        <v>591</v>
      </c>
      <c r="D768" s="15" t="s">
        <v>552</v>
      </c>
      <c r="E768" s="15" t="str">
        <f t="shared" si="20"/>
        <v>TDM NOR Action</v>
      </c>
      <c r="F768" s="15" t="s">
        <v>553</v>
      </c>
      <c r="G768" s="15"/>
      <c r="H768" s="15"/>
      <c r="I768" s="15"/>
      <c r="J768" s="15"/>
      <c r="K768" s="15" t="s">
        <v>377</v>
      </c>
      <c r="L768" s="15">
        <v>0</v>
      </c>
      <c r="M768" s="15">
        <v>0</v>
      </c>
      <c r="N768" s="15">
        <v>0</v>
      </c>
      <c r="O768" s="15">
        <v>0</v>
      </c>
      <c r="P768" s="15">
        <v>689776942.79219866</v>
      </c>
      <c r="Q768" s="15">
        <v>0</v>
      </c>
      <c r="R768" s="15">
        <v>534932683.48779994</v>
      </c>
      <c r="S768" s="15">
        <v>0</v>
      </c>
      <c r="T768" s="15"/>
    </row>
    <row r="769" spans="1:20" x14ac:dyDescent="0.25">
      <c r="A769" s="15" t="s">
        <v>547</v>
      </c>
      <c r="B769" s="15" t="s">
        <v>526</v>
      </c>
      <c r="C769" s="15" t="s">
        <v>591</v>
      </c>
      <c r="D769" s="15" t="s">
        <v>556</v>
      </c>
      <c r="E769" s="15" t="str">
        <f t="shared" si="20"/>
        <v>TDM NOR Grocery</v>
      </c>
      <c r="F769" s="15" t="s">
        <v>557</v>
      </c>
      <c r="G769" s="15"/>
      <c r="H769" s="15"/>
      <c r="I769" s="15"/>
      <c r="J769" s="15"/>
      <c r="K769" s="15" t="s">
        <v>377</v>
      </c>
      <c r="L769" s="15">
        <v>0</v>
      </c>
      <c r="M769" s="15">
        <v>0</v>
      </c>
      <c r="N769" s="15">
        <v>0</v>
      </c>
      <c r="O769" s="15">
        <v>0</v>
      </c>
      <c r="P769" s="15">
        <v>0</v>
      </c>
      <c r="Q769" s="15">
        <v>0</v>
      </c>
      <c r="R769" s="15">
        <v>1785014.0099999998</v>
      </c>
      <c r="S769" s="15">
        <v>0</v>
      </c>
      <c r="T769" s="15"/>
    </row>
    <row r="770" spans="1:20" x14ac:dyDescent="0.25">
      <c r="A770" s="15" t="s">
        <v>549</v>
      </c>
      <c r="B770" s="15" t="s">
        <v>526</v>
      </c>
      <c r="C770" s="15" t="s">
        <v>591</v>
      </c>
      <c r="D770" s="15" t="s">
        <v>556</v>
      </c>
      <c r="E770" s="15" t="str">
        <f t="shared" si="20"/>
        <v>TDM NOR Grocery</v>
      </c>
      <c r="F770" s="15" t="s">
        <v>558</v>
      </c>
      <c r="G770" s="15"/>
      <c r="H770" s="15"/>
      <c r="I770" s="15"/>
      <c r="J770" s="15"/>
      <c r="K770" s="15" t="s">
        <v>377</v>
      </c>
      <c r="L770" s="15">
        <v>0</v>
      </c>
      <c r="M770" s="15">
        <v>0</v>
      </c>
      <c r="N770" s="15">
        <v>0</v>
      </c>
      <c r="O770" s="15">
        <v>0</v>
      </c>
      <c r="P770" s="15">
        <v>802225334.26869702</v>
      </c>
      <c r="Q770" s="15">
        <v>0</v>
      </c>
      <c r="R770" s="15">
        <v>607576306.9467001</v>
      </c>
      <c r="S770" s="15">
        <v>0</v>
      </c>
      <c r="T770" s="15"/>
    </row>
    <row r="771" spans="1:20" x14ac:dyDescent="0.25">
      <c r="A771" s="15" t="s">
        <v>546</v>
      </c>
      <c r="B771" s="15" t="s">
        <v>526</v>
      </c>
      <c r="C771" s="15" t="s">
        <v>591</v>
      </c>
      <c r="D771" s="15" t="s">
        <v>556</v>
      </c>
      <c r="E771" s="15" t="str">
        <f t="shared" si="20"/>
        <v>TDM NOR Grocery</v>
      </c>
      <c r="F771" s="15" t="s">
        <v>558</v>
      </c>
      <c r="G771" s="15"/>
      <c r="H771" s="15"/>
      <c r="I771" s="15"/>
      <c r="J771" s="15"/>
      <c r="K771" s="15" t="s">
        <v>377</v>
      </c>
      <c r="L771" s="15">
        <v>0</v>
      </c>
      <c r="M771" s="15">
        <v>0</v>
      </c>
      <c r="N771" s="15">
        <v>0</v>
      </c>
      <c r="O771" s="15">
        <v>0</v>
      </c>
      <c r="P771" s="15">
        <v>797723901.73658943</v>
      </c>
      <c r="Q771" s="15">
        <v>0</v>
      </c>
      <c r="R771" s="15">
        <v>489575548.97810006</v>
      </c>
      <c r="S771" s="15">
        <v>0</v>
      </c>
      <c r="T771" s="15"/>
    </row>
    <row r="772" spans="1:20" x14ac:dyDescent="0.25">
      <c r="A772" s="15" t="s">
        <v>539</v>
      </c>
      <c r="B772" s="15" t="s">
        <v>526</v>
      </c>
      <c r="C772" s="15" t="s">
        <v>591</v>
      </c>
      <c r="D772" s="15" t="s">
        <v>552</v>
      </c>
      <c r="E772" s="15" t="str">
        <f t="shared" si="20"/>
        <v>TDM NOR Action</v>
      </c>
      <c r="F772" s="15" t="s">
        <v>554</v>
      </c>
      <c r="G772" s="15"/>
      <c r="H772" s="15"/>
      <c r="I772" s="15"/>
      <c r="J772" s="15"/>
      <c r="K772" s="15" t="s">
        <v>377</v>
      </c>
      <c r="L772" s="15">
        <v>0</v>
      </c>
      <c r="M772" s="15">
        <v>0</v>
      </c>
      <c r="N772" s="15">
        <v>0</v>
      </c>
      <c r="O772" s="15">
        <v>0</v>
      </c>
      <c r="P772" s="15">
        <v>655412059.29759574</v>
      </c>
      <c r="Q772" s="15">
        <v>0</v>
      </c>
      <c r="R772" s="15">
        <v>371177128.75099981</v>
      </c>
      <c r="S772" s="15">
        <v>0</v>
      </c>
      <c r="T772" s="15"/>
    </row>
    <row r="773" spans="1:20" x14ac:dyDescent="0.25">
      <c r="A773" s="15" t="s">
        <v>541</v>
      </c>
      <c r="B773" s="15" t="s">
        <v>526</v>
      </c>
      <c r="C773" s="15" t="s">
        <v>591</v>
      </c>
      <c r="D773" s="15" t="s">
        <v>552</v>
      </c>
      <c r="E773" s="15" t="str">
        <f t="shared" si="20"/>
        <v>TDM NOR Action</v>
      </c>
      <c r="F773" s="15" t="s">
        <v>554</v>
      </c>
      <c r="G773" s="15"/>
      <c r="H773" s="15"/>
      <c r="I773" s="15"/>
      <c r="J773" s="15"/>
      <c r="K773" s="15" t="s">
        <v>377</v>
      </c>
      <c r="L773" s="15">
        <v>0</v>
      </c>
      <c r="M773" s="15">
        <v>0</v>
      </c>
      <c r="N773" s="15">
        <v>0</v>
      </c>
      <c r="O773" s="15">
        <v>0</v>
      </c>
      <c r="P773" s="15">
        <v>658081627.3988291</v>
      </c>
      <c r="Q773" s="15">
        <v>0</v>
      </c>
      <c r="R773" s="15">
        <v>340990386.10000014</v>
      </c>
      <c r="S773" s="15">
        <v>0</v>
      </c>
      <c r="T773" s="15"/>
    </row>
    <row r="774" spans="1:20" x14ac:dyDescent="0.25">
      <c r="A774" s="15" t="s">
        <v>346</v>
      </c>
      <c r="B774" s="15" t="s">
        <v>526</v>
      </c>
      <c r="C774" s="15" t="s">
        <v>591</v>
      </c>
      <c r="D774" s="15" t="s">
        <v>556</v>
      </c>
      <c r="E774" s="15" t="str">
        <f t="shared" si="20"/>
        <v>TDM NOR Grocery</v>
      </c>
      <c r="F774" s="15" t="s">
        <v>557</v>
      </c>
      <c r="G774" s="15"/>
      <c r="H774" s="15"/>
      <c r="I774" s="15"/>
      <c r="J774" s="15"/>
      <c r="K774" s="15" t="s">
        <v>377</v>
      </c>
      <c r="L774" s="15">
        <v>0</v>
      </c>
      <c r="M774" s="15">
        <v>0</v>
      </c>
      <c r="N774" s="15">
        <v>0</v>
      </c>
      <c r="O774" s="15">
        <v>0</v>
      </c>
      <c r="P774" s="15">
        <v>1348240045.9498818</v>
      </c>
      <c r="Q774" s="15">
        <v>0</v>
      </c>
      <c r="R774" s="15">
        <v>1256610687.3800988</v>
      </c>
      <c r="S774" s="15">
        <v>0</v>
      </c>
      <c r="T774" s="15"/>
    </row>
    <row r="775" spans="1:20" x14ac:dyDescent="0.25">
      <c r="A775" s="15" t="s">
        <v>531</v>
      </c>
      <c r="B775" s="15" t="s">
        <v>526</v>
      </c>
      <c r="C775" s="15" t="s">
        <v>591</v>
      </c>
      <c r="D775" s="15" t="s">
        <v>552</v>
      </c>
      <c r="E775" s="15" t="str">
        <f t="shared" si="20"/>
        <v>TDM NOR Action</v>
      </c>
      <c r="F775" s="15" t="s">
        <v>559</v>
      </c>
      <c r="G775" s="15"/>
      <c r="H775" s="15"/>
      <c r="I775" s="15"/>
      <c r="J775" s="15"/>
      <c r="K775" s="15" t="s">
        <v>377</v>
      </c>
      <c r="L775" s="15">
        <v>0</v>
      </c>
      <c r="M775" s="15">
        <v>0</v>
      </c>
      <c r="N775" s="15">
        <v>0</v>
      </c>
      <c r="O775" s="15">
        <v>0</v>
      </c>
      <c r="P775" s="15">
        <v>1052771590.1537045</v>
      </c>
      <c r="Q775" s="15">
        <v>0</v>
      </c>
      <c r="R775" s="15">
        <v>638591919.81389999</v>
      </c>
      <c r="S775" s="15">
        <v>0</v>
      </c>
      <c r="T775" s="15"/>
    </row>
    <row r="776" spans="1:20" x14ac:dyDescent="0.25">
      <c r="A776" s="15" t="s">
        <v>545</v>
      </c>
      <c r="B776" s="15" t="s">
        <v>526</v>
      </c>
      <c r="C776" s="15" t="s">
        <v>591</v>
      </c>
      <c r="D776" s="15" t="s">
        <v>552</v>
      </c>
      <c r="E776" s="15" t="str">
        <f t="shared" si="20"/>
        <v>TDM NOR Action</v>
      </c>
      <c r="F776" s="15" t="s">
        <v>559</v>
      </c>
      <c r="G776" s="15"/>
      <c r="H776" s="15"/>
      <c r="I776" s="15"/>
      <c r="J776" s="15"/>
      <c r="K776" s="15" t="s">
        <v>377</v>
      </c>
      <c r="L776" s="15">
        <v>0</v>
      </c>
      <c r="M776" s="15">
        <v>0</v>
      </c>
      <c r="N776" s="15">
        <v>0</v>
      </c>
      <c r="O776" s="15">
        <v>0</v>
      </c>
      <c r="P776" s="15">
        <v>1510694794.0663226</v>
      </c>
      <c r="Q776" s="15">
        <v>0</v>
      </c>
      <c r="R776" s="15">
        <v>970857482.53520048</v>
      </c>
      <c r="S776" s="15">
        <v>0</v>
      </c>
      <c r="T776" s="15"/>
    </row>
    <row r="777" spans="1:20" x14ac:dyDescent="0.25">
      <c r="A777" s="15" t="s">
        <v>551</v>
      </c>
      <c r="B777" s="15" t="s">
        <v>526</v>
      </c>
      <c r="C777" s="15" t="s">
        <v>591</v>
      </c>
      <c r="D777" s="15" t="s">
        <v>552</v>
      </c>
      <c r="E777" s="15" t="str">
        <f t="shared" si="20"/>
        <v>TDM NOR Action</v>
      </c>
      <c r="F777" s="15" t="s">
        <v>555</v>
      </c>
      <c r="G777" s="15"/>
      <c r="H777" s="15"/>
      <c r="I777" s="15"/>
      <c r="J777" s="15"/>
      <c r="K777" s="15" t="s">
        <v>377</v>
      </c>
      <c r="L777" s="15">
        <v>0</v>
      </c>
      <c r="M777" s="15">
        <v>0</v>
      </c>
      <c r="N777" s="15">
        <v>0</v>
      </c>
      <c r="O777" s="15">
        <v>0</v>
      </c>
      <c r="P777" s="15">
        <v>1516920046.1571732</v>
      </c>
      <c r="Q777" s="15">
        <v>27130505.840957616</v>
      </c>
      <c r="R777" s="15">
        <v>1097746765.7857997</v>
      </c>
      <c r="S777" s="15">
        <v>0</v>
      </c>
      <c r="T777" s="15"/>
    </row>
    <row r="778" spans="1:20" x14ac:dyDescent="0.25">
      <c r="A778" s="15" t="s">
        <v>543</v>
      </c>
      <c r="B778" s="15" t="s">
        <v>526</v>
      </c>
      <c r="C778" s="15" t="s">
        <v>591</v>
      </c>
      <c r="D778" s="15" t="s">
        <v>556</v>
      </c>
      <c r="E778" s="15" t="str">
        <f t="shared" si="20"/>
        <v>TDM NOR Grocery</v>
      </c>
      <c r="F778" s="15" t="s">
        <v>560</v>
      </c>
      <c r="G778" s="15"/>
      <c r="H778" s="15"/>
      <c r="I778" s="15"/>
      <c r="J778" s="15"/>
      <c r="K778" s="15" t="s">
        <v>377</v>
      </c>
      <c r="L778" s="15">
        <v>0</v>
      </c>
      <c r="M778" s="15">
        <v>0</v>
      </c>
      <c r="N778" s="15">
        <v>0</v>
      </c>
      <c r="O778" s="15">
        <v>0</v>
      </c>
      <c r="P778" s="15">
        <v>1047083677.2343158</v>
      </c>
      <c r="Q778" s="15">
        <v>0</v>
      </c>
      <c r="R778" s="15">
        <v>561781057.31280017</v>
      </c>
      <c r="S778" s="15">
        <v>7861104101.8997154</v>
      </c>
      <c r="T778" s="15"/>
    </row>
    <row r="779" spans="1:20" x14ac:dyDescent="0.25">
      <c r="A779" s="15" t="s">
        <v>346</v>
      </c>
      <c r="B779" s="15" t="s">
        <v>526</v>
      </c>
      <c r="C779" s="15" t="s">
        <v>591</v>
      </c>
      <c r="D779" s="15" t="s">
        <v>556</v>
      </c>
      <c r="E779" s="15" t="str">
        <f t="shared" si="20"/>
        <v>TDM NOR Grocery</v>
      </c>
      <c r="F779" s="15" t="s">
        <v>560</v>
      </c>
      <c r="G779" s="15"/>
      <c r="H779" s="15"/>
      <c r="I779" s="15"/>
      <c r="J779" s="15"/>
      <c r="K779" s="15" t="s">
        <v>377</v>
      </c>
      <c r="L779" s="15">
        <v>0</v>
      </c>
      <c r="M779" s="15">
        <v>0</v>
      </c>
      <c r="N779" s="15">
        <v>0</v>
      </c>
      <c r="O779" s="15">
        <v>0</v>
      </c>
      <c r="P779" s="15">
        <v>1198289819.5309277</v>
      </c>
      <c r="Q779" s="15">
        <v>0</v>
      </c>
      <c r="R779" s="15">
        <v>705518663.33519995</v>
      </c>
      <c r="S779" s="15">
        <v>0</v>
      </c>
      <c r="T779" s="15"/>
    </row>
    <row r="780" spans="1:20" x14ac:dyDescent="0.25">
      <c r="A780" s="15" t="s">
        <v>545</v>
      </c>
      <c r="B780" s="15" t="s">
        <v>526</v>
      </c>
      <c r="C780" s="15" t="s">
        <v>591</v>
      </c>
      <c r="D780" s="15" t="s">
        <v>552</v>
      </c>
      <c r="E780" s="15" t="str">
        <f t="shared" si="20"/>
        <v>TDM NOR Action</v>
      </c>
      <c r="F780" s="15" t="s">
        <v>555</v>
      </c>
      <c r="G780" s="15"/>
      <c r="H780" s="15"/>
      <c r="I780" s="15"/>
      <c r="J780" s="15"/>
      <c r="K780" s="15" t="s">
        <v>377</v>
      </c>
      <c r="L780" s="15">
        <v>0</v>
      </c>
      <c r="M780" s="15">
        <v>0</v>
      </c>
      <c r="N780" s="15">
        <v>0</v>
      </c>
      <c r="O780" s="15">
        <v>0</v>
      </c>
      <c r="P780" s="15">
        <v>38543446.49000001</v>
      </c>
      <c r="Q780" s="15">
        <v>0</v>
      </c>
      <c r="R780" s="15">
        <v>0</v>
      </c>
      <c r="S780" s="15">
        <v>0</v>
      </c>
      <c r="T780" s="15"/>
    </row>
    <row r="781" spans="1:20" x14ac:dyDescent="0.25">
      <c r="A781" s="15" t="s">
        <v>346</v>
      </c>
      <c r="B781" s="15" t="s">
        <v>526</v>
      </c>
      <c r="C781" s="15" t="s">
        <v>591</v>
      </c>
      <c r="D781" s="15" t="s">
        <v>556</v>
      </c>
      <c r="E781" s="15" t="str">
        <f t="shared" si="20"/>
        <v>TDM NOR Grocery</v>
      </c>
      <c r="F781" s="15" t="s">
        <v>558</v>
      </c>
      <c r="G781" s="15"/>
      <c r="H781" s="15"/>
      <c r="I781" s="15"/>
      <c r="J781" s="15"/>
      <c r="K781" s="15" t="s">
        <v>377</v>
      </c>
      <c r="L781" s="15">
        <v>0</v>
      </c>
      <c r="M781" s="15">
        <v>0</v>
      </c>
      <c r="N781" s="15">
        <v>0</v>
      </c>
      <c r="O781" s="15">
        <v>0</v>
      </c>
      <c r="P781" s="15">
        <v>1069481198.1399873</v>
      </c>
      <c r="Q781" s="15">
        <v>2013768.2799999998</v>
      </c>
      <c r="R781" s="15">
        <v>886176641.00030017</v>
      </c>
      <c r="S781" s="15">
        <v>0</v>
      </c>
      <c r="T781" s="15"/>
    </row>
    <row r="782" spans="1:20" x14ac:dyDescent="0.25">
      <c r="A782" s="15" t="s">
        <v>533</v>
      </c>
      <c r="B782" s="15" t="s">
        <v>526</v>
      </c>
      <c r="C782" s="15" t="s">
        <v>591</v>
      </c>
      <c r="D782" s="15" t="s">
        <v>552</v>
      </c>
      <c r="E782" s="15" t="str">
        <f t="shared" si="20"/>
        <v>TDM NOR Action</v>
      </c>
      <c r="F782" s="15" t="s">
        <v>559</v>
      </c>
      <c r="G782" s="15"/>
      <c r="H782" s="15"/>
      <c r="I782" s="15"/>
      <c r="J782" s="15"/>
      <c r="K782" s="15"/>
      <c r="L782" s="15">
        <v>0</v>
      </c>
      <c r="M782" s="15">
        <v>0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0</v>
      </c>
      <c r="T782" s="15"/>
    </row>
    <row r="783" spans="1:20" x14ac:dyDescent="0.25">
      <c r="A783" s="15" t="s">
        <v>534</v>
      </c>
      <c r="B783" s="15" t="s">
        <v>526</v>
      </c>
      <c r="C783" s="15" t="s">
        <v>591</v>
      </c>
      <c r="D783" s="15" t="s">
        <v>527</v>
      </c>
      <c r="E783" s="15" t="str">
        <f t="shared" si="20"/>
        <v>ASM NOR Vector Dendi</v>
      </c>
      <c r="F783" s="15" t="s">
        <v>528</v>
      </c>
      <c r="G783" s="15"/>
      <c r="H783" s="15"/>
      <c r="I783" s="15"/>
      <c r="J783" s="15"/>
      <c r="K783" s="15"/>
      <c r="L783" s="15">
        <v>16316055.810000001</v>
      </c>
      <c r="M783" s="15">
        <v>0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/>
    </row>
    <row r="784" spans="1:20" x14ac:dyDescent="0.25">
      <c r="A784" s="15" t="s">
        <v>551</v>
      </c>
      <c r="B784" s="15" t="s">
        <v>526</v>
      </c>
      <c r="C784" s="15" t="s">
        <v>591</v>
      </c>
      <c r="D784" s="15" t="s">
        <v>527</v>
      </c>
      <c r="E784" s="15" t="str">
        <f t="shared" si="20"/>
        <v>ASM NOR Vector Dendi</v>
      </c>
      <c r="F784" s="15" t="s">
        <v>528</v>
      </c>
      <c r="G784" s="15"/>
      <c r="H784" s="15"/>
      <c r="I784" s="15"/>
      <c r="J784" s="15"/>
      <c r="K784" s="15"/>
      <c r="L784" s="15">
        <v>27312790.859999999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/>
    </row>
    <row r="785" spans="1:20" x14ac:dyDescent="0.25">
      <c r="A785" s="15" t="s">
        <v>547</v>
      </c>
      <c r="B785" s="15" t="s">
        <v>526</v>
      </c>
      <c r="C785" s="15" t="s">
        <v>591</v>
      </c>
      <c r="D785" s="15" t="s">
        <v>529</v>
      </c>
      <c r="E785" s="15" t="str">
        <f t="shared" si="20"/>
        <v>DDM NOR Grocery+SPT Spb Nov Pskov</v>
      </c>
      <c r="F785" s="15" t="s">
        <v>544</v>
      </c>
      <c r="G785" s="15"/>
      <c r="H785" s="15" t="s">
        <v>351</v>
      </c>
      <c r="I785" s="15"/>
      <c r="J785" s="15"/>
      <c r="K785" s="15"/>
      <c r="L785" s="15">
        <v>0</v>
      </c>
      <c r="M785" s="15">
        <v>1456400.8099999996</v>
      </c>
      <c r="N785" s="15">
        <v>0</v>
      </c>
      <c r="O785" s="15">
        <v>0</v>
      </c>
      <c r="P785" s="15">
        <v>0</v>
      </c>
      <c r="Q785" s="15">
        <v>0</v>
      </c>
      <c r="R785" s="15">
        <v>0</v>
      </c>
      <c r="S785" s="15">
        <v>0</v>
      </c>
      <c r="T785" s="15"/>
    </row>
    <row r="786" spans="1:20" x14ac:dyDescent="0.25">
      <c r="A786" s="15" t="s">
        <v>533</v>
      </c>
      <c r="B786" s="15" t="s">
        <v>526</v>
      </c>
      <c r="C786" s="15" t="s">
        <v>591</v>
      </c>
      <c r="D786" s="15" t="s">
        <v>552</v>
      </c>
      <c r="E786" s="15" t="str">
        <f t="shared" si="20"/>
        <v>TDM NOR Action</v>
      </c>
      <c r="F786" s="15" t="s">
        <v>555</v>
      </c>
      <c r="G786" s="15"/>
      <c r="H786" s="15"/>
      <c r="I786" s="15"/>
      <c r="J786" s="15"/>
      <c r="K786" s="15" t="s">
        <v>377</v>
      </c>
      <c r="L786" s="15">
        <v>0</v>
      </c>
      <c r="M786" s="15">
        <v>0</v>
      </c>
      <c r="N786" s="15">
        <v>0</v>
      </c>
      <c r="O786" s="15">
        <v>0</v>
      </c>
      <c r="P786" s="15">
        <v>0</v>
      </c>
      <c r="Q786" s="15">
        <v>0</v>
      </c>
      <c r="R786" s="15">
        <v>668377808.25270033</v>
      </c>
      <c r="S786" s="15">
        <v>0</v>
      </c>
      <c r="T786" s="15"/>
    </row>
  </sheetData>
  <autoFilter ref="A1:T786" xr:uid="{9CE123FB-CEA7-44A7-9963-9B13BC48808D}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Belarus</vt:lpstr>
      <vt:lpstr>Распределение TSL</vt:lpstr>
      <vt:lpstr>Moscow</vt:lpstr>
      <vt:lpstr>Far East</vt:lpstr>
      <vt:lpstr>North</vt:lpstr>
      <vt:lpstr>Center</vt:lpstr>
      <vt:lpstr>South</vt:lpstr>
      <vt:lpstr>PIVOT</vt:lpstr>
      <vt:lpstr>Siberia</vt:lpstr>
      <vt:lpstr>by HSR</vt:lpstr>
      <vt:lpstr>by Mngrs</vt:lpstr>
      <vt:lpstr>by Territory</vt:lpstr>
      <vt:lpstr>EAST</vt:lpstr>
      <vt:lpstr>Scenarios</vt:lpstr>
      <vt:lpstr>Sheet5</vt:lpstr>
      <vt:lpstr>PIVOT NEW NORTH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Gorbunov, Mikhail</dc:creator>
  <cp:keywords/>
  <dc:description/>
  <cp:lastModifiedBy>nikitakuvsh .</cp:lastModifiedBy>
  <cp:revision/>
  <dcterms:created xsi:type="dcterms:W3CDTF">2026-01-28T07:01:53Z</dcterms:created>
  <dcterms:modified xsi:type="dcterms:W3CDTF">2026-07-08T12:25:33Z</dcterms:modified>
  <cp:category/>
  <cp:contentStatus/>
</cp:coreProperties>
</file>