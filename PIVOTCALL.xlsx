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mydrive.effem.com/personal/mikhail_gorbunov_effem_com/Documents/Desktop/SPM/Org structure/Модель покрытия/"/>
    </mc:Choice>
  </mc:AlternateContent>
  <xr:revisionPtr revIDLastSave="0" documentId="8_{7CA78754-79F3-470F-B3F5-5F97F3A06D5B}" xr6:coauthVersionLast="47" xr6:coauthVersionMax="47" xr10:uidLastSave="{00000000-0000-0000-0000-000000000000}"/>
  <bookViews>
    <workbookView xWindow="-108" yWindow="-108" windowWidth="23256" windowHeight="13896" tabRatio="836" firstSheet="11" activeTab="11" xr2:uid="{557A26C6-F21E-4F13-8F97-2AB80881C4B7}"/>
  </bookViews>
  <sheets>
    <sheet name="Распределение TSL" sheetId="16" r:id="rId1"/>
    <sheet name="Belarus" sheetId="5" r:id="rId2"/>
    <sheet name="Moscow" sheetId="19" r:id="rId3"/>
    <sheet name="Center" sheetId="6" r:id="rId4"/>
    <sheet name="Far East" sheetId="7" r:id="rId5"/>
    <sheet name="Siberia" sheetId="2" r:id="rId6"/>
    <sheet name="South" sheetId="4" r:id="rId7"/>
    <sheet name="North" sheetId="18" r:id="rId8"/>
    <sheet name="PIVOT" sheetId="20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3" hidden="1">Center!$A$3:$AN$268</definedName>
    <definedName name="_xlnm._FilterDatabase" localSheetId="4" hidden="1">'Far East'!$A$3:$AN$268</definedName>
    <definedName name="_xlnm._FilterDatabase" localSheetId="2" hidden="1">Moscow!$A$3:$AP$268</definedName>
    <definedName name="_xlnm._FilterDatabase" localSheetId="7" hidden="1">North!$A$3:$AQ$67</definedName>
    <definedName name="_xlnm._FilterDatabase" localSheetId="8" hidden="1">PIVOT!$A$1:$Q$786</definedName>
    <definedName name="_xlnm._FilterDatabase" localSheetId="15" hidden="1">'PIVOT NEW NORTH'!$A$1:$T$786</definedName>
    <definedName name="_xlnm._FilterDatabase" localSheetId="5" hidden="1">Siberia!$A$3:$AM$116</definedName>
    <definedName name="_xlnm._FilterDatabase" localSheetId="6" hidden="1">South!$A$3:$AM$268</definedName>
    <definedName name="_xlnm._FilterDatabase" localSheetId="0" hidden="1">'Распределение TSL'!$A$1:$I$101</definedName>
  </definedNames>
  <calcPr calcId="191028"/>
  <pivotCaches>
    <pivotCache cacheId="914" r:id="rId17"/>
    <pivotCache cacheId="91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26" l="1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T6" authorId="2" shapeId="0" xr:uid="{484B4642-931F-40F6-87C7-D0675070DDA4}">
      <text>
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</text>
    </comment>
    <comment ref="F9" authorId="3" shapeId="0" xr:uid="{B8F358E9-A63A-421D-9A52-DE023FF8C1B0}">
      <text>
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</text>
    </comment>
    <comment ref="AM11" authorId="4" shapeId="0" xr:uid="{AC692992-E353-4984-BB83-5A412B30551D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</text>
    </comment>
    <comment ref="AM12" authorId="5" shapeId="0" xr:uid="{3792FD63-CAD2-4CDC-917E-A510F8FC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</text>
    </comment>
    <comment ref="AM15" authorId="6" shapeId="0" xr:uid="{DBB3B802-A00F-4F00-A838-36FD4AB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</text>
    </comment>
    <comment ref="AM20" authorId="7" shapeId="0" xr:uid="{CEBF160E-C819-4A33-AECD-12782A67F17F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</text>
    </comment>
    <comment ref="U21" authorId="8" shapeId="0" xr:uid="{FBBE4828-CA74-448E-AADC-64C65C4B7A7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</text>
    </comment>
    <comment ref="S27" authorId="9" shapeId="0" xr:uid="{3CB35B47-ACF8-41CE-AB1E-54DFD6CCE72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G27" authorId="10" shapeId="0" xr:uid="{3B6D2FFF-E8EB-4846-A583-D6049BBAE7B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H27" authorId="11" shapeId="0" xr:uid="{E3D5585C-7686-48DD-9861-6E3E4187333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W29" authorId="12" shapeId="0" xr:uid="{BAED7A08-20B2-4DAE-9296-AF7D6361D86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Лион</t>
      </text>
    </comment>
    <comment ref="X31" authorId="13" shapeId="0" xr:uid="{527870FD-2D8F-4BE6-8128-D7289065A0F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1" authorId="14" shapeId="0" xr:uid="{73E16D06-8DDC-4F3B-B25C-3BE56CA0EC88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X32" authorId="15" shapeId="0" xr:uid="{A3C3A5EB-98D8-4295-AAC0-BA7CED9628D7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2" authorId="16" shapeId="0" xr:uid="{1814C06E-3853-4C36-A924-D386C8B3D48E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W34" authorId="17" shapeId="0" xr:uid="{B270F7B0-42F9-4059-AAA4-13C1BCCAB53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  <comment ref="T35" authorId="18" shapeId="0" xr:uid="{25D6369E-AE59-4A33-9CBA-86A963323C5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AM38" authorId="19" shapeId="0" xr:uid="{CC73E22D-A5CB-4A56-8469-BEA3E4215567}">
      <text>
        <t>[Threaded comment]
Your version of Excel allows you to read this threaded comment; however, any edits to it will get removed if the file is opened in a newer version of Excel. Learn more: https://go.microsoft.com/fwlink/?linkid=870924
Comment:
    Окей</t>
      </text>
    </comment>
    <comment ref="W39" authorId="20" shapeId="0" xr:uid="{09F2C565-787F-43A2-9C62-6BA3B85A8496}">
      <text>
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</text>
    </comment>
    <comment ref="T40" authorId="21" shapeId="0" xr:uid="{B1E6351B-DC58-4F03-9737-C6D6A0CB74C7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U40" authorId="22" shapeId="0" xr:uid="{CFA50407-C825-48E8-8580-8A48B487F7B2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</text>
    </comment>
    <comment ref="W41" authorId="23" shapeId="0" xr:uid="{EADB0B9E-14E5-42CF-B7F6-217130C1F22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</text>
    </comment>
    <comment ref="T21" authorId="2" shapeId="0" xr:uid="{E0B744BD-B51E-4777-821C-E4E38254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U21" authorId="3" shapeId="0" xr:uid="{56DAA161-B1B5-46E9-9631-3C6E2D368086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</text>
    </comment>
    <comment ref="T22" authorId="4" shapeId="0" xr:uid="{32A78597-2499-4990-A607-B1230ECFA2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4" authorId="5" shapeId="0" xr:uid="{79C7AA9A-2680-499B-B5CA-9B869354ADBB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5" authorId="6" shapeId="0" xr:uid="{7833366F-73AD-4764-85BD-E4575672373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6" authorId="7" shapeId="0" xr:uid="{D3124B9F-F62F-4FB5-A17C-35D29D8CEBB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7" authorId="8" shapeId="0" xr:uid="{56A4E96F-F5C0-40FC-B73D-0EA3DDDEB3D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30" authorId="9" shapeId="0" xr:uid="{3C1EC568-6E8A-499F-B5A9-9E989DB0186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</text>
    </comment>
    <comment ref="AM34" authorId="10" shapeId="0" xr:uid="{F7140340-FD2F-4D34-B635-0E5C3F8BF0C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</text>
    </comment>
    <comment ref="T35" authorId="11" shapeId="0" xr:uid="{0E96E146-F5EA-4BE0-A514-EB90761E158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L36" authorId="12" shapeId="0" xr:uid="{35D87E8B-11CC-486A-B0D2-4F2D95248036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K37" authorId="13" shapeId="0" xr:uid="{5FB19028-3C14-464E-BA98-8A7F07416EDF}">
      <text>
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</text>
    </comment>
    <comment ref="AL45" authorId="14" shapeId="0" xr:uid="{DDD67B2B-9F88-4082-B9BF-76AFCED3ECD3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M49" authorId="15" shapeId="0" xr:uid="{1D6DC542-D9E2-4FCB-8DBF-E3AC76E70B59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</text>
    </comment>
    <comment ref="AM55" authorId="16" shapeId="0" xr:uid="{906FF491-1C35-4F8F-9223-926AFF8A665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</text>
    </comment>
    <comment ref="T64" authorId="17" shapeId="0" xr:uid="{77A3F69F-DBC1-4983-97BD-27A4AD1B5612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4" authorId="18" shapeId="0" xr:uid="{0494B490-016F-4806-9520-5564363FBCD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5" authorId="19" shapeId="0" xr:uid="{FA08A940-0553-4FC8-A1B0-149041F37B3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5" authorId="20" shapeId="0" xr:uid="{60D4B7F7-1C72-4C20-B1BE-685FDE63545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7" authorId="21" shapeId="0" xr:uid="{6ED9AC52-7614-4B3A-AF21-A16232713F0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7" authorId="22" shapeId="0" xr:uid="{DC5B3F89-F6B4-47F0-B6C5-E978EEDB9BA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8" authorId="23" shapeId="0" xr:uid="{1891CEE3-7F92-4931-B6DC-6EFF4BDC7927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8" authorId="24" shapeId="0" xr:uid="{AB5989B7-3043-4CDA-B7F7-466B3EED701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1" authorId="25" shapeId="0" xr:uid="{A82AF81C-496B-4E5A-94A5-D13A30DA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2" authorId="26" shapeId="0" xr:uid="{D0909C91-AB58-48BD-BE7A-AF3BE4EDCD8F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4" authorId="27" shapeId="0" xr:uid="{AF566169-C814-45F2-A9B7-923EC480B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4" authorId="28" shapeId="0" xr:uid="{73EAEDA4-EF12-4183-ABBD-60156D200D2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5" authorId="29" shapeId="0" xr:uid="{DB5B23D9-9FB0-4EE7-83C6-CD05D62B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5" authorId="30" shapeId="0" xr:uid="{8027281A-6053-47C7-85E1-9A926C3104D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6" authorId="31" shapeId="0" xr:uid="{CF70B308-D87D-425E-9363-2223DD657D2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6" authorId="32" shapeId="0" xr:uid="{FC01495B-A8AE-44C7-B58C-DC2FEB1AEE6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7" authorId="33" shapeId="0" xr:uid="{43CFDF0D-8D21-4444-959D-2990FE9D18C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7" authorId="34" shapeId="0" xr:uid="{B87CDBBC-5B24-4074-83DC-4A27DAD6674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8" authorId="35" shapeId="0" xr:uid="{1E51765E-4545-459C-B01A-7214B78511A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9" authorId="36" shapeId="0" xr:uid="{2ED27797-C33F-4A4C-8E70-893C312053F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0" authorId="37" shapeId="0" xr:uid="{D0EF1E3A-E3D2-4D1C-8F69-D7AFA8CA49A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2" authorId="38" shapeId="0" xr:uid="{29B18984-A28F-42DC-B606-73AEFF0DD3E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2" authorId="39" shapeId="0" xr:uid="{8D71D16A-C03C-47DE-AF68-655894670B0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5" authorId="40" shapeId="0" xr:uid="{9665018B-35F1-4F55-BFC3-87FEE003491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6" authorId="41" shapeId="0" xr:uid="{6260D6A2-0F1D-42C3-BD0E-64C128B891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6" authorId="42" shapeId="0" xr:uid="{24C8B822-3D64-4B58-B8C0-417FA2F89D00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8" authorId="43" shapeId="0" xr:uid="{7D0BE1EA-E889-4795-AD88-AE66F68616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9" authorId="44" shapeId="0" xr:uid="{314CD5F0-293F-4676-B3AE-3F8C12004CC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0" authorId="45" shapeId="0" xr:uid="{35EFDECF-A2FA-4EEE-8BFC-A450D32F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1" authorId="46" shapeId="0" xr:uid="{D45A2A03-A9F7-43A2-A93F-AAA9A1F073F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2" authorId="47" shapeId="0" xr:uid="{47E88F04-3E29-4CB5-B5D1-456549E8492B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3" authorId="48" shapeId="0" xr:uid="{57AE027A-4F54-4B7A-8541-C982CE43AB01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3" authorId="49" shapeId="0" xr:uid="{BC7A2796-7A65-48C6-97EE-3D332C8E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6" authorId="50" shapeId="0" xr:uid="{20D67E70-A85A-4996-9B32-86E0FD418F9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8" authorId="51" shapeId="0" xr:uid="{C95EFF4C-2F69-4EEC-9C24-65AC1BF1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8" authorId="52" shapeId="0" xr:uid="{7EF33799-E2F2-46F6-AC18-4850A040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9" authorId="53" shapeId="0" xr:uid="{C0326890-D75F-4639-85E4-786E29476A7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1" authorId="54" shapeId="0" xr:uid="{FEAF0CFB-95EA-4D3C-B177-A31E71364DF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1" authorId="55" shapeId="0" xr:uid="{65C0DEB5-7002-4D16-812C-913B6D64A90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W102" authorId="56" shapeId="0" xr:uid="{B2FCD538-A0EA-4793-BFA9-5F5AECF029D5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3" authorId="57" shapeId="0" xr:uid="{6674D7AC-0EAD-4C33-BBB1-200C4969F01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4" authorId="58" shapeId="0" xr:uid="{29DB8106-F8D9-4C6F-8D38-4872C9E440B7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AG107" authorId="59" shapeId="0" xr:uid="{8AB82AA8-3F0B-4B01-9D7A-B582064224D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8" authorId="60" shapeId="0" xr:uid="{8A2218B3-CDA9-45A7-B9EC-B069597BF10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8" authorId="61" shapeId="0" xr:uid="{53442969-1C65-4AC9-A704-3C91085CF2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1" authorId="62" shapeId="0" xr:uid="{0F12A806-8AFE-4F3E-B3B6-2EF47DBF1D6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2" authorId="63" shapeId="0" xr:uid="{C3B2257F-FD60-47A4-B24C-C0C3EF37752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2" authorId="64" shapeId="0" xr:uid="{4C1C75F2-35C1-4C95-96E8-7A9D93064D6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3" authorId="65" shapeId="0" xr:uid="{A28F0378-44EE-4112-91A5-8DA405F7E63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3" authorId="66" shapeId="0" xr:uid="{52B8D457-AFF2-420F-A553-7CBF6D81F83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4" authorId="67" shapeId="0" xr:uid="{E56F9193-67F5-4580-B03D-88A5CBCD7B9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6" authorId="68" shapeId="0" xr:uid="{E53F32E7-2991-4500-9FD3-0465720A64A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7" authorId="69" shapeId="0" xr:uid="{E5368664-45BA-44C4-872D-AABD6DE7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8" authorId="70" shapeId="0" xr:uid="{A0245BE8-3868-4B93-A45C-7BE0C41EE9B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<sst xmlns="http://schemas.openxmlformats.org/spreadsheetml/2006/main" count="14455" uniqueCount="601">
  <si>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</si>
  <si>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</si>
  <si>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</si>
  <si>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</si>
  <si>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</si>
  <si>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</si>
  <si>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</si>
  <si>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</si>
  <si>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</si>
  <si>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</si>
  <si>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</si>
  <si>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TSL Moscow</t>
  </si>
  <si>
    <t>Сладкая жизнь</t>
  </si>
  <si>
    <t>Тарасов Саша</t>
  </si>
  <si>
    <t>Фирсов Валя</t>
  </si>
  <si>
    <t>Беспятых Ваня</t>
  </si>
  <si>
    <t>Фуд-трейд</t>
  </si>
  <si>
    <t>Сорсо (закрываем)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</si>
  <si>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</si>
  <si>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</si>
  <si>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</si>
  <si>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</si>
  <si>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</si>
  <si>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</si>
  <si>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</si>
  <si>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</si>
  <si>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</si>
  <si>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</si>
  <si>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</si>
  <si>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</si>
  <si>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</si>
  <si>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</si>
  <si>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</si>
  <si>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DDM North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</si>
  <si>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</si>
  <si>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</si>
  <si>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</si>
  <si>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</si>
  <si>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</si>
  <si>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</si>
  <si>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</si>
  <si>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</si>
  <si>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</si>
  <si>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</si>
  <si>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</si>
  <si>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</si>
  <si>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</si>
  <si>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</si>
  <si>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</si>
  <si>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</si>
  <si>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</si>
  <si>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</si>
  <si>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</si>
  <si>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</si>
  <si>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</si>
  <si>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</si>
  <si>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</si>
  <si>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</si>
  <si>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</si>
  <si>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</si>
  <si>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</si>
  <si>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</si>
  <si>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</si>
  <si>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</si>
  <si>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</si>
  <si>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</si>
  <si>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</si>
  <si>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</si>
  <si>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</si>
  <si>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</si>
  <si>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</si>
  <si>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</si>
  <si>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</si>
  <si>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</si>
  <si>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</si>
  <si>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</si>
  <si>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</si>
  <si>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</si>
  <si>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</si>
  <si>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</si>
  <si>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</si>
  <si>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</si>
  <si>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</si>
  <si>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</si>
  <si>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Атика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</si>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</sst>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_(* #,##0_);_(* \(#,##0\);_(* &quot;-&quot;??_);_(@_)"/>
    <numFmt numFmtId="168" formatCode="_-* #,##0.00\ _₽_-;\-* #,##0.00\ _₽_-;_-* &quot;-&quot;??\ _₽_-;_-@_-"/>
    <numFmt numFmtId="169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164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164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50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166" fontId="0" fillId="0" borderId="17" xfId="1" applyNumberFormat="1" applyFont="1" applyBorder="1" applyAlignment="1">
      <alignment wrapText="1"/>
    </xf>
    <xf numFmtId="166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5" fontId="0" fillId="0" borderId="15" xfId="1" applyNumberFormat="1" applyFont="1" applyFill="1" applyBorder="1" applyAlignment="1">
      <alignment wrapText="1"/>
    </xf>
    <xf numFmtId="166" fontId="0" fillId="0" borderId="15" xfId="1" applyNumberFormat="1" applyFont="1" applyFill="1" applyBorder="1" applyAlignment="1">
      <alignment wrapText="1"/>
    </xf>
    <xf numFmtId="166" fontId="0" fillId="0" borderId="15" xfId="0" applyNumberFormat="1" applyBorder="1" applyAlignment="1">
      <alignment wrapText="1"/>
    </xf>
    <xf numFmtId="164" fontId="0" fillId="0" borderId="0" xfId="1" applyFon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6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6" fontId="0" fillId="0" borderId="22" xfId="1" applyNumberFormat="1" applyFont="1" applyBorder="1" applyAlignment="1">
      <alignment wrapText="1"/>
    </xf>
    <xf numFmtId="166" fontId="0" fillId="0" borderId="23" xfId="1" applyNumberFormat="1" applyFont="1" applyBorder="1" applyAlignment="1">
      <alignment wrapText="1"/>
    </xf>
    <xf numFmtId="166" fontId="0" fillId="0" borderId="20" xfId="1" applyNumberFormat="1" applyFont="1" applyBorder="1" applyAlignment="1">
      <alignment wrapText="1"/>
    </xf>
    <xf numFmtId="166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6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6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6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6" fontId="13" fillId="0" borderId="7" xfId="1" applyNumberFormat="1" applyFont="1" applyFill="1" applyBorder="1"/>
    <xf numFmtId="166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7" fontId="15" fillId="0" borderId="7" xfId="0" applyNumberFormat="1" applyFont="1" applyBorder="1" applyAlignment="1">
      <alignment horizontal="center"/>
    </xf>
    <xf numFmtId="164" fontId="13" fillId="0" borderId="7" xfId="1" applyFont="1" applyFill="1" applyBorder="1"/>
    <xf numFmtId="164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7" fontId="15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4" fontId="13" fillId="0" borderId="0" xfId="1" applyFont="1" applyFill="1" applyBorder="1"/>
    <xf numFmtId="164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7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7" fontId="11" fillId="0" borderId="31" xfId="0" applyNumberFormat="1" applyFont="1" applyBorder="1" applyAlignment="1">
      <alignment horizontal="center"/>
    </xf>
    <xf numFmtId="167" fontId="13" fillId="0" borderId="31" xfId="0" applyNumberFormat="1" applyFont="1" applyBorder="1" applyAlignment="1">
      <alignment horizontal="center"/>
    </xf>
    <xf numFmtId="164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6" fontId="0" fillId="0" borderId="19" xfId="1" applyNumberFormat="1" applyFont="1" applyBorder="1" applyAlignment="1">
      <alignment wrapText="1"/>
    </xf>
    <xf numFmtId="166" fontId="0" fillId="0" borderId="24" xfId="1" applyNumberFormat="1" applyFont="1" applyBorder="1" applyAlignment="1">
      <alignment wrapText="1"/>
    </xf>
    <xf numFmtId="166" fontId="0" fillId="0" borderId="25" xfId="1" applyNumberFormat="1" applyFont="1" applyBorder="1" applyAlignment="1">
      <alignment wrapText="1"/>
    </xf>
    <xf numFmtId="166" fontId="0" fillId="0" borderId="22" xfId="1" applyNumberFormat="1" applyFont="1" applyFill="1" applyBorder="1" applyAlignment="1">
      <alignment wrapText="1"/>
    </xf>
    <xf numFmtId="166" fontId="0" fillId="0" borderId="19" xfId="1" applyNumberFormat="1" applyFont="1" applyFill="1" applyBorder="1" applyAlignment="1">
      <alignment wrapText="1"/>
    </xf>
    <xf numFmtId="166" fontId="0" fillId="0" borderId="20" xfId="1" applyNumberFormat="1" applyFont="1" applyFill="1" applyBorder="1" applyAlignment="1">
      <alignment wrapText="1"/>
    </xf>
    <xf numFmtId="166" fontId="0" fillId="0" borderId="21" xfId="1" applyNumberFormat="1" applyFont="1" applyFill="1" applyBorder="1" applyAlignment="1">
      <alignment wrapText="1"/>
    </xf>
    <xf numFmtId="166" fontId="0" fillId="0" borderId="18" xfId="1" applyNumberFormat="1" applyFont="1" applyFill="1" applyBorder="1" applyAlignment="1">
      <alignment wrapText="1"/>
    </xf>
    <xf numFmtId="166" fontId="0" fillId="0" borderId="23" xfId="1" applyNumberFormat="1" applyFont="1" applyFill="1" applyBorder="1" applyAlignment="1">
      <alignment wrapText="1"/>
    </xf>
    <xf numFmtId="166" fontId="0" fillId="0" borderId="0" xfId="0" applyNumberFormat="1" applyAlignment="1">
      <alignment wrapText="1"/>
    </xf>
    <xf numFmtId="166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6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6" fontId="6" fillId="0" borderId="2" xfId="1" applyNumberFormat="1" applyFont="1" applyFill="1" applyBorder="1" applyAlignment="1">
      <alignment horizontal="center" vertical="center" wrapText="1"/>
    </xf>
    <xf numFmtId="166" fontId="0" fillId="0" borderId="57" xfId="1" applyNumberFormat="1" applyFont="1" applyBorder="1"/>
    <xf numFmtId="165" fontId="0" fillId="0" borderId="57" xfId="1" applyNumberFormat="1" applyFont="1" applyBorder="1"/>
    <xf numFmtId="165" fontId="0" fillId="0" borderId="0" xfId="1" applyNumberFormat="1" applyFont="1"/>
    <xf numFmtId="165" fontId="0" fillId="0" borderId="58" xfId="1" applyNumberFormat="1" applyFont="1" applyBorder="1"/>
    <xf numFmtId="166" fontId="0" fillId="0" borderId="0" xfId="1" applyNumberFormat="1" applyFont="1" applyFill="1"/>
    <xf numFmtId="166" fontId="0" fillId="0" borderId="57" xfId="1" applyNumberFormat="1" applyFont="1" applyFill="1" applyBorder="1"/>
    <xf numFmtId="165" fontId="0" fillId="0" borderId="57" xfId="1" applyNumberFormat="1" applyFont="1" applyFill="1" applyBorder="1"/>
    <xf numFmtId="165" fontId="0" fillId="0" borderId="0" xfId="1" applyNumberFormat="1" applyFont="1" applyFill="1"/>
    <xf numFmtId="165" fontId="0" fillId="0" borderId="58" xfId="1" applyNumberFormat="1" applyFont="1" applyFill="1" applyBorder="1"/>
    <xf numFmtId="0" fontId="0" fillId="0" borderId="58" xfId="0" applyBorder="1"/>
    <xf numFmtId="164" fontId="0" fillId="0" borderId="0" xfId="1" applyFont="1"/>
    <xf numFmtId="0" fontId="0" fillId="0" borderId="63" xfId="0" applyBorder="1"/>
    <xf numFmtId="166" fontId="0" fillId="0" borderId="63" xfId="1" applyNumberFormat="1" applyFont="1" applyBorder="1"/>
    <xf numFmtId="0" fontId="0" fillId="0" borderId="64" xfId="0" applyBorder="1"/>
    <xf numFmtId="166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6" fontId="0" fillId="0" borderId="15" xfId="1" applyNumberFormat="1" applyFont="1" applyBorder="1" applyAlignment="1"/>
    <xf numFmtId="166" fontId="0" fillId="0" borderId="15" xfId="1" applyNumberFormat="1" applyFont="1" applyFill="1" applyBorder="1" applyAlignment="1"/>
    <xf numFmtId="166" fontId="0" fillId="0" borderId="15" xfId="0" applyNumberFormat="1" applyBorder="1"/>
    <xf numFmtId="166" fontId="0" fillId="0" borderId="15" xfId="1" applyNumberFormat="1" applyFont="1" applyFill="1" applyBorder="1" applyAlignment="1">
      <alignment horizontal="center" vertical="center"/>
    </xf>
    <xf numFmtId="166" fontId="0" fillId="9" borderId="15" xfId="1" applyNumberFormat="1" applyFont="1" applyFill="1" applyBorder="1" applyAlignment="1"/>
    <xf numFmtId="166" fontId="17" fillId="0" borderId="15" xfId="0" applyNumberFormat="1" applyFont="1" applyBorder="1"/>
    <xf numFmtId="166" fontId="18" fillId="10" borderId="15" xfId="1" applyNumberFormat="1" applyFont="1" applyFill="1" applyBorder="1" applyAlignment="1"/>
    <xf numFmtId="0" fontId="0" fillId="7" borderId="15" xfId="0" applyFill="1" applyBorder="1"/>
    <xf numFmtId="166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164" fontId="0" fillId="0" borderId="15" xfId="1" applyFont="1" applyBorder="1" applyAlignment="1">
      <alignment horizontal="center"/>
    </xf>
    <xf numFmtId="164" fontId="0" fillId="0" borderId="15" xfId="1" applyFont="1" applyFill="1" applyBorder="1" applyAlignment="1"/>
    <xf numFmtId="166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5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6" fillId="0" borderId="15" xfId="0" applyFont="1" applyBorder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6" fontId="0" fillId="0" borderId="58" xfId="1" applyNumberFormat="1" applyFont="1" applyBorder="1"/>
    <xf numFmtId="166" fontId="0" fillId="0" borderId="0" xfId="1" applyNumberFormat="1" applyFont="1" applyFill="1" applyBorder="1"/>
    <xf numFmtId="166" fontId="0" fillId="0" borderId="65" xfId="1" applyNumberFormat="1" applyFont="1" applyBorder="1"/>
    <xf numFmtId="0" fontId="2" fillId="0" borderId="0" xfId="7"/>
    <xf numFmtId="166" fontId="2" fillId="0" borderId="0" xfId="1" applyNumberFormat="1" applyFont="1"/>
    <xf numFmtId="166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6" fontId="0" fillId="15" borderId="0" xfId="8" applyNumberFormat="1" applyFont="1" applyFill="1"/>
    <xf numFmtId="166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6" fontId="0" fillId="9" borderId="0" xfId="8" applyNumberFormat="1" applyFont="1" applyFill="1"/>
    <xf numFmtId="166" fontId="2" fillId="0" borderId="0" xfId="7" applyNumberFormat="1"/>
    <xf numFmtId="0" fontId="6" fillId="0" borderId="66" xfId="7" applyFont="1" applyBorder="1"/>
    <xf numFmtId="0" fontId="2" fillId="5" borderId="0" xfId="7" applyFill="1"/>
    <xf numFmtId="168" fontId="2" fillId="0" borderId="0" xfId="7" applyNumberFormat="1"/>
    <xf numFmtId="164" fontId="2" fillId="0" borderId="0" xfId="7" applyNumberFormat="1"/>
    <xf numFmtId="164" fontId="0" fillId="0" borderId="0" xfId="8" applyFont="1"/>
    <xf numFmtId="0" fontId="2" fillId="0" borderId="15" xfId="7" applyBorder="1"/>
    <xf numFmtId="166" fontId="0" fillId="0" borderId="15" xfId="8" applyNumberFormat="1" applyFont="1" applyBorder="1"/>
    <xf numFmtId="166" fontId="0" fillId="0" borderId="15" xfId="1" applyNumberFormat="1" applyFont="1" applyBorder="1"/>
    <xf numFmtId="166" fontId="0" fillId="13" borderId="0" xfId="8" applyNumberFormat="1" applyFont="1" applyFill="1"/>
    <xf numFmtId="165" fontId="0" fillId="0" borderId="15" xfId="8" applyNumberFormat="1" applyFont="1" applyBorder="1"/>
    <xf numFmtId="166" fontId="2" fillId="13" borderId="0" xfId="7" applyNumberFormat="1" applyFill="1"/>
    <xf numFmtId="168" fontId="2" fillId="0" borderId="15" xfId="7" applyNumberFormat="1" applyBorder="1"/>
    <xf numFmtId="166" fontId="16" fillId="13" borderId="0" xfId="8" applyNumberFormat="1" applyFont="1" applyFill="1"/>
    <xf numFmtId="166" fontId="6" fillId="5" borderId="3" xfId="1" applyNumberFormat="1" applyFont="1" applyFill="1" applyBorder="1" applyAlignment="1">
      <alignment horizontal="center" vertical="center" wrapText="1"/>
    </xf>
    <xf numFmtId="166" fontId="6" fillId="5" borderId="1" xfId="1" applyNumberFormat="1" applyFont="1" applyFill="1" applyBorder="1" applyAlignment="1">
      <alignment horizontal="center" vertical="center" wrapText="1"/>
    </xf>
    <xf numFmtId="166" fontId="6" fillId="0" borderId="1" xfId="1" applyNumberFormat="1" applyFont="1" applyBorder="1" applyAlignment="1">
      <alignment horizontal="center" vertical="center" wrapText="1"/>
    </xf>
    <xf numFmtId="166" fontId="6" fillId="0" borderId="2" xfId="1" applyNumberFormat="1" applyFont="1" applyBorder="1" applyAlignment="1">
      <alignment horizontal="center" vertical="center" wrapText="1"/>
    </xf>
    <xf numFmtId="166" fontId="6" fillId="0" borderId="3" xfId="1" applyNumberFormat="1" applyFont="1" applyBorder="1" applyAlignment="1">
      <alignment horizontal="center" vertical="center" wrapText="1"/>
    </xf>
    <xf numFmtId="166" fontId="6" fillId="0" borderId="8" xfId="1" applyNumberFormat="1" applyFont="1" applyBorder="1" applyAlignment="1">
      <alignment horizontal="center" vertical="center" wrapText="1"/>
    </xf>
    <xf numFmtId="166" fontId="6" fillId="0" borderId="6" xfId="1" applyNumberFormat="1" applyFont="1" applyBorder="1" applyAlignment="1">
      <alignment horizontal="center" vertical="center" wrapText="1"/>
    </xf>
    <xf numFmtId="166" fontId="9" fillId="0" borderId="5" xfId="1" applyNumberFormat="1" applyFont="1" applyBorder="1" applyAlignment="1">
      <alignment horizontal="center" vertical="center" wrapText="1"/>
    </xf>
    <xf numFmtId="166" fontId="9" fillId="0" borderId="0" xfId="1" applyNumberFormat="1" applyFont="1" applyAlignment="1">
      <alignment horizontal="center" vertical="center" wrapText="1"/>
    </xf>
    <xf numFmtId="166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9" fontId="0" fillId="0" borderId="9" xfId="6" applyNumberFormat="1" applyFont="1" applyBorder="1"/>
    <xf numFmtId="169" fontId="0" fillId="0" borderId="8" xfId="6" applyNumberFormat="1" applyFont="1" applyBorder="1"/>
    <xf numFmtId="169" fontId="0" fillId="0" borderId="7" xfId="6" applyNumberFormat="1" applyFont="1" applyBorder="1"/>
    <xf numFmtId="169" fontId="0" fillId="0" borderId="69" xfId="6" applyNumberFormat="1" applyFont="1" applyBorder="1"/>
    <xf numFmtId="169" fontId="0" fillId="0" borderId="5" xfId="6" applyNumberFormat="1" applyFont="1" applyBorder="1"/>
    <xf numFmtId="169" fontId="0" fillId="0" borderId="0" xfId="6" applyNumberFormat="1" applyFont="1" applyBorder="1"/>
    <xf numFmtId="169" fontId="0" fillId="0" borderId="16" xfId="6" applyNumberFormat="1" applyFont="1" applyBorder="1"/>
    <xf numFmtId="169" fontId="0" fillId="0" borderId="3" xfId="6" applyNumberFormat="1" applyFont="1" applyBorder="1"/>
    <xf numFmtId="169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166" fontId="6" fillId="0" borderId="1" xfId="1" applyNumberFormat="1" applyFont="1" applyBorder="1" applyAlignment="1">
      <alignment horizontal="center" wrapText="1"/>
    </xf>
    <xf numFmtId="166" fontId="6" fillId="0" borderId="2" xfId="1" applyNumberFormat="1" applyFont="1" applyBorder="1" applyAlignment="1">
      <alignment horizontal="center" wrapText="1"/>
    </xf>
    <xf numFmtId="166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6" fontId="9" fillId="0" borderId="1" xfId="1" applyNumberFormat="1" applyBorder="1" applyAlignment="1">
      <alignment horizontal="center" vertical="center" wrapText="1"/>
    </xf>
    <xf numFmtId="166" fontId="9" fillId="0" borderId="3" xfId="1" applyNumberFormat="1" applyFont="1" applyBorder="1" applyAlignment="1">
      <alignment horizontal="center" vertical="center" wrapText="1"/>
    </xf>
    <xf numFmtId="166" fontId="9" fillId="0" borderId="2" xfId="1" applyNumberFormat="1" applyBorder="1" applyAlignment="1">
      <alignment horizontal="center" vertical="center" wrapText="1"/>
    </xf>
    <xf numFmtId="166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166" fontId="1" fillId="0" borderId="15" xfId="1" applyNumberFormat="1" applyFont="1" applyBorder="1"/>
    <xf numFmtId="166" fontId="1" fillId="0" borderId="0" xfId="1" applyNumberFormat="1" applyFont="1"/>
    <xf numFmtId="166" fontId="1" fillId="13" borderId="0" xfId="1" applyNumberFormat="1" applyFont="1" applyFill="1"/>
    <xf numFmtId="166" fontId="1" fillId="5" borderId="0" xfId="1" applyNumberFormat="1" applyFont="1" applyFill="1"/>
    <xf numFmtId="166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</cellXfs>
  <cellStyles count="9">
    <cellStyle name="Comma" xfId="1" builtinId="3"/>
    <cellStyle name="Normal" xfId="0" builtinId="0"/>
    <cellStyle name="Normal 2" xfId="2" xr:uid="{0BF699D7-947A-4C7B-97F9-AAD9F375786C}"/>
    <cellStyle name="Per cent" xfId="6" builtinId="5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alignment wrapText="1"/>
    </dxf>
    <dxf>
      <numFmt numFmtId="3" formatCode="#,##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top style="medium">
          <color indexed="64"/>
        </top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3" formatCode="#,##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alignment wrapText="1"/>
    </dxf>
    <dxf>
      <alignment wrapText="1"/>
    </dxf>
    <dxf>
      <numFmt numFmtId="3" formatCode="#,##0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9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55">
      <pivotArea field="1" type="button" dataOnly="0" labelOnly="1" outline="0" axis="axisRow" fieldPosition="0"/>
    </format>
    <format dxfId="5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7">
      <pivotArea outline="0" collapsedLevelsAreSubtotals="1" fieldPosition="0"/>
    </format>
    <format dxfId="58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4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9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7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71">
      <pivotArea grandRow="1" outline="0" collapsedLevelsAreSubtotals="1" fieldPosition="0"/>
    </format>
    <format dxfId="7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3">
      <pivotArea field="1" type="button" dataOnly="0" labelOnly="1" outline="0" axis="axisRow" fieldPosition="0"/>
    </format>
    <format dxfId="7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5">
      <pivotArea field="1" type="button" dataOnly="0" labelOnly="1" outline="0" axis="axisRow" fieldPosition="0"/>
    </format>
    <format dxfId="7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9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38">
      <pivotArea field="1" type="button" dataOnly="0" labelOnly="1" outline="0" axis="axisRow" fieldPosition="0"/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0">
      <pivotArea outline="0" collapsedLevelsAreSubtotals="1" fieldPosition="0"/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8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9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2">
      <pivotArea field="1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">
      <pivotArea outline="0" collapsedLevelsAreSubtotals="1" fieldPosition="0"/>
    </format>
    <format dxfId="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13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17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8">
      <pivotArea grandRow="1" outline="0" collapsedLevelsAreSubtotals="1" fieldPosition="0"/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21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22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24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25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2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27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28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29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30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31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32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3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34">
      <pivotArea field="1" type="button" dataOnly="0" labelOnly="1" outline="0" axis="axisRow" fieldPosition="0"/>
    </format>
    <format dxfId="3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6">
      <pivotArea field="1" type="button" dataOnly="0" labelOnly="1" outline="0" axis="axisRow" fieldPosition="0"/>
    </format>
    <format dxfId="3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9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H101"/>
  <sheetViews>
    <sheetView workbookViewId="0">
      <selection activeCell="C36" sqref="C36"/>
    </sheetView>
  </sheetViews>
  <sheetFormatPr defaultRowHeight="14.45"/>
  <cols>
    <col min="1" max="1" width="15" customWidth="1"/>
    <col min="2" max="4" width="26.5703125" customWidth="1"/>
    <col min="5" max="6" width="26.7109375" customWidth="1"/>
    <col min="7" max="7" width="21.7109375" customWidth="1"/>
    <col min="8" max="8" width="18.28515625" customWidth="1"/>
  </cols>
  <sheetData>
    <row r="1" spans="1:8">
      <c r="A1" s="259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59" t="s">
        <v>5</v>
      </c>
      <c r="G1" s="259" t="s">
        <v>6</v>
      </c>
      <c r="H1" s="259" t="s">
        <v>6</v>
      </c>
    </row>
    <row r="2" spans="1:8" hidden="1">
      <c r="A2" s="131" t="s">
        <v>7</v>
      </c>
      <c r="B2" s="131" t="s">
        <v>8</v>
      </c>
      <c r="C2" s="131" t="s">
        <v>9</v>
      </c>
      <c r="D2" s="131"/>
      <c r="E2" s="131" t="s">
        <v>10</v>
      </c>
      <c r="F2" s="131" t="s">
        <v>11</v>
      </c>
      <c r="G2" s="131" t="s">
        <v>12</v>
      </c>
      <c r="H2" s="131"/>
    </row>
    <row r="3" spans="1:8" hidden="1">
      <c r="A3" s="131" t="s">
        <v>7</v>
      </c>
      <c r="B3" s="131" t="s">
        <v>8</v>
      </c>
      <c r="C3" s="131" t="s">
        <v>9</v>
      </c>
      <c r="D3" s="131"/>
      <c r="E3" s="131" t="s">
        <v>13</v>
      </c>
      <c r="F3" s="131"/>
      <c r="G3" s="131" t="s">
        <v>12</v>
      </c>
      <c r="H3" s="131"/>
    </row>
    <row r="4" spans="1:8" hidden="1">
      <c r="A4" s="131" t="s">
        <v>7</v>
      </c>
      <c r="B4" s="131" t="s">
        <v>8</v>
      </c>
      <c r="C4" s="131" t="s">
        <v>14</v>
      </c>
      <c r="D4" s="131"/>
      <c r="E4" s="131" t="s">
        <v>15</v>
      </c>
      <c r="F4" s="131"/>
      <c r="G4" s="131" t="s">
        <v>16</v>
      </c>
      <c r="H4" s="131" t="s">
        <v>17</v>
      </c>
    </row>
    <row r="5" spans="1:8" hidden="1">
      <c r="A5" s="131" t="s">
        <v>7</v>
      </c>
      <c r="B5" s="131" t="s">
        <v>8</v>
      </c>
      <c r="C5" s="131" t="s">
        <v>14</v>
      </c>
      <c r="D5" s="131"/>
      <c r="E5" s="131" t="s">
        <v>18</v>
      </c>
      <c r="F5" s="131"/>
      <c r="G5" s="131" t="s">
        <v>16</v>
      </c>
      <c r="H5" s="131"/>
    </row>
    <row r="6" spans="1:8" hidden="1">
      <c r="A6" s="131" t="s">
        <v>7</v>
      </c>
      <c r="B6" s="131" t="s">
        <v>19</v>
      </c>
      <c r="C6" s="131" t="s">
        <v>9</v>
      </c>
      <c r="D6" s="131"/>
      <c r="E6" s="131" t="s">
        <v>10</v>
      </c>
      <c r="F6" s="131"/>
      <c r="G6" s="131" t="s">
        <v>12</v>
      </c>
      <c r="H6" s="131"/>
    </row>
    <row r="7" spans="1:8" hidden="1">
      <c r="A7" s="131" t="s">
        <v>7</v>
      </c>
      <c r="B7" s="131" t="s">
        <v>20</v>
      </c>
      <c r="C7" s="131" t="s">
        <v>9</v>
      </c>
      <c r="D7" s="131"/>
      <c r="E7" s="131" t="s">
        <v>21</v>
      </c>
      <c r="F7" s="131"/>
      <c r="G7" s="131" t="s">
        <v>12</v>
      </c>
      <c r="H7" s="131"/>
    </row>
    <row r="8" spans="1:8" hidden="1">
      <c r="A8" s="131" t="s">
        <v>7</v>
      </c>
      <c r="B8" s="131" t="s">
        <v>22</v>
      </c>
      <c r="C8" s="131" t="s">
        <v>9</v>
      </c>
      <c r="D8" s="131"/>
      <c r="E8" s="131" t="s">
        <v>10</v>
      </c>
      <c r="F8" s="131"/>
      <c r="G8" s="131" t="s">
        <v>12</v>
      </c>
      <c r="H8" s="131"/>
    </row>
    <row r="9" spans="1:8" hidden="1">
      <c r="A9" s="131" t="s">
        <v>7</v>
      </c>
      <c r="B9" s="131" t="s">
        <v>23</v>
      </c>
      <c r="C9" s="131" t="s">
        <v>9</v>
      </c>
      <c r="D9" s="131"/>
      <c r="E9" s="131" t="s">
        <v>21</v>
      </c>
      <c r="F9" s="131"/>
      <c r="G9" s="131" t="s">
        <v>12</v>
      </c>
      <c r="H9" s="131"/>
    </row>
    <row r="10" spans="1:8" hidden="1">
      <c r="A10" s="131" t="s">
        <v>7</v>
      </c>
      <c r="B10" s="131" t="s">
        <v>24</v>
      </c>
      <c r="C10" s="131" t="s">
        <v>9</v>
      </c>
      <c r="D10" s="131"/>
      <c r="E10" s="131" t="s">
        <v>21</v>
      </c>
      <c r="F10" s="131"/>
      <c r="G10" s="131" t="s">
        <v>12</v>
      </c>
      <c r="H10" s="131"/>
    </row>
    <row r="11" spans="1:8" hidden="1">
      <c r="A11" s="131" t="s">
        <v>7</v>
      </c>
      <c r="B11" s="131" t="s">
        <v>25</v>
      </c>
      <c r="C11" s="131" t="s">
        <v>9</v>
      </c>
      <c r="D11" s="131"/>
      <c r="E11" s="131" t="s">
        <v>26</v>
      </c>
      <c r="F11" s="131"/>
      <c r="G11" s="131" t="s">
        <v>12</v>
      </c>
      <c r="H11" s="131"/>
    </row>
    <row r="12" spans="1:8" hidden="1">
      <c r="A12" s="131" t="s">
        <v>7</v>
      </c>
      <c r="B12" s="131" t="s">
        <v>27</v>
      </c>
      <c r="C12" s="131" t="s">
        <v>9</v>
      </c>
      <c r="D12" s="131"/>
      <c r="E12" s="131" t="s">
        <v>26</v>
      </c>
      <c r="F12" s="131"/>
      <c r="G12" s="131" t="s">
        <v>12</v>
      </c>
      <c r="H12" s="131"/>
    </row>
    <row r="13" spans="1:8" hidden="1">
      <c r="A13" s="131" t="s">
        <v>7</v>
      </c>
      <c r="B13" s="131" t="s">
        <v>28</v>
      </c>
      <c r="C13" s="131" t="s">
        <v>9</v>
      </c>
      <c r="D13" s="131"/>
      <c r="E13" s="131" t="s">
        <v>26</v>
      </c>
      <c r="F13" s="131"/>
      <c r="G13" s="131" t="s">
        <v>12</v>
      </c>
      <c r="H13" s="131"/>
    </row>
    <row r="14" spans="1:8" hidden="1">
      <c r="A14" s="131" t="s">
        <v>7</v>
      </c>
      <c r="B14" s="131" t="s">
        <v>29</v>
      </c>
      <c r="C14" s="131" t="s">
        <v>9</v>
      </c>
      <c r="D14" s="131"/>
      <c r="E14" s="131" t="s">
        <v>26</v>
      </c>
      <c r="F14" s="131"/>
      <c r="G14" s="131" t="s">
        <v>12</v>
      </c>
      <c r="H14" s="131"/>
    </row>
    <row r="15" spans="1:8" hidden="1">
      <c r="A15" s="131" t="s">
        <v>30</v>
      </c>
      <c r="B15" s="131" t="s">
        <v>31</v>
      </c>
      <c r="C15" s="131" t="s">
        <v>32</v>
      </c>
      <c r="D15" s="131" t="s">
        <v>33</v>
      </c>
      <c r="E15" s="131" t="s">
        <v>34</v>
      </c>
      <c r="F15" s="131"/>
      <c r="G15" s="131" t="s">
        <v>35</v>
      </c>
      <c r="H15" s="131"/>
    </row>
    <row r="16" spans="1:8" hidden="1">
      <c r="A16" s="131" t="s">
        <v>30</v>
      </c>
      <c r="B16" s="131" t="s">
        <v>31</v>
      </c>
      <c r="C16" s="131" t="s">
        <v>32</v>
      </c>
      <c r="D16" s="131" t="s">
        <v>33</v>
      </c>
      <c r="E16" s="131" t="s">
        <v>36</v>
      </c>
      <c r="F16" s="131"/>
      <c r="G16" s="131" t="s">
        <v>35</v>
      </c>
      <c r="H16" s="131"/>
    </row>
    <row r="17" spans="1:8" hidden="1">
      <c r="A17" s="131" t="s">
        <v>30</v>
      </c>
      <c r="B17" s="131" t="s">
        <v>31</v>
      </c>
      <c r="C17" s="131" t="s">
        <v>32</v>
      </c>
      <c r="D17" s="131" t="s">
        <v>33</v>
      </c>
      <c r="E17" s="131" t="s">
        <v>37</v>
      </c>
      <c r="F17" s="131"/>
      <c r="G17" s="131" t="s">
        <v>35</v>
      </c>
      <c r="H17" s="131"/>
    </row>
    <row r="18" spans="1:8" hidden="1">
      <c r="A18" s="131" t="s">
        <v>30</v>
      </c>
      <c r="B18" s="131" t="s">
        <v>38</v>
      </c>
      <c r="C18" s="131" t="s">
        <v>32</v>
      </c>
      <c r="D18" s="131" t="s">
        <v>33</v>
      </c>
      <c r="E18" s="131" t="s">
        <v>37</v>
      </c>
      <c r="F18" s="131"/>
      <c r="G18" s="131" t="s">
        <v>35</v>
      </c>
      <c r="H18" s="131"/>
    </row>
    <row r="19" spans="1:8" hidden="1">
      <c r="A19" s="131" t="s">
        <v>30</v>
      </c>
      <c r="B19" s="131" t="s">
        <v>39</v>
      </c>
      <c r="C19" s="131" t="s">
        <v>32</v>
      </c>
      <c r="D19" s="131" t="s">
        <v>33</v>
      </c>
      <c r="E19" s="131" t="s">
        <v>37</v>
      </c>
      <c r="F19" s="131"/>
      <c r="G19" s="131" t="s">
        <v>35</v>
      </c>
      <c r="H19" s="131"/>
    </row>
    <row r="20" spans="1:8" hidden="1">
      <c r="A20" s="131" t="s">
        <v>30</v>
      </c>
      <c r="B20" s="131" t="s">
        <v>40</v>
      </c>
      <c r="C20" s="131" t="s">
        <v>32</v>
      </c>
      <c r="D20" s="131" t="s">
        <v>33</v>
      </c>
      <c r="E20" s="131" t="s">
        <v>36</v>
      </c>
      <c r="F20" s="131"/>
      <c r="G20" s="131" t="s">
        <v>35</v>
      </c>
      <c r="H20" s="131"/>
    </row>
    <row r="21" spans="1:8" hidden="1">
      <c r="A21" s="131" t="s">
        <v>30</v>
      </c>
      <c r="B21" s="131" t="s">
        <v>41</v>
      </c>
      <c r="C21" s="131" t="s">
        <v>32</v>
      </c>
      <c r="D21" s="131" t="s">
        <v>33</v>
      </c>
      <c r="E21" s="131" t="s">
        <v>34</v>
      </c>
      <c r="F21" s="131"/>
      <c r="G21" s="131" t="s">
        <v>35</v>
      </c>
      <c r="H21" s="131"/>
    </row>
    <row r="22" spans="1:8" hidden="1">
      <c r="A22" s="131" t="s">
        <v>30</v>
      </c>
      <c r="B22" s="131" t="s">
        <v>42</v>
      </c>
      <c r="C22" s="131" t="s">
        <v>32</v>
      </c>
      <c r="D22" s="131" t="s">
        <v>33</v>
      </c>
      <c r="E22" s="131" t="s">
        <v>43</v>
      </c>
      <c r="F22" s="131"/>
      <c r="G22" s="131" t="s">
        <v>44</v>
      </c>
      <c r="H22" s="131"/>
    </row>
    <row r="23" spans="1:8" hidden="1">
      <c r="A23" s="131" t="s">
        <v>30</v>
      </c>
      <c r="B23" s="131" t="s">
        <v>45</v>
      </c>
      <c r="C23" s="131" t="s">
        <v>46</v>
      </c>
      <c r="D23" s="131" t="s">
        <v>47</v>
      </c>
      <c r="E23" s="131" t="s">
        <v>48</v>
      </c>
      <c r="F23" s="131"/>
      <c r="G23" s="131" t="s">
        <v>49</v>
      </c>
      <c r="H23" s="131"/>
    </row>
    <row r="24" spans="1:8" hidden="1">
      <c r="A24" s="131" t="s">
        <v>30</v>
      </c>
      <c r="B24" s="131" t="s">
        <v>50</v>
      </c>
      <c r="C24" s="131" t="s">
        <v>46</v>
      </c>
      <c r="D24" s="131" t="s">
        <v>47</v>
      </c>
      <c r="E24" s="131" t="s">
        <v>48</v>
      </c>
      <c r="F24" s="131"/>
      <c r="G24" s="131" t="s">
        <v>49</v>
      </c>
      <c r="H24" s="131"/>
    </row>
    <row r="25" spans="1:8" hidden="1">
      <c r="A25" s="131" t="s">
        <v>30</v>
      </c>
      <c r="B25" s="131" t="s">
        <v>51</v>
      </c>
      <c r="C25" s="131" t="s">
        <v>46</v>
      </c>
      <c r="D25" s="131" t="s">
        <v>47</v>
      </c>
      <c r="E25" s="131" t="s">
        <v>48</v>
      </c>
      <c r="F25" s="131"/>
      <c r="G25" s="131" t="s">
        <v>52</v>
      </c>
      <c r="H25" s="131"/>
    </row>
    <row r="26" spans="1:8" hidden="1">
      <c r="A26" s="131" t="s">
        <v>30</v>
      </c>
      <c r="B26" s="131" t="s">
        <v>53</v>
      </c>
      <c r="C26" s="131" t="s">
        <v>46</v>
      </c>
      <c r="D26" s="131" t="s">
        <v>47</v>
      </c>
      <c r="E26" s="131" t="s">
        <v>48</v>
      </c>
      <c r="F26" s="131"/>
      <c r="G26" s="131" t="s">
        <v>52</v>
      </c>
      <c r="H26" s="131"/>
    </row>
    <row r="27" spans="1:8" hidden="1">
      <c r="A27" s="131" t="s">
        <v>30</v>
      </c>
      <c r="B27" s="131" t="s">
        <v>54</v>
      </c>
      <c r="C27" s="131" t="s">
        <v>46</v>
      </c>
      <c r="D27" s="131" t="s">
        <v>47</v>
      </c>
      <c r="E27" s="131" t="s">
        <v>55</v>
      </c>
      <c r="F27" s="131"/>
      <c r="G27" s="131" t="s">
        <v>56</v>
      </c>
      <c r="H27" s="131"/>
    </row>
    <row r="28" spans="1:8" hidden="1">
      <c r="A28" s="131" t="s">
        <v>30</v>
      </c>
      <c r="B28" s="131" t="s">
        <v>57</v>
      </c>
      <c r="C28" s="131" t="s">
        <v>46</v>
      </c>
      <c r="D28" s="131" t="s">
        <v>47</v>
      </c>
      <c r="E28" s="131" t="s">
        <v>55</v>
      </c>
      <c r="F28" s="131"/>
      <c r="G28" s="131" t="s">
        <v>56</v>
      </c>
      <c r="H28" s="131"/>
    </row>
    <row r="29" spans="1:8" hidden="1">
      <c r="A29" s="131" t="s">
        <v>30</v>
      </c>
      <c r="B29" s="131" t="s">
        <v>58</v>
      </c>
      <c r="C29" s="131" t="s">
        <v>46</v>
      </c>
      <c r="D29" s="131" t="s">
        <v>47</v>
      </c>
      <c r="E29" s="131" t="s">
        <v>55</v>
      </c>
      <c r="F29" s="131"/>
      <c r="G29" s="131" t="s">
        <v>56</v>
      </c>
      <c r="H29" s="131"/>
    </row>
    <row r="30" spans="1:8" hidden="1">
      <c r="A30" s="131" t="s">
        <v>30</v>
      </c>
      <c r="B30" s="131" t="s">
        <v>59</v>
      </c>
      <c r="C30" s="131" t="s">
        <v>46</v>
      </c>
      <c r="D30" s="131" t="s">
        <v>47</v>
      </c>
      <c r="E30" s="131" t="s">
        <v>60</v>
      </c>
      <c r="F30" s="131"/>
      <c r="G30" s="131" t="s">
        <v>56</v>
      </c>
      <c r="H30" s="131"/>
    </row>
    <row r="31" spans="1:8" hidden="1">
      <c r="A31" s="131" t="s">
        <v>30</v>
      </c>
      <c r="B31" s="131" t="s">
        <v>61</v>
      </c>
      <c r="C31" s="131" t="s">
        <v>46</v>
      </c>
      <c r="D31" s="131" t="s">
        <v>47</v>
      </c>
      <c r="E31" s="131" t="s">
        <v>60</v>
      </c>
      <c r="F31" s="131"/>
      <c r="G31" s="131" t="s">
        <v>56</v>
      </c>
      <c r="H31" s="131"/>
    </row>
    <row r="32" spans="1:8">
      <c r="A32" s="131" t="s">
        <v>62</v>
      </c>
      <c r="B32" s="131" t="s">
        <v>63</v>
      </c>
      <c r="C32" s="131" t="s">
        <v>64</v>
      </c>
      <c r="D32" s="131"/>
      <c r="E32" s="131" t="s">
        <v>65</v>
      </c>
      <c r="F32" s="131"/>
      <c r="G32" s="131" t="s">
        <v>66</v>
      </c>
      <c r="H32" s="131"/>
    </row>
    <row r="33" spans="1:8">
      <c r="A33" s="131" t="s">
        <v>62</v>
      </c>
      <c r="B33" s="131" t="s">
        <v>67</v>
      </c>
      <c r="C33" s="131" t="s">
        <v>64</v>
      </c>
      <c r="D33" s="131"/>
      <c r="E33" s="131" t="s">
        <v>65</v>
      </c>
      <c r="F33" s="131"/>
      <c r="G33" s="131" t="s">
        <v>66</v>
      </c>
      <c r="H33" s="131"/>
    </row>
    <row r="34" spans="1:8">
      <c r="A34" s="131" t="s">
        <v>62</v>
      </c>
      <c r="B34" s="131" t="s">
        <v>68</v>
      </c>
      <c r="C34" s="131" t="s">
        <v>64</v>
      </c>
      <c r="D34" s="131"/>
      <c r="E34" s="131" t="s">
        <v>65</v>
      </c>
      <c r="F34" s="131"/>
      <c r="G34" s="131" t="s">
        <v>66</v>
      </c>
      <c r="H34" s="131"/>
    </row>
    <row r="35" spans="1:8">
      <c r="A35" s="131" t="s">
        <v>62</v>
      </c>
      <c r="B35" s="131" t="s">
        <v>69</v>
      </c>
      <c r="C35" s="131" t="s">
        <v>64</v>
      </c>
      <c r="D35" s="131"/>
      <c r="E35" s="131" t="s">
        <v>70</v>
      </c>
      <c r="F35" s="131"/>
      <c r="G35" s="131" t="s">
        <v>66</v>
      </c>
      <c r="H35" s="131"/>
    </row>
    <row r="36" spans="1:8">
      <c r="A36" s="131" t="s">
        <v>62</v>
      </c>
      <c r="B36" s="131" t="s">
        <v>71</v>
      </c>
      <c r="C36" s="131" t="s">
        <v>64</v>
      </c>
      <c r="D36" s="131"/>
      <c r="E36" s="131" t="s">
        <v>72</v>
      </c>
      <c r="F36" s="131"/>
      <c r="G36" s="131" t="s">
        <v>73</v>
      </c>
      <c r="H36" s="131"/>
    </row>
    <row r="37" spans="1:8">
      <c r="A37" s="131" t="s">
        <v>62</v>
      </c>
      <c r="B37" s="131" t="s">
        <v>71</v>
      </c>
      <c r="C37" s="131" t="s">
        <v>64</v>
      </c>
      <c r="D37" s="131"/>
      <c r="E37" s="131" t="s">
        <v>74</v>
      </c>
      <c r="F37" s="131"/>
      <c r="G37" s="131" t="s">
        <v>66</v>
      </c>
      <c r="H37" s="131"/>
    </row>
    <row r="38" spans="1:8">
      <c r="A38" s="131" t="s">
        <v>62</v>
      </c>
      <c r="B38" s="131" t="s">
        <v>71</v>
      </c>
      <c r="C38" s="131" t="s">
        <v>64</v>
      </c>
      <c r="D38" s="131"/>
      <c r="E38" s="131" t="s">
        <v>74</v>
      </c>
      <c r="F38" s="131"/>
      <c r="G38" s="131" t="s">
        <v>73</v>
      </c>
      <c r="H38" s="131"/>
    </row>
    <row r="39" spans="1:8">
      <c r="A39" s="131" t="s">
        <v>62</v>
      </c>
      <c r="B39" s="131" t="s">
        <v>71</v>
      </c>
      <c r="C39" s="131" t="s">
        <v>75</v>
      </c>
      <c r="D39" s="131"/>
      <c r="E39" s="131" t="s">
        <v>76</v>
      </c>
      <c r="F39" s="131"/>
      <c r="G39" s="131" t="s">
        <v>66</v>
      </c>
      <c r="H39" s="131"/>
    </row>
    <row r="40" spans="1:8">
      <c r="A40" s="131" t="s">
        <v>62</v>
      </c>
      <c r="B40" s="131" t="s">
        <v>71</v>
      </c>
      <c r="C40" s="131" t="s">
        <v>75</v>
      </c>
      <c r="D40" s="131"/>
      <c r="E40" s="131" t="s">
        <v>76</v>
      </c>
      <c r="F40" s="131"/>
      <c r="G40" s="131" t="s">
        <v>73</v>
      </c>
      <c r="H40" s="131"/>
    </row>
    <row r="41" spans="1:8">
      <c r="A41" s="131" t="s">
        <v>62</v>
      </c>
      <c r="B41" s="131" t="s">
        <v>77</v>
      </c>
      <c r="C41" s="131" t="s">
        <v>78</v>
      </c>
      <c r="D41" s="131"/>
      <c r="E41" s="131" t="s">
        <v>79</v>
      </c>
      <c r="F41" s="131"/>
      <c r="G41" s="131" t="s">
        <v>66</v>
      </c>
      <c r="H41" s="131"/>
    </row>
    <row r="42" spans="1:8">
      <c r="A42" s="131" t="s">
        <v>62</v>
      </c>
      <c r="B42" s="131" t="s">
        <v>77</v>
      </c>
      <c r="C42" s="131" t="s">
        <v>78</v>
      </c>
      <c r="D42" s="131"/>
      <c r="E42" s="131" t="s">
        <v>79</v>
      </c>
      <c r="F42" s="131"/>
      <c r="G42" s="131" t="s">
        <v>73</v>
      </c>
      <c r="H42" s="131"/>
    </row>
    <row r="43" spans="1:8">
      <c r="A43" s="131" t="s">
        <v>62</v>
      </c>
      <c r="B43" s="131" t="s">
        <v>77</v>
      </c>
      <c r="C43" s="131" t="s">
        <v>78</v>
      </c>
      <c r="D43" s="131"/>
      <c r="E43" s="131" t="s">
        <v>80</v>
      </c>
      <c r="F43" s="131"/>
      <c r="G43" s="131" t="s">
        <v>66</v>
      </c>
      <c r="H43" s="131"/>
    </row>
    <row r="44" spans="1:8">
      <c r="A44" s="131" t="s">
        <v>62</v>
      </c>
      <c r="B44" s="131" t="s">
        <v>81</v>
      </c>
      <c r="C44" s="131" t="s">
        <v>78</v>
      </c>
      <c r="D44" s="131"/>
      <c r="E44" s="131" t="s">
        <v>79</v>
      </c>
      <c r="F44" s="131"/>
      <c r="G44" s="131" t="s">
        <v>66</v>
      </c>
      <c r="H44" s="131"/>
    </row>
    <row r="45" spans="1:8">
      <c r="A45" s="131" t="s">
        <v>62</v>
      </c>
      <c r="B45" s="131" t="s">
        <v>82</v>
      </c>
      <c r="C45" s="131" t="s">
        <v>78</v>
      </c>
      <c r="D45" s="131"/>
      <c r="E45" s="131" t="s">
        <v>83</v>
      </c>
      <c r="F45" s="131"/>
      <c r="G45" s="131" t="s">
        <v>84</v>
      </c>
      <c r="H45" s="131"/>
    </row>
    <row r="46" spans="1:8">
      <c r="A46" s="131" t="s">
        <v>62</v>
      </c>
      <c r="B46" s="131" t="s">
        <v>85</v>
      </c>
      <c r="C46" s="131" t="s">
        <v>78</v>
      </c>
      <c r="D46" s="131"/>
      <c r="E46" s="131" t="s">
        <v>86</v>
      </c>
      <c r="F46" s="131"/>
      <c r="G46" s="131" t="s">
        <v>66</v>
      </c>
      <c r="H46" s="131"/>
    </row>
    <row r="47" spans="1:8">
      <c r="A47" s="131" t="s">
        <v>62</v>
      </c>
      <c r="B47" s="131" t="s">
        <v>87</v>
      </c>
      <c r="C47" s="131" t="s">
        <v>88</v>
      </c>
      <c r="D47" s="131"/>
      <c r="E47" s="131" t="s">
        <v>89</v>
      </c>
      <c r="F47" s="131"/>
      <c r="G47" s="131" t="s">
        <v>90</v>
      </c>
      <c r="H47" s="131"/>
    </row>
    <row r="48" spans="1:8">
      <c r="A48" s="131" t="s">
        <v>62</v>
      </c>
      <c r="B48" s="131" t="s">
        <v>91</v>
      </c>
      <c r="C48" s="131" t="s">
        <v>88</v>
      </c>
      <c r="D48" s="131"/>
      <c r="E48" s="131" t="s">
        <v>92</v>
      </c>
      <c r="F48" s="131"/>
      <c r="G48" s="131" t="s">
        <v>90</v>
      </c>
      <c r="H48" s="131"/>
    </row>
    <row r="49" spans="1:8">
      <c r="A49" s="131" t="s">
        <v>62</v>
      </c>
      <c r="B49" s="131" t="s">
        <v>91</v>
      </c>
      <c r="C49" s="131" t="s">
        <v>88</v>
      </c>
      <c r="D49" s="131"/>
      <c r="E49" s="131" t="s">
        <v>93</v>
      </c>
      <c r="F49" s="131"/>
      <c r="G49" s="131" t="s">
        <v>90</v>
      </c>
      <c r="H49" s="131"/>
    </row>
    <row r="50" spans="1:8">
      <c r="A50" s="131" t="s">
        <v>62</v>
      </c>
      <c r="B50" s="131" t="s">
        <v>94</v>
      </c>
      <c r="C50" s="131" t="s">
        <v>88</v>
      </c>
      <c r="D50" s="131"/>
      <c r="E50" s="131" t="s">
        <v>92</v>
      </c>
      <c r="F50" s="131"/>
      <c r="G50" s="131" t="s">
        <v>90</v>
      </c>
      <c r="H50" s="131"/>
    </row>
    <row r="51" spans="1:8">
      <c r="A51" s="131" t="s">
        <v>62</v>
      </c>
      <c r="B51" s="131" t="s">
        <v>94</v>
      </c>
      <c r="C51" s="131" t="s">
        <v>88</v>
      </c>
      <c r="D51" s="131"/>
      <c r="E51" s="131" t="s">
        <v>93</v>
      </c>
      <c r="F51" s="131"/>
      <c r="G51" s="131" t="s">
        <v>90</v>
      </c>
      <c r="H51" s="131"/>
    </row>
    <row r="52" spans="1:8">
      <c r="A52" s="131" t="s">
        <v>62</v>
      </c>
      <c r="B52" s="131" t="s">
        <v>94</v>
      </c>
      <c r="C52" s="131" t="s">
        <v>88</v>
      </c>
      <c r="D52" s="131"/>
      <c r="E52" s="131" t="s">
        <v>95</v>
      </c>
      <c r="F52" s="131"/>
      <c r="G52" s="131" t="s">
        <v>90</v>
      </c>
      <c r="H52" s="131"/>
    </row>
    <row r="53" spans="1:8" hidden="1">
      <c r="A53" s="131" t="s">
        <v>96</v>
      </c>
      <c r="B53" s="131" t="s">
        <v>97</v>
      </c>
      <c r="C53" s="131" t="s">
        <v>98</v>
      </c>
      <c r="D53" s="131"/>
      <c r="E53" s="131" t="s">
        <v>99</v>
      </c>
      <c r="F53" s="131"/>
      <c r="G53" s="131" t="s">
        <v>100</v>
      </c>
      <c r="H53" s="131"/>
    </row>
    <row r="54" spans="1:8" hidden="1">
      <c r="A54" s="131" t="s">
        <v>96</v>
      </c>
      <c r="B54" s="131" t="s">
        <v>101</v>
      </c>
      <c r="C54" s="131" t="s">
        <v>98</v>
      </c>
      <c r="D54" s="131"/>
      <c r="E54" s="131" t="s">
        <v>102</v>
      </c>
      <c r="F54" s="131"/>
      <c r="G54" s="131" t="s">
        <v>103</v>
      </c>
      <c r="H54" s="131"/>
    </row>
    <row r="55" spans="1:8" hidden="1">
      <c r="A55" s="131" t="s">
        <v>96</v>
      </c>
      <c r="B55" s="131" t="s">
        <v>104</v>
      </c>
      <c r="C55" s="131" t="s">
        <v>98</v>
      </c>
      <c r="D55" s="131"/>
      <c r="E55" s="131" t="s">
        <v>105</v>
      </c>
      <c r="F55" s="131"/>
      <c r="G55" s="131" t="s">
        <v>100</v>
      </c>
      <c r="H55" s="131"/>
    </row>
    <row r="56" spans="1:8" hidden="1">
      <c r="A56" s="131" t="s">
        <v>96</v>
      </c>
      <c r="B56" s="131" t="s">
        <v>106</v>
      </c>
      <c r="C56" s="131" t="s">
        <v>98</v>
      </c>
      <c r="D56" s="131"/>
      <c r="E56" s="131" t="s">
        <v>105</v>
      </c>
      <c r="F56" s="131"/>
      <c r="G56" s="131" t="s">
        <v>100</v>
      </c>
      <c r="H56" s="131"/>
    </row>
    <row r="57" spans="1:8" hidden="1">
      <c r="A57" s="131" t="s">
        <v>96</v>
      </c>
      <c r="B57" s="131" t="s">
        <v>107</v>
      </c>
      <c r="C57" s="131" t="s">
        <v>98</v>
      </c>
      <c r="D57" s="131"/>
      <c r="E57" s="131" t="s">
        <v>108</v>
      </c>
      <c r="F57" s="131"/>
      <c r="G57" s="131" t="s">
        <v>100</v>
      </c>
      <c r="H57" s="131"/>
    </row>
    <row r="58" spans="1:8" hidden="1">
      <c r="A58" s="131" t="s">
        <v>96</v>
      </c>
      <c r="B58" s="131" t="s">
        <v>109</v>
      </c>
      <c r="C58" s="131" t="s">
        <v>98</v>
      </c>
      <c r="D58" s="131"/>
      <c r="E58" s="131" t="s">
        <v>110</v>
      </c>
      <c r="F58" s="131"/>
      <c r="G58" s="131" t="s">
        <v>100</v>
      </c>
      <c r="H58" s="131"/>
    </row>
    <row r="59" spans="1:8" hidden="1">
      <c r="A59" s="131" t="s">
        <v>96</v>
      </c>
      <c r="B59" s="131" t="s">
        <v>111</v>
      </c>
      <c r="C59" s="131" t="s">
        <v>98</v>
      </c>
      <c r="D59" s="131"/>
      <c r="E59" s="131" t="s">
        <v>110</v>
      </c>
      <c r="F59" s="131"/>
      <c r="G59" s="131" t="s">
        <v>100</v>
      </c>
      <c r="H59" s="131"/>
    </row>
    <row r="60" spans="1:8" hidden="1">
      <c r="A60" s="131" t="s">
        <v>96</v>
      </c>
      <c r="B60" s="131" t="s">
        <v>112</v>
      </c>
      <c r="C60" s="131" t="s">
        <v>113</v>
      </c>
      <c r="D60" s="131"/>
      <c r="E60" s="131" t="s">
        <v>114</v>
      </c>
      <c r="F60" s="131"/>
      <c r="G60" s="131" t="s">
        <v>100</v>
      </c>
      <c r="H60" s="131"/>
    </row>
    <row r="61" spans="1:8" hidden="1">
      <c r="A61" s="131" t="s">
        <v>96</v>
      </c>
      <c r="B61" s="131" t="s">
        <v>115</v>
      </c>
      <c r="C61" s="131" t="s">
        <v>116</v>
      </c>
      <c r="D61" s="131"/>
      <c r="E61" s="131" t="s">
        <v>117</v>
      </c>
      <c r="F61" s="131"/>
      <c r="G61" s="131" t="s">
        <v>100</v>
      </c>
      <c r="H61" s="131"/>
    </row>
    <row r="62" spans="1:8" hidden="1">
      <c r="A62" s="131" t="s">
        <v>96</v>
      </c>
      <c r="B62" s="131" t="s">
        <v>118</v>
      </c>
      <c r="C62" s="131" t="s">
        <v>119</v>
      </c>
      <c r="D62" s="131"/>
      <c r="E62" s="131" t="s">
        <v>120</v>
      </c>
      <c r="F62" s="131"/>
      <c r="G62" s="131" t="s">
        <v>121</v>
      </c>
      <c r="H62" s="131"/>
    </row>
    <row r="63" spans="1:8" hidden="1">
      <c r="A63" s="131" t="s">
        <v>96</v>
      </c>
      <c r="B63" s="131" t="s">
        <v>122</v>
      </c>
      <c r="C63" s="131" t="s">
        <v>119</v>
      </c>
      <c r="D63" s="131"/>
      <c r="E63" s="131" t="s">
        <v>123</v>
      </c>
      <c r="F63" s="131"/>
      <c r="G63" s="131" t="s">
        <v>121</v>
      </c>
      <c r="H63" s="131"/>
    </row>
    <row r="64" spans="1:8" hidden="1">
      <c r="A64" s="131" t="s">
        <v>96</v>
      </c>
      <c r="B64" s="131" t="s">
        <v>124</v>
      </c>
      <c r="C64" s="131" t="s">
        <v>119</v>
      </c>
      <c r="D64" s="131"/>
      <c r="E64" s="131" t="s">
        <v>125</v>
      </c>
      <c r="F64" s="131"/>
      <c r="G64" s="131" t="s">
        <v>121</v>
      </c>
      <c r="H64" s="131"/>
    </row>
    <row r="65" spans="1:8" hidden="1">
      <c r="A65" s="131" t="s">
        <v>126</v>
      </c>
      <c r="B65" s="131" t="s">
        <v>127</v>
      </c>
      <c r="C65" s="131" t="s">
        <v>128</v>
      </c>
      <c r="D65" s="131"/>
      <c r="E65" s="131" t="s">
        <v>129</v>
      </c>
      <c r="F65" s="131"/>
      <c r="G65" s="131" t="s">
        <v>130</v>
      </c>
      <c r="H65" s="131"/>
    </row>
    <row r="66" spans="1:8" hidden="1">
      <c r="A66" s="131" t="s">
        <v>126</v>
      </c>
      <c r="B66" s="131" t="s">
        <v>131</v>
      </c>
      <c r="C66" s="131" t="s">
        <v>128</v>
      </c>
      <c r="D66" s="131"/>
      <c r="E66" s="131" t="s">
        <v>132</v>
      </c>
      <c r="F66" s="131"/>
      <c r="G66" s="131" t="s">
        <v>133</v>
      </c>
      <c r="H66" s="131"/>
    </row>
    <row r="67" spans="1:8" hidden="1">
      <c r="A67" s="131" t="s">
        <v>126</v>
      </c>
      <c r="B67" s="131" t="s">
        <v>134</v>
      </c>
      <c r="C67" s="131" t="s">
        <v>128</v>
      </c>
      <c r="D67" s="131"/>
      <c r="E67" s="131" t="s">
        <v>135</v>
      </c>
      <c r="F67" s="131"/>
      <c r="G67" s="131" t="s">
        <v>133</v>
      </c>
      <c r="H67" s="131"/>
    </row>
    <row r="68" spans="1:8" hidden="1">
      <c r="A68" s="131" t="s">
        <v>126</v>
      </c>
      <c r="B68" s="131" t="s">
        <v>136</v>
      </c>
      <c r="C68" s="131" t="s">
        <v>128</v>
      </c>
      <c r="D68" s="131"/>
      <c r="E68" s="131" t="s">
        <v>135</v>
      </c>
      <c r="F68" s="131"/>
      <c r="G68" s="131" t="s">
        <v>133</v>
      </c>
      <c r="H68" s="131"/>
    </row>
    <row r="69" spans="1:8" hidden="1">
      <c r="A69" s="131" t="s">
        <v>126</v>
      </c>
      <c r="B69" s="131" t="s">
        <v>137</v>
      </c>
      <c r="C69" s="131" t="s">
        <v>128</v>
      </c>
      <c r="D69" s="131"/>
      <c r="E69" s="131" t="s">
        <v>129</v>
      </c>
      <c r="F69" s="131"/>
      <c r="G69" s="131" t="s">
        <v>130</v>
      </c>
      <c r="H69" s="131"/>
    </row>
    <row r="70" spans="1:8" hidden="1">
      <c r="A70" s="131" t="s">
        <v>126</v>
      </c>
      <c r="B70" s="131" t="s">
        <v>138</v>
      </c>
      <c r="C70" s="131" t="s">
        <v>128</v>
      </c>
      <c r="D70" s="131"/>
      <c r="E70" s="131" t="s">
        <v>129</v>
      </c>
      <c r="F70" s="131"/>
      <c r="G70" s="131" t="s">
        <v>130</v>
      </c>
      <c r="H70" s="131"/>
    </row>
    <row r="71" spans="1:8" hidden="1">
      <c r="A71" s="131" t="s">
        <v>126</v>
      </c>
      <c r="B71" s="131" t="s">
        <v>139</v>
      </c>
      <c r="C71" s="131" t="s">
        <v>128</v>
      </c>
      <c r="D71" s="131"/>
      <c r="E71" s="131" t="s">
        <v>129</v>
      </c>
      <c r="F71" s="131"/>
      <c r="G71" s="131" t="s">
        <v>130</v>
      </c>
      <c r="H71" s="131"/>
    </row>
    <row r="72" spans="1:8" hidden="1">
      <c r="A72" s="131" t="s">
        <v>126</v>
      </c>
      <c r="B72" s="131" t="s">
        <v>140</v>
      </c>
      <c r="C72" s="131" t="s">
        <v>128</v>
      </c>
      <c r="D72" s="131"/>
      <c r="E72" s="131" t="s">
        <v>141</v>
      </c>
      <c r="F72" s="131"/>
      <c r="G72" s="131" t="s">
        <v>142</v>
      </c>
      <c r="H72" s="131"/>
    </row>
    <row r="73" spans="1:8" hidden="1">
      <c r="A73" s="131" t="s">
        <v>126</v>
      </c>
      <c r="B73" s="131" t="s">
        <v>143</v>
      </c>
      <c r="C73" s="131" t="s">
        <v>128</v>
      </c>
      <c r="D73" s="131"/>
      <c r="E73" s="131" t="s">
        <v>141</v>
      </c>
      <c r="F73" s="131"/>
      <c r="G73" s="131" t="s">
        <v>142</v>
      </c>
      <c r="H73" s="131"/>
    </row>
    <row r="74" spans="1:8" hidden="1">
      <c r="A74" s="131" t="s">
        <v>126</v>
      </c>
      <c r="B74" s="131" t="s">
        <v>144</v>
      </c>
      <c r="C74" s="131" t="s">
        <v>128</v>
      </c>
      <c r="D74" s="131"/>
      <c r="E74" s="131" t="s">
        <v>141</v>
      </c>
      <c r="F74" s="131"/>
      <c r="G74" s="131" t="s">
        <v>142</v>
      </c>
      <c r="H74" s="131"/>
    </row>
    <row r="75" spans="1:8" hidden="1">
      <c r="A75" s="131" t="s">
        <v>145</v>
      </c>
      <c r="B75" s="131" t="s">
        <v>146</v>
      </c>
      <c r="C75" s="131" t="s">
        <v>147</v>
      </c>
      <c r="D75" s="131"/>
      <c r="E75" s="131" t="s">
        <v>148</v>
      </c>
      <c r="F75" s="131"/>
      <c r="G75" s="131" t="s">
        <v>149</v>
      </c>
      <c r="H75" s="131"/>
    </row>
    <row r="76" spans="1:8" hidden="1">
      <c r="A76" s="131" t="s">
        <v>145</v>
      </c>
      <c r="B76" s="131" t="s">
        <v>150</v>
      </c>
      <c r="C76" s="131" t="s">
        <v>147</v>
      </c>
      <c r="D76" s="131"/>
      <c r="E76" s="131" t="s">
        <v>148</v>
      </c>
      <c r="F76" s="131"/>
      <c r="G76" s="131" t="s">
        <v>149</v>
      </c>
      <c r="H76" s="131"/>
    </row>
    <row r="77" spans="1:8" hidden="1">
      <c r="A77" s="131" t="s">
        <v>145</v>
      </c>
      <c r="B77" s="131" t="s">
        <v>151</v>
      </c>
      <c r="C77" s="131" t="s">
        <v>147</v>
      </c>
      <c r="D77" s="131"/>
      <c r="E77" s="131" t="s">
        <v>148</v>
      </c>
      <c r="F77" s="131"/>
      <c r="G77" s="131" t="s">
        <v>149</v>
      </c>
      <c r="H77" s="131"/>
    </row>
    <row r="78" spans="1:8" hidden="1">
      <c r="A78" s="131" t="s">
        <v>145</v>
      </c>
      <c r="B78" s="131" t="s">
        <v>152</v>
      </c>
      <c r="C78" s="131" t="s">
        <v>147</v>
      </c>
      <c r="D78" s="131"/>
      <c r="E78" s="131" t="s">
        <v>148</v>
      </c>
      <c r="F78" s="131"/>
      <c r="G78" s="131" t="s">
        <v>149</v>
      </c>
      <c r="H78" s="131"/>
    </row>
    <row r="79" spans="1:8" hidden="1">
      <c r="A79" s="131" t="s">
        <v>145</v>
      </c>
      <c r="B79" s="131" t="s">
        <v>153</v>
      </c>
      <c r="C79" s="131" t="s">
        <v>147</v>
      </c>
      <c r="D79" s="131"/>
      <c r="E79" s="131" t="s">
        <v>148</v>
      </c>
      <c r="F79" s="131"/>
      <c r="G79" s="131" t="s">
        <v>100</v>
      </c>
      <c r="H79" s="131"/>
    </row>
    <row r="80" spans="1:8" hidden="1">
      <c r="A80" s="131" t="s">
        <v>145</v>
      </c>
      <c r="B80" s="131" t="s">
        <v>153</v>
      </c>
      <c r="C80" s="131" t="s">
        <v>147</v>
      </c>
      <c r="D80" s="131"/>
      <c r="E80" s="131" t="s">
        <v>154</v>
      </c>
      <c r="F80" s="131"/>
      <c r="G80" s="131" t="s">
        <v>100</v>
      </c>
      <c r="H80" s="131"/>
    </row>
    <row r="81" spans="1:8" hidden="1">
      <c r="A81" s="131" t="s">
        <v>145</v>
      </c>
      <c r="B81" s="131" t="s">
        <v>155</v>
      </c>
      <c r="C81" s="131" t="s">
        <v>147</v>
      </c>
      <c r="D81" s="131"/>
      <c r="E81" s="131" t="s">
        <v>154</v>
      </c>
      <c r="F81" s="131"/>
      <c r="G81" s="131" t="s">
        <v>149</v>
      </c>
      <c r="H81" s="131"/>
    </row>
    <row r="82" spans="1:8" hidden="1">
      <c r="A82" s="131" t="s">
        <v>145</v>
      </c>
      <c r="B82" s="131" t="s">
        <v>156</v>
      </c>
      <c r="C82" s="131" t="s">
        <v>147</v>
      </c>
      <c r="D82" s="131"/>
      <c r="E82" s="131" t="s">
        <v>154</v>
      </c>
      <c r="F82" s="131"/>
      <c r="G82" s="131" t="s">
        <v>149</v>
      </c>
      <c r="H82" s="131"/>
    </row>
    <row r="83" spans="1:8" hidden="1">
      <c r="A83" s="131" t="s">
        <v>145</v>
      </c>
      <c r="B83" s="131" t="s">
        <v>157</v>
      </c>
      <c r="C83" s="131" t="s">
        <v>147</v>
      </c>
      <c r="D83" s="131"/>
      <c r="E83" s="131" t="s">
        <v>158</v>
      </c>
      <c r="F83" s="131"/>
      <c r="G83" s="131" t="s">
        <v>100</v>
      </c>
      <c r="H83" s="131"/>
    </row>
    <row r="84" spans="1:8" hidden="1">
      <c r="A84" s="131" t="s">
        <v>145</v>
      </c>
      <c r="B84" s="131" t="s">
        <v>159</v>
      </c>
      <c r="C84" s="131" t="s">
        <v>147</v>
      </c>
      <c r="D84" s="131"/>
      <c r="E84" s="131" t="s">
        <v>158</v>
      </c>
      <c r="F84" s="131"/>
      <c r="G84" s="131" t="s">
        <v>100</v>
      </c>
      <c r="H84" s="131"/>
    </row>
    <row r="85" spans="1:8" hidden="1">
      <c r="A85" s="131" t="s">
        <v>145</v>
      </c>
      <c r="B85" s="131" t="s">
        <v>160</v>
      </c>
      <c r="C85" s="131" t="s">
        <v>147</v>
      </c>
      <c r="D85" s="131"/>
      <c r="E85" s="131" t="s">
        <v>158</v>
      </c>
      <c r="F85" s="131"/>
      <c r="G85" s="131" t="s">
        <v>100</v>
      </c>
      <c r="H85" s="131"/>
    </row>
    <row r="86" spans="1:8" hidden="1">
      <c r="A86" s="131" t="s">
        <v>145</v>
      </c>
      <c r="B86" s="131" t="s">
        <v>161</v>
      </c>
      <c r="C86" s="131" t="s">
        <v>162</v>
      </c>
      <c r="D86" s="131"/>
      <c r="E86" s="131" t="s">
        <v>163</v>
      </c>
      <c r="F86" s="131"/>
      <c r="G86" s="131" t="s">
        <v>164</v>
      </c>
      <c r="H86" s="131"/>
    </row>
    <row r="87" spans="1:8" hidden="1">
      <c r="A87" s="131" t="s">
        <v>145</v>
      </c>
      <c r="B87" s="131" t="s">
        <v>165</v>
      </c>
      <c r="C87" s="131" t="s">
        <v>162</v>
      </c>
      <c r="D87" s="131"/>
      <c r="E87" s="131" t="s">
        <v>166</v>
      </c>
      <c r="F87" s="131"/>
      <c r="G87" s="131" t="s">
        <v>100</v>
      </c>
      <c r="H87" s="131"/>
    </row>
    <row r="88" spans="1:8" hidden="1">
      <c r="A88" s="131" t="s">
        <v>145</v>
      </c>
      <c r="B88" s="131" t="s">
        <v>167</v>
      </c>
      <c r="C88" s="131" t="s">
        <v>162</v>
      </c>
      <c r="D88" s="131"/>
      <c r="E88" s="131" t="s">
        <v>166</v>
      </c>
      <c r="F88" s="131"/>
      <c r="G88" s="131" t="s">
        <v>100</v>
      </c>
      <c r="H88" s="131"/>
    </row>
    <row r="89" spans="1:8" hidden="1">
      <c r="A89" s="131" t="s">
        <v>145</v>
      </c>
      <c r="B89" s="131" t="s">
        <v>168</v>
      </c>
      <c r="C89" s="131" t="s">
        <v>162</v>
      </c>
      <c r="D89" s="131"/>
      <c r="E89" s="131" t="s">
        <v>166</v>
      </c>
      <c r="F89" s="131"/>
      <c r="G89" s="131" t="s">
        <v>100</v>
      </c>
      <c r="H89" s="131"/>
    </row>
    <row r="90" spans="1:8" hidden="1">
      <c r="A90" s="131" t="s">
        <v>145</v>
      </c>
      <c r="B90" s="131" t="s">
        <v>169</v>
      </c>
      <c r="C90" s="131" t="s">
        <v>162</v>
      </c>
      <c r="D90" s="131"/>
      <c r="E90" s="131" t="s">
        <v>166</v>
      </c>
      <c r="F90" s="131"/>
      <c r="G90" s="131" t="s">
        <v>100</v>
      </c>
      <c r="H90" s="131"/>
    </row>
    <row r="91" spans="1:8" hidden="1">
      <c r="A91" s="131" t="s">
        <v>145</v>
      </c>
      <c r="B91" s="131" t="s">
        <v>170</v>
      </c>
      <c r="C91" s="131" t="s">
        <v>162</v>
      </c>
      <c r="D91" s="131"/>
      <c r="E91" s="131" t="s">
        <v>166</v>
      </c>
      <c r="F91" s="131"/>
      <c r="G91" s="131" t="s">
        <v>100</v>
      </c>
      <c r="H91" s="131"/>
    </row>
    <row r="92" spans="1:8" hidden="1">
      <c r="A92" s="131" t="s">
        <v>145</v>
      </c>
      <c r="B92" s="131" t="s">
        <v>171</v>
      </c>
      <c r="C92" s="131" t="s">
        <v>162</v>
      </c>
      <c r="D92" s="131"/>
      <c r="E92" s="131" t="s">
        <v>166</v>
      </c>
      <c r="F92" s="131"/>
      <c r="G92" s="131" t="s">
        <v>100</v>
      </c>
      <c r="H92" s="131"/>
    </row>
    <row r="93" spans="1:8" hidden="1">
      <c r="A93" s="131" t="s">
        <v>145</v>
      </c>
      <c r="B93" s="131" t="s">
        <v>172</v>
      </c>
      <c r="C93" s="131" t="s">
        <v>173</v>
      </c>
      <c r="D93" s="131"/>
      <c r="E93" s="131" t="s">
        <v>174</v>
      </c>
      <c r="F93" s="131"/>
      <c r="G93" s="131" t="s">
        <v>175</v>
      </c>
      <c r="H93" s="131"/>
    </row>
    <row r="94" spans="1:8" hidden="1">
      <c r="A94" s="131" t="s">
        <v>145</v>
      </c>
      <c r="B94" s="131" t="s">
        <v>176</v>
      </c>
      <c r="C94" s="131" t="s">
        <v>173</v>
      </c>
      <c r="D94" s="131"/>
      <c r="E94" s="131" t="s">
        <v>174</v>
      </c>
      <c r="F94" s="131"/>
      <c r="G94" s="131" t="s">
        <v>177</v>
      </c>
      <c r="H94" s="131"/>
    </row>
    <row r="95" spans="1:8" hidden="1">
      <c r="A95" s="131" t="s">
        <v>145</v>
      </c>
      <c r="B95" s="131" t="s">
        <v>178</v>
      </c>
      <c r="C95" s="131" t="s">
        <v>173</v>
      </c>
      <c r="D95" s="131"/>
      <c r="E95" s="131" t="s">
        <v>174</v>
      </c>
      <c r="F95" s="131"/>
      <c r="G95" s="131" t="s">
        <v>100</v>
      </c>
      <c r="H95" s="131"/>
    </row>
    <row r="96" spans="1:8" hidden="1">
      <c r="A96" s="131" t="s">
        <v>145</v>
      </c>
      <c r="B96" s="131" t="s">
        <v>179</v>
      </c>
      <c r="C96" s="131" t="s">
        <v>173</v>
      </c>
      <c r="D96" s="131"/>
      <c r="E96" s="131" t="s">
        <v>174</v>
      </c>
      <c r="F96" s="131"/>
      <c r="G96" s="131" t="s">
        <v>100</v>
      </c>
      <c r="H96" s="131"/>
    </row>
    <row r="97" spans="1:8" hidden="1">
      <c r="A97" s="131" t="s">
        <v>145</v>
      </c>
      <c r="B97" s="131" t="s">
        <v>178</v>
      </c>
      <c r="C97" s="131" t="s">
        <v>173</v>
      </c>
      <c r="D97" s="131"/>
      <c r="E97" s="131" t="s">
        <v>180</v>
      </c>
      <c r="F97" s="131"/>
      <c r="G97" s="131" t="s">
        <v>100</v>
      </c>
      <c r="H97" s="131"/>
    </row>
    <row r="98" spans="1:8" hidden="1">
      <c r="A98" s="131" t="s">
        <v>145</v>
      </c>
      <c r="B98" s="131" t="s">
        <v>181</v>
      </c>
      <c r="C98" s="131" t="s">
        <v>162</v>
      </c>
      <c r="D98" s="131"/>
      <c r="E98" s="131" t="s">
        <v>182</v>
      </c>
      <c r="F98" s="131"/>
      <c r="G98" s="131" t="s">
        <v>164</v>
      </c>
      <c r="H98" s="131"/>
    </row>
    <row r="99" spans="1:8" hidden="1">
      <c r="A99" s="131" t="s">
        <v>145</v>
      </c>
      <c r="B99" s="131" t="s">
        <v>178</v>
      </c>
      <c r="C99" s="131" t="s">
        <v>173</v>
      </c>
      <c r="D99" s="131"/>
      <c r="E99" s="131" t="s">
        <v>183</v>
      </c>
      <c r="F99" s="131"/>
      <c r="G99" s="131" t="s">
        <v>184</v>
      </c>
      <c r="H99" s="131"/>
    </row>
    <row r="100" spans="1:8" hidden="1">
      <c r="A100" s="131" t="s">
        <v>145</v>
      </c>
      <c r="B100" s="131" t="s">
        <v>185</v>
      </c>
      <c r="C100" s="131" t="s">
        <v>173</v>
      </c>
      <c r="D100" s="131"/>
      <c r="E100" s="131" t="s">
        <v>183</v>
      </c>
      <c r="F100" s="131"/>
      <c r="G100" s="131" t="s">
        <v>184</v>
      </c>
      <c r="H100" s="131"/>
    </row>
    <row r="101" spans="1:8" hidden="1">
      <c r="A101" s="131" t="s">
        <v>145</v>
      </c>
      <c r="B101" s="131" t="s">
        <v>185</v>
      </c>
      <c r="C101" s="131" t="s">
        <v>173</v>
      </c>
      <c r="D101" s="131"/>
      <c r="E101" s="131" t="s">
        <v>186</v>
      </c>
      <c r="F101" s="131"/>
      <c r="G101" s="131" t="s">
        <v>184</v>
      </c>
      <c r="H101" s="131"/>
    </row>
  </sheetData>
  <autoFilter ref="A1:I101" xr:uid="{A4AB1B0E-358B-42C2-9D0A-E02812A76C3C}">
    <filterColumn colId="0">
      <filters>
        <filter val="Дальний Восток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70" zoomScaleNormal="70" workbookViewId="0">
      <pane xSplit="4" ySplit="3" topLeftCell="E4" activePane="bottomRight" state="frozen"/>
      <selection pane="bottomRight" activeCell="E45" sqref="E45:E46"/>
      <selection pane="bottomLeft" activeCell="A4" sqref="A4"/>
      <selection pane="topRight" activeCell="E1" sqref="E1"/>
    </sheetView>
  </sheetViews>
  <sheetFormatPr defaultColWidth="8.85546875" defaultRowHeight="13.9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>
      <c r="A1" s="42" t="s">
        <v>187</v>
      </c>
      <c r="B1" s="43" t="s">
        <v>188</v>
      </c>
      <c r="F1" s="45"/>
      <c r="G1" s="45"/>
      <c r="I1" s="454" t="s">
        <v>189</v>
      </c>
      <c r="J1" s="455"/>
      <c r="K1" s="455"/>
      <c r="L1" s="455"/>
      <c r="M1" s="455"/>
      <c r="N1" s="455"/>
      <c r="O1" s="455"/>
      <c r="P1" s="455"/>
      <c r="Q1" s="455"/>
      <c r="R1" s="455"/>
      <c r="S1" s="456"/>
      <c r="T1" s="454" t="s">
        <v>190</v>
      </c>
      <c r="U1" s="455"/>
      <c r="V1" s="455"/>
      <c r="W1" s="456"/>
    </row>
    <row r="2" spans="1:23" s="46" customFormat="1" ht="59.45" customHeight="1" thickBot="1">
      <c r="I2" s="47" t="s">
        <v>191</v>
      </c>
      <c r="J2" s="48" t="s">
        <v>192</v>
      </c>
      <c r="K2" s="46" t="s">
        <v>192</v>
      </c>
      <c r="L2" s="49" t="s">
        <v>192</v>
      </c>
      <c r="M2" s="46" t="s">
        <v>193</v>
      </c>
      <c r="N2" s="46" t="s">
        <v>193</v>
      </c>
      <c r="O2" s="46" t="s">
        <v>193</v>
      </c>
      <c r="P2" s="46" t="s">
        <v>193</v>
      </c>
      <c r="Q2" s="46" t="s">
        <v>193</v>
      </c>
      <c r="R2" s="46" t="s">
        <v>193</v>
      </c>
      <c r="S2" s="49" t="s">
        <v>193</v>
      </c>
      <c r="T2" s="457" t="s">
        <v>194</v>
      </c>
      <c r="U2" s="458"/>
      <c r="V2" s="458"/>
      <c r="W2" s="459"/>
    </row>
    <row r="3" spans="1:23" s="56" customFormat="1" ht="28.15" thickBot="1">
      <c r="A3" s="50" t="s">
        <v>195</v>
      </c>
      <c r="B3" s="51" t="s">
        <v>196</v>
      </c>
      <c r="C3" s="51" t="s">
        <v>197</v>
      </c>
      <c r="D3" s="52" t="s">
        <v>198</v>
      </c>
      <c r="E3" s="50" t="s">
        <v>199</v>
      </c>
      <c r="F3" s="52" t="s">
        <v>200</v>
      </c>
      <c r="G3" s="53" t="s">
        <v>201</v>
      </c>
      <c r="H3" s="53" t="s">
        <v>202</v>
      </c>
      <c r="I3" s="50" t="s">
        <v>203</v>
      </c>
      <c r="J3" s="50" t="s">
        <v>204</v>
      </c>
      <c r="K3" s="51" t="s">
        <v>205</v>
      </c>
      <c r="L3" s="52" t="s">
        <v>206</v>
      </c>
      <c r="M3" s="51" t="s">
        <v>207</v>
      </c>
      <c r="N3" s="51" t="s">
        <v>208</v>
      </c>
      <c r="O3" s="51" t="s">
        <v>209</v>
      </c>
      <c r="P3" s="51" t="s">
        <v>210</v>
      </c>
      <c r="Q3" s="51" t="s">
        <v>211</v>
      </c>
      <c r="R3" s="51" t="s">
        <v>212</v>
      </c>
      <c r="S3" s="52" t="s">
        <v>213</v>
      </c>
      <c r="T3" s="50" t="s">
        <v>214</v>
      </c>
      <c r="U3" s="51" t="s">
        <v>215</v>
      </c>
      <c r="V3" s="54" t="s">
        <v>204</v>
      </c>
      <c r="W3" s="55" t="s">
        <v>205</v>
      </c>
    </row>
    <row r="4" spans="1:23">
      <c r="A4" s="57" t="s">
        <v>216</v>
      </c>
      <c r="B4" s="58" t="s">
        <v>217</v>
      </c>
      <c r="C4" s="58" t="s">
        <v>218</v>
      </c>
      <c r="D4" s="59" t="s">
        <v>219</v>
      </c>
      <c r="E4" s="60"/>
      <c r="F4" s="60"/>
      <c r="G4" s="460">
        <v>2</v>
      </c>
      <c r="H4" s="460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>
      <c r="A5" s="64" t="s">
        <v>220</v>
      </c>
      <c r="B5" s="65" t="s">
        <v>217</v>
      </c>
      <c r="C5" s="65" t="s">
        <v>218</v>
      </c>
      <c r="D5" s="66" t="s">
        <v>219</v>
      </c>
      <c r="G5" s="461"/>
      <c r="H5" s="461"/>
      <c r="I5" s="67">
        <v>13101834.389945012</v>
      </c>
      <c r="W5" s="68"/>
    </row>
    <row r="6" spans="1:23">
      <c r="A6" s="64" t="s">
        <v>221</v>
      </c>
      <c r="B6" s="65" t="s">
        <v>217</v>
      </c>
      <c r="C6" s="65" t="s">
        <v>218</v>
      </c>
      <c r="D6" s="66" t="s">
        <v>219</v>
      </c>
      <c r="G6" s="461"/>
      <c r="H6" s="461"/>
      <c r="I6" s="67">
        <v>12765397.916910024</v>
      </c>
      <c r="W6" s="68"/>
    </row>
    <row r="7" spans="1:23">
      <c r="A7" s="64" t="s">
        <v>222</v>
      </c>
      <c r="B7" s="65" t="s">
        <v>217</v>
      </c>
      <c r="C7" s="65" t="s">
        <v>218</v>
      </c>
      <c r="D7" s="66" t="s">
        <v>219</v>
      </c>
      <c r="G7" s="461"/>
      <c r="H7" s="461"/>
      <c r="I7" s="67">
        <v>9760270.0104750115</v>
      </c>
      <c r="W7" s="68"/>
    </row>
    <row r="8" spans="1:23">
      <c r="A8" s="64" t="s">
        <v>223</v>
      </c>
      <c r="B8" s="65" t="s">
        <v>217</v>
      </c>
      <c r="C8" s="65" t="s">
        <v>218</v>
      </c>
      <c r="D8" s="66" t="s">
        <v>219</v>
      </c>
      <c r="G8" s="461"/>
      <c r="H8" s="461"/>
      <c r="I8" s="67">
        <v>14278538.622679975</v>
      </c>
      <c r="W8" s="68"/>
    </row>
    <row r="9" spans="1:23">
      <c r="A9" s="64" t="s">
        <v>224</v>
      </c>
      <c r="B9" s="65" t="s">
        <v>217</v>
      </c>
      <c r="C9" s="65" t="s">
        <v>218</v>
      </c>
      <c r="D9" s="66" t="s">
        <v>219</v>
      </c>
      <c r="G9" s="461"/>
      <c r="H9" s="461"/>
      <c r="I9" s="67">
        <v>18179410.183660042</v>
      </c>
      <c r="W9" s="68"/>
    </row>
    <row r="10" spans="1:23" ht="14.45" thickBot="1">
      <c r="A10" s="69" t="s">
        <v>225</v>
      </c>
      <c r="B10" s="70" t="s">
        <v>217</v>
      </c>
      <c r="C10" s="70" t="s">
        <v>218</v>
      </c>
      <c r="D10" s="71" t="s">
        <v>219</v>
      </c>
      <c r="E10" s="72"/>
      <c r="F10" s="72"/>
      <c r="G10" s="462"/>
      <c r="H10" s="462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>
      <c r="A11" s="57" t="s">
        <v>216</v>
      </c>
      <c r="B11" s="58" t="s">
        <v>217</v>
      </c>
      <c r="C11" s="58" t="s">
        <v>218</v>
      </c>
      <c r="D11" s="58" t="s">
        <v>226</v>
      </c>
      <c r="E11" s="60"/>
      <c r="F11" s="60"/>
      <c r="G11" s="460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>
      <c r="A12" s="64" t="s">
        <v>220</v>
      </c>
      <c r="B12" s="65" t="s">
        <v>217</v>
      </c>
      <c r="C12" s="65" t="s">
        <v>218</v>
      </c>
      <c r="D12" s="65" t="s">
        <v>226</v>
      </c>
      <c r="G12" s="461"/>
      <c r="I12" s="67"/>
      <c r="W12" s="68"/>
    </row>
    <row r="13" spans="1:23">
      <c r="A13" s="64" t="s">
        <v>221</v>
      </c>
      <c r="B13" s="65" t="s">
        <v>217</v>
      </c>
      <c r="C13" s="65" t="s">
        <v>218</v>
      </c>
      <c r="D13" s="65" t="s">
        <v>226</v>
      </c>
      <c r="G13" s="461"/>
      <c r="I13" s="67"/>
      <c r="W13" s="68"/>
    </row>
    <row r="14" spans="1:23">
      <c r="A14" s="64" t="s">
        <v>227</v>
      </c>
      <c r="B14" s="65" t="s">
        <v>217</v>
      </c>
      <c r="C14" s="65" t="s">
        <v>218</v>
      </c>
      <c r="D14" s="65" t="s">
        <v>226</v>
      </c>
      <c r="G14" s="461"/>
      <c r="I14" s="67"/>
      <c r="W14" s="68"/>
    </row>
    <row r="15" spans="1:23">
      <c r="A15" s="64" t="s">
        <v>223</v>
      </c>
      <c r="B15" s="65" t="s">
        <v>217</v>
      </c>
      <c r="C15" s="65" t="s">
        <v>218</v>
      </c>
      <c r="D15" s="65" t="s">
        <v>226</v>
      </c>
      <c r="G15" s="461"/>
      <c r="I15" s="67"/>
      <c r="T15" s="67">
        <v>3407072.5562050003</v>
      </c>
      <c r="U15" s="67"/>
      <c r="V15" s="67"/>
      <c r="W15" s="68"/>
    </row>
    <row r="16" spans="1:23">
      <c r="A16" s="64" t="s">
        <v>224</v>
      </c>
      <c r="B16" s="65" t="s">
        <v>217</v>
      </c>
      <c r="C16" s="65" t="s">
        <v>218</v>
      </c>
      <c r="D16" s="65" t="s">
        <v>226</v>
      </c>
      <c r="G16" s="461"/>
      <c r="I16" s="67"/>
      <c r="T16" s="67"/>
      <c r="U16" s="67"/>
      <c r="V16" s="67"/>
      <c r="W16" s="68"/>
    </row>
    <row r="17" spans="1:23" ht="14.45" thickBot="1">
      <c r="A17" s="69" t="s">
        <v>225</v>
      </c>
      <c r="B17" s="70" t="s">
        <v>217</v>
      </c>
      <c r="C17" s="70" t="s">
        <v>218</v>
      </c>
      <c r="D17" s="70" t="s">
        <v>226</v>
      </c>
      <c r="E17" s="72"/>
      <c r="F17" s="72"/>
      <c r="G17" s="462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>
      <c r="A18" s="57" t="s">
        <v>216</v>
      </c>
      <c r="B18" s="58" t="s">
        <v>217</v>
      </c>
      <c r="C18" s="58" t="s">
        <v>218</v>
      </c>
      <c r="D18" s="58" t="s">
        <v>228</v>
      </c>
      <c r="E18" s="60"/>
      <c r="F18" s="60"/>
      <c r="G18" s="460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>
      <c r="A19" s="64" t="s">
        <v>220</v>
      </c>
      <c r="B19" s="65" t="s">
        <v>217</v>
      </c>
      <c r="C19" s="65" t="s">
        <v>218</v>
      </c>
      <c r="D19" s="65" t="s">
        <v>228</v>
      </c>
      <c r="G19" s="461"/>
      <c r="T19" s="67"/>
      <c r="U19" s="67"/>
      <c r="V19" s="67"/>
      <c r="W19" s="68"/>
    </row>
    <row r="20" spans="1:23">
      <c r="A20" s="64" t="s">
        <v>221</v>
      </c>
      <c r="B20" s="65" t="s">
        <v>217</v>
      </c>
      <c r="C20" s="65" t="s">
        <v>218</v>
      </c>
      <c r="D20" s="65" t="s">
        <v>228</v>
      </c>
      <c r="G20" s="461"/>
      <c r="T20" s="67"/>
      <c r="U20" s="67"/>
      <c r="V20" s="67"/>
      <c r="W20" s="68"/>
    </row>
    <row r="21" spans="1:23">
      <c r="A21" s="64" t="s">
        <v>222</v>
      </c>
      <c r="B21" s="65" t="s">
        <v>217</v>
      </c>
      <c r="C21" s="65" t="s">
        <v>218</v>
      </c>
      <c r="D21" s="65" t="s">
        <v>228</v>
      </c>
      <c r="G21" s="461"/>
      <c r="T21" s="67"/>
      <c r="U21" s="67"/>
      <c r="V21" s="67"/>
      <c r="W21" s="68"/>
    </row>
    <row r="22" spans="1:23">
      <c r="A22" s="64" t="s">
        <v>223</v>
      </c>
      <c r="B22" s="65" t="s">
        <v>217</v>
      </c>
      <c r="C22" s="65" t="s">
        <v>218</v>
      </c>
      <c r="D22" s="65" t="s">
        <v>228</v>
      </c>
      <c r="G22" s="461"/>
      <c r="T22" s="67">
        <v>10871466.066474997</v>
      </c>
      <c r="U22" s="67"/>
      <c r="V22" s="67"/>
      <c r="W22" s="68"/>
    </row>
    <row r="23" spans="1:23">
      <c r="A23" s="64" t="s">
        <v>224</v>
      </c>
      <c r="B23" s="65" t="s">
        <v>217</v>
      </c>
      <c r="C23" s="65" t="s">
        <v>218</v>
      </c>
      <c r="D23" s="65" t="s">
        <v>228</v>
      </c>
      <c r="G23" s="461"/>
      <c r="W23" s="68"/>
    </row>
    <row r="24" spans="1:23" ht="14.45" thickBot="1">
      <c r="A24" s="69" t="s">
        <v>225</v>
      </c>
      <c r="B24" s="70" t="s">
        <v>217</v>
      </c>
      <c r="C24" s="70" t="s">
        <v>218</v>
      </c>
      <c r="D24" s="70" t="s">
        <v>228</v>
      </c>
      <c r="E24" s="72"/>
      <c r="F24" s="72"/>
      <c r="G24" s="46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>
      <c r="A25" s="57" t="s">
        <v>216</v>
      </c>
      <c r="B25" s="58"/>
      <c r="C25" s="58" t="s">
        <v>217</v>
      </c>
      <c r="D25" s="58" t="s">
        <v>229</v>
      </c>
      <c r="E25" s="60"/>
      <c r="F25" s="60"/>
      <c r="G25" s="460">
        <v>2</v>
      </c>
      <c r="H25" s="60"/>
      <c r="I25" s="60"/>
      <c r="J25" s="60"/>
      <c r="K25" s="110" t="s">
        <v>230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>
      <c r="A26" s="64" t="s">
        <v>222</v>
      </c>
      <c r="B26" s="65"/>
      <c r="C26" s="65" t="s">
        <v>217</v>
      </c>
      <c r="D26" s="65" t="s">
        <v>229</v>
      </c>
      <c r="G26" s="461"/>
      <c r="K26" s="111" t="s">
        <v>231</v>
      </c>
      <c r="N26" s="80"/>
      <c r="W26" s="68"/>
    </row>
    <row r="27" spans="1:23">
      <c r="A27" s="64" t="s">
        <v>220</v>
      </c>
      <c r="B27" s="65"/>
      <c r="C27" s="65" t="s">
        <v>217</v>
      </c>
      <c r="D27" s="65" t="s">
        <v>229</v>
      </c>
      <c r="G27" s="461"/>
      <c r="K27" s="111" t="s">
        <v>232</v>
      </c>
      <c r="N27" s="80"/>
      <c r="W27" s="68"/>
    </row>
    <row r="28" spans="1:23">
      <c r="A28" s="64" t="s">
        <v>224</v>
      </c>
      <c r="B28" s="65"/>
      <c r="C28" s="65" t="s">
        <v>217</v>
      </c>
      <c r="D28" s="65" t="s">
        <v>229</v>
      </c>
      <c r="G28" s="461"/>
      <c r="K28" s="111" t="s">
        <v>233</v>
      </c>
      <c r="N28" s="80"/>
      <c r="W28" s="68"/>
    </row>
    <row r="29" spans="1:23">
      <c r="A29" s="64" t="s">
        <v>223</v>
      </c>
      <c r="B29" s="65"/>
      <c r="C29" s="65" t="s">
        <v>217</v>
      </c>
      <c r="D29" s="65" t="s">
        <v>229</v>
      </c>
      <c r="G29" s="461"/>
      <c r="K29" s="111" t="s">
        <v>234</v>
      </c>
      <c r="N29" s="80"/>
      <c r="W29" s="68"/>
    </row>
    <row r="30" spans="1:23">
      <c r="A30" s="64" t="s">
        <v>225</v>
      </c>
      <c r="B30" s="65"/>
      <c r="C30" s="65" t="s">
        <v>217</v>
      </c>
      <c r="D30" s="65" t="s">
        <v>229</v>
      </c>
      <c r="G30" s="461"/>
      <c r="K30" s="111" t="s">
        <v>235</v>
      </c>
      <c r="N30" s="80"/>
      <c r="W30" s="68"/>
    </row>
    <row r="31" spans="1:23" ht="14.45" thickBot="1">
      <c r="A31" s="69" t="s">
        <v>221</v>
      </c>
      <c r="B31" s="70"/>
      <c r="C31" s="70" t="s">
        <v>217</v>
      </c>
      <c r="D31" s="70" t="s">
        <v>229</v>
      </c>
      <c r="G31" s="462"/>
      <c r="K31" s="111" t="s">
        <v>236</v>
      </c>
      <c r="N31" s="80"/>
      <c r="W31" s="68"/>
    </row>
    <row r="32" spans="1:23">
      <c r="A32" s="57" t="s">
        <v>216</v>
      </c>
      <c r="B32" s="58" t="s">
        <v>217</v>
      </c>
      <c r="C32" s="58" t="s">
        <v>218</v>
      </c>
      <c r="D32" s="58" t="s">
        <v>237</v>
      </c>
      <c r="E32" s="60"/>
      <c r="F32" s="60"/>
      <c r="G32" s="460">
        <v>3</v>
      </c>
      <c r="H32" s="60"/>
      <c r="I32" s="60"/>
      <c r="J32" s="60" t="s">
        <v>238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>
      <c r="A33" s="64" t="s">
        <v>222</v>
      </c>
      <c r="B33" s="65" t="s">
        <v>217</v>
      </c>
      <c r="C33" s="65" t="s">
        <v>218</v>
      </c>
      <c r="D33" s="65" t="s">
        <v>237</v>
      </c>
      <c r="G33" s="461"/>
      <c r="J33" s="63" t="s">
        <v>239</v>
      </c>
      <c r="K33" s="67"/>
      <c r="N33" s="67"/>
      <c r="W33" s="68"/>
    </row>
    <row r="34" spans="1:23" ht="14.45" customHeight="1">
      <c r="A34" s="64" t="s">
        <v>220</v>
      </c>
      <c r="B34" s="65" t="s">
        <v>217</v>
      </c>
      <c r="C34" s="65" t="s">
        <v>218</v>
      </c>
      <c r="D34" s="65" t="s">
        <v>237</v>
      </c>
      <c r="G34" s="461"/>
      <c r="J34" s="63" t="s">
        <v>240</v>
      </c>
      <c r="K34" s="67"/>
      <c r="N34" s="67"/>
      <c r="W34" s="68"/>
    </row>
    <row r="35" spans="1:23" ht="14.45" customHeight="1">
      <c r="A35" s="64" t="s">
        <v>224</v>
      </c>
      <c r="B35" s="65" t="s">
        <v>217</v>
      </c>
      <c r="C35" s="65" t="s">
        <v>218</v>
      </c>
      <c r="D35" s="65" t="s">
        <v>237</v>
      </c>
      <c r="G35" s="461"/>
      <c r="J35" s="63" t="s">
        <v>241</v>
      </c>
      <c r="K35" s="67"/>
      <c r="N35" s="67"/>
      <c r="W35" s="68"/>
    </row>
    <row r="36" spans="1:23" ht="14.45" customHeight="1">
      <c r="A36" s="64" t="s">
        <v>223</v>
      </c>
      <c r="B36" s="65" t="s">
        <v>217</v>
      </c>
      <c r="C36" s="65" t="s">
        <v>218</v>
      </c>
      <c r="D36" s="65" t="s">
        <v>237</v>
      </c>
      <c r="G36" s="461"/>
      <c r="J36" s="63" t="s">
        <v>242</v>
      </c>
      <c r="K36" s="67"/>
      <c r="N36" s="67"/>
      <c r="W36" s="68"/>
    </row>
    <row r="37" spans="1:23" ht="14.45" customHeight="1">
      <c r="A37" s="64" t="s">
        <v>225</v>
      </c>
      <c r="B37" s="65" t="s">
        <v>217</v>
      </c>
      <c r="C37" s="65" t="s">
        <v>218</v>
      </c>
      <c r="D37" s="65" t="s">
        <v>237</v>
      </c>
      <c r="G37" s="461"/>
      <c r="J37" s="63" t="s">
        <v>243</v>
      </c>
      <c r="K37" s="67"/>
      <c r="N37" s="67"/>
      <c r="W37" s="68"/>
    </row>
    <row r="38" spans="1:23" ht="15" customHeight="1" thickBot="1">
      <c r="A38" s="69" t="s">
        <v>221</v>
      </c>
      <c r="B38" s="70" t="s">
        <v>217</v>
      </c>
      <c r="C38" s="70" t="s">
        <v>218</v>
      </c>
      <c r="D38" s="70" t="s">
        <v>237</v>
      </c>
      <c r="E38" s="72"/>
      <c r="F38" s="72"/>
      <c r="G38" s="462"/>
      <c r="H38" s="72"/>
      <c r="I38" s="72"/>
      <c r="J38" s="72" t="s">
        <v>244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4.45" thickBot="1"/>
    <row r="40" spans="1:23" ht="15">
      <c r="A40" s="81" t="s">
        <v>216</v>
      </c>
      <c r="B40" s="82" t="s">
        <v>217</v>
      </c>
      <c r="C40" s="83" t="s">
        <v>245</v>
      </c>
      <c r="D40" s="84" t="s">
        <v>246</v>
      </c>
      <c r="E40" s="463">
        <v>1</v>
      </c>
      <c r="F40" s="464">
        <v>1</v>
      </c>
      <c r="G40" s="464">
        <f>3+6+5</f>
        <v>14</v>
      </c>
      <c r="H40" s="464">
        <v>1</v>
      </c>
      <c r="I40" s="60"/>
      <c r="J40" s="60"/>
      <c r="K40" s="60"/>
      <c r="L40" s="60"/>
      <c r="M40" s="85" t="s">
        <v>247</v>
      </c>
      <c r="N40" s="85" t="s">
        <v>248</v>
      </c>
      <c r="O40" s="85" t="s">
        <v>249</v>
      </c>
      <c r="P40" s="85" t="s">
        <v>250</v>
      </c>
      <c r="Q40" s="85" t="s">
        <v>251</v>
      </c>
      <c r="R40" s="85" t="s">
        <v>252</v>
      </c>
      <c r="S40" s="85" t="s">
        <v>253</v>
      </c>
      <c r="T40" s="86">
        <v>4949280.3224000009</v>
      </c>
      <c r="U40" s="87">
        <v>7525095.1177149983</v>
      </c>
      <c r="V40" s="88" t="s">
        <v>238</v>
      </c>
      <c r="W40" s="89" t="s">
        <v>230</v>
      </c>
    </row>
    <row r="41" spans="1:23" ht="15">
      <c r="A41" s="90" t="s">
        <v>222</v>
      </c>
      <c r="B41" s="76" t="s">
        <v>217</v>
      </c>
      <c r="C41" s="77" t="s">
        <v>245</v>
      </c>
      <c r="D41" s="78" t="s">
        <v>246</v>
      </c>
      <c r="E41" s="450"/>
      <c r="F41" s="451"/>
      <c r="G41" s="451"/>
      <c r="H41" s="451"/>
      <c r="M41" s="92" t="s">
        <v>254</v>
      </c>
      <c r="N41" s="92" t="s">
        <v>255</v>
      </c>
      <c r="O41" s="92" t="s">
        <v>256</v>
      </c>
      <c r="P41" s="92" t="s">
        <v>257</v>
      </c>
      <c r="Q41" s="93"/>
      <c r="R41" s="92" t="s">
        <v>258</v>
      </c>
      <c r="S41" s="92" t="s">
        <v>259</v>
      </c>
      <c r="T41" s="94">
        <v>5107980.7902099984</v>
      </c>
      <c r="U41" s="95">
        <v>4652289.220265002</v>
      </c>
      <c r="V41" s="96" t="s">
        <v>239</v>
      </c>
      <c r="W41" s="97" t="s">
        <v>231</v>
      </c>
    </row>
    <row r="42" spans="1:23" ht="15">
      <c r="A42" s="90" t="s">
        <v>220</v>
      </c>
      <c r="B42" s="76" t="s">
        <v>217</v>
      </c>
      <c r="C42" s="77" t="s">
        <v>245</v>
      </c>
      <c r="D42" s="78" t="s">
        <v>260</v>
      </c>
      <c r="E42" s="450">
        <v>1</v>
      </c>
      <c r="F42" s="451">
        <v>1</v>
      </c>
      <c r="G42" s="451">
        <f>3+7+5</f>
        <v>15</v>
      </c>
      <c r="H42" s="451">
        <v>1</v>
      </c>
      <c r="M42" s="98" t="s">
        <v>261</v>
      </c>
      <c r="N42" s="98" t="s">
        <v>262</v>
      </c>
      <c r="O42" s="98" t="s">
        <v>263</v>
      </c>
      <c r="P42" s="98" t="s">
        <v>264</v>
      </c>
      <c r="Q42" s="98" t="s">
        <v>265</v>
      </c>
      <c r="R42" s="98" t="s">
        <v>266</v>
      </c>
      <c r="S42" s="98" t="s">
        <v>267</v>
      </c>
      <c r="T42" s="94">
        <v>6873316.6727850009</v>
      </c>
      <c r="U42" s="94">
        <v>6228517.7171600079</v>
      </c>
      <c r="V42" s="99" t="s">
        <v>240</v>
      </c>
      <c r="W42" s="100" t="s">
        <v>232</v>
      </c>
    </row>
    <row r="43" spans="1:23" ht="15">
      <c r="A43" s="90" t="s">
        <v>224</v>
      </c>
      <c r="B43" s="76" t="s">
        <v>217</v>
      </c>
      <c r="C43" s="77" t="s">
        <v>245</v>
      </c>
      <c r="D43" s="78" t="s">
        <v>260</v>
      </c>
      <c r="E43" s="450"/>
      <c r="F43" s="451"/>
      <c r="G43" s="451"/>
      <c r="H43" s="451"/>
      <c r="M43" s="98" t="s">
        <v>268</v>
      </c>
      <c r="N43" s="98" t="s">
        <v>269</v>
      </c>
      <c r="O43" s="98" t="s">
        <v>270</v>
      </c>
      <c r="P43" s="98" t="s">
        <v>271</v>
      </c>
      <c r="Q43" s="98" t="s">
        <v>272</v>
      </c>
      <c r="R43" s="98" t="s">
        <v>273</v>
      </c>
      <c r="S43" s="98" t="s">
        <v>274</v>
      </c>
      <c r="T43" s="94">
        <v>10034239.804695001</v>
      </c>
      <c r="U43" s="94">
        <v>8145170.3789650053</v>
      </c>
      <c r="V43" s="99" t="s">
        <v>241</v>
      </c>
      <c r="W43" s="100" t="s">
        <v>233</v>
      </c>
    </row>
    <row r="44" spans="1:23" ht="15">
      <c r="A44" s="90" t="s">
        <v>223</v>
      </c>
      <c r="B44" s="76" t="s">
        <v>217</v>
      </c>
      <c r="C44" s="77" t="s">
        <v>245</v>
      </c>
      <c r="D44" s="78" t="s">
        <v>275</v>
      </c>
      <c r="E44" s="91">
        <v>1</v>
      </c>
      <c r="F44" s="91">
        <v>1</v>
      </c>
      <c r="G44" s="91">
        <f>8+5</f>
        <v>13</v>
      </c>
      <c r="H44" s="91"/>
      <c r="M44" s="92" t="s">
        <v>276</v>
      </c>
      <c r="N44" s="93"/>
      <c r="O44" s="92" t="s">
        <v>277</v>
      </c>
      <c r="P44" s="92" t="s">
        <v>278</v>
      </c>
      <c r="Q44" s="92" t="s">
        <v>279</v>
      </c>
      <c r="R44" s="92" t="s">
        <v>280</v>
      </c>
      <c r="S44" s="98" t="s">
        <v>281</v>
      </c>
      <c r="T44" s="94">
        <v>3407072.5562050003</v>
      </c>
      <c r="U44" s="94">
        <v>10871466.066474997</v>
      </c>
      <c r="V44" s="96" t="s">
        <v>242</v>
      </c>
      <c r="W44" s="97" t="s">
        <v>234</v>
      </c>
    </row>
    <row r="45" spans="1:23" ht="15">
      <c r="A45" s="90" t="s">
        <v>225</v>
      </c>
      <c r="B45" s="76" t="s">
        <v>217</v>
      </c>
      <c r="C45" s="77" t="s">
        <v>245</v>
      </c>
      <c r="D45" s="78" t="s">
        <v>282</v>
      </c>
      <c r="E45" s="450">
        <v>1</v>
      </c>
      <c r="F45" s="451">
        <v>1</v>
      </c>
      <c r="G45" s="451">
        <f>6+7+5</f>
        <v>18</v>
      </c>
      <c r="H45" s="451">
        <v>1</v>
      </c>
      <c r="M45" s="98" t="s">
        <v>283</v>
      </c>
      <c r="N45" s="93"/>
      <c r="O45" s="98" t="s">
        <v>284</v>
      </c>
      <c r="P45" s="98" t="s">
        <v>285</v>
      </c>
      <c r="Q45" s="93"/>
      <c r="R45" s="98" t="s">
        <v>286</v>
      </c>
      <c r="S45" s="98" t="s">
        <v>287</v>
      </c>
      <c r="T45" s="94">
        <v>5311641.5904900022</v>
      </c>
      <c r="U45" s="94">
        <v>4915084.4348050067</v>
      </c>
      <c r="V45" s="99" t="s">
        <v>243</v>
      </c>
      <c r="W45" s="100" t="s">
        <v>235</v>
      </c>
    </row>
    <row r="46" spans="1:23" ht="15.6" thickBot="1">
      <c r="A46" s="101" t="s">
        <v>221</v>
      </c>
      <c r="B46" s="102" t="s">
        <v>217</v>
      </c>
      <c r="C46" s="103" t="s">
        <v>245</v>
      </c>
      <c r="D46" s="104" t="s">
        <v>282</v>
      </c>
      <c r="E46" s="453"/>
      <c r="F46" s="452"/>
      <c r="G46" s="452"/>
      <c r="H46" s="452"/>
      <c r="I46" s="72"/>
      <c r="J46" s="72"/>
      <c r="K46" s="72"/>
      <c r="L46" s="72"/>
      <c r="M46" s="105" t="s">
        <v>288</v>
      </c>
      <c r="N46" s="105" t="s">
        <v>289</v>
      </c>
      <c r="O46" s="105" t="s">
        <v>290</v>
      </c>
      <c r="P46" s="105" t="s">
        <v>291</v>
      </c>
      <c r="Q46" s="106"/>
      <c r="R46" s="105" t="s">
        <v>292</v>
      </c>
      <c r="S46" s="105" t="s">
        <v>293</v>
      </c>
      <c r="T46" s="107">
        <v>4982754.1381299971</v>
      </c>
      <c r="U46" s="107">
        <v>7782643.7787800003</v>
      </c>
      <c r="V46" s="108" t="s">
        <v>244</v>
      </c>
      <c r="W46" s="109" t="s">
        <v>236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topLeftCell="A94" zoomScale="70" zoomScaleNormal="70" workbookViewId="0">
      <selection activeCell="T235" sqref="T235:T260"/>
    </sheetView>
  </sheetViews>
  <sheetFormatPr defaultColWidth="8.7109375" defaultRowHeight="14.45"/>
  <cols>
    <col min="1" max="1" width="8.7109375" style="273"/>
    <col min="2" max="2" width="23.28515625" style="273" customWidth="1"/>
    <col min="3" max="3" width="12.7109375" style="273" customWidth="1"/>
    <col min="4" max="4" width="35.5703125" style="273" bestFit="1" customWidth="1"/>
    <col min="5" max="5" width="43.28515625" style="273" bestFit="1" customWidth="1"/>
    <col min="6" max="6" width="31.7109375" style="273" bestFit="1" customWidth="1"/>
    <col min="7" max="8" width="11.28515625" style="273" customWidth="1"/>
    <col min="9" max="9" width="19.28515625" style="273" bestFit="1" customWidth="1"/>
    <col min="10" max="18" width="22.140625" customWidth="1"/>
    <col min="19" max="19" width="32.5703125" style="275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4" customWidth="1"/>
    <col min="31" max="31" width="14.28515625" style="274" customWidth="1"/>
    <col min="32" max="32" width="14.7109375" style="274" customWidth="1"/>
    <col min="33" max="33" width="13.5703125" style="274" customWidth="1"/>
    <col min="34" max="34" width="16.7109375" style="180" customWidth="1"/>
    <col min="35" max="35" width="14.42578125" style="274" customWidth="1"/>
    <col min="36" max="36" width="15.5703125" style="274" customWidth="1"/>
    <col min="37" max="37" width="16.7109375" style="274" customWidth="1"/>
    <col min="38" max="38" width="18.28515625" style="273" bestFit="1" customWidth="1"/>
    <col min="39" max="39" width="14.28515625" style="273" customWidth="1"/>
    <col min="40" max="42" width="8.7109375" style="273"/>
    <col min="43" max="43" width="10.5703125" style="273" bestFit="1" customWidth="1"/>
    <col min="44" max="16384" width="8.7109375" style="273"/>
  </cols>
  <sheetData>
    <row r="1" spans="1:43" ht="15" thickBot="1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467" t="s">
        <v>189</v>
      </c>
      <c r="T1" s="468"/>
      <c r="U1" s="468"/>
      <c r="V1" s="468"/>
      <c r="W1" s="468"/>
      <c r="X1" s="468"/>
      <c r="Y1" s="468"/>
      <c r="Z1" s="468"/>
      <c r="AA1" s="468"/>
      <c r="AB1" s="468"/>
      <c r="AC1" s="469"/>
      <c r="AD1" s="467" t="s">
        <v>190</v>
      </c>
      <c r="AE1" s="468"/>
      <c r="AF1" s="468"/>
      <c r="AG1" s="468"/>
      <c r="AH1" s="468"/>
      <c r="AI1" s="468"/>
      <c r="AJ1" s="468"/>
      <c r="AK1" s="468"/>
      <c r="AL1" s="470"/>
      <c r="AM1" s="470"/>
      <c r="AN1" s="471"/>
      <c r="AQ1" s="289" t="s">
        <v>294</v>
      </c>
    </row>
    <row r="2" spans="1:43" ht="54.6" customHeight="1" thickBot="1">
      <c r="B2" s="237"/>
      <c r="C2" s="237"/>
      <c r="D2" s="237"/>
      <c r="E2" s="237"/>
      <c r="F2" s="237"/>
      <c r="G2" s="238"/>
      <c r="H2" s="238"/>
      <c r="I2" s="238"/>
      <c r="J2" s="13" t="s">
        <v>295</v>
      </c>
      <c r="K2" s="465" t="s">
        <v>296</v>
      </c>
      <c r="L2" s="465"/>
      <c r="M2" s="465"/>
      <c r="N2" s="465" t="s">
        <v>297</v>
      </c>
      <c r="O2" s="465"/>
      <c r="P2" s="465"/>
      <c r="Q2" s="465"/>
      <c r="R2" s="466"/>
      <c r="S2" s="472" t="s">
        <v>191</v>
      </c>
      <c r="T2" s="473"/>
      <c r="U2" s="310" t="s">
        <v>192</v>
      </c>
      <c r="V2" s="309" t="s">
        <v>192</v>
      </c>
      <c r="W2" s="308" t="s">
        <v>192</v>
      </c>
      <c r="X2" s="309" t="s">
        <v>193</v>
      </c>
      <c r="Y2" s="309" t="s">
        <v>193</v>
      </c>
      <c r="Z2" s="309" t="s">
        <v>193</v>
      </c>
      <c r="AA2" s="309" t="s">
        <v>193</v>
      </c>
      <c r="AB2" s="309" t="s">
        <v>193</v>
      </c>
      <c r="AC2" s="308" t="s">
        <v>193</v>
      </c>
      <c r="AD2" s="472" t="s">
        <v>194</v>
      </c>
      <c r="AE2" s="474"/>
      <c r="AF2" s="474"/>
      <c r="AG2" s="474"/>
      <c r="AH2" s="474"/>
      <c r="AI2" s="474"/>
      <c r="AJ2" s="474"/>
      <c r="AK2" s="475"/>
      <c r="AL2" s="476" t="s">
        <v>298</v>
      </c>
      <c r="AM2" s="477"/>
      <c r="AN2" s="478"/>
    </row>
    <row r="3" spans="1:43" ht="58.15" thickBot="1">
      <c r="B3" s="239" t="s">
        <v>195</v>
      </c>
      <c r="C3" s="240" t="s">
        <v>196</v>
      </c>
      <c r="D3" s="240" t="s">
        <v>197</v>
      </c>
      <c r="E3" s="241" t="s">
        <v>198</v>
      </c>
      <c r="F3" s="239" t="s">
        <v>199</v>
      </c>
      <c r="G3" s="242" t="s">
        <v>200</v>
      </c>
      <c r="H3" s="243" t="s">
        <v>201</v>
      </c>
      <c r="I3" s="243" t="s">
        <v>202</v>
      </c>
      <c r="J3" s="231" t="s">
        <v>295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231" t="s">
        <v>306</v>
      </c>
      <c r="S3" s="307" t="s">
        <v>307</v>
      </c>
      <c r="T3" s="306" t="s">
        <v>308</v>
      </c>
      <c r="U3" s="303" t="s">
        <v>309</v>
      </c>
      <c r="V3" s="304" t="s">
        <v>310</v>
      </c>
      <c r="W3" s="305" t="s">
        <v>206</v>
      </c>
      <c r="X3" s="304" t="s">
        <v>207</v>
      </c>
      <c r="Y3" s="304" t="s">
        <v>209</v>
      </c>
      <c r="Z3" s="304" t="s">
        <v>210</v>
      </c>
      <c r="AA3" s="304" t="s">
        <v>211</v>
      </c>
      <c r="AB3" s="304" t="s">
        <v>212</v>
      </c>
      <c r="AC3" s="305" t="s">
        <v>213</v>
      </c>
      <c r="AD3" s="303" t="s">
        <v>311</v>
      </c>
      <c r="AE3" s="304" t="s">
        <v>312</v>
      </c>
      <c r="AF3" s="304" t="s">
        <v>313</v>
      </c>
      <c r="AG3" s="304" t="s">
        <v>314</v>
      </c>
      <c r="AH3" s="304" t="s">
        <v>315</v>
      </c>
      <c r="AI3" s="303" t="s">
        <v>316</v>
      </c>
      <c r="AJ3" s="302" t="s">
        <v>317</v>
      </c>
      <c r="AK3" s="301" t="s">
        <v>318</v>
      </c>
      <c r="AL3" s="244" t="s">
        <v>311</v>
      </c>
      <c r="AM3" s="246" t="s">
        <v>312</v>
      </c>
      <c r="AN3" s="245" t="s">
        <v>319</v>
      </c>
      <c r="AO3" s="247" t="s">
        <v>320</v>
      </c>
      <c r="AQ3" s="273" t="s">
        <v>321</v>
      </c>
    </row>
    <row r="4" spans="1:43" ht="14.65" customHeight="1">
      <c r="A4" s="273" t="str">
        <f t="shared" ref="A4:A67" si="0">B4&amp;D4&amp;E4</f>
        <v>ВладимирскаяDDM MOS Sladkaay ZhiznTSL MOS N.Novgorod</v>
      </c>
      <c r="B4" s="248" t="s">
        <v>24</v>
      </c>
      <c r="C4" s="249" t="s">
        <v>322</v>
      </c>
      <c r="D4" s="249" t="s">
        <v>323</v>
      </c>
      <c r="E4" s="250" t="s">
        <v>324</v>
      </c>
      <c r="F4" s="251" t="s">
        <v>325</v>
      </c>
      <c r="G4" s="293">
        <v>1</v>
      </c>
      <c r="H4" s="293"/>
      <c r="I4" s="293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5"/>
      <c r="T4" s="489"/>
      <c r="U4" s="489">
        <v>0</v>
      </c>
      <c r="V4" s="489">
        <v>0</v>
      </c>
      <c r="W4" s="489">
        <v>0</v>
      </c>
      <c r="Y4" s="489">
        <v>10571962.099999998</v>
      </c>
      <c r="Z4" s="489">
        <v>48724054.519999996</v>
      </c>
      <c r="AA4" s="489">
        <v>0</v>
      </c>
      <c r="AB4" s="489">
        <v>22322163.200000044</v>
      </c>
      <c r="AC4" s="489">
        <v>13587784.859999998</v>
      </c>
      <c r="AD4" s="273"/>
      <c r="AE4" s="273"/>
      <c r="AF4" s="273"/>
      <c r="AG4" s="273"/>
      <c r="AH4" s="489">
        <v>21794935.420000013</v>
      </c>
      <c r="AI4" s="273"/>
      <c r="AJ4" s="273"/>
      <c r="AK4" s="273"/>
      <c r="AO4" s="276" t="s">
        <v>326</v>
      </c>
    </row>
    <row r="5" spans="1:43" ht="14.65" customHeight="1">
      <c r="A5" s="273" t="str">
        <f t="shared" si="0"/>
        <v>ВладимирскаяDDM MOS Sladkaay ZhiznTSL MOS N.Novgorod</v>
      </c>
      <c r="B5" s="248" t="s">
        <v>24</v>
      </c>
      <c r="C5" s="249" t="s">
        <v>322</v>
      </c>
      <c r="D5" s="249" t="s">
        <v>323</v>
      </c>
      <c r="E5" s="250" t="s">
        <v>324</v>
      </c>
      <c r="F5" s="251" t="s">
        <v>327</v>
      </c>
      <c r="G5" s="293"/>
      <c r="H5" s="293"/>
      <c r="I5" s="293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5"/>
      <c r="T5" s="489"/>
      <c r="U5" s="489">
        <v>0</v>
      </c>
      <c r="V5" s="489">
        <v>0</v>
      </c>
      <c r="W5" s="489">
        <v>0</v>
      </c>
      <c r="X5" s="489">
        <v>0</v>
      </c>
      <c r="Y5" s="489">
        <v>0</v>
      </c>
      <c r="Z5" s="489">
        <v>48837.25</v>
      </c>
      <c r="AA5" s="489">
        <v>0</v>
      </c>
      <c r="AB5" s="489">
        <v>1197.23</v>
      </c>
      <c r="AC5" s="489">
        <v>0</v>
      </c>
      <c r="AD5" s="273"/>
      <c r="AE5" s="273"/>
      <c r="AF5" s="273"/>
      <c r="AG5" s="273"/>
      <c r="AH5" s="286">
        <v>34922534.530000046</v>
      </c>
      <c r="AI5" s="273"/>
      <c r="AJ5" s="273"/>
      <c r="AK5" s="273"/>
      <c r="AO5" s="276" t="s">
        <v>326</v>
      </c>
    </row>
    <row r="6" spans="1:43" ht="14.65" hidden="1" customHeight="1">
      <c r="A6" s="273" t="str">
        <f t="shared" si="0"/>
        <v>ВладимирскаяASM MOS Food Trade+SorsoTSL MOS SPT Moscow Play Sorso</v>
      </c>
      <c r="B6" s="248" t="s">
        <v>24</v>
      </c>
      <c r="C6" s="249" t="s">
        <v>322</v>
      </c>
      <c r="D6" s="249" t="s">
        <v>328</v>
      </c>
      <c r="E6" s="273" t="s">
        <v>329</v>
      </c>
      <c r="F6" s="251" t="s">
        <v>330</v>
      </c>
      <c r="G6" s="293"/>
      <c r="H6" s="293"/>
      <c r="I6" s="293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4"/>
      <c r="T6" s="293"/>
      <c r="U6" s="294">
        <v>0</v>
      </c>
      <c r="V6" s="294">
        <v>0</v>
      </c>
      <c r="W6" s="294">
        <v>0</v>
      </c>
      <c r="X6" s="294">
        <v>0</v>
      </c>
      <c r="Y6" s="294">
        <v>0</v>
      </c>
      <c r="Z6" s="294">
        <v>1201332.8999999999</v>
      </c>
      <c r="AA6" s="294">
        <v>0</v>
      </c>
      <c r="AB6" s="294">
        <v>0</v>
      </c>
      <c r="AC6" s="294">
        <v>0</v>
      </c>
      <c r="AD6" s="273"/>
      <c r="AE6" s="273"/>
      <c r="AF6" s="273"/>
      <c r="AG6" s="273"/>
      <c r="AH6" s="275"/>
      <c r="AI6" s="273"/>
      <c r="AJ6" s="273"/>
      <c r="AK6" s="273"/>
    </row>
    <row r="7" spans="1:43" ht="14.65" customHeight="1">
      <c r="A7" s="273" t="str">
        <f t="shared" si="0"/>
        <v>ВладимирскаяDDM MOS Sladkaay ZhiznTSL MOS N.Novgorod</v>
      </c>
      <c r="B7" s="248" t="s">
        <v>24</v>
      </c>
      <c r="C7" s="249" t="s">
        <v>322</v>
      </c>
      <c r="D7" s="249" t="s">
        <v>323</v>
      </c>
      <c r="E7" s="250" t="s">
        <v>324</v>
      </c>
      <c r="F7" s="251" t="s">
        <v>325</v>
      </c>
      <c r="G7" s="293"/>
      <c r="H7" s="293"/>
      <c r="I7" s="293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5"/>
      <c r="T7" s="489"/>
      <c r="U7" s="489">
        <v>0</v>
      </c>
      <c r="V7" s="489">
        <v>0</v>
      </c>
      <c r="W7" s="489">
        <v>0</v>
      </c>
      <c r="X7" s="489">
        <v>0</v>
      </c>
      <c r="Y7" s="489">
        <v>0</v>
      </c>
      <c r="Z7" s="489">
        <v>0</v>
      </c>
      <c r="AA7" s="489">
        <v>0</v>
      </c>
      <c r="AB7" s="489">
        <v>16388.569999999996</v>
      </c>
      <c r="AC7" s="489">
        <v>0</v>
      </c>
      <c r="AD7" s="273"/>
      <c r="AE7" s="273"/>
      <c r="AF7" s="273"/>
      <c r="AG7" s="273"/>
      <c r="AH7" s="275"/>
      <c r="AI7" s="273"/>
      <c r="AJ7" s="273"/>
      <c r="AK7" s="273"/>
    </row>
    <row r="8" spans="1:43" ht="14.65" customHeight="1">
      <c r="A8" s="273" t="str">
        <f t="shared" si="0"/>
        <v>ВладимирскаяDDM MOS Sladkaay ZhiznTSL MOS Cheboksary</v>
      </c>
      <c r="B8" s="248" t="s">
        <v>24</v>
      </c>
      <c r="C8" s="249" t="s">
        <v>322</v>
      </c>
      <c r="D8" s="249" t="s">
        <v>323</v>
      </c>
      <c r="E8" s="250" t="s">
        <v>331</v>
      </c>
      <c r="F8" s="251" t="s">
        <v>325</v>
      </c>
      <c r="G8" s="293"/>
      <c r="H8" s="293"/>
      <c r="I8" s="293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4"/>
      <c r="T8" s="293"/>
      <c r="U8" s="489">
        <v>0</v>
      </c>
      <c r="V8" s="489">
        <v>0</v>
      </c>
      <c r="W8" s="489">
        <v>0</v>
      </c>
      <c r="X8" s="489">
        <v>0</v>
      </c>
      <c r="Y8" s="489">
        <v>0</v>
      </c>
      <c r="Z8" s="489">
        <v>0</v>
      </c>
      <c r="AA8" s="489">
        <v>0</v>
      </c>
      <c r="AB8" s="489">
        <v>16388.569999999996</v>
      </c>
      <c r="AC8" s="489">
        <v>0</v>
      </c>
      <c r="AD8" s="273"/>
      <c r="AE8" s="273"/>
      <c r="AF8" s="273"/>
      <c r="AG8" s="273"/>
      <c r="AH8" s="275"/>
      <c r="AI8" s="273"/>
      <c r="AJ8" s="273"/>
      <c r="AK8" s="273"/>
    </row>
    <row r="9" spans="1:43" ht="14.65" hidden="1" customHeight="1">
      <c r="A9" s="273" t="str">
        <f t="shared" si="0"/>
        <v>КалужскаяASM MOS Food Trade+SorsoTSL MOS SPT Moscow Play Sorso</v>
      </c>
      <c r="B9" s="248" t="s">
        <v>22</v>
      </c>
      <c r="C9" s="249" t="s">
        <v>322</v>
      </c>
      <c r="D9" s="249" t="s">
        <v>328</v>
      </c>
      <c r="E9" s="273" t="s">
        <v>329</v>
      </c>
      <c r="F9" s="251" t="s">
        <v>330</v>
      </c>
      <c r="G9" s="293"/>
      <c r="H9" s="293"/>
      <c r="I9" s="293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4"/>
      <c r="T9" s="293"/>
      <c r="U9" s="294">
        <v>0</v>
      </c>
      <c r="V9" s="294">
        <v>0</v>
      </c>
      <c r="W9" s="294">
        <v>0</v>
      </c>
      <c r="X9" s="294">
        <v>0</v>
      </c>
      <c r="Y9" s="294">
        <v>0</v>
      </c>
      <c r="Z9" s="294">
        <v>167213.97</v>
      </c>
      <c r="AA9" s="294">
        <v>0</v>
      </c>
      <c r="AB9" s="294">
        <v>0</v>
      </c>
      <c r="AC9" s="294">
        <v>0</v>
      </c>
      <c r="AD9" s="273"/>
      <c r="AE9" s="273"/>
      <c r="AF9" s="273"/>
      <c r="AG9" s="273"/>
      <c r="AH9" s="275"/>
      <c r="AI9" s="273"/>
      <c r="AJ9" s="273"/>
      <c r="AK9" s="273"/>
    </row>
    <row r="10" spans="1:43" ht="14.65" hidden="1" customHeight="1">
      <c r="A10" s="273" t="str">
        <f t="shared" si="0"/>
        <v>КалужскаяASM MOS Food Trade+SorsoTSL MOS SPT Moscow Play Sorso</v>
      </c>
      <c r="B10" s="248" t="s">
        <v>22</v>
      </c>
      <c r="C10" s="249" t="s">
        <v>322</v>
      </c>
      <c r="D10" s="249" t="s">
        <v>328</v>
      </c>
      <c r="E10" s="273" t="s">
        <v>329</v>
      </c>
      <c r="F10" s="251" t="s">
        <v>330</v>
      </c>
      <c r="G10" s="293"/>
      <c r="H10" s="293"/>
      <c r="I10" s="293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4"/>
      <c r="T10" s="293"/>
      <c r="U10" s="294">
        <v>0</v>
      </c>
      <c r="V10" s="294">
        <v>0</v>
      </c>
      <c r="W10" s="294">
        <v>0</v>
      </c>
      <c r="X10" s="294">
        <v>0</v>
      </c>
      <c r="Y10" s="294">
        <v>0</v>
      </c>
      <c r="Z10" s="294">
        <v>4921.2</v>
      </c>
      <c r="AA10" s="294">
        <v>0</v>
      </c>
      <c r="AB10" s="294">
        <v>0</v>
      </c>
      <c r="AC10" s="294">
        <v>0</v>
      </c>
      <c r="AD10" s="273"/>
      <c r="AE10" s="273"/>
      <c r="AF10" s="273"/>
      <c r="AG10" s="273"/>
      <c r="AH10" s="275"/>
      <c r="AI10" s="273"/>
      <c r="AJ10" s="273"/>
      <c r="AK10" s="273"/>
    </row>
    <row r="11" spans="1:43" ht="14.65" customHeight="1">
      <c r="A11" s="273" t="str">
        <f t="shared" si="0"/>
        <v>КалужскаяDDM MOS Sladkaay ZhiznTSL MOS  Moscow 2 Sladkaya Zhizn</v>
      </c>
      <c r="B11" s="248" t="s">
        <v>22</v>
      </c>
      <c r="C11" s="249" t="s">
        <v>322</v>
      </c>
      <c r="D11" s="249" t="s">
        <v>323</v>
      </c>
      <c r="E11" s="250" t="s">
        <v>332</v>
      </c>
      <c r="F11" s="251" t="s">
        <v>325</v>
      </c>
      <c r="G11" s="293"/>
      <c r="H11" s="293"/>
      <c r="I11" s="293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4"/>
      <c r="T11" s="293"/>
      <c r="U11" s="293">
        <v>0</v>
      </c>
      <c r="V11" s="293">
        <v>0</v>
      </c>
      <c r="W11" s="293">
        <v>0</v>
      </c>
      <c r="X11" s="489">
        <v>0</v>
      </c>
      <c r="Y11" s="293">
        <v>0</v>
      </c>
      <c r="Z11" s="293">
        <v>0</v>
      </c>
      <c r="AA11" s="293">
        <v>0</v>
      </c>
      <c r="AB11" s="293">
        <v>74443.789999999994</v>
      </c>
      <c r="AC11" s="293">
        <v>0</v>
      </c>
      <c r="AD11" s="273"/>
      <c r="AE11" s="273"/>
      <c r="AF11" s="273"/>
      <c r="AG11" s="273"/>
      <c r="AH11" s="300"/>
      <c r="AI11" s="273"/>
      <c r="AJ11" s="273"/>
      <c r="AK11" s="273"/>
      <c r="AO11" s="276" t="s">
        <v>333</v>
      </c>
    </row>
    <row r="12" spans="1:43" ht="14.65" customHeight="1">
      <c r="A12" s="273" t="str">
        <f t="shared" si="0"/>
        <v>КалужскаяDDM MOS Sladkaay ZhiznTSL MOS  Moscow 2 Sladkaya Zhizn</v>
      </c>
      <c r="B12" s="248" t="s">
        <v>22</v>
      </c>
      <c r="C12" s="249" t="s">
        <v>322</v>
      </c>
      <c r="D12" s="249" t="s">
        <v>323</v>
      </c>
      <c r="E12" s="250" t="s">
        <v>332</v>
      </c>
      <c r="F12" s="251" t="s">
        <v>327</v>
      </c>
      <c r="G12" s="293"/>
      <c r="H12" s="293"/>
      <c r="I12" s="293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4"/>
      <c r="T12" s="293"/>
      <c r="U12" s="293">
        <v>0</v>
      </c>
      <c r="V12" s="293">
        <v>0</v>
      </c>
      <c r="W12" s="293">
        <v>0</v>
      </c>
      <c r="X12" s="489">
        <v>0</v>
      </c>
      <c r="Y12" s="293">
        <v>4441060.0200000014</v>
      </c>
      <c r="Z12" s="293">
        <v>37076803.579999991</v>
      </c>
      <c r="AA12" s="293">
        <v>0</v>
      </c>
      <c r="AB12" s="293">
        <v>7022776.2000000011</v>
      </c>
      <c r="AC12" s="293">
        <v>13010033.380000003</v>
      </c>
      <c r="AD12" s="273"/>
      <c r="AE12" s="273"/>
      <c r="AF12" s="273"/>
      <c r="AG12" s="273"/>
      <c r="AH12" s="275"/>
      <c r="AI12" s="273"/>
      <c r="AJ12" s="273"/>
      <c r="AK12" s="273"/>
    </row>
    <row r="13" spans="1:43" ht="14.65" hidden="1" customHeight="1">
      <c r="A13" s="273" t="str">
        <f t="shared" si="0"/>
        <v>КалужскаяASM MOS Food Trade+SorsoTSL MOS SPT Moscow Play Sorso</v>
      </c>
      <c r="B13" s="248" t="s">
        <v>22</v>
      </c>
      <c r="C13" s="249" t="s">
        <v>322</v>
      </c>
      <c r="D13" s="249" t="s">
        <v>328</v>
      </c>
      <c r="E13" s="273" t="s">
        <v>329</v>
      </c>
      <c r="F13" s="251" t="s">
        <v>330</v>
      </c>
      <c r="G13" s="293"/>
      <c r="H13" s="293"/>
      <c r="I13" s="293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4"/>
      <c r="T13" s="293"/>
      <c r="U13" s="294">
        <v>0</v>
      </c>
      <c r="V13" s="294">
        <v>0</v>
      </c>
      <c r="W13" s="294">
        <v>0</v>
      </c>
      <c r="X13" s="294">
        <v>0</v>
      </c>
      <c r="Y13" s="294">
        <v>0</v>
      </c>
      <c r="Z13" s="294">
        <v>793480.71000000031</v>
      </c>
      <c r="AA13" s="294">
        <v>0</v>
      </c>
      <c r="AB13" s="294">
        <v>0</v>
      </c>
      <c r="AC13" s="294">
        <v>0</v>
      </c>
      <c r="AD13" s="273"/>
      <c r="AE13" s="273"/>
      <c r="AF13" s="273"/>
      <c r="AG13" s="273"/>
      <c r="AH13" s="275"/>
      <c r="AI13" s="273"/>
      <c r="AJ13" s="273"/>
      <c r="AK13" s="273"/>
    </row>
    <row r="14" spans="1:43" ht="14.65" hidden="1" customHeight="1">
      <c r="A14" s="273" t="str">
        <f t="shared" si="0"/>
        <v>КалужскаяASM MOS Food Trade+SorsoTSL MOS Grocery Mos Obl AS-Market</v>
      </c>
      <c r="B14" s="248" t="s">
        <v>22</v>
      </c>
      <c r="C14" s="249" t="s">
        <v>322</v>
      </c>
      <c r="D14" s="249" t="s">
        <v>328</v>
      </c>
      <c r="E14" s="250" t="s">
        <v>334</v>
      </c>
      <c r="F14" s="251" t="s">
        <v>335</v>
      </c>
      <c r="G14" s="293"/>
      <c r="H14" s="293"/>
      <c r="I14" s="293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4"/>
      <c r="T14" s="489"/>
      <c r="U14" s="489">
        <v>0</v>
      </c>
      <c r="V14" s="489">
        <v>0</v>
      </c>
      <c r="W14" s="489">
        <v>0</v>
      </c>
      <c r="X14" s="489">
        <v>0</v>
      </c>
      <c r="Y14" s="489">
        <v>1086.7</v>
      </c>
      <c r="Z14" s="489">
        <v>0</v>
      </c>
      <c r="AA14" s="489">
        <v>0</v>
      </c>
      <c r="AB14" s="489">
        <v>641.52</v>
      </c>
      <c r="AC14" s="489">
        <v>0</v>
      </c>
      <c r="AD14" s="490"/>
      <c r="AE14" s="490"/>
      <c r="AF14" s="490"/>
      <c r="AG14" s="490"/>
      <c r="AI14" s="490"/>
      <c r="AJ14" s="490"/>
      <c r="AK14" s="490"/>
    </row>
    <row r="15" spans="1:43" ht="14.65" customHeight="1">
      <c r="A15" s="273" t="str">
        <f t="shared" si="0"/>
        <v>КалужскаяDDM MOS Sladkaay ZhiznTSL MOS  Moscow 1 Sladkaya Zhizn</v>
      </c>
      <c r="B15" s="248" t="s">
        <v>22</v>
      </c>
      <c r="C15" s="249" t="s">
        <v>322</v>
      </c>
      <c r="D15" s="249" t="s">
        <v>323</v>
      </c>
      <c r="E15" s="250" t="s">
        <v>336</v>
      </c>
      <c r="F15" s="251" t="s">
        <v>325</v>
      </c>
      <c r="G15" s="293"/>
      <c r="H15" s="293"/>
      <c r="I15" s="293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4"/>
      <c r="T15" s="293"/>
      <c r="U15" s="293">
        <v>0</v>
      </c>
      <c r="V15" s="293">
        <v>0</v>
      </c>
      <c r="W15" s="293">
        <v>0</v>
      </c>
      <c r="Y15" s="293">
        <v>0</v>
      </c>
      <c r="Z15" s="293">
        <v>0</v>
      </c>
      <c r="AA15" s="293">
        <v>0</v>
      </c>
      <c r="AB15" s="293">
        <v>0</v>
      </c>
      <c r="AC15" s="293">
        <v>0</v>
      </c>
      <c r="AD15" s="273"/>
      <c r="AE15" s="273"/>
      <c r="AF15" s="273"/>
      <c r="AG15" s="273"/>
      <c r="AH15" s="489">
        <v>152696.56</v>
      </c>
      <c r="AI15" s="273"/>
      <c r="AJ15" s="273"/>
      <c r="AK15" s="273"/>
      <c r="AO15" s="276" t="s">
        <v>326</v>
      </c>
    </row>
    <row r="16" spans="1:43" ht="14.65" customHeight="1">
      <c r="A16" s="273" t="str">
        <f t="shared" si="0"/>
        <v>КалужскаяDDM MOS Sladkaay ZhiznTSL MOS  Moscow 1 Sladkaya Zhizn</v>
      </c>
      <c r="B16" s="248" t="s">
        <v>22</v>
      </c>
      <c r="C16" s="249" t="s">
        <v>322</v>
      </c>
      <c r="D16" s="249" t="s">
        <v>323</v>
      </c>
      <c r="E16" s="250" t="s">
        <v>336</v>
      </c>
      <c r="F16" s="251" t="s">
        <v>327</v>
      </c>
      <c r="G16" s="293"/>
      <c r="H16" s="293"/>
      <c r="I16" s="293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4"/>
      <c r="T16" s="293"/>
      <c r="U16" s="293">
        <v>0</v>
      </c>
      <c r="V16" s="293">
        <v>0</v>
      </c>
      <c r="W16" s="293">
        <v>0</v>
      </c>
      <c r="Y16" s="293">
        <v>0</v>
      </c>
      <c r="Z16" s="293">
        <v>50519.01</v>
      </c>
      <c r="AA16" s="293">
        <v>0</v>
      </c>
      <c r="AB16" s="293">
        <v>11547.2</v>
      </c>
      <c r="AC16" s="293">
        <v>0</v>
      </c>
      <c r="AD16" s="273"/>
      <c r="AE16" s="273"/>
      <c r="AF16" s="273"/>
      <c r="AG16" s="273"/>
      <c r="AH16" s="489">
        <v>12675102.270000005</v>
      </c>
      <c r="AI16" s="273"/>
      <c r="AJ16" s="273"/>
      <c r="AK16" s="273"/>
      <c r="AO16" s="276" t="s">
        <v>326</v>
      </c>
    </row>
    <row r="17" spans="1:41" ht="14.65" customHeight="1">
      <c r="A17" s="273" t="str">
        <f t="shared" si="0"/>
        <v>КалужскаяDDM MOS Sladkaay ZhiznTSL MOS  Moscow 2 Sladkaya Zhizn</v>
      </c>
      <c r="B17" s="248" t="s">
        <v>22</v>
      </c>
      <c r="C17" s="249" t="s">
        <v>322</v>
      </c>
      <c r="D17" s="249" t="s">
        <v>323</v>
      </c>
      <c r="E17" s="250" t="s">
        <v>332</v>
      </c>
      <c r="F17" s="251" t="s">
        <v>327</v>
      </c>
      <c r="G17" s="293"/>
      <c r="H17" s="293"/>
      <c r="I17" s="293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4"/>
      <c r="T17" s="293"/>
      <c r="U17" s="293">
        <v>0</v>
      </c>
      <c r="V17" s="293">
        <v>0</v>
      </c>
      <c r="W17" s="293">
        <v>0</v>
      </c>
      <c r="X17" s="489">
        <v>50540.084999999999</v>
      </c>
      <c r="Y17" s="293">
        <v>0</v>
      </c>
      <c r="Z17" s="293">
        <v>0</v>
      </c>
      <c r="AA17" s="293">
        <v>0</v>
      </c>
      <c r="AB17" s="293">
        <v>0</v>
      </c>
      <c r="AC17" s="293">
        <v>0</v>
      </c>
      <c r="AD17" s="273"/>
      <c r="AE17" s="273"/>
      <c r="AF17" s="273"/>
      <c r="AG17" s="273"/>
      <c r="AI17" s="273"/>
      <c r="AJ17" s="273"/>
      <c r="AK17" s="273"/>
    </row>
    <row r="18" spans="1:41" ht="14.65" customHeight="1">
      <c r="A18" s="273" t="str">
        <f t="shared" si="0"/>
        <v>КалужскаяDDM MOS Sladkaay ZhiznTSL MOS  Moscow 1 Sladkaya Zhizn</v>
      </c>
      <c r="B18" s="248" t="s">
        <v>22</v>
      </c>
      <c r="C18" s="249" t="s">
        <v>322</v>
      </c>
      <c r="D18" s="249" t="s">
        <v>323</v>
      </c>
      <c r="E18" s="250" t="s">
        <v>336</v>
      </c>
      <c r="F18" s="251" t="s">
        <v>327</v>
      </c>
      <c r="G18" s="293"/>
      <c r="H18" s="293"/>
      <c r="I18" s="293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4"/>
      <c r="T18" s="293"/>
      <c r="U18" s="293">
        <v>0</v>
      </c>
      <c r="V18" s="293">
        <v>0</v>
      </c>
      <c r="W18" s="293">
        <v>0</v>
      </c>
      <c r="X18" s="489">
        <v>50540.084999999999</v>
      </c>
      <c r="Y18" s="293">
        <v>0</v>
      </c>
      <c r="Z18" s="293">
        <v>0</v>
      </c>
      <c r="AA18" s="293">
        <v>0</v>
      </c>
      <c r="AB18" s="293">
        <v>0</v>
      </c>
      <c r="AC18" s="293">
        <v>0</v>
      </c>
      <c r="AD18" s="273"/>
      <c r="AE18" s="273"/>
      <c r="AF18" s="273"/>
      <c r="AG18" s="273"/>
      <c r="AH18" s="275">
        <v>31855181.779999994</v>
      </c>
      <c r="AI18" s="273"/>
      <c r="AJ18" s="273"/>
      <c r="AK18" s="273"/>
      <c r="AO18" s="276" t="s">
        <v>326</v>
      </c>
    </row>
    <row r="19" spans="1:41" ht="14.65" customHeight="1">
      <c r="A19" s="273" t="str">
        <f t="shared" si="0"/>
        <v>КировскаяDDM MOS Sladkaay ZhiznTSL MOS Cheboksary</v>
      </c>
      <c r="B19" s="248" t="s">
        <v>27</v>
      </c>
      <c r="C19" s="249" t="s">
        <v>322</v>
      </c>
      <c r="D19" s="249" t="s">
        <v>323</v>
      </c>
      <c r="E19" s="250" t="s">
        <v>331</v>
      </c>
      <c r="F19" s="251" t="s">
        <v>325</v>
      </c>
      <c r="G19" s="293"/>
      <c r="H19" s="293"/>
      <c r="I19" s="293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4"/>
      <c r="T19" s="293"/>
      <c r="U19" s="293">
        <v>0</v>
      </c>
      <c r="V19" s="293">
        <v>0</v>
      </c>
      <c r="W19" s="293">
        <v>0</v>
      </c>
      <c r="X19" s="299">
        <v>67690161.789999992</v>
      </c>
      <c r="Y19" s="293">
        <v>62790437.999999993</v>
      </c>
      <c r="Z19" s="293">
        <v>5248566.2799999975</v>
      </c>
      <c r="AA19" s="293">
        <v>0</v>
      </c>
      <c r="AB19" s="293">
        <v>18235026.890000034</v>
      </c>
      <c r="AC19" s="293">
        <v>22350700.699999999</v>
      </c>
      <c r="AD19" s="273"/>
      <c r="AE19" s="273"/>
      <c r="AF19" s="273"/>
      <c r="AG19" s="273"/>
      <c r="AH19" s="296"/>
      <c r="AI19" s="273"/>
      <c r="AJ19" s="273"/>
      <c r="AK19" s="273"/>
      <c r="AO19" s="276" t="s">
        <v>333</v>
      </c>
    </row>
    <row r="20" spans="1:41" ht="14.65" customHeight="1">
      <c r="A20" s="273" t="str">
        <f t="shared" si="0"/>
        <v>КировскаяDDM MOS Sladkaay ZhiznTSL MOS N.Novgorod</v>
      </c>
      <c r="B20" s="248" t="s">
        <v>27</v>
      </c>
      <c r="C20" s="249" t="s">
        <v>322</v>
      </c>
      <c r="D20" s="249" t="s">
        <v>323</v>
      </c>
      <c r="E20" s="250" t="s">
        <v>324</v>
      </c>
      <c r="F20" s="251" t="s">
        <v>325</v>
      </c>
      <c r="G20" s="293"/>
      <c r="H20" s="293"/>
      <c r="I20" s="293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5"/>
      <c r="T20" s="489"/>
      <c r="U20" s="489">
        <v>0</v>
      </c>
      <c r="V20" s="489">
        <v>0</v>
      </c>
      <c r="W20" s="489">
        <v>0</v>
      </c>
      <c r="X20" s="489">
        <v>350.35</v>
      </c>
      <c r="Y20" s="489">
        <v>0</v>
      </c>
      <c r="Z20" s="489">
        <v>53.06</v>
      </c>
      <c r="AA20" s="489">
        <v>0</v>
      </c>
      <c r="AB20" s="489">
        <v>2271.8300000000004</v>
      </c>
      <c r="AC20" s="489">
        <v>0</v>
      </c>
      <c r="AD20" s="273"/>
      <c r="AE20" s="273"/>
      <c r="AF20" s="273"/>
      <c r="AG20" s="273"/>
      <c r="AH20" s="275"/>
      <c r="AI20" s="273"/>
      <c r="AJ20" s="273"/>
      <c r="AK20" s="273"/>
    </row>
    <row r="21" spans="1:41" ht="14.65" customHeight="1">
      <c r="A21" s="273" t="str">
        <f t="shared" si="0"/>
        <v>КировскаяDDM MOS Sladkaay ZhiznTSL MOS Cheboksary</v>
      </c>
      <c r="B21" s="248" t="s">
        <v>27</v>
      </c>
      <c r="C21" s="249" t="s">
        <v>322</v>
      </c>
      <c r="D21" s="249" t="s">
        <v>323</v>
      </c>
      <c r="E21" s="250" t="s">
        <v>331</v>
      </c>
      <c r="F21" s="251" t="s">
        <v>325</v>
      </c>
      <c r="G21" s="293"/>
      <c r="H21" s="293"/>
      <c r="I21" s="293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4"/>
      <c r="T21" s="293"/>
      <c r="U21" s="293">
        <v>0</v>
      </c>
      <c r="V21" s="293">
        <v>0</v>
      </c>
      <c r="W21" s="293">
        <v>0</v>
      </c>
      <c r="X21" s="489">
        <v>350.35</v>
      </c>
      <c r="Y21" s="293">
        <v>0</v>
      </c>
      <c r="Z21" s="293">
        <v>53.06</v>
      </c>
      <c r="AA21" s="293">
        <v>0</v>
      </c>
      <c r="AB21" s="293">
        <v>2271.8300000000004</v>
      </c>
      <c r="AC21" s="293">
        <v>0</v>
      </c>
      <c r="AD21" s="273"/>
      <c r="AE21" s="273"/>
      <c r="AF21" s="273"/>
      <c r="AG21" s="273"/>
      <c r="AH21" s="286">
        <v>33734181.700000025</v>
      </c>
      <c r="AI21" s="273"/>
      <c r="AJ21" s="273"/>
      <c r="AK21" s="273"/>
      <c r="AO21" s="276" t="s">
        <v>326</v>
      </c>
    </row>
    <row r="22" spans="1:41" ht="14.65" hidden="1" customHeight="1">
      <c r="A22" s="273" t="str">
        <f t="shared" si="0"/>
        <v>МордовияASM MOS Food Trade+SorsoTSL MOS SPT Moscow Play Sorso</v>
      </c>
      <c r="B22" s="248" t="s">
        <v>29</v>
      </c>
      <c r="C22" s="249" t="s">
        <v>322</v>
      </c>
      <c r="D22" s="249" t="s">
        <v>328</v>
      </c>
      <c r="E22" s="273" t="s">
        <v>329</v>
      </c>
      <c r="F22" s="251" t="s">
        <v>330</v>
      </c>
      <c r="G22" s="293"/>
      <c r="H22" s="293"/>
      <c r="I22" s="293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4"/>
      <c r="T22" s="293"/>
      <c r="U22" s="294">
        <v>0</v>
      </c>
      <c r="V22" s="294">
        <v>0</v>
      </c>
      <c r="W22" s="294">
        <v>0</v>
      </c>
      <c r="X22" s="294">
        <v>0</v>
      </c>
      <c r="Y22" s="294">
        <v>0</v>
      </c>
      <c r="Z22" s="294">
        <v>1230.3</v>
      </c>
      <c r="AA22" s="294">
        <v>0</v>
      </c>
      <c r="AB22" s="294">
        <v>0</v>
      </c>
      <c r="AC22" s="294">
        <v>0</v>
      </c>
      <c r="AD22" s="273"/>
      <c r="AE22" s="273"/>
      <c r="AF22" s="273"/>
      <c r="AG22" s="273"/>
      <c r="AH22" s="275"/>
      <c r="AI22" s="273"/>
      <c r="AJ22" s="273"/>
      <c r="AK22" s="273"/>
    </row>
    <row r="23" spans="1:41" ht="14.65" customHeight="1">
      <c r="A23" s="273" t="str">
        <f t="shared" si="0"/>
        <v>МордовияDDM MOS Sladkaay ZhiznTSL MOS Cheboksary</v>
      </c>
      <c r="B23" s="248" t="s">
        <v>29</v>
      </c>
      <c r="C23" s="249" t="s">
        <v>322</v>
      </c>
      <c r="D23" s="249" t="s">
        <v>323</v>
      </c>
      <c r="E23" s="250" t="s">
        <v>331</v>
      </c>
      <c r="F23" s="251" t="s">
        <v>325</v>
      </c>
      <c r="G23" s="293"/>
      <c r="H23" s="293"/>
      <c r="I23" s="293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4"/>
      <c r="T23" s="293"/>
      <c r="U23" s="293">
        <v>0</v>
      </c>
      <c r="V23" s="293">
        <v>0</v>
      </c>
      <c r="W23" s="293">
        <v>0</v>
      </c>
      <c r="X23" s="489"/>
      <c r="Y23" s="293">
        <v>3050445.8800000004</v>
      </c>
      <c r="Z23" s="293">
        <v>5837148.3499999987</v>
      </c>
      <c r="AA23" s="293">
        <v>0</v>
      </c>
      <c r="AB23" s="293">
        <v>8805611.6800000109</v>
      </c>
      <c r="AC23" s="293">
        <v>574056.98</v>
      </c>
      <c r="AD23" s="273"/>
      <c r="AE23" s="273"/>
      <c r="AF23" s="273"/>
      <c r="AG23" s="273"/>
      <c r="AH23" s="286">
        <v>82315096.500000089</v>
      </c>
      <c r="AI23" s="273"/>
      <c r="AJ23" s="273"/>
      <c r="AK23" s="273"/>
      <c r="AO23" s="276" t="s">
        <v>326</v>
      </c>
    </row>
    <row r="24" spans="1:41" ht="14.65" hidden="1" customHeight="1">
      <c r="A24" s="273" t="str">
        <f t="shared" si="0"/>
        <v>МордовияASM MOS Food Trade+SorsoTSL MOS SPT Moscow Play Sorso</v>
      </c>
      <c r="B24" s="248" t="s">
        <v>29</v>
      </c>
      <c r="C24" s="249" t="s">
        <v>322</v>
      </c>
      <c r="D24" s="249" t="s">
        <v>328</v>
      </c>
      <c r="E24" s="273" t="s">
        <v>329</v>
      </c>
      <c r="F24" s="251" t="s">
        <v>330</v>
      </c>
      <c r="G24" s="293"/>
      <c r="H24" s="293"/>
      <c r="I24" s="293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4"/>
      <c r="T24" s="293"/>
      <c r="U24" s="294">
        <v>0</v>
      </c>
      <c r="V24" s="294">
        <v>0</v>
      </c>
      <c r="W24" s="294">
        <v>0</v>
      </c>
      <c r="X24" s="294">
        <v>0</v>
      </c>
      <c r="Y24" s="294">
        <v>0</v>
      </c>
      <c r="Z24" s="294">
        <v>8612.1</v>
      </c>
      <c r="AA24" s="294">
        <v>0</v>
      </c>
      <c r="AB24" s="294">
        <v>0</v>
      </c>
      <c r="AC24" s="294">
        <v>0</v>
      </c>
      <c r="AD24" s="273"/>
      <c r="AE24" s="273"/>
      <c r="AF24" s="273"/>
      <c r="AG24" s="273"/>
      <c r="AH24" s="275"/>
      <c r="AI24" s="273"/>
      <c r="AJ24" s="273"/>
      <c r="AK24" s="273"/>
    </row>
    <row r="25" spans="1:41" ht="14.65" customHeight="1">
      <c r="A25" s="273" t="str">
        <f t="shared" si="0"/>
        <v>МордовияDDM MOS Sladkaay ZhiznTSL MOS N.Novgorod</v>
      </c>
      <c r="B25" s="248" t="s">
        <v>29</v>
      </c>
      <c r="C25" s="249" t="s">
        <v>322</v>
      </c>
      <c r="D25" s="249" t="s">
        <v>323</v>
      </c>
      <c r="E25" s="250" t="s">
        <v>324</v>
      </c>
      <c r="F25" s="251" t="s">
        <v>325</v>
      </c>
      <c r="G25" s="293"/>
      <c r="H25" s="293"/>
      <c r="I25" s="293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5"/>
      <c r="T25" s="489"/>
      <c r="U25" s="489">
        <v>0</v>
      </c>
      <c r="V25" s="489">
        <v>0</v>
      </c>
      <c r="W25" s="489">
        <v>0</v>
      </c>
      <c r="X25" s="489">
        <v>0</v>
      </c>
      <c r="Y25" s="489">
        <v>0</v>
      </c>
      <c r="Z25" s="489">
        <v>0</v>
      </c>
      <c r="AA25" s="489">
        <v>0</v>
      </c>
      <c r="AB25" s="489">
        <v>938</v>
      </c>
      <c r="AC25" s="489">
        <v>0</v>
      </c>
      <c r="AD25" s="273"/>
      <c r="AE25" s="273"/>
      <c r="AF25" s="273"/>
      <c r="AG25" s="273"/>
      <c r="AH25" s="275"/>
      <c r="AI25" s="273"/>
      <c r="AJ25" s="273"/>
      <c r="AK25" s="273"/>
    </row>
    <row r="26" spans="1:41" ht="14.65" customHeight="1">
      <c r="A26" s="273" t="str">
        <f t="shared" si="0"/>
        <v>МордовияDDM MOS Sladkaay ZhiznTSL MOS Cheboksary</v>
      </c>
      <c r="B26" s="248" t="s">
        <v>29</v>
      </c>
      <c r="C26" s="249" t="s">
        <v>322</v>
      </c>
      <c r="D26" s="249" t="s">
        <v>323</v>
      </c>
      <c r="E26" s="250" t="s">
        <v>331</v>
      </c>
      <c r="F26" s="251" t="s">
        <v>325</v>
      </c>
      <c r="G26" s="293"/>
      <c r="H26" s="293"/>
      <c r="I26" s="293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4"/>
      <c r="T26" s="293"/>
      <c r="U26" s="293">
        <v>0</v>
      </c>
      <c r="V26" s="293">
        <v>0</v>
      </c>
      <c r="W26" s="293">
        <v>0</v>
      </c>
      <c r="X26" s="489">
        <v>0</v>
      </c>
      <c r="Y26" s="293">
        <v>0</v>
      </c>
      <c r="Z26" s="293">
        <v>0</v>
      </c>
      <c r="AA26" s="293">
        <v>0</v>
      </c>
      <c r="AB26" s="293">
        <v>938</v>
      </c>
      <c r="AC26" s="293">
        <v>0</v>
      </c>
      <c r="AD26" s="273"/>
      <c r="AE26" s="273"/>
      <c r="AF26" s="273"/>
      <c r="AG26" s="273"/>
      <c r="AH26" s="275"/>
      <c r="AI26" s="273"/>
      <c r="AJ26" s="273"/>
      <c r="AK26" s="273"/>
    </row>
    <row r="27" spans="1:41" ht="14.65" hidden="1" customHeight="1">
      <c r="A27" s="273" t="str">
        <f t="shared" si="0"/>
        <v>МоскваASM MOS Food Trade+SorsoTSL MOS SPT Moscow Play Sorso</v>
      </c>
      <c r="B27" s="248" t="s">
        <v>7</v>
      </c>
      <c r="C27" s="249" t="s">
        <v>322</v>
      </c>
      <c r="D27" s="249" t="s">
        <v>328</v>
      </c>
      <c r="E27" s="273" t="s">
        <v>329</v>
      </c>
      <c r="F27" s="251" t="s">
        <v>330</v>
      </c>
      <c r="G27" s="293">
        <v>1</v>
      </c>
      <c r="H27" s="293"/>
      <c r="I27" s="293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4"/>
      <c r="T27" s="293"/>
      <c r="U27" s="294">
        <v>0</v>
      </c>
      <c r="V27" s="294">
        <v>0</v>
      </c>
      <c r="W27" s="294">
        <v>0</v>
      </c>
      <c r="X27" s="294">
        <v>0</v>
      </c>
      <c r="Y27" s="294">
        <v>0</v>
      </c>
      <c r="Z27" s="294">
        <v>3934548.4099999992</v>
      </c>
      <c r="AA27" s="294">
        <v>0</v>
      </c>
      <c r="AB27" s="294">
        <v>0</v>
      </c>
      <c r="AC27" s="294">
        <v>0</v>
      </c>
      <c r="AD27" s="273"/>
      <c r="AE27" s="273"/>
      <c r="AF27" s="273"/>
      <c r="AG27" s="273"/>
      <c r="AH27" s="296">
        <v>51488847.459999874</v>
      </c>
      <c r="AI27" s="273"/>
      <c r="AJ27" s="273"/>
      <c r="AK27" s="273"/>
      <c r="AO27" s="276" t="s">
        <v>337</v>
      </c>
    </row>
    <row r="28" spans="1:41" ht="14.65" hidden="1" customHeight="1">
      <c r="A28" s="273" t="str">
        <f t="shared" si="0"/>
        <v>МоскваASM MOS Food Trade+SorsoTSL MOS SPT Moscow Play Sorso</v>
      </c>
      <c r="B28" s="248" t="s">
        <v>7</v>
      </c>
      <c r="C28" s="249" t="s">
        <v>322</v>
      </c>
      <c r="D28" s="249" t="s">
        <v>328</v>
      </c>
      <c r="E28" s="273" t="s">
        <v>329</v>
      </c>
      <c r="F28" s="251" t="s">
        <v>330</v>
      </c>
      <c r="G28" s="293">
        <v>1</v>
      </c>
      <c r="H28" s="293"/>
      <c r="I28" s="293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4"/>
      <c r="T28" s="293"/>
      <c r="U28" s="294">
        <v>0</v>
      </c>
      <c r="V28" s="294">
        <v>0</v>
      </c>
      <c r="W28" s="294">
        <v>0</v>
      </c>
      <c r="X28" s="294">
        <v>0</v>
      </c>
      <c r="Y28" s="294">
        <v>8744.36</v>
      </c>
      <c r="Z28" s="294">
        <v>22026506.790000029</v>
      </c>
      <c r="AA28" s="294">
        <v>4165317.63</v>
      </c>
      <c r="AB28" s="294">
        <v>40472.51</v>
      </c>
      <c r="AC28" s="294">
        <v>0</v>
      </c>
      <c r="AD28" s="273"/>
      <c r="AE28" s="273"/>
      <c r="AF28" s="273"/>
      <c r="AG28" s="273"/>
      <c r="AH28" s="275"/>
      <c r="AI28" s="273"/>
      <c r="AJ28" s="273"/>
      <c r="AK28" s="273"/>
    </row>
    <row r="29" spans="1:41" ht="14.65" hidden="1" customHeight="1">
      <c r="A29" s="273" t="str">
        <f t="shared" si="0"/>
        <v>МоскваASM MOS Food Trade+SorsoTSL MOS Grocery Mos Obl AS-Market</v>
      </c>
      <c r="B29" s="248" t="s">
        <v>7</v>
      </c>
      <c r="C29" s="249" t="s">
        <v>322</v>
      </c>
      <c r="D29" s="249" t="s">
        <v>328</v>
      </c>
      <c r="E29" s="250" t="s">
        <v>334</v>
      </c>
      <c r="F29" s="251" t="s">
        <v>335</v>
      </c>
      <c r="G29" s="293"/>
      <c r="H29" s="293"/>
      <c r="I29" s="293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4"/>
      <c r="T29" s="489"/>
      <c r="U29" s="489">
        <v>0</v>
      </c>
      <c r="V29" s="489">
        <v>0</v>
      </c>
      <c r="W29" s="489">
        <v>0</v>
      </c>
      <c r="X29" s="489">
        <v>26286175.709999982</v>
      </c>
      <c r="Y29" s="489">
        <v>5754256.379999999</v>
      </c>
      <c r="Z29" s="489">
        <v>5267491.8899999987</v>
      </c>
      <c r="AA29" s="489">
        <v>0</v>
      </c>
      <c r="AB29" s="489">
        <v>0</v>
      </c>
      <c r="AC29" s="489">
        <v>0</v>
      </c>
      <c r="AD29" s="490"/>
      <c r="AE29" s="490"/>
      <c r="AF29" s="490"/>
      <c r="AG29" s="490"/>
      <c r="AI29" s="490"/>
      <c r="AJ29" s="490"/>
      <c r="AK29" s="490"/>
    </row>
    <row r="30" spans="1:41" ht="14.65" hidden="1" customHeight="1">
      <c r="A30" s="273" t="str">
        <f t="shared" si="0"/>
        <v>МоскваASM MOS Food Trade+SorsoTSL MOS SPT Moscow Play Sorso</v>
      </c>
      <c r="B30" s="248" t="s">
        <v>7</v>
      </c>
      <c r="C30" s="249" t="s">
        <v>322</v>
      </c>
      <c r="D30" s="249" t="s">
        <v>328</v>
      </c>
      <c r="E30" s="273" t="s">
        <v>329</v>
      </c>
      <c r="F30" s="251" t="s">
        <v>330</v>
      </c>
      <c r="G30" s="293"/>
      <c r="H30" s="293"/>
      <c r="I30" s="293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4"/>
      <c r="T30" s="293"/>
      <c r="U30" s="294">
        <v>0</v>
      </c>
      <c r="V30" s="294">
        <v>0</v>
      </c>
      <c r="W30" s="294">
        <v>0</v>
      </c>
      <c r="X30" s="294">
        <v>0</v>
      </c>
      <c r="Y30" s="294">
        <v>109458.56000000001</v>
      </c>
      <c r="Z30" s="294">
        <v>261712.53</v>
      </c>
      <c r="AA30" s="294">
        <v>0</v>
      </c>
      <c r="AB30" s="294">
        <v>0</v>
      </c>
      <c r="AC30" s="294">
        <v>0</v>
      </c>
      <c r="AD30" s="273"/>
      <c r="AE30" s="273"/>
      <c r="AF30" s="273"/>
      <c r="AG30" s="273"/>
      <c r="AH30" s="275"/>
      <c r="AI30" s="273"/>
      <c r="AJ30" s="273"/>
      <c r="AK30" s="273"/>
    </row>
    <row r="31" spans="1:41" ht="14.65" hidden="1" customHeight="1">
      <c r="A31" s="273" t="str">
        <f t="shared" si="0"/>
        <v>МоскваASM MOS Food Trade+SorsoTSL MOS SPT Moscow Play Sorso</v>
      </c>
      <c r="B31" s="248" t="s">
        <v>7</v>
      </c>
      <c r="C31" s="249" t="s">
        <v>322</v>
      </c>
      <c r="D31" s="249" t="s">
        <v>328</v>
      </c>
      <c r="E31" s="273" t="s">
        <v>329</v>
      </c>
      <c r="F31" s="251" t="s">
        <v>330</v>
      </c>
      <c r="G31" s="293"/>
      <c r="H31" s="293"/>
      <c r="I31" s="293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4"/>
      <c r="T31" s="293"/>
      <c r="U31" s="294">
        <v>0</v>
      </c>
      <c r="V31" s="294">
        <v>0</v>
      </c>
      <c r="W31" s="294">
        <v>0</v>
      </c>
      <c r="X31" s="294">
        <v>0</v>
      </c>
      <c r="Y31" s="294">
        <v>0</v>
      </c>
      <c r="Z31" s="294">
        <v>47580.24</v>
      </c>
      <c r="AA31" s="294">
        <v>0</v>
      </c>
      <c r="AB31" s="294">
        <v>0</v>
      </c>
      <c r="AC31" s="294">
        <v>0</v>
      </c>
      <c r="AD31" s="273"/>
      <c r="AE31" s="273"/>
      <c r="AF31" s="273"/>
      <c r="AG31" s="273"/>
      <c r="AH31" s="275"/>
      <c r="AI31" s="273"/>
      <c r="AJ31" s="273"/>
      <c r="AK31" s="273"/>
    </row>
    <row r="32" spans="1:41" ht="14.65" hidden="1" customHeight="1">
      <c r="A32" s="273" t="str">
        <f t="shared" si="0"/>
        <v>МоскваASM MOS Food Trade+SorsoTSL MOS SPT Moscow Play Sorso</v>
      </c>
      <c r="B32" s="248" t="s">
        <v>7</v>
      </c>
      <c r="C32" s="249" t="s">
        <v>322</v>
      </c>
      <c r="D32" s="249" t="s">
        <v>328</v>
      </c>
      <c r="E32" s="250" t="s">
        <v>329</v>
      </c>
      <c r="F32" s="251" t="s">
        <v>327</v>
      </c>
      <c r="G32" s="293">
        <v>1</v>
      </c>
      <c r="H32" s="293"/>
      <c r="I32" s="293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4"/>
      <c r="T32" s="293"/>
      <c r="U32" s="293">
        <v>0</v>
      </c>
      <c r="V32" s="293">
        <v>0</v>
      </c>
      <c r="W32" s="293">
        <v>0</v>
      </c>
      <c r="X32" s="293">
        <v>87719.900000000009</v>
      </c>
      <c r="Y32" s="293">
        <v>13654.369999999999</v>
      </c>
      <c r="Z32" s="293">
        <v>49983.75</v>
      </c>
      <c r="AA32" s="293">
        <v>0</v>
      </c>
      <c r="AB32" s="293">
        <v>4788.42</v>
      </c>
      <c r="AC32" s="293">
        <v>0</v>
      </c>
      <c r="AD32" s="273"/>
      <c r="AE32" s="273"/>
      <c r="AF32" s="273"/>
      <c r="AG32" s="273"/>
      <c r="AH32" s="275"/>
      <c r="AI32" s="273"/>
      <c r="AJ32" s="273"/>
      <c r="AK32" s="273"/>
    </row>
    <row r="33" spans="1:41" ht="14.65" hidden="1" customHeight="1">
      <c r="A33" s="273" t="str">
        <f t="shared" si="0"/>
        <v>МоскваASM MOS Food Trade+SorsoTSL MOS SPT Moscow Play Sorso</v>
      </c>
      <c r="B33" s="248" t="s">
        <v>7</v>
      </c>
      <c r="C33" s="249" t="s">
        <v>322</v>
      </c>
      <c r="D33" s="249" t="s">
        <v>328</v>
      </c>
      <c r="E33" s="273" t="s">
        <v>329</v>
      </c>
      <c r="F33" s="251" t="s">
        <v>330</v>
      </c>
      <c r="G33" s="293"/>
      <c r="H33" s="293"/>
      <c r="I33" s="293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4"/>
      <c r="T33" s="293"/>
      <c r="U33" s="294">
        <v>0</v>
      </c>
      <c r="V33" s="294">
        <v>0</v>
      </c>
      <c r="W33" s="294">
        <v>0</v>
      </c>
      <c r="X33" s="294">
        <v>0</v>
      </c>
      <c r="Y33" s="294">
        <v>0</v>
      </c>
      <c r="Z33" s="294">
        <v>54846.799999999996</v>
      </c>
      <c r="AA33" s="294">
        <v>0</v>
      </c>
      <c r="AB33" s="294">
        <v>0</v>
      </c>
      <c r="AC33" s="294">
        <v>0</v>
      </c>
      <c r="AD33" s="273"/>
      <c r="AE33" s="273"/>
      <c r="AF33" s="273"/>
      <c r="AG33" s="273"/>
      <c r="AH33" s="275"/>
      <c r="AI33" s="273"/>
      <c r="AJ33" s="273"/>
      <c r="AK33" s="273"/>
    </row>
    <row r="34" spans="1:41" ht="14.65" hidden="1" customHeight="1">
      <c r="A34" s="273" t="str">
        <f t="shared" si="0"/>
        <v>МоскваASM MOS Food Trade+SorsoTSL MOS Grocery Mos Obl AS-Market</v>
      </c>
      <c r="B34" s="248" t="s">
        <v>7</v>
      </c>
      <c r="C34" s="249" t="s">
        <v>322</v>
      </c>
      <c r="D34" s="249" t="s">
        <v>328</v>
      </c>
      <c r="E34" s="250" t="s">
        <v>334</v>
      </c>
      <c r="F34" s="251" t="s">
        <v>335</v>
      </c>
      <c r="G34" s="293"/>
      <c r="H34" s="293"/>
      <c r="I34" s="293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4"/>
      <c r="T34" s="489"/>
      <c r="U34" s="489">
        <v>0</v>
      </c>
      <c r="V34" s="489">
        <v>0</v>
      </c>
      <c r="W34" s="489">
        <v>0</v>
      </c>
      <c r="X34" s="489">
        <v>705614.96000000008</v>
      </c>
      <c r="Y34" s="489">
        <v>11128858.729999993</v>
      </c>
      <c r="Z34" s="489">
        <v>5446135.0799999991</v>
      </c>
      <c r="AA34" s="489">
        <v>0</v>
      </c>
      <c r="AB34" s="489">
        <v>1874576.2400000005</v>
      </c>
      <c r="AC34" s="489">
        <v>0</v>
      </c>
      <c r="AD34" s="490"/>
      <c r="AE34" s="490"/>
      <c r="AF34" s="490"/>
      <c r="AG34" s="490"/>
      <c r="AI34" s="490"/>
      <c r="AJ34" s="490"/>
      <c r="AK34" s="490"/>
    </row>
    <row r="35" spans="1:41" ht="14.65" hidden="1" customHeight="1">
      <c r="A35" s="273" t="str">
        <f t="shared" si="0"/>
        <v>МоскваASM MOS Food Trade+SorsoTSL MOS Grocery Mos Obl AS-Market</v>
      </c>
      <c r="B35" s="248" t="s">
        <v>7</v>
      </c>
      <c r="C35" s="249" t="s">
        <v>322</v>
      </c>
      <c r="D35" s="249" t="s">
        <v>328</v>
      </c>
      <c r="E35" s="250" t="s">
        <v>334</v>
      </c>
      <c r="F35" s="251" t="s">
        <v>335</v>
      </c>
      <c r="G35" s="293"/>
      <c r="H35" s="293"/>
      <c r="I35" s="293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4"/>
      <c r="T35" s="489"/>
      <c r="U35" s="489">
        <v>0</v>
      </c>
      <c r="V35" s="489">
        <v>0</v>
      </c>
      <c r="W35" s="489">
        <v>0</v>
      </c>
      <c r="X35" s="489">
        <v>304618.33</v>
      </c>
      <c r="Y35" s="489">
        <v>342266.64999999997</v>
      </c>
      <c r="Z35" s="489">
        <v>4906200.0500000007</v>
      </c>
      <c r="AA35" s="489">
        <v>1611618.38</v>
      </c>
      <c r="AB35" s="489">
        <v>380185.84000000008</v>
      </c>
      <c r="AC35" s="489">
        <v>63459601.280000009</v>
      </c>
      <c r="AD35" s="490"/>
      <c r="AE35" s="490"/>
      <c r="AF35" s="490"/>
      <c r="AG35" s="490"/>
      <c r="AI35" s="490"/>
      <c r="AJ35" s="490"/>
      <c r="AK35" s="490"/>
    </row>
    <row r="36" spans="1:41" ht="14.65" hidden="1" customHeight="1">
      <c r="A36" s="273" t="str">
        <f t="shared" si="0"/>
        <v>МоскваASM MOS Food Trade+SorsoTSL MOS SPT Moscow Play Sorso</v>
      </c>
      <c r="B36" s="248" t="s">
        <v>7</v>
      </c>
      <c r="C36" s="249" t="s">
        <v>322</v>
      </c>
      <c r="D36" s="249" t="s">
        <v>328</v>
      </c>
      <c r="E36" s="273" t="s">
        <v>329</v>
      </c>
      <c r="F36" s="251" t="s">
        <v>330</v>
      </c>
      <c r="G36" s="293"/>
      <c r="H36" s="293"/>
      <c r="I36" s="293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4"/>
      <c r="T36" s="293"/>
      <c r="U36" s="294">
        <v>0</v>
      </c>
      <c r="V36" s="294">
        <v>0</v>
      </c>
      <c r="W36" s="294">
        <v>0</v>
      </c>
      <c r="X36" s="294">
        <v>0</v>
      </c>
      <c r="Y36" s="294">
        <v>449616.58000000019</v>
      </c>
      <c r="Z36" s="294">
        <v>844392.20000000019</v>
      </c>
      <c r="AA36" s="294">
        <v>221309.68</v>
      </c>
      <c r="AB36" s="294">
        <v>4921.2</v>
      </c>
      <c r="AC36" s="294">
        <v>0</v>
      </c>
      <c r="AD36" s="273"/>
      <c r="AE36" s="273"/>
      <c r="AF36" s="273"/>
      <c r="AG36" s="273"/>
      <c r="AH36" s="275"/>
      <c r="AI36" s="273"/>
      <c r="AJ36" s="273"/>
      <c r="AK36" s="273"/>
    </row>
    <row r="37" spans="1:41" ht="14.65" hidden="1" customHeight="1">
      <c r="A37" s="273" t="str">
        <f t="shared" si="0"/>
        <v>МоскваASM MOS Food Trade+SorsoTSL MOS SPT Moscow Play Sorso</v>
      </c>
      <c r="B37" s="248" t="s">
        <v>7</v>
      </c>
      <c r="C37" s="249" t="s">
        <v>322</v>
      </c>
      <c r="D37" s="249" t="s">
        <v>328</v>
      </c>
      <c r="E37" s="273" t="s">
        <v>329</v>
      </c>
      <c r="F37" s="251" t="s">
        <v>330</v>
      </c>
      <c r="G37" s="293"/>
      <c r="H37" s="293"/>
      <c r="I37" s="293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4"/>
      <c r="T37" s="293"/>
      <c r="U37" s="294">
        <v>0</v>
      </c>
      <c r="V37" s="294">
        <v>0</v>
      </c>
      <c r="W37" s="294">
        <v>0</v>
      </c>
      <c r="X37" s="294">
        <v>0</v>
      </c>
      <c r="Y37" s="294">
        <v>120182.07000000002</v>
      </c>
      <c r="Z37" s="294">
        <v>1560963.9799999993</v>
      </c>
      <c r="AA37" s="294">
        <v>6789638.8999999985</v>
      </c>
      <c r="AB37" s="294">
        <v>0</v>
      </c>
      <c r="AC37" s="294">
        <v>0</v>
      </c>
      <c r="AD37" s="273"/>
      <c r="AE37" s="273"/>
      <c r="AF37" s="273"/>
      <c r="AG37" s="273"/>
      <c r="AH37" s="275"/>
      <c r="AI37" s="273"/>
      <c r="AJ37" s="273"/>
      <c r="AK37" s="273"/>
    </row>
    <row r="38" spans="1:41" ht="14.65" hidden="1" customHeight="1">
      <c r="A38" s="273" t="str">
        <f t="shared" si="0"/>
        <v>МоскваASM MOS Food Trade+SorsoTSL MOS SPT Moscow Play Sorso</v>
      </c>
      <c r="B38" s="248" t="s">
        <v>7</v>
      </c>
      <c r="C38" s="249" t="s">
        <v>322</v>
      </c>
      <c r="D38" s="249" t="s">
        <v>328</v>
      </c>
      <c r="E38" s="273" t="s">
        <v>329</v>
      </c>
      <c r="F38" s="251" t="s">
        <v>330</v>
      </c>
      <c r="G38" s="293"/>
      <c r="H38" s="293"/>
      <c r="I38" s="293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4"/>
      <c r="T38" s="293"/>
      <c r="U38" s="294">
        <v>0</v>
      </c>
      <c r="V38" s="294">
        <v>0</v>
      </c>
      <c r="W38" s="294">
        <v>0</v>
      </c>
      <c r="X38" s="294">
        <v>0</v>
      </c>
      <c r="Y38" s="294">
        <v>0</v>
      </c>
      <c r="Z38" s="294">
        <v>74381.34</v>
      </c>
      <c r="AA38" s="294">
        <v>0</v>
      </c>
      <c r="AB38" s="294">
        <v>0</v>
      </c>
      <c r="AC38" s="294">
        <v>0</v>
      </c>
      <c r="AD38" s="273"/>
      <c r="AE38" s="273"/>
      <c r="AF38" s="273"/>
      <c r="AG38" s="273"/>
      <c r="AH38" s="275"/>
      <c r="AI38" s="273"/>
      <c r="AJ38" s="273"/>
      <c r="AK38" s="273"/>
    </row>
    <row r="39" spans="1:41" ht="14.65" customHeight="1">
      <c r="A39" s="273" t="str">
        <f t="shared" si="0"/>
        <v>МоскваDDM MOS Sladkaay ZhiznTSL MOS  Moscow 2 Sladkaya Zhizn</v>
      </c>
      <c r="B39" s="248" t="s">
        <v>7</v>
      </c>
      <c r="C39" s="249" t="s">
        <v>322</v>
      </c>
      <c r="D39" s="249" t="s">
        <v>323</v>
      </c>
      <c r="E39" s="250" t="s">
        <v>332</v>
      </c>
      <c r="F39" s="251" t="s">
        <v>327</v>
      </c>
      <c r="G39" s="293"/>
      <c r="H39" s="293"/>
      <c r="I39" s="293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4"/>
      <c r="T39" s="293"/>
      <c r="U39" s="293">
        <v>0</v>
      </c>
      <c r="V39" s="293">
        <v>2268781.3500000006</v>
      </c>
      <c r="W39" s="293">
        <v>0</v>
      </c>
      <c r="X39" s="489"/>
      <c r="Y39" s="293">
        <v>8588247.9499999974</v>
      </c>
      <c r="Z39" s="293">
        <v>20423780.23</v>
      </c>
      <c r="AA39" s="293">
        <v>7231411.2700000023</v>
      </c>
      <c r="AB39" s="293">
        <v>4680397.2199999988</v>
      </c>
      <c r="AC39" s="293">
        <v>635550.9</v>
      </c>
      <c r="AD39" s="273"/>
      <c r="AE39" s="273"/>
      <c r="AF39" s="273"/>
      <c r="AG39" s="273"/>
      <c r="AH39" s="489">
        <v>109321797.52999994</v>
      </c>
      <c r="AI39" s="273"/>
      <c r="AJ39" s="273"/>
      <c r="AK39" s="273"/>
      <c r="AO39" s="276" t="s">
        <v>326</v>
      </c>
    </row>
    <row r="40" spans="1:41" ht="14.65" hidden="1" customHeight="1">
      <c r="A40" s="273" t="str">
        <f t="shared" si="0"/>
        <v>МоскваASM MOS Food Trade+SorsoTSL MOS SPT Moscow Play Sorso</v>
      </c>
      <c r="B40" s="248" t="s">
        <v>7</v>
      </c>
      <c r="C40" s="249" t="s">
        <v>322</v>
      </c>
      <c r="D40" s="249" t="s">
        <v>328</v>
      </c>
      <c r="E40" s="273" t="s">
        <v>329</v>
      </c>
      <c r="F40" s="251" t="s">
        <v>330</v>
      </c>
      <c r="G40" s="293"/>
      <c r="H40" s="293"/>
      <c r="I40" s="293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4"/>
      <c r="T40" s="293"/>
      <c r="U40" s="294">
        <v>0</v>
      </c>
      <c r="V40" s="294">
        <v>0</v>
      </c>
      <c r="W40" s="294">
        <v>0</v>
      </c>
      <c r="X40" s="294">
        <v>0</v>
      </c>
      <c r="Y40" s="294">
        <v>0</v>
      </c>
      <c r="Z40" s="294">
        <v>7381.7999999999993</v>
      </c>
      <c r="AA40" s="294">
        <v>0</v>
      </c>
      <c r="AB40" s="294">
        <v>0</v>
      </c>
      <c r="AC40" s="294">
        <v>0</v>
      </c>
      <c r="AD40" s="273"/>
      <c r="AE40" s="273"/>
      <c r="AF40" s="273"/>
      <c r="AG40" s="273"/>
      <c r="AH40" s="275"/>
      <c r="AI40" s="273"/>
      <c r="AJ40" s="273"/>
      <c r="AK40" s="273"/>
    </row>
    <row r="41" spans="1:41" ht="14.65" hidden="1" customHeight="1">
      <c r="A41" s="273" t="str">
        <f t="shared" si="0"/>
        <v>МоскваASM MOS Food Trade+SorsoTSL MOS Grocery Mos Obl AS-Market</v>
      </c>
      <c r="B41" s="248" t="s">
        <v>7</v>
      </c>
      <c r="C41" s="249" t="s">
        <v>322</v>
      </c>
      <c r="D41" s="249" t="s">
        <v>328</v>
      </c>
      <c r="E41" s="250" t="s">
        <v>334</v>
      </c>
      <c r="F41" s="251" t="s">
        <v>335</v>
      </c>
      <c r="G41" s="293"/>
      <c r="H41" s="293"/>
      <c r="I41" s="293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4"/>
      <c r="T41" s="489"/>
      <c r="U41" s="491">
        <v>16865038.440000001</v>
      </c>
      <c r="V41" s="489">
        <v>0</v>
      </c>
      <c r="W41" s="489">
        <v>0</v>
      </c>
      <c r="X41" s="489">
        <v>886166.9800000001</v>
      </c>
      <c r="Y41" s="489">
        <v>121304.76000000001</v>
      </c>
      <c r="Z41" s="489">
        <v>0</v>
      </c>
      <c r="AA41" s="489">
        <v>0</v>
      </c>
      <c r="AB41" s="489">
        <v>3733.62</v>
      </c>
      <c r="AC41" s="489">
        <v>0</v>
      </c>
      <c r="AD41" s="490"/>
      <c r="AE41" s="490"/>
      <c r="AF41" s="490"/>
      <c r="AG41" s="490"/>
      <c r="AI41" s="490"/>
      <c r="AJ41" s="490"/>
      <c r="AK41" s="490"/>
    </row>
    <row r="42" spans="1:41" ht="14.65" customHeight="1">
      <c r="A42" s="273" t="str">
        <f t="shared" si="0"/>
        <v>МоскваDDM MOS Sladkaay ZhiznTSL MOS  Moscow 2 Sladkaya Zhizn</v>
      </c>
      <c r="B42" s="248" t="s">
        <v>7</v>
      </c>
      <c r="C42" s="249" t="s">
        <v>322</v>
      </c>
      <c r="D42" s="249" t="s">
        <v>323</v>
      </c>
      <c r="E42" s="250" t="s">
        <v>332</v>
      </c>
      <c r="F42" s="251" t="s">
        <v>327</v>
      </c>
      <c r="G42" s="293"/>
      <c r="H42" s="293"/>
      <c r="I42" s="293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4"/>
      <c r="T42" s="293"/>
      <c r="U42" s="293">
        <v>0</v>
      </c>
      <c r="V42" s="293">
        <v>0</v>
      </c>
      <c r="W42" s="293">
        <v>0</v>
      </c>
      <c r="Y42" s="293">
        <v>0</v>
      </c>
      <c r="Z42" s="293">
        <v>7915.5</v>
      </c>
      <c r="AA42" s="293">
        <v>0</v>
      </c>
      <c r="AB42" s="293">
        <v>31262.159999999993</v>
      </c>
      <c r="AC42" s="293">
        <v>2533045.62</v>
      </c>
      <c r="AD42" s="273"/>
      <c r="AE42" s="273"/>
      <c r="AF42" s="273"/>
      <c r="AG42" s="273"/>
      <c r="AH42" s="180">
        <v>85074102.199999973</v>
      </c>
      <c r="AI42" s="273"/>
      <c r="AJ42" s="273"/>
      <c r="AK42" s="273"/>
      <c r="AO42" s="276" t="s">
        <v>326</v>
      </c>
    </row>
    <row r="43" spans="1:41" ht="14.65" customHeight="1">
      <c r="A43" s="273" t="str">
        <f t="shared" si="0"/>
        <v>МоскваDDM MOS Sladkaay ZhiznTSL MOS  Moscow 1 Sladkaya Zhizn</v>
      </c>
      <c r="B43" s="248" t="s">
        <v>7</v>
      </c>
      <c r="C43" s="249" t="s">
        <v>322</v>
      </c>
      <c r="D43" s="249" t="s">
        <v>323</v>
      </c>
      <c r="E43" s="250" t="s">
        <v>336</v>
      </c>
      <c r="F43" s="251" t="s">
        <v>327</v>
      </c>
      <c r="G43" s="293"/>
      <c r="H43" s="293"/>
      <c r="I43" s="293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4"/>
      <c r="T43" s="293"/>
      <c r="U43" s="293">
        <v>0</v>
      </c>
      <c r="V43" s="293">
        <v>0</v>
      </c>
      <c r="W43" s="293">
        <v>0</v>
      </c>
      <c r="X43" s="489"/>
      <c r="Y43" s="293">
        <v>0</v>
      </c>
      <c r="Z43" s="293">
        <v>7915.5</v>
      </c>
      <c r="AA43" s="293">
        <v>0</v>
      </c>
      <c r="AB43" s="293">
        <v>31262.159999999993</v>
      </c>
      <c r="AC43" s="293">
        <v>2533045.62</v>
      </c>
      <c r="AD43" s="273"/>
      <c r="AE43" s="273"/>
      <c r="AF43" s="273"/>
      <c r="AG43" s="273"/>
      <c r="AH43" s="489">
        <v>67792885.019999981</v>
      </c>
      <c r="AI43" s="273"/>
      <c r="AJ43" s="273"/>
      <c r="AK43" s="273"/>
      <c r="AO43" s="276" t="s">
        <v>326</v>
      </c>
    </row>
    <row r="44" spans="1:41" ht="14.65" hidden="1" customHeight="1">
      <c r="A44" s="273" t="str">
        <f t="shared" si="0"/>
        <v>МоскваASM MOS Food Trade+SorsoTSL MOS SPT Moscow Play Sorso</v>
      </c>
      <c r="B44" s="248" t="s">
        <v>7</v>
      </c>
      <c r="C44" s="249" t="s">
        <v>322</v>
      </c>
      <c r="D44" s="249" t="s">
        <v>328</v>
      </c>
      <c r="E44" s="273" t="s">
        <v>329</v>
      </c>
      <c r="F44" s="251" t="s">
        <v>330</v>
      </c>
      <c r="G44" s="293"/>
      <c r="H44" s="293"/>
      <c r="I44" s="293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4"/>
      <c r="T44" s="293"/>
      <c r="U44" s="294">
        <v>0</v>
      </c>
      <c r="V44" s="294">
        <v>0</v>
      </c>
      <c r="W44" s="294">
        <v>0</v>
      </c>
      <c r="X44" s="294">
        <v>0</v>
      </c>
      <c r="Y44" s="294">
        <v>0</v>
      </c>
      <c r="Z44" s="294">
        <v>113749.7</v>
      </c>
      <c r="AA44" s="294">
        <v>0</v>
      </c>
      <c r="AB44" s="294">
        <v>0</v>
      </c>
      <c r="AC44" s="294">
        <v>0</v>
      </c>
      <c r="AD44" s="273"/>
      <c r="AE44" s="273"/>
      <c r="AF44" s="273"/>
      <c r="AG44" s="273"/>
      <c r="AH44" s="275"/>
      <c r="AI44" s="273"/>
      <c r="AJ44" s="273"/>
      <c r="AK44" s="273"/>
    </row>
    <row r="45" spans="1:41" ht="14.65" hidden="1" customHeight="1">
      <c r="A45" s="273" t="str">
        <f t="shared" si="0"/>
        <v>МоскваASM MOS Food Trade+SorsoTSL MOS SPT Moscow Play Sorso</v>
      </c>
      <c r="B45" s="248" t="s">
        <v>7</v>
      </c>
      <c r="C45" s="249" t="s">
        <v>322</v>
      </c>
      <c r="D45" s="249" t="s">
        <v>328</v>
      </c>
      <c r="E45" s="273" t="s">
        <v>329</v>
      </c>
      <c r="F45" s="251" t="s">
        <v>330</v>
      </c>
      <c r="G45" s="293"/>
      <c r="H45" s="293"/>
      <c r="I45" s="293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4"/>
      <c r="T45" s="293"/>
      <c r="U45" s="294">
        <v>0</v>
      </c>
      <c r="V45" s="294">
        <v>0</v>
      </c>
      <c r="W45" s="294">
        <v>0</v>
      </c>
      <c r="X45" s="294">
        <v>0</v>
      </c>
      <c r="Y45" s="294">
        <v>0</v>
      </c>
      <c r="Z45" s="294">
        <v>2460.6</v>
      </c>
      <c r="AA45" s="294">
        <v>0</v>
      </c>
      <c r="AB45" s="294">
        <v>0</v>
      </c>
      <c r="AC45" s="294">
        <v>0</v>
      </c>
      <c r="AD45" s="273"/>
      <c r="AE45" s="273"/>
      <c r="AF45" s="273"/>
      <c r="AG45" s="273"/>
      <c r="AH45" s="275"/>
      <c r="AI45" s="273"/>
      <c r="AJ45" s="273"/>
      <c r="AK45" s="273"/>
    </row>
    <row r="46" spans="1:41" ht="14.65" hidden="1" customHeight="1">
      <c r="A46" s="273" t="str">
        <f t="shared" si="0"/>
        <v>МоскваASM MOS Food Trade+SorsoTSL MOS Grocery Mos Obl AS-Market</v>
      </c>
      <c r="B46" s="248" t="s">
        <v>7</v>
      </c>
      <c r="C46" s="249" t="s">
        <v>322</v>
      </c>
      <c r="D46" s="249" t="s">
        <v>328</v>
      </c>
      <c r="E46" s="250" t="s">
        <v>334</v>
      </c>
      <c r="F46" s="251" t="s">
        <v>335</v>
      </c>
      <c r="G46" s="293">
        <v>1</v>
      </c>
      <c r="H46" s="293"/>
      <c r="I46" s="293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4"/>
      <c r="T46" s="489"/>
      <c r="U46" s="489">
        <v>0</v>
      </c>
      <c r="V46" s="489">
        <v>0</v>
      </c>
      <c r="W46" s="489">
        <v>0</v>
      </c>
      <c r="X46" s="489">
        <v>0</v>
      </c>
      <c r="Y46" s="489">
        <v>0</v>
      </c>
      <c r="Z46" s="489">
        <v>1531398.9</v>
      </c>
      <c r="AA46" s="489">
        <v>0</v>
      </c>
      <c r="AB46" s="489">
        <v>0</v>
      </c>
      <c r="AC46" s="489">
        <v>0</v>
      </c>
      <c r="AD46" s="490"/>
      <c r="AE46" s="490"/>
      <c r="AF46" s="490"/>
      <c r="AG46" s="490"/>
      <c r="AI46" s="490">
        <f>246824.9517*13</f>
        <v>3208724.3721000003</v>
      </c>
      <c r="AJ46" s="490"/>
      <c r="AK46" s="490"/>
    </row>
    <row r="47" spans="1:41" ht="14.65" hidden="1" customHeight="1">
      <c r="A47" s="273" t="str">
        <f t="shared" si="0"/>
        <v>МоскваASM MOS Food Trade+SorsoTSL MOS SPT Moscow Play Sorso</v>
      </c>
      <c r="B47" s="248" t="s">
        <v>7</v>
      </c>
      <c r="C47" s="249" t="s">
        <v>322</v>
      </c>
      <c r="D47" s="249" t="s">
        <v>328</v>
      </c>
      <c r="E47" s="273" t="s">
        <v>329</v>
      </c>
      <c r="F47" s="251" t="s">
        <v>330</v>
      </c>
      <c r="G47" s="293"/>
      <c r="H47" s="293"/>
      <c r="I47" s="293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4"/>
      <c r="T47" s="293"/>
      <c r="U47" s="294">
        <v>35998.819999999992</v>
      </c>
      <c r="V47" s="294">
        <v>0</v>
      </c>
      <c r="W47" s="294">
        <v>0</v>
      </c>
      <c r="X47" s="294">
        <v>0</v>
      </c>
      <c r="Y47" s="294">
        <v>0</v>
      </c>
      <c r="Z47" s="294">
        <v>9500000</v>
      </c>
      <c r="AA47" s="294">
        <v>0</v>
      </c>
      <c r="AB47" s="294">
        <v>0</v>
      </c>
      <c r="AC47" s="294">
        <v>0</v>
      </c>
      <c r="AD47" s="273"/>
      <c r="AE47" s="273"/>
      <c r="AF47" s="273"/>
      <c r="AG47" s="273"/>
      <c r="AH47" s="275"/>
      <c r="AI47" s="273"/>
      <c r="AJ47" s="273"/>
      <c r="AK47" s="273"/>
    </row>
    <row r="48" spans="1:41" ht="14.65" hidden="1" customHeight="1">
      <c r="A48" s="273" t="str">
        <f t="shared" si="0"/>
        <v>МосковскаяASM MOS Food Trade+SorsoTSL MOS SPT Moscow Play Sorso</v>
      </c>
      <c r="B48" s="248" t="s">
        <v>338</v>
      </c>
      <c r="C48" s="249" t="s">
        <v>322</v>
      </c>
      <c r="D48" s="249" t="s">
        <v>328</v>
      </c>
      <c r="E48" s="273" t="s">
        <v>329</v>
      </c>
      <c r="F48" s="251" t="s">
        <v>330</v>
      </c>
      <c r="G48" s="293"/>
      <c r="H48" s="293"/>
      <c r="I48" s="293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4"/>
      <c r="T48" s="293"/>
      <c r="U48" s="294">
        <v>0</v>
      </c>
      <c r="V48" s="294">
        <v>566466.16</v>
      </c>
      <c r="W48" s="294">
        <v>0</v>
      </c>
      <c r="X48" s="294">
        <v>0</v>
      </c>
      <c r="Y48" s="294">
        <v>0</v>
      </c>
      <c r="Z48" s="294">
        <v>101427.09999999998</v>
      </c>
      <c r="AA48" s="294">
        <v>0</v>
      </c>
      <c r="AB48" s="294">
        <v>0</v>
      </c>
      <c r="AC48" s="294">
        <v>0</v>
      </c>
      <c r="AD48" s="273"/>
      <c r="AE48" s="273"/>
      <c r="AF48" s="273"/>
      <c r="AG48" s="273"/>
      <c r="AH48" s="298">
        <v>4983223.1399999978</v>
      </c>
      <c r="AI48" s="273"/>
      <c r="AJ48" s="273"/>
      <c r="AK48" s="273"/>
      <c r="AO48" s="276" t="s">
        <v>337</v>
      </c>
    </row>
    <row r="49" spans="1:42" ht="14.65" hidden="1" customHeight="1">
      <c r="A49" s="273" t="str">
        <f t="shared" si="0"/>
        <v>МосковскаяASM MOS Food Trade+SorsoTSL MOS Grocery Mos Obl AS-Market</v>
      </c>
      <c r="B49" s="248" t="s">
        <v>338</v>
      </c>
      <c r="C49" s="249" t="s">
        <v>322</v>
      </c>
      <c r="D49" s="249" t="s">
        <v>328</v>
      </c>
      <c r="E49" s="250" t="s">
        <v>334</v>
      </c>
      <c r="F49" s="251" t="s">
        <v>327</v>
      </c>
      <c r="G49" s="293"/>
      <c r="H49" s="293"/>
      <c r="I49" s="293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4"/>
      <c r="T49" s="489"/>
      <c r="U49" s="489">
        <v>0</v>
      </c>
      <c r="V49" s="489">
        <v>0</v>
      </c>
      <c r="W49" s="489">
        <v>0</v>
      </c>
      <c r="X49" s="489">
        <v>120703.57999999999</v>
      </c>
      <c r="Y49" s="489">
        <v>0</v>
      </c>
      <c r="Z49" s="489">
        <v>371869.96999999991</v>
      </c>
      <c r="AA49" s="489">
        <v>0</v>
      </c>
      <c r="AB49" s="489">
        <v>25519.75</v>
      </c>
      <c r="AC49" s="489">
        <v>0</v>
      </c>
      <c r="AD49" s="490"/>
      <c r="AE49" s="490"/>
      <c r="AF49" s="490"/>
      <c r="AG49" s="490"/>
      <c r="AI49" s="490"/>
      <c r="AJ49" s="490"/>
      <c r="AK49" s="490"/>
    </row>
    <row r="50" spans="1:42" ht="14.65" hidden="1" customHeight="1">
      <c r="A50" s="273" t="str">
        <f t="shared" si="0"/>
        <v>МосковскаяASM MOS Food Trade+SorsoTSL MOS SPT Moscow Play Sorso</v>
      </c>
      <c r="B50" s="248" t="s">
        <v>338</v>
      </c>
      <c r="C50" s="249" t="s">
        <v>322</v>
      </c>
      <c r="D50" s="249" t="s">
        <v>328</v>
      </c>
      <c r="E50" s="273" t="s">
        <v>329</v>
      </c>
      <c r="F50" s="251" t="s">
        <v>330</v>
      </c>
      <c r="G50" s="293"/>
      <c r="H50" s="293"/>
      <c r="I50" s="293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4"/>
      <c r="T50" s="293"/>
      <c r="U50" s="294">
        <v>0</v>
      </c>
      <c r="V50" s="294">
        <v>16695851.649999999</v>
      </c>
      <c r="W50" s="294">
        <v>0</v>
      </c>
      <c r="X50" s="294">
        <v>71189.710000000021</v>
      </c>
      <c r="Y50" s="294">
        <v>460812.42999999993</v>
      </c>
      <c r="Z50" s="294">
        <v>23495219.850000001</v>
      </c>
      <c r="AA50" s="294">
        <v>203392.41999999998</v>
      </c>
      <c r="AB50" s="294">
        <v>1253900.6299999952</v>
      </c>
      <c r="AC50" s="294">
        <v>60387295.880000003</v>
      </c>
      <c r="AD50" s="273"/>
      <c r="AE50" s="273"/>
      <c r="AF50" s="273"/>
      <c r="AG50" s="273"/>
      <c r="AH50" s="275"/>
      <c r="AI50" s="273"/>
      <c r="AJ50" s="273"/>
      <c r="AK50" s="273"/>
    </row>
    <row r="51" spans="1:42" ht="14.65" hidden="1" customHeight="1">
      <c r="A51" s="273" t="str">
        <f t="shared" si="0"/>
        <v>МосковскаяASM MOS Food Trade+SorsoTSL MOS Grocery Mos Obl AS-Market</v>
      </c>
      <c r="B51" s="248" t="s">
        <v>338</v>
      </c>
      <c r="C51" s="249" t="s">
        <v>322</v>
      </c>
      <c r="D51" s="249" t="s">
        <v>328</v>
      </c>
      <c r="E51" s="250" t="s">
        <v>334</v>
      </c>
      <c r="F51" s="251" t="s">
        <v>335</v>
      </c>
      <c r="G51" s="293"/>
      <c r="H51" s="293"/>
      <c r="I51" s="293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4"/>
      <c r="T51" s="489"/>
      <c r="U51" s="489">
        <v>0</v>
      </c>
      <c r="V51" s="489">
        <v>0</v>
      </c>
      <c r="W51" s="489">
        <v>0</v>
      </c>
      <c r="X51" s="489">
        <v>85685187.23999998</v>
      </c>
      <c r="Y51" s="489">
        <v>5175767.47</v>
      </c>
      <c r="Z51" s="489">
        <v>97019.61</v>
      </c>
      <c r="AA51" s="489">
        <v>0</v>
      </c>
      <c r="AB51" s="489">
        <v>0</v>
      </c>
      <c r="AC51" s="489">
        <v>0</v>
      </c>
      <c r="AD51" s="490"/>
      <c r="AE51" s="490"/>
      <c r="AF51" s="490"/>
      <c r="AG51" s="490"/>
      <c r="AI51" s="490"/>
      <c r="AJ51" s="490"/>
      <c r="AK51" s="490"/>
      <c r="AO51" s="276" t="s">
        <v>339</v>
      </c>
      <c r="AP51" s="273" t="s">
        <v>340</v>
      </c>
    </row>
    <row r="52" spans="1:42" ht="14.65" hidden="1" customHeight="1">
      <c r="A52" s="273" t="str">
        <f t="shared" si="0"/>
        <v>МосковскаяASM MOS Food Trade+SorsoTSL MOS SPT Moscow Play Sorso</v>
      </c>
      <c r="B52" s="248" t="s">
        <v>338</v>
      </c>
      <c r="C52" s="249" t="s">
        <v>322</v>
      </c>
      <c r="D52" s="249" t="s">
        <v>328</v>
      </c>
      <c r="E52" s="273" t="s">
        <v>329</v>
      </c>
      <c r="F52" s="251" t="s">
        <v>330</v>
      </c>
      <c r="G52" s="293"/>
      <c r="H52" s="293"/>
      <c r="I52" s="293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4"/>
      <c r="T52" s="293"/>
      <c r="U52" s="294">
        <v>0</v>
      </c>
      <c r="V52" s="294">
        <v>0</v>
      </c>
      <c r="W52" s="294">
        <v>0</v>
      </c>
      <c r="X52" s="294">
        <v>0</v>
      </c>
      <c r="Y52" s="294">
        <v>6151.5</v>
      </c>
      <c r="Z52" s="294">
        <v>159275.74999999997</v>
      </c>
      <c r="AA52" s="294">
        <v>0</v>
      </c>
      <c r="AB52" s="294">
        <v>0</v>
      </c>
      <c r="AC52" s="294">
        <v>0</v>
      </c>
      <c r="AD52" s="273"/>
      <c r="AE52" s="273"/>
      <c r="AF52" s="273"/>
      <c r="AG52" s="273"/>
      <c r="AH52" s="275"/>
      <c r="AI52" s="273"/>
      <c r="AJ52" s="273"/>
      <c r="AK52" s="273"/>
    </row>
    <row r="53" spans="1:42" ht="14.65" customHeight="1">
      <c r="A53" s="273" t="str">
        <f t="shared" si="0"/>
        <v>МосковскаяDDM MOS Sladkaay ZhiznTSL MOS  Moscow 1 Sladkaya Zhizn</v>
      </c>
      <c r="B53" s="248" t="s">
        <v>338</v>
      </c>
      <c r="C53" s="249" t="s">
        <v>322</v>
      </c>
      <c r="D53" s="285" t="s">
        <v>323</v>
      </c>
      <c r="E53" s="250" t="s">
        <v>336</v>
      </c>
      <c r="F53" s="251" t="s">
        <v>327</v>
      </c>
      <c r="G53" s="293"/>
      <c r="H53" s="293"/>
      <c r="I53" s="293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4"/>
      <c r="T53" s="293"/>
      <c r="U53" s="293">
        <v>0</v>
      </c>
      <c r="V53" s="293">
        <v>0</v>
      </c>
      <c r="W53" s="293">
        <v>0</v>
      </c>
      <c r="X53" s="295">
        <v>999864.46999999986</v>
      </c>
      <c r="Y53" s="294">
        <v>63825.824999999997</v>
      </c>
      <c r="Z53" s="294">
        <v>84829.294999999998</v>
      </c>
      <c r="AA53" s="294">
        <v>0</v>
      </c>
      <c r="AB53" s="294">
        <v>7066.6949999999997</v>
      </c>
      <c r="AC53" s="294">
        <v>0</v>
      </c>
      <c r="AD53" s="273"/>
      <c r="AE53" s="273"/>
      <c r="AF53" s="273"/>
      <c r="AG53" s="273"/>
      <c r="AH53" s="275">
        <v>7046878.6800000081</v>
      </c>
      <c r="AI53" s="273"/>
      <c r="AJ53" s="273"/>
      <c r="AK53" s="273"/>
      <c r="AO53" s="276" t="s">
        <v>326</v>
      </c>
    </row>
    <row r="54" spans="1:42" ht="14.65" hidden="1" customHeight="1">
      <c r="A54" s="273" t="str">
        <f t="shared" si="0"/>
        <v>МосковскаяASM MOS Food Trade+SorsoTSL MOS SPT Moscow Play Sorso</v>
      </c>
      <c r="B54" s="248" t="s">
        <v>338</v>
      </c>
      <c r="C54" s="249" t="s">
        <v>322</v>
      </c>
      <c r="D54" s="249" t="s">
        <v>328</v>
      </c>
      <c r="E54" s="273" t="s">
        <v>329</v>
      </c>
      <c r="F54" s="251" t="s">
        <v>330</v>
      </c>
      <c r="G54" s="293"/>
      <c r="H54" s="293"/>
      <c r="I54" s="293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4"/>
      <c r="T54" s="293"/>
      <c r="U54" s="294">
        <v>0</v>
      </c>
      <c r="V54" s="294">
        <v>0</v>
      </c>
      <c r="W54" s="294">
        <v>0</v>
      </c>
      <c r="X54" s="294">
        <v>6943.3199999999988</v>
      </c>
      <c r="Y54" s="294">
        <v>1855061.3900000018</v>
      </c>
      <c r="Z54" s="294">
        <v>8517989.4000000004</v>
      </c>
      <c r="AA54" s="294">
        <v>0</v>
      </c>
      <c r="AB54" s="294">
        <v>15538.850000000002</v>
      </c>
      <c r="AC54" s="294">
        <v>0</v>
      </c>
      <c r="AD54" s="273"/>
      <c r="AE54" s="273"/>
      <c r="AF54" s="273"/>
      <c r="AG54" s="273"/>
      <c r="AH54" s="275"/>
      <c r="AI54" s="273"/>
      <c r="AJ54" s="273"/>
      <c r="AK54" s="273"/>
    </row>
    <row r="55" spans="1:42" ht="14.65" hidden="1" customHeight="1">
      <c r="A55" s="273" t="str">
        <f t="shared" si="0"/>
        <v>МосковскаяASM MOS Food Trade+SorsoTSL MOS SPT Moscow Play Sorso</v>
      </c>
      <c r="B55" s="248" t="s">
        <v>338</v>
      </c>
      <c r="C55" s="249" t="s">
        <v>322</v>
      </c>
      <c r="D55" s="249" t="s">
        <v>328</v>
      </c>
      <c r="E55" s="273" t="s">
        <v>329</v>
      </c>
      <c r="F55" s="251" t="s">
        <v>330</v>
      </c>
      <c r="G55" s="293"/>
      <c r="H55" s="293"/>
      <c r="I55" s="293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4"/>
      <c r="T55" s="293"/>
      <c r="U55" s="294">
        <v>0</v>
      </c>
      <c r="V55" s="294">
        <v>0</v>
      </c>
      <c r="W55" s="294">
        <v>0</v>
      </c>
      <c r="X55" s="294">
        <v>0</v>
      </c>
      <c r="Y55" s="294">
        <v>0</v>
      </c>
      <c r="Z55" s="294">
        <v>311135.37</v>
      </c>
      <c r="AA55" s="294">
        <v>0</v>
      </c>
      <c r="AB55" s="294">
        <v>0</v>
      </c>
      <c r="AC55" s="294">
        <v>0</v>
      </c>
      <c r="AD55" s="273"/>
      <c r="AE55" s="273"/>
      <c r="AF55" s="273"/>
      <c r="AG55" s="273"/>
      <c r="AH55" s="275"/>
      <c r="AI55" s="273"/>
      <c r="AJ55" s="273"/>
      <c r="AK55" s="273"/>
    </row>
    <row r="56" spans="1:42" ht="14.65" hidden="1" customHeight="1">
      <c r="A56" s="273" t="str">
        <f t="shared" si="0"/>
        <v>МосковскаяASM MOS Food Trade+SorsoTSL MOS SPT Moscow Play Sorso</v>
      </c>
      <c r="B56" s="248" t="s">
        <v>338</v>
      </c>
      <c r="C56" s="249" t="s">
        <v>322</v>
      </c>
      <c r="D56" s="249" t="s">
        <v>328</v>
      </c>
      <c r="E56" s="250" t="s">
        <v>329</v>
      </c>
      <c r="F56" s="251" t="s">
        <v>327</v>
      </c>
      <c r="G56" s="293"/>
      <c r="H56" s="293"/>
      <c r="I56" s="293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4"/>
      <c r="T56" s="293"/>
      <c r="U56" s="293">
        <v>0</v>
      </c>
      <c r="V56" s="293">
        <v>0</v>
      </c>
      <c r="W56" s="293">
        <v>0</v>
      </c>
      <c r="X56" s="293">
        <v>4845344.1499999985</v>
      </c>
      <c r="Y56" s="293">
        <v>33984.340000000004</v>
      </c>
      <c r="Z56" s="293">
        <v>0</v>
      </c>
      <c r="AA56" s="293">
        <v>0</v>
      </c>
      <c r="AB56" s="293">
        <v>103191.76999999997</v>
      </c>
      <c r="AC56" s="293">
        <v>0</v>
      </c>
      <c r="AD56" s="273"/>
      <c r="AE56" s="273"/>
      <c r="AF56" s="273"/>
      <c r="AG56" s="273"/>
      <c r="AH56" s="275"/>
      <c r="AI56" s="273"/>
      <c r="AJ56" s="273"/>
      <c r="AK56" s="273"/>
    </row>
    <row r="57" spans="1:42" ht="14.65" hidden="1" customHeight="1">
      <c r="A57" s="273" t="str">
        <f t="shared" si="0"/>
        <v>МосковскаяASM MOS Food Trade+SorsoTSL MOS SPT Moscow Play Sorso</v>
      </c>
      <c r="B57" s="248" t="s">
        <v>338</v>
      </c>
      <c r="C57" s="249" t="s">
        <v>322</v>
      </c>
      <c r="D57" s="249" t="s">
        <v>328</v>
      </c>
      <c r="E57" s="273" t="s">
        <v>329</v>
      </c>
      <c r="F57" s="251" t="s">
        <v>330</v>
      </c>
      <c r="G57" s="293"/>
      <c r="H57" s="293"/>
      <c r="I57" s="293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4"/>
      <c r="T57" s="293"/>
      <c r="U57" s="294">
        <v>0</v>
      </c>
      <c r="V57" s="294">
        <v>0</v>
      </c>
      <c r="W57" s="294">
        <v>0</v>
      </c>
      <c r="X57" s="294">
        <v>0</v>
      </c>
      <c r="Y57" s="294">
        <v>6093.4299999999994</v>
      </c>
      <c r="Z57" s="294">
        <v>401168.70000000013</v>
      </c>
      <c r="AA57" s="294">
        <v>0</v>
      </c>
      <c r="AB57" s="294">
        <v>1735.52</v>
      </c>
      <c r="AC57" s="294">
        <v>0</v>
      </c>
      <c r="AD57" s="273"/>
      <c r="AE57" s="273"/>
      <c r="AF57" s="273"/>
      <c r="AG57" s="273"/>
      <c r="AH57" s="275"/>
      <c r="AI57" s="273"/>
      <c r="AJ57" s="273"/>
      <c r="AK57" s="273"/>
    </row>
    <row r="58" spans="1:42" ht="14.65" hidden="1" customHeight="1">
      <c r="A58" s="273" t="str">
        <f t="shared" si="0"/>
        <v>МосковскаяASM MOS Food Trade+SorsoTSL MOS Grocery Mos Obl AS-Market</v>
      </c>
      <c r="B58" s="248" t="s">
        <v>338</v>
      </c>
      <c r="C58" s="249" t="s">
        <v>322</v>
      </c>
      <c r="D58" s="249" t="s">
        <v>328</v>
      </c>
      <c r="E58" s="250" t="s">
        <v>334</v>
      </c>
      <c r="F58" s="251" t="s">
        <v>335</v>
      </c>
      <c r="G58" s="293"/>
      <c r="H58" s="293"/>
      <c r="I58" s="293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4"/>
      <c r="T58" s="489"/>
      <c r="U58" s="489">
        <v>0</v>
      </c>
      <c r="V58" s="489">
        <v>0</v>
      </c>
      <c r="W58" s="489">
        <v>0</v>
      </c>
      <c r="X58" s="489">
        <v>3081161.5200000005</v>
      </c>
      <c r="Y58" s="489">
        <v>28044631.830000002</v>
      </c>
      <c r="Z58" s="489">
        <v>33796351.219999991</v>
      </c>
      <c r="AA58" s="489">
        <v>69634.62999999999</v>
      </c>
      <c r="AB58" s="489">
        <v>7595386.3100000042</v>
      </c>
      <c r="AC58" s="489">
        <v>5110012.370000001</v>
      </c>
      <c r="AD58" s="490"/>
      <c r="AE58" s="490"/>
      <c r="AF58" s="490"/>
      <c r="AG58" s="490"/>
      <c r="AI58" s="490"/>
      <c r="AJ58" s="490"/>
      <c r="AK58" s="490"/>
    </row>
    <row r="59" spans="1:42" ht="14.65" hidden="1" customHeight="1">
      <c r="A59" s="273" t="str">
        <f t="shared" si="0"/>
        <v>МосковскаяASM MOS Food Trade+SorsoTSL MOS Grocery Mos Obl AS-Market</v>
      </c>
      <c r="B59" s="248" t="s">
        <v>338</v>
      </c>
      <c r="C59" s="249" t="s">
        <v>322</v>
      </c>
      <c r="D59" s="249" t="s">
        <v>328</v>
      </c>
      <c r="E59" s="250" t="s">
        <v>334</v>
      </c>
      <c r="F59" s="251" t="s">
        <v>335</v>
      </c>
      <c r="G59" s="293"/>
      <c r="H59" s="293"/>
      <c r="I59" s="293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4"/>
      <c r="T59" s="489"/>
      <c r="U59" s="489">
        <v>0</v>
      </c>
      <c r="V59" s="489">
        <v>25414888.32</v>
      </c>
      <c r="W59" s="489">
        <v>1440482.8600000003</v>
      </c>
      <c r="X59" s="489">
        <v>350754.54</v>
      </c>
      <c r="Y59" s="489">
        <v>3676415.3499999996</v>
      </c>
      <c r="Z59" s="489"/>
      <c r="AA59" s="489">
        <v>0</v>
      </c>
      <c r="AB59" s="489">
        <v>2525054.6600000015</v>
      </c>
      <c r="AC59" s="489">
        <v>51740454.839999996</v>
      </c>
      <c r="AD59" s="490"/>
      <c r="AE59" s="490"/>
      <c r="AF59" s="490"/>
      <c r="AG59" s="490"/>
      <c r="AI59" s="490"/>
      <c r="AJ59" s="490"/>
      <c r="AK59" s="490"/>
    </row>
    <row r="60" spans="1:42" ht="14.65" hidden="1" customHeight="1">
      <c r="A60" s="273" t="str">
        <f t="shared" si="0"/>
        <v>МосковскаяASM MOS Food Trade+SorsoTSL MOS SPT Moscow Play Sorso</v>
      </c>
      <c r="B60" s="248" t="s">
        <v>338</v>
      </c>
      <c r="C60" s="249" t="s">
        <v>322</v>
      </c>
      <c r="D60" s="249" t="s">
        <v>328</v>
      </c>
      <c r="E60" s="273" t="s">
        <v>329</v>
      </c>
      <c r="F60" s="251" t="s">
        <v>330</v>
      </c>
      <c r="G60" s="293"/>
      <c r="H60" s="293"/>
      <c r="I60" s="293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4"/>
      <c r="T60" s="293"/>
      <c r="U60" s="294">
        <v>0</v>
      </c>
      <c r="V60" s="294">
        <v>0</v>
      </c>
      <c r="W60" s="294">
        <v>5204556.9600000037</v>
      </c>
      <c r="X60" s="294">
        <v>0</v>
      </c>
      <c r="Y60" s="294">
        <v>274655.31999999995</v>
      </c>
      <c r="Z60" s="294">
        <v>10367943.239999996</v>
      </c>
      <c r="AA60" s="294">
        <v>4327046.95</v>
      </c>
      <c r="AB60" s="294">
        <v>0</v>
      </c>
      <c r="AC60" s="294">
        <v>0</v>
      </c>
      <c r="AD60" s="273"/>
      <c r="AE60" s="273"/>
      <c r="AF60" s="273"/>
      <c r="AG60" s="273"/>
      <c r="AH60" s="275"/>
      <c r="AI60" s="273"/>
      <c r="AJ60" s="273"/>
      <c r="AK60" s="273"/>
    </row>
    <row r="61" spans="1:42" ht="14.65" hidden="1" customHeight="1">
      <c r="A61" s="273" t="str">
        <f t="shared" si="0"/>
        <v>МосковскаяASM MOS Food Trade+SorsoTSL MOS SPT Moscow Play Sorso</v>
      </c>
      <c r="B61" s="248" t="s">
        <v>338</v>
      </c>
      <c r="C61" s="249" t="s">
        <v>322</v>
      </c>
      <c r="D61" s="249" t="s">
        <v>328</v>
      </c>
      <c r="E61" s="273" t="s">
        <v>329</v>
      </c>
      <c r="F61" s="251" t="s">
        <v>330</v>
      </c>
      <c r="G61" s="293"/>
      <c r="H61" s="293"/>
      <c r="I61" s="293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4"/>
      <c r="T61" s="293"/>
      <c r="U61" s="294">
        <v>0</v>
      </c>
      <c r="V61" s="294">
        <v>0</v>
      </c>
      <c r="W61" s="294">
        <v>0</v>
      </c>
      <c r="X61" s="294">
        <v>0</v>
      </c>
      <c r="Y61" s="294">
        <v>718479.35000000009</v>
      </c>
      <c r="Z61" s="294">
        <v>10322470.740000006</v>
      </c>
      <c r="AA61" s="294">
        <v>2298842.4200000009</v>
      </c>
      <c r="AB61" s="294">
        <v>320162.79999999987</v>
      </c>
      <c r="AC61" s="294">
        <v>135906514.19999999</v>
      </c>
      <c r="AD61" s="273"/>
      <c r="AE61" s="273"/>
      <c r="AF61" s="273"/>
      <c r="AG61" s="273"/>
      <c r="AH61" s="275"/>
      <c r="AI61" s="273"/>
      <c r="AJ61" s="273"/>
      <c r="AK61" s="273"/>
    </row>
    <row r="62" spans="1:42" ht="14.65" hidden="1" customHeight="1">
      <c r="A62" s="273" t="str">
        <f t="shared" si="0"/>
        <v>МосковскаяASM MOS Food Trade+SorsoTSL MOS SPT Moscow Play Sorso</v>
      </c>
      <c r="B62" s="248" t="s">
        <v>338</v>
      </c>
      <c r="C62" s="249" t="s">
        <v>322</v>
      </c>
      <c r="D62" s="249" t="s">
        <v>328</v>
      </c>
      <c r="E62" s="273" t="s">
        <v>329</v>
      </c>
      <c r="F62" s="251" t="s">
        <v>330</v>
      </c>
      <c r="G62" s="293"/>
      <c r="H62" s="293"/>
      <c r="I62" s="293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4"/>
      <c r="T62" s="293"/>
      <c r="U62" s="294">
        <v>0</v>
      </c>
      <c r="V62" s="294">
        <v>0</v>
      </c>
      <c r="W62" s="294">
        <v>0</v>
      </c>
      <c r="X62" s="294">
        <v>0</v>
      </c>
      <c r="Y62" s="294">
        <v>0</v>
      </c>
      <c r="Z62" s="294">
        <v>76737.759999999995</v>
      </c>
      <c r="AA62" s="294">
        <v>0</v>
      </c>
      <c r="AB62" s="294">
        <v>0</v>
      </c>
      <c r="AC62" s="294">
        <v>0</v>
      </c>
      <c r="AD62" s="273"/>
      <c r="AE62" s="273"/>
      <c r="AF62" s="273"/>
      <c r="AG62" s="273"/>
      <c r="AH62" s="275"/>
      <c r="AI62" s="273"/>
      <c r="AJ62" s="273"/>
      <c r="AK62" s="273"/>
    </row>
    <row r="63" spans="1:42" ht="14.65" customHeight="1">
      <c r="A63" s="273" t="str">
        <f t="shared" si="0"/>
        <v>МосковскаяDDM MOS Sladkaay ZhiznTSL MOS  Moscow 1 Sladkaya Zhizn</v>
      </c>
      <c r="B63" s="248" t="s">
        <v>338</v>
      </c>
      <c r="C63" s="249" t="s">
        <v>322</v>
      </c>
      <c r="D63" s="249" t="s">
        <v>323</v>
      </c>
      <c r="E63" s="250" t="s">
        <v>336</v>
      </c>
      <c r="F63" s="251" t="s">
        <v>327</v>
      </c>
      <c r="G63" s="293"/>
      <c r="H63" s="293"/>
      <c r="I63" s="293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4"/>
      <c r="T63" s="293"/>
      <c r="U63" s="293">
        <v>0</v>
      </c>
      <c r="V63" s="293">
        <v>0</v>
      </c>
      <c r="W63" s="293">
        <v>0</v>
      </c>
      <c r="X63" s="489">
        <v>744141.68999998644</v>
      </c>
      <c r="Y63" s="293">
        <v>8968750.9700000044</v>
      </c>
      <c r="Z63" s="293">
        <v>38342714.520000026</v>
      </c>
      <c r="AA63" s="293">
        <v>0</v>
      </c>
      <c r="AB63" s="293">
        <v>21459629.389999997</v>
      </c>
      <c r="AC63" s="293">
        <v>69914234.530000001</v>
      </c>
      <c r="AD63" s="273"/>
      <c r="AE63" s="273"/>
      <c r="AF63" s="273"/>
      <c r="AG63" s="273"/>
      <c r="AH63" s="296">
        <v>696849.14</v>
      </c>
      <c r="AI63" s="273"/>
      <c r="AJ63" s="273"/>
      <c r="AK63" s="273"/>
      <c r="AO63" s="276" t="s">
        <v>326</v>
      </c>
    </row>
    <row r="64" spans="1:42" ht="14.65" hidden="1" customHeight="1">
      <c r="A64" s="273" t="str">
        <f t="shared" si="0"/>
        <v>МосковскаяASM MOS Food Trade+SorsoTSL MOS SPT Moscow Play Sorso</v>
      </c>
      <c r="B64" s="248" t="s">
        <v>338</v>
      </c>
      <c r="C64" s="249" t="s">
        <v>322</v>
      </c>
      <c r="D64" s="249" t="s">
        <v>328</v>
      </c>
      <c r="E64" s="273" t="s">
        <v>329</v>
      </c>
      <c r="F64" s="251" t="s">
        <v>330</v>
      </c>
      <c r="G64" s="293"/>
      <c r="H64" s="293"/>
      <c r="I64" s="293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4"/>
      <c r="T64" s="293"/>
      <c r="U64" s="294">
        <v>0</v>
      </c>
      <c r="V64" s="294">
        <v>0</v>
      </c>
      <c r="W64" s="294">
        <v>0</v>
      </c>
      <c r="X64" s="294">
        <v>0</v>
      </c>
      <c r="Y64" s="294">
        <v>0</v>
      </c>
      <c r="Z64" s="294">
        <v>420271.38</v>
      </c>
      <c r="AA64" s="294">
        <v>0</v>
      </c>
      <c r="AB64" s="294">
        <v>0</v>
      </c>
      <c r="AC64" s="294">
        <v>0</v>
      </c>
      <c r="AD64" s="273"/>
      <c r="AE64" s="273"/>
      <c r="AF64" s="273"/>
      <c r="AG64" s="273"/>
      <c r="AH64" s="275"/>
      <c r="AI64" s="273"/>
      <c r="AJ64" s="273"/>
      <c r="AK64" s="273"/>
    </row>
    <row r="65" spans="1:41" ht="14.65" hidden="1" customHeight="1">
      <c r="A65" s="273" t="str">
        <f t="shared" si="0"/>
        <v>МосковскаяASM MOS Food Trade+SorsoTSL MOS Grocery Mos Obl AS-Market</v>
      </c>
      <c r="B65" s="248" t="s">
        <v>338</v>
      </c>
      <c r="C65" s="249" t="s">
        <v>322</v>
      </c>
      <c r="D65" s="249" t="s">
        <v>328</v>
      </c>
      <c r="E65" s="250" t="s">
        <v>334</v>
      </c>
      <c r="F65" s="251" t="s">
        <v>335</v>
      </c>
      <c r="G65" s="293"/>
      <c r="H65" s="293"/>
      <c r="I65" s="293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4"/>
      <c r="T65" s="489"/>
      <c r="U65" s="489">
        <v>0</v>
      </c>
      <c r="V65" s="489">
        <v>0</v>
      </c>
      <c r="W65" s="489">
        <v>0</v>
      </c>
      <c r="X65" s="489">
        <v>0</v>
      </c>
      <c r="Y65" s="489">
        <v>15442.78</v>
      </c>
      <c r="Z65" s="489">
        <v>0</v>
      </c>
      <c r="AA65" s="489">
        <v>0</v>
      </c>
      <c r="AB65" s="489">
        <v>15118.679999999998</v>
      </c>
      <c r="AC65" s="489">
        <v>0</v>
      </c>
      <c r="AD65" s="490"/>
      <c r="AE65" s="490"/>
      <c r="AF65" s="490"/>
      <c r="AG65" s="490"/>
      <c r="AI65" s="490"/>
      <c r="AJ65" s="490"/>
      <c r="AK65" s="490"/>
    </row>
    <row r="66" spans="1:41" ht="14.65" hidden="1" customHeight="1">
      <c r="A66" s="273" t="str">
        <f t="shared" si="0"/>
        <v>МосковскаяASM MOS Food Trade+SorsoTSL MOS SPT Moscow Play Sorso</v>
      </c>
      <c r="B66" s="248" t="s">
        <v>338</v>
      </c>
      <c r="C66" s="249" t="s">
        <v>322</v>
      </c>
      <c r="D66" s="249" t="s">
        <v>328</v>
      </c>
      <c r="E66" s="273" t="s">
        <v>329</v>
      </c>
      <c r="F66" s="251" t="s">
        <v>330</v>
      </c>
      <c r="G66" s="293"/>
      <c r="H66" s="293"/>
      <c r="I66" s="293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4"/>
      <c r="T66" s="293"/>
      <c r="U66" s="294">
        <v>0</v>
      </c>
      <c r="V66" s="294">
        <v>0</v>
      </c>
      <c r="W66" s="294">
        <v>0</v>
      </c>
      <c r="X66" s="294">
        <v>0</v>
      </c>
      <c r="Y66" s="294">
        <v>2366.4</v>
      </c>
      <c r="Z66" s="294">
        <v>161273.76999999999</v>
      </c>
      <c r="AA66" s="294">
        <v>0</v>
      </c>
      <c r="AB66" s="294">
        <v>0</v>
      </c>
      <c r="AC66" s="294">
        <v>0</v>
      </c>
      <c r="AD66" s="273"/>
      <c r="AE66" s="273"/>
      <c r="AF66" s="273"/>
      <c r="AG66" s="273"/>
      <c r="AH66" s="275"/>
      <c r="AI66" s="273"/>
      <c r="AJ66" s="273"/>
      <c r="AK66" s="273"/>
    </row>
    <row r="67" spans="1:41" ht="14.65" customHeight="1">
      <c r="A67" s="273" t="str">
        <f t="shared" si="0"/>
        <v>МосковскаяDDM MOS Sladkaay ZhiznTSL MOS  Moscow 2 Sladkaya Zhizn</v>
      </c>
      <c r="B67" s="248" t="s">
        <v>338</v>
      </c>
      <c r="C67" s="249" t="s">
        <v>322</v>
      </c>
      <c r="D67" s="249" t="s">
        <v>323</v>
      </c>
      <c r="E67" s="250" t="s">
        <v>332</v>
      </c>
      <c r="F67" s="251" t="s">
        <v>327</v>
      </c>
      <c r="G67" s="293"/>
      <c r="H67" s="293"/>
      <c r="I67" s="293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4"/>
      <c r="T67" s="293"/>
      <c r="U67" s="293">
        <v>0</v>
      </c>
      <c r="V67" s="293">
        <v>0</v>
      </c>
      <c r="W67" s="293">
        <v>0</v>
      </c>
      <c r="X67" s="489">
        <v>136413.45000000112</v>
      </c>
      <c r="Y67" s="293">
        <v>9445533.8999999966</v>
      </c>
      <c r="Z67" s="293">
        <v>36959042.389999986</v>
      </c>
      <c r="AA67" s="293">
        <v>0</v>
      </c>
      <c r="AB67" s="293">
        <v>11641789.260000009</v>
      </c>
      <c r="AC67" s="293">
        <v>9078192.4600000009</v>
      </c>
      <c r="AD67" s="273"/>
      <c r="AE67" s="273"/>
      <c r="AF67" s="273"/>
      <c r="AG67" s="273"/>
      <c r="AH67" s="296">
        <v>4154461.5100000035</v>
      </c>
      <c r="AI67" s="273"/>
      <c r="AJ67" s="273"/>
      <c r="AK67" s="273"/>
      <c r="AO67" s="276" t="s">
        <v>326</v>
      </c>
    </row>
    <row r="68" spans="1:41" ht="14.65" hidden="1" customHeight="1">
      <c r="A68" s="273" t="str">
        <f t="shared" ref="A68:A131" si="9">B68&amp;D68&amp;E68</f>
        <v>МосковскаяASM MOS Food Trade+SorsoTSL MOS SPT Moscow Play Sorso</v>
      </c>
      <c r="B68" s="248" t="s">
        <v>338</v>
      </c>
      <c r="C68" s="249" t="s">
        <v>322</v>
      </c>
      <c r="D68" s="249" t="s">
        <v>328</v>
      </c>
      <c r="E68" s="273" t="s">
        <v>329</v>
      </c>
      <c r="F68" s="251" t="s">
        <v>330</v>
      </c>
      <c r="G68" s="293"/>
      <c r="H68" s="293"/>
      <c r="I68" s="293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4"/>
      <c r="T68" s="293"/>
      <c r="U68" s="294">
        <v>0</v>
      </c>
      <c r="V68" s="294">
        <v>0</v>
      </c>
      <c r="W68" s="294">
        <v>0</v>
      </c>
      <c r="X68" s="294">
        <v>835.28</v>
      </c>
      <c r="Y68" s="294">
        <v>17141.679999999997</v>
      </c>
      <c r="Z68" s="294">
        <v>2460.6</v>
      </c>
      <c r="AA68" s="294">
        <v>0</v>
      </c>
      <c r="AB68" s="294">
        <v>58848.289999999994</v>
      </c>
      <c r="AC68" s="294">
        <v>0</v>
      </c>
      <c r="AD68" s="273"/>
      <c r="AE68" s="273"/>
      <c r="AF68" s="273"/>
      <c r="AG68" s="273"/>
      <c r="AH68" s="275"/>
      <c r="AI68" s="273"/>
      <c r="AJ68" s="273"/>
      <c r="AK68" s="273"/>
    </row>
    <row r="69" spans="1:41" ht="14.65" hidden="1" customHeight="1">
      <c r="A69" s="273" t="str">
        <f t="shared" si="9"/>
        <v>МосковскаяASM MOS Food Trade+SorsoTSL MOS Grocery Mos Obl AS-Market</v>
      </c>
      <c r="B69" s="248" t="s">
        <v>338</v>
      </c>
      <c r="C69" s="249" t="s">
        <v>322</v>
      </c>
      <c r="D69" s="249" t="s">
        <v>328</v>
      </c>
      <c r="E69" s="250" t="s">
        <v>334</v>
      </c>
      <c r="F69" s="251" t="s">
        <v>335</v>
      </c>
      <c r="G69" s="293"/>
      <c r="H69" s="293"/>
      <c r="I69" s="293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4"/>
      <c r="T69" s="489"/>
      <c r="U69" s="489">
        <v>0</v>
      </c>
      <c r="V69" s="489">
        <v>0</v>
      </c>
      <c r="W69" s="489">
        <v>0</v>
      </c>
      <c r="X69" s="489">
        <v>0</v>
      </c>
      <c r="Y69" s="489">
        <v>4901756.2</v>
      </c>
      <c r="Z69" s="489">
        <v>0</v>
      </c>
      <c r="AA69" s="489">
        <v>0</v>
      </c>
      <c r="AB69" s="489">
        <v>1009.98</v>
      </c>
      <c r="AC69" s="489">
        <v>0</v>
      </c>
      <c r="AD69" s="490"/>
      <c r="AE69" s="490"/>
      <c r="AF69" s="490"/>
      <c r="AG69" s="490"/>
      <c r="AI69" s="490"/>
      <c r="AJ69" s="490"/>
      <c r="AK69" s="490"/>
    </row>
    <row r="70" spans="1:41" ht="14.65" customHeight="1">
      <c r="A70" s="273" t="str">
        <f t="shared" si="9"/>
        <v>МосковскаяDDM MOS Sladkaay ZhiznTSL MOS Cheboksary</v>
      </c>
      <c r="B70" s="248" t="s">
        <v>338</v>
      </c>
      <c r="C70" s="249" t="s">
        <v>322</v>
      </c>
      <c r="D70" s="249" t="s">
        <v>323</v>
      </c>
      <c r="E70" s="250" t="s">
        <v>331</v>
      </c>
      <c r="F70" s="251" t="s">
        <v>325</v>
      </c>
      <c r="G70" s="293"/>
      <c r="H70" s="293"/>
      <c r="I70" s="293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4"/>
      <c r="T70" s="293"/>
      <c r="U70" s="293">
        <v>0</v>
      </c>
      <c r="V70" s="293">
        <v>0</v>
      </c>
      <c r="W70" s="293">
        <v>0</v>
      </c>
      <c r="X70" s="489">
        <v>9777794.9499999974</v>
      </c>
      <c r="Y70" s="293">
        <v>3077540.45</v>
      </c>
      <c r="Z70" s="293">
        <v>5828592.4799999986</v>
      </c>
      <c r="AA70" s="293">
        <v>0</v>
      </c>
      <c r="AB70" s="293">
        <v>9358207.4400000237</v>
      </c>
      <c r="AC70" s="293">
        <v>9103619.129999999</v>
      </c>
      <c r="AD70" s="273"/>
      <c r="AE70" s="273"/>
      <c r="AF70" s="273"/>
      <c r="AG70" s="273"/>
      <c r="AH70" s="275"/>
      <c r="AI70" s="273"/>
      <c r="AJ70" s="273"/>
      <c r="AK70" s="273"/>
    </row>
    <row r="71" spans="1:41" ht="14.65" hidden="1" customHeight="1">
      <c r="A71" s="273" t="str">
        <f t="shared" si="9"/>
        <v>МосковскаяASM MOS Food Trade+SorsoTSL MOS SPT Moscow Play Sorso</v>
      </c>
      <c r="B71" s="248" t="s">
        <v>338</v>
      </c>
      <c r="C71" s="249" t="s">
        <v>322</v>
      </c>
      <c r="D71" s="249" t="s">
        <v>328</v>
      </c>
      <c r="E71" s="273" t="s">
        <v>329</v>
      </c>
      <c r="F71" s="251" t="s">
        <v>330</v>
      </c>
      <c r="G71" s="293"/>
      <c r="H71" s="293"/>
      <c r="I71" s="293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4"/>
      <c r="T71" s="293"/>
      <c r="U71" s="294">
        <v>0</v>
      </c>
      <c r="V71" s="294">
        <v>0</v>
      </c>
      <c r="W71" s="294">
        <v>0</v>
      </c>
      <c r="X71" s="294">
        <v>0</v>
      </c>
      <c r="Y71" s="294">
        <v>0</v>
      </c>
      <c r="Z71" s="294">
        <v>161081.58000000002</v>
      </c>
      <c r="AA71" s="294">
        <v>0</v>
      </c>
      <c r="AB71" s="294">
        <v>0</v>
      </c>
      <c r="AC71" s="294">
        <v>0</v>
      </c>
      <c r="AD71" s="273"/>
      <c r="AE71" s="273"/>
      <c r="AF71" s="273"/>
      <c r="AG71" s="273"/>
      <c r="AH71" s="275"/>
      <c r="AI71" s="273"/>
      <c r="AJ71" s="273"/>
      <c r="AK71" s="273"/>
    </row>
    <row r="72" spans="1:41" ht="14.65" customHeight="1">
      <c r="A72" s="273" t="str">
        <f t="shared" si="9"/>
        <v>МосковскаяDDM MOS Sladkaay ZhiznTSL MOS N.Novgorod</v>
      </c>
      <c r="B72" s="248" t="s">
        <v>338</v>
      </c>
      <c r="C72" s="249" t="s">
        <v>322</v>
      </c>
      <c r="D72" s="249" t="s">
        <v>323</v>
      </c>
      <c r="E72" s="250" t="s">
        <v>324</v>
      </c>
      <c r="F72" s="251" t="s">
        <v>325</v>
      </c>
      <c r="G72" s="293"/>
      <c r="H72" s="293"/>
      <c r="I72" s="293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5"/>
      <c r="T72" s="489"/>
      <c r="U72" s="489">
        <v>0</v>
      </c>
      <c r="V72" s="489">
        <v>0</v>
      </c>
      <c r="W72" s="489">
        <v>0</v>
      </c>
      <c r="X72" s="489">
        <v>11308710.9</v>
      </c>
      <c r="Y72" s="489">
        <v>4783262.4399999985</v>
      </c>
      <c r="Z72" s="489">
        <v>17099442.07</v>
      </c>
      <c r="AA72" s="489">
        <v>0</v>
      </c>
      <c r="AB72" s="489">
        <v>5899611.2899999982</v>
      </c>
      <c r="AC72" s="489">
        <v>6143242.3099999996</v>
      </c>
      <c r="AD72" s="273"/>
      <c r="AE72" s="273"/>
      <c r="AF72" s="273"/>
      <c r="AG72" s="273"/>
      <c r="AH72" s="275"/>
      <c r="AI72" s="273"/>
      <c r="AJ72" s="273"/>
      <c r="AK72" s="273"/>
    </row>
    <row r="73" spans="1:41" ht="14.65" hidden="1" customHeight="1">
      <c r="A73" s="273" t="str">
        <f t="shared" si="9"/>
        <v>МосковскаяASM MOS Food Trade+SorsoTSL MOS SPT Moscow Play Sorso</v>
      </c>
      <c r="B73" s="248" t="s">
        <v>338</v>
      </c>
      <c r="C73" s="249" t="s">
        <v>322</v>
      </c>
      <c r="D73" s="249" t="s">
        <v>328</v>
      </c>
      <c r="E73" s="273" t="s">
        <v>329</v>
      </c>
      <c r="F73" s="251" t="s">
        <v>330</v>
      </c>
      <c r="G73" s="293"/>
      <c r="H73" s="293"/>
      <c r="I73" s="293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4"/>
      <c r="T73" s="293"/>
      <c r="U73" s="294">
        <v>0</v>
      </c>
      <c r="V73" s="294">
        <v>0</v>
      </c>
      <c r="W73" s="294">
        <v>0</v>
      </c>
      <c r="X73" s="294">
        <v>0</v>
      </c>
      <c r="Y73" s="294">
        <v>0</v>
      </c>
      <c r="Z73" s="294">
        <v>357933.36</v>
      </c>
      <c r="AA73" s="294">
        <v>0</v>
      </c>
      <c r="AB73" s="294">
        <v>0</v>
      </c>
      <c r="AC73" s="294">
        <v>773686.06</v>
      </c>
      <c r="AD73" s="273"/>
      <c r="AE73" s="273"/>
      <c r="AF73" s="273"/>
      <c r="AG73" s="273"/>
      <c r="AH73" s="275"/>
      <c r="AI73" s="273"/>
      <c r="AJ73" s="273"/>
      <c r="AK73" s="273"/>
    </row>
    <row r="74" spans="1:41" ht="14.65" hidden="1" customHeight="1">
      <c r="A74" s="273" t="str">
        <f t="shared" si="9"/>
        <v>МосковскаяASM MOS Food Trade+SorsoTSL MOS Grocery Mos Obl AS-Market</v>
      </c>
      <c r="B74" s="248" t="s">
        <v>338</v>
      </c>
      <c r="C74" s="249" t="s">
        <v>322</v>
      </c>
      <c r="D74" s="249" t="s">
        <v>328</v>
      </c>
      <c r="E74" s="250" t="s">
        <v>334</v>
      </c>
      <c r="F74" s="251" t="s">
        <v>335</v>
      </c>
      <c r="G74" s="293"/>
      <c r="H74" s="293"/>
      <c r="I74" s="293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4"/>
      <c r="T74" s="489"/>
      <c r="U74" s="489">
        <v>0</v>
      </c>
      <c r="V74" s="489">
        <v>0</v>
      </c>
      <c r="W74" s="489">
        <v>0</v>
      </c>
      <c r="X74" s="489">
        <v>0</v>
      </c>
      <c r="Y74" s="489">
        <v>0</v>
      </c>
      <c r="Z74" s="489">
        <v>15431.249999999998</v>
      </c>
      <c r="AA74" s="489">
        <v>0</v>
      </c>
      <c r="AB74" s="489">
        <v>0</v>
      </c>
      <c r="AC74" s="489">
        <v>0</v>
      </c>
      <c r="AD74" s="490"/>
      <c r="AE74" s="490"/>
      <c r="AF74" s="490"/>
      <c r="AG74" s="490"/>
      <c r="AI74" s="490"/>
      <c r="AJ74" s="490"/>
      <c r="AK74" s="490"/>
    </row>
    <row r="75" spans="1:41" ht="14.65" customHeight="1">
      <c r="A75" s="273" t="str">
        <f t="shared" si="9"/>
        <v>МосковскаяDDM MOS Sladkaay ZhiznTSL MOS  Moscow 2 Sladkaya Zhizn</v>
      </c>
      <c r="B75" s="248" t="s">
        <v>338</v>
      </c>
      <c r="C75" s="249" t="s">
        <v>322</v>
      </c>
      <c r="D75" s="249" t="s">
        <v>323</v>
      </c>
      <c r="E75" s="250" t="s">
        <v>332</v>
      </c>
      <c r="F75" s="251" t="s">
        <v>327</v>
      </c>
      <c r="G75" s="293"/>
      <c r="H75" s="293"/>
      <c r="I75" s="293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4"/>
      <c r="T75" s="293"/>
      <c r="U75" s="293">
        <v>0</v>
      </c>
      <c r="V75" s="293">
        <v>0</v>
      </c>
      <c r="W75" s="293">
        <v>0</v>
      </c>
      <c r="Y75" s="293">
        <v>18055.189999999999</v>
      </c>
      <c r="Z75" s="293">
        <v>15345871.254999999</v>
      </c>
      <c r="AA75" s="293">
        <v>0</v>
      </c>
      <c r="AB75" s="293">
        <v>381023.80500000017</v>
      </c>
      <c r="AC75" s="293">
        <v>59094</v>
      </c>
      <c r="AD75" s="273"/>
      <c r="AE75" s="273"/>
      <c r="AF75" s="273"/>
      <c r="AG75" s="273"/>
      <c r="AH75" s="489">
        <v>17640633.704999998</v>
      </c>
      <c r="AI75" s="273"/>
      <c r="AJ75" s="273"/>
      <c r="AK75" s="273"/>
      <c r="AO75" s="276" t="s">
        <v>326</v>
      </c>
    </row>
    <row r="76" spans="1:41" ht="14.65" customHeight="1">
      <c r="A76" s="273" t="str">
        <f t="shared" si="9"/>
        <v>МосковскаяDDM MOS Sladkaay ZhiznTSL MOS  Moscow 1 Sladkaya Zhizn</v>
      </c>
      <c r="B76" s="248" t="s">
        <v>338</v>
      </c>
      <c r="C76" s="249" t="s">
        <v>322</v>
      </c>
      <c r="D76" s="249" t="s">
        <v>323</v>
      </c>
      <c r="E76" s="250" t="s">
        <v>336</v>
      </c>
      <c r="F76" s="251" t="s">
        <v>327</v>
      </c>
      <c r="G76" s="293"/>
      <c r="H76" s="293"/>
      <c r="I76" s="293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4"/>
      <c r="T76" s="293"/>
      <c r="U76" s="293">
        <v>0</v>
      </c>
      <c r="V76" s="293">
        <v>0</v>
      </c>
      <c r="W76" s="293">
        <v>0</v>
      </c>
      <c r="Y76" s="293">
        <v>18055.189999999999</v>
      </c>
      <c r="Z76" s="293">
        <v>15345871.254999999</v>
      </c>
      <c r="AA76" s="293">
        <v>0</v>
      </c>
      <c r="AB76" s="293">
        <v>381023.80500000017</v>
      </c>
      <c r="AC76" s="293">
        <v>59094</v>
      </c>
      <c r="AD76" s="273"/>
      <c r="AE76" s="273"/>
      <c r="AF76" s="273"/>
      <c r="AG76" s="273"/>
      <c r="AH76" s="489">
        <v>21115469.165000014</v>
      </c>
      <c r="AI76" s="273"/>
      <c r="AJ76" s="273"/>
      <c r="AK76" s="273"/>
      <c r="AO76" s="276" t="s">
        <v>326</v>
      </c>
    </row>
    <row r="77" spans="1:41" ht="14.65" customHeight="1">
      <c r="A77" s="273" t="str">
        <f t="shared" si="9"/>
        <v>МосковскаяDDM MOS Sladkaay ZhiznTSL MOS N.Novgorod</v>
      </c>
      <c r="B77" s="248" t="s">
        <v>338</v>
      </c>
      <c r="C77" s="249" t="s">
        <v>322</v>
      </c>
      <c r="D77" s="249" t="s">
        <v>323</v>
      </c>
      <c r="E77" s="250" t="s">
        <v>324</v>
      </c>
      <c r="F77" s="251" t="s">
        <v>325</v>
      </c>
      <c r="G77" s="293"/>
      <c r="H77" s="293"/>
      <c r="I77" s="293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5"/>
      <c r="T77" s="489"/>
      <c r="U77" s="489">
        <v>0</v>
      </c>
      <c r="V77" s="489">
        <v>0</v>
      </c>
      <c r="W77" s="489">
        <v>0</v>
      </c>
      <c r="Y77" s="489">
        <v>64053.525000000009</v>
      </c>
      <c r="Z77" s="489">
        <v>4049944.4199999995</v>
      </c>
      <c r="AA77" s="489">
        <v>0</v>
      </c>
      <c r="AB77" s="489">
        <v>1340485.9099999999</v>
      </c>
      <c r="AC77" s="489">
        <v>13879352.015000001</v>
      </c>
      <c r="AD77" s="273"/>
      <c r="AE77" s="273"/>
      <c r="AF77" s="273"/>
      <c r="AG77" s="273"/>
      <c r="AH77" s="489"/>
      <c r="AI77" s="273"/>
      <c r="AJ77" s="273"/>
      <c r="AK77" s="273"/>
    </row>
    <row r="78" spans="1:41" ht="14.65" customHeight="1">
      <c r="A78" s="273" t="str">
        <f t="shared" si="9"/>
        <v>МосковскаяDDM MOS Sladkaay ZhiznTSL MOS Cheboksary</v>
      </c>
      <c r="B78" s="248" t="s">
        <v>338</v>
      </c>
      <c r="C78" s="249" t="s">
        <v>322</v>
      </c>
      <c r="D78" s="249" t="s">
        <v>323</v>
      </c>
      <c r="E78" s="250" t="s">
        <v>331</v>
      </c>
      <c r="F78" s="251" t="s">
        <v>325</v>
      </c>
      <c r="G78" s="293"/>
      <c r="H78" s="293"/>
      <c r="I78" s="293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4"/>
      <c r="T78" s="293"/>
      <c r="U78" s="293">
        <v>0</v>
      </c>
      <c r="V78" s="293">
        <v>0</v>
      </c>
      <c r="W78" s="293">
        <v>0</v>
      </c>
      <c r="X78" s="489"/>
      <c r="Y78" s="293">
        <v>64053.525000000009</v>
      </c>
      <c r="Z78" s="293">
        <v>4049944.4199999995</v>
      </c>
      <c r="AA78" s="293">
        <v>0</v>
      </c>
      <c r="AB78" s="293">
        <v>1340485.9099999999</v>
      </c>
      <c r="AC78" s="293">
        <v>13879352.015000001</v>
      </c>
      <c r="AD78" s="273"/>
      <c r="AE78" s="273"/>
      <c r="AF78" s="273"/>
      <c r="AG78" s="273"/>
      <c r="AH78" s="275"/>
      <c r="AI78" s="273"/>
      <c r="AJ78" s="273"/>
      <c r="AK78" s="273"/>
    </row>
    <row r="79" spans="1:41" ht="14.65" hidden="1" customHeight="1">
      <c r="A79" s="273" t="str">
        <f t="shared" si="9"/>
        <v>МосковскаяASM MOS Food Trade+SorsoTSL MOS SPT Moscow Play Sorso</v>
      </c>
      <c r="B79" s="248" t="s">
        <v>338</v>
      </c>
      <c r="C79" s="249" t="s">
        <v>322</v>
      </c>
      <c r="D79" s="249" t="s">
        <v>328</v>
      </c>
      <c r="E79" s="273" t="s">
        <v>329</v>
      </c>
      <c r="F79" s="251" t="s">
        <v>330</v>
      </c>
      <c r="G79" s="293"/>
      <c r="H79" s="293"/>
      <c r="I79" s="293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4"/>
      <c r="T79" s="293"/>
      <c r="U79" s="294">
        <v>0</v>
      </c>
      <c r="V79" s="294">
        <v>41072051.439999998</v>
      </c>
      <c r="W79" s="294">
        <v>0</v>
      </c>
      <c r="X79" s="294">
        <v>0</v>
      </c>
      <c r="Y79" s="294">
        <v>0</v>
      </c>
      <c r="Z79" s="294">
        <v>0</v>
      </c>
      <c r="AA79" s="294">
        <v>0</v>
      </c>
      <c r="AB79" s="294">
        <v>0</v>
      </c>
      <c r="AC79" s="294">
        <v>0</v>
      </c>
      <c r="AD79" s="273"/>
      <c r="AE79" s="273"/>
      <c r="AF79" s="273"/>
      <c r="AG79" s="273"/>
      <c r="AH79" s="275"/>
      <c r="AI79" s="273"/>
      <c r="AJ79" s="273"/>
      <c r="AK79" s="273"/>
    </row>
    <row r="80" spans="1:41" ht="14.65" hidden="1" customHeight="1">
      <c r="A80" s="273" t="str">
        <f t="shared" si="9"/>
        <v>МосковскаяASM MOS Food Trade+SorsoTSL MOS SPT Moscow Play Sorso</v>
      </c>
      <c r="B80" s="248" t="s">
        <v>338</v>
      </c>
      <c r="C80" s="249" t="s">
        <v>322</v>
      </c>
      <c r="D80" s="249" t="s">
        <v>328</v>
      </c>
      <c r="E80" s="273" t="s">
        <v>329</v>
      </c>
      <c r="F80" s="251" t="s">
        <v>330</v>
      </c>
      <c r="G80" s="293"/>
      <c r="H80" s="293"/>
      <c r="I80" s="293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4"/>
      <c r="T80" s="293"/>
      <c r="U80" s="294">
        <v>0</v>
      </c>
      <c r="V80" s="294">
        <v>0</v>
      </c>
      <c r="W80" s="294">
        <v>0</v>
      </c>
      <c r="X80" s="294">
        <v>0</v>
      </c>
      <c r="Y80" s="294">
        <v>0</v>
      </c>
      <c r="Z80" s="294">
        <v>630832.56999999995</v>
      </c>
      <c r="AA80" s="294">
        <v>132392.5</v>
      </c>
      <c r="AB80" s="294">
        <v>0</v>
      </c>
      <c r="AC80" s="294">
        <v>0</v>
      </c>
      <c r="AD80" s="273"/>
      <c r="AE80" s="273"/>
      <c r="AF80" s="273"/>
      <c r="AG80" s="273"/>
      <c r="AH80" s="275"/>
      <c r="AI80" s="273"/>
      <c r="AJ80" s="273"/>
      <c r="AK80" s="273"/>
    </row>
    <row r="81" spans="1:41" ht="14.65" customHeight="1">
      <c r="A81" s="273" t="str">
        <f t="shared" si="9"/>
        <v>МосковскаяDDM MOS Sladkaay ZhiznTSL MOS  Moscow 2 Sladkaya Zhizn</v>
      </c>
      <c r="B81" s="248" t="s">
        <v>338</v>
      </c>
      <c r="C81" s="249" t="s">
        <v>322</v>
      </c>
      <c r="D81" s="285" t="s">
        <v>323</v>
      </c>
      <c r="E81" s="250" t="s">
        <v>332</v>
      </c>
      <c r="F81" s="251" t="s">
        <v>327</v>
      </c>
      <c r="G81" s="293"/>
      <c r="H81" s="293"/>
      <c r="I81" s="293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4"/>
      <c r="T81" s="293"/>
      <c r="U81" s="293">
        <v>0</v>
      </c>
      <c r="V81" s="293">
        <v>0</v>
      </c>
      <c r="W81" s="293">
        <v>0</v>
      </c>
      <c r="Y81" s="297">
        <v>63825.824999999997</v>
      </c>
      <c r="Z81" s="297">
        <v>84829.294999999998</v>
      </c>
      <c r="AA81" s="297">
        <v>0</v>
      </c>
      <c r="AB81" s="297">
        <v>7066.6949999999997</v>
      </c>
      <c r="AC81" s="297">
        <v>0</v>
      </c>
      <c r="AD81" s="273"/>
      <c r="AE81" s="273"/>
      <c r="AF81" s="273"/>
      <c r="AG81" s="273"/>
      <c r="AH81" s="295">
        <v>3126523.5300000012</v>
      </c>
      <c r="AI81" s="273"/>
      <c r="AJ81" s="273"/>
      <c r="AK81" s="273"/>
      <c r="AO81" s="276" t="s">
        <v>326</v>
      </c>
    </row>
    <row r="82" spans="1:41" ht="14.65" hidden="1" customHeight="1">
      <c r="A82" s="273" t="str">
        <f t="shared" si="9"/>
        <v>МосковскаяASM MOS Food Trade+SorsoTSL MOS SPT Moscow Play Sorso</v>
      </c>
      <c r="B82" s="248" t="s">
        <v>338</v>
      </c>
      <c r="C82" s="249" t="s">
        <v>322</v>
      </c>
      <c r="D82" s="249" t="s">
        <v>328</v>
      </c>
      <c r="E82" s="273" t="s">
        <v>329</v>
      </c>
      <c r="F82" s="251" t="s">
        <v>330</v>
      </c>
      <c r="G82" s="293"/>
      <c r="H82" s="293"/>
      <c r="I82" s="293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4"/>
      <c r="T82" s="293"/>
      <c r="U82" s="294">
        <v>0</v>
      </c>
      <c r="V82" s="294">
        <v>0</v>
      </c>
      <c r="W82" s="294">
        <v>0</v>
      </c>
      <c r="X82" s="294">
        <v>0</v>
      </c>
      <c r="Y82" s="294">
        <v>0</v>
      </c>
      <c r="Z82" s="294">
        <v>41915.080000000009</v>
      </c>
      <c r="AA82" s="294">
        <v>0</v>
      </c>
      <c r="AB82" s="294">
        <v>0</v>
      </c>
      <c r="AC82" s="294">
        <v>0</v>
      </c>
      <c r="AD82" s="273"/>
      <c r="AE82" s="273"/>
      <c r="AF82" s="273"/>
      <c r="AG82" s="273"/>
      <c r="AH82" s="275"/>
      <c r="AI82" s="273"/>
      <c r="AJ82" s="273"/>
      <c r="AK82" s="273"/>
    </row>
    <row r="83" spans="1:41" ht="14.65" hidden="1" customHeight="1">
      <c r="A83" s="273" t="str">
        <f t="shared" si="9"/>
        <v>МосковскаяASM MOS Food Trade+SorsoTSL MOS SPT Moscow Play Sorso</v>
      </c>
      <c r="B83" s="248" t="s">
        <v>338</v>
      </c>
      <c r="C83" s="249" t="s">
        <v>322</v>
      </c>
      <c r="D83" s="249" t="s">
        <v>328</v>
      </c>
      <c r="E83" s="273" t="s">
        <v>329</v>
      </c>
      <c r="F83" s="251" t="s">
        <v>330</v>
      </c>
      <c r="G83" s="293"/>
      <c r="H83" s="293"/>
      <c r="I83" s="293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4"/>
      <c r="T83" s="293"/>
      <c r="U83" s="294">
        <v>14477.22</v>
      </c>
      <c r="V83" s="294">
        <v>0</v>
      </c>
      <c r="W83" s="294">
        <v>0</v>
      </c>
      <c r="X83" s="294">
        <v>0</v>
      </c>
      <c r="Y83" s="294">
        <v>0</v>
      </c>
      <c r="Z83" s="294">
        <v>0</v>
      </c>
      <c r="AA83" s="294">
        <v>0</v>
      </c>
      <c r="AB83" s="294">
        <v>0</v>
      </c>
      <c r="AC83" s="294">
        <v>0</v>
      </c>
      <c r="AD83" s="273"/>
      <c r="AE83" s="273"/>
      <c r="AF83" s="273"/>
      <c r="AG83" s="273"/>
      <c r="AH83" s="275"/>
      <c r="AI83" s="273"/>
      <c r="AJ83" s="273"/>
      <c r="AK83" s="273"/>
    </row>
    <row r="84" spans="1:41" ht="14.65" hidden="1" customHeight="1">
      <c r="A84" s="273" t="str">
        <f t="shared" si="9"/>
        <v>МосковскаяASM MOS Food Trade+SorsoTSL MOS SPT Moscow Play Sorso</v>
      </c>
      <c r="B84" s="248" t="s">
        <v>338</v>
      </c>
      <c r="C84" s="249" t="s">
        <v>322</v>
      </c>
      <c r="D84" s="249" t="s">
        <v>328</v>
      </c>
      <c r="E84" s="273" t="s">
        <v>329</v>
      </c>
      <c r="F84" s="251" t="s">
        <v>330</v>
      </c>
      <c r="G84" s="293"/>
      <c r="H84" s="293"/>
      <c r="I84" s="293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4"/>
      <c r="T84" s="293"/>
      <c r="U84" s="294">
        <v>3549.6000000000004</v>
      </c>
      <c r="V84" s="294">
        <v>0</v>
      </c>
      <c r="W84" s="294">
        <v>0</v>
      </c>
      <c r="X84" s="294">
        <v>0</v>
      </c>
      <c r="Y84" s="294">
        <v>0</v>
      </c>
      <c r="Z84" s="294">
        <v>0</v>
      </c>
      <c r="AA84" s="294">
        <v>0</v>
      </c>
      <c r="AB84" s="294">
        <v>0</v>
      </c>
      <c r="AC84" s="294">
        <v>0</v>
      </c>
      <c r="AD84" s="273"/>
      <c r="AE84" s="273"/>
      <c r="AF84" s="273"/>
      <c r="AG84" s="273"/>
      <c r="AH84" s="275"/>
      <c r="AI84" s="273"/>
      <c r="AJ84" s="273"/>
      <c r="AK84" s="273"/>
    </row>
    <row r="85" spans="1:41" ht="14.65" hidden="1" customHeight="1">
      <c r="A85" s="273" t="str">
        <f t="shared" si="9"/>
        <v>МосковскаяASM MOS Food Trade+SorsoTSL MOS SPT Moscow Play Sorso</v>
      </c>
      <c r="B85" s="248" t="s">
        <v>338</v>
      </c>
      <c r="C85" s="249" t="s">
        <v>322</v>
      </c>
      <c r="D85" s="249" t="s">
        <v>328</v>
      </c>
      <c r="E85" s="273" t="s">
        <v>329</v>
      </c>
      <c r="F85" s="251" t="s">
        <v>330</v>
      </c>
      <c r="G85" s="293"/>
      <c r="H85" s="293"/>
      <c r="I85" s="293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4"/>
      <c r="T85" s="293"/>
      <c r="U85" s="294">
        <v>19308</v>
      </c>
      <c r="V85" s="294">
        <v>0</v>
      </c>
      <c r="W85" s="294">
        <v>0</v>
      </c>
      <c r="X85" s="294">
        <v>0</v>
      </c>
      <c r="Y85" s="294">
        <v>0</v>
      </c>
      <c r="Z85" s="294">
        <v>0</v>
      </c>
      <c r="AA85" s="294">
        <v>0</v>
      </c>
      <c r="AB85" s="294">
        <v>0</v>
      </c>
      <c r="AC85" s="294">
        <v>0</v>
      </c>
      <c r="AD85" s="273"/>
      <c r="AE85" s="273"/>
      <c r="AF85" s="273"/>
      <c r="AG85" s="273"/>
      <c r="AH85" s="275"/>
      <c r="AI85" s="273"/>
      <c r="AJ85" s="273"/>
      <c r="AK85" s="273"/>
    </row>
    <row r="86" spans="1:41" ht="14.65" hidden="1" customHeight="1">
      <c r="A86" s="273" t="str">
        <f t="shared" si="9"/>
        <v>НижегородскаяASM MOS Food Trade+SorsoTSL MOS SPT Moscow Play Sorso</v>
      </c>
      <c r="B86" s="248" t="s">
        <v>23</v>
      </c>
      <c r="C86" s="249" t="s">
        <v>322</v>
      </c>
      <c r="D86" s="249" t="s">
        <v>328</v>
      </c>
      <c r="E86" s="273" t="s">
        <v>329</v>
      </c>
      <c r="F86" s="251" t="s">
        <v>330</v>
      </c>
      <c r="G86" s="293"/>
      <c r="H86" s="293"/>
      <c r="I86" s="293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4"/>
      <c r="T86" s="293"/>
      <c r="U86" s="294">
        <v>0</v>
      </c>
      <c r="V86" s="294">
        <v>0</v>
      </c>
      <c r="W86" s="294">
        <v>0</v>
      </c>
      <c r="X86" s="294">
        <v>0</v>
      </c>
      <c r="Y86" s="294">
        <v>129955.4</v>
      </c>
      <c r="Z86" s="294">
        <v>0</v>
      </c>
      <c r="AA86" s="294">
        <v>0</v>
      </c>
      <c r="AB86" s="294">
        <v>0</v>
      </c>
      <c r="AC86" s="294">
        <v>0</v>
      </c>
      <c r="AD86" s="273"/>
      <c r="AE86" s="273"/>
      <c r="AF86" s="273"/>
      <c r="AG86" s="273"/>
      <c r="AH86" s="275"/>
      <c r="AI86" s="273"/>
      <c r="AJ86" s="273"/>
      <c r="AK86" s="273"/>
    </row>
    <row r="87" spans="1:41" ht="14.65" customHeight="1">
      <c r="A87" s="273" t="str">
        <f t="shared" si="9"/>
        <v>НижегородскаяDDM MOS Sladkaay ZhiznTSL MOS N.Novgorod</v>
      </c>
      <c r="B87" s="248" t="s">
        <v>23</v>
      </c>
      <c r="C87" s="249" t="s">
        <v>322</v>
      </c>
      <c r="D87" s="249" t="s">
        <v>323</v>
      </c>
      <c r="E87" s="250" t="s">
        <v>324</v>
      </c>
      <c r="F87" s="251" t="s">
        <v>325</v>
      </c>
      <c r="G87" s="293">
        <v>1</v>
      </c>
      <c r="H87" s="293"/>
      <c r="I87" s="293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5"/>
      <c r="T87" s="489"/>
      <c r="U87" s="489">
        <v>0</v>
      </c>
      <c r="V87" s="489">
        <v>63562247.979999989</v>
      </c>
      <c r="W87" s="489">
        <v>0</v>
      </c>
      <c r="Y87" s="489">
        <v>21238325.20000001</v>
      </c>
      <c r="Z87" s="489">
        <v>22033536.260000009</v>
      </c>
      <c r="AA87" s="489">
        <v>0</v>
      </c>
      <c r="AB87" s="489">
        <v>19668123.950000141</v>
      </c>
      <c r="AC87" s="489">
        <v>14513449.15</v>
      </c>
      <c r="AD87" s="273"/>
      <c r="AE87" s="273"/>
      <c r="AF87" s="273"/>
      <c r="AG87" s="273"/>
      <c r="AH87" s="489">
        <v>66363320.945000082</v>
      </c>
      <c r="AI87" s="287">
        <f>50000*13</f>
        <v>650000</v>
      </c>
      <c r="AJ87" s="273"/>
      <c r="AK87" s="273"/>
      <c r="AO87" s="276" t="s">
        <v>326</v>
      </c>
    </row>
    <row r="88" spans="1:41" ht="14.65" hidden="1" customHeight="1">
      <c r="A88" s="273" t="str">
        <f t="shared" si="9"/>
        <v>НижегородскаяASM MOS Food Trade+SorsoTSL MOS SPT Moscow Play Sorso</v>
      </c>
      <c r="B88" s="248" t="s">
        <v>23</v>
      </c>
      <c r="C88" s="249" t="s">
        <v>322</v>
      </c>
      <c r="D88" s="249" t="s">
        <v>328</v>
      </c>
      <c r="E88" s="273" t="s">
        <v>329</v>
      </c>
      <c r="F88" s="251" t="s">
        <v>330</v>
      </c>
      <c r="G88" s="293"/>
      <c r="H88" s="293"/>
      <c r="I88" s="293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4"/>
      <c r="T88" s="293"/>
      <c r="U88" s="294">
        <v>0</v>
      </c>
      <c r="V88" s="294">
        <v>0</v>
      </c>
      <c r="W88" s="294">
        <v>0</v>
      </c>
      <c r="X88" s="294">
        <v>0</v>
      </c>
      <c r="Y88" s="294">
        <v>15797.939999999999</v>
      </c>
      <c r="Z88" s="294">
        <v>0</v>
      </c>
      <c r="AA88" s="294">
        <v>0</v>
      </c>
      <c r="AB88" s="294">
        <v>0</v>
      </c>
      <c r="AC88" s="294">
        <v>0</v>
      </c>
      <c r="AD88" s="273"/>
      <c r="AE88" s="273"/>
      <c r="AF88" s="273"/>
      <c r="AG88" s="273"/>
      <c r="AH88" s="275"/>
      <c r="AI88" s="273"/>
      <c r="AJ88" s="273"/>
      <c r="AK88" s="273"/>
    </row>
    <row r="89" spans="1:41" ht="14.65" customHeight="1">
      <c r="A89" s="273" t="str">
        <f t="shared" si="9"/>
        <v>НижегородскаяDDM MOS Sladkaay ZhiznTSL MOS N.Novgorod</v>
      </c>
      <c r="B89" s="248" t="s">
        <v>23</v>
      </c>
      <c r="C89" s="249" t="s">
        <v>322</v>
      </c>
      <c r="D89" s="249" t="s">
        <v>323</v>
      </c>
      <c r="E89" s="250" t="s">
        <v>324</v>
      </c>
      <c r="F89" s="251" t="s">
        <v>325</v>
      </c>
      <c r="G89" s="293"/>
      <c r="H89" s="293"/>
      <c r="I89" s="293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5"/>
      <c r="T89" s="489"/>
      <c r="U89" s="489">
        <v>0</v>
      </c>
      <c r="V89" s="489">
        <v>0</v>
      </c>
      <c r="W89" s="489">
        <v>0</v>
      </c>
      <c r="X89" s="489">
        <v>36039.75</v>
      </c>
      <c r="Y89" s="489">
        <v>0</v>
      </c>
      <c r="Z89" s="489">
        <v>0</v>
      </c>
      <c r="AA89" s="489">
        <v>0</v>
      </c>
      <c r="AB89" s="489">
        <v>2646.7699999999995</v>
      </c>
      <c r="AC89" s="489">
        <v>0</v>
      </c>
      <c r="AD89" s="273"/>
      <c r="AE89" s="273"/>
      <c r="AF89" s="273"/>
      <c r="AG89" s="273"/>
      <c r="AH89" s="275">
        <v>296596293.75999993</v>
      </c>
      <c r="AI89" s="273"/>
      <c r="AJ89" s="273"/>
      <c r="AK89" s="273"/>
      <c r="AO89" s="276" t="s">
        <v>326</v>
      </c>
    </row>
    <row r="90" spans="1:41" ht="14.65" customHeight="1">
      <c r="A90" s="273" t="str">
        <f t="shared" si="9"/>
        <v>НижегородскаяDDM MOS Sladkaay ZhiznTSL MOS Cheboksary</v>
      </c>
      <c r="B90" s="248" t="s">
        <v>23</v>
      </c>
      <c r="C90" s="249" t="s">
        <v>322</v>
      </c>
      <c r="D90" s="249" t="s">
        <v>323</v>
      </c>
      <c r="E90" s="250" t="s">
        <v>331</v>
      </c>
      <c r="F90" s="251" t="s">
        <v>325</v>
      </c>
      <c r="G90" s="293"/>
      <c r="H90" s="293"/>
      <c r="I90" s="293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4"/>
      <c r="T90" s="293"/>
      <c r="U90" s="293">
        <v>0</v>
      </c>
      <c r="V90" s="293">
        <v>0</v>
      </c>
      <c r="W90" s="293">
        <v>0</v>
      </c>
      <c r="X90" s="489">
        <v>19547.75</v>
      </c>
      <c r="Y90" s="293">
        <v>0</v>
      </c>
      <c r="Z90" s="293">
        <v>0</v>
      </c>
      <c r="AA90" s="293">
        <v>0</v>
      </c>
      <c r="AB90" s="293">
        <v>2646.7699999999995</v>
      </c>
      <c r="AC90" s="293">
        <v>0</v>
      </c>
      <c r="AD90" s="273"/>
      <c r="AE90" s="273"/>
      <c r="AF90" s="273"/>
      <c r="AG90" s="273"/>
      <c r="AH90" s="275"/>
      <c r="AI90" s="273"/>
      <c r="AJ90" s="273"/>
      <c r="AK90" s="273"/>
    </row>
    <row r="91" spans="1:41" ht="14.65" customHeight="1">
      <c r="A91" s="273" t="str">
        <f t="shared" si="9"/>
        <v>НижегородскаяDDM MOS Sladkaay ZhiznTSL MOS N.Novgorod</v>
      </c>
      <c r="B91" s="248" t="s">
        <v>23</v>
      </c>
      <c r="C91" s="249" t="s">
        <v>322</v>
      </c>
      <c r="D91" s="249" t="s">
        <v>323</v>
      </c>
      <c r="E91" s="250" t="s">
        <v>324</v>
      </c>
      <c r="F91" s="251" t="s">
        <v>325</v>
      </c>
      <c r="G91" s="293"/>
      <c r="H91" s="293"/>
      <c r="I91" s="293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5"/>
      <c r="T91" s="489"/>
      <c r="U91" s="489">
        <v>0</v>
      </c>
      <c r="V91" s="489">
        <v>0</v>
      </c>
      <c r="W91" s="489">
        <v>0</v>
      </c>
      <c r="X91" s="489">
        <v>266477.83</v>
      </c>
      <c r="Y91" s="489">
        <v>184004.25</v>
      </c>
      <c r="Z91" s="489">
        <v>1705076.2200000002</v>
      </c>
      <c r="AA91" s="489">
        <v>3525.48</v>
      </c>
      <c r="AB91" s="489">
        <v>315208.13000000012</v>
      </c>
      <c r="AC91" s="489">
        <v>0</v>
      </c>
      <c r="AD91" s="273"/>
      <c r="AE91" s="273"/>
      <c r="AF91" s="273"/>
      <c r="AG91" s="273"/>
      <c r="AH91" s="275"/>
      <c r="AI91" s="273"/>
      <c r="AJ91" s="273"/>
      <c r="AK91" s="273"/>
    </row>
    <row r="92" spans="1:41" ht="14.65" hidden="1" customHeight="1">
      <c r="A92" s="273" t="str">
        <f t="shared" si="9"/>
        <v>НижегородскаяASM MOS Food Trade+SorsoTSL MOS SPT Moscow Play Sorso</v>
      </c>
      <c r="B92" s="248" t="s">
        <v>23</v>
      </c>
      <c r="C92" s="249" t="s">
        <v>322</v>
      </c>
      <c r="D92" s="249" t="s">
        <v>328</v>
      </c>
      <c r="E92" s="273" t="s">
        <v>329</v>
      </c>
      <c r="F92" s="251" t="s">
        <v>330</v>
      </c>
      <c r="G92" s="293"/>
      <c r="H92" s="293"/>
      <c r="I92" s="293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4"/>
      <c r="T92" s="293"/>
      <c r="U92" s="294">
        <v>0</v>
      </c>
      <c r="V92" s="294">
        <v>0</v>
      </c>
      <c r="W92" s="294">
        <v>0</v>
      </c>
      <c r="X92" s="294">
        <v>0</v>
      </c>
      <c r="Y92" s="294">
        <v>0</v>
      </c>
      <c r="Z92" s="294">
        <v>21101.88</v>
      </c>
      <c r="AA92" s="294">
        <v>0</v>
      </c>
      <c r="AB92" s="294">
        <v>0</v>
      </c>
      <c r="AC92" s="294">
        <v>0</v>
      </c>
      <c r="AD92" s="273"/>
      <c r="AE92" s="273"/>
      <c r="AF92" s="273"/>
      <c r="AG92" s="273"/>
      <c r="AH92" s="275"/>
      <c r="AI92" s="273"/>
      <c r="AJ92" s="273"/>
      <c r="AK92" s="273"/>
    </row>
    <row r="93" spans="1:41" ht="14.65" hidden="1" customHeight="1">
      <c r="A93" s="273" t="str">
        <f t="shared" si="9"/>
        <v>ТульскаяASM MOS Food Trade+SorsoTSL MOS SPT Moscow Play Sorso</v>
      </c>
      <c r="B93" s="248" t="s">
        <v>19</v>
      </c>
      <c r="C93" s="249" t="s">
        <v>322</v>
      </c>
      <c r="D93" s="249" t="s">
        <v>328</v>
      </c>
      <c r="E93" s="273" t="s">
        <v>329</v>
      </c>
      <c r="F93" s="251" t="s">
        <v>330</v>
      </c>
      <c r="G93" s="293"/>
      <c r="H93" s="293"/>
      <c r="I93" s="293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4"/>
      <c r="T93" s="293"/>
      <c r="U93" s="294">
        <v>0</v>
      </c>
      <c r="V93" s="294">
        <v>0</v>
      </c>
      <c r="W93" s="294">
        <v>0</v>
      </c>
      <c r="X93" s="294">
        <v>0</v>
      </c>
      <c r="Y93" s="294">
        <v>0</v>
      </c>
      <c r="Z93" s="294">
        <v>88016.4</v>
      </c>
      <c r="AA93" s="294">
        <v>0</v>
      </c>
      <c r="AB93" s="294">
        <v>0</v>
      </c>
      <c r="AC93" s="294">
        <v>0</v>
      </c>
      <c r="AD93" s="273"/>
      <c r="AE93" s="273"/>
      <c r="AF93" s="273"/>
      <c r="AG93" s="273"/>
      <c r="AH93" s="275"/>
      <c r="AI93" s="273"/>
      <c r="AJ93" s="273"/>
      <c r="AK93" s="273"/>
    </row>
    <row r="94" spans="1:41" ht="14.65" customHeight="1">
      <c r="A94" s="273" t="str">
        <f t="shared" si="9"/>
        <v>ТульскаяDDM MOS Sladkaay ZhiznTSL MOS  Moscow 1 Sladkaya Zhizn</v>
      </c>
      <c r="B94" s="248" t="s">
        <v>19</v>
      </c>
      <c r="C94" s="249" t="s">
        <v>322</v>
      </c>
      <c r="D94" s="249" t="s">
        <v>323</v>
      </c>
      <c r="E94" s="250" t="s">
        <v>336</v>
      </c>
      <c r="F94" s="251" t="s">
        <v>327</v>
      </c>
      <c r="G94" s="293"/>
      <c r="H94" s="293"/>
      <c r="I94" s="293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4"/>
      <c r="T94" s="293"/>
      <c r="U94" s="293">
        <v>0</v>
      </c>
      <c r="V94" s="293">
        <v>0</v>
      </c>
      <c r="W94" s="293">
        <v>0</v>
      </c>
      <c r="Y94" s="293">
        <v>5410571.5099999998</v>
      </c>
      <c r="Z94" s="293">
        <v>13670418.780000003</v>
      </c>
      <c r="AA94" s="293">
        <v>1784688.7999999998</v>
      </c>
      <c r="AB94" s="293">
        <v>9804231.8200000003</v>
      </c>
      <c r="AC94" s="293">
        <v>127469.93000000002</v>
      </c>
      <c r="AD94" s="273"/>
      <c r="AE94" s="273"/>
      <c r="AF94" s="273"/>
      <c r="AG94" s="273"/>
      <c r="AH94" s="273">
        <v>19446886.790000033</v>
      </c>
      <c r="AI94" s="490"/>
      <c r="AJ94" s="273"/>
      <c r="AK94" s="273"/>
      <c r="AO94" s="276" t="s">
        <v>326</v>
      </c>
    </row>
    <row r="95" spans="1:41" ht="14.65" hidden="1" customHeight="1">
      <c r="A95" s="273" t="str">
        <f t="shared" si="9"/>
        <v>ТульскаяASM MOS Food Trade+SorsoTSL MOS SPT Moscow Play Sorso</v>
      </c>
      <c r="B95" s="248" t="s">
        <v>19</v>
      </c>
      <c r="C95" s="249" t="s">
        <v>322</v>
      </c>
      <c r="D95" s="249" t="s">
        <v>328</v>
      </c>
      <c r="E95" s="273" t="s">
        <v>329</v>
      </c>
      <c r="F95" s="251" t="s">
        <v>330</v>
      </c>
      <c r="G95" s="293"/>
      <c r="H95" s="293"/>
      <c r="I95" s="293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4"/>
      <c r="T95" s="293"/>
      <c r="U95" s="294">
        <v>0</v>
      </c>
      <c r="V95" s="294">
        <v>0</v>
      </c>
      <c r="W95" s="294">
        <v>0</v>
      </c>
      <c r="X95" s="294">
        <v>0</v>
      </c>
      <c r="Y95" s="294">
        <v>0</v>
      </c>
      <c r="Z95" s="294">
        <v>1850878.62</v>
      </c>
      <c r="AA95" s="294">
        <v>0</v>
      </c>
      <c r="AB95" s="294">
        <v>0</v>
      </c>
      <c r="AC95" s="294">
        <v>0</v>
      </c>
      <c r="AD95" s="273"/>
      <c r="AE95" s="273"/>
      <c r="AF95" s="273"/>
      <c r="AG95" s="273"/>
      <c r="AH95" s="275"/>
      <c r="AI95" s="273"/>
      <c r="AJ95" s="273"/>
      <c r="AK95" s="273"/>
    </row>
    <row r="96" spans="1:41" ht="14.65" hidden="1" customHeight="1">
      <c r="A96" s="273" t="str">
        <f t="shared" si="9"/>
        <v>ТульскаяASM MOS Food Trade+SorsoTSL MOS Grocery Mos Obl AS-Market</v>
      </c>
      <c r="B96" s="248" t="s">
        <v>19</v>
      </c>
      <c r="C96" s="249" t="s">
        <v>322</v>
      </c>
      <c r="D96" s="249" t="s">
        <v>328</v>
      </c>
      <c r="E96" s="250" t="s">
        <v>334</v>
      </c>
      <c r="F96" s="251" t="s">
        <v>335</v>
      </c>
      <c r="G96" s="293"/>
      <c r="H96" s="293"/>
      <c r="I96" s="293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4"/>
      <c r="T96" s="489"/>
      <c r="U96" s="489">
        <v>0</v>
      </c>
      <c r="V96" s="489">
        <v>0</v>
      </c>
      <c r="W96" s="489">
        <v>0</v>
      </c>
      <c r="X96" s="489">
        <v>0</v>
      </c>
      <c r="Y96" s="489">
        <v>0</v>
      </c>
      <c r="Z96" s="489">
        <v>0</v>
      </c>
      <c r="AA96" s="489">
        <v>0</v>
      </c>
      <c r="AB96" s="489">
        <v>31905.269999999997</v>
      </c>
      <c r="AC96" s="489">
        <v>0</v>
      </c>
      <c r="AD96" s="490"/>
      <c r="AE96" s="490"/>
      <c r="AF96" s="490"/>
      <c r="AG96" s="490"/>
      <c r="AI96" s="490"/>
      <c r="AJ96" s="490"/>
      <c r="AK96" s="490"/>
    </row>
    <row r="97" spans="1:43" ht="14.65" customHeight="1">
      <c r="A97" s="273" t="str">
        <f t="shared" si="9"/>
        <v>ТульскаяDDM MOS Sladkaay ZhiznTSL MOS  Moscow 2 Sladkaya Zhizn</v>
      </c>
      <c r="B97" s="248" t="s">
        <v>19</v>
      </c>
      <c r="C97" s="249" t="s">
        <v>322</v>
      </c>
      <c r="D97" s="249" t="s">
        <v>323</v>
      </c>
      <c r="E97" s="250" t="s">
        <v>332</v>
      </c>
      <c r="F97" s="251" t="s">
        <v>327</v>
      </c>
      <c r="G97" s="293"/>
      <c r="H97" s="293"/>
      <c r="I97" s="293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4"/>
      <c r="T97" s="293"/>
      <c r="U97" s="293">
        <v>0</v>
      </c>
      <c r="V97" s="293">
        <v>0</v>
      </c>
      <c r="W97" s="293">
        <v>0</v>
      </c>
      <c r="Y97" s="293">
        <v>0</v>
      </c>
      <c r="Z97" s="293">
        <v>0</v>
      </c>
      <c r="AA97" s="293">
        <v>0</v>
      </c>
      <c r="AB97" s="293">
        <v>2274.2749999999996</v>
      </c>
      <c r="AC97" s="293">
        <v>0</v>
      </c>
      <c r="AD97" s="273"/>
      <c r="AE97" s="273"/>
      <c r="AF97" s="273"/>
      <c r="AG97" s="273"/>
      <c r="AH97" s="489"/>
      <c r="AI97" s="273"/>
      <c r="AJ97" s="273"/>
      <c r="AK97" s="273"/>
    </row>
    <row r="98" spans="1:43" ht="14.65" customHeight="1">
      <c r="A98" s="273" t="str">
        <f t="shared" si="9"/>
        <v>ТульскаяDDM MOS Sladkaay ZhiznTSL MOS  Moscow 1 Sladkaya Zhizn</v>
      </c>
      <c r="B98" s="248" t="s">
        <v>19</v>
      </c>
      <c r="C98" s="249" t="s">
        <v>322</v>
      </c>
      <c r="D98" s="249" t="s">
        <v>323</v>
      </c>
      <c r="E98" s="250" t="s">
        <v>336</v>
      </c>
      <c r="F98" s="251" t="s">
        <v>327</v>
      </c>
      <c r="G98" s="293"/>
      <c r="H98" s="293"/>
      <c r="I98" s="293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4"/>
      <c r="T98" s="293"/>
      <c r="U98" s="293">
        <v>0</v>
      </c>
      <c r="V98" s="293">
        <v>0</v>
      </c>
      <c r="W98" s="293">
        <v>0</v>
      </c>
      <c r="Y98" s="293">
        <v>0</v>
      </c>
      <c r="Z98" s="293">
        <v>0</v>
      </c>
      <c r="AA98" s="293">
        <v>0</v>
      </c>
      <c r="AB98" s="293">
        <v>2274.2749999999996</v>
      </c>
      <c r="AC98" s="293">
        <v>0</v>
      </c>
      <c r="AD98" s="273"/>
      <c r="AE98" s="273"/>
      <c r="AF98" s="273"/>
      <c r="AG98" s="273"/>
      <c r="AH98" s="489"/>
      <c r="AI98" s="273"/>
      <c r="AJ98" s="273"/>
      <c r="AK98" s="273"/>
    </row>
    <row r="99" spans="1:43" ht="14.65" customHeight="1">
      <c r="A99" s="273" t="str">
        <f t="shared" si="9"/>
        <v>Чувашская Республика -DDM MOS Sladkaay ZhiznTSL MOS Cheboksary</v>
      </c>
      <c r="B99" s="248" t="s">
        <v>341</v>
      </c>
      <c r="C99" s="249" t="s">
        <v>322</v>
      </c>
      <c r="D99" s="249" t="s">
        <v>323</v>
      </c>
      <c r="E99" s="250" t="s">
        <v>331</v>
      </c>
      <c r="F99" s="251" t="s">
        <v>325</v>
      </c>
      <c r="G99" s="293"/>
      <c r="H99" s="293"/>
      <c r="I99" s="293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4"/>
      <c r="T99" s="293"/>
      <c r="U99" s="293">
        <v>0</v>
      </c>
      <c r="V99" s="293">
        <v>0</v>
      </c>
      <c r="W99" s="293">
        <v>0</v>
      </c>
      <c r="X99" s="489"/>
      <c r="Y99" s="293">
        <v>6979947.7100000028</v>
      </c>
      <c r="Z99" s="293">
        <v>10872222.310000001</v>
      </c>
      <c r="AA99" s="293">
        <v>0</v>
      </c>
      <c r="AB99" s="293">
        <v>9587848.3500000257</v>
      </c>
      <c r="AC99" s="293">
        <v>9456225.7599999998</v>
      </c>
      <c r="AD99" s="273"/>
      <c r="AE99" s="273"/>
      <c r="AF99" s="273"/>
      <c r="AG99" s="273"/>
      <c r="AH99" s="296">
        <v>44164732.540000081</v>
      </c>
      <c r="AI99" s="273"/>
      <c r="AJ99" s="273"/>
      <c r="AK99" s="273"/>
      <c r="AO99" s="276" t="s">
        <v>326</v>
      </c>
    </row>
    <row r="100" spans="1:43" ht="14.65" customHeight="1">
      <c r="A100" s="273" t="str">
        <f t="shared" si="9"/>
        <v>Чувашская Республика -DDM MOS Sladkaay ZhiznTSL MOS N.Novgorod</v>
      </c>
      <c r="B100" s="248" t="s">
        <v>341</v>
      </c>
      <c r="C100" s="249" t="s">
        <v>322</v>
      </c>
      <c r="D100" s="249" t="s">
        <v>323</v>
      </c>
      <c r="E100" s="250" t="s">
        <v>324</v>
      </c>
      <c r="F100" s="251" t="s">
        <v>325</v>
      </c>
      <c r="G100" s="293"/>
      <c r="H100" s="293"/>
      <c r="I100" s="293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5"/>
      <c r="T100" s="489"/>
      <c r="U100" s="489">
        <v>0</v>
      </c>
      <c r="V100" s="489">
        <v>0</v>
      </c>
      <c r="W100" s="489">
        <v>0</v>
      </c>
      <c r="X100" s="489">
        <v>0</v>
      </c>
      <c r="Y100" s="489">
        <v>0</v>
      </c>
      <c r="Z100" s="489">
        <v>0</v>
      </c>
      <c r="AA100" s="489">
        <v>0</v>
      </c>
      <c r="AB100" s="489">
        <v>14279.89</v>
      </c>
      <c r="AC100" s="489">
        <v>52049.599999999999</v>
      </c>
      <c r="AD100" s="273"/>
      <c r="AE100" s="273"/>
      <c r="AF100" s="273"/>
      <c r="AG100" s="273"/>
      <c r="AH100" s="275"/>
      <c r="AI100" s="273"/>
      <c r="AJ100" s="273"/>
      <c r="AK100" s="273"/>
    </row>
    <row r="101" spans="1:43" ht="14.65" customHeight="1">
      <c r="A101" s="273" t="str">
        <f t="shared" si="9"/>
        <v>Чувашская Республика -DDM MOS Sladkaay ZhiznTSL MOS Cheboksary</v>
      </c>
      <c r="B101" s="248" t="s">
        <v>341</v>
      </c>
      <c r="C101" s="249" t="s">
        <v>322</v>
      </c>
      <c r="D101" s="249" t="s">
        <v>323</v>
      </c>
      <c r="E101" s="250" t="s">
        <v>331</v>
      </c>
      <c r="F101" s="251" t="s">
        <v>325</v>
      </c>
      <c r="G101" s="293"/>
      <c r="H101" s="293"/>
      <c r="I101" s="293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4"/>
      <c r="T101" s="293"/>
      <c r="U101" s="293">
        <v>0</v>
      </c>
      <c r="V101" s="293">
        <v>0</v>
      </c>
      <c r="W101" s="293">
        <v>0</v>
      </c>
      <c r="X101" s="489">
        <v>0</v>
      </c>
      <c r="Y101" s="293">
        <v>0</v>
      </c>
      <c r="Z101" s="293">
        <v>0</v>
      </c>
      <c r="AA101" s="293">
        <v>0</v>
      </c>
      <c r="AB101" s="293">
        <v>14279.89</v>
      </c>
      <c r="AC101" s="293">
        <v>52049.599999999999</v>
      </c>
      <c r="AD101" s="273"/>
      <c r="AE101" s="273"/>
      <c r="AF101" s="273"/>
      <c r="AG101" s="273"/>
      <c r="AH101" s="275"/>
      <c r="AI101" s="273"/>
      <c r="AJ101" s="273"/>
      <c r="AK101" s="273"/>
    </row>
    <row r="102" spans="1:43" hidden="1">
      <c r="A102" s="273" t="str">
        <f t="shared" si="9"/>
        <v>АдыгеяRADM MoscowRAL MOS SPT RKA</v>
      </c>
      <c r="B102" s="273" t="s">
        <v>179</v>
      </c>
      <c r="C102" s="249" t="s">
        <v>322</v>
      </c>
      <c r="D102" s="249" t="s">
        <v>342</v>
      </c>
      <c r="E102" s="273" t="s">
        <v>343</v>
      </c>
      <c r="F102" s="252" t="s">
        <v>344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3">
        <v>740866.42488330521</v>
      </c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5"/>
      <c r="AI102" s="490"/>
      <c r="AJ102" s="273"/>
      <c r="AK102" s="273"/>
      <c r="AO102" s="273" t="s">
        <v>345</v>
      </c>
    </row>
    <row r="103" spans="1:43" hidden="1">
      <c r="A103" s="273" t="str">
        <f t="shared" si="9"/>
        <v>АрхангельскаяRADM MoscowRAL MOS SPT RKA</v>
      </c>
      <c r="B103" s="273" t="s">
        <v>53</v>
      </c>
      <c r="C103" s="249" t="s">
        <v>322</v>
      </c>
      <c r="D103" s="249" t="s">
        <v>342</v>
      </c>
      <c r="E103" s="273" t="s">
        <v>343</v>
      </c>
      <c r="F103" s="252" t="s">
        <v>344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3">
        <v>2222599.2746499158</v>
      </c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5"/>
      <c r="AI103" s="490"/>
      <c r="AJ103" s="273"/>
      <c r="AK103" s="273"/>
      <c r="AO103" s="273" t="s">
        <v>345</v>
      </c>
    </row>
    <row r="104" spans="1:43" hidden="1">
      <c r="A104" s="273" t="str">
        <f t="shared" si="9"/>
        <v>АстраханскаяRADM MoscowRAL MOS SPT RKA</v>
      </c>
      <c r="B104" s="273" t="s">
        <v>171</v>
      </c>
      <c r="C104" s="249" t="s">
        <v>322</v>
      </c>
      <c r="D104" s="249" t="s">
        <v>342</v>
      </c>
      <c r="E104" s="273" t="s">
        <v>343</v>
      </c>
      <c r="F104" s="252" t="s">
        <v>344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3">
        <v>1481732.8497666104</v>
      </c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5"/>
      <c r="AI104" s="490"/>
      <c r="AJ104" s="273"/>
      <c r="AK104" s="273"/>
      <c r="AO104" s="273" t="s">
        <v>345</v>
      </c>
    </row>
    <row r="105" spans="1:43" hidden="1">
      <c r="A105" s="273" t="str">
        <f t="shared" si="9"/>
        <v>БелгородскаяRADM MoscowRAL MOS SPT RKA</v>
      </c>
      <c r="B105" s="273" t="s">
        <v>346</v>
      </c>
      <c r="C105" s="249" t="s">
        <v>322</v>
      </c>
      <c r="D105" s="249" t="s">
        <v>342</v>
      </c>
      <c r="E105" s="273" t="s">
        <v>343</v>
      </c>
      <c r="F105" s="252" t="s">
        <v>344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3">
        <v>1481732.8497666104</v>
      </c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5"/>
      <c r="AI105" s="490"/>
      <c r="AJ105" s="273"/>
      <c r="AK105" s="273"/>
      <c r="AO105" s="273" t="s">
        <v>345</v>
      </c>
    </row>
    <row r="106" spans="1:43" hidden="1">
      <c r="A106" s="273" t="str">
        <f t="shared" si="9"/>
        <v>ВладимирскаяRADM MoscowRAL MOS SPT RKA</v>
      </c>
      <c r="B106" s="273" t="s">
        <v>24</v>
      </c>
      <c r="C106" s="249" t="s">
        <v>322</v>
      </c>
      <c r="D106" s="249" t="s">
        <v>342</v>
      </c>
      <c r="E106" s="273" t="s">
        <v>343</v>
      </c>
      <c r="F106" s="252" t="s">
        <v>344</v>
      </c>
      <c r="I106" s="273" t="s">
        <v>347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3">
        <v>4445198.5492998315</v>
      </c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5"/>
      <c r="AI106" s="490"/>
      <c r="AJ106" s="273"/>
      <c r="AK106" s="273"/>
      <c r="AO106" s="273" t="s">
        <v>345</v>
      </c>
      <c r="AQ106" s="287">
        <v>3640000</v>
      </c>
    </row>
    <row r="107" spans="1:43" hidden="1">
      <c r="A107" s="273" t="str">
        <f t="shared" si="9"/>
        <v>ВолгоградскаяRADM MoscowRAL MOS SPT RKA</v>
      </c>
      <c r="B107" s="273" t="s">
        <v>160</v>
      </c>
      <c r="C107" s="249" t="s">
        <v>322</v>
      </c>
      <c r="D107" s="249" t="s">
        <v>342</v>
      </c>
      <c r="E107" s="273" t="s">
        <v>343</v>
      </c>
      <c r="F107" s="252" t="s">
        <v>344</v>
      </c>
      <c r="I107" s="273" t="s">
        <v>347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3">
        <v>5926931.3990664417</v>
      </c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5"/>
      <c r="AI107" s="490"/>
      <c r="AJ107" s="273"/>
      <c r="AK107" s="273"/>
      <c r="AO107" s="273" t="s">
        <v>345</v>
      </c>
    </row>
    <row r="108" spans="1:43" hidden="1">
      <c r="A108" s="273" t="str">
        <f t="shared" si="9"/>
        <v>ВологодскаяRADM MoscowRAL MOS SPT RKA</v>
      </c>
      <c r="B108" s="273" t="s">
        <v>51</v>
      </c>
      <c r="C108" s="249" t="s">
        <v>322</v>
      </c>
      <c r="D108" s="249" t="s">
        <v>342</v>
      </c>
      <c r="E108" s="273" t="s">
        <v>343</v>
      </c>
      <c r="F108" s="252" t="s">
        <v>344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3">
        <v>740866.42488330521</v>
      </c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5"/>
      <c r="AI108" s="490"/>
      <c r="AJ108" s="273"/>
      <c r="AK108" s="273"/>
      <c r="AO108" s="273" t="s">
        <v>345</v>
      </c>
    </row>
    <row r="109" spans="1:43" hidden="1">
      <c r="A109" s="273" t="str">
        <f t="shared" si="9"/>
        <v>ВоронежскаяRADM MoscowRAL MOS SPT RKA</v>
      </c>
      <c r="B109" s="273" t="s">
        <v>153</v>
      </c>
      <c r="C109" s="249" t="s">
        <v>322</v>
      </c>
      <c r="D109" s="249" t="s">
        <v>342</v>
      </c>
      <c r="E109" s="273" t="s">
        <v>343</v>
      </c>
      <c r="F109" s="252" t="s">
        <v>344</v>
      </c>
      <c r="I109" s="273" t="s">
        <v>347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3">
        <v>8890397.098599663</v>
      </c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5"/>
      <c r="AI109" s="490"/>
      <c r="AJ109" s="273"/>
      <c r="AK109" s="273"/>
      <c r="AO109" s="273" t="s">
        <v>345</v>
      </c>
    </row>
    <row r="110" spans="1:43" hidden="1">
      <c r="A110" s="273" t="str">
        <f t="shared" si="9"/>
        <v>ИвановскаяRADM MoscowRAL MOS SPT RKA</v>
      </c>
      <c r="B110" s="273" t="s">
        <v>59</v>
      </c>
      <c r="C110" s="249" t="s">
        <v>322</v>
      </c>
      <c r="D110" s="249" t="s">
        <v>342</v>
      </c>
      <c r="E110" s="273" t="s">
        <v>343</v>
      </c>
      <c r="F110" s="252" t="s">
        <v>344</v>
      </c>
      <c r="I110" s="273" t="s">
        <v>347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3">
        <v>2963465.6995332208</v>
      </c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5"/>
      <c r="AI110" s="490"/>
      <c r="AJ110" s="273"/>
      <c r="AK110" s="273"/>
      <c r="AO110" s="273" t="s">
        <v>345</v>
      </c>
    </row>
    <row r="111" spans="1:43" hidden="1">
      <c r="A111" s="273" t="str">
        <f t="shared" si="9"/>
        <v>КалужскаяRADM MoscowRAL MOS SPT RKA</v>
      </c>
      <c r="B111" s="273" t="s">
        <v>22</v>
      </c>
      <c r="C111" s="249" t="s">
        <v>322</v>
      </c>
      <c r="D111" s="249" t="s">
        <v>342</v>
      </c>
      <c r="E111" s="273" t="s">
        <v>343</v>
      </c>
      <c r="F111" s="252" t="s">
        <v>344</v>
      </c>
      <c r="I111" s="273" t="s">
        <v>348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3">
        <v>5186064.9741831366</v>
      </c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5"/>
      <c r="AI111" s="490"/>
      <c r="AJ111" s="273"/>
      <c r="AK111" s="273"/>
      <c r="AO111" s="273" t="s">
        <v>345</v>
      </c>
      <c r="AQ111" s="287">
        <v>5460000</v>
      </c>
    </row>
    <row r="112" spans="1:43" hidden="1">
      <c r="A112" s="273" t="str">
        <f t="shared" si="9"/>
        <v>Кемеровская область - КузбассRADM MoscowRAL MOS SPT RKA</v>
      </c>
      <c r="B112" s="273" t="s">
        <v>349</v>
      </c>
      <c r="C112" s="249" t="s">
        <v>322</v>
      </c>
      <c r="D112" s="249" t="s">
        <v>342</v>
      </c>
      <c r="E112" s="273" t="s">
        <v>343</v>
      </c>
      <c r="F112" s="252" t="s">
        <v>344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3">
        <v>1481732.8497666104</v>
      </c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5"/>
      <c r="AI112" s="490"/>
      <c r="AJ112" s="273"/>
      <c r="AK112" s="273"/>
      <c r="AO112" s="273" t="s">
        <v>345</v>
      </c>
    </row>
    <row r="113" spans="1:43" hidden="1">
      <c r="A113" s="273" t="str">
        <f t="shared" si="9"/>
        <v>КостромскаяRADM MoscowRAL MOS SPT RKA</v>
      </c>
      <c r="B113" s="273" t="s">
        <v>57</v>
      </c>
      <c r="C113" s="249" t="s">
        <v>322</v>
      </c>
      <c r="D113" s="249" t="s">
        <v>342</v>
      </c>
      <c r="E113" s="273" t="s">
        <v>343</v>
      </c>
      <c r="F113" s="252" t="s">
        <v>344</v>
      </c>
      <c r="I113" s="273" t="s">
        <v>347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3">
        <v>2222599.2746499158</v>
      </c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5"/>
      <c r="AI113" s="490"/>
      <c r="AJ113" s="273"/>
      <c r="AK113" s="273"/>
      <c r="AO113" s="273" t="s">
        <v>345</v>
      </c>
    </row>
    <row r="114" spans="1:43" hidden="1">
      <c r="A114" s="273" t="str">
        <f t="shared" si="9"/>
        <v>КраснодарскийRADM MoscowRAL MOS SPT RKA</v>
      </c>
      <c r="B114" s="273" t="s">
        <v>178</v>
      </c>
      <c r="C114" s="249" t="s">
        <v>322</v>
      </c>
      <c r="D114" s="249" t="s">
        <v>342</v>
      </c>
      <c r="E114" s="273" t="s">
        <v>343</v>
      </c>
      <c r="F114" s="252" t="s">
        <v>344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3">
        <v>6667797.8239497459</v>
      </c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5"/>
      <c r="AI114" s="490"/>
      <c r="AJ114" s="273"/>
      <c r="AK114" s="273"/>
      <c r="AO114" s="273" t="s">
        <v>345</v>
      </c>
    </row>
    <row r="115" spans="1:43" hidden="1">
      <c r="A115" s="273" t="str">
        <f t="shared" si="9"/>
        <v>КурскаяRADM MoscowRAL MOS SPT RKA</v>
      </c>
      <c r="B115" s="273" t="s">
        <v>151</v>
      </c>
      <c r="C115" s="249" t="s">
        <v>322</v>
      </c>
      <c r="D115" s="249" t="s">
        <v>342</v>
      </c>
      <c r="E115" s="273" t="s">
        <v>343</v>
      </c>
      <c r="F115" s="252" t="s">
        <v>344</v>
      </c>
      <c r="I115" s="273" t="s">
        <v>347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3">
        <v>2222599.2746499158</v>
      </c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5"/>
      <c r="AI115" s="490"/>
      <c r="AJ115" s="273"/>
      <c r="AK115" s="273"/>
      <c r="AO115" s="273" t="s">
        <v>345</v>
      </c>
    </row>
    <row r="116" spans="1:43" hidden="1">
      <c r="A116" s="273" t="str">
        <f t="shared" si="9"/>
        <v>ЛенинградскаяRADM MoscowRAL MOS SPT RKA</v>
      </c>
      <c r="B116" s="273" t="s">
        <v>350</v>
      </c>
      <c r="C116" s="249" t="s">
        <v>322</v>
      </c>
      <c r="D116" s="249" t="s">
        <v>342</v>
      </c>
      <c r="E116" s="273" t="s">
        <v>343</v>
      </c>
      <c r="F116" s="252" t="s">
        <v>344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3">
        <v>2963465.6995332208</v>
      </c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5"/>
      <c r="AI116" s="490"/>
      <c r="AJ116" s="273"/>
      <c r="AK116" s="273"/>
      <c r="AO116" s="273" t="s">
        <v>345</v>
      </c>
    </row>
    <row r="117" spans="1:43" hidden="1">
      <c r="A117" s="273" t="str">
        <f t="shared" si="9"/>
        <v>ЛипецкаяRADM MoscowRAL MOS SPT RKA</v>
      </c>
      <c r="B117" s="273" t="s">
        <v>155</v>
      </c>
      <c r="C117" s="249" t="s">
        <v>322</v>
      </c>
      <c r="D117" s="249" t="s">
        <v>342</v>
      </c>
      <c r="E117" s="273" t="s">
        <v>343</v>
      </c>
      <c r="F117" s="252" t="s">
        <v>344</v>
      </c>
      <c r="I117" s="273" t="s">
        <v>347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3">
        <v>4445198.5492998315</v>
      </c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5"/>
      <c r="AI117" s="490"/>
      <c r="AJ117" s="273"/>
      <c r="AK117" s="273"/>
      <c r="AO117" s="273" t="s">
        <v>345</v>
      </c>
    </row>
    <row r="118" spans="1:43" hidden="1">
      <c r="A118" s="273" t="str">
        <f t="shared" si="9"/>
        <v>МоскваRADM MoscowRAL MOS SPT RKA</v>
      </c>
      <c r="B118" s="273" t="s">
        <v>7</v>
      </c>
      <c r="C118" s="249" t="s">
        <v>322</v>
      </c>
      <c r="D118" s="249" t="s">
        <v>342</v>
      </c>
      <c r="E118" s="273" t="s">
        <v>343</v>
      </c>
      <c r="F118" s="252" t="s">
        <v>344</v>
      </c>
      <c r="H118" s="273">
        <v>1</v>
      </c>
      <c r="I118" s="273" t="s">
        <v>348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3">
        <v>160027147.77479389</v>
      </c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5"/>
      <c r="AI118" s="490">
        <v>202930000</v>
      </c>
      <c r="AJ118" s="273"/>
      <c r="AK118" s="273"/>
      <c r="AO118" s="273" t="s">
        <v>345</v>
      </c>
    </row>
    <row r="119" spans="1:43" hidden="1">
      <c r="A119" s="273" t="str">
        <f t="shared" si="9"/>
        <v>МосковскаяRADM MoscowRAL MOS SPT RKA</v>
      </c>
      <c r="B119" s="273" t="s">
        <v>338</v>
      </c>
      <c r="C119" s="249" t="s">
        <v>322</v>
      </c>
      <c r="D119" s="249" t="s">
        <v>342</v>
      </c>
      <c r="E119" s="273" t="s">
        <v>343</v>
      </c>
      <c r="F119" s="252" t="s">
        <v>344</v>
      </c>
      <c r="I119" s="273" t="s">
        <v>348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3">
        <v>98535234.509479582</v>
      </c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5"/>
      <c r="AI119" s="490">
        <v>158080000</v>
      </c>
      <c r="AJ119" s="273"/>
      <c r="AK119" s="273"/>
      <c r="AO119" s="273" t="s">
        <v>345</v>
      </c>
    </row>
    <row r="120" spans="1:43" hidden="1">
      <c r="A120" s="273" t="str">
        <f t="shared" si="9"/>
        <v>МурманскаяRADM MoscowRAL MOS SPT RKA</v>
      </c>
      <c r="B120" s="273" t="s">
        <v>38</v>
      </c>
      <c r="C120" s="249" t="s">
        <v>322</v>
      </c>
      <c r="D120" s="249" t="s">
        <v>342</v>
      </c>
      <c r="E120" s="273" t="s">
        <v>343</v>
      </c>
      <c r="F120" s="252" t="s">
        <v>344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3">
        <v>1481732.8497666104</v>
      </c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5"/>
      <c r="AI120" s="490"/>
      <c r="AJ120" s="273"/>
      <c r="AK120" s="273"/>
      <c r="AO120" s="273" t="s">
        <v>345</v>
      </c>
    </row>
    <row r="121" spans="1:43" hidden="1">
      <c r="A121" s="273" t="str">
        <f t="shared" si="9"/>
        <v>НижегородскаяRADM MoscowRAL MOS SPT RKA</v>
      </c>
      <c r="B121" s="273" t="s">
        <v>23</v>
      </c>
      <c r="C121" s="249" t="s">
        <v>322</v>
      </c>
      <c r="D121" s="249" t="s">
        <v>342</v>
      </c>
      <c r="E121" s="273" t="s">
        <v>343</v>
      </c>
      <c r="F121" s="252" t="s">
        <v>344</v>
      </c>
      <c r="I121" s="273" t="s">
        <v>347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3">
        <v>7408664.2488330519</v>
      </c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5"/>
      <c r="AI121" s="490"/>
      <c r="AJ121" s="273"/>
      <c r="AK121" s="273"/>
      <c r="AO121" s="273" t="s">
        <v>345</v>
      </c>
      <c r="AQ121" s="287">
        <v>6370000</v>
      </c>
    </row>
    <row r="122" spans="1:43" hidden="1">
      <c r="A122" s="273" t="str">
        <f t="shared" si="9"/>
        <v>ОмскаяRADM MoscowRAL MOS SPT RKA</v>
      </c>
      <c r="B122" s="273" t="s">
        <v>127</v>
      </c>
      <c r="C122" s="249" t="s">
        <v>322</v>
      </c>
      <c r="D122" s="249" t="s">
        <v>342</v>
      </c>
      <c r="E122" s="273" t="s">
        <v>343</v>
      </c>
      <c r="F122" s="252" t="s">
        <v>344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3">
        <v>2222599.2746499158</v>
      </c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5"/>
      <c r="AI122" s="490"/>
      <c r="AJ122" s="273"/>
      <c r="AK122" s="273"/>
      <c r="AO122" s="273" t="s">
        <v>345</v>
      </c>
    </row>
    <row r="123" spans="1:43" hidden="1">
      <c r="A123" s="273" t="str">
        <f t="shared" si="9"/>
        <v>ОрловскаяRADM MoscowRAL MOS SPT RKA</v>
      </c>
      <c r="B123" s="273" t="s">
        <v>150</v>
      </c>
      <c r="C123" s="249" t="s">
        <v>322</v>
      </c>
      <c r="D123" s="249" t="s">
        <v>342</v>
      </c>
      <c r="E123" s="273" t="s">
        <v>343</v>
      </c>
      <c r="F123" s="252" t="s">
        <v>344</v>
      </c>
      <c r="I123" s="273" t="s">
        <v>347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3">
        <v>740866.42488330521</v>
      </c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5"/>
      <c r="AI123" s="490"/>
      <c r="AJ123" s="273"/>
      <c r="AK123" s="273"/>
      <c r="AO123" s="273" t="s">
        <v>345</v>
      </c>
    </row>
    <row r="124" spans="1:43" hidden="1">
      <c r="A124" s="273" t="str">
        <f t="shared" si="9"/>
        <v>ПермскийRADM MoscowRAL MOS SPT RKA</v>
      </c>
      <c r="B124" s="273" t="s">
        <v>106</v>
      </c>
      <c r="C124" s="249" t="s">
        <v>322</v>
      </c>
      <c r="D124" s="249" t="s">
        <v>342</v>
      </c>
      <c r="E124" s="273" t="s">
        <v>343</v>
      </c>
      <c r="F124" s="252" t="s">
        <v>344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3">
        <v>1481732.8497666104</v>
      </c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5"/>
      <c r="AI124" s="490"/>
      <c r="AJ124" s="273"/>
      <c r="AK124" s="273"/>
      <c r="AO124" s="273" t="s">
        <v>345</v>
      </c>
    </row>
    <row r="125" spans="1:43" hidden="1">
      <c r="A125" s="273" t="str">
        <f t="shared" si="9"/>
        <v>ПсковскаяRADM MoscowRAL MOS SPT RKA</v>
      </c>
      <c r="B125" s="273" t="s">
        <v>41</v>
      </c>
      <c r="C125" s="249" t="s">
        <v>322</v>
      </c>
      <c r="D125" s="249" t="s">
        <v>342</v>
      </c>
      <c r="E125" s="273" t="s">
        <v>343</v>
      </c>
      <c r="F125" s="252" t="s">
        <v>344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3">
        <v>740866.42488330521</v>
      </c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5"/>
      <c r="AI125" s="490"/>
      <c r="AJ125" s="273"/>
      <c r="AK125" s="273"/>
      <c r="AO125" s="273" t="s">
        <v>345</v>
      </c>
    </row>
    <row r="126" spans="1:43" hidden="1">
      <c r="A126" s="273" t="str">
        <f t="shared" si="9"/>
        <v>РостовскаяRADM MoscowRAL MOS SPT RKA</v>
      </c>
      <c r="B126" s="273" t="s">
        <v>161</v>
      </c>
      <c r="C126" s="249" t="s">
        <v>322</v>
      </c>
      <c r="D126" s="249" t="s">
        <v>342</v>
      </c>
      <c r="E126" s="273" t="s">
        <v>343</v>
      </c>
      <c r="F126" s="252" t="s">
        <v>344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3">
        <v>2963465.6995332208</v>
      </c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5"/>
      <c r="AI126" s="490"/>
      <c r="AJ126" s="273"/>
      <c r="AK126" s="273"/>
      <c r="AO126" s="273" t="s">
        <v>345</v>
      </c>
    </row>
    <row r="127" spans="1:43" hidden="1">
      <c r="A127" s="273" t="str">
        <f t="shared" si="9"/>
        <v>РязанскаяRADM MoscowRAL MOS SPT RKA</v>
      </c>
      <c r="B127" s="273" t="s">
        <v>20</v>
      </c>
      <c r="C127" s="249" t="s">
        <v>322</v>
      </c>
      <c r="D127" s="249" t="s">
        <v>342</v>
      </c>
      <c r="E127" s="273" t="s">
        <v>343</v>
      </c>
      <c r="F127" s="252" t="s">
        <v>344</v>
      </c>
      <c r="I127" s="273" t="s">
        <v>348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3">
        <v>2963465.6995332208</v>
      </c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5"/>
      <c r="AI127" s="490"/>
      <c r="AJ127" s="273"/>
      <c r="AK127" s="273"/>
      <c r="AO127" s="273" t="s">
        <v>345</v>
      </c>
      <c r="AQ127" s="287">
        <v>2730000</v>
      </c>
    </row>
    <row r="128" spans="1:43" hidden="1">
      <c r="A128" s="273" t="str">
        <f t="shared" si="9"/>
        <v>СамарскаяRADM MoscowRAL MOS SPT RKA</v>
      </c>
      <c r="B128" s="273" t="s">
        <v>109</v>
      </c>
      <c r="C128" s="249" t="s">
        <v>322</v>
      </c>
      <c r="D128" s="249" t="s">
        <v>342</v>
      </c>
      <c r="E128" s="273" t="s">
        <v>343</v>
      </c>
      <c r="F128" s="252" t="s">
        <v>344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3">
        <v>3704332.1244165259</v>
      </c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5"/>
      <c r="AI128" s="490"/>
      <c r="AJ128" s="273"/>
      <c r="AK128" s="273"/>
      <c r="AO128" s="273" t="s">
        <v>345</v>
      </c>
    </row>
    <row r="129" spans="1:43" hidden="1">
      <c r="A129" s="273" t="str">
        <f t="shared" si="9"/>
        <v>Санкт-ПетербургRADM MoscowRAL MOS SPT RKA</v>
      </c>
      <c r="B129" s="273" t="s">
        <v>351</v>
      </c>
      <c r="C129" s="249" t="s">
        <v>322</v>
      </c>
      <c r="D129" s="249" t="s">
        <v>342</v>
      </c>
      <c r="E129" s="273" t="s">
        <v>343</v>
      </c>
      <c r="F129" s="252" t="s">
        <v>344</v>
      </c>
      <c r="I129" s="273" t="s">
        <v>347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3">
        <v>34820721.969515346</v>
      </c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5"/>
      <c r="AI129" s="490"/>
      <c r="AJ129" s="273"/>
      <c r="AK129" s="273"/>
      <c r="AO129" s="273" t="s">
        <v>345</v>
      </c>
    </row>
    <row r="130" spans="1:43" hidden="1">
      <c r="A130" s="273" t="str">
        <f t="shared" si="9"/>
        <v>СаратовскаяRADM MoscowRAL MOS SPT RKA</v>
      </c>
      <c r="B130" s="273" t="s">
        <v>159</v>
      </c>
      <c r="C130" s="249" t="s">
        <v>322</v>
      </c>
      <c r="D130" s="249" t="s">
        <v>342</v>
      </c>
      <c r="E130" s="273" t="s">
        <v>343</v>
      </c>
      <c r="F130" s="252" t="s">
        <v>344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3">
        <v>2222599.2746499158</v>
      </c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5"/>
      <c r="AI130" s="490"/>
      <c r="AJ130" s="273"/>
      <c r="AK130" s="273"/>
      <c r="AO130" s="273" t="s">
        <v>345</v>
      </c>
    </row>
    <row r="131" spans="1:43" hidden="1">
      <c r="A131" s="273" t="str">
        <f t="shared" si="9"/>
        <v>СвердловскаяRADM MoscowRAL MOS SPT RKA</v>
      </c>
      <c r="B131" s="273" t="s">
        <v>122</v>
      </c>
      <c r="C131" s="249" t="s">
        <v>322</v>
      </c>
      <c r="D131" s="249" t="s">
        <v>342</v>
      </c>
      <c r="E131" s="273" t="s">
        <v>343</v>
      </c>
      <c r="F131" s="252" t="s">
        <v>344</v>
      </c>
      <c r="I131" s="273" t="s">
        <v>348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3">
        <v>6667797.8239497459</v>
      </c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5"/>
      <c r="AI131" s="490"/>
      <c r="AJ131" s="273"/>
      <c r="AK131" s="273"/>
      <c r="AO131" s="273" t="s">
        <v>345</v>
      </c>
    </row>
    <row r="132" spans="1:43" hidden="1">
      <c r="A132" s="273" t="str">
        <f t="shared" ref="A132:A195" si="18">B132&amp;D132&amp;E132</f>
        <v>ТамбовскаяRADM MoscowRAL MOS SPT RKA</v>
      </c>
      <c r="B132" s="273" t="s">
        <v>156</v>
      </c>
      <c r="C132" s="249" t="s">
        <v>322</v>
      </c>
      <c r="D132" s="249" t="s">
        <v>342</v>
      </c>
      <c r="E132" s="273" t="s">
        <v>343</v>
      </c>
      <c r="F132" s="252" t="s">
        <v>344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3">
        <v>740866.42488330521</v>
      </c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5"/>
      <c r="AI132" s="490"/>
      <c r="AJ132" s="273"/>
      <c r="AK132" s="273"/>
      <c r="AO132" s="273" t="s">
        <v>345</v>
      </c>
    </row>
    <row r="133" spans="1:43" hidden="1">
      <c r="A133" s="273" t="str">
        <f t="shared" si="18"/>
        <v>ТатарстанRADM MoscowRAL MOS SPT RKA</v>
      </c>
      <c r="B133" s="273" t="s">
        <v>97</v>
      </c>
      <c r="C133" s="249" t="s">
        <v>322</v>
      </c>
      <c r="D133" s="249" t="s">
        <v>342</v>
      </c>
      <c r="E133" s="273" t="s">
        <v>343</v>
      </c>
      <c r="F133" s="252" t="s">
        <v>344</v>
      </c>
      <c r="I133" t="s">
        <v>348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3">
        <v>5186064.9741831366</v>
      </c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5"/>
      <c r="AI133" s="490"/>
      <c r="AJ133" s="273"/>
      <c r="AK133" s="273"/>
      <c r="AO133" s="273" t="s">
        <v>345</v>
      </c>
    </row>
    <row r="134" spans="1:43" hidden="1">
      <c r="A134" s="273" t="str">
        <f t="shared" si="18"/>
        <v>ТверскаяRADM MoscowRAL MOS SPT RKA</v>
      </c>
      <c r="B134" s="273" t="s">
        <v>58</v>
      </c>
      <c r="C134" s="249" t="s">
        <v>322</v>
      </c>
      <c r="D134" s="249" t="s">
        <v>342</v>
      </c>
      <c r="E134" s="273" t="s">
        <v>343</v>
      </c>
      <c r="F134" s="252" t="s">
        <v>344</v>
      </c>
      <c r="I134" s="273" t="s">
        <v>347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3">
        <v>2222599.2746499158</v>
      </c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5"/>
      <c r="AI134" s="490"/>
      <c r="AJ134" s="273"/>
      <c r="AK134" s="273"/>
      <c r="AO134" s="273" t="s">
        <v>345</v>
      </c>
    </row>
    <row r="135" spans="1:43" hidden="1">
      <c r="A135" s="273" t="str">
        <f t="shared" si="18"/>
        <v>ТульскаяRADM MoscowRAL MOS SPT RKA</v>
      </c>
      <c r="B135" s="273" t="s">
        <v>19</v>
      </c>
      <c r="C135" s="249" t="s">
        <v>322</v>
      </c>
      <c r="D135" s="249" t="s">
        <v>342</v>
      </c>
      <c r="E135" s="273" t="s">
        <v>343</v>
      </c>
      <c r="F135" s="252" t="s">
        <v>344</v>
      </c>
      <c r="I135" s="273" t="s">
        <v>348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3">
        <v>8149530.673716356</v>
      </c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5"/>
      <c r="AI135" s="490"/>
      <c r="AJ135" s="273"/>
      <c r="AK135" s="273"/>
      <c r="AO135" s="273" t="s">
        <v>345</v>
      </c>
      <c r="AQ135" s="287">
        <v>6370000</v>
      </c>
    </row>
    <row r="136" spans="1:43" hidden="1">
      <c r="A136" s="273" t="str">
        <f t="shared" si="18"/>
        <v>ТюменскаяRADM MoscowRAL MOS SPT RKA</v>
      </c>
      <c r="B136" s="273" t="s">
        <v>124</v>
      </c>
      <c r="C136" s="249" t="s">
        <v>322</v>
      </c>
      <c r="D136" s="249" t="s">
        <v>342</v>
      </c>
      <c r="E136" s="273" t="s">
        <v>343</v>
      </c>
      <c r="F136" s="252" t="s">
        <v>344</v>
      </c>
      <c r="I136" s="273" t="s">
        <v>348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3">
        <v>3704332.1244165259</v>
      </c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5"/>
      <c r="AI136" s="490"/>
      <c r="AJ136" s="273"/>
      <c r="AK136" s="273"/>
      <c r="AO136" s="273" t="s">
        <v>345</v>
      </c>
    </row>
    <row r="137" spans="1:43" hidden="1">
      <c r="A137" s="273" t="str">
        <f t="shared" si="18"/>
        <v>УльяновскаяRADM MoscowRAL MOS SPT RKA</v>
      </c>
      <c r="B137" s="273" t="s">
        <v>111</v>
      </c>
      <c r="C137" s="249" t="s">
        <v>322</v>
      </c>
      <c r="D137" s="249" t="s">
        <v>342</v>
      </c>
      <c r="E137" s="273" t="s">
        <v>343</v>
      </c>
      <c r="F137" s="252" t="s">
        <v>344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3">
        <v>740866.42488330521</v>
      </c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5"/>
      <c r="AI137" s="490"/>
      <c r="AJ137" s="273"/>
      <c r="AK137" s="273"/>
      <c r="AO137" s="273" t="s">
        <v>345</v>
      </c>
    </row>
    <row r="138" spans="1:43" hidden="1">
      <c r="A138" s="273" t="str">
        <f t="shared" si="18"/>
        <v>Ханты-Мансийский Автономный округ - ЮграRADM MoscowRAL MOS SPT RKA</v>
      </c>
      <c r="B138" s="273" t="s">
        <v>352</v>
      </c>
      <c r="C138" s="249" t="s">
        <v>322</v>
      </c>
      <c r="D138" s="249" t="s">
        <v>342</v>
      </c>
      <c r="E138" s="273" t="s">
        <v>343</v>
      </c>
      <c r="F138" s="252" t="s">
        <v>344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3">
        <v>3704332.1244165259</v>
      </c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5"/>
      <c r="AI138" s="490"/>
      <c r="AJ138" s="273"/>
      <c r="AK138" s="273"/>
      <c r="AO138" s="273" t="s">
        <v>345</v>
      </c>
    </row>
    <row r="139" spans="1:43" hidden="1">
      <c r="A139" s="273" t="str">
        <f t="shared" si="18"/>
        <v>ЧелябинскаяRADM MoscowRAL MOS SPT RKA</v>
      </c>
      <c r="B139" s="273" t="s">
        <v>107</v>
      </c>
      <c r="C139" s="249" t="s">
        <v>322</v>
      </c>
      <c r="D139" s="249" t="s">
        <v>342</v>
      </c>
      <c r="E139" s="273" t="s">
        <v>343</v>
      </c>
      <c r="F139" s="252" t="s">
        <v>344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3">
        <v>2963465.6995332208</v>
      </c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5"/>
      <c r="AI139" s="490"/>
      <c r="AJ139" s="273"/>
      <c r="AK139" s="273"/>
      <c r="AO139" s="273" t="s">
        <v>345</v>
      </c>
    </row>
    <row r="140" spans="1:43" hidden="1">
      <c r="A140" s="273" t="str">
        <f t="shared" si="18"/>
        <v>ЯрославскаяRADM MoscowRAL MOS SPT RKA</v>
      </c>
      <c r="B140" s="273" t="s">
        <v>54</v>
      </c>
      <c r="C140" s="249" t="s">
        <v>322</v>
      </c>
      <c r="D140" s="249" t="s">
        <v>342</v>
      </c>
      <c r="E140" s="273" t="s">
        <v>343</v>
      </c>
      <c r="F140" s="252" t="s">
        <v>344</v>
      </c>
      <c r="I140" s="273" t="s">
        <v>347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3">
        <v>5186064.9741831366</v>
      </c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5"/>
      <c r="AI140" s="490"/>
      <c r="AJ140" s="273"/>
      <c r="AK140" s="273"/>
      <c r="AO140" s="273" t="s">
        <v>345</v>
      </c>
    </row>
    <row r="141" spans="1:43" hidden="1">
      <c r="A141" s="273" t="str">
        <f t="shared" si="18"/>
        <v>НижегородскаяRADM MoscowRAL MOS N.Novgorod</v>
      </c>
      <c r="B141" s="285" t="s">
        <v>23</v>
      </c>
      <c r="C141" s="249" t="s">
        <v>322</v>
      </c>
      <c r="D141" s="249" t="s">
        <v>342</v>
      </c>
      <c r="E141" s="273" t="s">
        <v>353</v>
      </c>
      <c r="F141" s="285" t="s">
        <v>325</v>
      </c>
      <c r="H141" s="273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5">
        <v>4133704.7500000019</v>
      </c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5"/>
      <c r="AI141" s="273"/>
      <c r="AJ141" s="273"/>
      <c r="AK141" s="273"/>
      <c r="AO141" s="287" t="s">
        <v>354</v>
      </c>
    </row>
    <row r="142" spans="1:43" hidden="1">
      <c r="A142" s="273" t="str">
        <f t="shared" si="18"/>
        <v>ВладимирскаяRADM MoscowRAL MOS N.Novgorod</v>
      </c>
      <c r="B142" s="285" t="s">
        <v>24</v>
      </c>
      <c r="C142" s="249" t="s">
        <v>322</v>
      </c>
      <c r="D142" s="249" t="s">
        <v>342</v>
      </c>
      <c r="E142" s="273" t="s">
        <v>353</v>
      </c>
      <c r="F142" s="285" t="s">
        <v>325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5">
        <v>106329968.9599999</v>
      </c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5"/>
      <c r="AI142" s="273"/>
      <c r="AJ142" s="273"/>
      <c r="AK142" s="273"/>
      <c r="AO142" s="287" t="s">
        <v>354</v>
      </c>
    </row>
    <row r="143" spans="1:43" hidden="1">
      <c r="A143" s="273" t="str">
        <f t="shared" si="18"/>
        <v>ИвановскаяRADM MoscowRAL MOS N.Novgorod</v>
      </c>
      <c r="B143" s="285" t="s">
        <v>59</v>
      </c>
      <c r="C143" s="249" t="s">
        <v>322</v>
      </c>
      <c r="D143" s="249" t="s">
        <v>342</v>
      </c>
      <c r="E143" s="273" t="s">
        <v>353</v>
      </c>
      <c r="F143" s="285" t="s">
        <v>325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5">
        <v>33638771.900000058</v>
      </c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5"/>
      <c r="AI143" s="273"/>
      <c r="AJ143" s="273"/>
      <c r="AK143" s="273"/>
      <c r="AO143" s="287" t="s">
        <v>354</v>
      </c>
    </row>
    <row r="144" spans="1:43" hidden="1">
      <c r="A144" s="273" t="str">
        <f t="shared" si="18"/>
        <v>КировскаяRADM MoscowRAL MOS N.Novgorod</v>
      </c>
      <c r="B144" s="285" t="s">
        <v>27</v>
      </c>
      <c r="C144" s="249" t="s">
        <v>322</v>
      </c>
      <c r="D144" s="249" t="s">
        <v>342</v>
      </c>
      <c r="E144" s="273" t="s">
        <v>353</v>
      </c>
      <c r="F144" s="285" t="s">
        <v>325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5">
        <v>17735235.059999984</v>
      </c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5"/>
      <c r="AI144" s="273"/>
      <c r="AJ144" s="273"/>
      <c r="AK144" s="273"/>
      <c r="AO144" s="287" t="s">
        <v>354</v>
      </c>
    </row>
    <row r="145" spans="1:41" hidden="1">
      <c r="A145" s="273" t="str">
        <f t="shared" si="18"/>
        <v>КостромскаяRADM MoscowRAL MOS N.Novgorod</v>
      </c>
      <c r="B145" s="285" t="s">
        <v>57</v>
      </c>
      <c r="C145" s="249" t="s">
        <v>322</v>
      </c>
      <c r="D145" s="249" t="s">
        <v>342</v>
      </c>
      <c r="E145" s="273" t="s">
        <v>353</v>
      </c>
      <c r="F145" s="285" t="s">
        <v>325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5">
        <v>37869.070000000007</v>
      </c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5"/>
      <c r="AI145" s="273"/>
      <c r="AJ145" s="273"/>
      <c r="AK145" s="273"/>
      <c r="AO145" s="287" t="s">
        <v>354</v>
      </c>
    </row>
    <row r="146" spans="1:41" hidden="1">
      <c r="A146" s="273" t="str">
        <f t="shared" si="18"/>
        <v>Марий ЭлRADM MoscowRAL MOS N.Novgorod</v>
      </c>
      <c r="B146" s="285" t="s">
        <v>355</v>
      </c>
      <c r="C146" s="249" t="s">
        <v>322</v>
      </c>
      <c r="D146" s="249" t="s">
        <v>342</v>
      </c>
      <c r="E146" s="273" t="s">
        <v>353</v>
      </c>
      <c r="F146" s="285" t="s">
        <v>325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5">
        <v>38645289.219999984</v>
      </c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5"/>
      <c r="AI146" s="273"/>
      <c r="AJ146" s="273"/>
      <c r="AK146" s="273"/>
      <c r="AO146" s="287" t="s">
        <v>354</v>
      </c>
    </row>
    <row r="147" spans="1:41" hidden="1">
      <c r="A147" s="273" t="str">
        <f t="shared" si="18"/>
        <v>МордовияRADM MoscowRAL MOS N.Novgorod</v>
      </c>
      <c r="B147" s="285" t="s">
        <v>29</v>
      </c>
      <c r="C147" s="249" t="s">
        <v>322</v>
      </c>
      <c r="D147" s="249" t="s">
        <v>342</v>
      </c>
      <c r="E147" s="273" t="s">
        <v>353</v>
      </c>
      <c r="F147" s="285" t="s">
        <v>325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5">
        <v>47237007.010000035</v>
      </c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5"/>
      <c r="AI147" s="273"/>
      <c r="AJ147" s="273"/>
      <c r="AK147" s="273"/>
      <c r="AO147" s="287" t="s">
        <v>354</v>
      </c>
    </row>
    <row r="148" spans="1:41" hidden="1">
      <c r="A148" s="273" t="str">
        <f t="shared" si="18"/>
        <v>НижегородскаяRADM MoscowRAL MOS N.Novgorod</v>
      </c>
      <c r="B148" s="285" t="s">
        <v>23</v>
      </c>
      <c r="C148" s="249" t="s">
        <v>322</v>
      </c>
      <c r="D148" s="249" t="s">
        <v>342</v>
      </c>
      <c r="E148" s="273" t="s">
        <v>353</v>
      </c>
      <c r="F148" s="285" t="s">
        <v>325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5">
        <v>536814012.13001424</v>
      </c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5"/>
      <c r="AI148" s="273"/>
      <c r="AJ148" s="273"/>
      <c r="AK148" s="273"/>
      <c r="AO148" s="287" t="s">
        <v>354</v>
      </c>
    </row>
    <row r="149" spans="1:41" hidden="1">
      <c r="A149" s="273" t="str">
        <f t="shared" si="18"/>
        <v>ПензенскаяRADM MoscowRAL MOS N.Novgorod</v>
      </c>
      <c r="B149" s="285" t="s">
        <v>157</v>
      </c>
      <c r="C149" s="249" t="s">
        <v>322</v>
      </c>
      <c r="D149" s="249" t="s">
        <v>342</v>
      </c>
      <c r="E149" s="273" t="s">
        <v>353</v>
      </c>
      <c r="F149" s="285" t="s">
        <v>325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5">
        <v>13739359.569999987</v>
      </c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5"/>
      <c r="AI149" s="273"/>
      <c r="AJ149" s="273"/>
      <c r="AK149" s="273"/>
      <c r="AO149" s="287" t="s">
        <v>354</v>
      </c>
    </row>
    <row r="150" spans="1:41" hidden="1">
      <c r="A150" s="273" t="str">
        <f t="shared" si="18"/>
        <v>РязанскаяRADM MoscowRAL MOS N.Novgorod</v>
      </c>
      <c r="B150" s="285" t="s">
        <v>20</v>
      </c>
      <c r="C150" s="249" t="s">
        <v>322</v>
      </c>
      <c r="D150" s="249" t="s">
        <v>342</v>
      </c>
      <c r="E150" s="273" t="s">
        <v>353</v>
      </c>
      <c r="F150" s="285" t="s">
        <v>325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5">
        <v>8153129.5399999972</v>
      </c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5"/>
      <c r="AI150" s="273"/>
      <c r="AJ150" s="273"/>
      <c r="AK150" s="273"/>
      <c r="AO150" s="287" t="s">
        <v>354</v>
      </c>
    </row>
    <row r="151" spans="1:41" hidden="1">
      <c r="A151" s="273" t="str">
        <f t="shared" si="18"/>
        <v>ТатарстанRADM MoscowRAL MOS N.Novgorod</v>
      </c>
      <c r="B151" s="285" t="s">
        <v>97</v>
      </c>
      <c r="C151" s="249" t="s">
        <v>322</v>
      </c>
      <c r="D151" s="249" t="s">
        <v>342</v>
      </c>
      <c r="E151" s="273" t="s">
        <v>353</v>
      </c>
      <c r="F151" s="285" t="s">
        <v>325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5">
        <v>22475823.93999996</v>
      </c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5"/>
      <c r="AI151" s="273"/>
      <c r="AJ151" s="273"/>
      <c r="AK151" s="273"/>
      <c r="AO151" s="287" t="s">
        <v>354</v>
      </c>
    </row>
    <row r="152" spans="1:41" hidden="1">
      <c r="A152" s="273" t="str">
        <f t="shared" si="18"/>
        <v>Чувашская Республика -RADM MoscowRAL MOS N.Novgorod</v>
      </c>
      <c r="B152" s="285" t="s">
        <v>341</v>
      </c>
      <c r="C152" s="249" t="s">
        <v>322</v>
      </c>
      <c r="D152" s="249" t="s">
        <v>342</v>
      </c>
      <c r="E152" s="273" t="s">
        <v>353</v>
      </c>
      <c r="F152" s="285" t="s">
        <v>325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5">
        <v>27729672.150000017</v>
      </c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5"/>
      <c r="AI152" s="273"/>
      <c r="AJ152" s="273"/>
      <c r="AK152" s="273"/>
      <c r="AO152" s="287" t="s">
        <v>354</v>
      </c>
    </row>
    <row r="153" spans="1:41" hidden="1">
      <c r="A153" s="273" t="str">
        <f t="shared" si="18"/>
        <v>ЯрославскаяRADM MoscowRAL MOS N.Novgorod</v>
      </c>
      <c r="B153" s="285" t="s">
        <v>54</v>
      </c>
      <c r="C153" s="249" t="s">
        <v>322</v>
      </c>
      <c r="D153" s="249" t="s">
        <v>342</v>
      </c>
      <c r="E153" s="273" t="s">
        <v>353</v>
      </c>
      <c r="F153" s="288" t="s">
        <v>325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5">
        <v>12720317.61999999</v>
      </c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5"/>
      <c r="AI153" s="273"/>
      <c r="AJ153" s="273"/>
      <c r="AK153" s="273"/>
      <c r="AO153" s="287" t="s">
        <v>354</v>
      </c>
    </row>
    <row r="154" spans="1:41" hidden="1">
      <c r="A154" s="273" t="str">
        <f t="shared" si="18"/>
        <v>НижегородскаяRADM MoscowRAL MOS N.Novgorod</v>
      </c>
      <c r="B154" s="285" t="s">
        <v>23</v>
      </c>
      <c r="C154" s="249" t="s">
        <v>322</v>
      </c>
      <c r="D154" s="249" t="s">
        <v>342</v>
      </c>
      <c r="E154" s="273" t="s">
        <v>353</v>
      </c>
      <c r="F154" s="285" t="s">
        <v>327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5">
        <v>4173924.4899999993</v>
      </c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5"/>
      <c r="AI154" s="273"/>
      <c r="AJ154" s="273"/>
      <c r="AK154" s="273"/>
      <c r="AO154" s="287" t="s">
        <v>354</v>
      </c>
    </row>
    <row r="155" spans="1:41" hidden="1">
      <c r="A155" s="273" t="str">
        <f t="shared" si="18"/>
        <v>ВладимирскаяRADM MoscowRAL MOS N.Novgorod</v>
      </c>
      <c r="B155" s="285" t="s">
        <v>24</v>
      </c>
      <c r="C155" s="249" t="s">
        <v>322</v>
      </c>
      <c r="D155" s="249" t="s">
        <v>342</v>
      </c>
      <c r="E155" s="273" t="s">
        <v>353</v>
      </c>
      <c r="F155" s="285" t="s">
        <v>327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5">
        <v>11023567.570000023</v>
      </c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5"/>
      <c r="AI155" s="273"/>
      <c r="AJ155" s="273"/>
      <c r="AK155" s="273"/>
      <c r="AO155" s="287" t="s">
        <v>354</v>
      </c>
    </row>
    <row r="156" spans="1:41" hidden="1">
      <c r="A156" s="273" t="str">
        <f t="shared" si="18"/>
        <v>КалужскаяRADM MoscowRAL MOS N.Novgorod</v>
      </c>
      <c r="B156" s="285" t="s">
        <v>22</v>
      </c>
      <c r="C156" s="249" t="s">
        <v>322</v>
      </c>
      <c r="D156" s="249" t="s">
        <v>342</v>
      </c>
      <c r="E156" s="273" t="s">
        <v>353</v>
      </c>
      <c r="F156" s="285" t="s">
        <v>327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5">
        <v>23926032.889999863</v>
      </c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5"/>
      <c r="AI156" s="273"/>
      <c r="AJ156" s="273"/>
      <c r="AK156" s="273"/>
      <c r="AO156" s="287" t="s">
        <v>354</v>
      </c>
    </row>
    <row r="157" spans="1:41" hidden="1">
      <c r="A157" s="273" t="str">
        <f t="shared" si="18"/>
        <v>ЛенинградскаяRADM MoscowRAL MOS N.Novgorod</v>
      </c>
      <c r="B157" s="285" t="s">
        <v>350</v>
      </c>
      <c r="C157" s="249" t="s">
        <v>322</v>
      </c>
      <c r="D157" s="249" t="s">
        <v>342</v>
      </c>
      <c r="E157" s="273" t="s">
        <v>353</v>
      </c>
      <c r="F157" s="285" t="s">
        <v>327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5">
        <v>123535.67</v>
      </c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5"/>
      <c r="AI157" s="273"/>
      <c r="AJ157" s="273"/>
      <c r="AK157" s="273"/>
      <c r="AO157" s="287" t="s">
        <v>354</v>
      </c>
    </row>
    <row r="158" spans="1:41" hidden="1">
      <c r="A158" s="273" t="str">
        <f t="shared" si="18"/>
        <v>МоскваRADM MoscowRAL MOS N.Novgorod</v>
      </c>
      <c r="B158" s="285" t="s">
        <v>7</v>
      </c>
      <c r="C158" s="249" t="s">
        <v>322</v>
      </c>
      <c r="D158" s="249" t="s">
        <v>342</v>
      </c>
      <c r="E158" s="273" t="s">
        <v>353</v>
      </c>
      <c r="F158" s="285" t="s">
        <v>327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5">
        <v>107010419.06999928</v>
      </c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5"/>
      <c r="AI158" s="273"/>
      <c r="AJ158" s="273"/>
      <c r="AK158" s="273"/>
      <c r="AO158" s="287" t="s">
        <v>354</v>
      </c>
    </row>
    <row r="159" spans="1:41" hidden="1">
      <c r="A159" s="273" t="str">
        <f t="shared" si="18"/>
        <v>МосковскаяRADM MoscowRAL MOS N.Novgorod</v>
      </c>
      <c r="B159" s="285" t="s">
        <v>338</v>
      </c>
      <c r="C159" s="249" t="s">
        <v>322</v>
      </c>
      <c r="D159" s="249" t="s">
        <v>342</v>
      </c>
      <c r="E159" s="273" t="s">
        <v>353</v>
      </c>
      <c r="F159" s="285" t="s">
        <v>327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5">
        <v>154799260.07999986</v>
      </c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5"/>
      <c r="AI159" s="273"/>
      <c r="AJ159" s="273"/>
      <c r="AK159" s="273"/>
      <c r="AO159" s="287" t="s">
        <v>354</v>
      </c>
    </row>
    <row r="160" spans="1:41" hidden="1">
      <c r="A160" s="273" t="str">
        <f t="shared" si="18"/>
        <v>Санкт-ПетербургRADM MoscowRAL MOS N.Novgorod</v>
      </c>
      <c r="B160" s="285" t="s">
        <v>351</v>
      </c>
      <c r="C160" s="249" t="s">
        <v>322</v>
      </c>
      <c r="D160" s="249" t="s">
        <v>342</v>
      </c>
      <c r="E160" s="273" t="s">
        <v>353</v>
      </c>
      <c r="F160" s="285" t="s">
        <v>327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5">
        <v>7796925.8200000012</v>
      </c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5"/>
      <c r="AI160" s="273"/>
      <c r="AJ160" s="273"/>
      <c r="AK160" s="273"/>
      <c r="AO160" s="287" t="s">
        <v>354</v>
      </c>
    </row>
    <row r="161" spans="1:41" hidden="1">
      <c r="A161" s="273" t="str">
        <f t="shared" si="18"/>
        <v>ТверскаяRADM MoscowRAL MOS N.Novgorod</v>
      </c>
      <c r="B161" s="285" t="s">
        <v>58</v>
      </c>
      <c r="C161" s="249" t="s">
        <v>322</v>
      </c>
      <c r="D161" s="249" t="s">
        <v>342</v>
      </c>
      <c r="E161" s="273" t="s">
        <v>353</v>
      </c>
      <c r="F161" s="285" t="s">
        <v>327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5">
        <v>2517045.3900000011</v>
      </c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5"/>
      <c r="AI161" s="273"/>
      <c r="AJ161" s="273"/>
      <c r="AK161" s="273"/>
      <c r="AO161" s="287" t="s">
        <v>354</v>
      </c>
    </row>
    <row r="162" spans="1:41" hidden="1">
      <c r="A162" s="273" t="str">
        <f t="shared" si="18"/>
        <v>ЯрославскаяRADM MoscowRAL MOS N.Novgorod</v>
      </c>
      <c r="B162" s="285" t="s">
        <v>54</v>
      </c>
      <c r="C162" s="249" t="s">
        <v>322</v>
      </c>
      <c r="D162" s="249" t="s">
        <v>342</v>
      </c>
      <c r="E162" s="273" t="s">
        <v>353</v>
      </c>
      <c r="F162" s="288" t="s">
        <v>327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5">
        <v>445154.67000000004</v>
      </c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5"/>
      <c r="AI162" s="273"/>
      <c r="AJ162" s="273"/>
      <c r="AK162" s="273"/>
      <c r="AO162" s="287" t="s">
        <v>354</v>
      </c>
    </row>
    <row r="163" spans="1:41">
      <c r="A163" s="273" t="str">
        <f t="shared" si="18"/>
        <v>ЛенинградскаяDDM MOS Sladkaay ZhiznTSL MOS N.Novgorod</v>
      </c>
      <c r="B163" s="285" t="s">
        <v>350</v>
      </c>
      <c r="C163" s="249" t="s">
        <v>322</v>
      </c>
      <c r="D163" s="285" t="s">
        <v>323</v>
      </c>
      <c r="E163" s="273" t="s">
        <v>324</v>
      </c>
      <c r="F163" s="285" t="s">
        <v>356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5">
        <v>5423625.7199999932</v>
      </c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5"/>
      <c r="AI163" s="273"/>
      <c r="AJ163" s="273"/>
      <c r="AK163" s="273"/>
      <c r="AO163" s="287" t="s">
        <v>357</v>
      </c>
    </row>
    <row r="164" spans="1:41">
      <c r="A164" s="273" t="str">
        <f t="shared" si="18"/>
        <v>МурманскаяDDM MOS Sladkaay ZhiznTSL MOS N.Novgorod</v>
      </c>
      <c r="B164" s="285" t="s">
        <v>38</v>
      </c>
      <c r="C164" s="249" t="s">
        <v>322</v>
      </c>
      <c r="D164" s="285" t="s">
        <v>323</v>
      </c>
      <c r="E164" s="273" t="s">
        <v>324</v>
      </c>
      <c r="F164" s="285" t="s">
        <v>356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5">
        <v>1456400.8099999996</v>
      </c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5"/>
      <c r="AI164" s="273"/>
      <c r="AJ164" s="273"/>
      <c r="AK164" s="273"/>
      <c r="AO164" s="287" t="s">
        <v>357</v>
      </c>
    </row>
    <row r="165" spans="1:41">
      <c r="A165" s="273" t="str">
        <f t="shared" si="18"/>
        <v>Санкт-ПетербургDDM MOS Sladkaay ZhiznTSL MOS N.Novgorod</v>
      </c>
      <c r="B165" s="285" t="s">
        <v>351</v>
      </c>
      <c r="C165" s="249" t="s">
        <v>322</v>
      </c>
      <c r="D165" s="285" t="s">
        <v>323</v>
      </c>
      <c r="E165" s="273" t="s">
        <v>324</v>
      </c>
      <c r="F165" s="288" t="s">
        <v>356</v>
      </c>
      <c r="H165" s="273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5">
        <v>54851077.389999077</v>
      </c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5"/>
      <c r="AI165" s="273"/>
      <c r="AJ165" s="273"/>
      <c r="AK165" s="273"/>
      <c r="AO165" s="287" t="s">
        <v>357</v>
      </c>
    </row>
    <row r="166" spans="1:41">
      <c r="A166" s="273" t="str">
        <f t="shared" si="18"/>
        <v>БашкортостанDDM MOS Sladkaay ZhiznTSL MOS N.Novgorod</v>
      </c>
      <c r="B166" s="285" t="s">
        <v>358</v>
      </c>
      <c r="C166" s="249" t="s">
        <v>322</v>
      </c>
      <c r="D166" s="285" t="s">
        <v>323</v>
      </c>
      <c r="E166" s="273" t="s">
        <v>324</v>
      </c>
      <c r="F166" s="251" t="s">
        <v>330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5">
        <v>25370.440000000002</v>
      </c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5"/>
      <c r="AI166" s="273"/>
      <c r="AJ166" s="273"/>
      <c r="AK166" s="273"/>
      <c r="AO166" s="287" t="s">
        <v>357</v>
      </c>
    </row>
    <row r="167" spans="1:41">
      <c r="A167" s="273" t="str">
        <f t="shared" si="18"/>
        <v>ВладимирскаяDDM MOS Sladkaay ZhiznTSL MOS N.Novgorod</v>
      </c>
      <c r="B167" s="285" t="s">
        <v>24</v>
      </c>
      <c r="C167" s="249" t="s">
        <v>322</v>
      </c>
      <c r="D167" s="285" t="s">
        <v>323</v>
      </c>
      <c r="E167" s="273" t="s">
        <v>324</v>
      </c>
      <c r="F167" s="251" t="s">
        <v>330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7">
        <v>18648.36</v>
      </c>
      <c r="U167" s="490"/>
      <c r="V167" s="490"/>
      <c r="W167" s="490"/>
      <c r="X167" s="490"/>
      <c r="Y167" s="490"/>
      <c r="Z167" s="490"/>
      <c r="AA167" s="490"/>
      <c r="AB167" s="490"/>
      <c r="AC167" s="490"/>
      <c r="AD167" s="273"/>
      <c r="AE167" s="273"/>
      <c r="AF167" s="273"/>
      <c r="AG167" s="273"/>
      <c r="AH167" s="275"/>
      <c r="AI167" s="273"/>
      <c r="AJ167" s="273"/>
      <c r="AK167" s="273"/>
      <c r="AO167" s="287" t="s">
        <v>357</v>
      </c>
    </row>
    <row r="168" spans="1:41">
      <c r="A168" s="273" t="str">
        <f t="shared" si="18"/>
        <v>ВоронежскаяDDM MOS Sladkaay ZhiznTSL MOS N.Novgorod</v>
      </c>
      <c r="B168" s="285" t="s">
        <v>153</v>
      </c>
      <c r="C168" s="249" t="s">
        <v>322</v>
      </c>
      <c r="D168" s="285" t="s">
        <v>323</v>
      </c>
      <c r="E168" s="273" t="s">
        <v>324</v>
      </c>
      <c r="F168" s="251" t="s">
        <v>330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5">
        <v>2366.4</v>
      </c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5"/>
      <c r="AI168" s="273"/>
      <c r="AJ168" s="273"/>
      <c r="AK168" s="273"/>
      <c r="AO168" s="287" t="s">
        <v>357</v>
      </c>
    </row>
    <row r="169" spans="1:41">
      <c r="A169" s="273" t="str">
        <f t="shared" si="18"/>
        <v>МоскваDDM MOS Sladkaay ZhiznTSL MOS N.Novgorod</v>
      </c>
      <c r="B169" s="285" t="s">
        <v>7</v>
      </c>
      <c r="C169" s="249" t="s">
        <v>322</v>
      </c>
      <c r="D169" s="285" t="s">
        <v>323</v>
      </c>
      <c r="E169" s="273" t="s">
        <v>324</v>
      </c>
      <c r="F169" s="251" t="s">
        <v>330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7">
        <v>37065.72</v>
      </c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5"/>
      <c r="AI169" s="273"/>
      <c r="AJ169" s="273"/>
      <c r="AK169" s="273"/>
      <c r="AO169" s="287" t="s">
        <v>357</v>
      </c>
    </row>
    <row r="170" spans="1:41">
      <c r="A170" s="273" t="str">
        <f t="shared" si="18"/>
        <v>МосковскаяDDM MOS Sladkaay ZhiznTSL MOS N.Novgorod</v>
      </c>
      <c r="B170" s="285" t="s">
        <v>338</v>
      </c>
      <c r="C170" s="249" t="s">
        <v>322</v>
      </c>
      <c r="D170" s="285" t="s">
        <v>323</v>
      </c>
      <c r="E170" s="273" t="s">
        <v>324</v>
      </c>
      <c r="F170" s="251" t="s">
        <v>330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7">
        <v>7905.2800000000007</v>
      </c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5"/>
      <c r="AI170" s="273"/>
      <c r="AJ170" s="273"/>
      <c r="AK170" s="273"/>
      <c r="AO170" s="287" t="s">
        <v>357</v>
      </c>
    </row>
    <row r="171" spans="1:41">
      <c r="A171" s="273" t="str">
        <f t="shared" si="18"/>
        <v>НовосибирскаяDDM MOS Sladkaay ZhiznTSL MOS N.Novgorod</v>
      </c>
      <c r="B171" s="285" t="s">
        <v>131</v>
      </c>
      <c r="C171" s="249" t="s">
        <v>322</v>
      </c>
      <c r="D171" s="285" t="s">
        <v>323</v>
      </c>
      <c r="E171" s="273" t="s">
        <v>324</v>
      </c>
      <c r="F171" s="251" t="s">
        <v>330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5">
        <v>8188.1200000000008</v>
      </c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5"/>
      <c r="AI171" s="273"/>
      <c r="AJ171" s="273"/>
      <c r="AK171" s="273"/>
      <c r="AO171" s="287" t="s">
        <v>357</v>
      </c>
    </row>
    <row r="172" spans="1:41">
      <c r="A172" s="273" t="str">
        <f t="shared" si="18"/>
        <v>ПермскийDDM MOS Sladkaay ZhiznTSL MOS N.Novgorod</v>
      </c>
      <c r="B172" s="285" t="s">
        <v>106</v>
      </c>
      <c r="C172" s="249" t="s">
        <v>322</v>
      </c>
      <c r="D172" s="285" t="s">
        <v>323</v>
      </c>
      <c r="E172" s="273" t="s">
        <v>324</v>
      </c>
      <c r="F172" s="251" t="s">
        <v>330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5">
        <v>16376.24</v>
      </c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5"/>
      <c r="AI172" s="273"/>
      <c r="AJ172" s="273"/>
      <c r="AK172" s="273"/>
      <c r="AO172" s="287" t="s">
        <v>357</v>
      </c>
    </row>
    <row r="173" spans="1:41">
      <c r="A173" s="273" t="str">
        <f t="shared" si="18"/>
        <v>СамарскаяDDM MOS Sladkaay ZhiznTSL MOS N.Novgorod</v>
      </c>
      <c r="B173" s="285" t="s">
        <v>109</v>
      </c>
      <c r="C173" s="249" t="s">
        <v>322</v>
      </c>
      <c r="D173" s="285" t="s">
        <v>323</v>
      </c>
      <c r="E173" s="273" t="s">
        <v>324</v>
      </c>
      <c r="F173" s="251" t="s">
        <v>330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5">
        <v>21109.040000000001</v>
      </c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5"/>
      <c r="AI173" s="273"/>
      <c r="AJ173" s="273"/>
      <c r="AK173" s="273"/>
      <c r="AO173" s="287" t="s">
        <v>357</v>
      </c>
    </row>
    <row r="174" spans="1:41">
      <c r="A174" s="273" t="str">
        <f t="shared" si="18"/>
        <v>СаратовскаяDDM MOS Sladkaay ZhiznTSL MOS N.Novgorod</v>
      </c>
      <c r="B174" s="285" t="s">
        <v>159</v>
      </c>
      <c r="C174" s="249" t="s">
        <v>322</v>
      </c>
      <c r="D174" s="285" t="s">
        <v>323</v>
      </c>
      <c r="E174" s="273" t="s">
        <v>324</v>
      </c>
      <c r="F174" s="251" t="s">
        <v>330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5">
        <v>1183.2</v>
      </c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5"/>
      <c r="AI174" s="273"/>
      <c r="AJ174" s="273"/>
      <c r="AK174" s="273"/>
      <c r="AO174" s="287" t="s">
        <v>357</v>
      </c>
    </row>
    <row r="175" spans="1:41">
      <c r="A175" s="273" t="str">
        <f t="shared" si="18"/>
        <v>СвердловскаяDDM MOS Sladkaay ZhiznTSL MOS N.Novgorod</v>
      </c>
      <c r="B175" s="285" t="s">
        <v>122</v>
      </c>
      <c r="C175" s="249" t="s">
        <v>322</v>
      </c>
      <c r="D175" s="285" t="s">
        <v>323</v>
      </c>
      <c r="E175" s="273" t="s">
        <v>324</v>
      </c>
      <c r="F175" s="251" t="s">
        <v>330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5">
        <v>3549.6000000000004</v>
      </c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5"/>
      <c r="AI175" s="273"/>
      <c r="AJ175" s="273"/>
      <c r="AK175" s="273"/>
      <c r="AO175" s="287" t="s">
        <v>357</v>
      </c>
    </row>
    <row r="176" spans="1:41">
      <c r="A176" s="273" t="str">
        <f t="shared" si="18"/>
        <v>РостовскаяDDM MOS Sladkaay ZhiznTSL MOS N.Novgorod</v>
      </c>
      <c r="B176" s="285" t="s">
        <v>161</v>
      </c>
      <c r="C176" s="249" t="s">
        <v>322</v>
      </c>
      <c r="D176" s="285" t="s">
        <v>323</v>
      </c>
      <c r="E176" s="273" t="s">
        <v>324</v>
      </c>
      <c r="F176" s="288" t="s">
        <v>359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5">
        <v>921680.2300000001</v>
      </c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5"/>
      <c r="AI176" s="273"/>
      <c r="AJ176" s="273"/>
      <c r="AK176" s="273"/>
      <c r="AO176" s="287" t="s">
        <v>357</v>
      </c>
    </row>
    <row r="177" spans="1:41">
      <c r="A177" s="273" t="str">
        <f t="shared" si="18"/>
        <v>НовосибирскаяDDM MOS Sladkaay ZhiznTSL MOS N.Novgorod</v>
      </c>
      <c r="B177" s="285" t="s">
        <v>131</v>
      </c>
      <c r="C177" s="249" t="s">
        <v>322</v>
      </c>
      <c r="D177" s="285" t="s">
        <v>323</v>
      </c>
      <c r="E177" s="273" t="s">
        <v>324</v>
      </c>
      <c r="F177" s="288" t="s">
        <v>360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5">
        <v>5926665.4000000013</v>
      </c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5"/>
      <c r="AI177" s="273"/>
      <c r="AJ177" s="273"/>
      <c r="AK177" s="273"/>
      <c r="AO177" s="287" t="s">
        <v>357</v>
      </c>
    </row>
    <row r="178" spans="1:41">
      <c r="A178" s="273" t="str">
        <f t="shared" si="18"/>
        <v>ВладимирскаяDDM MOS Sladkaay ZhiznTSL MOS N.Novgorod</v>
      </c>
      <c r="B178" s="285" t="s">
        <v>24</v>
      </c>
      <c r="C178" s="249" t="s">
        <v>322</v>
      </c>
      <c r="D178" s="249" t="s">
        <v>323</v>
      </c>
      <c r="E178" s="250" t="s">
        <v>324</v>
      </c>
      <c r="F178" s="285" t="s">
        <v>325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7">
        <v>5086111.4299999988</v>
      </c>
      <c r="U178" s="490"/>
      <c r="V178" s="490"/>
      <c r="W178" s="490"/>
      <c r="X178" s="490"/>
      <c r="Y178" s="490"/>
      <c r="Z178" s="490"/>
      <c r="AA178" s="490"/>
      <c r="AB178" s="490"/>
      <c r="AC178" s="490"/>
      <c r="AD178" s="273"/>
      <c r="AE178" s="273"/>
      <c r="AF178" s="273"/>
      <c r="AG178" s="273"/>
      <c r="AH178" s="275"/>
      <c r="AI178" s="273"/>
      <c r="AJ178" s="273"/>
      <c r="AK178" s="273"/>
      <c r="AO178" s="287" t="s">
        <v>357</v>
      </c>
    </row>
    <row r="179" spans="1:41">
      <c r="A179" s="273" t="str">
        <f t="shared" si="18"/>
        <v>НижегородскаяDDM MOS Sladkaay ZhiznTSL MOS N.Novgorod</v>
      </c>
      <c r="B179" s="285" t="s">
        <v>23</v>
      </c>
      <c r="C179" s="249" t="s">
        <v>322</v>
      </c>
      <c r="D179" s="249" t="s">
        <v>323</v>
      </c>
      <c r="E179" s="250" t="s">
        <v>324</v>
      </c>
      <c r="F179" s="285" t="s">
        <v>325</v>
      </c>
      <c r="H179" s="273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7">
        <v>26291849.469999973</v>
      </c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5"/>
      <c r="AI179" s="273"/>
      <c r="AJ179" s="273"/>
      <c r="AK179" s="273"/>
      <c r="AO179" s="287" t="s">
        <v>357</v>
      </c>
    </row>
    <row r="180" spans="1:41">
      <c r="A180" s="273" t="str">
        <f t="shared" si="18"/>
        <v>ТатарстанDDM MOS Sladkaay ZhiznTSL MOS N.Novgorod</v>
      </c>
      <c r="B180" s="285" t="s">
        <v>97</v>
      </c>
      <c r="C180" s="249" t="s">
        <v>322</v>
      </c>
      <c r="D180" s="249" t="s">
        <v>323</v>
      </c>
      <c r="E180" s="250" t="s">
        <v>324</v>
      </c>
      <c r="F180" s="288" t="s">
        <v>325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5">
        <v>22420066.279999983</v>
      </c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5"/>
      <c r="AI180" s="273"/>
      <c r="AJ180" s="273"/>
      <c r="AK180" s="273"/>
      <c r="AO180" s="287" t="s">
        <v>357</v>
      </c>
    </row>
    <row r="181" spans="1:41">
      <c r="A181" s="273" t="str">
        <f t="shared" si="18"/>
        <v>МоскваDDM MOS Sladkaay ZhiznTSL MOS N.Novgorod</v>
      </c>
      <c r="B181" s="285" t="s">
        <v>7</v>
      </c>
      <c r="C181" s="249" t="s">
        <v>322</v>
      </c>
      <c r="D181" s="285" t="s">
        <v>323</v>
      </c>
      <c r="E181" s="273" t="s">
        <v>324</v>
      </c>
      <c r="F181" s="285" t="s">
        <v>327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7">
        <v>85074102.199999839</v>
      </c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5"/>
      <c r="AI181" s="273"/>
      <c r="AJ181" s="273"/>
      <c r="AK181" s="273"/>
      <c r="AO181" s="287" t="s">
        <v>357</v>
      </c>
    </row>
    <row r="182" spans="1:41">
      <c r="A182" s="273" t="str">
        <f t="shared" si="18"/>
        <v>МосковскаяDDM MOS Sladkaay ZhiznTSL MOS N.Novgorod</v>
      </c>
      <c r="B182" s="285" t="s">
        <v>338</v>
      </c>
      <c r="C182" s="249" t="s">
        <v>322</v>
      </c>
      <c r="D182" s="285" t="s">
        <v>323</v>
      </c>
      <c r="E182" s="273" t="s">
        <v>324</v>
      </c>
      <c r="F182" s="288" t="s">
        <v>327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7">
        <v>3823372.6700000009</v>
      </c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5"/>
      <c r="AI182" s="273"/>
      <c r="AJ182" s="273"/>
      <c r="AK182" s="273"/>
      <c r="AO182" s="287" t="s">
        <v>357</v>
      </c>
    </row>
    <row r="183" spans="1:41">
      <c r="A183" s="273" t="str">
        <f t="shared" si="18"/>
        <v>ВоронежскаяDDM MOS Sladkaay ZhiznTSL MOS N.Novgorod</v>
      </c>
      <c r="B183" s="285" t="s">
        <v>153</v>
      </c>
      <c r="C183" s="249" t="s">
        <v>322</v>
      </c>
      <c r="D183" s="285" t="s">
        <v>323</v>
      </c>
      <c r="E183" s="273" t="s">
        <v>324</v>
      </c>
      <c r="F183" s="285" t="s">
        <v>361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5">
        <v>8536955.5500000007</v>
      </c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5"/>
      <c r="AI183" s="273"/>
      <c r="AJ183" s="273"/>
      <c r="AK183" s="273"/>
      <c r="AO183" s="287" t="s">
        <v>357</v>
      </c>
    </row>
    <row r="184" spans="1:41">
      <c r="A184" s="273" t="str">
        <f t="shared" si="18"/>
        <v>КраснодарскийDDM MOS Sladkaay ZhiznTSL MOS N.Novgorod</v>
      </c>
      <c r="B184" s="285" t="s">
        <v>178</v>
      </c>
      <c r="C184" s="249" t="s">
        <v>322</v>
      </c>
      <c r="D184" s="285" t="s">
        <v>323</v>
      </c>
      <c r="E184" s="273" t="s">
        <v>324</v>
      </c>
      <c r="F184" s="285" t="s">
        <v>361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5">
        <v>10671112.189999996</v>
      </c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5"/>
      <c r="AI184" s="273"/>
      <c r="AJ184" s="273"/>
      <c r="AK184" s="273"/>
      <c r="AO184" s="287" t="s">
        <v>357</v>
      </c>
    </row>
    <row r="185" spans="1:41">
      <c r="A185" s="273" t="str">
        <f t="shared" si="18"/>
        <v>РостовскаяDDM MOS Sladkaay ZhiznTSL MOS N.Novgorod</v>
      </c>
      <c r="B185" s="285" t="s">
        <v>161</v>
      </c>
      <c r="C185" s="249" t="s">
        <v>322</v>
      </c>
      <c r="D185" s="285" t="s">
        <v>323</v>
      </c>
      <c r="E185" s="273" t="s">
        <v>324</v>
      </c>
      <c r="F185" s="285" t="s">
        <v>361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5">
        <v>647650.9600000002</v>
      </c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5"/>
      <c r="AI185" s="273"/>
      <c r="AJ185" s="273"/>
      <c r="AK185" s="273"/>
      <c r="AO185" s="287" t="s">
        <v>357</v>
      </c>
    </row>
    <row r="186" spans="1:41">
      <c r="A186" s="273" t="str">
        <f t="shared" si="18"/>
        <v>СаратовскаяDDM MOS Sladkaay ZhiznTSL MOS N.Novgorod</v>
      </c>
      <c r="B186" s="285" t="s">
        <v>159</v>
      </c>
      <c r="C186" s="249" t="s">
        <v>322</v>
      </c>
      <c r="D186" s="285" t="s">
        <v>323</v>
      </c>
      <c r="E186" s="273" t="s">
        <v>324</v>
      </c>
      <c r="F186" s="285" t="s">
        <v>361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5">
        <v>4282666.66</v>
      </c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5"/>
      <c r="AI186" s="273"/>
      <c r="AJ186" s="273"/>
      <c r="AK186" s="273"/>
      <c r="AO186" s="287" t="s">
        <v>357</v>
      </c>
    </row>
    <row r="187" spans="1:41">
      <c r="A187" s="273" t="str">
        <f t="shared" si="18"/>
        <v>СтавропольскийDDM MOS Sladkaay ZhiznTSL MOS N.Novgorod</v>
      </c>
      <c r="B187" s="285" t="s">
        <v>165</v>
      </c>
      <c r="C187" s="249" t="s">
        <v>322</v>
      </c>
      <c r="D187" s="285" t="s">
        <v>323</v>
      </c>
      <c r="E187" s="273" t="s">
        <v>324</v>
      </c>
      <c r="F187" s="288" t="s">
        <v>361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5">
        <v>6853605.1999999909</v>
      </c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5"/>
      <c r="AI187" s="273"/>
      <c r="AJ187" s="273"/>
      <c r="AK187" s="273"/>
      <c r="AO187" s="287" t="s">
        <v>357</v>
      </c>
    </row>
    <row r="188" spans="1:41">
      <c r="A188" s="273" t="str">
        <f t="shared" si="18"/>
        <v>НовосибирскаяDDM MOS Sladkaay ZhiznTSL MOS N.Novgorod</v>
      </c>
      <c r="B188" s="285" t="s">
        <v>131</v>
      </c>
      <c r="C188" s="249" t="s">
        <v>322</v>
      </c>
      <c r="D188" s="285" t="s">
        <v>323</v>
      </c>
      <c r="E188" s="273" t="s">
        <v>324</v>
      </c>
      <c r="F188" s="288" t="s">
        <v>362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5">
        <v>3186751.46</v>
      </c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5"/>
      <c r="AI188" s="273"/>
      <c r="AJ188" s="273"/>
      <c r="AK188" s="273"/>
      <c r="AO188" s="287" t="s">
        <v>357</v>
      </c>
    </row>
    <row r="189" spans="1:41">
      <c r="A189" s="273" t="str">
        <f t="shared" si="18"/>
        <v>ПермскийDDM MOS Sladkaay ZhiznTSL MOS N.Novgorod</v>
      </c>
      <c r="B189" s="285" t="s">
        <v>106</v>
      </c>
      <c r="C189" s="249" t="s">
        <v>322</v>
      </c>
      <c r="D189" s="285" t="s">
        <v>323</v>
      </c>
      <c r="E189" s="273" t="s">
        <v>324</v>
      </c>
      <c r="F189" s="285" t="s">
        <v>363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5">
        <v>17566407.939999998</v>
      </c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5"/>
      <c r="AI189" s="273"/>
      <c r="AJ189" s="273"/>
      <c r="AK189" s="273"/>
      <c r="AO189" s="287" t="s">
        <v>357</v>
      </c>
    </row>
    <row r="190" spans="1:41">
      <c r="A190" s="273" t="str">
        <f t="shared" si="18"/>
        <v>ЧелябинскаяDDM MOS Sladkaay ZhiznTSL MOS N.Novgorod</v>
      </c>
      <c r="B190" s="285" t="s">
        <v>107</v>
      </c>
      <c r="C190" s="249" t="s">
        <v>322</v>
      </c>
      <c r="D190" s="285" t="s">
        <v>323</v>
      </c>
      <c r="E190" s="273" t="s">
        <v>324</v>
      </c>
      <c r="F190" s="288" t="s">
        <v>363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5">
        <v>664339.91000000038</v>
      </c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5"/>
      <c r="AI190" s="273"/>
      <c r="AJ190" s="273"/>
      <c r="AK190" s="273"/>
      <c r="AO190" s="287" t="s">
        <v>357</v>
      </c>
    </row>
    <row r="191" spans="1:41">
      <c r="A191" s="273" t="str">
        <f t="shared" si="18"/>
        <v>СамарскаяDDM MOS Sladkaay ZhiznTSL MOS N.Novgorod</v>
      </c>
      <c r="B191" s="285" t="s">
        <v>109</v>
      </c>
      <c r="C191" s="249" t="s">
        <v>322</v>
      </c>
      <c r="D191" s="285" t="s">
        <v>323</v>
      </c>
      <c r="E191" s="273" t="s">
        <v>324</v>
      </c>
      <c r="F191" s="288" t="s">
        <v>364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5">
        <v>8668249.0399999991</v>
      </c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5"/>
      <c r="AI191" s="273"/>
      <c r="AJ191" s="273"/>
      <c r="AK191" s="273"/>
      <c r="AO191" s="287" t="s">
        <v>357</v>
      </c>
    </row>
    <row r="192" spans="1:41">
      <c r="A192" s="273" t="str">
        <f t="shared" si="18"/>
        <v>СвердловскаяDDM MOS Sladkaay ZhiznTSL MOS N.Novgorod</v>
      </c>
      <c r="B192" s="285" t="s">
        <v>122</v>
      </c>
      <c r="C192" s="249" t="s">
        <v>322</v>
      </c>
      <c r="D192" s="285" t="s">
        <v>323</v>
      </c>
      <c r="E192" s="273" t="s">
        <v>324</v>
      </c>
      <c r="F192" s="288" t="s">
        <v>365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5">
        <v>20660.689999999999</v>
      </c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5"/>
      <c r="AI192" s="273"/>
      <c r="AJ192" s="273"/>
      <c r="AK192" s="273"/>
      <c r="AO192" s="287" t="s">
        <v>357</v>
      </c>
    </row>
    <row r="193" spans="1:41" hidden="1">
      <c r="A193" s="273" t="str">
        <f t="shared" si="18"/>
        <v>БелгородскаяRADM MoscowRAL MOS SPT RKA</v>
      </c>
      <c r="B193" s="288" t="s">
        <v>346</v>
      </c>
      <c r="C193" s="249" t="s">
        <v>322</v>
      </c>
      <c r="D193" s="249" t="s">
        <v>342</v>
      </c>
      <c r="E193" s="273" t="s">
        <v>343</v>
      </c>
      <c r="F193" s="251" t="s">
        <v>330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7">
        <v>43742.18</v>
      </c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5"/>
      <c r="AI193" s="490"/>
      <c r="AJ193" s="273"/>
      <c r="AK193" s="273"/>
      <c r="AO193" s="285" t="s">
        <v>366</v>
      </c>
    </row>
    <row r="194" spans="1:41" hidden="1">
      <c r="A194" s="273" t="str">
        <f t="shared" si="18"/>
        <v>МоскваRADM MoscowRAL MOS SPT RKA</v>
      </c>
      <c r="B194" s="288" t="s">
        <v>7</v>
      </c>
      <c r="C194" s="249" t="s">
        <v>322</v>
      </c>
      <c r="D194" s="249" t="s">
        <v>342</v>
      </c>
      <c r="E194" s="273" t="s">
        <v>343</v>
      </c>
      <c r="F194" s="251" t="s">
        <v>330</v>
      </c>
      <c r="H194" s="273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7">
        <v>51488847.459999874</v>
      </c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5"/>
      <c r="AI194" s="490"/>
      <c r="AJ194" s="273"/>
      <c r="AK194" s="273"/>
      <c r="AO194" s="285" t="s">
        <v>366</v>
      </c>
    </row>
    <row r="195" spans="1:41" hidden="1">
      <c r="A195" s="273" t="str">
        <f t="shared" si="18"/>
        <v>МосковскаяRADM MoscowRAL MOS SPT RKA</v>
      </c>
      <c r="B195" s="288" t="s">
        <v>338</v>
      </c>
      <c r="C195" s="249" t="s">
        <v>322</v>
      </c>
      <c r="D195" s="249" t="s">
        <v>342</v>
      </c>
      <c r="E195" s="273" t="s">
        <v>343</v>
      </c>
      <c r="F195" s="251" t="s">
        <v>330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7">
        <v>4983223.1399999978</v>
      </c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5"/>
      <c r="AI195" s="490"/>
      <c r="AJ195" s="273"/>
      <c r="AK195" s="273"/>
      <c r="AO195" s="285" t="s">
        <v>366</v>
      </c>
    </row>
    <row r="196" spans="1:41" hidden="1">
      <c r="A196" s="273" t="str">
        <f t="shared" ref="A196:A233" si="27">B196&amp;D196&amp;E196</f>
        <v>СамарскаяRADM MoscowRAL MOS SPT RKA</v>
      </c>
      <c r="B196" s="288" t="s">
        <v>109</v>
      </c>
      <c r="C196" s="249" t="s">
        <v>322</v>
      </c>
      <c r="D196" s="249" t="s">
        <v>342</v>
      </c>
      <c r="E196" s="273" t="s">
        <v>343</v>
      </c>
      <c r="F196" s="251" t="s">
        <v>330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7">
        <v>28707.439999999991</v>
      </c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5"/>
      <c r="AI196" s="490"/>
      <c r="AJ196" s="273"/>
      <c r="AK196" s="273"/>
      <c r="AO196" s="285" t="s">
        <v>366</v>
      </c>
    </row>
    <row r="197" spans="1:41" hidden="1">
      <c r="A197" s="273" t="str">
        <f t="shared" si="27"/>
        <v>Санкт-ПетербургRADM MoscowRAL MOS SPT RKA</v>
      </c>
      <c r="B197" s="288" t="s">
        <v>351</v>
      </c>
      <c r="C197" s="249" t="s">
        <v>322</v>
      </c>
      <c r="D197" s="249" t="s">
        <v>342</v>
      </c>
      <c r="E197" s="273" t="s">
        <v>343</v>
      </c>
      <c r="F197" s="251" t="s">
        <v>330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7">
        <v>904834.39000000013</v>
      </c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5"/>
      <c r="AI197" s="490"/>
      <c r="AJ197" s="273"/>
      <c r="AK197" s="273"/>
      <c r="AO197" s="285" t="s">
        <v>366</v>
      </c>
    </row>
    <row r="198" spans="1:41" hidden="1">
      <c r="A198" s="273" t="str">
        <f t="shared" si="27"/>
        <v>ВладимирскаяTDM MOS Grocery RKA+NA Moscow NorthKADL MOS NA Vladimir</v>
      </c>
      <c r="B198" s="288" t="s">
        <v>24</v>
      </c>
      <c r="C198" s="249" t="s">
        <v>322</v>
      </c>
      <c r="D198" s="285" t="s">
        <v>367</v>
      </c>
      <c r="E198" s="273" t="s">
        <v>368</v>
      </c>
      <c r="I198" s="273" t="s">
        <v>347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92">
        <v>678438040.08997214</v>
      </c>
      <c r="AE198" s="292">
        <v>526018131.46046066</v>
      </c>
      <c r="AF198" s="292">
        <v>370249262.35000122</v>
      </c>
      <c r="AG198" s="292">
        <v>102728614.69999996</v>
      </c>
      <c r="AH198" s="275"/>
      <c r="AI198" s="490">
        <v>850113432.71010005</v>
      </c>
      <c r="AJ198" s="291"/>
      <c r="AK198" s="290"/>
    </row>
    <row r="199" spans="1:41" hidden="1">
      <c r="A199" s="273" t="str">
        <f t="shared" si="27"/>
        <v>КалужскаяTDM MOS Grocery RKA+NA Moscow SouthKADL MOS Grocery RKA+NA Tula+Ryazan-Kaluga</v>
      </c>
      <c r="B199" s="288" t="s">
        <v>22</v>
      </c>
      <c r="C199" s="249" t="s">
        <v>322</v>
      </c>
      <c r="D199" s="285" t="s">
        <v>369</v>
      </c>
      <c r="E199" s="273" t="s">
        <v>370</v>
      </c>
      <c r="I199" s="273" t="s">
        <v>348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92">
        <v>527389618.38998353</v>
      </c>
      <c r="AE199" s="292">
        <v>395132896.1954003</v>
      </c>
      <c r="AF199" s="292">
        <v>339267194.55000097</v>
      </c>
      <c r="AG199" s="292">
        <v>6626195.330000001</v>
      </c>
      <c r="AH199" s="275"/>
      <c r="AI199" s="490">
        <v>662172794.79000032</v>
      </c>
      <c r="AJ199" s="291"/>
      <c r="AK199" s="290"/>
    </row>
    <row r="200" spans="1:41" hidden="1">
      <c r="A200" s="273" t="str">
        <f t="shared" si="27"/>
        <v>КировскаяTDM MOS Grocery RKA+NA Moscow NorthKADL MOS NA Vladimir</v>
      </c>
      <c r="B200" s="288" t="s">
        <v>27</v>
      </c>
      <c r="C200" s="249" t="s">
        <v>322</v>
      </c>
      <c r="D200" s="285" t="s">
        <v>367</v>
      </c>
      <c r="E200" s="273" t="s">
        <v>368</v>
      </c>
      <c r="I200" s="273" t="s">
        <v>347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92">
        <v>349549813.68998915</v>
      </c>
      <c r="AE200" s="292">
        <v>582318886.45792902</v>
      </c>
      <c r="AF200" s="292">
        <v>76738061.2700001</v>
      </c>
      <c r="AG200" s="292">
        <v>1904727.94</v>
      </c>
      <c r="AH200" s="275"/>
      <c r="AI200" s="490">
        <v>600256169.04110003</v>
      </c>
      <c r="AJ200" s="291"/>
      <c r="AK200" s="290"/>
    </row>
    <row r="201" spans="1:41" hidden="1">
      <c r="A201" s="273" t="str">
        <f t="shared" si="27"/>
        <v>Марий ЭлTDM MOS Grocery RKA+NA Moscow NorthKADL MOS NA N.Novgorod</v>
      </c>
      <c r="B201" s="288" t="s">
        <v>355</v>
      </c>
      <c r="C201" s="249" t="s">
        <v>322</v>
      </c>
      <c r="D201" s="285" t="s">
        <v>367</v>
      </c>
      <c r="E201" s="273" t="s">
        <v>371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92">
        <v>182346766.06000003</v>
      </c>
      <c r="AE201" s="292">
        <v>167865815.36695156</v>
      </c>
      <c r="AF201" s="292">
        <v>22118489.979999982</v>
      </c>
      <c r="AG201" s="292">
        <v>17529857.530000001</v>
      </c>
      <c r="AH201" s="275"/>
      <c r="AI201" s="490">
        <v>241381462.22059995</v>
      </c>
      <c r="AJ201" s="291"/>
      <c r="AK201" s="290"/>
      <c r="AM201" s="275">
        <v>6817750437.9784079</v>
      </c>
      <c r="AO201" s="273" t="s">
        <v>372</v>
      </c>
    </row>
    <row r="202" spans="1:41" hidden="1">
      <c r="A202" s="273" t="str">
        <f t="shared" si="27"/>
        <v>МордовияTDM MOS Grocery RKA+NA Moscow NorthKADL MOS NA Vladimir</v>
      </c>
      <c r="B202" s="288" t="s">
        <v>29</v>
      </c>
      <c r="C202" s="249" t="s">
        <v>322</v>
      </c>
      <c r="D202" s="285" t="s">
        <v>367</v>
      </c>
      <c r="E202" s="273" t="s">
        <v>368</v>
      </c>
      <c r="I202" s="273" t="s">
        <v>373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92">
        <v>122073888.85000151</v>
      </c>
      <c r="AE202" s="292">
        <v>231384018.69262016</v>
      </c>
      <c r="AF202" s="292">
        <v>10450737.210000031</v>
      </c>
      <c r="AG202" s="292">
        <v>7764070.8000000035</v>
      </c>
      <c r="AH202" s="275"/>
      <c r="AI202" s="490">
        <v>118931747.26550004</v>
      </c>
      <c r="AJ202" s="291"/>
      <c r="AK202" s="290"/>
    </row>
    <row r="203" spans="1:41" hidden="1">
      <c r="A203" s="273" t="str">
        <f t="shared" si="27"/>
        <v>МоскваTDM MOS Grocery RKA+NA Moscow NorthKADL MOS Grocery RKA+NA DiscSuper Mos Obl North 2</v>
      </c>
      <c r="B203" s="285" t="s">
        <v>7</v>
      </c>
      <c r="C203" s="249" t="s">
        <v>322</v>
      </c>
      <c r="D203" s="285" t="s">
        <v>367</v>
      </c>
      <c r="E203" s="273" t="s">
        <v>374</v>
      </c>
      <c r="I203" s="273" t="s">
        <v>347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92">
        <v>465540732.66266191</v>
      </c>
      <c r="AE203" s="292">
        <v>144203765.25396419</v>
      </c>
      <c r="AF203" s="292">
        <v>426724272.15251094</v>
      </c>
      <c r="AG203" s="292">
        <v>66553933.090000004</v>
      </c>
      <c r="AH203" s="275"/>
      <c r="AI203" s="490">
        <v>657929607.73280001</v>
      </c>
      <c r="AJ203" s="291"/>
      <c r="AK203" s="290"/>
    </row>
    <row r="204" spans="1:41" hidden="1">
      <c r="A204" s="273" t="str">
        <f t="shared" si="27"/>
        <v>МоскваTDM MOS Grocery RKA+NA Moscow NorthKADL MOS Grocery RKA+NA DiscSuper Moscow East</v>
      </c>
      <c r="B204" s="285" t="s">
        <v>7</v>
      </c>
      <c r="C204" s="249" t="s">
        <v>322</v>
      </c>
      <c r="D204" s="285" t="s">
        <v>367</v>
      </c>
      <c r="E204" s="273" t="s">
        <v>375</v>
      </c>
      <c r="I204" s="273" t="s">
        <v>347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92">
        <v>324178349.08697456</v>
      </c>
      <c r="AE204" s="292">
        <v>90020535.327285334</v>
      </c>
      <c r="AF204" s="292">
        <v>381204233.88632697</v>
      </c>
      <c r="AG204" s="292">
        <v>18514567.340000004</v>
      </c>
      <c r="AH204" s="275"/>
      <c r="AI204" s="490">
        <v>680999942.92850018</v>
      </c>
      <c r="AJ204" s="291"/>
      <c r="AK204" s="290"/>
    </row>
    <row r="205" spans="1:41" hidden="1">
      <c r="A205" s="273" t="str">
        <f t="shared" si="27"/>
        <v>МоскваTDM MOS Grocery RKA+NA Moscow NorthKADL MOS Grocery RKA+NA Hyper Moscow North</v>
      </c>
      <c r="B205" s="285" t="s">
        <v>7</v>
      </c>
      <c r="C205" s="249" t="s">
        <v>322</v>
      </c>
      <c r="D205" s="285" t="s">
        <v>367</v>
      </c>
      <c r="E205" s="273" t="s">
        <v>376</v>
      </c>
      <c r="I205" s="273" t="s">
        <v>347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92">
        <v>678418859.55294251</v>
      </c>
      <c r="AE205" s="292">
        <v>216905781.21951029</v>
      </c>
      <c r="AF205" s="292">
        <v>619826219.97001421</v>
      </c>
      <c r="AG205" s="292">
        <v>115336058.25999995</v>
      </c>
      <c r="AH205" s="275"/>
      <c r="AI205" s="490">
        <v>1000410897.2363987</v>
      </c>
      <c r="AJ205" s="291"/>
      <c r="AK205" s="290"/>
    </row>
    <row r="206" spans="1:41" hidden="1">
      <c r="A206" s="273" t="str">
        <f t="shared" si="27"/>
        <v>МоскваTDM MOS Grocery RKA+NA Moscow SouthKADL MOS Grocery Dixy ( вакансия)</v>
      </c>
      <c r="B206" s="285" t="s">
        <v>7</v>
      </c>
      <c r="C206" s="249" t="s">
        <v>322</v>
      </c>
      <c r="D206" s="285" t="s">
        <v>369</v>
      </c>
      <c r="E206" s="273" t="s">
        <v>377</v>
      </c>
      <c r="I206" s="273" t="s">
        <v>348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92">
        <v>394373422.19329673</v>
      </c>
      <c r="AE206" s="292">
        <v>97253700.064874455</v>
      </c>
      <c r="AF206" s="292">
        <v>465670982.71440059</v>
      </c>
      <c r="AG206" s="292">
        <v>57686817.789999984</v>
      </c>
      <c r="AH206" s="275"/>
      <c r="AI206" s="490">
        <v>647372110.11980021</v>
      </c>
      <c r="AJ206" s="291"/>
      <c r="AK206" s="290"/>
    </row>
    <row r="207" spans="1:41" hidden="1">
      <c r="A207" s="273" t="str">
        <f t="shared" si="27"/>
        <v>МоскваTDM MOS Grocery RKA+NA Moscow SouthKADL MOS Grocery Tander South</v>
      </c>
      <c r="B207" s="288" t="s">
        <v>7</v>
      </c>
      <c r="C207" s="249" t="s">
        <v>322</v>
      </c>
      <c r="D207" s="285" t="s">
        <v>369</v>
      </c>
      <c r="E207" s="273" t="s">
        <v>378</v>
      </c>
      <c r="I207" s="273" t="s">
        <v>348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92">
        <v>537892417.89402521</v>
      </c>
      <c r="AE207" s="292">
        <v>126016039.0647274</v>
      </c>
      <c r="AF207" s="292">
        <v>1166230003.8067346</v>
      </c>
      <c r="AG207" s="292">
        <v>70400224.169999972</v>
      </c>
      <c r="AH207" s="275"/>
      <c r="AI207" s="490">
        <v>1033839503.4343996</v>
      </c>
      <c r="AJ207" s="291"/>
      <c r="AK207" s="290"/>
    </row>
    <row r="208" spans="1:41" hidden="1">
      <c r="A208" s="273" t="str">
        <f t="shared" si="27"/>
        <v>МосковскаяTDM MOS Grocery RKA+NA Moscow NorthKADL MOS Grocery RKA+NA DiscSuper Mos Obl North 2</v>
      </c>
      <c r="B208" s="285" t="s">
        <v>338</v>
      </c>
      <c r="C208" s="249" t="s">
        <v>322</v>
      </c>
      <c r="D208" s="285" t="s">
        <v>367</v>
      </c>
      <c r="E208" s="273" t="s">
        <v>374</v>
      </c>
      <c r="I208" s="273" t="s">
        <v>347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92">
        <v>831474836.10060978</v>
      </c>
      <c r="AE208" s="292">
        <v>351347611.42868149</v>
      </c>
      <c r="AF208" s="292">
        <v>962333158.76289189</v>
      </c>
      <c r="AG208" s="292">
        <v>196830557.36999971</v>
      </c>
      <c r="AH208" s="275"/>
      <c r="AI208" s="490">
        <v>1183794628.9130003</v>
      </c>
      <c r="AJ208" s="291"/>
      <c r="AK208" s="290"/>
    </row>
    <row r="209" spans="1:43" hidden="1">
      <c r="A209" s="273" t="str">
        <f t="shared" si="27"/>
        <v>МосковскаяTDM MOS Grocery RKA+NA Moscow NorthKADL MOS Grocery RKA+NA DiscSuper Moscow East</v>
      </c>
      <c r="B209" s="285" t="s">
        <v>338</v>
      </c>
      <c r="C209" s="249" t="s">
        <v>322</v>
      </c>
      <c r="D209" s="285" t="s">
        <v>367</v>
      </c>
      <c r="E209" s="273" t="s">
        <v>375</v>
      </c>
      <c r="I209" s="273" t="s">
        <v>347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92">
        <v>511318499.99989861</v>
      </c>
      <c r="AE209" s="292">
        <v>225669171.78091267</v>
      </c>
      <c r="AF209" s="292">
        <v>636198461.74652195</v>
      </c>
      <c r="AG209" s="292">
        <v>114335881.62999998</v>
      </c>
      <c r="AH209" s="275"/>
      <c r="AI209" s="490">
        <v>679826351.63689983</v>
      </c>
      <c r="AJ209" s="291"/>
      <c r="AK209" s="290"/>
    </row>
    <row r="210" spans="1:43" hidden="1">
      <c r="A210" s="273" t="str">
        <f t="shared" si="27"/>
        <v>МосковскаяTDM MOS Grocery RKA+NA Moscow NorthKADL MOS Grocery RKA+NA Hyper Moscow North</v>
      </c>
      <c r="B210" s="285" t="s">
        <v>338</v>
      </c>
      <c r="C210" s="249" t="s">
        <v>322</v>
      </c>
      <c r="D210" s="285" t="s">
        <v>367</v>
      </c>
      <c r="E210" s="273" t="s">
        <v>376</v>
      </c>
      <c r="I210" s="273" t="s">
        <v>347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92">
        <v>712543615.09525537</v>
      </c>
      <c r="AE210" s="292">
        <v>373375719.28500658</v>
      </c>
      <c r="AF210" s="292">
        <v>596962887.32475233</v>
      </c>
      <c r="AG210" s="292">
        <v>197474993.87000009</v>
      </c>
      <c r="AH210" s="275"/>
      <c r="AI210" s="490">
        <v>815322183.05460024</v>
      </c>
      <c r="AJ210" s="291"/>
      <c r="AK210" s="290"/>
    </row>
    <row r="211" spans="1:43" hidden="1">
      <c r="A211" s="273" t="str">
        <f t="shared" si="27"/>
        <v>МосковскаяTDM MOS Grocery RKA+NA Moscow SouthKADL MOS Grocery Dixy ( вакансия)</v>
      </c>
      <c r="B211" s="285" t="s">
        <v>338</v>
      </c>
      <c r="C211" s="249" t="s">
        <v>322</v>
      </c>
      <c r="D211" s="285" t="s">
        <v>369</v>
      </c>
      <c r="E211" s="273" t="s">
        <v>377</v>
      </c>
      <c r="I211" s="273" t="s">
        <v>348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92">
        <v>991569343.23612261</v>
      </c>
      <c r="AE211" s="292">
        <v>599357210.44890904</v>
      </c>
      <c r="AF211" s="292">
        <v>865506715.6452229</v>
      </c>
      <c r="AG211" s="292">
        <v>177607220.12999988</v>
      </c>
      <c r="AH211" s="275"/>
      <c r="AI211" s="490">
        <v>1229216756.1869001</v>
      </c>
      <c r="AJ211" s="291"/>
      <c r="AK211" s="290"/>
    </row>
    <row r="212" spans="1:43" hidden="1">
      <c r="A212" s="273" t="str">
        <f t="shared" si="27"/>
        <v>МосковскаяTDM MOS Grocery RKA+NA Moscow SouthKADL MOS Grocery Tander South</v>
      </c>
      <c r="B212" s="288" t="s">
        <v>338</v>
      </c>
      <c r="C212" s="249" t="s">
        <v>322</v>
      </c>
      <c r="D212" s="285" t="s">
        <v>369</v>
      </c>
      <c r="E212" s="273" t="s">
        <v>378</v>
      </c>
      <c r="I212" s="273" t="s">
        <v>348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92">
        <v>1037182468.147874</v>
      </c>
      <c r="AE212" s="292">
        <v>551826914.40820706</v>
      </c>
      <c r="AF212" s="292">
        <v>1385544064.640552</v>
      </c>
      <c r="AG212" s="292">
        <v>284347953.18000025</v>
      </c>
      <c r="AH212" s="275"/>
      <c r="AI212" s="490">
        <v>1516192695.7996001</v>
      </c>
      <c r="AJ212" s="291"/>
      <c r="AK212" s="290"/>
    </row>
    <row r="213" spans="1:43" hidden="1">
      <c r="A213" s="273" t="str">
        <f t="shared" si="27"/>
        <v>НижегородскаяTDM MOS Grocery RKA+NA Moscow NorthKADL MOS NA Vladimir</v>
      </c>
      <c r="B213" s="285" t="s">
        <v>23</v>
      </c>
      <c r="C213" s="249" t="s">
        <v>322</v>
      </c>
      <c r="D213" s="285" t="s">
        <v>367</v>
      </c>
      <c r="E213" s="273" t="s">
        <v>368</v>
      </c>
      <c r="I213" s="273" t="s">
        <v>347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92">
        <v>540611305.32998252</v>
      </c>
      <c r="AE213" s="292">
        <v>345351095.60157597</v>
      </c>
      <c r="AF213" s="292">
        <v>155719176.13000017</v>
      </c>
      <c r="AG213" s="292">
        <v>122456893.96000002</v>
      </c>
      <c r="AH213" s="275"/>
      <c r="AI213" s="490">
        <v>651264436.76190007</v>
      </c>
      <c r="AJ213" s="291"/>
      <c r="AK213" s="290"/>
    </row>
    <row r="214" spans="1:43" hidden="1">
      <c r="A214" s="273" t="str">
        <f t="shared" si="27"/>
        <v>НижегородскаяTDM MOS Grocery RKA+NA Moscow NorthKADL MOS NA N.Novgorod</v>
      </c>
      <c r="B214" s="288" t="s">
        <v>23</v>
      </c>
      <c r="C214" s="249" t="s">
        <v>322</v>
      </c>
      <c r="D214" s="285" t="s">
        <v>367</v>
      </c>
      <c r="E214" s="273" t="s">
        <v>371</v>
      </c>
      <c r="I214" s="273" t="s">
        <v>347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92">
        <v>988414284.19993234</v>
      </c>
      <c r="AE214" s="292">
        <v>629508014.34943664</v>
      </c>
      <c r="AF214" s="292">
        <v>147343411.26999986</v>
      </c>
      <c r="AG214" s="292">
        <v>132219886.2</v>
      </c>
      <c r="AH214" s="275"/>
      <c r="AI214" s="490">
        <v>978077545.10700023</v>
      </c>
      <c r="AJ214" s="291"/>
      <c r="AK214" s="290"/>
    </row>
    <row r="215" spans="1:43" hidden="1">
      <c r="A215" s="273" t="str">
        <f t="shared" si="27"/>
        <v>РязанскаяTDM MOS Grocery RKA+NA Moscow SouthKADL MOS Grocery RKA+NA Tula+Ryazan-Kaluga</v>
      </c>
      <c r="B215" s="288" t="s">
        <v>20</v>
      </c>
      <c r="C215" s="249" t="s">
        <v>322</v>
      </c>
      <c r="D215" s="285" t="s">
        <v>369</v>
      </c>
      <c r="E215" s="273" t="s">
        <v>370</v>
      </c>
      <c r="I215" s="273" t="s">
        <v>348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92">
        <v>507455147.54997963</v>
      </c>
      <c r="AE215" s="292">
        <v>294422244.72833872</v>
      </c>
      <c r="AF215" s="292">
        <v>236737044.37000024</v>
      </c>
      <c r="AG215" s="292">
        <v>40707434.009999976</v>
      </c>
      <c r="AH215" s="275"/>
      <c r="AI215" s="490">
        <v>480428274.77450013</v>
      </c>
      <c r="AJ215" s="291"/>
      <c r="AK215" s="290"/>
    </row>
    <row r="216" spans="1:43" hidden="1">
      <c r="A216" s="273" t="str">
        <f t="shared" si="27"/>
        <v>ТульскаяTDM MOS Grocery RKA+NA Moscow SouthKADL MOS Grocery RKA+NA Tula+Ryazan-Kaluga</v>
      </c>
      <c r="B216" s="288" t="s">
        <v>19</v>
      </c>
      <c r="C216" s="249" t="s">
        <v>322</v>
      </c>
      <c r="D216" s="285" t="s">
        <v>369</v>
      </c>
      <c r="E216" s="273" t="s">
        <v>370</v>
      </c>
      <c r="I216" s="273" t="s">
        <v>348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92">
        <v>662088823.75997436</v>
      </c>
      <c r="AE216" s="292">
        <v>536696592.08571398</v>
      </c>
      <c r="AF216" s="292">
        <v>428766509.63999921</v>
      </c>
      <c r="AG216" s="292">
        <v>99891083.720000029</v>
      </c>
      <c r="AH216" s="275"/>
      <c r="AI216" s="490">
        <v>741268860.08500016</v>
      </c>
      <c r="AJ216" s="291"/>
      <c r="AK216" s="290"/>
    </row>
    <row r="217" spans="1:43" hidden="1">
      <c r="A217" s="273" t="str">
        <f t="shared" si="27"/>
        <v>Чувашская Республика -TDM MOS Grocery RKA+NA Moscow NorthKADL MOS NA N.Novgorod</v>
      </c>
      <c r="B217" s="288" t="s">
        <v>341</v>
      </c>
      <c r="C217" s="249" t="s">
        <v>322</v>
      </c>
      <c r="D217" s="285" t="s">
        <v>367</v>
      </c>
      <c r="E217" s="273" t="s">
        <v>371</v>
      </c>
      <c r="I217" s="273" t="s">
        <v>347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92">
        <v>271899901.41999817</v>
      </c>
      <c r="AE217" s="292">
        <v>333077940.63791049</v>
      </c>
      <c r="AF217" s="292">
        <v>61683596</v>
      </c>
      <c r="AG217" s="292">
        <v>26624441.639999993</v>
      </c>
      <c r="AH217" s="275"/>
      <c r="AI217" s="490">
        <v>409132633.48490024</v>
      </c>
      <c r="AJ217" s="291"/>
      <c r="AK217" s="290"/>
    </row>
    <row r="218" spans="1:43" hidden="1">
      <c r="A218" s="273" t="str">
        <f t="shared" si="27"/>
        <v>МосковскаяRADM MoscowJRAM Verniy</v>
      </c>
      <c r="B218" s="273" t="s">
        <v>338</v>
      </c>
      <c r="C218" s="249" t="s">
        <v>322</v>
      </c>
      <c r="D218" s="285" t="s">
        <v>342</v>
      </c>
      <c r="E218" s="285" t="s">
        <v>379</v>
      </c>
      <c r="I218" s="289" t="s">
        <v>380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5">
        <v>283124.17999999993</v>
      </c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5"/>
      <c r="AI218" s="490"/>
      <c r="AJ218" s="273"/>
      <c r="AK218" s="273"/>
      <c r="AP218" s="273" t="s">
        <v>381</v>
      </c>
      <c r="AQ218" s="492">
        <v>516389977.08349985</v>
      </c>
    </row>
    <row r="219" spans="1:43" hidden="1">
      <c r="A219" s="273" t="str">
        <f t="shared" si="27"/>
        <v>ВладимирскаяRADM MoscowJRAM Verniy</v>
      </c>
      <c r="B219" s="273" t="s">
        <v>24</v>
      </c>
      <c r="C219" s="249" t="s">
        <v>322</v>
      </c>
      <c r="D219" s="285" t="s">
        <v>342</v>
      </c>
      <c r="E219" s="285" t="s">
        <v>379</v>
      </c>
      <c r="I219" s="289" t="s">
        <v>382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5">
        <v>105566381.88999967</v>
      </c>
      <c r="T219" s="273"/>
      <c r="U219" s="273"/>
      <c r="V219" s="273"/>
      <c r="W219" s="273"/>
      <c r="X219" s="290"/>
      <c r="Y219" s="290"/>
      <c r="Z219" s="290"/>
      <c r="AA219" s="290"/>
      <c r="AB219" s="290"/>
      <c r="AC219" s="290"/>
      <c r="AD219" s="273"/>
      <c r="AE219" s="273"/>
      <c r="AF219" s="273"/>
      <c r="AG219" s="273"/>
      <c r="AH219" s="275"/>
      <c r="AI219" s="490"/>
      <c r="AJ219" s="273"/>
      <c r="AK219" s="273"/>
      <c r="AQ219" s="492">
        <v>106533326.64000003</v>
      </c>
    </row>
    <row r="220" spans="1:43" hidden="1">
      <c r="A220" s="273" t="str">
        <f t="shared" si="27"/>
        <v>КалужскаяRADM MoscowJRAM Verniy</v>
      </c>
      <c r="B220" s="273" t="s">
        <v>22</v>
      </c>
      <c r="C220" s="249" t="s">
        <v>322</v>
      </c>
      <c r="D220" s="285" t="s">
        <v>342</v>
      </c>
      <c r="E220" s="285" t="s">
        <v>379</v>
      </c>
      <c r="I220" s="289" t="s">
        <v>348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5">
        <v>64720074.180000171</v>
      </c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5"/>
      <c r="AI220" s="490"/>
      <c r="AJ220" s="273"/>
      <c r="AK220" s="273"/>
      <c r="AQ220" s="492">
        <v>64622264.329999983</v>
      </c>
    </row>
    <row r="221" spans="1:43" hidden="1">
      <c r="A221" s="273" t="str">
        <f t="shared" si="27"/>
        <v>ЛенинградскаяRADM MoscowJRAM Verniy</v>
      </c>
      <c r="B221" s="273" t="s">
        <v>350</v>
      </c>
      <c r="C221" s="249" t="s">
        <v>322</v>
      </c>
      <c r="D221" s="285" t="s">
        <v>342</v>
      </c>
      <c r="E221" s="285" t="s">
        <v>379</v>
      </c>
      <c r="I221" s="289" t="s">
        <v>382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5">
        <v>121614441.35999963</v>
      </c>
      <c r="T221" s="273"/>
      <c r="U221" s="273"/>
      <c r="V221" s="273"/>
      <c r="W221" s="273"/>
      <c r="X221" s="290"/>
      <c r="Y221" s="290"/>
      <c r="Z221" s="290"/>
      <c r="AA221" s="290"/>
      <c r="AB221" s="290"/>
      <c r="AC221" s="290"/>
      <c r="AD221" s="273"/>
      <c r="AE221" s="273"/>
      <c r="AF221" s="273"/>
      <c r="AG221" s="273"/>
      <c r="AH221" s="275"/>
      <c r="AI221" s="490"/>
      <c r="AJ221" s="273"/>
      <c r="AK221" s="273"/>
      <c r="AQ221" s="492">
        <v>122941078.97369997</v>
      </c>
    </row>
    <row r="222" spans="1:43" hidden="1">
      <c r="A222" s="273" t="str">
        <f t="shared" si="27"/>
        <v>МоскваRADM MoscowJRAM Verniy</v>
      </c>
      <c r="B222" s="273" t="s">
        <v>7</v>
      </c>
      <c r="C222" s="249" t="s">
        <v>322</v>
      </c>
      <c r="D222" s="285" t="s">
        <v>342</v>
      </c>
      <c r="E222" s="285" t="s">
        <v>379</v>
      </c>
      <c r="H222" s="273">
        <v>1</v>
      </c>
      <c r="I222" s="289" t="s">
        <v>380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5">
        <v>112033790.56999968</v>
      </c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5"/>
      <c r="AI222" s="490"/>
      <c r="AJ222" s="273"/>
      <c r="AK222" s="273"/>
      <c r="AQ222" s="492">
        <v>102195583.09480006</v>
      </c>
    </row>
    <row r="223" spans="1:43" hidden="1">
      <c r="A223" s="273" t="str">
        <f t="shared" si="27"/>
        <v>МосковскаяRADM MoscowJRAM Verniy</v>
      </c>
      <c r="B223" s="273" t="s">
        <v>338</v>
      </c>
      <c r="C223" s="249" t="s">
        <v>322</v>
      </c>
      <c r="D223" s="285" t="s">
        <v>342</v>
      </c>
      <c r="E223" s="285" t="s">
        <v>379</v>
      </c>
      <c r="I223" s="289" t="s">
        <v>380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5">
        <v>526009540.95000339</v>
      </c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5"/>
      <c r="AI223" s="490"/>
      <c r="AJ223" s="273"/>
      <c r="AK223" s="273"/>
      <c r="AQ223" s="492"/>
    </row>
    <row r="224" spans="1:43" hidden="1">
      <c r="A224" s="273" t="str">
        <f t="shared" si="27"/>
        <v>НовгородскаяRADM MoscowJRAM Verniy</v>
      </c>
      <c r="B224" s="273" t="s">
        <v>39</v>
      </c>
      <c r="C224" s="249" t="s">
        <v>322</v>
      </c>
      <c r="D224" s="285" t="s">
        <v>342</v>
      </c>
      <c r="E224" s="285" t="s">
        <v>379</v>
      </c>
      <c r="I224" s="289" t="s">
        <v>382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5">
        <v>29237977.820000004</v>
      </c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5"/>
      <c r="AI224" s="490"/>
      <c r="AJ224" s="273"/>
      <c r="AK224" s="273"/>
      <c r="AQ224" s="492">
        <v>29371032.3413</v>
      </c>
    </row>
    <row r="225" spans="1:43" hidden="1">
      <c r="A225" s="273" t="str">
        <f t="shared" si="27"/>
        <v>Санкт-ПетербургRADM MoscowJRAM Verniy</v>
      </c>
      <c r="B225" s="273" t="s">
        <v>351</v>
      </c>
      <c r="C225" s="249" t="s">
        <v>322</v>
      </c>
      <c r="D225" s="285" t="s">
        <v>342</v>
      </c>
      <c r="E225" s="285" t="s">
        <v>379</v>
      </c>
      <c r="I225" s="289" t="s">
        <v>382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5">
        <v>75479434.529999688</v>
      </c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5"/>
      <c r="AI225" s="490"/>
      <c r="AJ225" s="273"/>
      <c r="AK225" s="273"/>
      <c r="AQ225" s="492">
        <v>71871073.864199966</v>
      </c>
    </row>
    <row r="226" spans="1:43" hidden="1">
      <c r="A226" s="273" t="str">
        <f t="shared" si="27"/>
        <v>СвердловскаяRADM MoscowJRAM Verniy</v>
      </c>
      <c r="B226" s="273" t="s">
        <v>122</v>
      </c>
      <c r="C226" s="249" t="s">
        <v>322</v>
      </c>
      <c r="D226" s="285" t="s">
        <v>342</v>
      </c>
      <c r="E226" s="285" t="s">
        <v>379</v>
      </c>
      <c r="I226" s="289" t="s">
        <v>348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5">
        <v>148975561.0899995</v>
      </c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5"/>
      <c r="AI226" s="490"/>
      <c r="AJ226" s="273"/>
      <c r="AK226" s="273"/>
      <c r="AQ226" s="492">
        <v>137989138.02179998</v>
      </c>
    </row>
    <row r="227" spans="1:43" hidden="1">
      <c r="A227" s="273" t="str">
        <f t="shared" si="27"/>
        <v>ТатарстанRADM MoscowJRAM Verniy</v>
      </c>
      <c r="B227" s="273" t="s">
        <v>97</v>
      </c>
      <c r="C227" s="249" t="s">
        <v>322</v>
      </c>
      <c r="D227" s="285" t="s">
        <v>342</v>
      </c>
      <c r="E227" s="285" t="s">
        <v>379</v>
      </c>
      <c r="I227" s="289" t="s">
        <v>348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5">
        <v>69785619.640000135</v>
      </c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5"/>
      <c r="AI227" s="490"/>
      <c r="AJ227" s="273"/>
      <c r="AK227" s="273"/>
      <c r="AQ227" s="492">
        <v>68020541.41610001</v>
      </c>
    </row>
    <row r="228" spans="1:43" hidden="1">
      <c r="A228" s="273" t="str">
        <f t="shared" si="27"/>
        <v>ТверскаяRADM MoscowJRAM Verniy</v>
      </c>
      <c r="B228" s="273" t="s">
        <v>58</v>
      </c>
      <c r="C228" s="249" t="s">
        <v>322</v>
      </c>
      <c r="D228" s="285" t="s">
        <v>342</v>
      </c>
      <c r="E228" s="285" t="s">
        <v>379</v>
      </c>
      <c r="I228" s="289" t="s">
        <v>382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5">
        <v>31075214.729999986</v>
      </c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5"/>
      <c r="AI228" s="490"/>
      <c r="AJ228" s="273"/>
      <c r="AK228" s="273"/>
      <c r="AQ228" s="492">
        <v>29297090.464200005</v>
      </c>
    </row>
    <row r="229" spans="1:43" hidden="1">
      <c r="A229" s="273" t="str">
        <f t="shared" si="27"/>
        <v>ТульскаяRADM MoscowJRAM Verniy</v>
      </c>
      <c r="B229" s="273" t="s">
        <v>19</v>
      </c>
      <c r="C229" s="249" t="s">
        <v>322</v>
      </c>
      <c r="D229" s="285" t="s">
        <v>342</v>
      </c>
      <c r="E229" s="285" t="s">
        <v>379</v>
      </c>
      <c r="I229" s="289" t="s">
        <v>348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5">
        <v>77073871.469999909</v>
      </c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5"/>
      <c r="AI229" s="490"/>
      <c r="AJ229" s="273"/>
      <c r="AK229" s="273"/>
      <c r="AQ229" s="492">
        <v>75920595.749699965</v>
      </c>
    </row>
    <row r="230" spans="1:43" hidden="1">
      <c r="A230" s="273" t="str">
        <f t="shared" si="27"/>
        <v>ЯрославскаяRADM MoscowJRAM Verniy</v>
      </c>
      <c r="B230" s="273" t="s">
        <v>54</v>
      </c>
      <c r="C230" s="249" t="s">
        <v>322</v>
      </c>
      <c r="D230" s="285" t="s">
        <v>342</v>
      </c>
      <c r="E230" s="285" t="s">
        <v>379</v>
      </c>
      <c r="I230" s="289" t="s">
        <v>382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5">
        <v>35515056.810000002</v>
      </c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5"/>
      <c r="AI230" s="490"/>
      <c r="AJ230" s="273"/>
      <c r="AK230" s="273"/>
      <c r="AQ230" s="492">
        <v>35040462.035800003</v>
      </c>
    </row>
    <row r="231" spans="1:43" hidden="1">
      <c r="A231" s="273" t="str">
        <f t="shared" si="27"/>
        <v>МоскваASM MOS Food Trade+SorsoTSL MOS SPT Moscow Play Sorso</v>
      </c>
      <c r="B231" s="288" t="s">
        <v>7</v>
      </c>
      <c r="C231" s="249" t="s">
        <v>322</v>
      </c>
      <c r="D231" s="249" t="s">
        <v>328</v>
      </c>
      <c r="E231" s="273" t="s">
        <v>329</v>
      </c>
      <c r="F231" s="288" t="s">
        <v>383</v>
      </c>
      <c r="H231" s="273">
        <v>1</v>
      </c>
      <c r="I231" s="273" t="s">
        <v>384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7">
        <v>75907049.919999987</v>
      </c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5"/>
      <c r="AI231" s="273"/>
      <c r="AJ231" s="273"/>
      <c r="AK231" s="273"/>
    </row>
    <row r="232" spans="1:43">
      <c r="A232" s="273" t="str">
        <f t="shared" si="27"/>
        <v>Марий Эл DDM MOS Sladkaay ZhiznTSL MOS Cheboksary</v>
      </c>
      <c r="B232" s="285" t="s">
        <v>385</v>
      </c>
      <c r="C232" s="249" t="s">
        <v>322</v>
      </c>
      <c r="D232" s="249" t="s">
        <v>323</v>
      </c>
      <c r="E232" s="250" t="s">
        <v>331</v>
      </c>
      <c r="F232" s="285" t="s">
        <v>325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3"/>
      <c r="U232" s="273">
        <v>0</v>
      </c>
      <c r="V232" s="273">
        <v>0</v>
      </c>
      <c r="W232" s="273">
        <v>0</v>
      </c>
      <c r="X232" s="273"/>
      <c r="Y232" s="273">
        <v>3077540.45</v>
      </c>
      <c r="Z232" s="273">
        <v>5828592.4799999986</v>
      </c>
      <c r="AA232" s="273">
        <v>0</v>
      </c>
      <c r="AB232" s="273">
        <v>9821309.0800000243</v>
      </c>
      <c r="AC232" s="273">
        <v>9103619.129999999</v>
      </c>
      <c r="AD232" s="273"/>
      <c r="AE232" s="273"/>
      <c r="AF232" s="273"/>
      <c r="AG232" s="273"/>
      <c r="AH232" s="286">
        <v>49094726.479999989</v>
      </c>
      <c r="AI232" s="273"/>
      <c r="AJ232" s="273"/>
      <c r="AK232" s="273"/>
      <c r="AO232" s="276" t="s">
        <v>326</v>
      </c>
    </row>
    <row r="233" spans="1:43" ht="28.9">
      <c r="A233" s="273" t="str">
        <f t="shared" si="27"/>
        <v>НижегородскаяDDM MOS Sladkaay ZhiznTSL MOS  Moscow 1 Sladkaya Zhizn</v>
      </c>
      <c r="B233" s="248" t="s">
        <v>23</v>
      </c>
      <c r="C233" s="249" t="s">
        <v>322</v>
      </c>
      <c r="D233" s="249" t="s">
        <v>323</v>
      </c>
      <c r="E233" s="250" t="s">
        <v>336</v>
      </c>
      <c r="F233" s="251" t="s">
        <v>327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/>
      <c r="AI233" s="273"/>
      <c r="AJ233" s="273"/>
      <c r="AK233" s="273"/>
      <c r="AO233" s="276" t="s">
        <v>333</v>
      </c>
    </row>
    <row r="234" spans="1:43" hidden="1">
      <c r="B234" s="279" t="s">
        <v>338</v>
      </c>
      <c r="C234" s="249" t="s">
        <v>322</v>
      </c>
      <c r="D234" s="285" t="s">
        <v>369</v>
      </c>
      <c r="E234" s="273" t="s">
        <v>386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5"/>
      <c r="AI234" s="273"/>
      <c r="AJ234" s="273"/>
      <c r="AK234" s="273"/>
      <c r="AL234" s="490">
        <v>11314707530.999416</v>
      </c>
      <c r="AO234" s="273" t="s">
        <v>387</v>
      </c>
    </row>
    <row r="235" spans="1:43" s="280" customFormat="1">
      <c r="A235" s="280" t="str">
        <f t="shared" ref="A235:A261" si="36">B235&amp;D235&amp;E235</f>
        <v>АлтайскийDDM MOS Sladkaay ZhiznTSL MOS Cheboksary</v>
      </c>
      <c r="B235" s="279" t="s">
        <v>388</v>
      </c>
      <c r="C235" s="249" t="s">
        <v>322</v>
      </c>
      <c r="D235" s="278" t="s">
        <v>323</v>
      </c>
      <c r="E235" s="283" t="s">
        <v>331</v>
      </c>
      <c r="F235" s="277" t="s">
        <v>325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1"/>
      <c r="T235" s="281">
        <v>16492.399999999998</v>
      </c>
      <c r="U235" s="282"/>
      <c r="V235" s="282"/>
      <c r="W235" s="282"/>
      <c r="X235" s="282"/>
      <c r="Y235" s="282"/>
      <c r="Z235" s="282"/>
      <c r="AA235" s="282"/>
      <c r="AB235" s="282"/>
      <c r="AC235" s="282"/>
      <c r="AH235" s="281"/>
      <c r="AI235" s="493"/>
      <c r="AO235" s="280" t="s">
        <v>389</v>
      </c>
    </row>
    <row r="236" spans="1:43" s="280" customFormat="1">
      <c r="A236" s="280" t="str">
        <f t="shared" si="36"/>
        <v>БашкортостанDDM MOS Sladkaay ZhiznTSL MOS Cheboksary</v>
      </c>
      <c r="B236" s="279" t="s">
        <v>358</v>
      </c>
      <c r="C236" s="249" t="s">
        <v>322</v>
      </c>
      <c r="D236" s="278" t="s">
        <v>323</v>
      </c>
      <c r="E236" s="283" t="s">
        <v>331</v>
      </c>
      <c r="F236" s="277" t="s">
        <v>325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1"/>
      <c r="T236" s="281">
        <v>4318141.4600000009</v>
      </c>
      <c r="U236" s="282"/>
      <c r="V236" s="282"/>
      <c r="W236" s="282"/>
      <c r="X236" s="282"/>
      <c r="Y236" s="282"/>
      <c r="Z236" s="282"/>
      <c r="AA236" s="282"/>
      <c r="AB236" s="282"/>
      <c r="AC236" s="282"/>
      <c r="AH236" s="281"/>
      <c r="AI236" s="493"/>
      <c r="AO236" s="280" t="s">
        <v>389</v>
      </c>
    </row>
    <row r="237" spans="1:43" s="280" customFormat="1">
      <c r="A237" s="280" t="str">
        <f t="shared" si="36"/>
        <v>ВладимирскаяDDM MOS Sladkaay ZhiznTSL MOS Cheboksary</v>
      </c>
      <c r="B237" s="279" t="s">
        <v>24</v>
      </c>
      <c r="C237" s="249" t="s">
        <v>322</v>
      </c>
      <c r="D237" s="278" t="s">
        <v>323</v>
      </c>
      <c r="E237" s="283" t="s">
        <v>331</v>
      </c>
      <c r="F237" s="277" t="s">
        <v>325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1"/>
      <c r="T237" s="281">
        <v>21819448.430000007</v>
      </c>
      <c r="U237" s="282"/>
      <c r="V237" s="282"/>
      <c r="W237" s="282"/>
      <c r="X237" s="282"/>
      <c r="Y237" s="282"/>
      <c r="Z237" s="282"/>
      <c r="AA237" s="282"/>
      <c r="AB237" s="282"/>
      <c r="AC237" s="282"/>
      <c r="AH237" s="281"/>
      <c r="AI237" s="493"/>
      <c r="AO237" s="280" t="s">
        <v>389</v>
      </c>
    </row>
    <row r="238" spans="1:43" s="280" customFormat="1">
      <c r="A238" s="280" t="str">
        <f t="shared" si="36"/>
        <v>ИвановскаяDDM MOS Sladkaay ZhiznTSL MOS Cheboksary</v>
      </c>
      <c r="B238" s="279" t="s">
        <v>59</v>
      </c>
      <c r="C238" s="249" t="s">
        <v>322</v>
      </c>
      <c r="D238" s="278" t="s">
        <v>323</v>
      </c>
      <c r="E238" s="283" t="s">
        <v>331</v>
      </c>
      <c r="F238" s="277" t="s">
        <v>325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1"/>
      <c r="T238" s="281">
        <v>9185746.0500000063</v>
      </c>
      <c r="U238" s="282"/>
      <c r="V238" s="282"/>
      <c r="W238" s="282"/>
      <c r="X238" s="282"/>
      <c r="Y238" s="282"/>
      <c r="Z238" s="282"/>
      <c r="AA238" s="282"/>
      <c r="AB238" s="282"/>
      <c r="AC238" s="282"/>
      <c r="AH238" s="281"/>
      <c r="AI238" s="493"/>
      <c r="AO238" s="280" t="s">
        <v>389</v>
      </c>
    </row>
    <row r="239" spans="1:43" s="280" customFormat="1">
      <c r="A239" s="280" t="str">
        <f t="shared" si="36"/>
        <v>ИркутскаяDDM MOS Sladkaay ZhiznTSL MOS Cheboksary</v>
      </c>
      <c r="B239" s="279" t="s">
        <v>94</v>
      </c>
      <c r="C239" s="249" t="s">
        <v>322</v>
      </c>
      <c r="D239" s="278" t="s">
        <v>323</v>
      </c>
      <c r="E239" s="283" t="s">
        <v>331</v>
      </c>
      <c r="F239" s="277" t="s">
        <v>325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1"/>
      <c r="T239" s="281">
        <v>78932.240000000005</v>
      </c>
      <c r="U239" s="282"/>
      <c r="V239" s="282"/>
      <c r="W239" s="282"/>
      <c r="X239" s="282"/>
      <c r="Y239" s="282"/>
      <c r="Z239" s="282"/>
      <c r="AA239" s="282"/>
      <c r="AB239" s="282"/>
      <c r="AC239" s="282"/>
      <c r="AH239" s="281"/>
      <c r="AI239" s="493"/>
      <c r="AO239" s="280" t="s">
        <v>389</v>
      </c>
    </row>
    <row r="240" spans="1:43" s="280" customFormat="1">
      <c r="A240" s="280" t="str">
        <f t="shared" si="36"/>
        <v>КалужскаяDDM MOS Sladkaay ZhiznTSL MOS Cheboksary</v>
      </c>
      <c r="B240" s="284" t="s">
        <v>22</v>
      </c>
      <c r="C240" s="249" t="s">
        <v>322</v>
      </c>
      <c r="D240" s="278" t="s">
        <v>323</v>
      </c>
      <c r="E240" s="283" t="s">
        <v>331</v>
      </c>
      <c r="F240" s="277" t="s">
        <v>325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1"/>
      <c r="T240" s="281">
        <v>152696.55999999997</v>
      </c>
      <c r="U240" s="282"/>
      <c r="V240" s="282"/>
      <c r="W240" s="282"/>
      <c r="X240" s="282"/>
      <c r="Y240" s="282"/>
      <c r="Z240" s="282"/>
      <c r="AA240" s="282"/>
      <c r="AB240" s="282"/>
      <c r="AC240" s="282"/>
      <c r="AH240" s="281"/>
      <c r="AI240" s="493"/>
      <c r="AO240" s="280" t="s">
        <v>389</v>
      </c>
    </row>
    <row r="241" spans="1:41" s="280" customFormat="1">
      <c r="A241" s="280" t="str">
        <f t="shared" si="36"/>
        <v>КалужскаяDDM MOS Sladkaay ZhiznTSL MOS Cheboksary</v>
      </c>
      <c r="B241" s="279" t="s">
        <v>22</v>
      </c>
      <c r="C241" s="249" t="s">
        <v>322</v>
      </c>
      <c r="D241" s="278" t="s">
        <v>323</v>
      </c>
      <c r="E241" s="283" t="s">
        <v>331</v>
      </c>
      <c r="F241" s="277" t="s">
        <v>327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1"/>
      <c r="T241" s="281">
        <v>12786581.08999995</v>
      </c>
      <c r="U241" s="282"/>
      <c r="V241" s="282"/>
      <c r="W241" s="282"/>
      <c r="X241" s="282"/>
      <c r="Y241" s="282"/>
      <c r="Z241" s="282"/>
      <c r="AA241" s="282"/>
      <c r="AB241" s="282"/>
      <c r="AC241" s="282"/>
      <c r="AH241" s="281"/>
      <c r="AI241" s="493"/>
      <c r="AO241" s="280" t="s">
        <v>389</v>
      </c>
    </row>
    <row r="242" spans="1:41" s="280" customFormat="1">
      <c r="A242" s="280" t="str">
        <f t="shared" si="36"/>
        <v>КировскаяDDM MOS Sladkaay ZhiznTSL MOS Cheboksary</v>
      </c>
      <c r="B242" s="279" t="s">
        <v>27</v>
      </c>
      <c r="C242" s="249" t="s">
        <v>322</v>
      </c>
      <c r="D242" s="278" t="s">
        <v>323</v>
      </c>
      <c r="E242" s="283" t="s">
        <v>331</v>
      </c>
      <c r="F242" s="277" t="s">
        <v>325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1"/>
      <c r="T242" s="281">
        <v>25568610.759999935</v>
      </c>
      <c r="U242" s="282"/>
      <c r="V242" s="282"/>
      <c r="W242" s="282"/>
      <c r="X242" s="282"/>
      <c r="Y242" s="282"/>
      <c r="Z242" s="282"/>
      <c r="AA242" s="282"/>
      <c r="AB242" s="282"/>
      <c r="AC242" s="282"/>
      <c r="AH242" s="281"/>
      <c r="AI242" s="493"/>
      <c r="AO242" s="280" t="s">
        <v>389</v>
      </c>
    </row>
    <row r="243" spans="1:41" s="280" customFormat="1">
      <c r="A243" s="280" t="str">
        <f t="shared" si="36"/>
        <v>КостромскаяDDM MOS Sladkaay ZhiznTSL MOS Cheboksary</v>
      </c>
      <c r="B243" s="279" t="s">
        <v>57</v>
      </c>
      <c r="C243" s="249" t="s">
        <v>322</v>
      </c>
      <c r="D243" s="278" t="s">
        <v>323</v>
      </c>
      <c r="E243" s="283" t="s">
        <v>331</v>
      </c>
      <c r="F243" s="277" t="s">
        <v>325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1"/>
      <c r="T243" s="281">
        <v>2964846.8800000008</v>
      </c>
      <c r="U243" s="282"/>
      <c r="V243" s="282"/>
      <c r="W243" s="282"/>
      <c r="X243" s="282"/>
      <c r="Y243" s="282"/>
      <c r="Z243" s="282"/>
      <c r="AA243" s="282"/>
      <c r="AB243" s="282"/>
      <c r="AC243" s="282"/>
      <c r="AH243" s="281"/>
      <c r="AI243" s="493"/>
      <c r="AO243" s="280" t="s">
        <v>389</v>
      </c>
    </row>
    <row r="244" spans="1:41" s="280" customFormat="1">
      <c r="A244" s="280" t="str">
        <f t="shared" si="36"/>
        <v>Марий ЭлDDM MOS Sladkaay ZhiznTSL MOS Cheboksary</v>
      </c>
      <c r="B244" s="279" t="s">
        <v>355</v>
      </c>
      <c r="C244" s="249" t="s">
        <v>322</v>
      </c>
      <c r="D244" s="278" t="s">
        <v>323</v>
      </c>
      <c r="E244" s="283" t="s">
        <v>331</v>
      </c>
      <c r="F244" s="277" t="s">
        <v>325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1"/>
      <c r="T244" s="281">
        <v>11122562.409999976</v>
      </c>
      <c r="U244" s="282"/>
      <c r="V244" s="282"/>
      <c r="W244" s="282"/>
      <c r="X244" s="282"/>
      <c r="Y244" s="282"/>
      <c r="Z244" s="282"/>
      <c r="AA244" s="282"/>
      <c r="AB244" s="282"/>
      <c r="AC244" s="282"/>
      <c r="AH244" s="281"/>
      <c r="AI244" s="493"/>
      <c r="AO244" s="280" t="s">
        <v>389</v>
      </c>
    </row>
    <row r="245" spans="1:41" s="280" customFormat="1">
      <c r="A245" s="280" t="str">
        <f t="shared" si="36"/>
        <v>МордовияDDM MOS Sladkaay ZhiznTSL MOS Cheboksary</v>
      </c>
      <c r="B245" s="279" t="s">
        <v>29</v>
      </c>
      <c r="C245" s="249" t="s">
        <v>322</v>
      </c>
      <c r="D245" s="278" t="s">
        <v>323</v>
      </c>
      <c r="E245" s="283" t="s">
        <v>331</v>
      </c>
      <c r="F245" s="277" t="s">
        <v>325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1"/>
      <c r="T245" s="281">
        <v>5516975.6900000079</v>
      </c>
      <c r="U245" s="282"/>
      <c r="V245" s="282"/>
      <c r="W245" s="282"/>
      <c r="X245" s="282"/>
      <c r="Y245" s="282"/>
      <c r="Z245" s="282"/>
      <c r="AA245" s="282"/>
      <c r="AB245" s="282"/>
      <c r="AC245" s="282"/>
      <c r="AH245" s="281"/>
      <c r="AI245" s="493"/>
      <c r="AO245" s="280" t="s">
        <v>389</v>
      </c>
    </row>
    <row r="246" spans="1:41" s="280" customFormat="1">
      <c r="A246" s="280" t="str">
        <f t="shared" si="36"/>
        <v>МоскваDDM MOS Sladkaay ZhiznTSL MOS Cheboksary</v>
      </c>
      <c r="B246" s="284" t="s">
        <v>7</v>
      </c>
      <c r="C246" s="249" t="s">
        <v>322</v>
      </c>
      <c r="D246" s="278" t="s">
        <v>323</v>
      </c>
      <c r="E246" s="283" t="s">
        <v>331</v>
      </c>
      <c r="F246" s="277" t="s">
        <v>325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1"/>
      <c r="T246" s="281">
        <v>597781.92999999993</v>
      </c>
      <c r="U246" s="282"/>
      <c r="V246" s="282"/>
      <c r="W246" s="282"/>
      <c r="X246" s="282"/>
      <c r="Y246" s="282"/>
      <c r="Z246" s="282"/>
      <c r="AA246" s="282"/>
      <c r="AB246" s="282"/>
      <c r="AC246" s="282"/>
      <c r="AH246" s="281"/>
      <c r="AI246" s="493"/>
      <c r="AO246" s="280" t="s">
        <v>389</v>
      </c>
    </row>
    <row r="247" spans="1:41" s="280" customFormat="1">
      <c r="A247" s="280" t="str">
        <f t="shared" si="36"/>
        <v>МоскваDDM MOS Sladkaay ZhiznTSL MOS Cheboksary</v>
      </c>
      <c r="B247" s="279" t="s">
        <v>7</v>
      </c>
      <c r="C247" s="249" t="s">
        <v>322</v>
      </c>
      <c r="D247" s="278" t="s">
        <v>323</v>
      </c>
      <c r="E247" s="283" t="s">
        <v>331</v>
      </c>
      <c r="F247" s="277" t="s">
        <v>327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1"/>
      <c r="T247" s="281">
        <v>8503970.8899999987</v>
      </c>
      <c r="U247" s="282"/>
      <c r="V247" s="282"/>
      <c r="W247" s="282"/>
      <c r="X247" s="282"/>
      <c r="Y247" s="282"/>
      <c r="Z247" s="282"/>
      <c r="AA247" s="282"/>
      <c r="AB247" s="282"/>
      <c r="AC247" s="282"/>
      <c r="AH247" s="281"/>
      <c r="AI247" s="493"/>
      <c r="AO247" s="280" t="s">
        <v>389</v>
      </c>
    </row>
    <row r="248" spans="1:41" s="280" customFormat="1">
      <c r="A248" s="280" t="str">
        <f t="shared" si="36"/>
        <v>МосковскаяDDM MOS Sladkaay ZhiznTSL MOS Cheboksary</v>
      </c>
      <c r="B248" s="279" t="s">
        <v>338</v>
      </c>
      <c r="C248" s="249" t="s">
        <v>322</v>
      </c>
      <c r="D248" s="278" t="s">
        <v>323</v>
      </c>
      <c r="E248" s="283" t="s">
        <v>331</v>
      </c>
      <c r="F248" s="277" t="s">
        <v>327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1"/>
      <c r="T248" s="281">
        <v>38756102.86999961</v>
      </c>
      <c r="U248" s="282"/>
      <c r="V248" s="282"/>
      <c r="W248" s="282"/>
      <c r="X248" s="282"/>
      <c r="Y248" s="282"/>
      <c r="Z248" s="282"/>
      <c r="AA248" s="282"/>
      <c r="AB248" s="282"/>
      <c r="AC248" s="282"/>
      <c r="AH248" s="281"/>
      <c r="AI248" s="493"/>
      <c r="AO248" s="280" t="s">
        <v>389</v>
      </c>
    </row>
    <row r="249" spans="1:41" s="280" customFormat="1">
      <c r="A249" s="280" t="str">
        <f t="shared" si="36"/>
        <v>НижегородскаяDDM MOS Sladkaay ZhiznTSL MOS Cheboksary</v>
      </c>
      <c r="B249" s="279" t="s">
        <v>23</v>
      </c>
      <c r="C249" s="249" t="s">
        <v>322</v>
      </c>
      <c r="D249" s="278" t="s">
        <v>323</v>
      </c>
      <c r="E249" s="283" t="s">
        <v>331</v>
      </c>
      <c r="F249" s="277" t="s">
        <v>325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1"/>
      <c r="T249" s="281">
        <v>40099952.099999592</v>
      </c>
      <c r="U249" s="282"/>
      <c r="V249" s="282"/>
      <c r="W249" s="282"/>
      <c r="X249" s="282"/>
      <c r="Y249" s="282"/>
      <c r="Z249" s="282"/>
      <c r="AA249" s="282"/>
      <c r="AB249" s="282"/>
      <c r="AC249" s="282"/>
      <c r="AH249" s="281"/>
      <c r="AI249" s="493"/>
      <c r="AO249" s="280" t="s">
        <v>389</v>
      </c>
    </row>
    <row r="250" spans="1:41" s="280" customFormat="1">
      <c r="A250" s="280" t="str">
        <f t="shared" si="36"/>
        <v>ПензенскаяDDM MOS Sladkaay ZhiznTSL MOS Cheboksary</v>
      </c>
      <c r="B250" s="279" t="s">
        <v>157</v>
      </c>
      <c r="C250" s="249" t="s">
        <v>322</v>
      </c>
      <c r="D250" s="278" t="s">
        <v>323</v>
      </c>
      <c r="E250" s="283" t="s">
        <v>331</v>
      </c>
      <c r="F250" s="277" t="s">
        <v>325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1"/>
      <c r="T250" s="281">
        <v>6101533.7600000193</v>
      </c>
      <c r="U250" s="282"/>
      <c r="V250" s="282"/>
      <c r="W250" s="282"/>
      <c r="X250" s="282"/>
      <c r="Y250" s="282"/>
      <c r="Z250" s="282"/>
      <c r="AA250" s="282"/>
      <c r="AB250" s="282"/>
      <c r="AC250" s="282"/>
      <c r="AH250" s="281"/>
      <c r="AI250" s="493"/>
      <c r="AO250" s="280" t="s">
        <v>389</v>
      </c>
    </row>
    <row r="251" spans="1:41" s="280" customFormat="1">
      <c r="A251" s="280" t="str">
        <f t="shared" si="36"/>
        <v>РязанскаяDDM MOS Sladkaay ZhiznTSL MOS Cheboksary</v>
      </c>
      <c r="B251" s="279" t="s">
        <v>20</v>
      </c>
      <c r="C251" s="249" t="s">
        <v>322</v>
      </c>
      <c r="D251" s="278" t="s">
        <v>323</v>
      </c>
      <c r="E251" s="283" t="s">
        <v>331</v>
      </c>
      <c r="F251" s="277" t="s">
        <v>325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1"/>
      <c r="T251" s="281">
        <v>11308710.899999972</v>
      </c>
      <c r="U251" s="282"/>
      <c r="V251" s="282"/>
      <c r="W251" s="282"/>
      <c r="X251" s="282"/>
      <c r="Y251" s="282"/>
      <c r="Z251" s="282"/>
      <c r="AA251" s="282"/>
      <c r="AB251" s="282"/>
      <c r="AC251" s="282"/>
      <c r="AH251" s="281"/>
      <c r="AI251" s="493"/>
      <c r="AO251" s="280" t="s">
        <v>389</v>
      </c>
    </row>
    <row r="252" spans="1:41" s="280" customFormat="1">
      <c r="A252" s="280" t="str">
        <f t="shared" si="36"/>
        <v>СамарскаяDDM MOS Sladkaay ZhiznTSL MOS Cheboksary</v>
      </c>
      <c r="B252" s="279" t="s">
        <v>109</v>
      </c>
      <c r="C252" s="249" t="s">
        <v>322</v>
      </c>
      <c r="D252" s="278" t="s">
        <v>323</v>
      </c>
      <c r="E252" s="283" t="s">
        <v>331</v>
      </c>
      <c r="F252" s="277" t="s">
        <v>325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1"/>
      <c r="T252" s="281">
        <v>286145.93999999994</v>
      </c>
      <c r="U252" s="282"/>
      <c r="V252" s="282"/>
      <c r="W252" s="282"/>
      <c r="X252" s="282"/>
      <c r="Y252" s="282"/>
      <c r="Z252" s="282"/>
      <c r="AA252" s="282"/>
      <c r="AB252" s="282"/>
      <c r="AC252" s="282"/>
      <c r="AH252" s="281"/>
      <c r="AI252" s="493"/>
      <c r="AO252" s="280" t="s">
        <v>389</v>
      </c>
    </row>
    <row r="253" spans="1:41" s="280" customFormat="1">
      <c r="A253" s="280" t="str">
        <f t="shared" si="36"/>
        <v>ТатарстанDDM MOS Sladkaay ZhiznTSL MOS Cheboksary</v>
      </c>
      <c r="B253" s="279" t="s">
        <v>97</v>
      </c>
      <c r="C253" s="249" t="s">
        <v>322</v>
      </c>
      <c r="D253" s="278" t="s">
        <v>323</v>
      </c>
      <c r="E253" s="283" t="s">
        <v>331</v>
      </c>
      <c r="F253" s="277" t="s">
        <v>325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1"/>
      <c r="T253" s="281">
        <v>17912428.459999882</v>
      </c>
      <c r="U253" s="282"/>
      <c r="V253" s="282"/>
      <c r="W253" s="282"/>
      <c r="X253" s="282"/>
      <c r="Y253" s="282"/>
      <c r="Z253" s="282"/>
      <c r="AA253" s="282"/>
      <c r="AB253" s="282"/>
      <c r="AC253" s="282"/>
      <c r="AH253" s="281"/>
      <c r="AI253" s="493"/>
      <c r="AO253" s="280" t="s">
        <v>389</v>
      </c>
    </row>
    <row r="254" spans="1:41" s="280" customFormat="1">
      <c r="A254" s="280" t="str">
        <f t="shared" si="36"/>
        <v>ТверскаяDDM MOS Sladkaay ZhiznTSL MOS Cheboksary</v>
      </c>
      <c r="B254" s="279" t="s">
        <v>58</v>
      </c>
      <c r="C254" s="249" t="s">
        <v>322</v>
      </c>
      <c r="D254" s="278" t="s">
        <v>323</v>
      </c>
      <c r="E254" s="283" t="s">
        <v>331</v>
      </c>
      <c r="F254" s="277" t="s">
        <v>327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1"/>
      <c r="T254" s="281">
        <v>5842546.7000000197</v>
      </c>
      <c r="U254" s="282"/>
      <c r="V254" s="282"/>
      <c r="W254" s="282"/>
      <c r="X254" s="282"/>
      <c r="Y254" s="282"/>
      <c r="Z254" s="282"/>
      <c r="AA254" s="282"/>
      <c r="AB254" s="282"/>
      <c r="AC254" s="282"/>
      <c r="AH254" s="281"/>
      <c r="AI254" s="493"/>
      <c r="AO254" s="280" t="s">
        <v>389</v>
      </c>
    </row>
    <row r="255" spans="1:41" s="280" customFormat="1">
      <c r="A255" s="280" t="str">
        <f t="shared" si="36"/>
        <v>ТульскаяDDM MOS Sladkaay ZhiznTSL MOS Cheboksary</v>
      </c>
      <c r="B255" s="279" t="s">
        <v>19</v>
      </c>
      <c r="C255" s="249" t="s">
        <v>322</v>
      </c>
      <c r="D255" s="278" t="s">
        <v>323</v>
      </c>
      <c r="E255" s="283" t="s">
        <v>331</v>
      </c>
      <c r="F255" s="277" t="s">
        <v>327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1"/>
      <c r="T255" s="281">
        <v>19446886.789999954</v>
      </c>
      <c r="U255" s="282"/>
      <c r="V255" s="282"/>
      <c r="W255" s="282"/>
      <c r="X255" s="282"/>
      <c r="Y255" s="282"/>
      <c r="Z255" s="282"/>
      <c r="AA255" s="282"/>
      <c r="AB255" s="282"/>
      <c r="AC255" s="282"/>
      <c r="AH255" s="281"/>
      <c r="AI255" s="493"/>
      <c r="AO255" s="280" t="s">
        <v>389</v>
      </c>
    </row>
    <row r="256" spans="1:41" s="280" customFormat="1">
      <c r="A256" s="280" t="str">
        <f t="shared" si="36"/>
        <v>УдмуртскаяDDM MOS Sladkaay ZhiznTSL MOS Cheboksary</v>
      </c>
      <c r="B256" s="279" t="s">
        <v>390</v>
      </c>
      <c r="C256" s="249" t="s">
        <v>322</v>
      </c>
      <c r="D256" s="278" t="s">
        <v>323</v>
      </c>
      <c r="E256" s="283" t="s">
        <v>331</v>
      </c>
      <c r="F256" s="277" t="s">
        <v>325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1"/>
      <c r="T256" s="281">
        <v>7878247.5200000014</v>
      </c>
      <c r="U256" s="282"/>
      <c r="V256" s="282"/>
      <c r="W256" s="282"/>
      <c r="X256" s="282"/>
      <c r="Y256" s="282"/>
      <c r="Z256" s="282"/>
      <c r="AA256" s="282"/>
      <c r="AB256" s="282"/>
      <c r="AC256" s="282"/>
      <c r="AH256" s="281"/>
      <c r="AI256" s="493"/>
      <c r="AO256" s="280" t="s">
        <v>389</v>
      </c>
    </row>
    <row r="257" spans="1:41" s="280" customFormat="1">
      <c r="A257" s="280" t="str">
        <f t="shared" si="36"/>
        <v>УльяновскаяDDM MOS Sladkaay ZhiznTSL MOS Cheboksary</v>
      </c>
      <c r="B257" s="279" t="s">
        <v>111</v>
      </c>
      <c r="C257" s="249" t="s">
        <v>322</v>
      </c>
      <c r="D257" s="278" t="s">
        <v>323</v>
      </c>
      <c r="E257" s="283" t="s">
        <v>331</v>
      </c>
      <c r="F257" s="277" t="s">
        <v>325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1"/>
      <c r="T257" s="281">
        <v>459590.29</v>
      </c>
      <c r="U257" s="282"/>
      <c r="V257" s="282"/>
      <c r="W257" s="282"/>
      <c r="X257" s="282"/>
      <c r="Y257" s="282"/>
      <c r="Z257" s="282"/>
      <c r="AA257" s="282"/>
      <c r="AB257" s="282"/>
      <c r="AC257" s="282"/>
      <c r="AH257" s="281"/>
      <c r="AI257" s="493"/>
      <c r="AO257" s="280" t="s">
        <v>389</v>
      </c>
    </row>
    <row r="258" spans="1:41" s="280" customFormat="1">
      <c r="A258" s="280" t="str">
        <f t="shared" si="36"/>
        <v>Чувашская Республика -DDM MOS Sladkaay ZhiznTSL MOS Cheboksary</v>
      </c>
      <c r="B258" s="279" t="s">
        <v>341</v>
      </c>
      <c r="C258" s="249" t="s">
        <v>322</v>
      </c>
      <c r="D258" s="278" t="s">
        <v>323</v>
      </c>
      <c r="E258" s="283" t="s">
        <v>331</v>
      </c>
      <c r="F258" s="277" t="s">
        <v>325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1"/>
      <c r="T258" s="281">
        <v>11608457.909999993</v>
      </c>
      <c r="U258" s="282"/>
      <c r="V258" s="282"/>
      <c r="W258" s="282"/>
      <c r="X258" s="282"/>
      <c r="Y258" s="282"/>
      <c r="Z258" s="282"/>
      <c r="AA258" s="282"/>
      <c r="AB258" s="282"/>
      <c r="AC258" s="282"/>
      <c r="AH258" s="281"/>
      <c r="AI258" s="493"/>
      <c r="AO258" s="280" t="s">
        <v>389</v>
      </c>
    </row>
    <row r="259" spans="1:41" s="280" customFormat="1">
      <c r="A259" s="280" t="str">
        <f t="shared" si="36"/>
        <v>ЯрославскаяDDM MOS Sladkaay ZhiznTSL MOS Cheboksary</v>
      </c>
      <c r="B259" s="284" t="s">
        <v>54</v>
      </c>
      <c r="C259" s="249" t="s">
        <v>322</v>
      </c>
      <c r="D259" s="278" t="s">
        <v>323</v>
      </c>
      <c r="E259" s="283" t="s">
        <v>331</v>
      </c>
      <c r="F259" s="277" t="s">
        <v>325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1"/>
      <c r="T259" s="281">
        <v>2743343.1599999988</v>
      </c>
      <c r="U259" s="282"/>
      <c r="V259" s="282"/>
      <c r="W259" s="282"/>
      <c r="X259" s="282"/>
      <c r="Y259" s="282"/>
      <c r="Z259" s="282"/>
      <c r="AA259" s="282"/>
      <c r="AB259" s="282"/>
      <c r="AC259" s="282"/>
      <c r="AH259" s="281"/>
      <c r="AI259" s="493"/>
      <c r="AO259" s="280" t="s">
        <v>389</v>
      </c>
    </row>
    <row r="260" spans="1:41" s="280" customFormat="1">
      <c r="A260" s="280" t="str">
        <f t="shared" si="36"/>
        <v>ЯрославскаяDDM MOS Sladkaay ZhiznTSL MOS Cheboksary</v>
      </c>
      <c r="B260" s="279" t="s">
        <v>54</v>
      </c>
      <c r="C260" s="249" t="s">
        <v>322</v>
      </c>
      <c r="D260" s="278" t="s">
        <v>323</v>
      </c>
      <c r="E260" s="283" t="s">
        <v>331</v>
      </c>
      <c r="F260" s="277" t="s">
        <v>327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1"/>
      <c r="T260" s="281">
        <v>377880.25999999989</v>
      </c>
      <c r="U260" s="282"/>
      <c r="V260" s="282"/>
      <c r="W260" s="282"/>
      <c r="X260" s="282"/>
      <c r="Y260" s="282"/>
      <c r="Z260" s="282"/>
      <c r="AA260" s="282"/>
      <c r="AB260" s="282"/>
      <c r="AC260" s="282"/>
      <c r="AH260" s="281"/>
      <c r="AI260" s="493"/>
      <c r="AO260" s="280" t="s">
        <v>389</v>
      </c>
    </row>
    <row r="261" spans="1:41">
      <c r="A261" s="280" t="str">
        <f t="shared" si="36"/>
        <v>РязанскаяDDM MOS Sladkaay ZhiznTSL MOS N.Novgorod</v>
      </c>
      <c r="B261" s="279" t="s">
        <v>20</v>
      </c>
      <c r="C261" s="249" t="s">
        <v>322</v>
      </c>
      <c r="D261" s="278" t="s">
        <v>323</v>
      </c>
      <c r="E261" t="s">
        <v>324</v>
      </c>
      <c r="F261" s="277" t="s">
        <v>325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5"/>
      <c r="AD261" s="273"/>
      <c r="AE261" s="273"/>
      <c r="AF261" s="273"/>
      <c r="AG261" s="273"/>
      <c r="AH261" s="275">
        <v>11308710.900000002</v>
      </c>
      <c r="AI261" s="490"/>
      <c r="AJ261" s="273"/>
      <c r="AK261" s="273"/>
      <c r="AO261" s="276" t="s">
        <v>326</v>
      </c>
    </row>
    <row r="262" spans="1:41" hidden="1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90"/>
      <c r="AE262" s="490"/>
      <c r="AF262" s="490"/>
      <c r="AG262" s="490"/>
      <c r="AI262" s="490"/>
      <c r="AJ262" s="490"/>
      <c r="AK262" s="490"/>
    </row>
    <row r="263" spans="1:41" hidden="1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90"/>
      <c r="AE263" s="490"/>
      <c r="AF263" s="490"/>
      <c r="AG263" s="490"/>
      <c r="AI263" s="490"/>
      <c r="AJ263" s="490"/>
      <c r="AK263" s="490"/>
    </row>
    <row r="264" spans="1:41" hidden="1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90"/>
      <c r="AE264" s="490"/>
      <c r="AF264" s="490"/>
      <c r="AG264" s="490"/>
      <c r="AI264" s="490"/>
      <c r="AJ264" s="490"/>
      <c r="AK264" s="490"/>
    </row>
    <row r="265" spans="1:41" hidden="1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90"/>
      <c r="AE265" s="490"/>
      <c r="AF265" s="490"/>
      <c r="AG265" s="490"/>
      <c r="AI265" s="490"/>
      <c r="AJ265" s="490"/>
      <c r="AK265" s="490"/>
    </row>
    <row r="266" spans="1:41" hidden="1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90"/>
      <c r="AE266" s="490"/>
      <c r="AF266" s="490"/>
      <c r="AG266" s="490"/>
      <c r="AI266" s="490"/>
      <c r="AJ266" s="490"/>
      <c r="AK266" s="490"/>
    </row>
    <row r="267" spans="1:41" hidden="1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90"/>
      <c r="AE267" s="490"/>
      <c r="AF267" s="490"/>
      <c r="AG267" s="490"/>
      <c r="AI267" s="490"/>
      <c r="AJ267" s="490"/>
      <c r="AK267" s="490"/>
    </row>
    <row r="268" spans="1:41" hidden="1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90"/>
      <c r="AE268" s="490"/>
      <c r="AF268" s="490"/>
      <c r="AG268" s="490"/>
      <c r="AI268" s="490"/>
      <c r="AJ268" s="490"/>
      <c r="AK268" s="490"/>
    </row>
  </sheetData>
  <autoFilter ref="A3:AP268" xr:uid="{14B78800-1EE8-4823-9747-33876C8399FB}">
    <filterColumn colId="3">
      <filters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>
    <tabColor rgb="FF92D050"/>
  </sheetPr>
  <dimension ref="A1:AN268"/>
  <sheetViews>
    <sheetView zoomScale="60" zoomScaleNormal="60" workbookViewId="0">
      <selection activeCell="C10" sqref="C10"/>
    </sheetView>
  </sheetViews>
  <sheetFormatPr defaultRowHeight="14.4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>
      <c r="A1" s="494" t="s">
        <v>187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479" t="s">
        <v>189</v>
      </c>
      <c r="S1" s="480"/>
      <c r="T1" s="480"/>
      <c r="U1" s="480"/>
      <c r="V1" s="480"/>
      <c r="W1" s="480"/>
      <c r="X1" s="480"/>
      <c r="Y1" s="480"/>
      <c r="Z1" s="480"/>
      <c r="AA1" s="480"/>
      <c r="AB1" s="481"/>
      <c r="AC1" s="479" t="s">
        <v>190</v>
      </c>
      <c r="AD1" s="480"/>
      <c r="AE1" s="480"/>
      <c r="AF1" s="480"/>
      <c r="AG1" s="480"/>
      <c r="AH1" s="480"/>
      <c r="AI1" s="480"/>
      <c r="AJ1" s="480"/>
      <c r="AK1" s="480"/>
      <c r="AL1" s="480"/>
      <c r="AM1" s="481"/>
    </row>
    <row r="2" spans="1:40" ht="43.9" thickBot="1">
      <c r="A2" s="495"/>
      <c r="B2" s="3"/>
      <c r="C2" s="3"/>
      <c r="D2" s="3"/>
      <c r="E2" s="3"/>
      <c r="F2" s="3"/>
      <c r="G2" s="3"/>
      <c r="H2" s="3"/>
      <c r="I2" s="13" t="s">
        <v>295</v>
      </c>
      <c r="J2" s="465" t="s">
        <v>296</v>
      </c>
      <c r="K2" s="465"/>
      <c r="L2" s="465"/>
      <c r="M2" s="465" t="s">
        <v>297</v>
      </c>
      <c r="N2" s="465"/>
      <c r="O2" s="465"/>
      <c r="P2" s="465"/>
      <c r="Q2" s="466"/>
      <c r="R2" s="482" t="s">
        <v>191</v>
      </c>
      <c r="S2" s="483"/>
      <c r="T2" s="4" t="s">
        <v>192</v>
      </c>
      <c r="U2" s="3" t="s">
        <v>192</v>
      </c>
      <c r="V2" s="5" t="s">
        <v>192</v>
      </c>
      <c r="W2" s="3" t="s">
        <v>193</v>
      </c>
      <c r="X2" s="3" t="s">
        <v>193</v>
      </c>
      <c r="Y2" s="3" t="s">
        <v>193</v>
      </c>
      <c r="Z2" s="3" t="s">
        <v>193</v>
      </c>
      <c r="AA2" s="3" t="s">
        <v>193</v>
      </c>
      <c r="AB2" s="5" t="s">
        <v>193</v>
      </c>
      <c r="AC2" s="482" t="s">
        <v>194</v>
      </c>
      <c r="AD2" s="484"/>
      <c r="AE2" s="484"/>
      <c r="AF2" s="484"/>
      <c r="AG2" s="484"/>
      <c r="AH2" s="484"/>
      <c r="AI2" s="484"/>
      <c r="AJ2" s="483"/>
      <c r="AK2" s="482" t="s">
        <v>298</v>
      </c>
      <c r="AL2" s="484"/>
      <c r="AM2" s="483"/>
    </row>
    <row r="3" spans="1:40" ht="57.6">
      <c r="A3" s="496" t="s">
        <v>195</v>
      </c>
      <c r="B3" s="205" t="s">
        <v>196</v>
      </c>
      <c r="C3" s="205" t="s">
        <v>197</v>
      </c>
      <c r="D3" s="206" t="s">
        <v>198</v>
      </c>
      <c r="E3" s="207" t="s">
        <v>199</v>
      </c>
      <c r="F3" s="206" t="s">
        <v>200</v>
      </c>
      <c r="G3" s="208" t="s">
        <v>201</v>
      </c>
      <c r="H3" s="209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210" t="s">
        <v>307</v>
      </c>
      <c r="S3" s="206" t="s">
        <v>308</v>
      </c>
      <c r="T3" s="210" t="s">
        <v>309</v>
      </c>
      <c r="U3" s="205" t="s">
        <v>310</v>
      </c>
      <c r="V3" s="206" t="s">
        <v>206</v>
      </c>
      <c r="W3" s="205" t="s">
        <v>207</v>
      </c>
      <c r="X3" s="205" t="s">
        <v>209</v>
      </c>
      <c r="Y3" s="205" t="s">
        <v>210</v>
      </c>
      <c r="Z3" s="205" t="s">
        <v>211</v>
      </c>
      <c r="AA3" s="205" t="s">
        <v>212</v>
      </c>
      <c r="AB3" s="206" t="s">
        <v>213</v>
      </c>
      <c r="AC3" s="210" t="s">
        <v>311</v>
      </c>
      <c r="AD3" s="205" t="s">
        <v>312</v>
      </c>
      <c r="AE3" s="205" t="s">
        <v>313</v>
      </c>
      <c r="AF3" s="205" t="s">
        <v>314</v>
      </c>
      <c r="AG3" s="211" t="s">
        <v>315</v>
      </c>
      <c r="AH3" s="212" t="s">
        <v>316</v>
      </c>
      <c r="AI3" s="212" t="s">
        <v>317</v>
      </c>
      <c r="AJ3" s="213" t="s">
        <v>318</v>
      </c>
      <c r="AK3" s="212" t="s">
        <v>311</v>
      </c>
      <c r="AL3" s="211" t="s">
        <v>312</v>
      </c>
      <c r="AM3" s="213" t="s">
        <v>319</v>
      </c>
      <c r="AN3" s="214" t="s">
        <v>339</v>
      </c>
    </row>
    <row r="4" spans="1:40">
      <c r="A4" s="497" t="s">
        <v>115</v>
      </c>
      <c r="B4" s="131" t="s">
        <v>391</v>
      </c>
      <c r="C4" s="131" t="s">
        <v>392</v>
      </c>
      <c r="D4" s="131" t="s">
        <v>393</v>
      </c>
      <c r="E4" s="131" t="s">
        <v>394</v>
      </c>
      <c r="F4" s="216">
        <v>1</v>
      </c>
      <c r="G4" s="216">
        <v>1</v>
      </c>
      <c r="H4" s="131" t="s">
        <v>348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>
      <c r="A5" s="497" t="s">
        <v>112</v>
      </c>
      <c r="B5" s="131" t="s">
        <v>391</v>
      </c>
      <c r="C5" s="131" t="s">
        <v>395</v>
      </c>
      <c r="D5" s="131" t="s">
        <v>396</v>
      </c>
      <c r="E5" s="131" t="s">
        <v>394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>
      <c r="A6" s="497" t="s">
        <v>355</v>
      </c>
      <c r="B6" s="131" t="s">
        <v>391</v>
      </c>
      <c r="C6" s="131" t="s">
        <v>395</v>
      </c>
      <c r="D6" s="131" t="s">
        <v>397</v>
      </c>
      <c r="E6" s="131" t="s">
        <v>394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>
      <c r="A7" s="497" t="s">
        <v>112</v>
      </c>
      <c r="B7" s="131" t="s">
        <v>391</v>
      </c>
      <c r="C7" s="131" t="s">
        <v>395</v>
      </c>
      <c r="D7" s="131" t="s">
        <v>398</v>
      </c>
      <c r="E7" s="131" t="s">
        <v>399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>
      <c r="A8" s="497" t="s">
        <v>124</v>
      </c>
      <c r="B8" s="131" t="s">
        <v>391</v>
      </c>
      <c r="C8" s="131" t="s">
        <v>400</v>
      </c>
      <c r="D8" s="131" t="s">
        <v>401</v>
      </c>
      <c r="E8" s="131" t="s">
        <v>402</v>
      </c>
      <c r="F8" s="216">
        <v>1</v>
      </c>
      <c r="G8" s="216">
        <v>1</v>
      </c>
      <c r="H8" s="131" t="s">
        <v>348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>
      <c r="A9" s="497" t="s">
        <v>111</v>
      </c>
      <c r="B9" s="131" t="s">
        <v>391</v>
      </c>
      <c r="C9" s="131" t="s">
        <v>392</v>
      </c>
      <c r="D9" s="131" t="s">
        <v>403</v>
      </c>
      <c r="E9" s="131" t="s">
        <v>394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>
      <c r="A10" s="497" t="s">
        <v>355</v>
      </c>
      <c r="B10" s="131" t="s">
        <v>391</v>
      </c>
      <c r="C10" s="131" t="s">
        <v>404</v>
      </c>
      <c r="D10" s="131" t="s">
        <v>405</v>
      </c>
      <c r="E10" s="131"/>
      <c r="F10" s="216"/>
      <c r="G10" s="216"/>
      <c r="H10" s="131" t="s">
        <v>348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>
      <c r="A11" s="497" t="s">
        <v>97</v>
      </c>
      <c r="B11" s="131" t="s">
        <v>391</v>
      </c>
      <c r="C11" s="131" t="s">
        <v>404</v>
      </c>
      <c r="D11" s="131" t="s">
        <v>405</v>
      </c>
      <c r="E11" s="131"/>
      <c r="F11" s="216"/>
      <c r="G11" s="216"/>
      <c r="H11" s="131" t="s">
        <v>348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>
      <c r="A12" s="497" t="s">
        <v>107</v>
      </c>
      <c r="B12" s="131" t="s">
        <v>391</v>
      </c>
      <c r="C12" s="131" t="s">
        <v>406</v>
      </c>
      <c r="D12" s="131" t="s">
        <v>407</v>
      </c>
      <c r="E12" s="131"/>
      <c r="F12" s="216"/>
      <c r="G12" s="216"/>
      <c r="H12" s="131" t="s">
        <v>348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>
      <c r="A13" s="497" t="s">
        <v>122</v>
      </c>
      <c r="B13" s="131" t="s">
        <v>391</v>
      </c>
      <c r="C13" s="131" t="s">
        <v>406</v>
      </c>
      <c r="D13" s="131" t="s">
        <v>408</v>
      </c>
      <c r="E13" s="131"/>
      <c r="F13" s="216"/>
      <c r="G13" s="216"/>
      <c r="H13" s="131" t="s">
        <v>348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>
      <c r="A14" s="497" t="s">
        <v>122</v>
      </c>
      <c r="B14" s="131" t="s">
        <v>391</v>
      </c>
      <c r="C14" s="131" t="s">
        <v>406</v>
      </c>
      <c r="D14" s="131" t="s">
        <v>409</v>
      </c>
      <c r="E14" s="131"/>
      <c r="F14" s="216"/>
      <c r="G14" s="216"/>
      <c r="H14" s="131" t="s">
        <v>348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>
      <c r="A15" s="497" t="s">
        <v>106</v>
      </c>
      <c r="B15" s="131" t="s">
        <v>391</v>
      </c>
      <c r="C15" s="131" t="s">
        <v>406</v>
      </c>
      <c r="D15" s="131" t="s">
        <v>410</v>
      </c>
      <c r="E15" s="131"/>
      <c r="F15" s="216"/>
      <c r="G15" s="216"/>
      <c r="H15" s="131" t="s">
        <v>348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>
      <c r="A16" s="497" t="s">
        <v>390</v>
      </c>
      <c r="B16" s="131" t="s">
        <v>391</v>
      </c>
      <c r="C16" s="131" t="s">
        <v>406</v>
      </c>
      <c r="D16" s="131" t="s">
        <v>410</v>
      </c>
      <c r="E16" s="131"/>
      <c r="F16" s="216"/>
      <c r="G16" s="216"/>
      <c r="H16" s="131" t="s">
        <v>348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>
      <c r="A17" s="497" t="s">
        <v>109</v>
      </c>
      <c r="B17" s="131" t="s">
        <v>391</v>
      </c>
      <c r="C17" s="131" t="s">
        <v>404</v>
      </c>
      <c r="D17" s="131" t="s">
        <v>411</v>
      </c>
      <c r="E17" s="131"/>
      <c r="F17" s="216"/>
      <c r="G17" s="216"/>
      <c r="H17" s="131" t="s">
        <v>348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>
      <c r="A18" s="497" t="s">
        <v>111</v>
      </c>
      <c r="B18" s="131" t="s">
        <v>391</v>
      </c>
      <c r="C18" s="131" t="s">
        <v>404</v>
      </c>
      <c r="D18" s="131" t="s">
        <v>411</v>
      </c>
      <c r="E18" s="131"/>
      <c r="F18" s="216"/>
      <c r="G18" s="216"/>
      <c r="H18" s="131" t="s">
        <v>348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>
      <c r="A19" s="497" t="s">
        <v>358</v>
      </c>
      <c r="B19" s="131" t="s">
        <v>391</v>
      </c>
      <c r="C19" s="131" t="s">
        <v>404</v>
      </c>
      <c r="D19" s="131" t="s">
        <v>412</v>
      </c>
      <c r="E19" s="131"/>
      <c r="F19" s="216"/>
      <c r="G19" s="216"/>
      <c r="H19" s="497" t="s">
        <v>382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>
      <c r="A20" s="497" t="s">
        <v>112</v>
      </c>
      <c r="B20" s="131" t="s">
        <v>391</v>
      </c>
      <c r="C20" s="131" t="s">
        <v>404</v>
      </c>
      <c r="D20" s="131" t="s">
        <v>413</v>
      </c>
      <c r="E20" s="131" t="s">
        <v>394</v>
      </c>
      <c r="F20" s="216">
        <v>1</v>
      </c>
      <c r="G20" s="216"/>
      <c r="H20" s="131" t="s">
        <v>348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>
      <c r="A21" s="497" t="s">
        <v>358</v>
      </c>
      <c r="B21" s="131" t="s">
        <v>391</v>
      </c>
      <c r="C21" s="131" t="s">
        <v>395</v>
      </c>
      <c r="D21" s="131" t="s">
        <v>398</v>
      </c>
      <c r="E21" s="131" t="s">
        <v>399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>
      <c r="A22" s="497" t="s">
        <v>106</v>
      </c>
      <c r="B22" s="131" t="s">
        <v>391</v>
      </c>
      <c r="C22" s="131" t="s">
        <v>395</v>
      </c>
      <c r="D22" s="131" t="s">
        <v>414</v>
      </c>
      <c r="E22" s="131" t="s">
        <v>394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>
      <c r="A23" s="497" t="s">
        <v>106</v>
      </c>
      <c r="B23" s="131" t="s">
        <v>391</v>
      </c>
      <c r="C23" s="131" t="s">
        <v>400</v>
      </c>
      <c r="D23" s="131" t="s">
        <v>415</v>
      </c>
      <c r="E23" s="131" t="s">
        <v>365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>
      <c r="A24" s="497" t="s">
        <v>109</v>
      </c>
      <c r="B24" s="131" t="s">
        <v>391</v>
      </c>
      <c r="C24" s="131" t="s">
        <v>395</v>
      </c>
      <c r="D24" s="131" t="s">
        <v>396</v>
      </c>
      <c r="E24" s="131" t="s">
        <v>394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>
      <c r="A25" s="497" t="s">
        <v>109</v>
      </c>
      <c r="B25" s="131" t="s">
        <v>391</v>
      </c>
      <c r="C25" s="131" t="s">
        <v>395</v>
      </c>
      <c r="D25" s="131" t="s">
        <v>398</v>
      </c>
      <c r="E25" s="131" t="s">
        <v>399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>
      <c r="A26" s="497" t="s">
        <v>122</v>
      </c>
      <c r="B26" s="131" t="s">
        <v>391</v>
      </c>
      <c r="C26" s="131" t="s">
        <v>392</v>
      </c>
      <c r="D26" s="131" t="s">
        <v>416</v>
      </c>
      <c r="E26" s="131" t="s">
        <v>365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>
      <c r="A27" s="497" t="s">
        <v>122</v>
      </c>
      <c r="B27" s="131" t="s">
        <v>391</v>
      </c>
      <c r="C27" s="131" t="s">
        <v>392</v>
      </c>
      <c r="D27" s="131" t="s">
        <v>417</v>
      </c>
      <c r="E27" s="131" t="s">
        <v>365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>
      <c r="A28" s="497" t="s">
        <v>122</v>
      </c>
      <c r="B28" s="131" t="s">
        <v>391</v>
      </c>
      <c r="C28" s="131" t="s">
        <v>400</v>
      </c>
      <c r="D28" s="131" t="s">
        <v>415</v>
      </c>
      <c r="E28" s="131" t="s">
        <v>365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>
      <c r="A29" s="497" t="s">
        <v>122</v>
      </c>
      <c r="B29" s="131" t="s">
        <v>391</v>
      </c>
      <c r="C29" s="131" t="s">
        <v>395</v>
      </c>
      <c r="D29" s="131" t="s">
        <v>414</v>
      </c>
      <c r="E29" s="131" t="s">
        <v>394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>
      <c r="A30" s="497" t="s">
        <v>122</v>
      </c>
      <c r="B30" s="131" t="s">
        <v>391</v>
      </c>
      <c r="C30" s="131" t="s">
        <v>400</v>
      </c>
      <c r="D30" s="131" t="s">
        <v>401</v>
      </c>
      <c r="E30" s="131" t="s">
        <v>402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>
      <c r="A31" s="497" t="s">
        <v>97</v>
      </c>
      <c r="B31" s="131" t="s">
        <v>391</v>
      </c>
      <c r="C31" s="131" t="s">
        <v>395</v>
      </c>
      <c r="D31" s="131" t="s">
        <v>414</v>
      </c>
      <c r="E31" s="131" t="s">
        <v>394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>
      <c r="A32" s="497" t="s">
        <v>97</v>
      </c>
      <c r="B32" s="131" t="s">
        <v>391</v>
      </c>
      <c r="C32" s="131" t="s">
        <v>395</v>
      </c>
      <c r="D32" s="131" t="s">
        <v>397</v>
      </c>
      <c r="E32" s="131" t="s">
        <v>394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>
      <c r="A33" s="498" t="s">
        <v>137</v>
      </c>
      <c r="B33" s="131" t="s">
        <v>391</v>
      </c>
      <c r="C33" s="131" t="s">
        <v>400</v>
      </c>
      <c r="D33" s="131" t="s">
        <v>418</v>
      </c>
      <c r="E33" s="131" t="s">
        <v>402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>
      <c r="A34" s="497" t="s">
        <v>124</v>
      </c>
      <c r="B34" s="131" t="s">
        <v>391</v>
      </c>
      <c r="C34" s="131" t="s">
        <v>400</v>
      </c>
      <c r="D34" s="131" t="s">
        <v>415</v>
      </c>
      <c r="E34" s="131" t="s">
        <v>365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>
      <c r="A35" s="497" t="s">
        <v>124</v>
      </c>
      <c r="B35" s="131" t="s">
        <v>391</v>
      </c>
      <c r="C35" s="131" t="s">
        <v>392</v>
      </c>
      <c r="D35" s="131" t="s">
        <v>393</v>
      </c>
      <c r="E35" s="131" t="s">
        <v>394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>
      <c r="A36" s="497" t="s">
        <v>390</v>
      </c>
      <c r="B36" s="131" t="s">
        <v>391</v>
      </c>
      <c r="C36" s="131" t="s">
        <v>395</v>
      </c>
      <c r="D36" s="131" t="s">
        <v>414</v>
      </c>
      <c r="E36" s="131" t="s">
        <v>394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>
      <c r="A37" s="497" t="s">
        <v>390</v>
      </c>
      <c r="B37" s="131" t="s">
        <v>391</v>
      </c>
      <c r="C37" s="131" t="s">
        <v>395</v>
      </c>
      <c r="D37" s="131" t="s">
        <v>398</v>
      </c>
      <c r="E37" s="131" t="s">
        <v>399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>
      <c r="A38" s="497" t="s">
        <v>352</v>
      </c>
      <c r="B38" s="131" t="s">
        <v>391</v>
      </c>
      <c r="C38" s="131" t="s">
        <v>400</v>
      </c>
      <c r="D38" s="131" t="s">
        <v>418</v>
      </c>
      <c r="E38" s="131" t="s">
        <v>402</v>
      </c>
      <c r="F38" s="216">
        <v>1</v>
      </c>
      <c r="G38" s="216">
        <v>1</v>
      </c>
      <c r="H38" s="131" t="s">
        <v>348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>
      <c r="A39" s="497" t="s">
        <v>107</v>
      </c>
      <c r="B39" s="131" t="s">
        <v>391</v>
      </c>
      <c r="C39" s="131" t="s">
        <v>392</v>
      </c>
      <c r="D39" s="131" t="s">
        <v>416</v>
      </c>
      <c r="E39" s="131" t="s">
        <v>365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>
      <c r="A40" s="497" t="s">
        <v>107</v>
      </c>
      <c r="B40" s="131" t="s">
        <v>391</v>
      </c>
      <c r="C40" s="131" t="s">
        <v>395</v>
      </c>
      <c r="D40" s="131" t="s">
        <v>419</v>
      </c>
      <c r="E40" s="131" t="s">
        <v>394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420</v>
      </c>
      <c r="AB40" s="218" t="s">
        <v>421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>
      <c r="A41" s="497" t="s">
        <v>107</v>
      </c>
      <c r="B41" s="131" t="s">
        <v>391</v>
      </c>
      <c r="C41" s="131" t="s">
        <v>400</v>
      </c>
      <c r="D41" s="131" t="s">
        <v>415</v>
      </c>
      <c r="E41" s="131" t="s">
        <v>365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>
      <c r="A42" s="497" t="s">
        <v>107</v>
      </c>
      <c r="B42" s="131" t="s">
        <v>391</v>
      </c>
      <c r="C42" s="131" t="s">
        <v>395</v>
      </c>
      <c r="D42" s="131" t="s">
        <v>398</v>
      </c>
      <c r="E42" s="131" t="s">
        <v>399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>
      <c r="A43" s="497" t="s">
        <v>422</v>
      </c>
      <c r="B43" s="131" t="s">
        <v>391</v>
      </c>
      <c r="C43" s="131" t="s">
        <v>400</v>
      </c>
      <c r="D43" s="131" t="s">
        <v>418</v>
      </c>
      <c r="E43" s="131" t="s">
        <v>402</v>
      </c>
      <c r="F43" s="216"/>
      <c r="G43" s="216">
        <v>1</v>
      </c>
      <c r="H43" s="131" t="s">
        <v>348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>
      <c r="A44" s="497" t="s">
        <v>423</v>
      </c>
      <c r="B44" s="224" t="s">
        <v>391</v>
      </c>
      <c r="C44" s="224" t="s">
        <v>392</v>
      </c>
      <c r="D44" s="131" t="s">
        <v>417</v>
      </c>
      <c r="E44" s="131" t="s">
        <v>424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>
      <c r="A45" s="497" t="s">
        <v>423</v>
      </c>
      <c r="B45" s="224" t="s">
        <v>391</v>
      </c>
      <c r="C45" s="224" t="s">
        <v>392</v>
      </c>
      <c r="D45" s="131" t="s">
        <v>417</v>
      </c>
      <c r="E45" s="131" t="s">
        <v>360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>
      <c r="A46" s="497" t="s">
        <v>423</v>
      </c>
      <c r="B46" s="224" t="s">
        <v>391</v>
      </c>
      <c r="C46" s="224" t="s">
        <v>392</v>
      </c>
      <c r="D46" s="131" t="s">
        <v>417</v>
      </c>
      <c r="E46" s="131" t="s">
        <v>394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>
      <c r="A47" s="497" t="s">
        <v>423</v>
      </c>
      <c r="B47" s="224" t="s">
        <v>391</v>
      </c>
      <c r="C47" s="224" t="s">
        <v>392</v>
      </c>
      <c r="D47" s="131" t="s">
        <v>417</v>
      </c>
      <c r="E47" s="131" t="s">
        <v>394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>
      <c r="A48" s="497" t="s">
        <v>179</v>
      </c>
      <c r="B48" s="224" t="s">
        <v>391</v>
      </c>
      <c r="C48" s="224" t="s">
        <v>392</v>
      </c>
      <c r="D48" s="131" t="s">
        <v>417</v>
      </c>
      <c r="E48" s="131" t="s">
        <v>424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>
      <c r="A49" s="497" t="s">
        <v>179</v>
      </c>
      <c r="B49" s="224" t="s">
        <v>391</v>
      </c>
      <c r="C49" s="224" t="s">
        <v>392</v>
      </c>
      <c r="D49" s="131" t="s">
        <v>417</v>
      </c>
      <c r="E49" s="131" t="s">
        <v>394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>
      <c r="A50" s="497" t="s">
        <v>425</v>
      </c>
      <c r="B50" s="224" t="s">
        <v>391</v>
      </c>
      <c r="C50" s="224" t="s">
        <v>392</v>
      </c>
      <c r="D50" s="131" t="s">
        <v>417</v>
      </c>
      <c r="E50" s="131" t="s">
        <v>360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>
      <c r="A51" s="497" t="s">
        <v>425</v>
      </c>
      <c r="B51" s="224" t="s">
        <v>391</v>
      </c>
      <c r="C51" s="224" t="s">
        <v>392</v>
      </c>
      <c r="D51" s="131" t="s">
        <v>417</v>
      </c>
      <c r="E51" s="131" t="s">
        <v>394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>
      <c r="A52" s="497" t="s">
        <v>388</v>
      </c>
      <c r="B52" s="224" t="s">
        <v>391</v>
      </c>
      <c r="C52" s="224" t="s">
        <v>392</v>
      </c>
      <c r="D52" s="131" t="s">
        <v>417</v>
      </c>
      <c r="E52" s="131" t="s">
        <v>360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>
      <c r="A53" s="497" t="s">
        <v>388</v>
      </c>
      <c r="B53" s="224" t="s">
        <v>391</v>
      </c>
      <c r="C53" s="224" t="s">
        <v>392</v>
      </c>
      <c r="D53" s="131" t="s">
        <v>417</v>
      </c>
      <c r="E53" s="131" t="s">
        <v>394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>
      <c r="A54" s="497" t="s">
        <v>85</v>
      </c>
      <c r="B54" s="224" t="s">
        <v>391</v>
      </c>
      <c r="C54" s="224" t="s">
        <v>392</v>
      </c>
      <c r="D54" s="131" t="s">
        <v>417</v>
      </c>
      <c r="E54" s="131" t="s">
        <v>426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>
      <c r="A55" s="497" t="s">
        <v>53</v>
      </c>
      <c r="B55" s="224" t="s">
        <v>391</v>
      </c>
      <c r="C55" s="224" t="s">
        <v>392</v>
      </c>
      <c r="D55" s="131" t="s">
        <v>417</v>
      </c>
      <c r="E55" s="131" t="s">
        <v>427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>
      <c r="A56" s="497" t="s">
        <v>53</v>
      </c>
      <c r="B56" s="224" t="s">
        <v>391</v>
      </c>
      <c r="C56" s="224" t="s">
        <v>392</v>
      </c>
      <c r="D56" s="131" t="s">
        <v>417</v>
      </c>
      <c r="E56" s="131" t="s">
        <v>428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>
      <c r="A57" s="497" t="s">
        <v>171</v>
      </c>
      <c r="B57" s="224" t="s">
        <v>391</v>
      </c>
      <c r="C57" s="224" t="s">
        <v>392</v>
      </c>
      <c r="D57" s="131" t="s">
        <v>417</v>
      </c>
      <c r="E57" s="131" t="s">
        <v>394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>
      <c r="A58" s="497" t="s">
        <v>358</v>
      </c>
      <c r="B58" s="224" t="s">
        <v>391</v>
      </c>
      <c r="C58" s="224" t="s">
        <v>392</v>
      </c>
      <c r="D58" s="131" t="s">
        <v>417</v>
      </c>
      <c r="E58" s="131" t="s">
        <v>399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>
      <c r="A59" s="497" t="s">
        <v>346</v>
      </c>
      <c r="B59" s="224" t="s">
        <v>391</v>
      </c>
      <c r="C59" s="224" t="s">
        <v>392</v>
      </c>
      <c r="D59" s="131" t="s">
        <v>417</v>
      </c>
      <c r="E59" s="131" t="s">
        <v>394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>
      <c r="A60" s="497" t="s">
        <v>146</v>
      </c>
      <c r="B60" s="224" t="s">
        <v>391</v>
      </c>
      <c r="C60" s="224" t="s">
        <v>392</v>
      </c>
      <c r="D60" s="131" t="s">
        <v>417</v>
      </c>
      <c r="E60" s="131" t="s">
        <v>394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>
      <c r="A61" s="497" t="s">
        <v>91</v>
      </c>
      <c r="B61" s="224" t="s">
        <v>391</v>
      </c>
      <c r="C61" s="224" t="s">
        <v>392</v>
      </c>
      <c r="D61" s="131" t="s">
        <v>417</v>
      </c>
      <c r="E61" s="131" t="s">
        <v>429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>
      <c r="A62" s="497" t="s">
        <v>160</v>
      </c>
      <c r="B62" s="224" t="s">
        <v>391</v>
      </c>
      <c r="C62" s="224" t="s">
        <v>392</v>
      </c>
      <c r="D62" s="131" t="s">
        <v>417</v>
      </c>
      <c r="E62" s="131" t="s">
        <v>394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>
      <c r="A63" s="497" t="s">
        <v>51</v>
      </c>
      <c r="B63" s="224" t="s">
        <v>391</v>
      </c>
      <c r="C63" s="224" t="s">
        <v>392</v>
      </c>
      <c r="D63" s="131" t="s">
        <v>417</v>
      </c>
      <c r="E63" s="131" t="s">
        <v>427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>
      <c r="A64" s="497" t="s">
        <v>51</v>
      </c>
      <c r="B64" s="224" t="s">
        <v>391</v>
      </c>
      <c r="C64" s="224" t="s">
        <v>392</v>
      </c>
      <c r="D64" s="131" t="s">
        <v>417</v>
      </c>
      <c r="E64" s="131" t="s">
        <v>428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>
      <c r="A65" s="497" t="s">
        <v>153</v>
      </c>
      <c r="B65" s="224" t="s">
        <v>391</v>
      </c>
      <c r="C65" s="224" t="s">
        <v>392</v>
      </c>
      <c r="D65" s="131" t="s">
        <v>417</v>
      </c>
      <c r="E65" s="131" t="s">
        <v>394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>
      <c r="A66" s="497" t="s">
        <v>430</v>
      </c>
      <c r="B66" s="224" t="s">
        <v>391</v>
      </c>
      <c r="C66" s="224" t="s">
        <v>392</v>
      </c>
      <c r="D66" s="131" t="s">
        <v>417</v>
      </c>
      <c r="E66" s="131" t="s">
        <v>429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>
      <c r="A67" s="497" t="s">
        <v>59</v>
      </c>
      <c r="B67" s="224" t="s">
        <v>391</v>
      </c>
      <c r="C67" s="224" t="s">
        <v>392</v>
      </c>
      <c r="D67" s="131" t="s">
        <v>417</v>
      </c>
      <c r="E67" s="131" t="s">
        <v>431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>
      <c r="A68" s="497" t="s">
        <v>94</v>
      </c>
      <c r="B68" s="224" t="s">
        <v>391</v>
      </c>
      <c r="C68" s="224" t="s">
        <v>392</v>
      </c>
      <c r="D68" s="131" t="s">
        <v>417</v>
      </c>
      <c r="E68" s="131" t="s">
        <v>429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>
      <c r="A69" s="497" t="s">
        <v>22</v>
      </c>
      <c r="B69" s="224" t="s">
        <v>391</v>
      </c>
      <c r="C69" s="224" t="s">
        <v>392</v>
      </c>
      <c r="D69" s="131" t="s">
        <v>417</v>
      </c>
      <c r="E69" s="131" t="s">
        <v>394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>
      <c r="A70" s="497" t="s">
        <v>432</v>
      </c>
      <c r="B70" s="224" t="s">
        <v>391</v>
      </c>
      <c r="C70" s="224" t="s">
        <v>392</v>
      </c>
      <c r="D70" s="131" t="s">
        <v>417</v>
      </c>
      <c r="E70" s="131" t="s">
        <v>426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>
      <c r="A71" s="497" t="s">
        <v>40</v>
      </c>
      <c r="B71" s="224" t="s">
        <v>391</v>
      </c>
      <c r="C71" s="224" t="s">
        <v>392</v>
      </c>
      <c r="D71" s="131" t="s">
        <v>417</v>
      </c>
      <c r="E71" s="131" t="s">
        <v>356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>
      <c r="A72" s="497" t="s">
        <v>349</v>
      </c>
      <c r="B72" s="224" t="s">
        <v>391</v>
      </c>
      <c r="C72" s="224" t="s">
        <v>392</v>
      </c>
      <c r="D72" s="131" t="s">
        <v>417</v>
      </c>
      <c r="E72" s="131" t="s">
        <v>433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>
      <c r="A73" s="497" t="s">
        <v>27</v>
      </c>
      <c r="B73" s="224" t="s">
        <v>391</v>
      </c>
      <c r="C73" s="224" t="s">
        <v>392</v>
      </c>
      <c r="D73" s="131" t="s">
        <v>417</v>
      </c>
      <c r="E73" s="131" t="s">
        <v>394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>
      <c r="A74" s="497" t="s">
        <v>45</v>
      </c>
      <c r="B74" s="224" t="s">
        <v>391</v>
      </c>
      <c r="C74" s="224" t="s">
        <v>392</v>
      </c>
      <c r="D74" s="131" t="s">
        <v>417</v>
      </c>
      <c r="E74" s="131" t="s">
        <v>434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>
      <c r="A75" s="497" t="s">
        <v>57</v>
      </c>
      <c r="B75" s="224" t="s">
        <v>391</v>
      </c>
      <c r="C75" s="224" t="s">
        <v>392</v>
      </c>
      <c r="D75" s="131" t="s">
        <v>417</v>
      </c>
      <c r="E75" s="131" t="s">
        <v>431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>
      <c r="A76" s="497" t="s">
        <v>178</v>
      </c>
      <c r="B76" s="224" t="s">
        <v>391</v>
      </c>
      <c r="C76" s="224" t="s">
        <v>392</v>
      </c>
      <c r="D76" s="131" t="s">
        <v>417</v>
      </c>
      <c r="E76" s="131" t="s">
        <v>424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>
      <c r="A77" s="497" t="s">
        <v>178</v>
      </c>
      <c r="B77" s="224" t="s">
        <v>391</v>
      </c>
      <c r="C77" s="224" t="s">
        <v>392</v>
      </c>
      <c r="D77" s="131" t="s">
        <v>417</v>
      </c>
      <c r="E77" s="131" t="s">
        <v>394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>
      <c r="A78" s="497" t="s">
        <v>185</v>
      </c>
      <c r="B78" s="224" t="s">
        <v>391</v>
      </c>
      <c r="C78" s="224" t="s">
        <v>392</v>
      </c>
      <c r="D78" s="131" t="s">
        <v>417</v>
      </c>
      <c r="E78" s="131" t="s">
        <v>424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>
      <c r="A79" s="497" t="s">
        <v>115</v>
      </c>
      <c r="B79" s="224" t="s">
        <v>391</v>
      </c>
      <c r="C79" s="224" t="s">
        <v>392</v>
      </c>
      <c r="D79" s="131" t="s">
        <v>417</v>
      </c>
      <c r="E79" s="131" t="s">
        <v>365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>
      <c r="A80" s="497" t="s">
        <v>350</v>
      </c>
      <c r="B80" s="224" t="s">
        <v>391</v>
      </c>
      <c r="C80" s="224" t="s">
        <v>392</v>
      </c>
      <c r="D80" s="131" t="s">
        <v>417</v>
      </c>
      <c r="E80" s="131" t="s">
        <v>356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>
      <c r="A81" s="497" t="s">
        <v>155</v>
      </c>
      <c r="B81" s="224" t="s">
        <v>391</v>
      </c>
      <c r="C81" s="224" t="s">
        <v>392</v>
      </c>
      <c r="D81" s="131" t="s">
        <v>417</v>
      </c>
      <c r="E81" s="131" t="s">
        <v>394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>
      <c r="A82" s="497" t="s">
        <v>338</v>
      </c>
      <c r="B82" s="224" t="s">
        <v>391</v>
      </c>
      <c r="C82" s="224" t="s">
        <v>392</v>
      </c>
      <c r="D82" s="131" t="s">
        <v>417</v>
      </c>
      <c r="E82" s="131" t="s">
        <v>394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>
      <c r="A83" s="497" t="s">
        <v>38</v>
      </c>
      <c r="B83" s="224" t="s">
        <v>391</v>
      </c>
      <c r="C83" s="224" t="s">
        <v>392</v>
      </c>
      <c r="D83" s="131" t="s">
        <v>417</v>
      </c>
      <c r="E83" s="131" t="s">
        <v>356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>
      <c r="A84" s="497" t="s">
        <v>39</v>
      </c>
      <c r="B84" s="224" t="s">
        <v>391</v>
      </c>
      <c r="C84" s="224" t="s">
        <v>392</v>
      </c>
      <c r="D84" s="131" t="s">
        <v>417</v>
      </c>
      <c r="E84" s="131" t="s">
        <v>356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>
      <c r="A85" s="497" t="s">
        <v>131</v>
      </c>
      <c r="B85" s="224" t="s">
        <v>391</v>
      </c>
      <c r="C85" s="224" t="s">
        <v>392</v>
      </c>
      <c r="D85" s="131" t="s">
        <v>417</v>
      </c>
      <c r="E85" s="131" t="s">
        <v>360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>
      <c r="A86" s="497" t="s">
        <v>131</v>
      </c>
      <c r="B86" s="224" t="s">
        <v>391</v>
      </c>
      <c r="C86" s="224" t="s">
        <v>392</v>
      </c>
      <c r="D86" s="131" t="s">
        <v>417</v>
      </c>
      <c r="E86" s="131" t="s">
        <v>394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>
      <c r="A87" s="497" t="s">
        <v>127</v>
      </c>
      <c r="B87" s="224" t="s">
        <v>391</v>
      </c>
      <c r="C87" s="224" t="s">
        <v>392</v>
      </c>
      <c r="D87" s="131" t="s">
        <v>417</v>
      </c>
      <c r="E87" s="131" t="s">
        <v>435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>
      <c r="A88" s="497" t="s">
        <v>112</v>
      </c>
      <c r="B88" s="224" t="s">
        <v>391</v>
      </c>
      <c r="C88" s="224" t="s">
        <v>392</v>
      </c>
      <c r="D88" s="131" t="s">
        <v>417</v>
      </c>
      <c r="E88" s="131" t="s">
        <v>394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>
      <c r="A89" s="497" t="s">
        <v>150</v>
      </c>
      <c r="B89" s="224" t="s">
        <v>391</v>
      </c>
      <c r="C89" s="224" t="s">
        <v>392</v>
      </c>
      <c r="D89" s="131" t="s">
        <v>417</v>
      </c>
      <c r="E89" s="131" t="s">
        <v>394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>
      <c r="A90" s="497" t="s">
        <v>157</v>
      </c>
      <c r="B90" s="224" t="s">
        <v>391</v>
      </c>
      <c r="C90" s="224" t="s">
        <v>392</v>
      </c>
      <c r="D90" s="131" t="s">
        <v>417</v>
      </c>
      <c r="E90" s="131" t="s">
        <v>394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>
      <c r="A91" s="497" t="s">
        <v>106</v>
      </c>
      <c r="B91" s="224" t="s">
        <v>391</v>
      </c>
      <c r="C91" s="224" t="s">
        <v>392</v>
      </c>
      <c r="D91" s="131" t="s">
        <v>417</v>
      </c>
      <c r="E91" s="131" t="s">
        <v>365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>
      <c r="A92" s="497" t="s">
        <v>436</v>
      </c>
      <c r="B92" s="224" t="s">
        <v>391</v>
      </c>
      <c r="C92" s="224" t="s">
        <v>392</v>
      </c>
      <c r="D92" s="131" t="s">
        <v>417</v>
      </c>
      <c r="E92" s="131" t="s">
        <v>426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>
      <c r="A93" s="497" t="s">
        <v>41</v>
      </c>
      <c r="B93" s="224" t="s">
        <v>391</v>
      </c>
      <c r="C93" s="224" t="s">
        <v>392</v>
      </c>
      <c r="D93" s="131" t="s">
        <v>417</v>
      </c>
      <c r="E93" s="131" t="s">
        <v>356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>
      <c r="A94" s="497" t="s">
        <v>161</v>
      </c>
      <c r="B94" s="224" t="s">
        <v>391</v>
      </c>
      <c r="C94" s="224" t="s">
        <v>392</v>
      </c>
      <c r="D94" s="131" t="s">
        <v>417</v>
      </c>
      <c r="E94" s="131" t="s">
        <v>359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>
      <c r="A95" s="497" t="s">
        <v>20</v>
      </c>
      <c r="B95" s="224" t="s">
        <v>391</v>
      </c>
      <c r="C95" s="224" t="s">
        <v>392</v>
      </c>
      <c r="D95" s="131" t="s">
        <v>417</v>
      </c>
      <c r="E95" s="131" t="s">
        <v>394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>
      <c r="A96" s="497" t="s">
        <v>109</v>
      </c>
      <c r="B96" s="224" t="s">
        <v>391</v>
      </c>
      <c r="C96" s="224" t="s">
        <v>392</v>
      </c>
      <c r="D96" s="131" t="s">
        <v>417</v>
      </c>
      <c r="E96" s="131" t="s">
        <v>394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>
      <c r="A97" s="497" t="s">
        <v>351</v>
      </c>
      <c r="B97" s="224" t="s">
        <v>391</v>
      </c>
      <c r="C97" s="224" t="s">
        <v>392</v>
      </c>
      <c r="D97" s="131" t="s">
        <v>417</v>
      </c>
      <c r="E97" s="131" t="s">
        <v>356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>
      <c r="A98" s="497" t="s">
        <v>159</v>
      </c>
      <c r="B98" s="224" t="s">
        <v>391</v>
      </c>
      <c r="C98" s="224" t="s">
        <v>392</v>
      </c>
      <c r="D98" s="131" t="s">
        <v>417</v>
      </c>
      <c r="E98" s="131" t="s">
        <v>394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>
      <c r="A99" s="497" t="s">
        <v>68</v>
      </c>
      <c r="B99" s="224" t="s">
        <v>391</v>
      </c>
      <c r="C99" s="224" t="s">
        <v>392</v>
      </c>
      <c r="D99" s="131" t="s">
        <v>417</v>
      </c>
      <c r="E99" s="131" t="s">
        <v>426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>
      <c r="A100" s="497" t="s">
        <v>437</v>
      </c>
      <c r="B100" s="224" t="s">
        <v>391</v>
      </c>
      <c r="C100" s="224" t="s">
        <v>392</v>
      </c>
      <c r="D100" s="131" t="s">
        <v>417</v>
      </c>
      <c r="E100" s="131" t="s">
        <v>424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>
      <c r="A101" s="497" t="s">
        <v>165</v>
      </c>
      <c r="B101" s="224" t="s">
        <v>391</v>
      </c>
      <c r="C101" s="224" t="s">
        <v>392</v>
      </c>
      <c r="D101" s="131" t="s">
        <v>417</v>
      </c>
      <c r="E101" s="131" t="s">
        <v>394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>
      <c r="A102" s="497" t="s">
        <v>156</v>
      </c>
      <c r="B102" s="224" t="s">
        <v>391</v>
      </c>
      <c r="C102" s="224" t="s">
        <v>392</v>
      </c>
      <c r="D102" s="131" t="s">
        <v>417</v>
      </c>
      <c r="E102" s="131" t="s">
        <v>394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>
      <c r="A103" s="497" t="s">
        <v>97</v>
      </c>
      <c r="B103" s="224" t="s">
        <v>391</v>
      </c>
      <c r="C103" s="224" t="s">
        <v>392</v>
      </c>
      <c r="D103" s="131" t="s">
        <v>417</v>
      </c>
      <c r="E103" s="131" t="s">
        <v>394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>
      <c r="A104" s="497" t="s">
        <v>58</v>
      </c>
      <c r="B104" s="224" t="s">
        <v>391</v>
      </c>
      <c r="C104" s="224" t="s">
        <v>392</v>
      </c>
      <c r="D104" s="131" t="s">
        <v>417</v>
      </c>
      <c r="E104" s="131" t="s">
        <v>431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>
      <c r="A105" s="497" t="s">
        <v>137</v>
      </c>
      <c r="B105" s="224" t="s">
        <v>391</v>
      </c>
      <c r="C105" s="224" t="s">
        <v>392</v>
      </c>
      <c r="D105" s="131" t="s">
        <v>417</v>
      </c>
      <c r="E105" s="131" t="s">
        <v>433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>
      <c r="A106" s="497" t="s">
        <v>19</v>
      </c>
      <c r="B106" s="224" t="s">
        <v>391</v>
      </c>
      <c r="C106" s="224" t="s">
        <v>392</v>
      </c>
      <c r="D106" s="131" t="s">
        <v>417</v>
      </c>
      <c r="E106" s="131" t="s">
        <v>394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>
      <c r="A107" s="497" t="s">
        <v>124</v>
      </c>
      <c r="B107" s="224" t="s">
        <v>391</v>
      </c>
      <c r="C107" s="224" t="s">
        <v>392</v>
      </c>
      <c r="D107" s="131" t="s">
        <v>417</v>
      </c>
      <c r="E107" s="131" t="s">
        <v>365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>
      <c r="A108" s="497" t="s">
        <v>390</v>
      </c>
      <c r="B108" s="224" t="s">
        <v>391</v>
      </c>
      <c r="C108" s="224" t="s">
        <v>392</v>
      </c>
      <c r="D108" s="131" t="s">
        <v>417</v>
      </c>
      <c r="E108" s="131" t="s">
        <v>394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>
      <c r="A109" s="497" t="s">
        <v>107</v>
      </c>
      <c r="B109" s="224" t="s">
        <v>391</v>
      </c>
      <c r="C109" s="224" t="s">
        <v>392</v>
      </c>
      <c r="D109" s="131" t="s">
        <v>417</v>
      </c>
      <c r="E109" s="131" t="s">
        <v>365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>
      <c r="A110" s="497" t="s">
        <v>341</v>
      </c>
      <c r="B110" s="224" t="s">
        <v>391</v>
      </c>
      <c r="C110" s="224" t="s">
        <v>392</v>
      </c>
      <c r="D110" s="131" t="s">
        <v>417</v>
      </c>
      <c r="E110" s="131" t="s">
        <v>394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>
      <c r="A111" s="497" t="s">
        <v>422</v>
      </c>
      <c r="B111" s="224" t="s">
        <v>391</v>
      </c>
      <c r="C111" s="224" t="s">
        <v>392</v>
      </c>
      <c r="D111" s="131" t="s">
        <v>417</v>
      </c>
      <c r="E111" s="131" t="s">
        <v>365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>
      <c r="A112" s="497" t="s">
        <v>54</v>
      </c>
      <c r="B112" s="224" t="s">
        <v>391</v>
      </c>
      <c r="C112" s="224" t="s">
        <v>392</v>
      </c>
      <c r="D112" s="131" t="s">
        <v>417</v>
      </c>
      <c r="E112" s="131" t="s">
        <v>431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>
      <c r="A113" s="497" t="s">
        <v>438</v>
      </c>
      <c r="B113" s="224" t="s">
        <v>391</v>
      </c>
      <c r="C113" s="224" t="s">
        <v>392</v>
      </c>
      <c r="D113" s="131" t="s">
        <v>403</v>
      </c>
      <c r="E113" s="131" t="s">
        <v>394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>
      <c r="A114" s="497"/>
      <c r="B114" s="224" t="s">
        <v>391</v>
      </c>
      <c r="C114" s="224" t="s">
        <v>392</v>
      </c>
      <c r="D114" s="131" t="s">
        <v>403</v>
      </c>
      <c r="E114" s="131" t="s">
        <v>394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>
      <c r="A115" s="497" t="s">
        <v>179</v>
      </c>
      <c r="B115" s="224" t="s">
        <v>391</v>
      </c>
      <c r="C115" s="224" t="s">
        <v>392</v>
      </c>
      <c r="D115" s="131" t="s">
        <v>403</v>
      </c>
      <c r="E115" s="131" t="s">
        <v>394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>
      <c r="A116" s="497" t="s">
        <v>171</v>
      </c>
      <c r="B116" s="224" t="s">
        <v>391</v>
      </c>
      <c r="C116" s="224" t="s">
        <v>392</v>
      </c>
      <c r="D116" s="131" t="s">
        <v>403</v>
      </c>
      <c r="E116" s="131" t="s">
        <v>394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>
      <c r="A117" s="497" t="s">
        <v>358</v>
      </c>
      <c r="B117" s="224" t="s">
        <v>391</v>
      </c>
      <c r="C117" s="224" t="s">
        <v>392</v>
      </c>
      <c r="D117" s="131" t="s">
        <v>403</v>
      </c>
      <c r="E117" s="131" t="s">
        <v>394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>
      <c r="A118" s="497" t="s">
        <v>346</v>
      </c>
      <c r="B118" s="224" t="s">
        <v>391</v>
      </c>
      <c r="C118" s="224" t="s">
        <v>392</v>
      </c>
      <c r="D118" s="131" t="s">
        <v>403</v>
      </c>
      <c r="E118" s="131" t="s">
        <v>394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>
      <c r="A119" s="497" t="s">
        <v>146</v>
      </c>
      <c r="B119" s="224" t="s">
        <v>391</v>
      </c>
      <c r="C119" s="224" t="s">
        <v>392</v>
      </c>
      <c r="D119" s="131" t="s">
        <v>403</v>
      </c>
      <c r="E119" s="131" t="s">
        <v>394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>
      <c r="A120" s="497" t="s">
        <v>24</v>
      </c>
      <c r="B120" s="224" t="s">
        <v>391</v>
      </c>
      <c r="C120" s="224" t="s">
        <v>392</v>
      </c>
      <c r="D120" s="131" t="s">
        <v>403</v>
      </c>
      <c r="E120" s="131" t="s">
        <v>394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>
      <c r="A121" s="497" t="s">
        <v>160</v>
      </c>
      <c r="B121" s="224" t="s">
        <v>391</v>
      </c>
      <c r="C121" s="224" t="s">
        <v>392</v>
      </c>
      <c r="D121" s="131" t="s">
        <v>403</v>
      </c>
      <c r="E121" s="131" t="s">
        <v>394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>
      <c r="A122" s="497" t="s">
        <v>153</v>
      </c>
      <c r="B122" s="224" t="s">
        <v>391</v>
      </c>
      <c r="C122" s="224" t="s">
        <v>392</v>
      </c>
      <c r="D122" s="131" t="s">
        <v>403</v>
      </c>
      <c r="E122" s="131" t="s">
        <v>394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>
      <c r="A123" s="497" t="s">
        <v>439</v>
      </c>
      <c r="B123" s="224" t="s">
        <v>391</v>
      </c>
      <c r="C123" s="224" t="s">
        <v>392</v>
      </c>
      <c r="D123" s="131" t="s">
        <v>403</v>
      </c>
      <c r="E123" s="131" t="s">
        <v>394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>
      <c r="A124" s="497" t="s">
        <v>22</v>
      </c>
      <c r="B124" s="224" t="s">
        <v>391</v>
      </c>
      <c r="C124" s="224" t="s">
        <v>392</v>
      </c>
      <c r="D124" s="131" t="s">
        <v>403</v>
      </c>
      <c r="E124" s="131" t="s">
        <v>394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>
      <c r="A125" s="497" t="s">
        <v>27</v>
      </c>
      <c r="B125" s="224" t="s">
        <v>391</v>
      </c>
      <c r="C125" s="224" t="s">
        <v>392</v>
      </c>
      <c r="D125" s="131" t="s">
        <v>403</v>
      </c>
      <c r="E125" s="131" t="s">
        <v>394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>
      <c r="A126" s="497" t="s">
        <v>178</v>
      </c>
      <c r="B126" s="224" t="s">
        <v>391</v>
      </c>
      <c r="C126" s="224" t="s">
        <v>392</v>
      </c>
      <c r="D126" s="131" t="s">
        <v>403</v>
      </c>
      <c r="E126" s="131" t="s">
        <v>394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>
      <c r="A127" s="497" t="s">
        <v>185</v>
      </c>
      <c r="B127" s="224" t="s">
        <v>391</v>
      </c>
      <c r="C127" s="224" t="s">
        <v>392</v>
      </c>
      <c r="D127" s="131" t="s">
        <v>403</v>
      </c>
      <c r="E127" s="131" t="s">
        <v>394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>
      <c r="A128" s="497" t="s">
        <v>151</v>
      </c>
      <c r="B128" s="224" t="s">
        <v>391</v>
      </c>
      <c r="C128" s="224" t="s">
        <v>392</v>
      </c>
      <c r="D128" s="131" t="s">
        <v>403</v>
      </c>
      <c r="E128" s="131" t="s">
        <v>394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>
      <c r="A129" s="497" t="s">
        <v>155</v>
      </c>
      <c r="B129" s="224" t="s">
        <v>391</v>
      </c>
      <c r="C129" s="224" t="s">
        <v>392</v>
      </c>
      <c r="D129" s="131" t="s">
        <v>403</v>
      </c>
      <c r="E129" s="131" t="s">
        <v>394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>
      <c r="A130" s="497" t="s">
        <v>355</v>
      </c>
      <c r="B130" s="224" t="s">
        <v>391</v>
      </c>
      <c r="C130" s="224" t="s">
        <v>392</v>
      </c>
      <c r="D130" s="131" t="s">
        <v>403</v>
      </c>
      <c r="E130" s="131" t="s">
        <v>394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>
      <c r="A131" s="497" t="s">
        <v>29</v>
      </c>
      <c r="B131" s="224" t="s">
        <v>391</v>
      </c>
      <c r="C131" s="224" t="s">
        <v>392</v>
      </c>
      <c r="D131" s="131" t="s">
        <v>403</v>
      </c>
      <c r="E131" s="131" t="s">
        <v>394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>
      <c r="A132" s="497" t="s">
        <v>7</v>
      </c>
      <c r="B132" s="224" t="s">
        <v>391</v>
      </c>
      <c r="C132" s="224" t="s">
        <v>392</v>
      </c>
      <c r="D132" s="131" t="s">
        <v>403</v>
      </c>
      <c r="E132" s="131" t="s">
        <v>394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>
      <c r="A133" s="497" t="s">
        <v>338</v>
      </c>
      <c r="B133" s="224" t="s">
        <v>391</v>
      </c>
      <c r="C133" s="224" t="s">
        <v>392</v>
      </c>
      <c r="D133" s="131" t="s">
        <v>403</v>
      </c>
      <c r="E133" s="131" t="s">
        <v>394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>
      <c r="A134" s="497" t="s">
        <v>23</v>
      </c>
      <c r="B134" s="224" t="s">
        <v>391</v>
      </c>
      <c r="C134" s="224" t="s">
        <v>392</v>
      </c>
      <c r="D134" s="131" t="s">
        <v>403</v>
      </c>
      <c r="E134" s="131" t="s">
        <v>394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>
      <c r="A135" s="497" t="s">
        <v>112</v>
      </c>
      <c r="B135" s="224" t="s">
        <v>391</v>
      </c>
      <c r="C135" s="224" t="s">
        <v>392</v>
      </c>
      <c r="D135" s="131" t="s">
        <v>403</v>
      </c>
      <c r="E135" s="131" t="s">
        <v>394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>
      <c r="A136" s="497" t="s">
        <v>150</v>
      </c>
      <c r="B136" s="224" t="s">
        <v>391</v>
      </c>
      <c r="C136" s="224" t="s">
        <v>392</v>
      </c>
      <c r="D136" s="131" t="s">
        <v>403</v>
      </c>
      <c r="E136" s="131" t="s">
        <v>394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>
      <c r="A137" s="497" t="s">
        <v>157</v>
      </c>
      <c r="B137" s="224" t="s">
        <v>391</v>
      </c>
      <c r="C137" s="224" t="s">
        <v>392</v>
      </c>
      <c r="D137" s="131" t="s">
        <v>403</v>
      </c>
      <c r="E137" s="131" t="s">
        <v>394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>
      <c r="A138" s="497" t="s">
        <v>157</v>
      </c>
      <c r="B138" s="224" t="s">
        <v>391</v>
      </c>
      <c r="C138" s="224" t="s">
        <v>392</v>
      </c>
      <c r="D138" s="131" t="s">
        <v>403</v>
      </c>
      <c r="E138" s="131" t="s">
        <v>394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>
      <c r="A139" s="497" t="s">
        <v>106</v>
      </c>
      <c r="B139" s="224" t="s">
        <v>391</v>
      </c>
      <c r="C139" s="224" t="s">
        <v>392</v>
      </c>
      <c r="D139" s="131" t="s">
        <v>403</v>
      </c>
      <c r="E139" s="131" t="s">
        <v>394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>
      <c r="A140" s="497" t="s">
        <v>161</v>
      </c>
      <c r="B140" s="224" t="s">
        <v>391</v>
      </c>
      <c r="C140" s="224" t="s">
        <v>392</v>
      </c>
      <c r="D140" s="131" t="s">
        <v>403</v>
      </c>
      <c r="E140" s="131" t="s">
        <v>394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>
      <c r="A141" s="497" t="s">
        <v>20</v>
      </c>
      <c r="B141" s="224" t="s">
        <v>391</v>
      </c>
      <c r="C141" s="224" t="s">
        <v>392</v>
      </c>
      <c r="D141" s="131" t="s">
        <v>403</v>
      </c>
      <c r="E141" s="131" t="s">
        <v>394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>
      <c r="A142" s="497" t="s">
        <v>109</v>
      </c>
      <c r="B142" s="224" t="s">
        <v>391</v>
      </c>
      <c r="C142" s="224" t="s">
        <v>392</v>
      </c>
      <c r="D142" s="131" t="s">
        <v>403</v>
      </c>
      <c r="E142" s="131" t="s">
        <v>394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>
      <c r="A143" s="497" t="s">
        <v>159</v>
      </c>
      <c r="B143" s="224" t="s">
        <v>391</v>
      </c>
      <c r="C143" s="224" t="s">
        <v>392</v>
      </c>
      <c r="D143" s="131" t="s">
        <v>403</v>
      </c>
      <c r="E143" s="131" t="s">
        <v>394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>
      <c r="A144" s="497" t="s">
        <v>437</v>
      </c>
      <c r="B144" s="224" t="s">
        <v>391</v>
      </c>
      <c r="C144" s="224" t="s">
        <v>392</v>
      </c>
      <c r="D144" s="131" t="s">
        <v>403</v>
      </c>
      <c r="E144" s="131" t="s">
        <v>394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>
      <c r="A145" s="497" t="s">
        <v>165</v>
      </c>
      <c r="B145" s="224" t="s">
        <v>391</v>
      </c>
      <c r="C145" s="224" t="s">
        <v>392</v>
      </c>
      <c r="D145" s="131" t="s">
        <v>403</v>
      </c>
      <c r="E145" s="131" t="s">
        <v>394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>
      <c r="A146" s="497" t="s">
        <v>156</v>
      </c>
      <c r="B146" s="224" t="s">
        <v>391</v>
      </c>
      <c r="C146" s="224" t="s">
        <v>392</v>
      </c>
      <c r="D146" s="131" t="s">
        <v>403</v>
      </c>
      <c r="E146" s="131" t="s">
        <v>394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>
      <c r="A147" s="497" t="s">
        <v>97</v>
      </c>
      <c r="B147" s="224" t="s">
        <v>391</v>
      </c>
      <c r="C147" s="224" t="s">
        <v>392</v>
      </c>
      <c r="D147" s="131" t="s">
        <v>403</v>
      </c>
      <c r="E147" s="131" t="s">
        <v>394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>
      <c r="A148" s="497" t="s">
        <v>19</v>
      </c>
      <c r="B148" s="224" t="s">
        <v>391</v>
      </c>
      <c r="C148" s="224" t="s">
        <v>392</v>
      </c>
      <c r="D148" s="131" t="s">
        <v>403</v>
      </c>
      <c r="E148" s="131" t="s">
        <v>394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>
      <c r="A149" s="497" t="s">
        <v>440</v>
      </c>
      <c r="B149" s="224" t="s">
        <v>391</v>
      </c>
      <c r="C149" s="224" t="s">
        <v>392</v>
      </c>
      <c r="D149" s="131" t="s">
        <v>403</v>
      </c>
      <c r="E149" s="131" t="s">
        <v>394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>
      <c r="A150" s="497" t="s">
        <v>341</v>
      </c>
      <c r="B150" s="224" t="s">
        <v>391</v>
      </c>
      <c r="C150" s="224" t="s">
        <v>392</v>
      </c>
      <c r="D150" s="131" t="s">
        <v>403</v>
      </c>
      <c r="E150" s="131" t="s">
        <v>394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>
      <c r="A151" s="497" t="s">
        <v>425</v>
      </c>
      <c r="B151" s="131" t="s">
        <v>391</v>
      </c>
      <c r="C151" s="131" t="s">
        <v>392</v>
      </c>
      <c r="D151" s="131" t="s">
        <v>441</v>
      </c>
      <c r="E151" s="131" t="s">
        <v>365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>
      <c r="A152" s="497" t="s">
        <v>388</v>
      </c>
      <c r="B152" s="131" t="s">
        <v>391</v>
      </c>
      <c r="C152" s="131" t="s">
        <v>392</v>
      </c>
      <c r="D152" s="131" t="s">
        <v>441</v>
      </c>
      <c r="E152" s="131" t="s">
        <v>365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>
      <c r="A153" s="497" t="s">
        <v>358</v>
      </c>
      <c r="B153" s="131" t="s">
        <v>391</v>
      </c>
      <c r="C153" s="131" t="s">
        <v>392</v>
      </c>
      <c r="D153" s="131" t="s">
        <v>441</v>
      </c>
      <c r="E153" s="131" t="s">
        <v>365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>
      <c r="A154" s="497" t="s">
        <v>160</v>
      </c>
      <c r="B154" s="131" t="s">
        <v>391</v>
      </c>
      <c r="C154" s="131" t="s">
        <v>392</v>
      </c>
      <c r="D154" s="131" t="s">
        <v>441</v>
      </c>
      <c r="E154" s="131" t="s">
        <v>365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>
      <c r="A155" s="497" t="s">
        <v>94</v>
      </c>
      <c r="B155" s="131" t="s">
        <v>391</v>
      </c>
      <c r="C155" s="131" t="s">
        <v>392</v>
      </c>
      <c r="D155" s="131" t="s">
        <v>441</v>
      </c>
      <c r="E155" s="131" t="s">
        <v>365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>
      <c r="A156" s="497" t="s">
        <v>349</v>
      </c>
      <c r="B156" s="131" t="s">
        <v>391</v>
      </c>
      <c r="C156" s="131" t="s">
        <v>392</v>
      </c>
      <c r="D156" s="131" t="s">
        <v>441</v>
      </c>
      <c r="E156" s="131" t="s">
        <v>365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>
      <c r="A157" s="497" t="s">
        <v>45</v>
      </c>
      <c r="B157" s="131" t="s">
        <v>391</v>
      </c>
      <c r="C157" s="131" t="s">
        <v>392</v>
      </c>
      <c r="D157" s="131" t="s">
        <v>441</v>
      </c>
      <c r="E157" s="131" t="s">
        <v>365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>
      <c r="A158" s="497" t="s">
        <v>178</v>
      </c>
      <c r="B158" s="131" t="s">
        <v>391</v>
      </c>
      <c r="C158" s="131" t="s">
        <v>392</v>
      </c>
      <c r="D158" s="131" t="s">
        <v>441</v>
      </c>
      <c r="E158" s="131" t="s">
        <v>365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>
      <c r="A159" s="497" t="s">
        <v>140</v>
      </c>
      <c r="B159" s="131" t="s">
        <v>391</v>
      </c>
      <c r="C159" s="131" t="s">
        <v>392</v>
      </c>
      <c r="D159" s="131" t="s">
        <v>441</v>
      </c>
      <c r="E159" s="131" t="s">
        <v>365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>
      <c r="A160" s="497" t="s">
        <v>115</v>
      </c>
      <c r="B160" s="131" t="s">
        <v>391</v>
      </c>
      <c r="C160" s="131" t="s">
        <v>392</v>
      </c>
      <c r="D160" s="131" t="s">
        <v>441</v>
      </c>
      <c r="E160" s="131" t="s">
        <v>365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>
      <c r="A161" s="497" t="s">
        <v>350</v>
      </c>
      <c r="B161" s="131" t="s">
        <v>391</v>
      </c>
      <c r="C161" s="131" t="s">
        <v>392</v>
      </c>
      <c r="D161" s="131" t="s">
        <v>441</v>
      </c>
      <c r="E161" s="131" t="s">
        <v>365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>
      <c r="A162" s="497" t="s">
        <v>338</v>
      </c>
      <c r="B162" s="131" t="s">
        <v>391</v>
      </c>
      <c r="C162" s="131" t="s">
        <v>392</v>
      </c>
      <c r="D162" s="131" t="s">
        <v>441</v>
      </c>
      <c r="E162" s="131" t="s">
        <v>365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>
      <c r="A163" s="497" t="s">
        <v>131</v>
      </c>
      <c r="B163" s="131" t="s">
        <v>391</v>
      </c>
      <c r="C163" s="131" t="s">
        <v>392</v>
      </c>
      <c r="D163" s="131" t="s">
        <v>441</v>
      </c>
      <c r="E163" s="131" t="s">
        <v>365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>
      <c r="A164" s="497" t="s">
        <v>127</v>
      </c>
      <c r="B164" s="131" t="s">
        <v>391</v>
      </c>
      <c r="C164" s="131" t="s">
        <v>392</v>
      </c>
      <c r="D164" s="131" t="s">
        <v>441</v>
      </c>
      <c r="E164" s="131" t="s">
        <v>365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>
      <c r="A165" s="497" t="s">
        <v>106</v>
      </c>
      <c r="B165" s="131" t="s">
        <v>391</v>
      </c>
      <c r="C165" s="131" t="s">
        <v>392</v>
      </c>
      <c r="D165" s="131" t="s">
        <v>441</v>
      </c>
      <c r="E165" s="131" t="s">
        <v>365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>
      <c r="A166" s="497" t="s">
        <v>161</v>
      </c>
      <c r="B166" s="131" t="s">
        <v>391</v>
      </c>
      <c r="C166" s="131" t="s">
        <v>392</v>
      </c>
      <c r="D166" s="131" t="s">
        <v>441</v>
      </c>
      <c r="E166" s="131" t="s">
        <v>365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>
      <c r="A167" s="497" t="s">
        <v>351</v>
      </c>
      <c r="B167" s="131" t="s">
        <v>391</v>
      </c>
      <c r="C167" s="131" t="s">
        <v>392</v>
      </c>
      <c r="D167" s="131" t="s">
        <v>441</v>
      </c>
      <c r="E167" s="131" t="s">
        <v>365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>
      <c r="A168" s="497" t="s">
        <v>122</v>
      </c>
      <c r="B168" s="131" t="s">
        <v>391</v>
      </c>
      <c r="C168" s="131" t="s">
        <v>392</v>
      </c>
      <c r="D168" s="131" t="s">
        <v>441</v>
      </c>
      <c r="E168" s="131" t="s">
        <v>365</v>
      </c>
      <c r="F168" s="216">
        <v>1</v>
      </c>
      <c r="G168" s="216">
        <v>1</v>
      </c>
      <c r="H168" s="131" t="s">
        <v>348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>
      <c r="A169" s="497" t="s">
        <v>165</v>
      </c>
      <c r="B169" s="131" t="s">
        <v>391</v>
      </c>
      <c r="C169" s="131" t="s">
        <v>392</v>
      </c>
      <c r="D169" s="131" t="s">
        <v>441</v>
      </c>
      <c r="E169" s="131" t="s">
        <v>365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>
      <c r="A170" s="497" t="s">
        <v>97</v>
      </c>
      <c r="B170" s="131" t="s">
        <v>391</v>
      </c>
      <c r="C170" s="131" t="s">
        <v>392</v>
      </c>
      <c r="D170" s="131" t="s">
        <v>441</v>
      </c>
      <c r="E170" s="131" t="s">
        <v>365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>
      <c r="A171" s="497" t="s">
        <v>58</v>
      </c>
      <c r="B171" s="131" t="s">
        <v>391</v>
      </c>
      <c r="C171" s="131" t="s">
        <v>392</v>
      </c>
      <c r="D171" s="131" t="s">
        <v>441</v>
      </c>
      <c r="E171" s="131" t="s">
        <v>365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>
      <c r="A172" s="497" t="s">
        <v>137</v>
      </c>
      <c r="B172" s="131" t="s">
        <v>391</v>
      </c>
      <c r="C172" s="131" t="s">
        <v>392</v>
      </c>
      <c r="D172" s="131" t="s">
        <v>441</v>
      </c>
      <c r="E172" s="131" t="s">
        <v>365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>
      <c r="A173" s="497" t="s">
        <v>124</v>
      </c>
      <c r="B173" s="131" t="s">
        <v>391</v>
      </c>
      <c r="C173" s="131" t="s">
        <v>392</v>
      </c>
      <c r="D173" s="131" t="s">
        <v>441</v>
      </c>
      <c r="E173" s="131" t="s">
        <v>365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>
      <c r="A174" s="497" t="s">
        <v>390</v>
      </c>
      <c r="B174" s="131" t="s">
        <v>391</v>
      </c>
      <c r="C174" s="131" t="s">
        <v>392</v>
      </c>
      <c r="D174" s="131" t="s">
        <v>441</v>
      </c>
      <c r="E174" s="131" t="s">
        <v>365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>
      <c r="A175" s="497" t="s">
        <v>352</v>
      </c>
      <c r="B175" s="131" t="s">
        <v>391</v>
      </c>
      <c r="C175" s="131" t="s">
        <v>392</v>
      </c>
      <c r="D175" s="131" t="s">
        <v>441</v>
      </c>
      <c r="E175" s="131" t="s">
        <v>365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>
      <c r="A176" s="497" t="s">
        <v>107</v>
      </c>
      <c r="B176" s="131" t="s">
        <v>391</v>
      </c>
      <c r="C176" s="131" t="s">
        <v>392</v>
      </c>
      <c r="D176" s="131" t="s">
        <v>441</v>
      </c>
      <c r="E176" s="131" t="s">
        <v>365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>
      <c r="A177" s="497" t="s">
        <v>422</v>
      </c>
      <c r="B177" s="131" t="s">
        <v>391</v>
      </c>
      <c r="C177" s="131" t="s">
        <v>392</v>
      </c>
      <c r="D177" s="131" t="s">
        <v>441</v>
      </c>
      <c r="E177" s="131" t="s">
        <v>365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>
      <c r="A178" s="49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>
      <c r="A179" s="49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>
      <c r="A180" s="49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>
      <c r="A181" s="49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>
      <c r="A182" s="49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>
      <c r="A183" s="49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>
      <c r="A184" s="49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>
      <c r="A185" s="49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>
      <c r="A186" s="49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>
      <c r="A187" s="49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>
      <c r="A188" s="49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>
      <c r="A189" s="49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>
      <c r="A190" s="49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>
      <c r="A191" s="49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>
      <c r="A192" s="49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70" zoomScaleNormal="70" workbookViewId="0">
      <selection activeCell="D272" sqref="D272"/>
    </sheetView>
  </sheetViews>
  <sheetFormatPr defaultRowHeight="14.4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" thickBot="1">
      <c r="A1" s="129" t="s">
        <v>187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479" t="s">
        <v>189</v>
      </c>
      <c r="S1" s="480"/>
      <c r="T1" s="480"/>
      <c r="U1" s="480"/>
      <c r="V1" s="480"/>
      <c r="W1" s="480"/>
      <c r="X1" s="480"/>
      <c r="Y1" s="480"/>
      <c r="Z1" s="480"/>
      <c r="AA1" s="480"/>
      <c r="AB1" s="481"/>
      <c r="AC1" s="479" t="s">
        <v>190</v>
      </c>
      <c r="AD1" s="480"/>
      <c r="AE1" s="480"/>
      <c r="AF1" s="480"/>
      <c r="AG1" s="485"/>
      <c r="AH1" s="480"/>
      <c r="AI1" s="480"/>
      <c r="AJ1" s="480"/>
      <c r="AK1" s="480"/>
      <c r="AL1" s="480"/>
      <c r="AM1" s="480"/>
      <c r="AN1" s="481"/>
    </row>
    <row r="2" spans="1:40" ht="43.9" thickBot="1">
      <c r="A2" s="130"/>
      <c r="B2" s="130"/>
      <c r="C2" s="130"/>
      <c r="D2" s="130"/>
      <c r="E2" s="130"/>
      <c r="F2" s="3"/>
      <c r="G2" s="3"/>
      <c r="H2" s="130"/>
      <c r="I2" s="13" t="s">
        <v>295</v>
      </c>
      <c r="J2" s="465" t="s">
        <v>296</v>
      </c>
      <c r="K2" s="465"/>
      <c r="L2" s="465"/>
      <c r="M2" s="465" t="s">
        <v>297</v>
      </c>
      <c r="N2" s="465"/>
      <c r="O2" s="465"/>
      <c r="P2" s="465"/>
      <c r="Q2" s="466"/>
      <c r="R2" s="482" t="s">
        <v>191</v>
      </c>
      <c r="S2" s="483"/>
      <c r="T2" s="164" t="s">
        <v>192</v>
      </c>
      <c r="U2" s="165" t="s">
        <v>192</v>
      </c>
      <c r="V2" s="166" t="s">
        <v>192</v>
      </c>
      <c r="W2" s="164" t="s">
        <v>193</v>
      </c>
      <c r="X2" s="165" t="s">
        <v>193</v>
      </c>
      <c r="Y2" s="165" t="s">
        <v>193</v>
      </c>
      <c r="Z2" s="165" t="s">
        <v>193</v>
      </c>
      <c r="AA2" s="165" t="s">
        <v>193</v>
      </c>
      <c r="AB2" s="166" t="s">
        <v>193</v>
      </c>
      <c r="AC2" s="482" t="s">
        <v>194</v>
      </c>
      <c r="AD2" s="484"/>
      <c r="AE2" s="484"/>
      <c r="AF2" s="484"/>
      <c r="AG2" s="486"/>
      <c r="AH2" s="484"/>
      <c r="AI2" s="484"/>
      <c r="AJ2" s="483"/>
      <c r="AK2" s="482" t="s">
        <v>298</v>
      </c>
      <c r="AL2" s="484"/>
      <c r="AM2" s="484"/>
      <c r="AN2" s="483"/>
    </row>
    <row r="3" spans="1:40" ht="58.15" thickBot="1">
      <c r="A3" s="144" t="s">
        <v>195</v>
      </c>
      <c r="B3" s="145" t="s">
        <v>196</v>
      </c>
      <c r="C3" s="145" t="s">
        <v>197</v>
      </c>
      <c r="D3" s="145" t="s">
        <v>198</v>
      </c>
      <c r="E3" s="148" t="s">
        <v>199</v>
      </c>
      <c r="F3" s="153" t="s">
        <v>200</v>
      </c>
      <c r="G3" s="146" t="s">
        <v>201</v>
      </c>
      <c r="H3" s="147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10" t="s">
        <v>307</v>
      </c>
      <c r="S3" s="12" t="s">
        <v>308</v>
      </c>
      <c r="T3" s="10" t="s">
        <v>309</v>
      </c>
      <c r="U3" s="11" t="s">
        <v>310</v>
      </c>
      <c r="V3" s="12" t="s">
        <v>206</v>
      </c>
      <c r="W3" s="10" t="s">
        <v>207</v>
      </c>
      <c r="X3" s="11" t="s">
        <v>209</v>
      </c>
      <c r="Y3" s="11" t="s">
        <v>210</v>
      </c>
      <c r="Z3" s="11" t="s">
        <v>211</v>
      </c>
      <c r="AA3" s="11" t="s">
        <v>212</v>
      </c>
      <c r="AB3" s="12" t="s">
        <v>213</v>
      </c>
      <c r="AC3" s="10" t="s">
        <v>311</v>
      </c>
      <c r="AD3" s="11" t="s">
        <v>312</v>
      </c>
      <c r="AE3" s="11" t="s">
        <v>313</v>
      </c>
      <c r="AF3" s="11" t="s">
        <v>314</v>
      </c>
      <c r="AG3" s="11" t="s">
        <v>315</v>
      </c>
      <c r="AH3" s="17" t="s">
        <v>316</v>
      </c>
      <c r="AI3" s="11" t="s">
        <v>317</v>
      </c>
      <c r="AJ3" s="12" t="s">
        <v>318</v>
      </c>
      <c r="AK3" s="10" t="s">
        <v>311</v>
      </c>
      <c r="AL3" s="11" t="s">
        <v>312</v>
      </c>
      <c r="AM3" s="12" t="s">
        <v>319</v>
      </c>
      <c r="AN3" s="12" t="s">
        <v>442</v>
      </c>
    </row>
    <row r="4" spans="1:40">
      <c r="A4" s="141" t="s">
        <v>85</v>
      </c>
      <c r="B4" s="142" t="s">
        <v>443</v>
      </c>
      <c r="C4" s="142" t="s">
        <v>444</v>
      </c>
      <c r="D4" s="142" t="s">
        <v>445</v>
      </c>
      <c r="E4" s="149" t="s">
        <v>426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>
      <c r="A5" s="133" t="s">
        <v>85</v>
      </c>
      <c r="B5" s="131" t="s">
        <v>443</v>
      </c>
      <c r="C5" s="131" t="s">
        <v>444</v>
      </c>
      <c r="D5" s="131" t="s">
        <v>446</v>
      </c>
      <c r="E5" s="150" t="s">
        <v>447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>
      <c r="A6" s="133" t="s">
        <v>85</v>
      </c>
      <c r="B6" s="131" t="s">
        <v>443</v>
      </c>
      <c r="C6" s="131" t="s">
        <v>444</v>
      </c>
      <c r="D6" s="131" t="s">
        <v>446</v>
      </c>
      <c r="E6" s="150" t="s">
        <v>426</v>
      </c>
      <c r="F6" s="155"/>
      <c r="G6" s="19"/>
      <c r="H6" s="134" t="s">
        <v>348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>
      <c r="A7" s="133" t="s">
        <v>91</v>
      </c>
      <c r="B7" s="131" t="s">
        <v>443</v>
      </c>
      <c r="C7" s="131" t="s">
        <v>448</v>
      </c>
      <c r="D7" s="131" t="s">
        <v>449</v>
      </c>
      <c r="E7" s="150" t="s">
        <v>429</v>
      </c>
      <c r="F7" s="155"/>
      <c r="G7" s="19"/>
      <c r="H7" s="134" t="s">
        <v>382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>
      <c r="A8" s="133" t="s">
        <v>91</v>
      </c>
      <c r="B8" s="131" t="s">
        <v>443</v>
      </c>
      <c r="C8" s="131" t="s">
        <v>448</v>
      </c>
      <c r="D8" s="131" t="s">
        <v>450</v>
      </c>
      <c r="E8" s="150" t="s">
        <v>429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>
      <c r="A9" s="133" t="s">
        <v>91</v>
      </c>
      <c r="B9" s="131" t="s">
        <v>443</v>
      </c>
      <c r="C9" s="131" t="s">
        <v>448</v>
      </c>
      <c r="D9" s="131" t="s">
        <v>451</v>
      </c>
      <c r="E9" s="150" t="s">
        <v>429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>
      <c r="A10" s="133" t="s">
        <v>91</v>
      </c>
      <c r="B10" s="131" t="s">
        <v>443</v>
      </c>
      <c r="C10" s="131" t="s">
        <v>452</v>
      </c>
      <c r="D10" s="131" t="s">
        <v>453</v>
      </c>
      <c r="E10" s="150" t="s">
        <v>429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>
      <c r="A11" s="133" t="s">
        <v>454</v>
      </c>
      <c r="B11" s="131" t="s">
        <v>443</v>
      </c>
      <c r="C11" s="131" t="s">
        <v>444</v>
      </c>
      <c r="D11" s="131" t="s">
        <v>445</v>
      </c>
      <c r="E11" s="150" t="s">
        <v>455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>
      <c r="A12" s="133" t="s">
        <v>454</v>
      </c>
      <c r="B12" s="131" t="s">
        <v>443</v>
      </c>
      <c r="C12" s="131" t="s">
        <v>444</v>
      </c>
      <c r="D12" s="131" t="s">
        <v>456</v>
      </c>
      <c r="E12" s="150" t="s">
        <v>426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>
      <c r="A13" s="133" t="s">
        <v>454</v>
      </c>
      <c r="B13" s="131" t="s">
        <v>443</v>
      </c>
      <c r="C13" s="131" t="s">
        <v>444</v>
      </c>
      <c r="D13" s="131" t="s">
        <v>445</v>
      </c>
      <c r="E13" s="150" t="s">
        <v>426</v>
      </c>
      <c r="F13" s="155"/>
      <c r="G13" s="19"/>
      <c r="H13" s="134" t="s">
        <v>348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>
      <c r="A14" s="133" t="s">
        <v>430</v>
      </c>
      <c r="B14" s="131" t="s">
        <v>443</v>
      </c>
      <c r="C14" s="131" t="s">
        <v>448</v>
      </c>
      <c r="D14" s="131" t="s">
        <v>457</v>
      </c>
      <c r="E14" s="150" t="s">
        <v>429</v>
      </c>
      <c r="F14" s="155"/>
      <c r="G14" s="19"/>
      <c r="H14" s="134" t="s">
        <v>382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>
      <c r="A15" s="133" t="s">
        <v>430</v>
      </c>
      <c r="B15" s="131" t="s">
        <v>443</v>
      </c>
      <c r="C15" s="131" t="s">
        <v>452</v>
      </c>
      <c r="D15" s="131" t="s">
        <v>453</v>
      </c>
      <c r="E15" s="150" t="s">
        <v>429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>
      <c r="A16" s="133" t="s">
        <v>94</v>
      </c>
      <c r="B16" s="131" t="s">
        <v>443</v>
      </c>
      <c r="C16" s="131" t="s">
        <v>448</v>
      </c>
      <c r="D16" s="131" t="s">
        <v>449</v>
      </c>
      <c r="E16" s="150" t="s">
        <v>429</v>
      </c>
      <c r="F16" s="155">
        <v>1</v>
      </c>
      <c r="G16" s="19">
        <v>2</v>
      </c>
      <c r="H16" s="134" t="s">
        <v>382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>
      <c r="A17" s="133" t="s">
        <v>94</v>
      </c>
      <c r="B17" s="131" t="s">
        <v>443</v>
      </c>
      <c r="C17" s="131" t="s">
        <v>448</v>
      </c>
      <c r="D17" s="131" t="s">
        <v>450</v>
      </c>
      <c r="E17" s="150" t="s">
        <v>429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>
      <c r="A18" s="133" t="s">
        <v>94</v>
      </c>
      <c r="B18" s="131" t="s">
        <v>443</v>
      </c>
      <c r="C18" s="131" t="s">
        <v>448</v>
      </c>
      <c r="D18" s="131" t="s">
        <v>451</v>
      </c>
      <c r="E18" s="150" t="s">
        <v>429</v>
      </c>
      <c r="F18" s="155"/>
      <c r="G18" s="19"/>
      <c r="H18" s="134" t="s">
        <v>382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>
      <c r="A19" s="133" t="s">
        <v>94</v>
      </c>
      <c r="B19" s="131" t="s">
        <v>443</v>
      </c>
      <c r="C19" s="131" t="s">
        <v>458</v>
      </c>
      <c r="D19" s="131" t="s">
        <v>459</v>
      </c>
      <c r="E19" s="150" t="s">
        <v>429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>
      <c r="A20" s="133" t="s">
        <v>94</v>
      </c>
      <c r="B20" s="131" t="s">
        <v>443</v>
      </c>
      <c r="C20" s="131" t="s">
        <v>452</v>
      </c>
      <c r="D20" s="131" t="s">
        <v>453</v>
      </c>
      <c r="E20" s="150" t="s">
        <v>429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>
      <c r="A21" s="133" t="s">
        <v>432</v>
      </c>
      <c r="B21" s="131" t="s">
        <v>443</v>
      </c>
      <c r="C21" s="131" t="s">
        <v>458</v>
      </c>
      <c r="D21" s="131" t="s">
        <v>460</v>
      </c>
      <c r="E21" s="150" t="s">
        <v>426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>
      <c r="A22" s="133" t="s">
        <v>69</v>
      </c>
      <c r="B22" s="131" t="s">
        <v>443</v>
      </c>
      <c r="C22" s="131" t="s">
        <v>458</v>
      </c>
      <c r="D22" s="131" t="s">
        <v>459</v>
      </c>
      <c r="E22" s="150" t="s">
        <v>455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>
      <c r="A23" s="133" t="s">
        <v>69</v>
      </c>
      <c r="B23" s="131" t="s">
        <v>443</v>
      </c>
      <c r="C23" s="131" t="s">
        <v>458</v>
      </c>
      <c r="D23" s="131" t="s">
        <v>459</v>
      </c>
      <c r="E23" s="150" t="s">
        <v>426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>
      <c r="A24" s="133" t="s">
        <v>436</v>
      </c>
      <c r="B24" s="131" t="s">
        <v>443</v>
      </c>
      <c r="C24" s="131" t="s">
        <v>458</v>
      </c>
      <c r="D24" s="131" t="s">
        <v>461</v>
      </c>
      <c r="E24" s="150" t="s">
        <v>455</v>
      </c>
      <c r="F24" s="155">
        <v>1</v>
      </c>
      <c r="G24" s="19">
        <v>2</v>
      </c>
      <c r="H24" s="134" t="s">
        <v>348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>
      <c r="A25" s="133" t="s">
        <v>436</v>
      </c>
      <c r="B25" s="131" t="s">
        <v>443</v>
      </c>
      <c r="C25" s="131" t="s">
        <v>458</v>
      </c>
      <c r="D25" s="131" t="s">
        <v>461</v>
      </c>
      <c r="E25" s="150" t="s">
        <v>426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>
      <c r="A26" s="133" t="s">
        <v>436</v>
      </c>
      <c r="B26" s="131" t="s">
        <v>443</v>
      </c>
      <c r="C26" s="131" t="s">
        <v>458</v>
      </c>
      <c r="D26" s="131" t="s">
        <v>462</v>
      </c>
      <c r="E26" s="150" t="s">
        <v>455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>
      <c r="A27" s="133" t="s">
        <v>436</v>
      </c>
      <c r="B27" s="131" t="s">
        <v>443</v>
      </c>
      <c r="C27" s="131" t="s">
        <v>458</v>
      </c>
      <c r="D27" s="131" t="s">
        <v>462</v>
      </c>
      <c r="E27" s="150" t="s">
        <v>426</v>
      </c>
      <c r="F27" s="155"/>
      <c r="G27" s="19"/>
      <c r="H27" s="134" t="s">
        <v>348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>
      <c r="A28" s="133" t="s">
        <v>436</v>
      </c>
      <c r="B28" s="131" t="s">
        <v>443</v>
      </c>
      <c r="C28" s="131" t="s">
        <v>458</v>
      </c>
      <c r="D28" s="131" t="s">
        <v>459</v>
      </c>
      <c r="E28" s="150" t="s">
        <v>455</v>
      </c>
      <c r="F28" s="155"/>
      <c r="G28" s="19"/>
      <c r="H28" s="134" t="s">
        <v>348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>
      <c r="A29" s="133" t="s">
        <v>436</v>
      </c>
      <c r="B29" s="131" t="s">
        <v>443</v>
      </c>
      <c r="C29" s="131" t="s">
        <v>458</v>
      </c>
      <c r="D29" s="131" t="s">
        <v>459</v>
      </c>
      <c r="E29" s="150" t="s">
        <v>426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>
      <c r="A30" s="133" t="s">
        <v>436</v>
      </c>
      <c r="B30" s="131" t="s">
        <v>443</v>
      </c>
      <c r="C30" s="131" t="s">
        <v>452</v>
      </c>
      <c r="D30" s="131" t="s">
        <v>453</v>
      </c>
      <c r="E30" s="150" t="s">
        <v>455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>
      <c r="A31" s="133" t="s">
        <v>436</v>
      </c>
      <c r="B31" s="131" t="s">
        <v>443</v>
      </c>
      <c r="C31" s="131" t="s">
        <v>452</v>
      </c>
      <c r="D31" s="131" t="s">
        <v>453</v>
      </c>
      <c r="E31" s="150" t="s">
        <v>426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>
      <c r="A32" s="133" t="s">
        <v>463</v>
      </c>
      <c r="B32" s="131" t="s">
        <v>443</v>
      </c>
      <c r="C32" s="131" t="s">
        <v>444</v>
      </c>
      <c r="D32" s="131" t="s">
        <v>464</v>
      </c>
      <c r="E32" s="150" t="s">
        <v>447</v>
      </c>
      <c r="F32" s="155">
        <v>1</v>
      </c>
      <c r="G32" s="19"/>
      <c r="H32" s="134" t="s">
        <v>348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>
      <c r="A33" s="133" t="s">
        <v>463</v>
      </c>
      <c r="B33" s="131" t="s">
        <v>443</v>
      </c>
      <c r="C33" s="131" t="s">
        <v>444</v>
      </c>
      <c r="D33" s="131" t="s">
        <v>464</v>
      </c>
      <c r="E33" s="150" t="s">
        <v>455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>
      <c r="A34" s="133" t="s">
        <v>463</v>
      </c>
      <c r="B34" s="131" t="s">
        <v>443</v>
      </c>
      <c r="C34" s="131" t="s">
        <v>444</v>
      </c>
      <c r="D34" s="131" t="s">
        <v>464</v>
      </c>
      <c r="E34" s="150" t="s">
        <v>426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>
      <c r="A35" s="133" t="s">
        <v>68</v>
      </c>
      <c r="B35" s="131" t="s">
        <v>443</v>
      </c>
      <c r="C35" s="131" t="s">
        <v>458</v>
      </c>
      <c r="D35" s="131" t="s">
        <v>460</v>
      </c>
      <c r="E35" s="150" t="s">
        <v>455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>
      <c r="A36" s="133" t="s">
        <v>68</v>
      </c>
      <c r="B36" s="131" t="s">
        <v>443</v>
      </c>
      <c r="C36" s="131" t="s">
        <v>458</v>
      </c>
      <c r="D36" s="131" t="s">
        <v>460</v>
      </c>
      <c r="E36" s="150" t="s">
        <v>426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>
      <c r="A37" s="133" t="s">
        <v>77</v>
      </c>
      <c r="B37" s="131" t="s">
        <v>443</v>
      </c>
      <c r="C37" s="131" t="s">
        <v>444</v>
      </c>
      <c r="D37" s="131" t="s">
        <v>445</v>
      </c>
      <c r="E37" s="150" t="s">
        <v>455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>
      <c r="A38" s="133" t="s">
        <v>77</v>
      </c>
      <c r="B38" s="131" t="s">
        <v>443</v>
      </c>
      <c r="C38" s="131" t="s">
        <v>444</v>
      </c>
      <c r="D38" s="131" t="s">
        <v>445</v>
      </c>
      <c r="E38" s="150" t="s">
        <v>426</v>
      </c>
      <c r="F38" s="155">
        <v>1</v>
      </c>
      <c r="G38" s="19"/>
      <c r="H38" s="134" t="s">
        <v>348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>
      <c r="A39" s="133" t="s">
        <v>77</v>
      </c>
      <c r="B39" s="131" t="s">
        <v>443</v>
      </c>
      <c r="C39" s="131" t="s">
        <v>444</v>
      </c>
      <c r="D39" s="131" t="s">
        <v>456</v>
      </c>
      <c r="E39" s="150" t="s">
        <v>455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>
      <c r="A40" s="133" t="s">
        <v>77</v>
      </c>
      <c r="B40" s="131" t="s">
        <v>443</v>
      </c>
      <c r="C40" s="131" t="s">
        <v>444</v>
      </c>
      <c r="D40" s="131" t="s">
        <v>456</v>
      </c>
      <c r="E40" s="150" t="s">
        <v>426</v>
      </c>
      <c r="F40" s="155"/>
      <c r="G40" s="19"/>
      <c r="H40" s="134" t="s">
        <v>348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>
      <c r="A41" s="133" t="s">
        <v>77</v>
      </c>
      <c r="B41" s="131" t="s">
        <v>443</v>
      </c>
      <c r="C41" s="131" t="s">
        <v>452</v>
      </c>
      <c r="D41" s="131" t="s">
        <v>453</v>
      </c>
      <c r="E41" s="150" t="s">
        <v>455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>
      <c r="A42" s="133" t="s">
        <v>77</v>
      </c>
      <c r="B42" s="131" t="s">
        <v>443</v>
      </c>
      <c r="C42" s="131" t="s">
        <v>452</v>
      </c>
      <c r="D42" s="131" t="s">
        <v>453</v>
      </c>
      <c r="E42" s="150" t="s">
        <v>426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>
      <c r="A43" s="133" t="s">
        <v>465</v>
      </c>
      <c r="B43" s="131" t="s">
        <v>443</v>
      </c>
      <c r="C43" s="131" t="s">
        <v>444</v>
      </c>
      <c r="D43" s="131" t="s">
        <v>445</v>
      </c>
      <c r="E43" s="150" t="s">
        <v>455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>
      <c r="A44" s="133" t="s">
        <v>465</v>
      </c>
      <c r="B44" s="131" t="s">
        <v>443</v>
      </c>
      <c r="C44" s="131" t="s">
        <v>444</v>
      </c>
      <c r="D44" s="131" t="s">
        <v>445</v>
      </c>
      <c r="E44" s="150" t="s">
        <v>426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>
      <c r="A45" s="133" t="s">
        <v>85</v>
      </c>
      <c r="B45" s="131" t="s">
        <v>443</v>
      </c>
      <c r="C45" s="131" t="s">
        <v>458</v>
      </c>
      <c r="D45" s="131" t="s">
        <v>466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>
      <c r="A46" s="133" t="s">
        <v>91</v>
      </c>
      <c r="B46" s="131" t="s">
        <v>443</v>
      </c>
      <c r="C46" s="131" t="s">
        <v>458</v>
      </c>
      <c r="D46" s="131" t="s">
        <v>466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>
      <c r="A47" s="133" t="s">
        <v>454</v>
      </c>
      <c r="B47" s="131" t="s">
        <v>443</v>
      </c>
      <c r="C47" s="131" t="s">
        <v>458</v>
      </c>
      <c r="D47" s="131" t="s">
        <v>466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>
      <c r="A48" s="133" t="s">
        <v>430</v>
      </c>
      <c r="B48" s="131" t="s">
        <v>443</v>
      </c>
      <c r="C48" s="131" t="s">
        <v>458</v>
      </c>
      <c r="D48" s="131" t="s">
        <v>466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>
      <c r="A49" s="133" t="s">
        <v>94</v>
      </c>
      <c r="B49" s="131" t="s">
        <v>443</v>
      </c>
      <c r="C49" s="131" t="s">
        <v>458</v>
      </c>
      <c r="D49" s="131" t="s">
        <v>466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>
      <c r="A50" s="133" t="s">
        <v>436</v>
      </c>
      <c r="B50" s="131" t="s">
        <v>443</v>
      </c>
      <c r="C50" s="131" t="s">
        <v>458</v>
      </c>
      <c r="D50" s="131" t="s">
        <v>466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>
      <c r="A51" s="133" t="s">
        <v>463</v>
      </c>
      <c r="B51" s="131" t="s">
        <v>443</v>
      </c>
      <c r="C51" s="131" t="s">
        <v>458</v>
      </c>
      <c r="D51" s="131" t="s">
        <v>466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>
      <c r="A52" s="133" t="s">
        <v>77</v>
      </c>
      <c r="B52" s="131" t="s">
        <v>443</v>
      </c>
      <c r="C52" s="131" t="s">
        <v>458</v>
      </c>
      <c r="D52" s="131" t="s">
        <v>466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>
      <c r="A53" s="136" t="s">
        <v>85</v>
      </c>
      <c r="B53" s="131" t="s">
        <v>443</v>
      </c>
      <c r="C53" s="131" t="s">
        <v>467</v>
      </c>
      <c r="D53" s="131" t="s">
        <v>468</v>
      </c>
      <c r="E53" s="151" t="s">
        <v>426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>
      <c r="A54" s="136" t="s">
        <v>91</v>
      </c>
      <c r="B54" s="131" t="s">
        <v>443</v>
      </c>
      <c r="C54" s="131" t="s">
        <v>467</v>
      </c>
      <c r="D54" s="131" t="s">
        <v>468</v>
      </c>
      <c r="E54" s="151" t="s">
        <v>429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>
      <c r="A55" s="136" t="s">
        <v>454</v>
      </c>
      <c r="B55" s="131" t="s">
        <v>443</v>
      </c>
      <c r="C55" s="131" t="s">
        <v>467</v>
      </c>
      <c r="D55" s="131" t="s">
        <v>468</v>
      </c>
      <c r="E55" s="151" t="s">
        <v>426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>
      <c r="A56" s="136" t="s">
        <v>430</v>
      </c>
      <c r="B56" s="131" t="s">
        <v>443</v>
      </c>
      <c r="C56" s="131" t="s">
        <v>467</v>
      </c>
      <c r="D56" s="131" t="s">
        <v>468</v>
      </c>
      <c r="E56" s="151" t="s">
        <v>429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>
      <c r="A57" s="136" t="s">
        <v>94</v>
      </c>
      <c r="B57" s="131" t="s">
        <v>443</v>
      </c>
      <c r="C57" s="131" t="s">
        <v>467</v>
      </c>
      <c r="D57" s="131" t="s">
        <v>468</v>
      </c>
      <c r="E57" s="151" t="s">
        <v>429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>
      <c r="A58" s="136" t="s">
        <v>432</v>
      </c>
      <c r="B58" s="131" t="s">
        <v>443</v>
      </c>
      <c r="C58" s="131" t="s">
        <v>467</v>
      </c>
      <c r="D58" s="131" t="s">
        <v>468</v>
      </c>
      <c r="E58" s="151" t="s">
        <v>426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>
      <c r="A59" s="136" t="s">
        <v>69</v>
      </c>
      <c r="B59" s="131" t="s">
        <v>443</v>
      </c>
      <c r="C59" s="131" t="s">
        <v>467</v>
      </c>
      <c r="D59" s="131" t="s">
        <v>468</v>
      </c>
      <c r="E59" s="151" t="s">
        <v>426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>
      <c r="A60" s="136" t="s">
        <v>436</v>
      </c>
      <c r="B60" s="131" t="s">
        <v>443</v>
      </c>
      <c r="C60" s="131" t="s">
        <v>467</v>
      </c>
      <c r="D60" s="131" t="s">
        <v>468</v>
      </c>
      <c r="E60" s="151" t="s">
        <v>455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>
      <c r="A61" s="136" t="s">
        <v>463</v>
      </c>
      <c r="B61" s="131" t="s">
        <v>443</v>
      </c>
      <c r="C61" s="131" t="s">
        <v>467</v>
      </c>
      <c r="D61" s="131" t="s">
        <v>468</v>
      </c>
      <c r="E61" s="151" t="s">
        <v>447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>
      <c r="A62" s="136" t="s">
        <v>68</v>
      </c>
      <c r="B62" s="131" t="s">
        <v>443</v>
      </c>
      <c r="C62" s="131" t="s">
        <v>467</v>
      </c>
      <c r="D62" s="131" t="s">
        <v>468</v>
      </c>
      <c r="E62" s="151" t="s">
        <v>426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>
      <c r="A63" s="136" t="s">
        <v>77</v>
      </c>
      <c r="B63" s="131" t="s">
        <v>443</v>
      </c>
      <c r="C63" s="131" t="s">
        <v>467</v>
      </c>
      <c r="D63" s="131" t="s">
        <v>468</v>
      </c>
      <c r="E63" s="151" t="s">
        <v>455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" hidden="1" thickBot="1">
      <c r="A64" s="137" t="s">
        <v>77</v>
      </c>
      <c r="B64" s="138" t="s">
        <v>443</v>
      </c>
      <c r="C64" s="138" t="s">
        <v>467</v>
      </c>
      <c r="D64" s="138" t="s">
        <v>468</v>
      </c>
      <c r="E64" s="152" t="s">
        <v>426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3">
      <filters>
        <filter val="RAL RFE Grocery Khabarovs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4.4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>
      <c r="A1" s="14" t="s">
        <v>187</v>
      </c>
      <c r="I1" s="1"/>
      <c r="J1" s="1"/>
      <c r="K1" s="1"/>
      <c r="L1" s="1"/>
      <c r="M1" s="1"/>
      <c r="N1" s="1"/>
      <c r="O1" s="1"/>
      <c r="P1" s="1"/>
      <c r="Q1" s="1"/>
      <c r="R1" s="479" t="s">
        <v>189</v>
      </c>
      <c r="S1" s="480"/>
      <c r="T1" s="480"/>
      <c r="U1" s="480"/>
      <c r="V1" s="480"/>
      <c r="W1" s="480"/>
      <c r="X1" s="480"/>
      <c r="Y1" s="480"/>
      <c r="Z1" s="480"/>
      <c r="AA1" s="480"/>
      <c r="AB1" s="481"/>
      <c r="AC1" s="479" t="s">
        <v>190</v>
      </c>
      <c r="AD1" s="480"/>
      <c r="AE1" s="480"/>
      <c r="AF1" s="480"/>
      <c r="AG1" s="480"/>
      <c r="AH1" s="480"/>
      <c r="AI1" s="480"/>
      <c r="AJ1" s="480"/>
      <c r="AK1" s="480"/>
      <c r="AL1" s="480"/>
      <c r="AM1" s="481"/>
    </row>
    <row r="2" spans="1:39" s="3" customFormat="1" ht="59.45" customHeight="1" thickBot="1">
      <c r="I2" s="13" t="s">
        <v>295</v>
      </c>
      <c r="J2" s="465" t="s">
        <v>296</v>
      </c>
      <c r="K2" s="465"/>
      <c r="L2" s="465"/>
      <c r="M2" s="465" t="s">
        <v>297</v>
      </c>
      <c r="N2" s="465"/>
      <c r="O2" s="465"/>
      <c r="P2" s="465"/>
      <c r="Q2" s="466"/>
      <c r="R2" s="482" t="s">
        <v>191</v>
      </c>
      <c r="S2" s="483"/>
      <c r="T2" s="4" t="s">
        <v>192</v>
      </c>
      <c r="U2" s="3" t="s">
        <v>192</v>
      </c>
      <c r="V2" s="5" t="s">
        <v>192</v>
      </c>
      <c r="W2" s="3" t="s">
        <v>193</v>
      </c>
      <c r="X2" s="3" t="s">
        <v>193</v>
      </c>
      <c r="Y2" s="3" t="s">
        <v>193</v>
      </c>
      <c r="Z2" s="3" t="s">
        <v>193</v>
      </c>
      <c r="AA2" s="3" t="s">
        <v>193</v>
      </c>
      <c r="AB2" s="5" t="s">
        <v>193</v>
      </c>
      <c r="AC2" s="482" t="s">
        <v>194</v>
      </c>
      <c r="AD2" s="484"/>
      <c r="AE2" s="484"/>
      <c r="AF2" s="484"/>
      <c r="AG2" s="484"/>
      <c r="AH2" s="484"/>
      <c r="AI2" s="484"/>
      <c r="AJ2" s="483"/>
      <c r="AK2" s="482" t="s">
        <v>298</v>
      </c>
      <c r="AL2" s="484"/>
      <c r="AM2" s="483"/>
    </row>
    <row r="3" spans="1:39" s="13" customFormat="1" ht="43.9" thickBot="1">
      <c r="A3" s="10" t="s">
        <v>195</v>
      </c>
      <c r="B3" s="11" t="s">
        <v>196</v>
      </c>
      <c r="C3" s="11" t="s">
        <v>197</v>
      </c>
      <c r="D3" s="12" t="s">
        <v>198</v>
      </c>
      <c r="E3" s="10" t="s">
        <v>199</v>
      </c>
      <c r="F3" s="12" t="s">
        <v>200</v>
      </c>
      <c r="G3" s="17" t="s">
        <v>201</v>
      </c>
      <c r="H3" s="17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10" t="s">
        <v>307</v>
      </c>
      <c r="S3" s="12" t="s">
        <v>308</v>
      </c>
      <c r="T3" s="10" t="s">
        <v>309</v>
      </c>
      <c r="U3" s="11" t="s">
        <v>310</v>
      </c>
      <c r="V3" s="12" t="s">
        <v>206</v>
      </c>
      <c r="W3" s="11" t="s">
        <v>207</v>
      </c>
      <c r="X3" s="11" t="s">
        <v>209</v>
      </c>
      <c r="Y3" s="11" t="s">
        <v>210</v>
      </c>
      <c r="Z3" s="11" t="s">
        <v>211</v>
      </c>
      <c r="AA3" s="11" t="s">
        <v>212</v>
      </c>
      <c r="AB3" s="12" t="s">
        <v>213</v>
      </c>
      <c r="AC3" s="10" t="s">
        <v>311</v>
      </c>
      <c r="AD3" s="11" t="s">
        <v>312</v>
      </c>
      <c r="AE3" s="11" t="s">
        <v>313</v>
      </c>
      <c r="AF3" s="11" t="s">
        <v>314</v>
      </c>
      <c r="AG3" s="11" t="s">
        <v>315</v>
      </c>
      <c r="AH3" s="10" t="s">
        <v>316</v>
      </c>
      <c r="AI3" s="10" t="s">
        <v>317</v>
      </c>
      <c r="AJ3" s="12" t="s">
        <v>318</v>
      </c>
      <c r="AK3" s="10" t="s">
        <v>311</v>
      </c>
      <c r="AL3" s="11" t="s">
        <v>312</v>
      </c>
      <c r="AM3" s="12" t="s">
        <v>319</v>
      </c>
    </row>
    <row r="4" spans="1:39" ht="14.1" customHeight="1">
      <c r="A4" s="16" t="s">
        <v>425</v>
      </c>
      <c r="B4" s="16" t="s">
        <v>469</v>
      </c>
      <c r="C4" s="16" t="s">
        <v>470</v>
      </c>
      <c r="D4" s="16" t="s">
        <v>471</v>
      </c>
      <c r="E4" s="16"/>
      <c r="F4" s="18"/>
      <c r="G4" s="18"/>
      <c r="H4" s="24" t="s">
        <v>348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>
      <c r="A5" s="15" t="s">
        <v>425</v>
      </c>
      <c r="B5" s="15" t="s">
        <v>469</v>
      </c>
      <c r="C5" s="15" t="s">
        <v>470</v>
      </c>
      <c r="D5" s="15" t="s">
        <v>472</v>
      </c>
      <c r="E5" s="15"/>
      <c r="F5" s="19"/>
      <c r="G5" s="19"/>
      <c r="H5" s="25" t="s">
        <v>348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>
      <c r="A6" s="15" t="s">
        <v>388</v>
      </c>
      <c r="B6" s="15" t="s">
        <v>469</v>
      </c>
      <c r="C6" s="15" t="s">
        <v>470</v>
      </c>
      <c r="D6" s="15" t="s">
        <v>473</v>
      </c>
      <c r="E6" s="15"/>
      <c r="F6" s="19"/>
      <c r="G6" s="19"/>
      <c r="H6" s="25" t="s">
        <v>348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>
      <c r="A7" s="15" t="s">
        <v>388</v>
      </c>
      <c r="B7" s="15" t="s">
        <v>469</v>
      </c>
      <c r="C7" s="15" t="s">
        <v>470</v>
      </c>
      <c r="D7" s="15" t="s">
        <v>471</v>
      </c>
      <c r="E7" s="15"/>
      <c r="F7" s="19"/>
      <c r="G7" s="19"/>
      <c r="H7" s="25" t="s">
        <v>348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>
      <c r="A8" s="15" t="s">
        <v>388</v>
      </c>
      <c r="B8" s="15" t="s">
        <v>469</v>
      </c>
      <c r="C8" s="15" t="s">
        <v>470</v>
      </c>
      <c r="D8" s="15" t="s">
        <v>472</v>
      </c>
      <c r="E8" s="15"/>
      <c r="F8" s="19"/>
      <c r="G8" s="19"/>
      <c r="H8" s="25" t="s">
        <v>348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>
      <c r="A9" s="15" t="s">
        <v>349</v>
      </c>
      <c r="B9" s="15" t="s">
        <v>469</v>
      </c>
      <c r="C9" s="15" t="s">
        <v>470</v>
      </c>
      <c r="D9" s="15" t="s">
        <v>473</v>
      </c>
      <c r="E9" s="15"/>
      <c r="F9" s="19"/>
      <c r="G9" s="19"/>
      <c r="H9" s="25" t="s">
        <v>348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>
      <c r="A10" s="15" t="s">
        <v>349</v>
      </c>
      <c r="B10" s="15" t="s">
        <v>469</v>
      </c>
      <c r="C10" s="15" t="s">
        <v>470</v>
      </c>
      <c r="D10" s="15" t="s">
        <v>471</v>
      </c>
      <c r="E10" s="15"/>
      <c r="F10" s="19"/>
      <c r="G10" s="19"/>
      <c r="H10" s="25" t="s">
        <v>348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>
      <c r="A11" s="15" t="s">
        <v>349</v>
      </c>
      <c r="B11" s="15" t="s">
        <v>469</v>
      </c>
      <c r="C11" s="15" t="s">
        <v>470</v>
      </c>
      <c r="D11" s="15" t="s">
        <v>472</v>
      </c>
      <c r="E11" s="15"/>
      <c r="F11" s="19"/>
      <c r="G11" s="19"/>
      <c r="H11" s="25" t="s">
        <v>348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>
      <c r="A12" s="15" t="s">
        <v>140</v>
      </c>
      <c r="B12" s="15" t="s">
        <v>469</v>
      </c>
      <c r="C12" s="15" t="s">
        <v>470</v>
      </c>
      <c r="D12" s="15" t="s">
        <v>473</v>
      </c>
      <c r="E12" s="15"/>
      <c r="F12" s="19"/>
      <c r="G12" s="19"/>
      <c r="H12" s="25" t="s">
        <v>348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>
      <c r="A13" s="15" t="s">
        <v>140</v>
      </c>
      <c r="B13" s="15" t="s">
        <v>469</v>
      </c>
      <c r="C13" s="15" t="s">
        <v>470</v>
      </c>
      <c r="D13" s="15" t="s">
        <v>471</v>
      </c>
      <c r="E13" s="15"/>
      <c r="F13" s="19"/>
      <c r="G13" s="19"/>
      <c r="H13" s="25" t="s">
        <v>348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>
      <c r="A14" s="15" t="s">
        <v>140</v>
      </c>
      <c r="B14" s="15" t="s">
        <v>469</v>
      </c>
      <c r="C14" s="15" t="s">
        <v>470</v>
      </c>
      <c r="D14" s="15" t="s">
        <v>472</v>
      </c>
      <c r="E14" s="15"/>
      <c r="F14" s="19"/>
      <c r="G14" s="19"/>
      <c r="H14" s="25" t="s">
        <v>348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>
      <c r="A15" s="15" t="s">
        <v>131</v>
      </c>
      <c r="B15" s="15" t="s">
        <v>469</v>
      </c>
      <c r="C15" s="15" t="s">
        <v>470</v>
      </c>
      <c r="D15" s="15" t="s">
        <v>473</v>
      </c>
      <c r="E15" s="15"/>
      <c r="F15" s="19"/>
      <c r="G15" s="19"/>
      <c r="H15" s="25" t="s">
        <v>348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>
      <c r="A16" s="15" t="s">
        <v>131</v>
      </c>
      <c r="B16" s="15" t="s">
        <v>469</v>
      </c>
      <c r="C16" s="15" t="s">
        <v>470</v>
      </c>
      <c r="D16" s="15" t="s">
        <v>471</v>
      </c>
      <c r="E16" s="15"/>
      <c r="F16" s="19"/>
      <c r="G16" s="19"/>
      <c r="H16" s="25" t="s">
        <v>348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>
      <c r="A17" s="15" t="s">
        <v>131</v>
      </c>
      <c r="B17" s="15" t="s">
        <v>469</v>
      </c>
      <c r="C17" s="15" t="s">
        <v>470</v>
      </c>
      <c r="D17" s="15" t="s">
        <v>472</v>
      </c>
      <c r="E17" s="15"/>
      <c r="F17" s="19"/>
      <c r="G17" s="19"/>
      <c r="H17" s="25" t="s">
        <v>348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>
      <c r="A18" s="15" t="s">
        <v>127</v>
      </c>
      <c r="B18" s="15" t="s">
        <v>469</v>
      </c>
      <c r="C18" s="15" t="s">
        <v>470</v>
      </c>
      <c r="D18" s="15" t="s">
        <v>473</v>
      </c>
      <c r="E18" s="15"/>
      <c r="F18" s="19"/>
      <c r="G18" s="19"/>
      <c r="H18" s="25" t="s">
        <v>348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>
      <c r="A19" s="15" t="s">
        <v>127</v>
      </c>
      <c r="B19" s="15" t="s">
        <v>469</v>
      </c>
      <c r="C19" s="15" t="s">
        <v>470</v>
      </c>
      <c r="D19" s="15" t="s">
        <v>471</v>
      </c>
      <c r="E19" s="15"/>
      <c r="F19" s="19"/>
      <c r="G19" s="19"/>
      <c r="H19" s="25" t="s">
        <v>348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>
      <c r="A20" s="15" t="s">
        <v>127</v>
      </c>
      <c r="B20" s="15" t="s">
        <v>469</v>
      </c>
      <c r="C20" s="15" t="s">
        <v>470</v>
      </c>
      <c r="D20" s="15" t="s">
        <v>472</v>
      </c>
      <c r="E20" s="15"/>
      <c r="F20" s="19"/>
      <c r="G20" s="19"/>
      <c r="H20" s="25" t="s">
        <v>348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>
      <c r="A21" s="15" t="s">
        <v>137</v>
      </c>
      <c r="B21" s="15" t="s">
        <v>469</v>
      </c>
      <c r="C21" s="15" t="s">
        <v>470</v>
      </c>
      <c r="D21" s="15" t="s">
        <v>473</v>
      </c>
      <c r="E21" s="15"/>
      <c r="F21" s="19"/>
      <c r="G21" s="19"/>
      <c r="H21" s="25" t="s">
        <v>348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>
      <c r="A22" s="15" t="s">
        <v>137</v>
      </c>
      <c r="B22" s="15" t="s">
        <v>469</v>
      </c>
      <c r="C22" s="15" t="s">
        <v>470</v>
      </c>
      <c r="D22" s="15" t="s">
        <v>471</v>
      </c>
      <c r="E22" s="15"/>
      <c r="F22" s="19"/>
      <c r="G22" s="19"/>
      <c r="H22" s="25" t="s">
        <v>348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>
      <c r="A23" s="15" t="s">
        <v>137</v>
      </c>
      <c r="B23" s="15" t="s">
        <v>469</v>
      </c>
      <c r="C23" s="15" t="s">
        <v>470</v>
      </c>
      <c r="D23" s="15" t="s">
        <v>472</v>
      </c>
      <c r="E23" s="15"/>
      <c r="F23" s="19"/>
      <c r="G23" s="19"/>
      <c r="H23" s="25" t="s">
        <v>348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>
      <c r="A24" s="15" t="s">
        <v>144</v>
      </c>
      <c r="B24" s="15" t="s">
        <v>469</v>
      </c>
      <c r="C24" s="15" t="s">
        <v>470</v>
      </c>
      <c r="D24" s="15" t="s">
        <v>471</v>
      </c>
      <c r="E24" s="15"/>
      <c r="F24" s="19"/>
      <c r="G24" s="19"/>
      <c r="H24" s="25" t="s">
        <v>348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>
      <c r="A25" s="15" t="s">
        <v>143</v>
      </c>
      <c r="B25" s="15" t="s">
        <v>469</v>
      </c>
      <c r="C25" s="15" t="s">
        <v>470</v>
      </c>
      <c r="D25" s="15" t="s">
        <v>471</v>
      </c>
      <c r="E25" s="15"/>
      <c r="F25" s="19"/>
      <c r="G25" s="19"/>
      <c r="H25" s="25" t="s">
        <v>348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>
      <c r="A26" s="15" t="s">
        <v>143</v>
      </c>
      <c r="B26" s="15" t="s">
        <v>469</v>
      </c>
      <c r="C26" s="15" t="s">
        <v>470</v>
      </c>
      <c r="D26" s="15" t="s">
        <v>472</v>
      </c>
      <c r="E26" s="15"/>
      <c r="F26" s="19"/>
      <c r="G26" s="19"/>
      <c r="H26" s="25" t="s">
        <v>348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>
      <c r="A27" s="15" t="s">
        <v>153</v>
      </c>
      <c r="B27" s="15" t="s">
        <v>469</v>
      </c>
      <c r="C27" s="15" t="s">
        <v>474</v>
      </c>
      <c r="D27" s="15" t="s">
        <v>475</v>
      </c>
      <c r="E27" s="15"/>
      <c r="F27" s="19"/>
      <c r="G27" s="19"/>
      <c r="H27" s="25" t="s">
        <v>348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476</v>
      </c>
    </row>
    <row r="28" spans="1:40" ht="14.1" customHeight="1">
      <c r="A28" s="15" t="s">
        <v>151</v>
      </c>
      <c r="B28" s="15" t="s">
        <v>469</v>
      </c>
      <c r="C28" s="15" t="s">
        <v>474</v>
      </c>
      <c r="D28" s="15" t="s">
        <v>475</v>
      </c>
      <c r="E28" s="15"/>
      <c r="F28" s="19"/>
      <c r="G28" s="19"/>
      <c r="H28" s="25" t="s">
        <v>348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476</v>
      </c>
    </row>
    <row r="29" spans="1:40" ht="14.1" customHeight="1">
      <c r="A29" s="15" t="s">
        <v>146</v>
      </c>
      <c r="B29" s="15" t="s">
        <v>469</v>
      </c>
      <c r="C29" s="15" t="s">
        <v>474</v>
      </c>
      <c r="D29" s="15" t="s">
        <v>475</v>
      </c>
      <c r="E29" s="15"/>
      <c r="F29" s="19"/>
      <c r="G29" s="19"/>
      <c r="H29" s="25" t="s">
        <v>348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476</v>
      </c>
    </row>
    <row r="30" spans="1:40" ht="14.1" customHeight="1">
      <c r="A30" s="15" t="s">
        <v>150</v>
      </c>
      <c r="B30" s="15" t="s">
        <v>469</v>
      </c>
      <c r="C30" s="15" t="s">
        <v>474</v>
      </c>
      <c r="D30" s="15" t="s">
        <v>475</v>
      </c>
      <c r="E30" s="15"/>
      <c r="F30" s="19"/>
      <c r="G30" s="19"/>
      <c r="H30" s="25" t="s">
        <v>348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476</v>
      </c>
    </row>
    <row r="31" spans="1:40" ht="14.1" customHeight="1">
      <c r="A31" s="15" t="s">
        <v>156</v>
      </c>
      <c r="B31" s="15" t="s">
        <v>469</v>
      </c>
      <c r="C31" s="15" t="s">
        <v>474</v>
      </c>
      <c r="D31" s="15" t="s">
        <v>475</v>
      </c>
      <c r="E31" s="15"/>
      <c r="F31" s="19"/>
      <c r="G31" s="19"/>
      <c r="H31" s="25" t="s">
        <v>348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476</v>
      </c>
    </row>
    <row r="32" spans="1:40" ht="14.1" customHeight="1">
      <c r="A32" s="15" t="s">
        <v>122</v>
      </c>
      <c r="B32" s="15" t="s">
        <v>469</v>
      </c>
      <c r="C32" s="15" t="s">
        <v>474</v>
      </c>
      <c r="D32" s="15" t="s">
        <v>475</v>
      </c>
      <c r="E32" s="15"/>
      <c r="F32" s="19"/>
      <c r="G32" s="19"/>
      <c r="H32" s="25" t="s">
        <v>348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476</v>
      </c>
    </row>
    <row r="33" spans="1:40" ht="14.1" customHeight="1">
      <c r="A33" s="15" t="s">
        <v>124</v>
      </c>
      <c r="B33" s="15" t="s">
        <v>469</v>
      </c>
      <c r="C33" s="15" t="s">
        <v>474</v>
      </c>
      <c r="D33" s="15" t="s">
        <v>475</v>
      </c>
      <c r="E33" s="15"/>
      <c r="F33" s="19"/>
      <c r="G33" s="19"/>
      <c r="H33" s="25" t="s">
        <v>348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476</v>
      </c>
    </row>
    <row r="34" spans="1:40" ht="14.1" customHeight="1">
      <c r="A34" s="15" t="s">
        <v>106</v>
      </c>
      <c r="B34" s="15" t="s">
        <v>469</v>
      </c>
      <c r="C34" s="15" t="s">
        <v>474</v>
      </c>
      <c r="D34" s="15" t="s">
        <v>475</v>
      </c>
      <c r="E34" s="15"/>
      <c r="F34" s="19"/>
      <c r="G34" s="19"/>
      <c r="H34" s="25" t="s">
        <v>348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476</v>
      </c>
    </row>
    <row r="35" spans="1:40" ht="14.1" customHeight="1">
      <c r="A35" s="15" t="s">
        <v>107</v>
      </c>
      <c r="B35" s="15" t="s">
        <v>469</v>
      </c>
      <c r="C35" s="15" t="s">
        <v>474</v>
      </c>
      <c r="D35" s="15" t="s">
        <v>475</v>
      </c>
      <c r="E35" s="15"/>
      <c r="F35" s="19"/>
      <c r="G35" s="19"/>
      <c r="H35" s="25" t="s">
        <v>348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476</v>
      </c>
    </row>
    <row r="36" spans="1:40" ht="14.1" customHeight="1">
      <c r="A36" s="15" t="s">
        <v>109</v>
      </c>
      <c r="B36" s="15" t="s">
        <v>469</v>
      </c>
      <c r="C36" s="15" t="s">
        <v>474</v>
      </c>
      <c r="D36" s="15" t="s">
        <v>475</v>
      </c>
      <c r="E36" s="15"/>
      <c r="F36" s="19"/>
      <c r="G36" s="19"/>
      <c r="H36" s="25" t="s">
        <v>348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476</v>
      </c>
    </row>
    <row r="37" spans="1:40" ht="14.1" customHeight="1">
      <c r="A37" s="15" t="s">
        <v>59</v>
      </c>
      <c r="B37" s="15" t="s">
        <v>469</v>
      </c>
      <c r="C37" s="15" t="s">
        <v>474</v>
      </c>
      <c r="D37" s="15" t="s">
        <v>475</v>
      </c>
      <c r="E37" s="15"/>
      <c r="F37" s="19"/>
      <c r="G37" s="19"/>
      <c r="H37" s="25" t="s">
        <v>348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476</v>
      </c>
    </row>
    <row r="38" spans="1:40" ht="14.1" customHeight="1">
      <c r="A38" s="15" t="s">
        <v>58</v>
      </c>
      <c r="B38" s="15" t="s">
        <v>469</v>
      </c>
      <c r="C38" s="15" t="s">
        <v>474</v>
      </c>
      <c r="D38" s="15" t="s">
        <v>475</v>
      </c>
      <c r="E38" s="15"/>
      <c r="F38" s="19"/>
      <c r="G38" s="19"/>
      <c r="H38" s="25" t="s">
        <v>348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476</v>
      </c>
    </row>
    <row r="39" spans="1:40" ht="14.1" customHeight="1">
      <c r="A39" s="15" t="s">
        <v>54</v>
      </c>
      <c r="B39" s="15" t="s">
        <v>469</v>
      </c>
      <c r="C39" s="15" t="s">
        <v>474</v>
      </c>
      <c r="D39" s="15" t="s">
        <v>475</v>
      </c>
      <c r="E39" s="15"/>
      <c r="F39" s="19"/>
      <c r="G39" s="19"/>
      <c r="H39" s="25" t="s">
        <v>348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476</v>
      </c>
    </row>
    <row r="40" spans="1:40" ht="14.1" customHeight="1">
      <c r="A40" s="15" t="s">
        <v>58</v>
      </c>
      <c r="B40" s="15" t="s">
        <v>469</v>
      </c>
      <c r="C40" s="15" t="s">
        <v>474</v>
      </c>
      <c r="D40" s="15" t="s">
        <v>475</v>
      </c>
      <c r="E40" s="15"/>
      <c r="F40" s="19"/>
      <c r="G40" s="19"/>
      <c r="H40" s="25" t="s">
        <v>348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476</v>
      </c>
    </row>
    <row r="41" spans="1:40" ht="14.1" customHeight="1">
      <c r="A41" s="15" t="s">
        <v>338</v>
      </c>
      <c r="B41" s="15" t="s">
        <v>469</v>
      </c>
      <c r="C41" s="15" t="s">
        <v>474</v>
      </c>
      <c r="D41" s="15" t="s">
        <v>475</v>
      </c>
      <c r="E41" s="15"/>
      <c r="F41" s="19"/>
      <c r="G41" s="19"/>
      <c r="H41" s="25" t="s">
        <v>477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476</v>
      </c>
    </row>
    <row r="42" spans="1:40" ht="14.1" customHeight="1">
      <c r="A42" s="15" t="s">
        <v>24</v>
      </c>
      <c r="B42" s="15" t="s">
        <v>469</v>
      </c>
      <c r="C42" s="15" t="s">
        <v>474</v>
      </c>
      <c r="D42" s="15" t="s">
        <v>475</v>
      </c>
      <c r="E42" s="15"/>
      <c r="F42" s="19"/>
      <c r="G42" s="19"/>
      <c r="H42" s="25" t="s">
        <v>477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476</v>
      </c>
    </row>
    <row r="43" spans="1:40" ht="14.1" customHeight="1">
      <c r="A43" s="15" t="s">
        <v>23</v>
      </c>
      <c r="B43" s="15" t="s">
        <v>469</v>
      </c>
      <c r="C43" s="15" t="s">
        <v>474</v>
      </c>
      <c r="D43" s="15" t="s">
        <v>475</v>
      </c>
      <c r="E43" s="15"/>
      <c r="F43" s="19"/>
      <c r="G43" s="19"/>
      <c r="H43" s="25" t="s">
        <v>477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476</v>
      </c>
    </row>
    <row r="44" spans="1:40" ht="14.1" customHeight="1">
      <c r="A44" s="15" t="s">
        <v>19</v>
      </c>
      <c r="B44" s="15" t="s">
        <v>469</v>
      </c>
      <c r="C44" s="15" t="s">
        <v>474</v>
      </c>
      <c r="D44" s="15" t="s">
        <v>475</v>
      </c>
      <c r="E44" s="15"/>
      <c r="F44" s="19"/>
      <c r="G44" s="19"/>
      <c r="H44" s="25" t="s">
        <v>477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476</v>
      </c>
    </row>
    <row r="45" spans="1:40" ht="14.1" customHeight="1">
      <c r="A45" s="15" t="s">
        <v>22</v>
      </c>
      <c r="B45" s="15" t="s">
        <v>469</v>
      </c>
      <c r="C45" s="15" t="s">
        <v>474</v>
      </c>
      <c r="D45" s="15" t="s">
        <v>475</v>
      </c>
      <c r="E45" s="15"/>
      <c r="F45" s="19"/>
      <c r="G45" s="19"/>
      <c r="H45" s="25" t="s">
        <v>477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476</v>
      </c>
    </row>
    <row r="46" spans="1:40" ht="14.1" customHeight="1">
      <c r="A46" s="15" t="s">
        <v>155</v>
      </c>
      <c r="B46" s="15" t="s">
        <v>469</v>
      </c>
      <c r="C46" s="15" t="s">
        <v>474</v>
      </c>
      <c r="D46" s="15" t="s">
        <v>475</v>
      </c>
      <c r="E46" s="15"/>
      <c r="F46" s="19"/>
      <c r="G46" s="19"/>
      <c r="H46" s="25" t="s">
        <v>477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476</v>
      </c>
    </row>
    <row r="47" spans="1:40" ht="14.1" customHeight="1">
      <c r="A47" s="15" t="s">
        <v>20</v>
      </c>
      <c r="B47" s="15" t="s">
        <v>469</v>
      </c>
      <c r="C47" s="15" t="s">
        <v>474</v>
      </c>
      <c r="D47" s="15" t="s">
        <v>475</v>
      </c>
      <c r="E47" s="15"/>
      <c r="F47" s="19"/>
      <c r="G47" s="19"/>
      <c r="H47" s="25" t="s">
        <v>477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476</v>
      </c>
    </row>
    <row r="48" spans="1:40" ht="14.1" customHeight="1">
      <c r="A48" s="15" t="s">
        <v>388</v>
      </c>
      <c r="B48" s="15" t="s">
        <v>469</v>
      </c>
      <c r="C48" s="15" t="s">
        <v>474</v>
      </c>
      <c r="D48" s="15" t="s">
        <v>475</v>
      </c>
      <c r="E48" s="15"/>
      <c r="F48" s="19"/>
      <c r="G48" s="19"/>
      <c r="H48" s="25" t="s">
        <v>348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476</v>
      </c>
    </row>
    <row r="49" spans="1:40" ht="14.1" customHeight="1">
      <c r="A49" s="15" t="s">
        <v>349</v>
      </c>
      <c r="B49" s="15" t="s">
        <v>469</v>
      </c>
      <c r="C49" s="15" t="s">
        <v>474</v>
      </c>
      <c r="D49" s="15" t="s">
        <v>475</v>
      </c>
      <c r="E49" s="15"/>
      <c r="F49" s="19"/>
      <c r="G49" s="19"/>
      <c r="H49" s="25" t="s">
        <v>348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476</v>
      </c>
    </row>
    <row r="50" spans="1:40" ht="14.1" customHeight="1">
      <c r="A50" s="15" t="s">
        <v>140</v>
      </c>
      <c r="B50" s="15" t="s">
        <v>469</v>
      </c>
      <c r="C50" s="15" t="s">
        <v>474</v>
      </c>
      <c r="D50" s="15" t="s">
        <v>475</v>
      </c>
      <c r="E50" s="15"/>
      <c r="F50" s="19"/>
      <c r="G50" s="19"/>
      <c r="H50" s="25" t="s">
        <v>348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476</v>
      </c>
    </row>
    <row r="51" spans="1:40" ht="14.1" customHeight="1">
      <c r="A51" s="15" t="s">
        <v>131</v>
      </c>
      <c r="B51" s="15" t="s">
        <v>469</v>
      </c>
      <c r="C51" s="15" t="s">
        <v>474</v>
      </c>
      <c r="D51" s="15" t="s">
        <v>475</v>
      </c>
      <c r="E51" s="15"/>
      <c r="F51" s="19"/>
      <c r="G51" s="19"/>
      <c r="H51" s="25" t="s">
        <v>348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476</v>
      </c>
    </row>
    <row r="52" spans="1:40" ht="14.1" customHeight="1">
      <c r="A52" s="15" t="s">
        <v>127</v>
      </c>
      <c r="B52" s="15" t="s">
        <v>469</v>
      </c>
      <c r="C52" s="15" t="s">
        <v>474</v>
      </c>
      <c r="D52" s="15" t="s">
        <v>475</v>
      </c>
      <c r="E52" s="15"/>
      <c r="F52" s="19"/>
      <c r="G52" s="19"/>
      <c r="H52" s="25" t="s">
        <v>348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476</v>
      </c>
    </row>
    <row r="53" spans="1:40" ht="14.1" customHeight="1">
      <c r="A53" s="15" t="s">
        <v>137</v>
      </c>
      <c r="B53" s="15" t="s">
        <v>469</v>
      </c>
      <c r="C53" s="15" t="s">
        <v>474</v>
      </c>
      <c r="D53" s="15" t="s">
        <v>475</v>
      </c>
      <c r="E53" s="15"/>
      <c r="F53" s="19"/>
      <c r="G53" s="19">
        <v>1</v>
      </c>
      <c r="H53" s="25" t="s">
        <v>348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476</v>
      </c>
    </row>
    <row r="54" spans="1:40" ht="14.1" customHeight="1">
      <c r="A54" s="15" t="s">
        <v>388</v>
      </c>
      <c r="B54" s="15" t="s">
        <v>469</v>
      </c>
      <c r="C54" s="15" t="s">
        <v>470</v>
      </c>
      <c r="D54" s="15" t="s">
        <v>478</v>
      </c>
      <c r="E54" s="15"/>
      <c r="F54" s="19"/>
      <c r="G54" s="19"/>
      <c r="H54" s="25" t="s">
        <v>348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476</v>
      </c>
    </row>
    <row r="55" spans="1:40" ht="14.1" customHeight="1">
      <c r="A55" s="15" t="s">
        <v>349</v>
      </c>
      <c r="B55" s="15" t="s">
        <v>469</v>
      </c>
      <c r="C55" s="15" t="s">
        <v>470</v>
      </c>
      <c r="D55" s="15" t="s">
        <v>478</v>
      </c>
      <c r="E55" s="15"/>
      <c r="F55" s="19"/>
      <c r="G55" s="19"/>
      <c r="H55" s="25" t="s">
        <v>348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476</v>
      </c>
    </row>
    <row r="56" spans="1:40" ht="14.1" customHeight="1">
      <c r="A56" s="15" t="s">
        <v>140</v>
      </c>
      <c r="B56" s="15" t="s">
        <v>469</v>
      </c>
      <c r="C56" s="15" t="s">
        <v>470</v>
      </c>
      <c r="D56" s="15" t="s">
        <v>478</v>
      </c>
      <c r="E56" s="15"/>
      <c r="F56" s="19"/>
      <c r="G56" s="19"/>
      <c r="H56" s="25" t="s">
        <v>348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476</v>
      </c>
    </row>
    <row r="57" spans="1:40" ht="14.1" customHeight="1">
      <c r="A57" s="15" t="s">
        <v>131</v>
      </c>
      <c r="B57" s="15" t="s">
        <v>469</v>
      </c>
      <c r="C57" s="15" t="s">
        <v>470</v>
      </c>
      <c r="D57" s="15" t="s">
        <v>478</v>
      </c>
      <c r="E57" s="15"/>
      <c r="F57" s="19"/>
      <c r="G57" s="19"/>
      <c r="H57" s="25" t="s">
        <v>348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476</v>
      </c>
    </row>
    <row r="58" spans="1:40" ht="14.1" customHeight="1">
      <c r="A58" s="15" t="s">
        <v>127</v>
      </c>
      <c r="B58" s="15" t="s">
        <v>469</v>
      </c>
      <c r="C58" s="15" t="s">
        <v>470</v>
      </c>
      <c r="D58" s="15" t="s">
        <v>478</v>
      </c>
      <c r="E58" s="15"/>
      <c r="F58" s="19"/>
      <c r="G58" s="19"/>
      <c r="H58" s="25" t="s">
        <v>348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476</v>
      </c>
    </row>
    <row r="59" spans="1:40" ht="14.1" customHeight="1">
      <c r="A59" s="15" t="s">
        <v>137</v>
      </c>
      <c r="B59" s="15" t="s">
        <v>469</v>
      </c>
      <c r="C59" s="15" t="s">
        <v>470</v>
      </c>
      <c r="D59" s="15" t="s">
        <v>478</v>
      </c>
      <c r="E59" s="15"/>
      <c r="F59" s="19"/>
      <c r="G59" s="19"/>
      <c r="H59" s="25" t="s">
        <v>348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476</v>
      </c>
    </row>
    <row r="60" spans="1:40" ht="14.1" customHeight="1">
      <c r="A60" s="15" t="s">
        <v>388</v>
      </c>
      <c r="B60" s="15" t="s">
        <v>469</v>
      </c>
      <c r="C60" s="15" t="s">
        <v>474</v>
      </c>
      <c r="D60" s="15" t="s">
        <v>479</v>
      </c>
      <c r="E60" s="15"/>
      <c r="F60" s="19"/>
      <c r="G60" s="19">
        <v>1</v>
      </c>
      <c r="H60" s="25" t="s">
        <v>348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480</v>
      </c>
    </row>
    <row r="61" spans="1:40" ht="14.1" customHeight="1">
      <c r="A61" s="15" t="s">
        <v>349</v>
      </c>
      <c r="B61" s="15" t="s">
        <v>469</v>
      </c>
      <c r="C61" s="15" t="s">
        <v>474</v>
      </c>
      <c r="D61" s="15" t="s">
        <v>479</v>
      </c>
      <c r="E61" s="15"/>
      <c r="F61" s="19"/>
      <c r="G61" s="19"/>
      <c r="H61" s="25" t="s">
        <v>348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480</v>
      </c>
    </row>
    <row r="62" spans="1:40" ht="14.1" customHeight="1">
      <c r="A62" s="15" t="s">
        <v>131</v>
      </c>
      <c r="B62" s="15" t="s">
        <v>469</v>
      </c>
      <c r="C62" s="15" t="s">
        <v>474</v>
      </c>
      <c r="D62" s="15" t="s">
        <v>479</v>
      </c>
      <c r="E62" s="15"/>
      <c r="F62" s="19"/>
      <c r="G62" s="19"/>
      <c r="H62" s="25" t="s">
        <v>348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480</v>
      </c>
    </row>
    <row r="63" spans="1:40" ht="14.1" customHeight="1">
      <c r="A63" s="15" t="s">
        <v>137</v>
      </c>
      <c r="B63" s="15" t="s">
        <v>469</v>
      </c>
      <c r="C63" s="15" t="s">
        <v>474</v>
      </c>
      <c r="D63" s="15" t="s">
        <v>479</v>
      </c>
      <c r="E63" s="15"/>
      <c r="F63" s="19"/>
      <c r="G63" s="19"/>
      <c r="H63" s="25" t="s">
        <v>348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480</v>
      </c>
    </row>
    <row r="64" spans="1:40" ht="14.1" customHeight="1">
      <c r="A64" s="15" t="s">
        <v>425</v>
      </c>
      <c r="B64" s="15" t="s">
        <v>469</v>
      </c>
      <c r="C64" s="15" t="s">
        <v>474</v>
      </c>
      <c r="D64" s="15" t="s">
        <v>479</v>
      </c>
      <c r="E64" s="15"/>
      <c r="F64" s="19"/>
      <c r="G64" s="19"/>
      <c r="H64" s="25" t="s">
        <v>348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480</v>
      </c>
    </row>
    <row r="65" spans="1:40" ht="14.1" customHeight="1">
      <c r="A65" s="15" t="s">
        <v>388</v>
      </c>
      <c r="B65" s="15" t="s">
        <v>469</v>
      </c>
      <c r="C65" s="15" t="s">
        <v>470</v>
      </c>
      <c r="D65" s="15" t="s">
        <v>478</v>
      </c>
      <c r="E65" s="15"/>
      <c r="F65" s="19"/>
      <c r="G65" s="19"/>
      <c r="H65" s="25" t="s">
        <v>348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480</v>
      </c>
    </row>
    <row r="66" spans="1:40" ht="14.1" customHeight="1">
      <c r="A66" s="15" t="s">
        <v>349</v>
      </c>
      <c r="B66" s="15" t="s">
        <v>469</v>
      </c>
      <c r="C66" s="15" t="s">
        <v>470</v>
      </c>
      <c r="D66" s="15" t="s">
        <v>478</v>
      </c>
      <c r="E66" s="15"/>
      <c r="F66" s="19"/>
      <c r="G66" s="19"/>
      <c r="H66" s="25" t="s">
        <v>348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480</v>
      </c>
    </row>
    <row r="67" spans="1:40" ht="14.1" customHeight="1">
      <c r="A67" s="15" t="s">
        <v>131</v>
      </c>
      <c r="B67" s="15" t="s">
        <v>469</v>
      </c>
      <c r="C67" s="15" t="s">
        <v>470</v>
      </c>
      <c r="D67" s="15" t="s">
        <v>478</v>
      </c>
      <c r="E67" s="15"/>
      <c r="F67" s="19"/>
      <c r="G67" s="19"/>
      <c r="H67" s="25" t="s">
        <v>348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480</v>
      </c>
    </row>
    <row r="68" spans="1:40" ht="14.1" customHeight="1">
      <c r="A68" s="15" t="s">
        <v>137</v>
      </c>
      <c r="B68" s="15" t="s">
        <v>469</v>
      </c>
      <c r="C68" s="15" t="s">
        <v>470</v>
      </c>
      <c r="D68" s="15" t="s">
        <v>478</v>
      </c>
      <c r="E68" s="15"/>
      <c r="F68" s="19"/>
      <c r="G68" s="19"/>
      <c r="H68" s="25" t="s">
        <v>348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480</v>
      </c>
    </row>
    <row r="69" spans="1:40" ht="14.1" customHeight="1">
      <c r="A69" s="15" t="s">
        <v>425</v>
      </c>
      <c r="B69" s="15" t="s">
        <v>469</v>
      </c>
      <c r="C69" s="15" t="s">
        <v>470</v>
      </c>
      <c r="D69" s="15" t="s">
        <v>478</v>
      </c>
      <c r="E69" s="15"/>
      <c r="F69" s="19"/>
      <c r="G69" s="19"/>
      <c r="H69" s="25" t="s">
        <v>348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480</v>
      </c>
    </row>
    <row r="70" spans="1:40" ht="14.1" customHeight="1">
      <c r="A70" s="15" t="s">
        <v>425</v>
      </c>
      <c r="B70" s="15" t="s">
        <v>469</v>
      </c>
      <c r="C70" s="15" t="s">
        <v>470</v>
      </c>
      <c r="D70" s="15" t="s">
        <v>478</v>
      </c>
      <c r="E70" s="15"/>
      <c r="F70" s="19"/>
      <c r="G70" s="19"/>
      <c r="H70" s="25" t="s">
        <v>348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481</v>
      </c>
    </row>
    <row r="71" spans="1:40" ht="14.1" customHeight="1">
      <c r="A71" s="15" t="s">
        <v>388</v>
      </c>
      <c r="B71" s="15" t="s">
        <v>469</v>
      </c>
      <c r="C71" s="15" t="s">
        <v>470</v>
      </c>
      <c r="D71" s="15" t="s">
        <v>478</v>
      </c>
      <c r="E71" s="15"/>
      <c r="F71" s="19"/>
      <c r="G71" s="19"/>
      <c r="H71" s="25" t="s">
        <v>348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481</v>
      </c>
    </row>
    <row r="72" spans="1:40" ht="14.1" customHeight="1">
      <c r="A72" s="15" t="s">
        <v>349</v>
      </c>
      <c r="B72" s="15" t="s">
        <v>469</v>
      </c>
      <c r="C72" s="15" t="s">
        <v>470</v>
      </c>
      <c r="D72" s="15" t="s">
        <v>478</v>
      </c>
      <c r="E72" s="15"/>
      <c r="F72" s="19"/>
      <c r="G72" s="19"/>
      <c r="H72" s="25" t="s">
        <v>348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481</v>
      </c>
    </row>
    <row r="73" spans="1:40" ht="14.1" customHeight="1">
      <c r="A73" s="15" t="s">
        <v>140</v>
      </c>
      <c r="B73" s="15" t="s">
        <v>469</v>
      </c>
      <c r="C73" s="15" t="s">
        <v>470</v>
      </c>
      <c r="D73" s="15" t="s">
        <v>478</v>
      </c>
      <c r="E73" s="15"/>
      <c r="F73" s="19"/>
      <c r="G73" s="19"/>
      <c r="H73" s="25" t="s">
        <v>348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481</v>
      </c>
    </row>
    <row r="74" spans="1:40" ht="14.1" customHeight="1">
      <c r="A74" s="15" t="s">
        <v>131</v>
      </c>
      <c r="B74" s="15" t="s">
        <v>469</v>
      </c>
      <c r="C74" s="15" t="s">
        <v>470</v>
      </c>
      <c r="D74" s="15" t="s">
        <v>478</v>
      </c>
      <c r="E74" s="15"/>
      <c r="F74" s="19"/>
      <c r="G74" s="19"/>
      <c r="H74" s="25" t="s">
        <v>348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481</v>
      </c>
    </row>
    <row r="75" spans="1:40" ht="14.1" customHeight="1">
      <c r="A75" s="15" t="s">
        <v>127</v>
      </c>
      <c r="B75" s="15" t="s">
        <v>469</v>
      </c>
      <c r="C75" s="15" t="s">
        <v>470</v>
      </c>
      <c r="D75" s="15" t="s">
        <v>478</v>
      </c>
      <c r="E75" s="15"/>
      <c r="F75" s="19"/>
      <c r="G75" s="19"/>
      <c r="H75" s="25" t="s">
        <v>348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481</v>
      </c>
    </row>
    <row r="76" spans="1:40" ht="14.1" customHeight="1">
      <c r="A76" s="15" t="s">
        <v>137</v>
      </c>
      <c r="B76" s="15" t="s">
        <v>469</v>
      </c>
      <c r="C76" s="15" t="s">
        <v>470</v>
      </c>
      <c r="D76" s="15" t="s">
        <v>478</v>
      </c>
      <c r="E76" s="15"/>
      <c r="F76" s="19"/>
      <c r="G76" s="19"/>
      <c r="H76" s="25" t="s">
        <v>348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481</v>
      </c>
    </row>
    <row r="77" spans="1:40" ht="14.1" customHeight="1">
      <c r="A77" s="15" t="s">
        <v>140</v>
      </c>
      <c r="B77" s="15" t="s">
        <v>469</v>
      </c>
      <c r="C77" s="15" t="s">
        <v>474</v>
      </c>
      <c r="D77" s="15" t="s">
        <v>482</v>
      </c>
      <c r="E77" s="15" t="s">
        <v>483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484</v>
      </c>
    </row>
    <row r="78" spans="1:40" ht="14.1" customHeight="1">
      <c r="A78" s="15" t="s">
        <v>143</v>
      </c>
      <c r="B78" s="15" t="s">
        <v>469</v>
      </c>
      <c r="C78" s="15" t="s">
        <v>474</v>
      </c>
      <c r="D78" s="15" t="s">
        <v>482</v>
      </c>
      <c r="E78" s="15" t="s">
        <v>483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484</v>
      </c>
    </row>
    <row r="79" spans="1:40" ht="14.1" customHeight="1">
      <c r="A79" s="15" t="s">
        <v>140</v>
      </c>
      <c r="B79" s="15" t="s">
        <v>469</v>
      </c>
      <c r="C79" s="15" t="s">
        <v>474</v>
      </c>
      <c r="D79" s="15" t="s">
        <v>482</v>
      </c>
      <c r="E79" s="15" t="s">
        <v>483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485</v>
      </c>
    </row>
    <row r="80" spans="1:40" ht="14.1" customHeight="1">
      <c r="A80" s="15" t="s">
        <v>140</v>
      </c>
      <c r="B80" s="15" t="s">
        <v>469</v>
      </c>
      <c r="C80" s="15" t="s">
        <v>470</v>
      </c>
      <c r="D80" s="15" t="s">
        <v>478</v>
      </c>
      <c r="E80" s="15"/>
      <c r="F80" s="19"/>
      <c r="G80" s="19"/>
      <c r="H80" s="25" t="s">
        <v>348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>
      <c r="A81" s="15" t="s">
        <v>143</v>
      </c>
      <c r="B81" s="15" t="s">
        <v>469</v>
      </c>
      <c r="C81" s="15" t="s">
        <v>470</v>
      </c>
      <c r="D81" s="15" t="s">
        <v>478</v>
      </c>
      <c r="E81" s="15"/>
      <c r="F81" s="19"/>
      <c r="G81" s="19"/>
      <c r="H81" s="25" t="s">
        <v>348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>
      <c r="A82" s="15" t="s">
        <v>140</v>
      </c>
      <c r="B82" s="15" t="s">
        <v>469</v>
      </c>
      <c r="C82" s="15" t="s">
        <v>470</v>
      </c>
      <c r="D82" s="15" t="s">
        <v>478</v>
      </c>
      <c r="E82" s="15"/>
      <c r="F82" s="19"/>
      <c r="G82" s="19"/>
      <c r="H82" s="25" t="s">
        <v>348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>
      <c r="A83" s="15" t="s">
        <v>140</v>
      </c>
      <c r="B83" s="15" t="s">
        <v>469</v>
      </c>
      <c r="C83" s="15" t="s">
        <v>486</v>
      </c>
      <c r="D83" s="15" t="s">
        <v>487</v>
      </c>
      <c r="E83" s="15" t="s">
        <v>483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>
      <c r="A84" s="15" t="s">
        <v>131</v>
      </c>
      <c r="B84" s="15" t="s">
        <v>469</v>
      </c>
      <c r="C84" s="15" t="s">
        <v>486</v>
      </c>
      <c r="D84" s="15" t="s">
        <v>488</v>
      </c>
      <c r="E84" s="15" t="s">
        <v>360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>
      <c r="A85" s="15" t="s">
        <v>425</v>
      </c>
      <c r="B85" s="15" t="s">
        <v>469</v>
      </c>
      <c r="C85" s="15" t="s">
        <v>486</v>
      </c>
      <c r="D85" s="15" t="s">
        <v>489</v>
      </c>
      <c r="E85" s="15" t="s">
        <v>360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>
      <c r="A86" s="15" t="s">
        <v>425</v>
      </c>
      <c r="B86" s="15" t="s">
        <v>469</v>
      </c>
      <c r="C86" s="15" t="s">
        <v>474</v>
      </c>
      <c r="D86" s="15" t="s">
        <v>490</v>
      </c>
      <c r="E86" s="15" t="s">
        <v>360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>
      <c r="A87" s="15" t="s">
        <v>388</v>
      </c>
      <c r="B87" s="15" t="s">
        <v>469</v>
      </c>
      <c r="C87" s="15" t="s">
        <v>486</v>
      </c>
      <c r="D87" s="15" t="s">
        <v>489</v>
      </c>
      <c r="E87" s="15" t="s">
        <v>360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>
      <c r="A88" s="15" t="s">
        <v>388</v>
      </c>
      <c r="B88" s="15" t="s">
        <v>469</v>
      </c>
      <c r="C88" s="15" t="s">
        <v>486</v>
      </c>
      <c r="D88" s="15" t="s">
        <v>487</v>
      </c>
      <c r="E88" s="15" t="s">
        <v>483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>
      <c r="A89" s="15" t="s">
        <v>388</v>
      </c>
      <c r="B89" s="15" t="s">
        <v>469</v>
      </c>
      <c r="C89" s="15" t="s">
        <v>486</v>
      </c>
      <c r="D89" s="15" t="s">
        <v>491</v>
      </c>
      <c r="E89" s="15" t="s">
        <v>433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>
      <c r="A90" s="15" t="s">
        <v>388</v>
      </c>
      <c r="B90" s="15" t="s">
        <v>469</v>
      </c>
      <c r="C90" s="15" t="s">
        <v>474</v>
      </c>
      <c r="D90" s="15" t="s">
        <v>490</v>
      </c>
      <c r="E90" s="15" t="s">
        <v>360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>
      <c r="A91" s="15" t="s">
        <v>388</v>
      </c>
      <c r="B91" s="15" t="s">
        <v>469</v>
      </c>
      <c r="C91" s="15" t="s">
        <v>486</v>
      </c>
      <c r="D91" s="15" t="s">
        <v>491</v>
      </c>
      <c r="E91" s="15" t="s">
        <v>435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>
      <c r="A92" s="15" t="s">
        <v>349</v>
      </c>
      <c r="B92" s="15" t="s">
        <v>469</v>
      </c>
      <c r="C92" s="15" t="s">
        <v>486</v>
      </c>
      <c r="D92" s="15" t="s">
        <v>491</v>
      </c>
      <c r="E92" s="15" t="s">
        <v>433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>
      <c r="A93" s="15" t="s">
        <v>349</v>
      </c>
      <c r="B93" s="15" t="s">
        <v>469</v>
      </c>
      <c r="C93" s="15" t="s">
        <v>486</v>
      </c>
      <c r="D93" s="15" t="s">
        <v>491</v>
      </c>
      <c r="E93" s="15" t="s">
        <v>435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>
      <c r="A94" s="15" t="s">
        <v>349</v>
      </c>
      <c r="B94" s="15" t="s">
        <v>469</v>
      </c>
      <c r="C94" s="15" t="s">
        <v>474</v>
      </c>
      <c r="D94" s="15" t="s">
        <v>490</v>
      </c>
      <c r="E94" s="15" t="s">
        <v>433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>
      <c r="A95" s="15" t="s">
        <v>349</v>
      </c>
      <c r="B95" s="15" t="s">
        <v>469</v>
      </c>
      <c r="C95" s="15" t="s">
        <v>474</v>
      </c>
      <c r="D95" s="15" t="s">
        <v>490</v>
      </c>
      <c r="E95" s="15" t="s">
        <v>360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>
      <c r="A96" s="15" t="s">
        <v>349</v>
      </c>
      <c r="B96" s="15" t="s">
        <v>469</v>
      </c>
      <c r="C96" s="15" t="s">
        <v>486</v>
      </c>
      <c r="D96" s="15" t="s">
        <v>491</v>
      </c>
      <c r="E96" s="15" t="s">
        <v>360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>
      <c r="A97" s="15" t="s">
        <v>349</v>
      </c>
      <c r="B97" s="15" t="s">
        <v>469</v>
      </c>
      <c r="C97" s="15" t="s">
        <v>486</v>
      </c>
      <c r="D97" s="15" t="s">
        <v>487</v>
      </c>
      <c r="E97" s="15" t="s">
        <v>483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>
      <c r="A98" s="15" t="s">
        <v>349</v>
      </c>
      <c r="B98" s="15" t="s">
        <v>469</v>
      </c>
      <c r="C98" s="15" t="s">
        <v>486</v>
      </c>
      <c r="D98" s="15" t="s">
        <v>488</v>
      </c>
      <c r="E98" s="15" t="s">
        <v>433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>
      <c r="A99" s="15" t="s">
        <v>140</v>
      </c>
      <c r="B99" s="15" t="s">
        <v>469</v>
      </c>
      <c r="C99" s="15" t="s">
        <v>486</v>
      </c>
      <c r="D99" s="15" t="s">
        <v>487</v>
      </c>
      <c r="E99" s="15" t="s">
        <v>492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>
      <c r="A100" s="15" t="s">
        <v>140</v>
      </c>
      <c r="B100" s="15" t="s">
        <v>469</v>
      </c>
      <c r="C100" s="15" t="s">
        <v>486</v>
      </c>
      <c r="D100" s="15" t="s">
        <v>488</v>
      </c>
      <c r="E100" s="15" t="s">
        <v>360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>
      <c r="A101" s="15" t="s">
        <v>140</v>
      </c>
      <c r="B101" s="15" t="s">
        <v>469</v>
      </c>
      <c r="C101" s="15" t="s">
        <v>486</v>
      </c>
      <c r="D101" s="15" t="s">
        <v>488</v>
      </c>
      <c r="E101" s="15" t="s">
        <v>483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>
      <c r="A102" s="15" t="s">
        <v>131</v>
      </c>
      <c r="B102" s="15" t="s">
        <v>469</v>
      </c>
      <c r="C102" s="15" t="s">
        <v>486</v>
      </c>
      <c r="D102" s="15" t="s">
        <v>489</v>
      </c>
      <c r="E102" s="15" t="s">
        <v>360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>
      <c r="A103" s="15" t="s">
        <v>131</v>
      </c>
      <c r="B103" s="15" t="s">
        <v>469</v>
      </c>
      <c r="C103" s="15" t="s">
        <v>474</v>
      </c>
      <c r="D103" s="15" t="s">
        <v>490</v>
      </c>
      <c r="E103" s="15" t="s">
        <v>360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>
      <c r="A104" s="15" t="s">
        <v>131</v>
      </c>
      <c r="B104" s="15" t="s">
        <v>469</v>
      </c>
      <c r="C104" s="15" t="s">
        <v>486</v>
      </c>
      <c r="D104" s="15" t="s">
        <v>491</v>
      </c>
      <c r="E104" s="15" t="s">
        <v>435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>
      <c r="A105" s="15" t="s">
        <v>131</v>
      </c>
      <c r="B105" s="15" t="s">
        <v>469</v>
      </c>
      <c r="C105" s="15" t="s">
        <v>486</v>
      </c>
      <c r="D105" s="15" t="s">
        <v>488</v>
      </c>
      <c r="E105" s="15" t="s">
        <v>483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>
      <c r="A106" s="15" t="s">
        <v>131</v>
      </c>
      <c r="B106" s="15" t="s">
        <v>469</v>
      </c>
      <c r="C106" s="15" t="s">
        <v>486</v>
      </c>
      <c r="D106" s="15" t="s">
        <v>488</v>
      </c>
      <c r="E106" s="15" t="s">
        <v>433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>
      <c r="A107" s="15" t="s">
        <v>127</v>
      </c>
      <c r="B107" s="15" t="s">
        <v>469</v>
      </c>
      <c r="C107" s="15" t="s">
        <v>486</v>
      </c>
      <c r="D107" s="15" t="s">
        <v>491</v>
      </c>
      <c r="E107" s="15" t="s">
        <v>435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>
      <c r="A108" s="15" t="s">
        <v>137</v>
      </c>
      <c r="B108" s="15" t="s">
        <v>469</v>
      </c>
      <c r="C108" s="15" t="s">
        <v>474</v>
      </c>
      <c r="D108" s="15" t="s">
        <v>490</v>
      </c>
      <c r="E108" s="15" t="s">
        <v>433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>
      <c r="A109" s="15" t="s">
        <v>137</v>
      </c>
      <c r="B109" s="15" t="s">
        <v>469</v>
      </c>
      <c r="C109" s="15" t="s">
        <v>474</v>
      </c>
      <c r="D109" s="15" t="s">
        <v>490</v>
      </c>
      <c r="E109" s="15" t="s">
        <v>360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>
      <c r="A110" s="15" t="s">
        <v>137</v>
      </c>
      <c r="B110" s="15" t="s">
        <v>469</v>
      </c>
      <c r="C110" s="15" t="s">
        <v>486</v>
      </c>
      <c r="D110" s="15" t="s">
        <v>488</v>
      </c>
      <c r="E110" s="15" t="s">
        <v>360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>
      <c r="A111" s="15" t="s">
        <v>137</v>
      </c>
      <c r="B111" s="15" t="s">
        <v>469</v>
      </c>
      <c r="C111" s="15" t="s">
        <v>486</v>
      </c>
      <c r="D111" s="15" t="s">
        <v>491</v>
      </c>
      <c r="E111" s="15" t="s">
        <v>433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>
      <c r="A112" s="15" t="s">
        <v>137</v>
      </c>
      <c r="B112" s="15" t="s">
        <v>469</v>
      </c>
      <c r="C112" s="15" t="s">
        <v>486</v>
      </c>
      <c r="D112" s="15" t="s">
        <v>488</v>
      </c>
      <c r="E112" s="15" t="s">
        <v>433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>
      <c r="A113" s="15" t="s">
        <v>144</v>
      </c>
      <c r="B113" s="15" t="s">
        <v>469</v>
      </c>
      <c r="C113" s="15" t="s">
        <v>486</v>
      </c>
      <c r="D113" s="15" t="s">
        <v>487</v>
      </c>
      <c r="E113" s="15" t="s">
        <v>483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>
      <c r="A114" s="15" t="s">
        <v>143</v>
      </c>
      <c r="B114" s="15" t="s">
        <v>469</v>
      </c>
      <c r="C114" s="15" t="s">
        <v>486</v>
      </c>
      <c r="D114" s="15" t="s">
        <v>487</v>
      </c>
      <c r="E114" s="15" t="s">
        <v>483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>
      <c r="A115" s="15" t="s">
        <v>94</v>
      </c>
      <c r="B115" s="15" t="s">
        <v>469</v>
      </c>
      <c r="C115" s="15" t="s">
        <v>474</v>
      </c>
      <c r="D115" s="15" t="s">
        <v>482</v>
      </c>
      <c r="E115" s="15" t="s">
        <v>429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484</v>
      </c>
    </row>
    <row r="116" spans="1:40" ht="14.1" customHeight="1">
      <c r="A116" s="15" t="s">
        <v>94</v>
      </c>
      <c r="B116" s="15" t="s">
        <v>469</v>
      </c>
      <c r="C116" s="15" t="s">
        <v>474</v>
      </c>
      <c r="D116" s="15" t="s">
        <v>482</v>
      </c>
      <c r="E116" s="15" t="s">
        <v>429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493</v>
      </c>
    </row>
    <row r="117" spans="1:40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5546875" defaultRowHeight="14.4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>
      <c r="A1" s="14" t="s">
        <v>187</v>
      </c>
      <c r="I1" s="1"/>
      <c r="J1" s="1"/>
      <c r="K1" s="1"/>
      <c r="L1" s="1"/>
      <c r="M1" s="1"/>
      <c r="N1" s="1"/>
      <c r="O1" s="1"/>
      <c r="P1" s="1"/>
      <c r="Q1" s="1"/>
      <c r="R1" s="479" t="s">
        <v>189</v>
      </c>
      <c r="S1" s="479"/>
      <c r="T1" s="479"/>
      <c r="U1" s="479"/>
      <c r="V1" s="479"/>
      <c r="W1" s="479"/>
      <c r="X1" s="479"/>
      <c r="Y1" s="479"/>
      <c r="Z1" s="479"/>
      <c r="AA1" s="479"/>
      <c r="AB1" s="479"/>
      <c r="AC1" s="479" t="s">
        <v>190</v>
      </c>
      <c r="AD1" s="479"/>
      <c r="AE1" s="479"/>
      <c r="AF1" s="479"/>
      <c r="AG1" s="479"/>
      <c r="AH1" s="479"/>
      <c r="AI1" s="479"/>
      <c r="AJ1" s="479"/>
      <c r="AK1" s="479"/>
      <c r="AL1" s="479"/>
      <c r="AM1" s="479"/>
    </row>
    <row r="2" spans="1:39" s="3" customFormat="1" ht="59.45" customHeight="1" thickBot="1">
      <c r="I2" s="13" t="s">
        <v>295</v>
      </c>
      <c r="J2" s="465" t="s">
        <v>296</v>
      </c>
      <c r="K2" s="465"/>
      <c r="L2" s="465"/>
      <c r="M2" s="465" t="s">
        <v>297</v>
      </c>
      <c r="N2" s="465"/>
      <c r="O2" s="465"/>
      <c r="P2" s="465"/>
      <c r="Q2" s="466"/>
      <c r="R2" s="482" t="s">
        <v>191</v>
      </c>
      <c r="S2" s="482"/>
      <c r="T2" s="4" t="s">
        <v>192</v>
      </c>
      <c r="U2" s="3" t="s">
        <v>192</v>
      </c>
      <c r="V2" s="5" t="s">
        <v>192</v>
      </c>
      <c r="W2" s="3" t="s">
        <v>193</v>
      </c>
      <c r="X2" s="3" t="s">
        <v>193</v>
      </c>
      <c r="Y2" s="3" t="s">
        <v>193</v>
      </c>
      <c r="Z2" s="3" t="s">
        <v>193</v>
      </c>
      <c r="AA2" s="3" t="s">
        <v>193</v>
      </c>
      <c r="AB2" s="5" t="s">
        <v>193</v>
      </c>
      <c r="AC2" s="482" t="s">
        <v>194</v>
      </c>
      <c r="AD2" s="482"/>
      <c r="AE2" s="482"/>
      <c r="AF2" s="482"/>
      <c r="AG2" s="482"/>
      <c r="AH2" s="482"/>
      <c r="AI2" s="482"/>
      <c r="AJ2" s="482"/>
      <c r="AK2" s="482" t="s">
        <v>298</v>
      </c>
      <c r="AL2" s="482"/>
      <c r="AM2" s="482"/>
    </row>
    <row r="3" spans="1:39" s="13" customFormat="1" ht="43.9" thickBot="1">
      <c r="A3" s="6" t="s">
        <v>195</v>
      </c>
      <c r="B3" s="7" t="s">
        <v>196</v>
      </c>
      <c r="C3" s="7" t="s">
        <v>197</v>
      </c>
      <c r="D3" s="8" t="s">
        <v>198</v>
      </c>
      <c r="E3" s="6" t="s">
        <v>199</v>
      </c>
      <c r="F3" s="8" t="s">
        <v>200</v>
      </c>
      <c r="G3" s="9" t="s">
        <v>201</v>
      </c>
      <c r="H3" s="9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6" t="s">
        <v>307</v>
      </c>
      <c r="S3" s="8" t="s">
        <v>308</v>
      </c>
      <c r="T3" s="10" t="s">
        <v>309</v>
      </c>
      <c r="U3" s="11" t="s">
        <v>310</v>
      </c>
      <c r="V3" s="12" t="s">
        <v>206</v>
      </c>
      <c r="W3" s="11" t="s">
        <v>207</v>
      </c>
      <c r="X3" s="11" t="s">
        <v>209</v>
      </c>
      <c r="Y3" s="11" t="s">
        <v>210</v>
      </c>
      <c r="Z3" s="11" t="s">
        <v>211</v>
      </c>
      <c r="AA3" s="11" t="s">
        <v>212</v>
      </c>
      <c r="AB3" s="12" t="s">
        <v>213</v>
      </c>
      <c r="AC3" s="10" t="s">
        <v>311</v>
      </c>
      <c r="AD3" s="11" t="s">
        <v>312</v>
      </c>
      <c r="AE3" s="11" t="s">
        <v>313</v>
      </c>
      <c r="AF3" s="11" t="s">
        <v>314</v>
      </c>
      <c r="AG3" s="11" t="s">
        <v>315</v>
      </c>
      <c r="AH3" s="10" t="s">
        <v>316</v>
      </c>
      <c r="AI3" s="10" t="s">
        <v>317</v>
      </c>
      <c r="AJ3" s="12" t="s">
        <v>318</v>
      </c>
      <c r="AK3" s="10" t="s">
        <v>311</v>
      </c>
      <c r="AL3" s="11" t="s">
        <v>312</v>
      </c>
      <c r="AM3" s="12" t="s">
        <v>319</v>
      </c>
    </row>
    <row r="4" spans="1:39">
      <c r="A4" s="113" t="s">
        <v>172</v>
      </c>
      <c r="B4" s="34" t="s">
        <v>494</v>
      </c>
      <c r="C4" s="34" t="s">
        <v>495</v>
      </c>
      <c r="D4" s="36" t="s">
        <v>496</v>
      </c>
      <c r="E4" s="113" t="s">
        <v>497</v>
      </c>
      <c r="F4" s="37">
        <v>1</v>
      </c>
      <c r="G4" s="37"/>
      <c r="H4" s="31" t="s">
        <v>347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>
      <c r="A5" s="114" t="s">
        <v>498</v>
      </c>
      <c r="B5" s="31" t="s">
        <v>494</v>
      </c>
      <c r="C5" s="31" t="s">
        <v>495</v>
      </c>
      <c r="D5" s="36" t="s">
        <v>496</v>
      </c>
      <c r="E5" s="112" t="s">
        <v>497</v>
      </c>
      <c r="F5" s="32"/>
      <c r="G5" s="32"/>
      <c r="H5" s="31" t="s">
        <v>347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>
      <c r="A6" s="114" t="s">
        <v>176</v>
      </c>
      <c r="B6" s="31" t="s">
        <v>494</v>
      </c>
      <c r="C6" s="31" t="s">
        <v>495</v>
      </c>
      <c r="D6" s="36" t="s">
        <v>496</v>
      </c>
      <c r="E6" s="112" t="s">
        <v>499</v>
      </c>
      <c r="F6" s="32">
        <v>1</v>
      </c>
      <c r="G6" s="32"/>
      <c r="H6" s="31" t="s">
        <v>347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>
      <c r="A7" s="114" t="s">
        <v>346</v>
      </c>
      <c r="B7" s="31" t="s">
        <v>494</v>
      </c>
      <c r="C7" s="31" t="s">
        <v>500</v>
      </c>
      <c r="D7" s="36" t="s">
        <v>501</v>
      </c>
      <c r="E7" s="112" t="s">
        <v>502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>
      <c r="A8" s="114" t="s">
        <v>146</v>
      </c>
      <c r="B8" s="31" t="s">
        <v>494</v>
      </c>
      <c r="C8" s="31" t="s">
        <v>500</v>
      </c>
      <c r="D8" s="36" t="s">
        <v>501</v>
      </c>
      <c r="E8" s="112" t="s">
        <v>502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>
      <c r="A9" s="114" t="s">
        <v>153</v>
      </c>
      <c r="B9" s="31" t="s">
        <v>494</v>
      </c>
      <c r="C9" s="31" t="s">
        <v>500</v>
      </c>
      <c r="D9" s="36" t="s">
        <v>501</v>
      </c>
      <c r="E9" s="112" t="s">
        <v>502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>
      <c r="A10" s="114" t="s">
        <v>22</v>
      </c>
      <c r="B10" s="31" t="s">
        <v>494</v>
      </c>
      <c r="C10" s="31" t="s">
        <v>500</v>
      </c>
      <c r="D10" s="36" t="s">
        <v>501</v>
      </c>
      <c r="E10" s="112" t="s">
        <v>502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>
      <c r="A11" s="114" t="s">
        <v>151</v>
      </c>
      <c r="B11" s="31" t="s">
        <v>494</v>
      </c>
      <c r="C11" s="31" t="s">
        <v>500</v>
      </c>
      <c r="D11" s="36" t="s">
        <v>501</v>
      </c>
      <c r="E11" s="112" t="s">
        <v>502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>
      <c r="A12" s="114" t="s">
        <v>155</v>
      </c>
      <c r="B12" s="31" t="s">
        <v>494</v>
      </c>
      <c r="C12" s="31" t="s">
        <v>500</v>
      </c>
      <c r="D12" s="36" t="s">
        <v>501</v>
      </c>
      <c r="E12" s="112" t="s">
        <v>502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>
      <c r="A13" s="114" t="s">
        <v>150</v>
      </c>
      <c r="B13" s="31" t="s">
        <v>494</v>
      </c>
      <c r="C13" s="31" t="s">
        <v>500</v>
      </c>
      <c r="D13" s="36" t="s">
        <v>501</v>
      </c>
      <c r="E13" s="112" t="s">
        <v>502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>
      <c r="A14" s="114" t="s">
        <v>20</v>
      </c>
      <c r="B14" s="31" t="s">
        <v>494</v>
      </c>
      <c r="C14" s="31" t="s">
        <v>500</v>
      </c>
      <c r="D14" s="36" t="s">
        <v>501</v>
      </c>
      <c r="E14" s="112" t="s">
        <v>502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>
      <c r="A15" s="114" t="s">
        <v>61</v>
      </c>
      <c r="B15" s="31" t="s">
        <v>494</v>
      </c>
      <c r="C15" s="31" t="s">
        <v>500</v>
      </c>
      <c r="D15" s="36" t="s">
        <v>501</v>
      </c>
      <c r="E15" s="112" t="s">
        <v>502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>
      <c r="A16" s="114" t="s">
        <v>156</v>
      </c>
      <c r="B16" s="31" t="s">
        <v>494</v>
      </c>
      <c r="C16" s="31" t="s">
        <v>500</v>
      </c>
      <c r="D16" s="36" t="s">
        <v>501</v>
      </c>
      <c r="E16" s="112" t="s">
        <v>502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>
      <c r="A17" s="114" t="s">
        <v>19</v>
      </c>
      <c r="B17" s="31" t="s">
        <v>494</v>
      </c>
      <c r="C17" s="31" t="s">
        <v>500</v>
      </c>
      <c r="D17" s="36" t="s">
        <v>501</v>
      </c>
      <c r="E17" s="112" t="s">
        <v>502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>
      <c r="A18" s="114" t="s">
        <v>146</v>
      </c>
      <c r="B18" s="31" t="s">
        <v>494</v>
      </c>
      <c r="C18" s="31" t="s">
        <v>500</v>
      </c>
      <c r="D18" s="36" t="s">
        <v>503</v>
      </c>
      <c r="E18" s="112" t="s">
        <v>502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>
      <c r="A19" s="114" t="s">
        <v>150</v>
      </c>
      <c r="B19" s="31" t="s">
        <v>494</v>
      </c>
      <c r="C19" s="31" t="s">
        <v>500</v>
      </c>
      <c r="D19" s="36" t="s">
        <v>503</v>
      </c>
      <c r="E19" s="112" t="s">
        <v>502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>
      <c r="A20" s="114" t="s">
        <v>439</v>
      </c>
      <c r="B20" s="31" t="s">
        <v>494</v>
      </c>
      <c r="C20" s="31" t="s">
        <v>495</v>
      </c>
      <c r="D20" s="36" t="s">
        <v>504</v>
      </c>
      <c r="E20" s="112" t="s">
        <v>424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>
      <c r="A21" s="114" t="s">
        <v>178</v>
      </c>
      <c r="B21" s="31" t="s">
        <v>494</v>
      </c>
      <c r="C21" s="31" t="s">
        <v>495</v>
      </c>
      <c r="D21" s="36" t="s">
        <v>504</v>
      </c>
      <c r="E21" s="112" t="s">
        <v>424</v>
      </c>
      <c r="F21" s="32"/>
      <c r="G21" s="32"/>
      <c r="H21" s="31" t="s">
        <v>347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>
      <c r="A22" s="114" t="s">
        <v>185</v>
      </c>
      <c r="B22" s="31" t="s">
        <v>494</v>
      </c>
      <c r="C22" s="31" t="s">
        <v>495</v>
      </c>
      <c r="D22" s="36" t="s">
        <v>504</v>
      </c>
      <c r="E22" s="112" t="s">
        <v>424</v>
      </c>
      <c r="F22" s="32">
        <v>1</v>
      </c>
      <c r="G22" s="32"/>
      <c r="H22" s="31" t="s">
        <v>347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>
      <c r="A23" s="114" t="s">
        <v>505</v>
      </c>
      <c r="B23" s="31" t="s">
        <v>494</v>
      </c>
      <c r="C23" s="31" t="s">
        <v>495</v>
      </c>
      <c r="D23" s="36" t="s">
        <v>504</v>
      </c>
      <c r="E23" s="112" t="s">
        <v>424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>
      <c r="A24" s="114" t="s">
        <v>437</v>
      </c>
      <c r="B24" s="31" t="s">
        <v>494</v>
      </c>
      <c r="C24" s="31" t="s">
        <v>495</v>
      </c>
      <c r="D24" s="36" t="s">
        <v>504</v>
      </c>
      <c r="E24" s="112" t="s">
        <v>424</v>
      </c>
      <c r="F24" s="32"/>
      <c r="G24" s="32"/>
      <c r="H24" s="31" t="s">
        <v>347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>
      <c r="A25" s="114" t="s">
        <v>185</v>
      </c>
      <c r="B25" s="31" t="s">
        <v>494</v>
      </c>
      <c r="C25" s="31" t="s">
        <v>495</v>
      </c>
      <c r="D25" s="36" t="s">
        <v>506</v>
      </c>
      <c r="E25" s="112" t="s">
        <v>424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>
      <c r="A26" s="114" t="s">
        <v>437</v>
      </c>
      <c r="B26" s="31" t="s">
        <v>494</v>
      </c>
      <c r="C26" s="31" t="s">
        <v>495</v>
      </c>
      <c r="D26" s="36" t="s">
        <v>506</v>
      </c>
      <c r="E26" s="112" t="s">
        <v>424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>
      <c r="A27" s="114" t="s">
        <v>179</v>
      </c>
      <c r="B27" s="31" t="s">
        <v>494</v>
      </c>
      <c r="C27" s="31" t="s">
        <v>495</v>
      </c>
      <c r="D27" s="36" t="s">
        <v>507</v>
      </c>
      <c r="E27" s="112" t="s">
        <v>424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>
      <c r="A28" s="114" t="s">
        <v>439</v>
      </c>
      <c r="B28" s="31" t="s">
        <v>494</v>
      </c>
      <c r="C28" s="31" t="s">
        <v>508</v>
      </c>
      <c r="D28" s="36" t="s">
        <v>509</v>
      </c>
      <c r="E28" s="112" t="s">
        <v>359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>
      <c r="A29" s="114" t="s">
        <v>178</v>
      </c>
      <c r="B29" s="31" t="s">
        <v>494</v>
      </c>
      <c r="C29" s="31" t="s">
        <v>508</v>
      </c>
      <c r="D29" s="36" t="s">
        <v>509</v>
      </c>
      <c r="E29" s="112" t="s">
        <v>359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>
      <c r="A30" s="114" t="s">
        <v>161</v>
      </c>
      <c r="B30" s="31" t="s">
        <v>494</v>
      </c>
      <c r="C30" s="31" t="s">
        <v>508</v>
      </c>
      <c r="D30" s="36" t="s">
        <v>509</v>
      </c>
      <c r="E30" s="112" t="s">
        <v>359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>
      <c r="A31" s="114" t="s">
        <v>170</v>
      </c>
      <c r="B31" s="31" t="s">
        <v>494</v>
      </c>
      <c r="C31" s="31" t="s">
        <v>508</v>
      </c>
      <c r="D31" s="36" t="s">
        <v>509</v>
      </c>
      <c r="E31" s="112" t="s">
        <v>359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>
      <c r="A32" s="114" t="s">
        <v>178</v>
      </c>
      <c r="B32" s="31" t="s">
        <v>494</v>
      </c>
      <c r="C32" s="31" t="s">
        <v>508</v>
      </c>
      <c r="D32" s="36" t="s">
        <v>510</v>
      </c>
      <c r="E32" s="112" t="s">
        <v>359</v>
      </c>
      <c r="F32" s="32"/>
      <c r="G32" s="32"/>
      <c r="H32" s="31" t="s">
        <v>347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>
      <c r="A33" s="114" t="s">
        <v>511</v>
      </c>
      <c r="B33" s="31" t="s">
        <v>494</v>
      </c>
      <c r="C33" s="31" t="s">
        <v>508</v>
      </c>
      <c r="D33" s="36" t="s">
        <v>510</v>
      </c>
      <c r="E33" s="112" t="s">
        <v>359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>
      <c r="A34" s="114" t="s">
        <v>179</v>
      </c>
      <c r="B34" s="31" t="s">
        <v>494</v>
      </c>
      <c r="C34" s="31" t="s">
        <v>512</v>
      </c>
      <c r="D34" s="36" t="s">
        <v>513</v>
      </c>
      <c r="E34" s="112"/>
      <c r="F34" s="32"/>
      <c r="G34" s="32"/>
      <c r="H34" s="31" t="s">
        <v>347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>
      <c r="A35" s="114" t="s">
        <v>179</v>
      </c>
      <c r="B35" s="31" t="s">
        <v>494</v>
      </c>
      <c r="C35" s="31" t="s">
        <v>495</v>
      </c>
      <c r="D35" s="36" t="s">
        <v>496</v>
      </c>
      <c r="E35" s="112" t="s">
        <v>100</v>
      </c>
      <c r="F35" s="32"/>
      <c r="G35" s="32"/>
      <c r="H35" s="31" t="s">
        <v>347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>
      <c r="A36" s="114" t="s">
        <v>171</v>
      </c>
      <c r="B36" s="31" t="s">
        <v>494</v>
      </c>
      <c r="C36" s="31" t="s">
        <v>514</v>
      </c>
      <c r="D36" s="36" t="s">
        <v>515</v>
      </c>
      <c r="E36" s="112"/>
      <c r="F36" s="32"/>
      <c r="G36" s="32"/>
      <c r="H36" s="31" t="s">
        <v>347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>
      <c r="A37" s="114" t="s">
        <v>346</v>
      </c>
      <c r="B37" s="31" t="s">
        <v>494</v>
      </c>
      <c r="C37" s="31" t="s">
        <v>514</v>
      </c>
      <c r="D37" s="36" t="s">
        <v>516</v>
      </c>
      <c r="E37" s="112"/>
      <c r="F37" s="32"/>
      <c r="G37" s="32"/>
      <c r="H37" s="31" t="s">
        <v>347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>
      <c r="A38" s="114" t="s">
        <v>146</v>
      </c>
      <c r="B38" s="31" t="s">
        <v>494</v>
      </c>
      <c r="C38" s="31" t="s">
        <v>514</v>
      </c>
      <c r="D38" s="36" t="s">
        <v>516</v>
      </c>
      <c r="E38" s="112"/>
      <c r="F38" s="32"/>
      <c r="G38" s="32"/>
      <c r="H38" s="31" t="s">
        <v>347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>
      <c r="A39" s="114" t="s">
        <v>160</v>
      </c>
      <c r="B39" s="31" t="s">
        <v>494</v>
      </c>
      <c r="C39" s="31" t="s">
        <v>514</v>
      </c>
      <c r="D39" s="36" t="s">
        <v>515</v>
      </c>
      <c r="E39" s="112"/>
      <c r="F39" s="32"/>
      <c r="G39" s="32"/>
      <c r="H39" s="31" t="s">
        <v>347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>
      <c r="A40" s="114" t="s">
        <v>153</v>
      </c>
      <c r="B40" s="31" t="s">
        <v>494</v>
      </c>
      <c r="C40" s="31" t="s">
        <v>514</v>
      </c>
      <c r="D40" s="36" t="s">
        <v>516</v>
      </c>
      <c r="E40" s="112"/>
      <c r="F40" s="32"/>
      <c r="G40" s="32"/>
      <c r="H40" s="31" t="s">
        <v>347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>
      <c r="A41" s="114" t="s">
        <v>517</v>
      </c>
      <c r="B41" s="31" t="s">
        <v>494</v>
      </c>
      <c r="C41" s="31" t="s">
        <v>512</v>
      </c>
      <c r="D41" s="36" t="s">
        <v>518</v>
      </c>
      <c r="E41" s="112"/>
      <c r="F41" s="32"/>
      <c r="G41" s="32"/>
      <c r="H41" s="31" t="s">
        <v>347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>
      <c r="A42" s="114" t="s">
        <v>170</v>
      </c>
      <c r="B42" s="31" t="s">
        <v>494</v>
      </c>
      <c r="C42" s="31" t="s">
        <v>514</v>
      </c>
      <c r="D42" s="36" t="s">
        <v>515</v>
      </c>
      <c r="E42" s="112"/>
      <c r="F42" s="32"/>
      <c r="G42" s="32"/>
      <c r="H42" s="31" t="s">
        <v>347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>
      <c r="A43" s="114" t="s">
        <v>519</v>
      </c>
      <c r="B43" s="31" t="s">
        <v>494</v>
      </c>
      <c r="C43" s="31" t="s">
        <v>512</v>
      </c>
      <c r="D43" s="36" t="s">
        <v>518</v>
      </c>
      <c r="E43" s="112"/>
      <c r="F43" s="32"/>
      <c r="G43" s="32"/>
      <c r="H43" s="31" t="s">
        <v>347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>
      <c r="A44" s="114" t="s">
        <v>178</v>
      </c>
      <c r="B44" s="31" t="s">
        <v>494</v>
      </c>
      <c r="C44" s="31" t="s">
        <v>512</v>
      </c>
      <c r="D44" s="36" t="s">
        <v>513</v>
      </c>
      <c r="E44" s="112"/>
      <c r="F44" s="32"/>
      <c r="G44" s="32"/>
      <c r="H44" s="31" t="s">
        <v>347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>
      <c r="A45" s="114" t="s">
        <v>178</v>
      </c>
      <c r="B45" s="31" t="s">
        <v>494</v>
      </c>
      <c r="C45" s="31" t="s">
        <v>512</v>
      </c>
      <c r="D45" s="36" t="s">
        <v>520</v>
      </c>
      <c r="E45" s="112"/>
      <c r="F45" s="32"/>
      <c r="G45" s="32"/>
      <c r="H45" s="31" t="s">
        <v>347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>
      <c r="A46" s="114" t="s">
        <v>151</v>
      </c>
      <c r="B46" s="31" t="s">
        <v>494</v>
      </c>
      <c r="C46" s="31" t="s">
        <v>514</v>
      </c>
      <c r="D46" s="36" t="s">
        <v>516</v>
      </c>
      <c r="E46" s="112"/>
      <c r="F46" s="32"/>
      <c r="G46" s="32"/>
      <c r="H46" s="31" t="s">
        <v>347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>
      <c r="A47" s="114" t="s">
        <v>155</v>
      </c>
      <c r="B47" s="31" t="s">
        <v>494</v>
      </c>
      <c r="C47" s="31" t="s">
        <v>514</v>
      </c>
      <c r="D47" s="36" t="s">
        <v>516</v>
      </c>
      <c r="E47" s="112"/>
      <c r="F47" s="32"/>
      <c r="G47" s="32"/>
      <c r="H47" s="31" t="s">
        <v>347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>
      <c r="A48" s="114" t="s">
        <v>150</v>
      </c>
      <c r="B48" s="31" t="s">
        <v>494</v>
      </c>
      <c r="C48" s="31" t="s">
        <v>514</v>
      </c>
      <c r="D48" s="36" t="s">
        <v>516</v>
      </c>
      <c r="E48" s="112"/>
      <c r="F48" s="32"/>
      <c r="G48" s="32"/>
      <c r="H48" s="31" t="s">
        <v>347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>
      <c r="A49" s="114" t="s">
        <v>157</v>
      </c>
      <c r="B49" s="31" t="s">
        <v>494</v>
      </c>
      <c r="C49" s="31" t="s">
        <v>514</v>
      </c>
      <c r="D49" s="36" t="s">
        <v>521</v>
      </c>
      <c r="E49" s="112"/>
      <c r="F49" s="32"/>
      <c r="G49" s="32"/>
      <c r="H49" s="31" t="s">
        <v>347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>
      <c r="A50" s="114" t="s">
        <v>161</v>
      </c>
      <c r="B50" s="31" t="s">
        <v>494</v>
      </c>
      <c r="C50" s="31" t="s">
        <v>512</v>
      </c>
      <c r="D50" s="36" t="s">
        <v>520</v>
      </c>
      <c r="E50" s="112"/>
      <c r="F50" s="32"/>
      <c r="G50" s="32"/>
      <c r="H50" s="31" t="s">
        <v>347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>
      <c r="A51" s="114" t="s">
        <v>159</v>
      </c>
      <c r="B51" s="31" t="s">
        <v>494</v>
      </c>
      <c r="C51" s="31" t="s">
        <v>514</v>
      </c>
      <c r="D51" s="36" t="s">
        <v>521</v>
      </c>
      <c r="E51" s="112"/>
      <c r="F51" s="32"/>
      <c r="G51" s="32"/>
      <c r="H51" s="31" t="s">
        <v>347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>
      <c r="A52" s="114" t="s">
        <v>522</v>
      </c>
      <c r="B52" s="31" t="s">
        <v>494</v>
      </c>
      <c r="C52" s="31" t="s">
        <v>512</v>
      </c>
      <c r="D52" s="36" t="s">
        <v>518</v>
      </c>
      <c r="E52" s="112"/>
      <c r="F52" s="32"/>
      <c r="G52" s="32"/>
      <c r="H52" s="31" t="s">
        <v>347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>
      <c r="A53" s="114" t="s">
        <v>165</v>
      </c>
      <c r="B53" s="31" t="s">
        <v>494</v>
      </c>
      <c r="C53" s="31" t="s">
        <v>512</v>
      </c>
      <c r="D53" s="36" t="s">
        <v>518</v>
      </c>
      <c r="E53" s="112"/>
      <c r="F53" s="32"/>
      <c r="G53" s="32"/>
      <c r="H53" s="31" t="s">
        <v>347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>
      <c r="A54" s="114" t="s">
        <v>156</v>
      </c>
      <c r="B54" s="31" t="s">
        <v>494</v>
      </c>
      <c r="C54" s="31" t="s">
        <v>514</v>
      </c>
      <c r="D54" s="36" t="s">
        <v>516</v>
      </c>
      <c r="E54" s="112"/>
      <c r="F54" s="32"/>
      <c r="G54" s="32"/>
      <c r="H54" s="31" t="s">
        <v>347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>
      <c r="A55" s="114" t="s">
        <v>346</v>
      </c>
      <c r="B55" s="31" t="s">
        <v>494</v>
      </c>
      <c r="C55" s="31" t="s">
        <v>514</v>
      </c>
      <c r="D55" s="36" t="s">
        <v>523</v>
      </c>
      <c r="E55" s="112"/>
      <c r="F55" s="32"/>
      <c r="G55" s="32"/>
      <c r="H55" s="31" t="s">
        <v>347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>
      <c r="A56" s="114" t="s">
        <v>146</v>
      </c>
      <c r="B56" s="31" t="s">
        <v>494</v>
      </c>
      <c r="C56" s="31" t="s">
        <v>514</v>
      </c>
      <c r="D56" s="36" t="s">
        <v>523</v>
      </c>
      <c r="E56" s="112"/>
      <c r="F56" s="32"/>
      <c r="G56" s="32"/>
      <c r="H56" s="31" t="s">
        <v>347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>
      <c r="A57" s="114" t="s">
        <v>153</v>
      </c>
      <c r="B57" s="31" t="s">
        <v>494</v>
      </c>
      <c r="C57" s="31" t="s">
        <v>514</v>
      </c>
      <c r="D57" s="36" t="s">
        <v>523</v>
      </c>
      <c r="E57" s="112"/>
      <c r="F57" s="32"/>
      <c r="G57" s="32"/>
      <c r="H57" s="31" t="s">
        <v>347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>
      <c r="A58" s="114" t="s">
        <v>178</v>
      </c>
      <c r="B58" s="31" t="s">
        <v>494</v>
      </c>
      <c r="C58" s="31" t="s">
        <v>514</v>
      </c>
      <c r="D58" s="36" t="s">
        <v>515</v>
      </c>
      <c r="E58" s="112"/>
      <c r="F58" s="32"/>
      <c r="G58" s="32"/>
      <c r="H58" s="31" t="s">
        <v>347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>
      <c r="A59" s="114" t="s">
        <v>151</v>
      </c>
      <c r="B59" s="31" t="s">
        <v>494</v>
      </c>
      <c r="C59" s="31" t="s">
        <v>514</v>
      </c>
      <c r="D59" s="36" t="s">
        <v>523</v>
      </c>
      <c r="E59" s="112"/>
      <c r="F59" s="32"/>
      <c r="G59" s="32"/>
      <c r="H59" s="31" t="s">
        <v>347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>
      <c r="A60" s="114" t="s">
        <v>155</v>
      </c>
      <c r="B60" s="31" t="s">
        <v>494</v>
      </c>
      <c r="C60" s="31" t="s">
        <v>514</v>
      </c>
      <c r="D60" s="36" t="s">
        <v>523</v>
      </c>
      <c r="E60" s="112"/>
      <c r="F60" s="32"/>
      <c r="G60" s="32"/>
      <c r="H60" s="31" t="s">
        <v>347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>
      <c r="A61" s="114" t="s">
        <v>150</v>
      </c>
      <c r="B61" s="31" t="s">
        <v>494</v>
      </c>
      <c r="C61" s="31" t="s">
        <v>514</v>
      </c>
      <c r="D61" s="36" t="s">
        <v>523</v>
      </c>
      <c r="E61" s="112"/>
      <c r="F61" s="32"/>
      <c r="G61" s="32"/>
      <c r="H61" s="31" t="s">
        <v>347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>
      <c r="A62" s="114" t="s">
        <v>159</v>
      </c>
      <c r="B62" s="31" t="s">
        <v>494</v>
      </c>
      <c r="C62" s="31" t="s">
        <v>514</v>
      </c>
      <c r="D62" s="36" t="s">
        <v>515</v>
      </c>
      <c r="E62" s="112"/>
      <c r="F62" s="32"/>
      <c r="G62" s="32"/>
      <c r="H62" s="31" t="s">
        <v>347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>
      <c r="A63" s="114" t="s">
        <v>156</v>
      </c>
      <c r="B63" s="31" t="s">
        <v>494</v>
      </c>
      <c r="C63" s="31" t="s">
        <v>514</v>
      </c>
      <c r="D63" s="36" t="s">
        <v>521</v>
      </c>
      <c r="E63" s="112"/>
      <c r="F63" s="32"/>
      <c r="G63" s="32"/>
      <c r="H63" s="31" t="s">
        <v>347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>
      <c r="A64" s="114" t="s">
        <v>179</v>
      </c>
      <c r="B64" s="31" t="s">
        <v>494</v>
      </c>
      <c r="C64" s="31" t="s">
        <v>495</v>
      </c>
      <c r="D64" s="36" t="s">
        <v>507</v>
      </c>
      <c r="E64" s="112" t="s">
        <v>100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>
      <c r="A65" s="114" t="s">
        <v>346</v>
      </c>
      <c r="B65" s="31" t="s">
        <v>494</v>
      </c>
      <c r="C65" s="31" t="s">
        <v>500</v>
      </c>
      <c r="D65" s="36" t="s">
        <v>501</v>
      </c>
      <c r="E65" s="112" t="s">
        <v>100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>
      <c r="A66" s="114" t="s">
        <v>346</v>
      </c>
      <c r="B66" s="31" t="s">
        <v>494</v>
      </c>
      <c r="C66" s="31" t="s">
        <v>500</v>
      </c>
      <c r="D66" s="36" t="s">
        <v>503</v>
      </c>
      <c r="E66" s="112" t="s">
        <v>100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>
      <c r="A67" s="114" t="s">
        <v>146</v>
      </c>
      <c r="B67" s="31" t="s">
        <v>494</v>
      </c>
      <c r="C67" s="31" t="s">
        <v>500</v>
      </c>
      <c r="D67" s="36" t="s">
        <v>501</v>
      </c>
      <c r="E67" s="112" t="s">
        <v>100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>
      <c r="A68" s="114" t="s">
        <v>153</v>
      </c>
      <c r="B68" s="31" t="s">
        <v>494</v>
      </c>
      <c r="C68" s="31" t="s">
        <v>500</v>
      </c>
      <c r="D68" s="36" t="s">
        <v>501</v>
      </c>
      <c r="E68" s="112" t="s">
        <v>100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>
      <c r="A69" s="114" t="s">
        <v>153</v>
      </c>
      <c r="B69" s="31" t="s">
        <v>494</v>
      </c>
      <c r="C69" s="31" t="s">
        <v>500</v>
      </c>
      <c r="D69" s="36" t="s">
        <v>503</v>
      </c>
      <c r="E69" s="112" t="s">
        <v>100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>
      <c r="A70" s="114" t="s">
        <v>176</v>
      </c>
      <c r="B70" s="31" t="s">
        <v>494</v>
      </c>
      <c r="C70" s="31" t="s">
        <v>495</v>
      </c>
      <c r="D70" s="36" t="s">
        <v>496</v>
      </c>
      <c r="E70" s="112" t="s">
        <v>100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>
      <c r="A71" s="114" t="s">
        <v>439</v>
      </c>
      <c r="B71" s="31" t="s">
        <v>494</v>
      </c>
      <c r="C71" s="31" t="s">
        <v>495</v>
      </c>
      <c r="D71" s="36" t="s">
        <v>507</v>
      </c>
      <c r="E71" s="112" t="s">
        <v>100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>
      <c r="A72" s="114" t="s">
        <v>22</v>
      </c>
      <c r="B72" s="31" t="s">
        <v>494</v>
      </c>
      <c r="C72" s="31" t="s">
        <v>500</v>
      </c>
      <c r="D72" s="36" t="s">
        <v>501</v>
      </c>
      <c r="E72" s="112" t="s">
        <v>100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>
      <c r="A73" s="114" t="s">
        <v>178</v>
      </c>
      <c r="B73" s="31" t="s">
        <v>494</v>
      </c>
      <c r="C73" s="31" t="s">
        <v>495</v>
      </c>
      <c r="D73" s="36" t="s">
        <v>504</v>
      </c>
      <c r="E73" s="112" t="s">
        <v>100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>
      <c r="A74" s="114" t="s">
        <v>178</v>
      </c>
      <c r="B74" s="31" t="s">
        <v>494</v>
      </c>
      <c r="C74" s="31" t="s">
        <v>495</v>
      </c>
      <c r="D74" s="36" t="s">
        <v>507</v>
      </c>
      <c r="E74" s="112" t="s">
        <v>100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>
      <c r="A75" s="114" t="s">
        <v>178</v>
      </c>
      <c r="B75" s="31" t="s">
        <v>494</v>
      </c>
      <c r="C75" s="31" t="s">
        <v>508</v>
      </c>
      <c r="D75" s="36" t="s">
        <v>509</v>
      </c>
      <c r="E75" s="112" t="s">
        <v>100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>
      <c r="A76" s="114" t="s">
        <v>178</v>
      </c>
      <c r="B76" s="31" t="s">
        <v>494</v>
      </c>
      <c r="C76" s="31" t="s">
        <v>508</v>
      </c>
      <c r="D76" s="36" t="s">
        <v>510</v>
      </c>
      <c r="E76" s="112" t="s">
        <v>100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>
      <c r="A77" s="114" t="s">
        <v>178</v>
      </c>
      <c r="B77" s="31" t="s">
        <v>494</v>
      </c>
      <c r="C77" s="31" t="s">
        <v>495</v>
      </c>
      <c r="D77" s="36" t="s">
        <v>496</v>
      </c>
      <c r="E77" s="112" t="s">
        <v>100</v>
      </c>
      <c r="F77" s="32"/>
      <c r="G77" s="32"/>
      <c r="H77" s="31" t="s">
        <v>347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>
      <c r="A78" s="114" t="s">
        <v>185</v>
      </c>
      <c r="B78" s="31" t="s">
        <v>494</v>
      </c>
      <c r="C78" s="31" t="s">
        <v>495</v>
      </c>
      <c r="D78" s="36" t="s">
        <v>504</v>
      </c>
      <c r="E78" s="112" t="s">
        <v>100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>
      <c r="A79" s="114" t="s">
        <v>185</v>
      </c>
      <c r="B79" s="31" t="s">
        <v>494</v>
      </c>
      <c r="C79" s="31" t="s">
        <v>495</v>
      </c>
      <c r="D79" s="36" t="s">
        <v>507</v>
      </c>
      <c r="E79" s="112" t="s">
        <v>100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>
      <c r="A80" s="114" t="s">
        <v>151</v>
      </c>
      <c r="B80" s="31" t="s">
        <v>494</v>
      </c>
      <c r="C80" s="31" t="s">
        <v>500</v>
      </c>
      <c r="D80" s="36" t="s">
        <v>501</v>
      </c>
      <c r="E80" s="112" t="s">
        <v>100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>
      <c r="A81" s="114" t="s">
        <v>151</v>
      </c>
      <c r="B81" s="31" t="s">
        <v>494</v>
      </c>
      <c r="C81" s="31" t="s">
        <v>500</v>
      </c>
      <c r="D81" s="36" t="s">
        <v>503</v>
      </c>
      <c r="E81" s="112" t="s">
        <v>100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>
      <c r="A82" s="114" t="s">
        <v>155</v>
      </c>
      <c r="B82" s="31" t="s">
        <v>494</v>
      </c>
      <c r="C82" s="31" t="s">
        <v>500</v>
      </c>
      <c r="D82" s="36" t="s">
        <v>501</v>
      </c>
      <c r="E82" s="112" t="s">
        <v>100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>
      <c r="A83" s="114" t="s">
        <v>155</v>
      </c>
      <c r="B83" s="31" t="s">
        <v>494</v>
      </c>
      <c r="C83" s="31" t="s">
        <v>500</v>
      </c>
      <c r="D83" s="36" t="s">
        <v>503</v>
      </c>
      <c r="E83" s="112" t="s">
        <v>100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>
      <c r="A84" s="114" t="s">
        <v>505</v>
      </c>
      <c r="B84" s="31" t="s">
        <v>494</v>
      </c>
      <c r="C84" s="31" t="s">
        <v>495</v>
      </c>
      <c r="D84" s="36" t="s">
        <v>507</v>
      </c>
      <c r="E84" s="112" t="s">
        <v>100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>
      <c r="A85" s="114" t="s">
        <v>7</v>
      </c>
      <c r="B85" s="31" t="s">
        <v>494</v>
      </c>
      <c r="C85" s="31" t="s">
        <v>500</v>
      </c>
      <c r="D85" s="36" t="s">
        <v>501</v>
      </c>
      <c r="E85" s="112" t="s">
        <v>100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>
      <c r="A86" s="114" t="s">
        <v>150</v>
      </c>
      <c r="B86" s="31" t="s">
        <v>494</v>
      </c>
      <c r="C86" s="31" t="s">
        <v>500</v>
      </c>
      <c r="D86" s="36" t="s">
        <v>501</v>
      </c>
      <c r="E86" s="112" t="s">
        <v>100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>
      <c r="A87" s="114" t="s">
        <v>150</v>
      </c>
      <c r="B87" s="31" t="s">
        <v>494</v>
      </c>
      <c r="C87" s="31" t="s">
        <v>500</v>
      </c>
      <c r="D87" s="36" t="s">
        <v>503</v>
      </c>
      <c r="E87" s="112" t="s">
        <v>100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>
      <c r="A88" s="114" t="s">
        <v>161</v>
      </c>
      <c r="B88" s="31" t="s">
        <v>494</v>
      </c>
      <c r="C88" s="31" t="s">
        <v>495</v>
      </c>
      <c r="D88" s="36" t="s">
        <v>507</v>
      </c>
      <c r="E88" s="112" t="s">
        <v>100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>
      <c r="A89" s="114" t="s">
        <v>161</v>
      </c>
      <c r="B89" s="31" t="s">
        <v>494</v>
      </c>
      <c r="C89" s="31" t="s">
        <v>500</v>
      </c>
      <c r="D89" s="36" t="s">
        <v>524</v>
      </c>
      <c r="E89" s="112" t="s">
        <v>100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>
      <c r="A90" s="114" t="s">
        <v>161</v>
      </c>
      <c r="B90" s="31" t="s">
        <v>494</v>
      </c>
      <c r="C90" s="31" t="s">
        <v>508</v>
      </c>
      <c r="D90" s="36" t="s">
        <v>509</v>
      </c>
      <c r="E90" s="112" t="s">
        <v>100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>
      <c r="A91" s="114" t="s">
        <v>20</v>
      </c>
      <c r="B91" s="31"/>
      <c r="C91" s="31"/>
      <c r="D91" s="36" t="s">
        <v>324</v>
      </c>
      <c r="E91" s="112" t="s">
        <v>100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>
      <c r="A92" s="114" t="s">
        <v>437</v>
      </c>
      <c r="B92" s="31" t="s">
        <v>494</v>
      </c>
      <c r="C92" s="31" t="s">
        <v>495</v>
      </c>
      <c r="D92" s="36" t="s">
        <v>504</v>
      </c>
      <c r="E92" s="112" t="s">
        <v>100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>
      <c r="A93" s="114" t="s">
        <v>156</v>
      </c>
      <c r="B93" s="31" t="s">
        <v>494</v>
      </c>
      <c r="C93" s="31" t="s">
        <v>500</v>
      </c>
      <c r="D93" s="36" t="s">
        <v>501</v>
      </c>
      <c r="E93" s="112" t="s">
        <v>100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>
      <c r="A94" s="114" t="s">
        <v>156</v>
      </c>
      <c r="B94" s="31" t="s">
        <v>494</v>
      </c>
      <c r="C94" s="31" t="s">
        <v>500</v>
      </c>
      <c r="D94" s="36" t="s">
        <v>503</v>
      </c>
      <c r="E94" s="112" t="s">
        <v>100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>
      <c r="A95" s="114" t="s">
        <v>156</v>
      </c>
      <c r="B95" s="31" t="s">
        <v>494</v>
      </c>
      <c r="C95" s="31" t="s">
        <v>500</v>
      </c>
      <c r="D95" s="36" t="s">
        <v>524</v>
      </c>
      <c r="E95" s="112" t="s">
        <v>100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>
      <c r="A96" s="114" t="s">
        <v>19</v>
      </c>
      <c r="B96" s="31"/>
      <c r="C96" s="31"/>
      <c r="D96" s="36" t="s">
        <v>336</v>
      </c>
      <c r="E96" s="112" t="s">
        <v>100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>
      <c r="A97" s="114" t="s">
        <v>172</v>
      </c>
      <c r="B97" s="31" t="s">
        <v>494</v>
      </c>
      <c r="C97" s="31" t="s">
        <v>495</v>
      </c>
      <c r="D97" s="36" t="s">
        <v>496</v>
      </c>
      <c r="E97" s="112" t="s">
        <v>100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>
      <c r="A98" s="114" t="s">
        <v>159</v>
      </c>
      <c r="B98" s="31" t="s">
        <v>494</v>
      </c>
      <c r="C98" s="31" t="s">
        <v>500</v>
      </c>
      <c r="D98" s="36" t="s">
        <v>524</v>
      </c>
      <c r="E98" s="112" t="s">
        <v>100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>
      <c r="A99" s="114" t="s">
        <v>338</v>
      </c>
      <c r="B99" s="31" t="s">
        <v>494</v>
      </c>
      <c r="C99" s="31" t="s">
        <v>500</v>
      </c>
      <c r="D99" s="36" t="s">
        <v>501</v>
      </c>
      <c r="E99" s="112" t="s">
        <v>100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>
      <c r="A100" s="114" t="s">
        <v>157</v>
      </c>
      <c r="B100" s="31" t="s">
        <v>494</v>
      </c>
      <c r="C100" s="31" t="s">
        <v>495</v>
      </c>
      <c r="D100" s="36" t="s">
        <v>507</v>
      </c>
      <c r="E100" s="112" t="s">
        <v>100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>
      <c r="A101" s="114" t="s">
        <v>157</v>
      </c>
      <c r="B101" s="31" t="s">
        <v>494</v>
      </c>
      <c r="C101" s="31" t="s">
        <v>500</v>
      </c>
      <c r="D101" s="36" t="s">
        <v>524</v>
      </c>
      <c r="E101" s="112" t="s">
        <v>100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>
      <c r="A102" s="114" t="s">
        <v>111</v>
      </c>
      <c r="B102" s="31" t="s">
        <v>494</v>
      </c>
      <c r="C102" s="31" t="s">
        <v>500</v>
      </c>
      <c r="D102" s="36" t="s">
        <v>524</v>
      </c>
      <c r="E102" s="112" t="s">
        <v>100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>
      <c r="A103" s="114" t="s">
        <v>29</v>
      </c>
      <c r="B103" s="31" t="s">
        <v>494</v>
      </c>
      <c r="C103" s="31" t="s">
        <v>500</v>
      </c>
      <c r="D103" s="36" t="s">
        <v>524</v>
      </c>
      <c r="E103" s="112" t="s">
        <v>100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>
      <c r="A104" s="114" t="s">
        <v>109</v>
      </c>
      <c r="B104" s="31" t="s">
        <v>494</v>
      </c>
      <c r="C104" s="31" t="s">
        <v>500</v>
      </c>
      <c r="D104" s="36" t="s">
        <v>524</v>
      </c>
      <c r="E104" s="112" t="s">
        <v>100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>
      <c r="A105" s="114" t="s">
        <v>517</v>
      </c>
      <c r="B105" s="31" t="s">
        <v>494</v>
      </c>
      <c r="C105" s="31" t="s">
        <v>508</v>
      </c>
      <c r="D105" s="36" t="s">
        <v>525</v>
      </c>
      <c r="E105" s="112" t="s">
        <v>100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>
      <c r="A106" s="114" t="s">
        <v>522</v>
      </c>
      <c r="B106" s="31" t="s">
        <v>494</v>
      </c>
      <c r="C106" s="31" t="s">
        <v>508</v>
      </c>
      <c r="D106" s="36" t="s">
        <v>525</v>
      </c>
      <c r="E106" s="112" t="s">
        <v>100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>
      <c r="A107" s="114" t="s">
        <v>165</v>
      </c>
      <c r="B107" s="31" t="s">
        <v>494</v>
      </c>
      <c r="C107" s="31" t="s">
        <v>495</v>
      </c>
      <c r="D107" s="36" t="s">
        <v>507</v>
      </c>
      <c r="E107" s="112" t="s">
        <v>100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>
      <c r="A108" s="114" t="s">
        <v>165</v>
      </c>
      <c r="B108" s="31" t="s">
        <v>494</v>
      </c>
      <c r="C108" s="31" t="s">
        <v>508</v>
      </c>
      <c r="D108" s="36" t="s">
        <v>525</v>
      </c>
      <c r="E108" s="112" t="s">
        <v>100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>
      <c r="A109" s="114" t="s">
        <v>519</v>
      </c>
      <c r="B109" s="31" t="s">
        <v>494</v>
      </c>
      <c r="C109" s="31" t="s">
        <v>508</v>
      </c>
      <c r="D109" s="36" t="s">
        <v>525</v>
      </c>
      <c r="E109" s="112" t="s">
        <v>100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>
      <c r="A110" s="114" t="s">
        <v>170</v>
      </c>
      <c r="B110" s="31" t="s">
        <v>494</v>
      </c>
      <c r="C110" s="31" t="s">
        <v>500</v>
      </c>
      <c r="D110" s="36" t="s">
        <v>524</v>
      </c>
      <c r="E110" s="112" t="s">
        <v>100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>
      <c r="A111" s="114" t="s">
        <v>24</v>
      </c>
      <c r="B111" s="31"/>
      <c r="C111" s="31"/>
      <c r="D111" s="36" t="s">
        <v>324</v>
      </c>
      <c r="E111" s="112" t="s">
        <v>100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>
      <c r="A112" s="114" t="s">
        <v>160</v>
      </c>
      <c r="B112" s="31" t="s">
        <v>494</v>
      </c>
      <c r="C112" s="31" t="s">
        <v>500</v>
      </c>
      <c r="D112" s="36" t="s">
        <v>524</v>
      </c>
      <c r="E112" s="112" t="s">
        <v>100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>
      <c r="A113" s="114" t="s">
        <v>171</v>
      </c>
      <c r="B113" s="31" t="s">
        <v>494</v>
      </c>
      <c r="C113" s="31" t="s">
        <v>500</v>
      </c>
      <c r="D113" s="36" t="s">
        <v>524</v>
      </c>
      <c r="E113" s="112" t="s">
        <v>100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>
      <c r="A114" s="114" t="s">
        <v>440</v>
      </c>
      <c r="B114" s="31" t="s">
        <v>494</v>
      </c>
      <c r="C114" s="31" t="s">
        <v>495</v>
      </c>
      <c r="D114" s="36" t="s">
        <v>507</v>
      </c>
      <c r="E114" s="112" t="s">
        <v>100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>
      <c r="A115" s="114" t="s">
        <v>526</v>
      </c>
      <c r="B115" s="31" t="s">
        <v>494</v>
      </c>
      <c r="C115" s="31" t="s">
        <v>495</v>
      </c>
      <c r="D115" s="36" t="s">
        <v>507</v>
      </c>
      <c r="E115" s="112" t="s">
        <v>100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>
      <c r="A116" s="114" t="s">
        <v>20</v>
      </c>
      <c r="B116" s="31"/>
      <c r="C116" s="31"/>
      <c r="D116" s="36" t="s">
        <v>324</v>
      </c>
      <c r="E116" s="112" t="s">
        <v>100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>
      <c r="A117" s="114" t="s">
        <v>19</v>
      </c>
      <c r="B117" s="31"/>
      <c r="C117" s="31"/>
      <c r="D117" s="36" t="s">
        <v>527</v>
      </c>
      <c r="E117" s="112" t="s">
        <v>100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>
      <c r="A118" s="114" t="s">
        <v>22</v>
      </c>
      <c r="B118" s="31"/>
      <c r="C118" s="31"/>
      <c r="D118" s="36" t="s">
        <v>329</v>
      </c>
      <c r="E118" s="112" t="s">
        <v>100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4.4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" thickBot="1">
      <c r="A1" s="14" t="s">
        <v>187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487" t="s">
        <v>189</v>
      </c>
      <c r="W1" s="487"/>
      <c r="X1" s="487"/>
      <c r="Y1" s="487"/>
      <c r="Z1" s="487"/>
      <c r="AA1" s="487"/>
      <c r="AB1" s="487"/>
      <c r="AC1" s="487"/>
      <c r="AD1" s="487"/>
      <c r="AE1" s="487"/>
      <c r="AF1" s="487"/>
      <c r="AG1" s="479" t="s">
        <v>190</v>
      </c>
      <c r="AH1" s="479"/>
      <c r="AI1" s="479"/>
      <c r="AJ1" s="479"/>
      <c r="AK1" s="479"/>
      <c r="AL1" s="479"/>
      <c r="AM1" s="479"/>
      <c r="AN1" s="479"/>
      <c r="AO1" s="479"/>
      <c r="AP1" s="479"/>
      <c r="AQ1" s="479"/>
    </row>
    <row r="2" spans="1:44" ht="58.5" customHeight="1" thickBot="1">
      <c r="A2" s="3"/>
      <c r="B2" s="3"/>
      <c r="C2" s="3"/>
      <c r="D2" s="3"/>
      <c r="E2" s="3"/>
      <c r="F2" s="3"/>
      <c r="G2" s="3"/>
      <c r="H2" s="3"/>
      <c r="I2" s="13" t="s">
        <v>295</v>
      </c>
      <c r="J2" s="465" t="s">
        <v>296</v>
      </c>
      <c r="K2" s="465"/>
      <c r="L2" s="465"/>
      <c r="M2" s="465" t="s">
        <v>297</v>
      </c>
      <c r="N2" s="465"/>
      <c r="O2" s="465"/>
      <c r="P2" s="465"/>
      <c r="Q2" s="466"/>
      <c r="R2" s="488" t="s">
        <v>191</v>
      </c>
      <c r="S2" s="488"/>
      <c r="T2" s="488"/>
      <c r="U2" s="488"/>
      <c r="V2" s="488"/>
      <c r="W2" s="488"/>
      <c r="X2" s="182" t="s">
        <v>192</v>
      </c>
      <c r="Y2" s="3" t="s">
        <v>192</v>
      </c>
      <c r="Z2" s="5" t="s">
        <v>192</v>
      </c>
      <c r="AA2" s="3" t="s">
        <v>193</v>
      </c>
      <c r="AB2" s="3" t="s">
        <v>193</v>
      </c>
      <c r="AC2" s="3" t="s">
        <v>193</v>
      </c>
      <c r="AD2" s="3" t="s">
        <v>193</v>
      </c>
      <c r="AE2" s="3" t="s">
        <v>193</v>
      </c>
      <c r="AF2" s="183" t="s">
        <v>193</v>
      </c>
      <c r="AG2" s="482" t="s">
        <v>194</v>
      </c>
      <c r="AH2" s="482"/>
      <c r="AI2" s="482"/>
      <c r="AJ2" s="482"/>
      <c r="AK2" s="482"/>
      <c r="AL2" s="482"/>
      <c r="AM2" s="482"/>
      <c r="AN2" s="482"/>
      <c r="AO2" s="482" t="s">
        <v>298</v>
      </c>
      <c r="AP2" s="482"/>
      <c r="AQ2" s="482"/>
    </row>
    <row r="3" spans="1:44" ht="45.6" customHeight="1" thickBot="1">
      <c r="A3" s="10" t="s">
        <v>195</v>
      </c>
      <c r="B3" s="11" t="s">
        <v>196</v>
      </c>
      <c r="C3" s="11" t="s">
        <v>197</v>
      </c>
      <c r="D3" s="12" t="s">
        <v>198</v>
      </c>
      <c r="E3" s="10" t="s">
        <v>199</v>
      </c>
      <c r="F3" s="12" t="s">
        <v>200</v>
      </c>
      <c r="G3" s="17" t="s">
        <v>201</v>
      </c>
      <c r="H3" s="10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184" t="s">
        <v>528</v>
      </c>
      <c r="S3" s="185" t="s">
        <v>529</v>
      </c>
      <c r="T3" s="185" t="s">
        <v>339</v>
      </c>
      <c r="U3" s="185" t="s">
        <v>357</v>
      </c>
      <c r="V3" s="185" t="s">
        <v>307</v>
      </c>
      <c r="W3" s="186" t="s">
        <v>308</v>
      </c>
      <c r="X3" s="187" t="s">
        <v>309</v>
      </c>
      <c r="Y3" s="11" t="s">
        <v>310</v>
      </c>
      <c r="Z3" s="12" t="s">
        <v>206</v>
      </c>
      <c r="AA3" s="11" t="s">
        <v>207</v>
      </c>
      <c r="AB3" s="11" t="s">
        <v>209</v>
      </c>
      <c r="AC3" s="11" t="s">
        <v>210</v>
      </c>
      <c r="AD3" s="11" t="s">
        <v>211</v>
      </c>
      <c r="AE3" s="11" t="s">
        <v>212</v>
      </c>
      <c r="AF3" s="188" t="s">
        <v>213</v>
      </c>
      <c r="AG3" s="11" t="s">
        <v>311</v>
      </c>
      <c r="AH3" s="11" t="s">
        <v>312</v>
      </c>
      <c r="AI3" s="11" t="s">
        <v>313</v>
      </c>
      <c r="AJ3" s="189" t="s">
        <v>314</v>
      </c>
      <c r="AK3" s="11" t="s">
        <v>315</v>
      </c>
      <c r="AL3" s="10" t="s">
        <v>316</v>
      </c>
      <c r="AM3" s="10" t="s">
        <v>317</v>
      </c>
      <c r="AN3" s="12" t="s">
        <v>318</v>
      </c>
      <c r="AO3" s="10" t="s">
        <v>311</v>
      </c>
      <c r="AP3" s="11" t="s">
        <v>312</v>
      </c>
      <c r="AQ3" s="12" t="s">
        <v>319</v>
      </c>
      <c r="AR3" s="13"/>
    </row>
    <row r="4" spans="1:44">
      <c r="A4" t="s">
        <v>530</v>
      </c>
      <c r="B4" t="s">
        <v>531</v>
      </c>
      <c r="C4" t="s">
        <v>532</v>
      </c>
      <c r="D4" t="s">
        <v>533</v>
      </c>
      <c r="E4" t="s">
        <v>428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>
      <c r="A5" t="s">
        <v>530</v>
      </c>
      <c r="B5" t="s">
        <v>531</v>
      </c>
      <c r="C5" t="s">
        <v>534</v>
      </c>
      <c r="D5" t="s">
        <v>535</v>
      </c>
      <c r="E5" t="s">
        <v>356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>
      <c r="A6" t="s">
        <v>536</v>
      </c>
      <c r="B6" t="s">
        <v>531</v>
      </c>
      <c r="C6" t="s">
        <v>532</v>
      </c>
      <c r="D6" t="s">
        <v>537</v>
      </c>
      <c r="E6" t="s">
        <v>431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70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>
      <c r="A7" t="s">
        <v>538</v>
      </c>
      <c r="B7" t="s">
        <v>531</v>
      </c>
      <c r="C7" t="s">
        <v>532</v>
      </c>
      <c r="D7" t="s">
        <v>537</v>
      </c>
      <c r="E7" t="s">
        <v>431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70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>
      <c r="A8" t="s">
        <v>539</v>
      </c>
      <c r="B8" t="s">
        <v>531</v>
      </c>
      <c r="C8" t="s">
        <v>532</v>
      </c>
      <c r="D8" t="s">
        <v>537</v>
      </c>
      <c r="E8" t="s">
        <v>431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70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>
      <c r="A9" t="s">
        <v>539</v>
      </c>
      <c r="B9" t="s">
        <v>531</v>
      </c>
      <c r="C9" t="s">
        <v>532</v>
      </c>
      <c r="D9" t="s">
        <v>533</v>
      </c>
      <c r="E9" t="s">
        <v>428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>
      <c r="A10" t="s">
        <v>538</v>
      </c>
      <c r="B10" t="s">
        <v>531</v>
      </c>
      <c r="C10" t="s">
        <v>532</v>
      </c>
      <c r="D10" t="s">
        <v>540</v>
      </c>
      <c r="E10" t="s">
        <v>431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>
      <c r="A11" t="s">
        <v>541</v>
      </c>
      <c r="B11" t="s">
        <v>531</v>
      </c>
      <c r="C11" t="s">
        <v>534</v>
      </c>
      <c r="D11" t="s">
        <v>542</v>
      </c>
      <c r="E11" t="s">
        <v>543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>
      <c r="A12" t="s">
        <v>544</v>
      </c>
      <c r="B12" t="s">
        <v>531</v>
      </c>
      <c r="C12" t="s">
        <v>534</v>
      </c>
      <c r="D12" t="s">
        <v>535</v>
      </c>
      <c r="E12" t="s">
        <v>356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>
      <c r="A13" t="s">
        <v>544</v>
      </c>
      <c r="B13" t="s">
        <v>531</v>
      </c>
      <c r="C13" t="s">
        <v>534</v>
      </c>
      <c r="D13" t="s">
        <v>545</v>
      </c>
      <c r="E13" t="s">
        <v>356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>
      <c r="A14" t="s">
        <v>546</v>
      </c>
      <c r="B14" t="s">
        <v>531</v>
      </c>
      <c r="C14" t="s">
        <v>532</v>
      </c>
      <c r="D14" t="s">
        <v>533</v>
      </c>
      <c r="E14" t="s">
        <v>434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>
      <c r="A15" t="s">
        <v>547</v>
      </c>
      <c r="B15" t="s">
        <v>531</v>
      </c>
      <c r="C15" t="s">
        <v>532</v>
      </c>
      <c r="D15" t="s">
        <v>537</v>
      </c>
      <c r="E15" t="s">
        <v>431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70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>
      <c r="A16" t="s">
        <v>547</v>
      </c>
      <c r="B16" t="s">
        <v>531</v>
      </c>
      <c r="C16" t="s">
        <v>532</v>
      </c>
      <c r="D16" t="s">
        <v>540</v>
      </c>
      <c r="E16" t="s">
        <v>431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>
      <c r="A17" t="s">
        <v>548</v>
      </c>
      <c r="B17" t="s">
        <v>531</v>
      </c>
      <c r="C17" t="s">
        <v>534</v>
      </c>
      <c r="D17" t="s">
        <v>535</v>
      </c>
      <c r="E17" t="s">
        <v>356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>
      <c r="A18" t="s">
        <v>548</v>
      </c>
      <c r="B18" t="s">
        <v>531</v>
      </c>
      <c r="C18" t="s">
        <v>534</v>
      </c>
      <c r="D18" t="s">
        <v>545</v>
      </c>
      <c r="E18" t="s">
        <v>356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>
      <c r="A19" t="s">
        <v>548</v>
      </c>
      <c r="B19" t="s">
        <v>531</v>
      </c>
      <c r="C19" t="s">
        <v>534</v>
      </c>
      <c r="D19" t="s">
        <v>549</v>
      </c>
      <c r="E19" t="s">
        <v>356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>
      <c r="A20" t="s">
        <v>550</v>
      </c>
      <c r="B20" t="s">
        <v>531</v>
      </c>
      <c r="C20" t="s">
        <v>532</v>
      </c>
      <c r="D20" t="s">
        <v>537</v>
      </c>
      <c r="E20" t="s">
        <v>431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70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>
      <c r="A21" t="s">
        <v>550</v>
      </c>
      <c r="B21" t="s">
        <v>531</v>
      </c>
      <c r="C21" t="s">
        <v>532</v>
      </c>
      <c r="D21" t="s">
        <v>540</v>
      </c>
      <c r="E21" t="s">
        <v>431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>
      <c r="A22" t="s">
        <v>550</v>
      </c>
      <c r="B22" t="s">
        <v>531</v>
      </c>
      <c r="C22" t="s">
        <v>534</v>
      </c>
      <c r="D22" t="s">
        <v>549</v>
      </c>
      <c r="E22" t="s">
        <v>356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>
      <c r="A23" t="s">
        <v>550</v>
      </c>
      <c r="B23" t="s">
        <v>531</v>
      </c>
      <c r="C23" t="s">
        <v>532</v>
      </c>
      <c r="D23" t="s">
        <v>537</v>
      </c>
      <c r="E23" t="s">
        <v>431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70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>
      <c r="A24" t="s">
        <v>550</v>
      </c>
      <c r="B24" t="s">
        <v>531</v>
      </c>
      <c r="C24" t="s">
        <v>532</v>
      </c>
      <c r="D24" t="s">
        <v>540</v>
      </c>
      <c r="E24" t="s">
        <v>431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>
      <c r="A25" t="s">
        <v>551</v>
      </c>
      <c r="B25" t="s">
        <v>531</v>
      </c>
      <c r="C25" t="s">
        <v>534</v>
      </c>
      <c r="D25" t="s">
        <v>535</v>
      </c>
      <c r="E25" t="s">
        <v>356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>
      <c r="A26" t="s">
        <v>551</v>
      </c>
      <c r="B26" t="s">
        <v>531</v>
      </c>
      <c r="C26" t="s">
        <v>534</v>
      </c>
      <c r="D26" t="s">
        <v>549</v>
      </c>
      <c r="E26" t="s">
        <v>356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>
      <c r="A27" t="s">
        <v>552</v>
      </c>
      <c r="B27" t="s">
        <v>531</v>
      </c>
      <c r="C27" t="s">
        <v>534</v>
      </c>
      <c r="D27" t="s">
        <v>535</v>
      </c>
      <c r="E27" t="s">
        <v>356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>
      <c r="A28" t="s">
        <v>553</v>
      </c>
      <c r="B28" t="s">
        <v>531</v>
      </c>
      <c r="C28" t="s">
        <v>532</v>
      </c>
      <c r="D28" t="s">
        <v>533</v>
      </c>
      <c r="E28" t="s">
        <v>428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>
      <c r="A29" t="s">
        <v>553</v>
      </c>
      <c r="B29" t="s">
        <v>531</v>
      </c>
      <c r="C29" t="s">
        <v>532</v>
      </c>
      <c r="D29" t="s">
        <v>533</v>
      </c>
      <c r="E29" t="s">
        <v>434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>
      <c r="A30" t="s">
        <v>554</v>
      </c>
      <c r="B30" t="s">
        <v>531</v>
      </c>
      <c r="C30" t="s">
        <v>534</v>
      </c>
      <c r="D30" t="s">
        <v>535</v>
      </c>
      <c r="E30" t="s">
        <v>356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>
      <c r="A31" t="s">
        <v>551</v>
      </c>
      <c r="B31" t="s">
        <v>531</v>
      </c>
      <c r="C31" t="s">
        <v>532</v>
      </c>
      <c r="D31" t="s">
        <v>537</v>
      </c>
      <c r="E31" t="s">
        <v>431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70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>
      <c r="A32" t="s">
        <v>551</v>
      </c>
      <c r="B32" t="s">
        <v>531</v>
      </c>
      <c r="C32" t="s">
        <v>534</v>
      </c>
      <c r="D32" t="s">
        <v>549</v>
      </c>
      <c r="E32" t="s">
        <v>356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>
      <c r="A33" t="s">
        <v>351</v>
      </c>
      <c r="B33" t="s">
        <v>531</v>
      </c>
      <c r="C33" t="s">
        <v>534</v>
      </c>
      <c r="D33" t="s">
        <v>535</v>
      </c>
      <c r="E33" t="s">
        <v>356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>
      <c r="A34" t="s">
        <v>351</v>
      </c>
      <c r="B34" t="s">
        <v>531</v>
      </c>
      <c r="C34" t="s">
        <v>534</v>
      </c>
      <c r="D34" t="s">
        <v>545</v>
      </c>
      <c r="E34" t="s">
        <v>356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>
      <c r="A35" t="s">
        <v>351</v>
      </c>
      <c r="B35" t="s">
        <v>531</v>
      </c>
      <c r="C35" t="s">
        <v>534</v>
      </c>
      <c r="D35" t="s">
        <v>549</v>
      </c>
      <c r="E35" t="s">
        <v>356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>
      <c r="A36" t="s">
        <v>536</v>
      </c>
      <c r="B36" t="s">
        <v>531</v>
      </c>
      <c r="C36" t="s">
        <v>532</v>
      </c>
      <c r="D36" t="s">
        <v>537</v>
      </c>
      <c r="E36" t="s">
        <v>431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70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>
      <c r="A37" t="s">
        <v>550</v>
      </c>
      <c r="B37" t="s">
        <v>531</v>
      </c>
      <c r="C37" t="s">
        <v>532</v>
      </c>
      <c r="D37" t="s">
        <v>540</v>
      </c>
      <c r="E37" t="s">
        <v>431</v>
      </c>
      <c r="F37"/>
      <c r="G37"/>
      <c r="H37" t="s">
        <v>382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>
      <c r="A38" t="s">
        <v>550</v>
      </c>
      <c r="B38" t="s">
        <v>531</v>
      </c>
      <c r="C38" t="s">
        <v>534</v>
      </c>
      <c r="D38" t="s">
        <v>545</v>
      </c>
      <c r="E38" t="s">
        <v>356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>
      <c r="A39" t="s">
        <v>422</v>
      </c>
      <c r="B39" t="s">
        <v>531</v>
      </c>
      <c r="C39" t="s">
        <v>532</v>
      </c>
      <c r="D39" t="s">
        <v>533</v>
      </c>
      <c r="E39" t="s">
        <v>434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>
      <c r="A40" t="s">
        <v>555</v>
      </c>
      <c r="B40" t="s">
        <v>531</v>
      </c>
      <c r="C40" t="s">
        <v>532</v>
      </c>
      <c r="D40" t="s">
        <v>533</v>
      </c>
      <c r="E40" t="s">
        <v>434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>
      <c r="A41" t="s">
        <v>556</v>
      </c>
      <c r="B41" t="s">
        <v>531</v>
      </c>
      <c r="C41" t="s">
        <v>532</v>
      </c>
      <c r="D41" t="s">
        <v>537</v>
      </c>
      <c r="E41" t="s">
        <v>431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70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>
      <c r="A42" t="s">
        <v>556</v>
      </c>
      <c r="B42" t="s">
        <v>531</v>
      </c>
      <c r="C42" t="s">
        <v>532</v>
      </c>
      <c r="D42" t="s">
        <v>540</v>
      </c>
      <c r="E42" t="s">
        <v>431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>
      <c r="A43" t="s">
        <v>530</v>
      </c>
      <c r="B43" t="s">
        <v>531</v>
      </c>
      <c r="C43" t="s">
        <v>557</v>
      </c>
      <c r="D43" t="s">
        <v>558</v>
      </c>
      <c r="H43" t="s">
        <v>382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>
      <c r="A44" t="s">
        <v>539</v>
      </c>
      <c r="B44" t="s">
        <v>531</v>
      </c>
      <c r="C44" t="s">
        <v>557</v>
      </c>
      <c r="D44" t="s">
        <v>559</v>
      </c>
      <c r="H44" t="s">
        <v>382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>
      <c r="A45" t="s">
        <v>538</v>
      </c>
      <c r="B45" t="s">
        <v>531</v>
      </c>
      <c r="C45" t="s">
        <v>557</v>
      </c>
      <c r="D45" t="s">
        <v>558</v>
      </c>
      <c r="H45" t="s">
        <v>382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>
      <c r="A46" t="s">
        <v>547</v>
      </c>
      <c r="B46" t="s">
        <v>531</v>
      </c>
      <c r="C46" t="s">
        <v>557</v>
      </c>
      <c r="D46" t="s">
        <v>560</v>
      </c>
      <c r="H46" t="s">
        <v>382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>
      <c r="A47" t="s">
        <v>548</v>
      </c>
      <c r="B47" t="s">
        <v>531</v>
      </c>
      <c r="C47" t="s">
        <v>561</v>
      </c>
      <c r="D47" t="s">
        <v>562</v>
      </c>
      <c r="H47" t="s">
        <v>382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>
      <c r="A48" t="s">
        <v>548</v>
      </c>
      <c r="B48" t="s">
        <v>531</v>
      </c>
      <c r="C48" t="s">
        <v>561</v>
      </c>
      <c r="D48" t="s">
        <v>563</v>
      </c>
      <c r="H48" t="s">
        <v>382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>
      <c r="A49" t="s">
        <v>552</v>
      </c>
      <c r="B49" t="s">
        <v>531</v>
      </c>
      <c r="C49" t="s">
        <v>557</v>
      </c>
      <c r="D49" t="s">
        <v>558</v>
      </c>
      <c r="H49" t="s">
        <v>382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>
      <c r="A50" t="s">
        <v>552</v>
      </c>
      <c r="B50" t="s">
        <v>531</v>
      </c>
      <c r="C50" t="s">
        <v>561</v>
      </c>
      <c r="D50" t="s">
        <v>562</v>
      </c>
      <c r="H50" t="s">
        <v>382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>
      <c r="A51" t="s">
        <v>554</v>
      </c>
      <c r="B51" t="s">
        <v>531</v>
      </c>
      <c r="C51" t="s">
        <v>561</v>
      </c>
      <c r="D51" t="s">
        <v>563</v>
      </c>
      <c r="H51" t="s">
        <v>382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>
      <c r="A52" t="s">
        <v>551</v>
      </c>
      <c r="B52" t="s">
        <v>531</v>
      </c>
      <c r="C52" t="s">
        <v>561</v>
      </c>
      <c r="D52" t="s">
        <v>563</v>
      </c>
      <c r="H52" t="s">
        <v>382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>
      <c r="A53" t="s">
        <v>544</v>
      </c>
      <c r="B53" t="s">
        <v>531</v>
      </c>
      <c r="C53" t="s">
        <v>557</v>
      </c>
      <c r="D53" t="s">
        <v>559</v>
      </c>
      <c r="H53" t="s">
        <v>382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>
      <c r="A54" t="s">
        <v>546</v>
      </c>
      <c r="B54" t="s">
        <v>531</v>
      </c>
      <c r="C54" t="s">
        <v>557</v>
      </c>
      <c r="D54" t="s">
        <v>559</v>
      </c>
      <c r="H54" t="s">
        <v>382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>
      <c r="A55" t="s">
        <v>351</v>
      </c>
      <c r="B55" t="s">
        <v>531</v>
      </c>
      <c r="C55" t="s">
        <v>561</v>
      </c>
      <c r="D55" t="s">
        <v>562</v>
      </c>
      <c r="H55" t="s">
        <v>382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>
      <c r="A56" t="s">
        <v>536</v>
      </c>
      <c r="B56" t="s">
        <v>531</v>
      </c>
      <c r="C56" t="s">
        <v>557</v>
      </c>
      <c r="D56" t="s">
        <v>564</v>
      </c>
      <c r="H56" t="s">
        <v>382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>
      <c r="A57" t="s">
        <v>550</v>
      </c>
      <c r="B57" t="s">
        <v>531</v>
      </c>
      <c r="C57" t="s">
        <v>557</v>
      </c>
      <c r="D57" t="s">
        <v>564</v>
      </c>
      <c r="H57" t="s">
        <v>382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>
      <c r="A58" t="s">
        <v>556</v>
      </c>
      <c r="B58" t="s">
        <v>531</v>
      </c>
      <c r="C58" t="s">
        <v>557</v>
      </c>
      <c r="D58" t="s">
        <v>560</v>
      </c>
      <c r="H58" t="s">
        <v>382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>
      <c r="A59" t="s">
        <v>548</v>
      </c>
      <c r="B59" t="s">
        <v>531</v>
      </c>
      <c r="C59" t="s">
        <v>561</v>
      </c>
      <c r="D59" t="s">
        <v>565</v>
      </c>
      <c r="H59" t="s">
        <v>382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>
      <c r="A60" t="s">
        <v>351</v>
      </c>
      <c r="B60" t="s">
        <v>531</v>
      </c>
      <c r="C60" t="s">
        <v>561</v>
      </c>
      <c r="D60" t="s">
        <v>565</v>
      </c>
      <c r="H60" t="s">
        <v>382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>
      <c r="A61" t="s">
        <v>550</v>
      </c>
      <c r="B61" t="s">
        <v>531</v>
      </c>
      <c r="C61" t="s">
        <v>557</v>
      </c>
      <c r="D61" t="s">
        <v>560</v>
      </c>
      <c r="H61" t="s">
        <v>382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>
      <c r="A62" t="s">
        <v>351</v>
      </c>
      <c r="B62" t="s">
        <v>531</v>
      </c>
      <c r="C62" t="s">
        <v>561</v>
      </c>
      <c r="D62" t="s">
        <v>563</v>
      </c>
      <c r="H62" t="s">
        <v>382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>
      <c r="A63" t="s">
        <v>538</v>
      </c>
      <c r="B63" t="s">
        <v>531</v>
      </c>
      <c r="C63" t="s">
        <v>557</v>
      </c>
      <c r="D63" t="s">
        <v>564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>
      <c r="A64" t="s">
        <v>539</v>
      </c>
      <c r="B64" t="s">
        <v>531</v>
      </c>
      <c r="C64" t="s">
        <v>532</v>
      </c>
      <c r="D64" t="s">
        <v>533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>
      <c r="A65" t="s">
        <v>556</v>
      </c>
      <c r="B65" t="s">
        <v>531</v>
      </c>
      <c r="C65" t="s">
        <v>532</v>
      </c>
      <c r="D65" t="s">
        <v>533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>
      <c r="A66" t="s">
        <v>552</v>
      </c>
      <c r="B66" t="s">
        <v>531</v>
      </c>
      <c r="C66" t="s">
        <v>534</v>
      </c>
      <c r="D66" t="s">
        <v>549</v>
      </c>
      <c r="E66" t="s">
        <v>356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1"/>
      <c r="AK66" s="179">
        <v>0</v>
      </c>
      <c r="AL66" s="194">
        <v>0</v>
      </c>
      <c r="AO66" s="179"/>
      <c r="AQ66" s="179"/>
      <c r="AR66" s="178"/>
    </row>
    <row r="67" spans="1:44" s="201" customFormat="1">
      <c r="A67" s="201" t="s">
        <v>538</v>
      </c>
      <c r="B67" s="201" t="s">
        <v>531</v>
      </c>
      <c r="C67" s="201" t="s">
        <v>557</v>
      </c>
      <c r="D67" s="201" t="s">
        <v>560</v>
      </c>
      <c r="H67" t="s">
        <v>382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2"/>
      <c r="AJ67" s="204"/>
      <c r="AL67" s="194">
        <v>668377808.25270033</v>
      </c>
    </row>
    <row r="68" spans="1:44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70"/>
    </row>
    <row r="69" spans="1:44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>
    <tabColor theme="4"/>
  </sheetPr>
  <dimension ref="A1:Q786"/>
  <sheetViews>
    <sheetView zoomScale="70" zoomScaleNormal="70" workbookViewId="0">
      <selection activeCell="C18" sqref="C18"/>
    </sheetView>
  </sheetViews>
  <sheetFormatPr defaultColWidth="8.85546875" defaultRowHeight="14.4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28515625" style="1" bestFit="1" customWidth="1"/>
    <col min="7" max="7" width="14" style="1" bestFit="1" customWidth="1"/>
    <col min="8" max="8" width="15.7109375" style="1" bestFit="1" customWidth="1"/>
    <col min="9" max="10" width="12" style="1" bestFit="1" customWidth="1"/>
    <col min="11" max="11" width="12.28515625" style="1" bestFit="1" customWidth="1"/>
    <col min="12" max="12" width="12.7109375" style="1" bestFit="1" customWidth="1"/>
    <col min="13" max="13" width="17.28515625" style="1" bestFit="1" customWidth="1"/>
    <col min="14" max="14" width="16.5703125" style="1" bestFit="1" customWidth="1"/>
    <col min="15" max="15" width="14.7109375" style="1" bestFit="1" customWidth="1"/>
    <col min="16" max="16" width="12" style="1" bestFit="1" customWidth="1"/>
    <col min="17" max="17" width="10.85546875" style="1" bestFit="1" customWidth="1"/>
    <col min="18" max="16384" width="8.85546875" style="1"/>
  </cols>
  <sheetData>
    <row r="1" spans="1:17" s="13" customFormat="1" ht="28.9">
      <c r="A1" s="231" t="s">
        <v>195</v>
      </c>
      <c r="B1" s="231" t="s">
        <v>196</v>
      </c>
      <c r="C1" s="231" t="s">
        <v>197</v>
      </c>
      <c r="D1" s="231" t="s">
        <v>198</v>
      </c>
      <c r="E1" s="231" t="s">
        <v>199</v>
      </c>
      <c r="F1" s="231" t="s">
        <v>200</v>
      </c>
      <c r="G1" s="231" t="s">
        <v>201</v>
      </c>
      <c r="H1" s="231" t="s">
        <v>202</v>
      </c>
      <c r="I1" s="338" t="s">
        <v>295</v>
      </c>
      <c r="J1" s="338" t="s">
        <v>299</v>
      </c>
      <c r="K1" s="338" t="s">
        <v>300</v>
      </c>
      <c r="L1" s="338" t="s">
        <v>301</v>
      </c>
      <c r="M1" s="231" t="s">
        <v>302</v>
      </c>
      <c r="N1" s="231" t="s">
        <v>303</v>
      </c>
      <c r="O1" s="338" t="s">
        <v>304</v>
      </c>
      <c r="P1" s="231" t="s">
        <v>305</v>
      </c>
      <c r="Q1" s="231" t="s">
        <v>306</v>
      </c>
    </row>
    <row r="2" spans="1:17">
      <c r="A2" s="15" t="s">
        <v>24</v>
      </c>
      <c r="B2" s="15" t="s">
        <v>566</v>
      </c>
      <c r="C2" s="15" t="s">
        <v>323</v>
      </c>
      <c r="D2" s="15" t="s">
        <v>324</v>
      </c>
      <c r="E2" s="15" t="s">
        <v>325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>
      <c r="A3" s="15" t="s">
        <v>24</v>
      </c>
      <c r="B3" s="15" t="s">
        <v>566</v>
      </c>
      <c r="C3" s="15" t="s">
        <v>323</v>
      </c>
      <c r="D3" s="15" t="s">
        <v>324</v>
      </c>
      <c r="E3" s="15" t="s">
        <v>327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>
      <c r="A4" s="15" t="s">
        <v>24</v>
      </c>
      <c r="B4" s="15" t="s">
        <v>566</v>
      </c>
      <c r="C4" s="15" t="s">
        <v>328</v>
      </c>
      <c r="D4" s="15" t="s">
        <v>329</v>
      </c>
      <c r="E4" s="15" t="s">
        <v>330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>
      <c r="A5" s="15" t="s">
        <v>24</v>
      </c>
      <c r="B5" s="15" t="s">
        <v>566</v>
      </c>
      <c r="C5" s="15" t="s">
        <v>323</v>
      </c>
      <c r="D5" s="15" t="s">
        <v>324</v>
      </c>
      <c r="E5" s="15" t="s">
        <v>325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>
      <c r="A6" s="15" t="s">
        <v>24</v>
      </c>
      <c r="B6" s="15" t="s">
        <v>566</v>
      </c>
      <c r="C6" s="15" t="s">
        <v>323</v>
      </c>
      <c r="D6" s="15" t="s">
        <v>331</v>
      </c>
      <c r="E6" s="15" t="s">
        <v>325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>
      <c r="A7" s="15" t="s">
        <v>22</v>
      </c>
      <c r="B7" s="15" t="s">
        <v>566</v>
      </c>
      <c r="C7" s="15" t="s">
        <v>328</v>
      </c>
      <c r="D7" s="15" t="s">
        <v>329</v>
      </c>
      <c r="E7" s="15" t="s">
        <v>330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>
      <c r="A8" s="15" t="s">
        <v>22</v>
      </c>
      <c r="B8" s="15" t="s">
        <v>566</v>
      </c>
      <c r="C8" s="15" t="s">
        <v>328</v>
      </c>
      <c r="D8" s="15" t="s">
        <v>329</v>
      </c>
      <c r="E8" s="15" t="s">
        <v>330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>
      <c r="A9" s="15" t="s">
        <v>22</v>
      </c>
      <c r="B9" s="15" t="s">
        <v>566</v>
      </c>
      <c r="C9" s="15" t="s">
        <v>323</v>
      </c>
      <c r="D9" s="15" t="s">
        <v>332</v>
      </c>
      <c r="E9" s="15" t="s">
        <v>325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>
      <c r="A10" s="15" t="s">
        <v>22</v>
      </c>
      <c r="B10" s="15" t="s">
        <v>566</v>
      </c>
      <c r="C10" s="15" t="s">
        <v>323</v>
      </c>
      <c r="D10" s="15" t="s">
        <v>332</v>
      </c>
      <c r="E10" s="15" t="s">
        <v>327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>
      <c r="A11" s="15" t="s">
        <v>22</v>
      </c>
      <c r="B11" s="15" t="s">
        <v>566</v>
      </c>
      <c r="C11" s="15" t="s">
        <v>328</v>
      </c>
      <c r="D11" s="15" t="s">
        <v>329</v>
      </c>
      <c r="E11" s="15" t="s">
        <v>330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>
      <c r="A12" s="15" t="s">
        <v>22</v>
      </c>
      <c r="B12" s="15" t="s">
        <v>566</v>
      </c>
      <c r="C12" s="15" t="s">
        <v>328</v>
      </c>
      <c r="D12" s="15" t="s">
        <v>334</v>
      </c>
      <c r="E12" s="15" t="s">
        <v>335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>
      <c r="A13" s="15" t="s">
        <v>22</v>
      </c>
      <c r="B13" s="15" t="s">
        <v>566</v>
      </c>
      <c r="C13" s="15" t="s">
        <v>323</v>
      </c>
      <c r="D13" s="15" t="s">
        <v>336</v>
      </c>
      <c r="E13" s="15" t="s">
        <v>325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>
      <c r="A14" s="15" t="s">
        <v>22</v>
      </c>
      <c r="B14" s="15" t="s">
        <v>566</v>
      </c>
      <c r="C14" s="15" t="s">
        <v>323</v>
      </c>
      <c r="D14" s="15" t="s">
        <v>336</v>
      </c>
      <c r="E14" s="15" t="s">
        <v>327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>
      <c r="A15" s="15" t="s">
        <v>22</v>
      </c>
      <c r="B15" s="15" t="s">
        <v>566</v>
      </c>
      <c r="C15" s="15" t="s">
        <v>323</v>
      </c>
      <c r="D15" s="15" t="s">
        <v>332</v>
      </c>
      <c r="E15" s="15" t="s">
        <v>327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>
      <c r="A16" s="15" t="s">
        <v>22</v>
      </c>
      <c r="B16" s="15" t="s">
        <v>566</v>
      </c>
      <c r="C16" s="15" t="s">
        <v>323</v>
      </c>
      <c r="D16" s="15" t="s">
        <v>336</v>
      </c>
      <c r="E16" s="15" t="s">
        <v>327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>
      <c r="A17" s="15" t="s">
        <v>27</v>
      </c>
      <c r="B17" s="15" t="s">
        <v>566</v>
      </c>
      <c r="C17" s="15" t="s">
        <v>323</v>
      </c>
      <c r="D17" s="15" t="s">
        <v>331</v>
      </c>
      <c r="E17" s="15" t="s">
        <v>325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>
      <c r="A18" s="15" t="s">
        <v>27</v>
      </c>
      <c r="B18" s="15" t="s">
        <v>566</v>
      </c>
      <c r="C18" s="15" t="s">
        <v>323</v>
      </c>
      <c r="D18" s="15" t="s">
        <v>324</v>
      </c>
      <c r="E18" s="15" t="s">
        <v>325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>
      <c r="A19" s="15" t="s">
        <v>27</v>
      </c>
      <c r="B19" s="15" t="s">
        <v>566</v>
      </c>
      <c r="C19" s="15" t="s">
        <v>323</v>
      </c>
      <c r="D19" s="15" t="s">
        <v>331</v>
      </c>
      <c r="E19" s="15" t="s">
        <v>325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>
      <c r="A20" s="15" t="s">
        <v>29</v>
      </c>
      <c r="B20" s="15" t="s">
        <v>566</v>
      </c>
      <c r="C20" s="15" t="s">
        <v>328</v>
      </c>
      <c r="D20" s="15" t="s">
        <v>329</v>
      </c>
      <c r="E20" s="15" t="s">
        <v>330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>
      <c r="A21" s="15" t="s">
        <v>29</v>
      </c>
      <c r="B21" s="15" t="s">
        <v>566</v>
      </c>
      <c r="C21" s="15" t="s">
        <v>323</v>
      </c>
      <c r="D21" s="15" t="s">
        <v>331</v>
      </c>
      <c r="E21" s="15" t="s">
        <v>325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>
      <c r="A22" s="15" t="s">
        <v>29</v>
      </c>
      <c r="B22" s="15" t="s">
        <v>566</v>
      </c>
      <c r="C22" s="15" t="s">
        <v>328</v>
      </c>
      <c r="D22" s="15" t="s">
        <v>329</v>
      </c>
      <c r="E22" s="15" t="s">
        <v>330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>
      <c r="A23" s="15" t="s">
        <v>29</v>
      </c>
      <c r="B23" s="15" t="s">
        <v>566</v>
      </c>
      <c r="C23" s="15" t="s">
        <v>323</v>
      </c>
      <c r="D23" s="15" t="s">
        <v>324</v>
      </c>
      <c r="E23" s="15" t="s">
        <v>325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>
      <c r="A24" s="15" t="s">
        <v>29</v>
      </c>
      <c r="B24" s="15" t="s">
        <v>566</v>
      </c>
      <c r="C24" s="15" t="s">
        <v>323</v>
      </c>
      <c r="D24" s="15" t="s">
        <v>331</v>
      </c>
      <c r="E24" s="15" t="s">
        <v>325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>
      <c r="A25" s="15" t="s">
        <v>7</v>
      </c>
      <c r="B25" s="15" t="s">
        <v>566</v>
      </c>
      <c r="C25" s="15" t="s">
        <v>328</v>
      </c>
      <c r="D25" s="15" t="s">
        <v>329</v>
      </c>
      <c r="E25" s="15" t="s">
        <v>330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>
      <c r="A26" s="15" t="s">
        <v>7</v>
      </c>
      <c r="B26" s="15" t="s">
        <v>566</v>
      </c>
      <c r="C26" s="15" t="s">
        <v>328</v>
      </c>
      <c r="D26" s="15" t="s">
        <v>329</v>
      </c>
      <c r="E26" s="15" t="s">
        <v>330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>
      <c r="A27" s="15" t="s">
        <v>7</v>
      </c>
      <c r="B27" s="15" t="s">
        <v>566</v>
      </c>
      <c r="C27" s="15" t="s">
        <v>328</v>
      </c>
      <c r="D27" s="15" t="s">
        <v>334</v>
      </c>
      <c r="E27" s="15" t="s">
        <v>335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>
      <c r="A28" s="15" t="s">
        <v>7</v>
      </c>
      <c r="B28" s="15" t="s">
        <v>566</v>
      </c>
      <c r="C28" s="15" t="s">
        <v>328</v>
      </c>
      <c r="D28" s="15" t="s">
        <v>329</v>
      </c>
      <c r="E28" s="15" t="s">
        <v>330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>
      <c r="A29" s="15" t="s">
        <v>7</v>
      </c>
      <c r="B29" s="15" t="s">
        <v>566</v>
      </c>
      <c r="C29" s="15" t="s">
        <v>328</v>
      </c>
      <c r="D29" s="15" t="s">
        <v>329</v>
      </c>
      <c r="E29" s="15" t="s">
        <v>330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>
      <c r="A30" s="15" t="s">
        <v>7</v>
      </c>
      <c r="B30" s="15" t="s">
        <v>566</v>
      </c>
      <c r="C30" s="15" t="s">
        <v>328</v>
      </c>
      <c r="D30" s="15" t="s">
        <v>329</v>
      </c>
      <c r="E30" s="15" t="s">
        <v>327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>
      <c r="A31" s="15" t="s">
        <v>7</v>
      </c>
      <c r="B31" s="15" t="s">
        <v>566</v>
      </c>
      <c r="C31" s="15" t="s">
        <v>328</v>
      </c>
      <c r="D31" s="15" t="s">
        <v>329</v>
      </c>
      <c r="E31" s="15" t="s">
        <v>330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>
      <c r="A32" s="15" t="s">
        <v>7</v>
      </c>
      <c r="B32" s="15" t="s">
        <v>566</v>
      </c>
      <c r="C32" s="15" t="s">
        <v>328</v>
      </c>
      <c r="D32" s="15" t="s">
        <v>334</v>
      </c>
      <c r="E32" s="15" t="s">
        <v>335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>
      <c r="A33" s="15" t="s">
        <v>7</v>
      </c>
      <c r="B33" s="15" t="s">
        <v>566</v>
      </c>
      <c r="C33" s="15" t="s">
        <v>328</v>
      </c>
      <c r="D33" s="15" t="s">
        <v>334</v>
      </c>
      <c r="E33" s="15" t="s">
        <v>335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>
      <c r="A34" s="15" t="s">
        <v>7</v>
      </c>
      <c r="B34" s="15" t="s">
        <v>566</v>
      </c>
      <c r="C34" s="15" t="s">
        <v>328</v>
      </c>
      <c r="D34" s="15" t="s">
        <v>329</v>
      </c>
      <c r="E34" s="15" t="s">
        <v>330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>
      <c r="A35" s="15" t="s">
        <v>7</v>
      </c>
      <c r="B35" s="15" t="s">
        <v>566</v>
      </c>
      <c r="C35" s="15" t="s">
        <v>328</v>
      </c>
      <c r="D35" s="15" t="s">
        <v>329</v>
      </c>
      <c r="E35" s="15" t="s">
        <v>330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>
      <c r="A36" s="15" t="s">
        <v>7</v>
      </c>
      <c r="B36" s="15" t="s">
        <v>566</v>
      </c>
      <c r="C36" s="15" t="s">
        <v>328</v>
      </c>
      <c r="D36" s="15" t="s">
        <v>329</v>
      </c>
      <c r="E36" s="15" t="s">
        <v>330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>
      <c r="A37" s="15" t="s">
        <v>7</v>
      </c>
      <c r="B37" s="15" t="s">
        <v>566</v>
      </c>
      <c r="C37" s="15" t="s">
        <v>323</v>
      </c>
      <c r="D37" s="15" t="s">
        <v>332</v>
      </c>
      <c r="E37" s="15" t="s">
        <v>327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>
      <c r="A38" s="15" t="s">
        <v>7</v>
      </c>
      <c r="B38" s="15" t="s">
        <v>566</v>
      </c>
      <c r="C38" s="15" t="s">
        <v>328</v>
      </c>
      <c r="D38" s="15" t="s">
        <v>329</v>
      </c>
      <c r="E38" s="15" t="s">
        <v>330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>
      <c r="A39" s="15" t="s">
        <v>7</v>
      </c>
      <c r="B39" s="15" t="s">
        <v>566</v>
      </c>
      <c r="C39" s="15" t="s">
        <v>328</v>
      </c>
      <c r="D39" s="15" t="s">
        <v>334</v>
      </c>
      <c r="E39" s="15" t="s">
        <v>335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>
      <c r="A40" s="15" t="s">
        <v>7</v>
      </c>
      <c r="B40" s="15" t="s">
        <v>566</v>
      </c>
      <c r="C40" s="15" t="s">
        <v>323</v>
      </c>
      <c r="D40" s="15" t="s">
        <v>332</v>
      </c>
      <c r="E40" s="15" t="s">
        <v>327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>
      <c r="A41" s="15" t="s">
        <v>7</v>
      </c>
      <c r="B41" s="15" t="s">
        <v>566</v>
      </c>
      <c r="C41" s="15" t="s">
        <v>323</v>
      </c>
      <c r="D41" s="15" t="s">
        <v>336</v>
      </c>
      <c r="E41" s="15" t="s">
        <v>327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>
      <c r="A42" s="15" t="s">
        <v>7</v>
      </c>
      <c r="B42" s="15" t="s">
        <v>566</v>
      </c>
      <c r="C42" s="15" t="s">
        <v>328</v>
      </c>
      <c r="D42" s="15" t="s">
        <v>329</v>
      </c>
      <c r="E42" s="15" t="s">
        <v>330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>
      <c r="A43" s="15" t="s">
        <v>7</v>
      </c>
      <c r="B43" s="15" t="s">
        <v>566</v>
      </c>
      <c r="C43" s="15" t="s">
        <v>328</v>
      </c>
      <c r="D43" s="15" t="s">
        <v>329</v>
      </c>
      <c r="E43" s="15" t="s">
        <v>330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>
      <c r="A44" s="15" t="s">
        <v>7</v>
      </c>
      <c r="B44" s="15" t="s">
        <v>566</v>
      </c>
      <c r="C44" s="15" t="s">
        <v>328</v>
      </c>
      <c r="D44" s="15" t="s">
        <v>334</v>
      </c>
      <c r="E44" s="15" t="s">
        <v>335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>
      <c r="A45" s="15" t="s">
        <v>7</v>
      </c>
      <c r="B45" s="15" t="s">
        <v>566</v>
      </c>
      <c r="C45" s="15" t="s">
        <v>328</v>
      </c>
      <c r="D45" s="15" t="s">
        <v>329</v>
      </c>
      <c r="E45" s="15" t="s">
        <v>330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>
      <c r="A46" s="15" t="s">
        <v>338</v>
      </c>
      <c r="B46" s="15" t="s">
        <v>566</v>
      </c>
      <c r="C46" s="15" t="s">
        <v>328</v>
      </c>
      <c r="D46" s="15" t="s">
        <v>329</v>
      </c>
      <c r="E46" s="15" t="s">
        <v>330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>
      <c r="A47" s="15" t="s">
        <v>338</v>
      </c>
      <c r="B47" s="15" t="s">
        <v>566</v>
      </c>
      <c r="C47" s="15" t="s">
        <v>328</v>
      </c>
      <c r="D47" s="15" t="s">
        <v>334</v>
      </c>
      <c r="E47" s="15" t="s">
        <v>327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>
      <c r="A48" s="15" t="s">
        <v>338</v>
      </c>
      <c r="B48" s="15" t="s">
        <v>566</v>
      </c>
      <c r="C48" s="15" t="s">
        <v>328</v>
      </c>
      <c r="D48" s="15" t="s">
        <v>329</v>
      </c>
      <c r="E48" s="15" t="s">
        <v>330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>
      <c r="A49" s="15" t="s">
        <v>338</v>
      </c>
      <c r="B49" s="15" t="s">
        <v>566</v>
      </c>
      <c r="C49" s="15" t="s">
        <v>328</v>
      </c>
      <c r="D49" s="15" t="s">
        <v>334</v>
      </c>
      <c r="E49" s="15" t="s">
        <v>335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>
      <c r="A50" s="15" t="s">
        <v>338</v>
      </c>
      <c r="B50" s="15" t="s">
        <v>566</v>
      </c>
      <c r="C50" s="15" t="s">
        <v>328</v>
      </c>
      <c r="D50" s="15" t="s">
        <v>329</v>
      </c>
      <c r="E50" s="15" t="s">
        <v>330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>
      <c r="A51" s="15" t="s">
        <v>338</v>
      </c>
      <c r="B51" s="15" t="s">
        <v>566</v>
      </c>
      <c r="C51" s="15" t="s">
        <v>323</v>
      </c>
      <c r="D51" s="15" t="s">
        <v>336</v>
      </c>
      <c r="E51" s="15" t="s">
        <v>327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>
      <c r="A52" s="15" t="s">
        <v>338</v>
      </c>
      <c r="B52" s="15" t="s">
        <v>566</v>
      </c>
      <c r="C52" s="15" t="s">
        <v>328</v>
      </c>
      <c r="D52" s="15" t="s">
        <v>329</v>
      </c>
      <c r="E52" s="15" t="s">
        <v>330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>
      <c r="A53" s="15" t="s">
        <v>338</v>
      </c>
      <c r="B53" s="15" t="s">
        <v>566</v>
      </c>
      <c r="C53" s="15" t="s">
        <v>328</v>
      </c>
      <c r="D53" s="15" t="s">
        <v>329</v>
      </c>
      <c r="E53" s="15" t="s">
        <v>330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>
      <c r="A54" s="15" t="s">
        <v>338</v>
      </c>
      <c r="B54" s="15" t="s">
        <v>566</v>
      </c>
      <c r="C54" s="15" t="s">
        <v>328</v>
      </c>
      <c r="D54" s="15" t="s">
        <v>329</v>
      </c>
      <c r="E54" s="15" t="s">
        <v>327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>
      <c r="A55" s="15" t="s">
        <v>338</v>
      </c>
      <c r="B55" s="15" t="s">
        <v>566</v>
      </c>
      <c r="C55" s="15" t="s">
        <v>328</v>
      </c>
      <c r="D55" s="15" t="s">
        <v>329</v>
      </c>
      <c r="E55" s="15" t="s">
        <v>330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>
      <c r="A56" s="15" t="s">
        <v>338</v>
      </c>
      <c r="B56" s="15" t="s">
        <v>566</v>
      </c>
      <c r="C56" s="15" t="s">
        <v>328</v>
      </c>
      <c r="D56" s="15" t="s">
        <v>334</v>
      </c>
      <c r="E56" s="15" t="s">
        <v>335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>
      <c r="A57" s="15" t="s">
        <v>338</v>
      </c>
      <c r="B57" s="15" t="s">
        <v>566</v>
      </c>
      <c r="C57" s="15" t="s">
        <v>328</v>
      </c>
      <c r="D57" s="15" t="s">
        <v>334</v>
      </c>
      <c r="E57" s="15" t="s">
        <v>335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>
      <c r="A58" s="15" t="s">
        <v>338</v>
      </c>
      <c r="B58" s="15" t="s">
        <v>566</v>
      </c>
      <c r="C58" s="15" t="s">
        <v>328</v>
      </c>
      <c r="D58" s="15" t="s">
        <v>329</v>
      </c>
      <c r="E58" s="15" t="s">
        <v>330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>
      <c r="A59" s="15" t="s">
        <v>338</v>
      </c>
      <c r="B59" s="15" t="s">
        <v>566</v>
      </c>
      <c r="C59" s="15" t="s">
        <v>328</v>
      </c>
      <c r="D59" s="15" t="s">
        <v>329</v>
      </c>
      <c r="E59" s="15" t="s">
        <v>330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>
      <c r="A60" s="15" t="s">
        <v>338</v>
      </c>
      <c r="B60" s="15" t="s">
        <v>566</v>
      </c>
      <c r="C60" s="15" t="s">
        <v>328</v>
      </c>
      <c r="D60" s="15" t="s">
        <v>329</v>
      </c>
      <c r="E60" s="15" t="s">
        <v>330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>
      <c r="A61" s="15" t="s">
        <v>338</v>
      </c>
      <c r="B61" s="15" t="s">
        <v>566</v>
      </c>
      <c r="C61" s="15" t="s">
        <v>323</v>
      </c>
      <c r="D61" s="15" t="s">
        <v>336</v>
      </c>
      <c r="E61" s="15" t="s">
        <v>327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>
      <c r="A62" s="15" t="s">
        <v>338</v>
      </c>
      <c r="B62" s="15" t="s">
        <v>566</v>
      </c>
      <c r="C62" s="15" t="s">
        <v>328</v>
      </c>
      <c r="D62" s="15" t="s">
        <v>329</v>
      </c>
      <c r="E62" s="15" t="s">
        <v>330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>
      <c r="A63" s="15" t="s">
        <v>338</v>
      </c>
      <c r="B63" s="15" t="s">
        <v>566</v>
      </c>
      <c r="C63" s="15" t="s">
        <v>328</v>
      </c>
      <c r="D63" s="15" t="s">
        <v>334</v>
      </c>
      <c r="E63" s="15" t="s">
        <v>335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>
      <c r="A64" s="15" t="s">
        <v>338</v>
      </c>
      <c r="B64" s="15" t="s">
        <v>566</v>
      </c>
      <c r="C64" s="15" t="s">
        <v>328</v>
      </c>
      <c r="D64" s="15" t="s">
        <v>329</v>
      </c>
      <c r="E64" s="15" t="s">
        <v>330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>
      <c r="A65" s="15" t="s">
        <v>338</v>
      </c>
      <c r="B65" s="15" t="s">
        <v>566</v>
      </c>
      <c r="C65" s="15" t="s">
        <v>323</v>
      </c>
      <c r="D65" s="15" t="s">
        <v>332</v>
      </c>
      <c r="E65" s="15" t="s">
        <v>327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>
      <c r="A66" s="15" t="s">
        <v>338</v>
      </c>
      <c r="B66" s="15" t="s">
        <v>566</v>
      </c>
      <c r="C66" s="15" t="s">
        <v>328</v>
      </c>
      <c r="D66" s="15" t="s">
        <v>329</v>
      </c>
      <c r="E66" s="15" t="s">
        <v>330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>
      <c r="A67" s="15" t="s">
        <v>338</v>
      </c>
      <c r="B67" s="15" t="s">
        <v>566</v>
      </c>
      <c r="C67" s="15" t="s">
        <v>328</v>
      </c>
      <c r="D67" s="15" t="s">
        <v>334</v>
      </c>
      <c r="E67" s="15" t="s">
        <v>335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>
      <c r="A68" s="15" t="s">
        <v>338</v>
      </c>
      <c r="B68" s="15" t="s">
        <v>566</v>
      </c>
      <c r="C68" s="15" t="s">
        <v>323</v>
      </c>
      <c r="D68" s="15" t="s">
        <v>331</v>
      </c>
      <c r="E68" s="15" t="s">
        <v>325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>
      <c r="A69" s="15" t="s">
        <v>338</v>
      </c>
      <c r="B69" s="15" t="s">
        <v>566</v>
      </c>
      <c r="C69" s="15" t="s">
        <v>328</v>
      </c>
      <c r="D69" s="15" t="s">
        <v>329</v>
      </c>
      <c r="E69" s="15" t="s">
        <v>330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>
      <c r="A70" s="15" t="s">
        <v>338</v>
      </c>
      <c r="B70" s="15" t="s">
        <v>566</v>
      </c>
      <c r="C70" s="15" t="s">
        <v>323</v>
      </c>
      <c r="D70" s="15" t="s">
        <v>324</v>
      </c>
      <c r="E70" s="15" t="s">
        <v>325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>
      <c r="A71" s="15" t="s">
        <v>338</v>
      </c>
      <c r="B71" s="15" t="s">
        <v>566</v>
      </c>
      <c r="C71" s="15" t="s">
        <v>328</v>
      </c>
      <c r="D71" s="15" t="s">
        <v>329</v>
      </c>
      <c r="E71" s="15" t="s">
        <v>330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>
      <c r="A72" s="15" t="s">
        <v>338</v>
      </c>
      <c r="B72" s="15" t="s">
        <v>566</v>
      </c>
      <c r="C72" s="15" t="s">
        <v>328</v>
      </c>
      <c r="D72" s="15" t="s">
        <v>334</v>
      </c>
      <c r="E72" s="15" t="s">
        <v>335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>
      <c r="A73" s="15" t="s">
        <v>338</v>
      </c>
      <c r="B73" s="15" t="s">
        <v>566</v>
      </c>
      <c r="C73" s="15" t="s">
        <v>323</v>
      </c>
      <c r="D73" s="15" t="s">
        <v>332</v>
      </c>
      <c r="E73" s="15" t="s">
        <v>327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>
      <c r="A74" s="15" t="s">
        <v>338</v>
      </c>
      <c r="B74" s="15" t="s">
        <v>566</v>
      </c>
      <c r="C74" s="15" t="s">
        <v>323</v>
      </c>
      <c r="D74" s="15" t="s">
        <v>336</v>
      </c>
      <c r="E74" s="15" t="s">
        <v>327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>
      <c r="A75" s="15" t="s">
        <v>338</v>
      </c>
      <c r="B75" s="15" t="s">
        <v>566</v>
      </c>
      <c r="C75" s="15" t="s">
        <v>323</v>
      </c>
      <c r="D75" s="15" t="s">
        <v>324</v>
      </c>
      <c r="E75" s="15" t="s">
        <v>325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>
      <c r="A76" s="15" t="s">
        <v>338</v>
      </c>
      <c r="B76" s="15" t="s">
        <v>566</v>
      </c>
      <c r="C76" s="15" t="s">
        <v>323</v>
      </c>
      <c r="D76" s="15" t="s">
        <v>331</v>
      </c>
      <c r="E76" s="15" t="s">
        <v>325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>
      <c r="A77" s="15" t="s">
        <v>338</v>
      </c>
      <c r="B77" s="15" t="s">
        <v>566</v>
      </c>
      <c r="C77" s="15" t="s">
        <v>328</v>
      </c>
      <c r="D77" s="15" t="s">
        <v>329</v>
      </c>
      <c r="E77" s="15" t="s">
        <v>330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>
      <c r="A78" s="15" t="s">
        <v>338</v>
      </c>
      <c r="B78" s="15" t="s">
        <v>566</v>
      </c>
      <c r="C78" s="15" t="s">
        <v>328</v>
      </c>
      <c r="D78" s="15" t="s">
        <v>329</v>
      </c>
      <c r="E78" s="15" t="s">
        <v>330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>
      <c r="A79" s="15" t="s">
        <v>338</v>
      </c>
      <c r="B79" s="15" t="s">
        <v>566</v>
      </c>
      <c r="C79" s="15" t="s">
        <v>323</v>
      </c>
      <c r="D79" s="15" t="s">
        <v>332</v>
      </c>
      <c r="E79" s="15" t="s">
        <v>327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>
      <c r="A80" s="15" t="s">
        <v>338</v>
      </c>
      <c r="B80" s="15" t="s">
        <v>566</v>
      </c>
      <c r="C80" s="15" t="s">
        <v>328</v>
      </c>
      <c r="D80" s="15" t="s">
        <v>329</v>
      </c>
      <c r="E80" s="15" t="s">
        <v>330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>
      <c r="A81" s="15" t="s">
        <v>338</v>
      </c>
      <c r="B81" s="15" t="s">
        <v>566</v>
      </c>
      <c r="C81" s="15" t="s">
        <v>328</v>
      </c>
      <c r="D81" s="15" t="s">
        <v>329</v>
      </c>
      <c r="E81" s="15" t="s">
        <v>330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>
      <c r="A82" s="15" t="s">
        <v>338</v>
      </c>
      <c r="B82" s="15" t="s">
        <v>566</v>
      </c>
      <c r="C82" s="15" t="s">
        <v>328</v>
      </c>
      <c r="D82" s="15" t="s">
        <v>329</v>
      </c>
      <c r="E82" s="15" t="s">
        <v>330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>
      <c r="A83" s="15" t="s">
        <v>338</v>
      </c>
      <c r="B83" s="15" t="s">
        <v>566</v>
      </c>
      <c r="C83" s="15" t="s">
        <v>328</v>
      </c>
      <c r="D83" s="15" t="s">
        <v>329</v>
      </c>
      <c r="E83" s="15" t="s">
        <v>330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>
      <c r="A84" s="15" t="s">
        <v>23</v>
      </c>
      <c r="B84" s="15" t="s">
        <v>566</v>
      </c>
      <c r="C84" s="15" t="s">
        <v>328</v>
      </c>
      <c r="D84" s="15" t="s">
        <v>329</v>
      </c>
      <c r="E84" s="15" t="s">
        <v>330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>
      <c r="A85" s="15" t="s">
        <v>23</v>
      </c>
      <c r="B85" s="15" t="s">
        <v>566</v>
      </c>
      <c r="C85" s="15" t="s">
        <v>323</v>
      </c>
      <c r="D85" s="15" t="s">
        <v>324</v>
      </c>
      <c r="E85" s="15" t="s">
        <v>325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>
      <c r="A86" s="15" t="s">
        <v>23</v>
      </c>
      <c r="B86" s="15" t="s">
        <v>566</v>
      </c>
      <c r="C86" s="15" t="s">
        <v>328</v>
      </c>
      <c r="D86" s="15" t="s">
        <v>329</v>
      </c>
      <c r="E86" s="15" t="s">
        <v>330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>
      <c r="A87" s="15" t="s">
        <v>23</v>
      </c>
      <c r="B87" s="15" t="s">
        <v>566</v>
      </c>
      <c r="C87" s="15" t="s">
        <v>323</v>
      </c>
      <c r="D87" s="15" t="s">
        <v>324</v>
      </c>
      <c r="E87" s="15" t="s">
        <v>325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>
      <c r="A88" s="15" t="s">
        <v>23</v>
      </c>
      <c r="B88" s="15" t="s">
        <v>566</v>
      </c>
      <c r="C88" s="15" t="s">
        <v>323</v>
      </c>
      <c r="D88" s="15" t="s">
        <v>331</v>
      </c>
      <c r="E88" s="15" t="s">
        <v>325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>
      <c r="A89" s="15" t="s">
        <v>23</v>
      </c>
      <c r="B89" s="15" t="s">
        <v>566</v>
      </c>
      <c r="C89" s="15" t="s">
        <v>323</v>
      </c>
      <c r="D89" s="15" t="s">
        <v>324</v>
      </c>
      <c r="E89" s="15" t="s">
        <v>325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>
      <c r="A90" s="15" t="s">
        <v>23</v>
      </c>
      <c r="B90" s="15" t="s">
        <v>566</v>
      </c>
      <c r="C90" s="15" t="s">
        <v>328</v>
      </c>
      <c r="D90" s="15" t="s">
        <v>329</v>
      </c>
      <c r="E90" s="15" t="s">
        <v>330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>
      <c r="A91" s="15" t="s">
        <v>19</v>
      </c>
      <c r="B91" s="15" t="s">
        <v>566</v>
      </c>
      <c r="C91" s="15" t="s">
        <v>328</v>
      </c>
      <c r="D91" s="15" t="s">
        <v>329</v>
      </c>
      <c r="E91" s="15" t="s">
        <v>330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>
      <c r="A92" s="15" t="s">
        <v>19</v>
      </c>
      <c r="B92" s="15" t="s">
        <v>566</v>
      </c>
      <c r="C92" s="15" t="s">
        <v>323</v>
      </c>
      <c r="D92" s="15" t="s">
        <v>336</v>
      </c>
      <c r="E92" s="15" t="s">
        <v>327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>
      <c r="A93" s="15" t="s">
        <v>19</v>
      </c>
      <c r="B93" s="15" t="s">
        <v>566</v>
      </c>
      <c r="C93" s="15" t="s">
        <v>328</v>
      </c>
      <c r="D93" s="15" t="s">
        <v>329</v>
      </c>
      <c r="E93" s="15" t="s">
        <v>330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>
      <c r="A94" s="15" t="s">
        <v>19</v>
      </c>
      <c r="B94" s="15" t="s">
        <v>566</v>
      </c>
      <c r="C94" s="15" t="s">
        <v>328</v>
      </c>
      <c r="D94" s="15" t="s">
        <v>334</v>
      </c>
      <c r="E94" s="15" t="s">
        <v>335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>
      <c r="A95" s="15" t="s">
        <v>19</v>
      </c>
      <c r="B95" s="15" t="s">
        <v>566</v>
      </c>
      <c r="C95" s="15" t="s">
        <v>323</v>
      </c>
      <c r="D95" s="15" t="s">
        <v>332</v>
      </c>
      <c r="E95" s="15" t="s">
        <v>327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>
      <c r="A96" s="15" t="s">
        <v>19</v>
      </c>
      <c r="B96" s="15" t="s">
        <v>566</v>
      </c>
      <c r="C96" s="15" t="s">
        <v>323</v>
      </c>
      <c r="D96" s="15" t="s">
        <v>336</v>
      </c>
      <c r="E96" s="15" t="s">
        <v>327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>
      <c r="A97" s="15" t="s">
        <v>341</v>
      </c>
      <c r="B97" s="15" t="s">
        <v>566</v>
      </c>
      <c r="C97" s="15" t="s">
        <v>323</v>
      </c>
      <c r="D97" s="15" t="s">
        <v>331</v>
      </c>
      <c r="E97" s="15" t="s">
        <v>325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>
      <c r="A98" s="15" t="s">
        <v>341</v>
      </c>
      <c r="B98" s="15" t="s">
        <v>566</v>
      </c>
      <c r="C98" s="15" t="s">
        <v>323</v>
      </c>
      <c r="D98" s="15" t="s">
        <v>324</v>
      </c>
      <c r="E98" s="15" t="s">
        <v>325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>
      <c r="A99" s="15" t="s">
        <v>341</v>
      </c>
      <c r="B99" s="15" t="s">
        <v>566</v>
      </c>
      <c r="C99" s="15" t="s">
        <v>323</v>
      </c>
      <c r="D99" s="15" t="s">
        <v>331</v>
      </c>
      <c r="E99" s="15" t="s">
        <v>325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>
      <c r="A100" s="15" t="s">
        <v>179</v>
      </c>
      <c r="B100" s="15" t="s">
        <v>566</v>
      </c>
      <c r="C100" s="15" t="s">
        <v>342</v>
      </c>
      <c r="D100" s="15" t="s">
        <v>343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>
      <c r="A101" s="15" t="s">
        <v>53</v>
      </c>
      <c r="B101" s="15" t="s">
        <v>566</v>
      </c>
      <c r="C101" s="15" t="s">
        <v>342</v>
      </c>
      <c r="D101" s="15" t="s">
        <v>343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>
      <c r="A102" s="15" t="s">
        <v>171</v>
      </c>
      <c r="B102" s="15" t="s">
        <v>566</v>
      </c>
      <c r="C102" s="15" t="s">
        <v>342</v>
      </c>
      <c r="D102" s="15" t="s">
        <v>343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>
      <c r="A103" s="15" t="s">
        <v>346</v>
      </c>
      <c r="B103" s="15" t="s">
        <v>566</v>
      </c>
      <c r="C103" s="15" t="s">
        <v>342</v>
      </c>
      <c r="D103" s="15" t="s">
        <v>343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>
      <c r="A104" s="15" t="s">
        <v>24</v>
      </c>
      <c r="B104" s="15" t="s">
        <v>566</v>
      </c>
      <c r="C104" s="15" t="s">
        <v>342</v>
      </c>
      <c r="D104" s="15" t="s">
        <v>343</v>
      </c>
      <c r="E104" s="15"/>
      <c r="F104" s="15"/>
      <c r="G104" s="15"/>
      <c r="H104" s="15" t="s">
        <v>347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>
      <c r="A105" s="15" t="s">
        <v>160</v>
      </c>
      <c r="B105" s="15" t="s">
        <v>566</v>
      </c>
      <c r="C105" s="15" t="s">
        <v>342</v>
      </c>
      <c r="D105" s="15" t="s">
        <v>343</v>
      </c>
      <c r="E105" s="15"/>
      <c r="F105" s="15"/>
      <c r="G105" s="15"/>
      <c r="H105" s="15" t="s">
        <v>347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>
      <c r="A106" s="15" t="s">
        <v>51</v>
      </c>
      <c r="B106" s="15" t="s">
        <v>566</v>
      </c>
      <c r="C106" s="15" t="s">
        <v>342</v>
      </c>
      <c r="D106" s="15" t="s">
        <v>343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>
      <c r="A107" s="15" t="s">
        <v>153</v>
      </c>
      <c r="B107" s="15" t="s">
        <v>566</v>
      </c>
      <c r="C107" s="15" t="s">
        <v>342</v>
      </c>
      <c r="D107" s="15" t="s">
        <v>343</v>
      </c>
      <c r="E107" s="15"/>
      <c r="F107" s="15"/>
      <c r="G107" s="15"/>
      <c r="H107" s="15" t="s">
        <v>347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>
      <c r="A108" s="15" t="s">
        <v>59</v>
      </c>
      <c r="B108" s="15" t="s">
        <v>566</v>
      </c>
      <c r="C108" s="15" t="s">
        <v>342</v>
      </c>
      <c r="D108" s="15" t="s">
        <v>343</v>
      </c>
      <c r="E108" s="15"/>
      <c r="F108" s="15"/>
      <c r="G108" s="15"/>
      <c r="H108" s="15" t="s">
        <v>347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>
      <c r="A109" s="15" t="s">
        <v>22</v>
      </c>
      <c r="B109" s="15" t="s">
        <v>566</v>
      </c>
      <c r="C109" s="15" t="s">
        <v>342</v>
      </c>
      <c r="D109" s="15" t="s">
        <v>343</v>
      </c>
      <c r="E109" s="15"/>
      <c r="F109" s="15"/>
      <c r="G109" s="15"/>
      <c r="H109" s="15" t="s">
        <v>348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>
      <c r="A110" s="15" t="s">
        <v>349</v>
      </c>
      <c r="B110" s="15" t="s">
        <v>566</v>
      </c>
      <c r="C110" s="15" t="s">
        <v>342</v>
      </c>
      <c r="D110" s="15" t="s">
        <v>343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>
      <c r="A111" s="15" t="s">
        <v>57</v>
      </c>
      <c r="B111" s="15" t="s">
        <v>566</v>
      </c>
      <c r="C111" s="15" t="s">
        <v>342</v>
      </c>
      <c r="D111" s="15" t="s">
        <v>343</v>
      </c>
      <c r="E111" s="15"/>
      <c r="F111" s="15"/>
      <c r="G111" s="15"/>
      <c r="H111" s="15" t="s">
        <v>347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>
      <c r="A112" s="15" t="s">
        <v>178</v>
      </c>
      <c r="B112" s="15" t="s">
        <v>566</v>
      </c>
      <c r="C112" s="15" t="s">
        <v>342</v>
      </c>
      <c r="D112" s="15" t="s">
        <v>343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>
      <c r="A113" s="15" t="s">
        <v>151</v>
      </c>
      <c r="B113" s="15" t="s">
        <v>566</v>
      </c>
      <c r="C113" s="15" t="s">
        <v>342</v>
      </c>
      <c r="D113" s="15" t="s">
        <v>343</v>
      </c>
      <c r="E113" s="15"/>
      <c r="F113" s="15"/>
      <c r="G113" s="15"/>
      <c r="H113" s="15" t="s">
        <v>347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>
      <c r="A114" s="15" t="s">
        <v>350</v>
      </c>
      <c r="B114" s="15" t="s">
        <v>566</v>
      </c>
      <c r="C114" s="15" t="s">
        <v>342</v>
      </c>
      <c r="D114" s="15" t="s">
        <v>343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>
      <c r="A115" s="15" t="s">
        <v>155</v>
      </c>
      <c r="B115" s="15" t="s">
        <v>566</v>
      </c>
      <c r="C115" s="15" t="s">
        <v>342</v>
      </c>
      <c r="D115" s="15" t="s">
        <v>343</v>
      </c>
      <c r="E115" s="15"/>
      <c r="F115" s="15"/>
      <c r="G115" s="15"/>
      <c r="H115" s="15" t="s">
        <v>347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>
      <c r="A116" s="15" t="s">
        <v>7</v>
      </c>
      <c r="B116" s="15" t="s">
        <v>566</v>
      </c>
      <c r="C116" s="15" t="s">
        <v>342</v>
      </c>
      <c r="D116" s="15" t="s">
        <v>343</v>
      </c>
      <c r="E116" s="15"/>
      <c r="F116" s="15"/>
      <c r="G116" s="15">
        <v>1</v>
      </c>
      <c r="H116" s="15" t="s">
        <v>348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>
      <c r="A117" s="15" t="s">
        <v>338</v>
      </c>
      <c r="B117" s="15" t="s">
        <v>566</v>
      </c>
      <c r="C117" s="15" t="s">
        <v>342</v>
      </c>
      <c r="D117" s="15" t="s">
        <v>343</v>
      </c>
      <c r="E117" s="15"/>
      <c r="F117" s="15"/>
      <c r="G117" s="15"/>
      <c r="H117" s="15" t="s">
        <v>348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>
      <c r="A118" s="15" t="s">
        <v>38</v>
      </c>
      <c r="B118" s="15" t="s">
        <v>566</v>
      </c>
      <c r="C118" s="15" t="s">
        <v>342</v>
      </c>
      <c r="D118" s="15" t="s">
        <v>343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>
      <c r="A119" s="15" t="s">
        <v>23</v>
      </c>
      <c r="B119" s="15" t="s">
        <v>566</v>
      </c>
      <c r="C119" s="15" t="s">
        <v>342</v>
      </c>
      <c r="D119" s="15" t="s">
        <v>343</v>
      </c>
      <c r="E119" s="15"/>
      <c r="F119" s="15"/>
      <c r="G119" s="15"/>
      <c r="H119" s="15" t="s">
        <v>347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>
      <c r="A120" s="15" t="s">
        <v>127</v>
      </c>
      <c r="B120" s="15" t="s">
        <v>566</v>
      </c>
      <c r="C120" s="15" t="s">
        <v>342</v>
      </c>
      <c r="D120" s="15" t="s">
        <v>343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>
      <c r="A121" s="15" t="s">
        <v>150</v>
      </c>
      <c r="B121" s="15" t="s">
        <v>566</v>
      </c>
      <c r="C121" s="15" t="s">
        <v>342</v>
      </c>
      <c r="D121" s="15" t="s">
        <v>343</v>
      </c>
      <c r="E121" s="15"/>
      <c r="F121" s="15"/>
      <c r="G121" s="15"/>
      <c r="H121" s="15" t="s">
        <v>347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>
      <c r="A122" s="15" t="s">
        <v>106</v>
      </c>
      <c r="B122" s="15" t="s">
        <v>566</v>
      </c>
      <c r="C122" s="15" t="s">
        <v>342</v>
      </c>
      <c r="D122" s="15" t="s">
        <v>343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>
      <c r="A123" s="15" t="s">
        <v>41</v>
      </c>
      <c r="B123" s="15" t="s">
        <v>566</v>
      </c>
      <c r="C123" s="15" t="s">
        <v>342</v>
      </c>
      <c r="D123" s="15" t="s">
        <v>343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>
      <c r="A124" s="15" t="s">
        <v>161</v>
      </c>
      <c r="B124" s="15" t="s">
        <v>566</v>
      </c>
      <c r="C124" s="15" t="s">
        <v>342</v>
      </c>
      <c r="D124" s="15" t="s">
        <v>343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>
      <c r="A125" s="15" t="s">
        <v>20</v>
      </c>
      <c r="B125" s="15" t="s">
        <v>566</v>
      </c>
      <c r="C125" s="15" t="s">
        <v>342</v>
      </c>
      <c r="D125" s="15" t="s">
        <v>343</v>
      </c>
      <c r="E125" s="15"/>
      <c r="F125" s="15"/>
      <c r="G125" s="15"/>
      <c r="H125" s="15" t="s">
        <v>348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>
      <c r="A126" s="15" t="s">
        <v>109</v>
      </c>
      <c r="B126" s="15" t="s">
        <v>566</v>
      </c>
      <c r="C126" s="15" t="s">
        <v>342</v>
      </c>
      <c r="D126" s="15" t="s">
        <v>343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>
      <c r="A127" s="15" t="s">
        <v>351</v>
      </c>
      <c r="B127" s="15" t="s">
        <v>566</v>
      </c>
      <c r="C127" s="15" t="s">
        <v>342</v>
      </c>
      <c r="D127" s="15" t="s">
        <v>343</v>
      </c>
      <c r="E127" s="15"/>
      <c r="F127" s="15"/>
      <c r="G127" s="15"/>
      <c r="H127" s="15" t="s">
        <v>347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>
      <c r="A128" s="15" t="s">
        <v>159</v>
      </c>
      <c r="B128" s="15" t="s">
        <v>566</v>
      </c>
      <c r="C128" s="15" t="s">
        <v>342</v>
      </c>
      <c r="D128" s="15" t="s">
        <v>343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>
      <c r="A129" s="15" t="s">
        <v>122</v>
      </c>
      <c r="B129" s="15" t="s">
        <v>566</v>
      </c>
      <c r="C129" s="15" t="s">
        <v>342</v>
      </c>
      <c r="D129" s="15" t="s">
        <v>343</v>
      </c>
      <c r="E129" s="15"/>
      <c r="F129" s="15"/>
      <c r="G129" s="15"/>
      <c r="H129" s="15" t="s">
        <v>348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>
      <c r="A130" s="15" t="s">
        <v>156</v>
      </c>
      <c r="B130" s="15" t="s">
        <v>566</v>
      </c>
      <c r="C130" s="15" t="s">
        <v>342</v>
      </c>
      <c r="D130" s="15" t="s">
        <v>343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>
      <c r="A131" s="15" t="s">
        <v>97</v>
      </c>
      <c r="B131" s="15" t="s">
        <v>566</v>
      </c>
      <c r="C131" s="15" t="s">
        <v>342</v>
      </c>
      <c r="D131" s="15" t="s">
        <v>343</v>
      </c>
      <c r="E131" s="15"/>
      <c r="F131" s="15"/>
      <c r="G131" s="15"/>
      <c r="H131" s="15" t="s">
        <v>348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>
      <c r="A132" s="15" t="s">
        <v>58</v>
      </c>
      <c r="B132" s="15" t="s">
        <v>566</v>
      </c>
      <c r="C132" s="15" t="s">
        <v>342</v>
      </c>
      <c r="D132" s="15" t="s">
        <v>343</v>
      </c>
      <c r="E132" s="15"/>
      <c r="F132" s="15"/>
      <c r="G132" s="15"/>
      <c r="H132" s="15" t="s">
        <v>347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>
      <c r="A133" s="15" t="s">
        <v>19</v>
      </c>
      <c r="B133" s="15" t="s">
        <v>566</v>
      </c>
      <c r="C133" s="15" t="s">
        <v>342</v>
      </c>
      <c r="D133" s="15" t="s">
        <v>343</v>
      </c>
      <c r="E133" s="15"/>
      <c r="F133" s="15"/>
      <c r="G133" s="15"/>
      <c r="H133" s="15" t="s">
        <v>348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>
      <c r="A134" s="15" t="s">
        <v>124</v>
      </c>
      <c r="B134" s="15" t="s">
        <v>566</v>
      </c>
      <c r="C134" s="15" t="s">
        <v>342</v>
      </c>
      <c r="D134" s="15" t="s">
        <v>343</v>
      </c>
      <c r="E134" s="15"/>
      <c r="F134" s="15"/>
      <c r="G134" s="15"/>
      <c r="H134" s="15" t="s">
        <v>348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>
      <c r="A135" s="15" t="s">
        <v>111</v>
      </c>
      <c r="B135" s="15" t="s">
        <v>566</v>
      </c>
      <c r="C135" s="15" t="s">
        <v>342</v>
      </c>
      <c r="D135" s="15" t="s">
        <v>343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28.9">
      <c r="A136" s="15" t="s">
        <v>352</v>
      </c>
      <c r="B136" s="15" t="s">
        <v>566</v>
      </c>
      <c r="C136" s="15" t="s">
        <v>342</v>
      </c>
      <c r="D136" s="15" t="s">
        <v>343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>
      <c r="A137" s="15" t="s">
        <v>107</v>
      </c>
      <c r="B137" s="15" t="s">
        <v>566</v>
      </c>
      <c r="C137" s="15" t="s">
        <v>342</v>
      </c>
      <c r="D137" s="15" t="s">
        <v>343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>
      <c r="A138" s="15" t="s">
        <v>54</v>
      </c>
      <c r="B138" s="15" t="s">
        <v>566</v>
      </c>
      <c r="C138" s="15" t="s">
        <v>342</v>
      </c>
      <c r="D138" s="15" t="s">
        <v>343</v>
      </c>
      <c r="E138" s="15"/>
      <c r="F138" s="15"/>
      <c r="G138" s="15"/>
      <c r="H138" s="15" t="s">
        <v>347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>
      <c r="A139" s="15" t="s">
        <v>23</v>
      </c>
      <c r="B139" s="15" t="s">
        <v>566</v>
      </c>
      <c r="C139" s="15" t="s">
        <v>342</v>
      </c>
      <c r="D139" s="15" t="s">
        <v>353</v>
      </c>
      <c r="E139" s="15" t="s">
        <v>325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>
      <c r="A140" s="15" t="s">
        <v>24</v>
      </c>
      <c r="B140" s="15" t="s">
        <v>566</v>
      </c>
      <c r="C140" s="15" t="s">
        <v>342</v>
      </c>
      <c r="D140" s="15" t="s">
        <v>353</v>
      </c>
      <c r="E140" s="15" t="s">
        <v>325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>
      <c r="A141" s="15" t="s">
        <v>59</v>
      </c>
      <c r="B141" s="15" t="s">
        <v>566</v>
      </c>
      <c r="C141" s="15" t="s">
        <v>342</v>
      </c>
      <c r="D141" s="15" t="s">
        <v>353</v>
      </c>
      <c r="E141" s="15" t="s">
        <v>325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>
      <c r="A142" s="15" t="s">
        <v>27</v>
      </c>
      <c r="B142" s="15" t="s">
        <v>566</v>
      </c>
      <c r="C142" s="15" t="s">
        <v>342</v>
      </c>
      <c r="D142" s="15" t="s">
        <v>353</v>
      </c>
      <c r="E142" s="15" t="s">
        <v>325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>
      <c r="A143" s="15" t="s">
        <v>57</v>
      </c>
      <c r="B143" s="15" t="s">
        <v>566</v>
      </c>
      <c r="C143" s="15" t="s">
        <v>342</v>
      </c>
      <c r="D143" s="15" t="s">
        <v>353</v>
      </c>
      <c r="E143" s="15" t="s">
        <v>325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>
      <c r="A144" s="15" t="s">
        <v>355</v>
      </c>
      <c r="B144" s="15" t="s">
        <v>566</v>
      </c>
      <c r="C144" s="15" t="s">
        <v>342</v>
      </c>
      <c r="D144" s="15" t="s">
        <v>353</v>
      </c>
      <c r="E144" s="15" t="s">
        <v>325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>
      <c r="A145" s="15" t="s">
        <v>29</v>
      </c>
      <c r="B145" s="15" t="s">
        <v>566</v>
      </c>
      <c r="C145" s="15" t="s">
        <v>342</v>
      </c>
      <c r="D145" s="15" t="s">
        <v>353</v>
      </c>
      <c r="E145" s="15" t="s">
        <v>325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>
      <c r="A146" s="15" t="s">
        <v>23</v>
      </c>
      <c r="B146" s="15" t="s">
        <v>566</v>
      </c>
      <c r="C146" s="15" t="s">
        <v>342</v>
      </c>
      <c r="D146" s="15" t="s">
        <v>353</v>
      </c>
      <c r="E146" s="15" t="s">
        <v>325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>
      <c r="A147" s="15" t="s">
        <v>157</v>
      </c>
      <c r="B147" s="15" t="s">
        <v>566</v>
      </c>
      <c r="C147" s="15" t="s">
        <v>342</v>
      </c>
      <c r="D147" s="15" t="s">
        <v>353</v>
      </c>
      <c r="E147" s="15" t="s">
        <v>325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>
      <c r="A148" s="15" t="s">
        <v>20</v>
      </c>
      <c r="B148" s="15" t="s">
        <v>566</v>
      </c>
      <c r="C148" s="15" t="s">
        <v>342</v>
      </c>
      <c r="D148" s="15" t="s">
        <v>353</v>
      </c>
      <c r="E148" s="15" t="s">
        <v>325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>
      <c r="A149" s="15" t="s">
        <v>97</v>
      </c>
      <c r="B149" s="15" t="s">
        <v>566</v>
      </c>
      <c r="C149" s="15" t="s">
        <v>342</v>
      </c>
      <c r="D149" s="15" t="s">
        <v>353</v>
      </c>
      <c r="E149" s="15" t="s">
        <v>325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>
      <c r="A150" s="15" t="s">
        <v>341</v>
      </c>
      <c r="B150" s="15" t="s">
        <v>566</v>
      </c>
      <c r="C150" s="15" t="s">
        <v>342</v>
      </c>
      <c r="D150" s="15" t="s">
        <v>353</v>
      </c>
      <c r="E150" s="15" t="s">
        <v>325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>
      <c r="A151" s="15" t="s">
        <v>54</v>
      </c>
      <c r="B151" s="15" t="s">
        <v>566</v>
      </c>
      <c r="C151" s="15" t="s">
        <v>342</v>
      </c>
      <c r="D151" s="15" t="s">
        <v>353</v>
      </c>
      <c r="E151" s="15" t="s">
        <v>325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>
      <c r="A152" s="15" t="s">
        <v>23</v>
      </c>
      <c r="B152" s="15" t="s">
        <v>566</v>
      </c>
      <c r="C152" s="15" t="s">
        <v>342</v>
      </c>
      <c r="D152" s="15" t="s">
        <v>353</v>
      </c>
      <c r="E152" s="15" t="s">
        <v>327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>
      <c r="A153" s="15" t="s">
        <v>24</v>
      </c>
      <c r="B153" s="15" t="s">
        <v>566</v>
      </c>
      <c r="C153" s="15" t="s">
        <v>342</v>
      </c>
      <c r="D153" s="15" t="s">
        <v>353</v>
      </c>
      <c r="E153" s="15" t="s">
        <v>327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>
      <c r="A154" s="15" t="s">
        <v>22</v>
      </c>
      <c r="B154" s="15" t="s">
        <v>566</v>
      </c>
      <c r="C154" s="15" t="s">
        <v>342</v>
      </c>
      <c r="D154" s="15" t="s">
        <v>353</v>
      </c>
      <c r="E154" s="15" t="s">
        <v>327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>
      <c r="A155" s="15" t="s">
        <v>350</v>
      </c>
      <c r="B155" s="15" t="s">
        <v>566</v>
      </c>
      <c r="C155" s="15" t="s">
        <v>342</v>
      </c>
      <c r="D155" s="15" t="s">
        <v>353</v>
      </c>
      <c r="E155" s="15" t="s">
        <v>327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>
      <c r="A156" s="15" t="s">
        <v>7</v>
      </c>
      <c r="B156" s="15" t="s">
        <v>566</v>
      </c>
      <c r="C156" s="15" t="s">
        <v>342</v>
      </c>
      <c r="D156" s="15" t="s">
        <v>353</v>
      </c>
      <c r="E156" s="15" t="s">
        <v>327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>
      <c r="A157" s="15" t="s">
        <v>338</v>
      </c>
      <c r="B157" s="15" t="s">
        <v>566</v>
      </c>
      <c r="C157" s="15" t="s">
        <v>342</v>
      </c>
      <c r="D157" s="15" t="s">
        <v>353</v>
      </c>
      <c r="E157" s="15" t="s">
        <v>327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>
      <c r="A158" s="15" t="s">
        <v>351</v>
      </c>
      <c r="B158" s="15" t="s">
        <v>566</v>
      </c>
      <c r="C158" s="15" t="s">
        <v>342</v>
      </c>
      <c r="D158" s="15" t="s">
        <v>353</v>
      </c>
      <c r="E158" s="15" t="s">
        <v>327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>
      <c r="A159" s="15" t="s">
        <v>58</v>
      </c>
      <c r="B159" s="15" t="s">
        <v>566</v>
      </c>
      <c r="C159" s="15" t="s">
        <v>342</v>
      </c>
      <c r="D159" s="15" t="s">
        <v>353</v>
      </c>
      <c r="E159" s="15" t="s">
        <v>327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>
      <c r="A160" s="15" t="s">
        <v>54</v>
      </c>
      <c r="B160" s="15" t="s">
        <v>566</v>
      </c>
      <c r="C160" s="15" t="s">
        <v>342</v>
      </c>
      <c r="D160" s="15" t="s">
        <v>353</v>
      </c>
      <c r="E160" s="15" t="s">
        <v>327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>
      <c r="A161" s="15" t="s">
        <v>350</v>
      </c>
      <c r="B161" s="15" t="s">
        <v>566</v>
      </c>
      <c r="C161" s="15" t="s">
        <v>323</v>
      </c>
      <c r="D161" s="15" t="s">
        <v>324</v>
      </c>
      <c r="E161" s="15" t="s">
        <v>356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>
      <c r="A162" s="15" t="s">
        <v>38</v>
      </c>
      <c r="B162" s="15" t="s">
        <v>566</v>
      </c>
      <c r="C162" s="15" t="s">
        <v>323</v>
      </c>
      <c r="D162" s="15" t="s">
        <v>324</v>
      </c>
      <c r="E162" s="15" t="s">
        <v>356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>
      <c r="A163" s="15" t="s">
        <v>351</v>
      </c>
      <c r="B163" s="15" t="s">
        <v>566</v>
      </c>
      <c r="C163" s="15" t="s">
        <v>323</v>
      </c>
      <c r="D163" s="15" t="s">
        <v>324</v>
      </c>
      <c r="E163" s="15" t="s">
        <v>356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>
      <c r="A164" s="15" t="s">
        <v>358</v>
      </c>
      <c r="B164" s="15" t="s">
        <v>566</v>
      </c>
      <c r="C164" s="15" t="s">
        <v>323</v>
      </c>
      <c r="D164" s="15" t="s">
        <v>324</v>
      </c>
      <c r="E164" s="15" t="s">
        <v>330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>
      <c r="A165" s="15" t="s">
        <v>24</v>
      </c>
      <c r="B165" s="15" t="s">
        <v>566</v>
      </c>
      <c r="C165" s="15" t="s">
        <v>323</v>
      </c>
      <c r="D165" s="15" t="s">
        <v>324</v>
      </c>
      <c r="E165" s="15" t="s">
        <v>330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>
      <c r="A166" s="15" t="s">
        <v>153</v>
      </c>
      <c r="B166" s="15" t="s">
        <v>566</v>
      </c>
      <c r="C166" s="15" t="s">
        <v>323</v>
      </c>
      <c r="D166" s="15" t="s">
        <v>324</v>
      </c>
      <c r="E166" s="15" t="s">
        <v>330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>
      <c r="A167" s="15" t="s">
        <v>7</v>
      </c>
      <c r="B167" s="15" t="s">
        <v>566</v>
      </c>
      <c r="C167" s="15" t="s">
        <v>323</v>
      </c>
      <c r="D167" s="15" t="s">
        <v>324</v>
      </c>
      <c r="E167" s="15" t="s">
        <v>330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>
      <c r="A168" s="15" t="s">
        <v>338</v>
      </c>
      <c r="B168" s="15" t="s">
        <v>566</v>
      </c>
      <c r="C168" s="15" t="s">
        <v>323</v>
      </c>
      <c r="D168" s="15" t="s">
        <v>324</v>
      </c>
      <c r="E168" s="15" t="s">
        <v>330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>
      <c r="A169" s="15" t="s">
        <v>131</v>
      </c>
      <c r="B169" s="15" t="s">
        <v>566</v>
      </c>
      <c r="C169" s="15" t="s">
        <v>323</v>
      </c>
      <c r="D169" s="15" t="s">
        <v>324</v>
      </c>
      <c r="E169" s="15" t="s">
        <v>330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>
      <c r="A170" s="15" t="s">
        <v>106</v>
      </c>
      <c r="B170" s="15" t="s">
        <v>566</v>
      </c>
      <c r="C170" s="15" t="s">
        <v>323</v>
      </c>
      <c r="D170" s="15" t="s">
        <v>324</v>
      </c>
      <c r="E170" s="15" t="s">
        <v>330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>
      <c r="A171" s="15" t="s">
        <v>109</v>
      </c>
      <c r="B171" s="15" t="s">
        <v>566</v>
      </c>
      <c r="C171" s="15" t="s">
        <v>323</v>
      </c>
      <c r="D171" s="15" t="s">
        <v>324</v>
      </c>
      <c r="E171" s="15" t="s">
        <v>330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>
      <c r="A172" s="15" t="s">
        <v>159</v>
      </c>
      <c r="B172" s="15" t="s">
        <v>566</v>
      </c>
      <c r="C172" s="15" t="s">
        <v>323</v>
      </c>
      <c r="D172" s="15" t="s">
        <v>324</v>
      </c>
      <c r="E172" s="15" t="s">
        <v>330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>
      <c r="A173" s="15" t="s">
        <v>122</v>
      </c>
      <c r="B173" s="15" t="s">
        <v>566</v>
      </c>
      <c r="C173" s="15" t="s">
        <v>323</v>
      </c>
      <c r="D173" s="15" t="s">
        <v>324</v>
      </c>
      <c r="E173" s="15" t="s">
        <v>330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>
      <c r="A174" s="15" t="s">
        <v>161</v>
      </c>
      <c r="B174" s="15" t="s">
        <v>566</v>
      </c>
      <c r="C174" s="15" t="s">
        <v>323</v>
      </c>
      <c r="D174" s="15" t="s">
        <v>324</v>
      </c>
      <c r="E174" s="15" t="s">
        <v>359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>
      <c r="A175" s="15" t="s">
        <v>131</v>
      </c>
      <c r="B175" s="15" t="s">
        <v>566</v>
      </c>
      <c r="C175" s="15" t="s">
        <v>323</v>
      </c>
      <c r="D175" s="15" t="s">
        <v>324</v>
      </c>
      <c r="E175" s="15" t="s">
        <v>360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>
      <c r="A176" s="15" t="s">
        <v>24</v>
      </c>
      <c r="B176" s="15" t="s">
        <v>566</v>
      </c>
      <c r="C176" s="15" t="s">
        <v>323</v>
      </c>
      <c r="D176" s="15" t="s">
        <v>324</v>
      </c>
      <c r="E176" s="15" t="s">
        <v>325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>
      <c r="A177" s="15" t="s">
        <v>23</v>
      </c>
      <c r="B177" s="15" t="s">
        <v>566</v>
      </c>
      <c r="C177" s="15" t="s">
        <v>323</v>
      </c>
      <c r="D177" s="15" t="s">
        <v>324</v>
      </c>
      <c r="E177" s="15" t="s">
        <v>325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>
      <c r="A178" s="15" t="s">
        <v>97</v>
      </c>
      <c r="B178" s="15" t="s">
        <v>566</v>
      </c>
      <c r="C178" s="15" t="s">
        <v>323</v>
      </c>
      <c r="D178" s="15" t="s">
        <v>324</v>
      </c>
      <c r="E178" s="15" t="s">
        <v>325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>
      <c r="A179" s="15" t="s">
        <v>7</v>
      </c>
      <c r="B179" s="15" t="s">
        <v>566</v>
      </c>
      <c r="C179" s="15" t="s">
        <v>323</v>
      </c>
      <c r="D179" s="15" t="s">
        <v>324</v>
      </c>
      <c r="E179" s="15" t="s">
        <v>327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>
      <c r="A180" s="15" t="s">
        <v>338</v>
      </c>
      <c r="B180" s="15" t="s">
        <v>566</v>
      </c>
      <c r="C180" s="15" t="s">
        <v>323</v>
      </c>
      <c r="D180" s="15" t="s">
        <v>324</v>
      </c>
      <c r="E180" s="15" t="s">
        <v>327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>
      <c r="A181" s="15" t="s">
        <v>153</v>
      </c>
      <c r="B181" s="15" t="s">
        <v>566</v>
      </c>
      <c r="C181" s="15" t="s">
        <v>323</v>
      </c>
      <c r="D181" s="15" t="s">
        <v>324</v>
      </c>
      <c r="E181" s="15" t="s">
        <v>361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>
      <c r="A182" s="15" t="s">
        <v>178</v>
      </c>
      <c r="B182" s="15" t="s">
        <v>566</v>
      </c>
      <c r="C182" s="15" t="s">
        <v>323</v>
      </c>
      <c r="D182" s="15" t="s">
        <v>324</v>
      </c>
      <c r="E182" s="15" t="s">
        <v>361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>
      <c r="A183" s="15" t="s">
        <v>161</v>
      </c>
      <c r="B183" s="15" t="s">
        <v>566</v>
      </c>
      <c r="C183" s="15" t="s">
        <v>323</v>
      </c>
      <c r="D183" s="15" t="s">
        <v>324</v>
      </c>
      <c r="E183" s="15" t="s">
        <v>361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>
      <c r="A184" s="15" t="s">
        <v>159</v>
      </c>
      <c r="B184" s="15" t="s">
        <v>566</v>
      </c>
      <c r="C184" s="15" t="s">
        <v>323</v>
      </c>
      <c r="D184" s="15" t="s">
        <v>324</v>
      </c>
      <c r="E184" s="15" t="s">
        <v>361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>
      <c r="A185" s="15" t="s">
        <v>165</v>
      </c>
      <c r="B185" s="15" t="s">
        <v>566</v>
      </c>
      <c r="C185" s="15" t="s">
        <v>323</v>
      </c>
      <c r="D185" s="15" t="s">
        <v>324</v>
      </c>
      <c r="E185" s="15" t="s">
        <v>361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>
      <c r="A186" s="15" t="s">
        <v>131</v>
      </c>
      <c r="B186" s="15" t="s">
        <v>566</v>
      </c>
      <c r="C186" s="15" t="s">
        <v>323</v>
      </c>
      <c r="D186" s="15" t="s">
        <v>324</v>
      </c>
      <c r="E186" s="15" t="s">
        <v>362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>
      <c r="A187" s="15" t="s">
        <v>106</v>
      </c>
      <c r="B187" s="15" t="s">
        <v>566</v>
      </c>
      <c r="C187" s="15" t="s">
        <v>323</v>
      </c>
      <c r="D187" s="15" t="s">
        <v>324</v>
      </c>
      <c r="E187" s="15" t="s">
        <v>363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>
      <c r="A188" s="15" t="s">
        <v>107</v>
      </c>
      <c r="B188" s="15" t="s">
        <v>566</v>
      </c>
      <c r="C188" s="15" t="s">
        <v>323</v>
      </c>
      <c r="D188" s="15" t="s">
        <v>324</v>
      </c>
      <c r="E188" s="15" t="s">
        <v>363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>
      <c r="A189" s="15" t="s">
        <v>109</v>
      </c>
      <c r="B189" s="15" t="s">
        <v>566</v>
      </c>
      <c r="C189" s="15" t="s">
        <v>323</v>
      </c>
      <c r="D189" s="15" t="s">
        <v>324</v>
      </c>
      <c r="E189" s="15" t="s">
        <v>364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>
      <c r="A190" s="15" t="s">
        <v>122</v>
      </c>
      <c r="B190" s="15" t="s">
        <v>566</v>
      </c>
      <c r="C190" s="15" t="s">
        <v>323</v>
      </c>
      <c r="D190" s="15" t="s">
        <v>324</v>
      </c>
      <c r="E190" s="15" t="s">
        <v>365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>
      <c r="A191" s="15" t="s">
        <v>346</v>
      </c>
      <c r="B191" s="15" t="s">
        <v>566</v>
      </c>
      <c r="C191" s="15" t="s">
        <v>342</v>
      </c>
      <c r="D191" s="15" t="s">
        <v>343</v>
      </c>
      <c r="E191" s="15" t="s">
        <v>330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>
      <c r="A192" s="15" t="s">
        <v>7</v>
      </c>
      <c r="B192" s="15" t="s">
        <v>566</v>
      </c>
      <c r="C192" s="15" t="s">
        <v>342</v>
      </c>
      <c r="D192" s="15" t="s">
        <v>343</v>
      </c>
      <c r="E192" s="15" t="s">
        <v>330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>
      <c r="A193" s="15" t="s">
        <v>338</v>
      </c>
      <c r="B193" s="15" t="s">
        <v>566</v>
      </c>
      <c r="C193" s="15" t="s">
        <v>342</v>
      </c>
      <c r="D193" s="15" t="s">
        <v>343</v>
      </c>
      <c r="E193" s="15" t="s">
        <v>330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>
      <c r="A194" s="15" t="s">
        <v>109</v>
      </c>
      <c r="B194" s="15" t="s">
        <v>566</v>
      </c>
      <c r="C194" s="15" t="s">
        <v>342</v>
      </c>
      <c r="D194" s="15" t="s">
        <v>343</v>
      </c>
      <c r="E194" s="15" t="s">
        <v>330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>
      <c r="A195" s="15" t="s">
        <v>351</v>
      </c>
      <c r="B195" s="15" t="s">
        <v>566</v>
      </c>
      <c r="C195" s="15" t="s">
        <v>342</v>
      </c>
      <c r="D195" s="15" t="s">
        <v>343</v>
      </c>
      <c r="E195" s="15" t="s">
        <v>330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>
      <c r="A196" s="15" t="s">
        <v>24</v>
      </c>
      <c r="B196" s="15" t="s">
        <v>566</v>
      </c>
      <c r="C196" s="15" t="s">
        <v>367</v>
      </c>
      <c r="D196" s="15" t="s">
        <v>368</v>
      </c>
      <c r="E196" s="15"/>
      <c r="F196" s="15"/>
      <c r="G196" s="15"/>
      <c r="H196" s="15" t="s">
        <v>347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>
      <c r="A197" s="15" t="s">
        <v>22</v>
      </c>
      <c r="B197" s="15" t="s">
        <v>566</v>
      </c>
      <c r="C197" s="15" t="s">
        <v>369</v>
      </c>
      <c r="D197" s="15" t="s">
        <v>370</v>
      </c>
      <c r="E197" s="15"/>
      <c r="F197" s="15"/>
      <c r="G197" s="15"/>
      <c r="H197" s="15" t="s">
        <v>348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>
      <c r="A198" s="15" t="s">
        <v>27</v>
      </c>
      <c r="B198" s="15" t="s">
        <v>566</v>
      </c>
      <c r="C198" s="15" t="s">
        <v>367</v>
      </c>
      <c r="D198" s="15" t="s">
        <v>368</v>
      </c>
      <c r="E198" s="15"/>
      <c r="F198" s="15"/>
      <c r="G198" s="15"/>
      <c r="H198" s="15" t="s">
        <v>347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>
      <c r="A199" s="15" t="s">
        <v>355</v>
      </c>
      <c r="B199" s="15" t="s">
        <v>566</v>
      </c>
      <c r="C199" s="15" t="s">
        <v>367</v>
      </c>
      <c r="D199" s="15" t="s">
        <v>371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>
      <c r="A200" s="15" t="s">
        <v>29</v>
      </c>
      <c r="B200" s="15" t="s">
        <v>566</v>
      </c>
      <c r="C200" s="15" t="s">
        <v>367</v>
      </c>
      <c r="D200" s="15" t="s">
        <v>368</v>
      </c>
      <c r="E200" s="15"/>
      <c r="F200" s="15"/>
      <c r="G200" s="15"/>
      <c r="H200" s="15" t="s">
        <v>373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>
      <c r="A201" s="15" t="s">
        <v>7</v>
      </c>
      <c r="B201" s="15" t="s">
        <v>566</v>
      </c>
      <c r="C201" s="15" t="s">
        <v>367</v>
      </c>
      <c r="D201" s="15" t="s">
        <v>374</v>
      </c>
      <c r="E201" s="15"/>
      <c r="F201" s="15"/>
      <c r="G201" s="15"/>
      <c r="H201" s="15" t="s">
        <v>347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>
      <c r="A202" s="15" t="s">
        <v>7</v>
      </c>
      <c r="B202" s="15" t="s">
        <v>566</v>
      </c>
      <c r="C202" s="15" t="s">
        <v>367</v>
      </c>
      <c r="D202" s="15" t="s">
        <v>375</v>
      </c>
      <c r="E202" s="15"/>
      <c r="F202" s="15"/>
      <c r="G202" s="15"/>
      <c r="H202" s="15" t="s">
        <v>347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>
      <c r="A203" s="15" t="s">
        <v>7</v>
      </c>
      <c r="B203" s="15" t="s">
        <v>566</v>
      </c>
      <c r="C203" s="15" t="s">
        <v>367</v>
      </c>
      <c r="D203" s="15" t="s">
        <v>376</v>
      </c>
      <c r="E203" s="15"/>
      <c r="F203" s="15"/>
      <c r="G203" s="15"/>
      <c r="H203" s="15" t="s">
        <v>347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>
      <c r="A204" s="15" t="s">
        <v>7</v>
      </c>
      <c r="B204" s="15" t="s">
        <v>566</v>
      </c>
      <c r="C204" s="15" t="s">
        <v>369</v>
      </c>
      <c r="D204" s="15" t="s">
        <v>377</v>
      </c>
      <c r="E204" s="15"/>
      <c r="F204" s="15"/>
      <c r="G204" s="15"/>
      <c r="H204" s="15" t="s">
        <v>348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>
      <c r="A205" s="15" t="s">
        <v>7</v>
      </c>
      <c r="B205" s="15" t="s">
        <v>566</v>
      </c>
      <c r="C205" s="15" t="s">
        <v>369</v>
      </c>
      <c r="D205" s="15" t="s">
        <v>378</v>
      </c>
      <c r="E205" s="15"/>
      <c r="F205" s="15"/>
      <c r="G205" s="15"/>
      <c r="H205" s="15" t="s">
        <v>348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>
      <c r="A206" s="15" t="s">
        <v>338</v>
      </c>
      <c r="B206" s="15" t="s">
        <v>566</v>
      </c>
      <c r="C206" s="15" t="s">
        <v>367</v>
      </c>
      <c r="D206" s="15" t="s">
        <v>374</v>
      </c>
      <c r="E206" s="15"/>
      <c r="F206" s="15"/>
      <c r="G206" s="15"/>
      <c r="H206" s="15" t="s">
        <v>347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>
      <c r="A207" s="15" t="s">
        <v>338</v>
      </c>
      <c r="B207" s="15" t="s">
        <v>566</v>
      </c>
      <c r="C207" s="15" t="s">
        <v>367</v>
      </c>
      <c r="D207" s="15" t="s">
        <v>375</v>
      </c>
      <c r="E207" s="15"/>
      <c r="F207" s="15"/>
      <c r="G207" s="15"/>
      <c r="H207" s="15" t="s">
        <v>347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>
      <c r="A208" s="15" t="s">
        <v>338</v>
      </c>
      <c r="B208" s="15" t="s">
        <v>566</v>
      </c>
      <c r="C208" s="15" t="s">
        <v>367</v>
      </c>
      <c r="D208" s="15" t="s">
        <v>376</v>
      </c>
      <c r="E208" s="15"/>
      <c r="F208" s="15"/>
      <c r="G208" s="15"/>
      <c r="H208" s="15" t="s">
        <v>347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>
      <c r="A209" s="15" t="s">
        <v>338</v>
      </c>
      <c r="B209" s="15" t="s">
        <v>566</v>
      </c>
      <c r="C209" s="15" t="s">
        <v>369</v>
      </c>
      <c r="D209" s="15" t="s">
        <v>377</v>
      </c>
      <c r="E209" s="15"/>
      <c r="F209" s="15"/>
      <c r="G209" s="15"/>
      <c r="H209" s="15" t="s">
        <v>348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>
      <c r="A210" s="15" t="s">
        <v>338</v>
      </c>
      <c r="B210" s="15" t="s">
        <v>566</v>
      </c>
      <c r="C210" s="15" t="s">
        <v>369</v>
      </c>
      <c r="D210" s="15" t="s">
        <v>378</v>
      </c>
      <c r="E210" s="15"/>
      <c r="F210" s="15"/>
      <c r="G210" s="15"/>
      <c r="H210" s="15" t="s">
        <v>348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>
      <c r="A211" s="15" t="s">
        <v>23</v>
      </c>
      <c r="B211" s="15" t="s">
        <v>566</v>
      </c>
      <c r="C211" s="15" t="s">
        <v>367</v>
      </c>
      <c r="D211" s="15" t="s">
        <v>368</v>
      </c>
      <c r="E211" s="15"/>
      <c r="F211" s="15"/>
      <c r="G211" s="15"/>
      <c r="H211" s="15" t="s">
        <v>347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>
      <c r="A212" s="15" t="s">
        <v>23</v>
      </c>
      <c r="B212" s="15" t="s">
        <v>566</v>
      </c>
      <c r="C212" s="15" t="s">
        <v>367</v>
      </c>
      <c r="D212" s="15" t="s">
        <v>371</v>
      </c>
      <c r="E212" s="15"/>
      <c r="F212" s="15"/>
      <c r="G212" s="15"/>
      <c r="H212" s="15" t="s">
        <v>347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>
      <c r="A213" s="15" t="s">
        <v>20</v>
      </c>
      <c r="B213" s="15" t="s">
        <v>566</v>
      </c>
      <c r="C213" s="15" t="s">
        <v>369</v>
      </c>
      <c r="D213" s="15" t="s">
        <v>370</v>
      </c>
      <c r="E213" s="15"/>
      <c r="F213" s="15"/>
      <c r="G213" s="15"/>
      <c r="H213" s="15" t="s">
        <v>348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>
      <c r="A214" s="15" t="s">
        <v>19</v>
      </c>
      <c r="B214" s="15" t="s">
        <v>566</v>
      </c>
      <c r="C214" s="15" t="s">
        <v>369</v>
      </c>
      <c r="D214" s="15" t="s">
        <v>370</v>
      </c>
      <c r="E214" s="15"/>
      <c r="F214" s="15"/>
      <c r="G214" s="15"/>
      <c r="H214" s="15" t="s">
        <v>348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>
      <c r="A215" s="15" t="s">
        <v>341</v>
      </c>
      <c r="B215" s="15" t="s">
        <v>566</v>
      </c>
      <c r="C215" s="15" t="s">
        <v>367</v>
      </c>
      <c r="D215" s="15" t="s">
        <v>371</v>
      </c>
      <c r="E215" s="15"/>
      <c r="F215" s="15"/>
      <c r="G215" s="15"/>
      <c r="H215" s="15" t="s">
        <v>347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>
      <c r="A216" s="15" t="s">
        <v>338</v>
      </c>
      <c r="B216" s="15" t="s">
        <v>566</v>
      </c>
      <c r="C216" s="15" t="s">
        <v>342</v>
      </c>
      <c r="D216" s="15" t="s">
        <v>379</v>
      </c>
      <c r="E216" s="15"/>
      <c r="F216" s="15"/>
      <c r="G216" s="15"/>
      <c r="H216" s="15" t="s">
        <v>380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>
      <c r="A217" s="15" t="s">
        <v>24</v>
      </c>
      <c r="B217" s="15" t="s">
        <v>566</v>
      </c>
      <c r="C217" s="15" t="s">
        <v>342</v>
      </c>
      <c r="D217" s="15" t="s">
        <v>379</v>
      </c>
      <c r="E217" s="15"/>
      <c r="F217" s="15"/>
      <c r="G217" s="15"/>
      <c r="H217" s="15" t="s">
        <v>382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>
      <c r="A218" s="15" t="s">
        <v>22</v>
      </c>
      <c r="B218" s="15" t="s">
        <v>566</v>
      </c>
      <c r="C218" s="15" t="s">
        <v>342</v>
      </c>
      <c r="D218" s="15" t="s">
        <v>379</v>
      </c>
      <c r="E218" s="15"/>
      <c r="F218" s="15"/>
      <c r="G218" s="15"/>
      <c r="H218" s="15" t="s">
        <v>348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>
      <c r="A219" s="15" t="s">
        <v>350</v>
      </c>
      <c r="B219" s="15" t="s">
        <v>566</v>
      </c>
      <c r="C219" s="15" t="s">
        <v>342</v>
      </c>
      <c r="D219" s="15" t="s">
        <v>379</v>
      </c>
      <c r="E219" s="15"/>
      <c r="F219" s="15"/>
      <c r="G219" s="15"/>
      <c r="H219" s="15" t="s">
        <v>382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>
      <c r="A220" s="15" t="s">
        <v>7</v>
      </c>
      <c r="B220" s="15" t="s">
        <v>566</v>
      </c>
      <c r="C220" s="15" t="s">
        <v>342</v>
      </c>
      <c r="D220" s="15" t="s">
        <v>379</v>
      </c>
      <c r="E220" s="15"/>
      <c r="F220" s="15"/>
      <c r="G220" s="15">
        <v>1</v>
      </c>
      <c r="H220" s="15" t="s">
        <v>380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>
      <c r="A221" s="15" t="s">
        <v>338</v>
      </c>
      <c r="B221" s="15" t="s">
        <v>566</v>
      </c>
      <c r="C221" s="15" t="s">
        <v>342</v>
      </c>
      <c r="D221" s="15" t="s">
        <v>379</v>
      </c>
      <c r="E221" s="15"/>
      <c r="F221" s="15"/>
      <c r="G221" s="15"/>
      <c r="H221" s="15" t="s">
        <v>380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>
      <c r="A222" s="15" t="s">
        <v>39</v>
      </c>
      <c r="B222" s="15" t="s">
        <v>566</v>
      </c>
      <c r="C222" s="15" t="s">
        <v>342</v>
      </c>
      <c r="D222" s="15" t="s">
        <v>379</v>
      </c>
      <c r="E222" s="15"/>
      <c r="F222" s="15"/>
      <c r="G222" s="15"/>
      <c r="H222" s="15" t="s">
        <v>382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>
      <c r="A223" s="15" t="s">
        <v>351</v>
      </c>
      <c r="B223" s="15" t="s">
        <v>566</v>
      </c>
      <c r="C223" s="15" t="s">
        <v>342</v>
      </c>
      <c r="D223" s="15" t="s">
        <v>379</v>
      </c>
      <c r="E223" s="15"/>
      <c r="F223" s="15"/>
      <c r="G223" s="15"/>
      <c r="H223" s="15" t="s">
        <v>382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>
      <c r="A224" s="15" t="s">
        <v>122</v>
      </c>
      <c r="B224" s="15" t="s">
        <v>566</v>
      </c>
      <c r="C224" s="15" t="s">
        <v>342</v>
      </c>
      <c r="D224" s="15" t="s">
        <v>379</v>
      </c>
      <c r="E224" s="15"/>
      <c r="F224" s="15"/>
      <c r="G224" s="15"/>
      <c r="H224" s="15" t="s">
        <v>348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>
      <c r="A225" s="15" t="s">
        <v>97</v>
      </c>
      <c r="B225" s="15" t="s">
        <v>566</v>
      </c>
      <c r="C225" s="15" t="s">
        <v>342</v>
      </c>
      <c r="D225" s="15" t="s">
        <v>379</v>
      </c>
      <c r="E225" s="15"/>
      <c r="F225" s="15"/>
      <c r="G225" s="15"/>
      <c r="H225" s="15" t="s">
        <v>348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>
      <c r="A226" s="15" t="s">
        <v>58</v>
      </c>
      <c r="B226" s="15" t="s">
        <v>566</v>
      </c>
      <c r="C226" s="15" t="s">
        <v>342</v>
      </c>
      <c r="D226" s="15" t="s">
        <v>379</v>
      </c>
      <c r="E226" s="15"/>
      <c r="F226" s="15"/>
      <c r="G226" s="15"/>
      <c r="H226" s="15" t="s">
        <v>382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>
      <c r="A227" s="15" t="s">
        <v>19</v>
      </c>
      <c r="B227" s="15" t="s">
        <v>566</v>
      </c>
      <c r="C227" s="15" t="s">
        <v>342</v>
      </c>
      <c r="D227" s="15" t="s">
        <v>379</v>
      </c>
      <c r="E227" s="15"/>
      <c r="F227" s="15"/>
      <c r="G227" s="15"/>
      <c r="H227" s="15" t="s">
        <v>348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>
      <c r="A228" s="15" t="s">
        <v>54</v>
      </c>
      <c r="B228" s="15" t="s">
        <v>566</v>
      </c>
      <c r="C228" s="15" t="s">
        <v>342</v>
      </c>
      <c r="D228" s="15" t="s">
        <v>379</v>
      </c>
      <c r="E228" s="15"/>
      <c r="F228" s="15"/>
      <c r="G228" s="15"/>
      <c r="H228" s="15" t="s">
        <v>382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>
      <c r="A229" s="15" t="s">
        <v>7</v>
      </c>
      <c r="B229" s="15" t="s">
        <v>566</v>
      </c>
      <c r="C229" s="15" t="s">
        <v>328</v>
      </c>
      <c r="D229" s="15" t="s">
        <v>329</v>
      </c>
      <c r="E229" s="15"/>
      <c r="F229" s="15"/>
      <c r="G229" s="15">
        <v>1</v>
      </c>
      <c r="H229" s="15" t="s">
        <v>384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>
      <c r="A230" s="15" t="s">
        <v>385</v>
      </c>
      <c r="B230" s="15" t="s">
        <v>566</v>
      </c>
      <c r="C230" s="15" t="s">
        <v>323</v>
      </c>
      <c r="D230" s="15" t="s">
        <v>331</v>
      </c>
      <c r="E230" s="15" t="s">
        <v>325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>
      <c r="A231" s="15" t="s">
        <v>23</v>
      </c>
      <c r="B231" s="15" t="s">
        <v>566</v>
      </c>
      <c r="C231" s="15" t="s">
        <v>323</v>
      </c>
      <c r="D231" s="15" t="s">
        <v>336</v>
      </c>
      <c r="E231" s="15" t="s">
        <v>327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>
      <c r="A232" s="15" t="s">
        <v>338</v>
      </c>
      <c r="B232" s="15" t="s">
        <v>566</v>
      </c>
      <c r="C232" s="15" t="s">
        <v>369</v>
      </c>
      <c r="D232" s="15" t="s">
        <v>386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>
      <c r="A233" s="15" t="s">
        <v>388</v>
      </c>
      <c r="B233" s="15" t="s">
        <v>566</v>
      </c>
      <c r="C233" s="15" t="s">
        <v>323</v>
      </c>
      <c r="D233" s="15" t="s">
        <v>331</v>
      </c>
      <c r="E233" s="15" t="s">
        <v>325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>
      <c r="A234" s="15" t="s">
        <v>358</v>
      </c>
      <c r="B234" s="15" t="s">
        <v>566</v>
      </c>
      <c r="C234" s="15" t="s">
        <v>323</v>
      </c>
      <c r="D234" s="15" t="s">
        <v>331</v>
      </c>
      <c r="E234" s="15" t="s">
        <v>325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>
      <c r="A235" s="15" t="s">
        <v>24</v>
      </c>
      <c r="B235" s="15" t="s">
        <v>566</v>
      </c>
      <c r="C235" s="15" t="s">
        <v>323</v>
      </c>
      <c r="D235" s="15" t="s">
        <v>331</v>
      </c>
      <c r="E235" s="15" t="s">
        <v>325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>
      <c r="A236" s="15" t="s">
        <v>59</v>
      </c>
      <c r="B236" s="15" t="s">
        <v>566</v>
      </c>
      <c r="C236" s="15" t="s">
        <v>323</v>
      </c>
      <c r="D236" s="15" t="s">
        <v>331</v>
      </c>
      <c r="E236" s="15" t="s">
        <v>325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>
      <c r="A237" s="15" t="s">
        <v>94</v>
      </c>
      <c r="B237" s="15" t="s">
        <v>566</v>
      </c>
      <c r="C237" s="15" t="s">
        <v>323</v>
      </c>
      <c r="D237" s="15" t="s">
        <v>331</v>
      </c>
      <c r="E237" s="15" t="s">
        <v>325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>
      <c r="A238" s="15" t="s">
        <v>22</v>
      </c>
      <c r="B238" s="15" t="s">
        <v>566</v>
      </c>
      <c r="C238" s="15" t="s">
        <v>323</v>
      </c>
      <c r="D238" s="15" t="s">
        <v>331</v>
      </c>
      <c r="E238" s="15" t="s">
        <v>325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>
      <c r="A239" s="15" t="s">
        <v>22</v>
      </c>
      <c r="B239" s="15" t="s">
        <v>566</v>
      </c>
      <c r="C239" s="15" t="s">
        <v>323</v>
      </c>
      <c r="D239" s="15" t="s">
        <v>331</v>
      </c>
      <c r="E239" s="15" t="s">
        <v>327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>
      <c r="A240" s="15" t="s">
        <v>27</v>
      </c>
      <c r="B240" s="15" t="s">
        <v>566</v>
      </c>
      <c r="C240" s="15" t="s">
        <v>323</v>
      </c>
      <c r="D240" s="15" t="s">
        <v>331</v>
      </c>
      <c r="E240" s="15" t="s">
        <v>325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>
      <c r="A241" s="15" t="s">
        <v>57</v>
      </c>
      <c r="B241" s="15" t="s">
        <v>566</v>
      </c>
      <c r="C241" s="15" t="s">
        <v>323</v>
      </c>
      <c r="D241" s="15" t="s">
        <v>331</v>
      </c>
      <c r="E241" s="15" t="s">
        <v>325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>
      <c r="A242" s="15" t="s">
        <v>355</v>
      </c>
      <c r="B242" s="15" t="s">
        <v>566</v>
      </c>
      <c r="C242" s="15" t="s">
        <v>323</v>
      </c>
      <c r="D242" s="15" t="s">
        <v>331</v>
      </c>
      <c r="E242" s="15" t="s">
        <v>325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>
      <c r="A243" s="15" t="s">
        <v>29</v>
      </c>
      <c r="B243" s="15" t="s">
        <v>566</v>
      </c>
      <c r="C243" s="15" t="s">
        <v>323</v>
      </c>
      <c r="D243" s="15" t="s">
        <v>331</v>
      </c>
      <c r="E243" s="15" t="s">
        <v>325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>
      <c r="A244" s="15" t="s">
        <v>7</v>
      </c>
      <c r="B244" s="15" t="s">
        <v>566</v>
      </c>
      <c r="C244" s="15" t="s">
        <v>323</v>
      </c>
      <c r="D244" s="15" t="s">
        <v>331</v>
      </c>
      <c r="E244" s="15" t="s">
        <v>325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>
      <c r="A245" s="15" t="s">
        <v>7</v>
      </c>
      <c r="B245" s="15" t="s">
        <v>566</v>
      </c>
      <c r="C245" s="15" t="s">
        <v>323</v>
      </c>
      <c r="D245" s="15" t="s">
        <v>331</v>
      </c>
      <c r="E245" s="15" t="s">
        <v>327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>
      <c r="A246" s="15" t="s">
        <v>338</v>
      </c>
      <c r="B246" s="15" t="s">
        <v>566</v>
      </c>
      <c r="C246" s="15" t="s">
        <v>323</v>
      </c>
      <c r="D246" s="15" t="s">
        <v>331</v>
      </c>
      <c r="E246" s="15" t="s">
        <v>327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>
      <c r="A247" s="15" t="s">
        <v>23</v>
      </c>
      <c r="B247" s="15" t="s">
        <v>566</v>
      </c>
      <c r="C247" s="15" t="s">
        <v>323</v>
      </c>
      <c r="D247" s="15" t="s">
        <v>331</v>
      </c>
      <c r="E247" s="15" t="s">
        <v>325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>
      <c r="A248" s="15" t="s">
        <v>157</v>
      </c>
      <c r="B248" s="15" t="s">
        <v>566</v>
      </c>
      <c r="C248" s="15" t="s">
        <v>323</v>
      </c>
      <c r="D248" s="15" t="s">
        <v>331</v>
      </c>
      <c r="E248" s="15" t="s">
        <v>325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>
      <c r="A249" s="15" t="s">
        <v>20</v>
      </c>
      <c r="B249" s="15" t="s">
        <v>566</v>
      </c>
      <c r="C249" s="15" t="s">
        <v>323</v>
      </c>
      <c r="D249" s="15" t="s">
        <v>331</v>
      </c>
      <c r="E249" s="15" t="s">
        <v>325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>
      <c r="A250" s="15" t="s">
        <v>109</v>
      </c>
      <c r="B250" s="15" t="s">
        <v>566</v>
      </c>
      <c r="C250" s="15" t="s">
        <v>323</v>
      </c>
      <c r="D250" s="15" t="s">
        <v>331</v>
      </c>
      <c r="E250" s="15" t="s">
        <v>325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>
      <c r="A251" s="15" t="s">
        <v>97</v>
      </c>
      <c r="B251" s="15" t="s">
        <v>566</v>
      </c>
      <c r="C251" s="15" t="s">
        <v>323</v>
      </c>
      <c r="D251" s="15" t="s">
        <v>331</v>
      </c>
      <c r="E251" s="15" t="s">
        <v>325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>
      <c r="A252" s="15" t="s">
        <v>58</v>
      </c>
      <c r="B252" s="15" t="s">
        <v>566</v>
      </c>
      <c r="C252" s="15" t="s">
        <v>323</v>
      </c>
      <c r="D252" s="15" t="s">
        <v>331</v>
      </c>
      <c r="E252" s="15" t="s">
        <v>327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>
      <c r="A253" s="15" t="s">
        <v>19</v>
      </c>
      <c r="B253" s="15" t="s">
        <v>566</v>
      </c>
      <c r="C253" s="15" t="s">
        <v>323</v>
      </c>
      <c r="D253" s="15" t="s">
        <v>331</v>
      </c>
      <c r="E253" s="15" t="s">
        <v>327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>
      <c r="A254" s="15" t="s">
        <v>390</v>
      </c>
      <c r="B254" s="15" t="s">
        <v>566</v>
      </c>
      <c r="C254" s="15" t="s">
        <v>323</v>
      </c>
      <c r="D254" s="15" t="s">
        <v>331</v>
      </c>
      <c r="E254" s="15" t="s">
        <v>325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>
      <c r="A255" s="15" t="s">
        <v>111</v>
      </c>
      <c r="B255" s="15" t="s">
        <v>566</v>
      </c>
      <c r="C255" s="15" t="s">
        <v>323</v>
      </c>
      <c r="D255" s="15" t="s">
        <v>331</v>
      </c>
      <c r="E255" s="15" t="s">
        <v>325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>
      <c r="A256" s="15" t="s">
        <v>341</v>
      </c>
      <c r="B256" s="15" t="s">
        <v>566</v>
      </c>
      <c r="C256" s="15" t="s">
        <v>323</v>
      </c>
      <c r="D256" s="15" t="s">
        <v>331</v>
      </c>
      <c r="E256" s="15" t="s">
        <v>325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>
      <c r="A257" s="15" t="s">
        <v>54</v>
      </c>
      <c r="B257" s="15" t="s">
        <v>566</v>
      </c>
      <c r="C257" s="15" t="s">
        <v>323</v>
      </c>
      <c r="D257" s="15" t="s">
        <v>331</v>
      </c>
      <c r="E257" s="15" t="s">
        <v>325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>
      <c r="A258" s="15" t="s">
        <v>54</v>
      </c>
      <c r="B258" s="15" t="s">
        <v>566</v>
      </c>
      <c r="C258" s="15" t="s">
        <v>323</v>
      </c>
      <c r="D258" s="15" t="s">
        <v>331</v>
      </c>
      <c r="E258" s="15" t="s">
        <v>327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>
      <c r="A259" s="15" t="s">
        <v>20</v>
      </c>
      <c r="B259" s="15" t="s">
        <v>566</v>
      </c>
      <c r="C259" s="15" t="s">
        <v>323</v>
      </c>
      <c r="D259" s="15" t="s">
        <v>324</v>
      </c>
      <c r="E259" s="15" t="s">
        <v>325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28.9">
      <c r="A260" s="15" t="s">
        <v>115</v>
      </c>
      <c r="B260" s="15" t="s">
        <v>391</v>
      </c>
      <c r="C260" s="15" t="s">
        <v>392</v>
      </c>
      <c r="D260" s="15" t="s">
        <v>393</v>
      </c>
      <c r="E260" s="15" t="s">
        <v>394</v>
      </c>
      <c r="F260" s="15">
        <v>1</v>
      </c>
      <c r="G260" s="15">
        <v>1</v>
      </c>
      <c r="H260" s="15" t="s">
        <v>348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>
      <c r="A261" s="15" t="s">
        <v>112</v>
      </c>
      <c r="B261" s="15" t="s">
        <v>391</v>
      </c>
      <c r="C261" s="15" t="s">
        <v>395</v>
      </c>
      <c r="D261" s="15" t="s">
        <v>396</v>
      </c>
      <c r="E261" s="15" t="s">
        <v>394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>
      <c r="A262" s="15" t="s">
        <v>355</v>
      </c>
      <c r="B262" s="15" t="s">
        <v>391</v>
      </c>
      <c r="C262" s="15" t="s">
        <v>395</v>
      </c>
      <c r="D262" s="15" t="s">
        <v>397</v>
      </c>
      <c r="E262" s="15" t="s">
        <v>394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>
      <c r="A263" s="15" t="s">
        <v>112</v>
      </c>
      <c r="B263" s="15" t="s">
        <v>391</v>
      </c>
      <c r="C263" s="15" t="s">
        <v>395</v>
      </c>
      <c r="D263" s="15" t="s">
        <v>398</v>
      </c>
      <c r="E263" s="15" t="s">
        <v>399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>
      <c r="A264" s="15" t="s">
        <v>124</v>
      </c>
      <c r="B264" s="15" t="s">
        <v>391</v>
      </c>
      <c r="C264" s="15" t="s">
        <v>400</v>
      </c>
      <c r="D264" s="15" t="s">
        <v>401</v>
      </c>
      <c r="E264" s="15" t="s">
        <v>402</v>
      </c>
      <c r="F264" s="15">
        <v>1</v>
      </c>
      <c r="G264" s="15">
        <v>1</v>
      </c>
      <c r="H264" s="15" t="s">
        <v>348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28.9">
      <c r="A265" s="15" t="s">
        <v>111</v>
      </c>
      <c r="B265" s="15" t="s">
        <v>391</v>
      </c>
      <c r="C265" s="15" t="s">
        <v>392</v>
      </c>
      <c r="D265" s="15" t="s">
        <v>403</v>
      </c>
      <c r="E265" s="15" t="s">
        <v>394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>
      <c r="A266" s="15" t="s">
        <v>355</v>
      </c>
      <c r="B266" s="15" t="s">
        <v>391</v>
      </c>
      <c r="C266" s="15" t="s">
        <v>404</v>
      </c>
      <c r="D266" s="15" t="s">
        <v>405</v>
      </c>
      <c r="E266" s="15"/>
      <c r="F266" s="15"/>
      <c r="G266" s="15"/>
      <c r="H266" s="15" t="s">
        <v>348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>
      <c r="A267" s="15" t="s">
        <v>97</v>
      </c>
      <c r="B267" s="15" t="s">
        <v>391</v>
      </c>
      <c r="C267" s="15" t="s">
        <v>404</v>
      </c>
      <c r="D267" s="15" t="s">
        <v>405</v>
      </c>
      <c r="E267" s="15"/>
      <c r="F267" s="15"/>
      <c r="G267" s="15"/>
      <c r="H267" s="15" t="s">
        <v>348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>
      <c r="A268" s="15" t="s">
        <v>107</v>
      </c>
      <c r="B268" s="15" t="s">
        <v>391</v>
      </c>
      <c r="C268" s="15" t="s">
        <v>406</v>
      </c>
      <c r="D268" s="15" t="s">
        <v>407</v>
      </c>
      <c r="E268" s="15"/>
      <c r="F268" s="15"/>
      <c r="G268" s="15"/>
      <c r="H268" s="15" t="s">
        <v>348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>
      <c r="A269" s="15" t="s">
        <v>122</v>
      </c>
      <c r="B269" s="15" t="s">
        <v>391</v>
      </c>
      <c r="C269" s="15" t="s">
        <v>406</v>
      </c>
      <c r="D269" s="15" t="s">
        <v>408</v>
      </c>
      <c r="E269" s="15"/>
      <c r="F269" s="15"/>
      <c r="G269" s="15"/>
      <c r="H269" s="15" t="s">
        <v>348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>
      <c r="A270" s="15" t="s">
        <v>122</v>
      </c>
      <c r="B270" s="15" t="s">
        <v>391</v>
      </c>
      <c r="C270" s="15" t="s">
        <v>406</v>
      </c>
      <c r="D270" s="15" t="s">
        <v>409</v>
      </c>
      <c r="E270" s="15"/>
      <c r="F270" s="15"/>
      <c r="G270" s="15"/>
      <c r="H270" s="15" t="s">
        <v>348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>
      <c r="A271" s="15" t="s">
        <v>106</v>
      </c>
      <c r="B271" s="15" t="s">
        <v>391</v>
      </c>
      <c r="C271" s="15" t="s">
        <v>406</v>
      </c>
      <c r="D271" s="15" t="s">
        <v>410</v>
      </c>
      <c r="E271" s="15"/>
      <c r="F271" s="15"/>
      <c r="G271" s="15"/>
      <c r="H271" s="15" t="s">
        <v>348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>
      <c r="A272" s="15" t="s">
        <v>390</v>
      </c>
      <c r="B272" s="15" t="s">
        <v>391</v>
      </c>
      <c r="C272" s="15" t="s">
        <v>406</v>
      </c>
      <c r="D272" s="15" t="s">
        <v>410</v>
      </c>
      <c r="E272" s="15"/>
      <c r="F272" s="15"/>
      <c r="G272" s="15"/>
      <c r="H272" s="15" t="s">
        <v>348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>
      <c r="A273" s="15" t="s">
        <v>109</v>
      </c>
      <c r="B273" s="15" t="s">
        <v>391</v>
      </c>
      <c r="C273" s="15" t="s">
        <v>404</v>
      </c>
      <c r="D273" s="15" t="s">
        <v>411</v>
      </c>
      <c r="E273" s="15"/>
      <c r="F273" s="15"/>
      <c r="G273" s="15"/>
      <c r="H273" s="15" t="s">
        <v>348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>
      <c r="A274" s="15" t="s">
        <v>111</v>
      </c>
      <c r="B274" s="15" t="s">
        <v>391</v>
      </c>
      <c r="C274" s="15" t="s">
        <v>404</v>
      </c>
      <c r="D274" s="15" t="s">
        <v>411</v>
      </c>
      <c r="E274" s="15"/>
      <c r="F274" s="15"/>
      <c r="G274" s="15"/>
      <c r="H274" s="15" t="s">
        <v>348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>
      <c r="A275" s="15" t="s">
        <v>358</v>
      </c>
      <c r="B275" s="15" t="s">
        <v>391</v>
      </c>
      <c r="C275" s="15" t="s">
        <v>404</v>
      </c>
      <c r="D275" s="15" t="s">
        <v>412</v>
      </c>
      <c r="E275" s="15"/>
      <c r="F275" s="15"/>
      <c r="G275" s="15"/>
      <c r="H275" s="15" t="s">
        <v>382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>
      <c r="A276" s="15" t="s">
        <v>112</v>
      </c>
      <c r="B276" s="15" t="s">
        <v>391</v>
      </c>
      <c r="C276" s="15" t="s">
        <v>404</v>
      </c>
      <c r="D276" s="15" t="s">
        <v>413</v>
      </c>
      <c r="E276" s="15" t="s">
        <v>394</v>
      </c>
      <c r="F276" s="15">
        <v>1</v>
      </c>
      <c r="G276" s="15"/>
      <c r="H276" s="15" t="s">
        <v>348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>
      <c r="A277" s="15" t="s">
        <v>358</v>
      </c>
      <c r="B277" s="15" t="s">
        <v>391</v>
      </c>
      <c r="C277" s="15" t="s">
        <v>395</v>
      </c>
      <c r="D277" s="15" t="s">
        <v>398</v>
      </c>
      <c r="E277" s="15" t="s">
        <v>399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>
      <c r="A278" s="15" t="s">
        <v>106</v>
      </c>
      <c r="B278" s="15" t="s">
        <v>391</v>
      </c>
      <c r="C278" s="15" t="s">
        <v>395</v>
      </c>
      <c r="D278" s="15" t="s">
        <v>414</v>
      </c>
      <c r="E278" s="15" t="s">
        <v>394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>
      <c r="A279" s="15" t="s">
        <v>106</v>
      </c>
      <c r="B279" s="15" t="s">
        <v>391</v>
      </c>
      <c r="C279" s="15" t="s">
        <v>400</v>
      </c>
      <c r="D279" s="15" t="s">
        <v>415</v>
      </c>
      <c r="E279" s="15" t="s">
        <v>365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>
      <c r="A280" s="15" t="s">
        <v>109</v>
      </c>
      <c r="B280" s="15" t="s">
        <v>391</v>
      </c>
      <c r="C280" s="15" t="s">
        <v>395</v>
      </c>
      <c r="D280" s="15" t="s">
        <v>396</v>
      </c>
      <c r="E280" s="15" t="s">
        <v>394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>
        <v>0</v>
      </c>
      <c r="P280" s="15">
        <v>0</v>
      </c>
      <c r="Q280" s="15">
        <v>6582960</v>
      </c>
    </row>
    <row r="281" spans="1:17">
      <c r="A281" s="15" t="s">
        <v>109</v>
      </c>
      <c r="B281" s="15" t="s">
        <v>391</v>
      </c>
      <c r="C281" s="15" t="s">
        <v>395</v>
      </c>
      <c r="D281" s="15" t="s">
        <v>398</v>
      </c>
      <c r="E281" s="15" t="s">
        <v>399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28.9">
      <c r="A282" s="15" t="s">
        <v>122</v>
      </c>
      <c r="B282" s="15" t="s">
        <v>391</v>
      </c>
      <c r="C282" s="15" t="s">
        <v>392</v>
      </c>
      <c r="D282" s="15" t="s">
        <v>416</v>
      </c>
      <c r="E282" s="15" t="s">
        <v>365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28.9">
      <c r="A283" s="15" t="s">
        <v>122</v>
      </c>
      <c r="B283" s="15" t="s">
        <v>391</v>
      </c>
      <c r="C283" s="15" t="s">
        <v>392</v>
      </c>
      <c r="D283" s="15" t="s">
        <v>417</v>
      </c>
      <c r="E283" s="15" t="s">
        <v>365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>
      <c r="A284" s="15" t="s">
        <v>122</v>
      </c>
      <c r="B284" s="15" t="s">
        <v>391</v>
      </c>
      <c r="C284" s="15" t="s">
        <v>400</v>
      </c>
      <c r="D284" s="15" t="s">
        <v>415</v>
      </c>
      <c r="E284" s="15" t="s">
        <v>365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>
      <c r="A285" s="15" t="s">
        <v>122</v>
      </c>
      <c r="B285" s="15" t="s">
        <v>391</v>
      </c>
      <c r="C285" s="15" t="s">
        <v>395</v>
      </c>
      <c r="D285" s="15" t="s">
        <v>414</v>
      </c>
      <c r="E285" s="15" t="s">
        <v>394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>
      <c r="A286" s="15" t="s">
        <v>122</v>
      </c>
      <c r="B286" s="15" t="s">
        <v>391</v>
      </c>
      <c r="C286" s="15" t="s">
        <v>400</v>
      </c>
      <c r="D286" s="15" t="s">
        <v>401</v>
      </c>
      <c r="E286" s="15" t="s">
        <v>402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>
      <c r="A287" s="15" t="s">
        <v>97</v>
      </c>
      <c r="B287" s="15" t="s">
        <v>391</v>
      </c>
      <c r="C287" s="15" t="s">
        <v>395</v>
      </c>
      <c r="D287" s="15" t="s">
        <v>414</v>
      </c>
      <c r="E287" s="15" t="s">
        <v>394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>
      <c r="A288" s="15" t="s">
        <v>97</v>
      </c>
      <c r="B288" s="15" t="s">
        <v>391</v>
      </c>
      <c r="C288" s="15" t="s">
        <v>395</v>
      </c>
      <c r="D288" s="15" t="s">
        <v>397</v>
      </c>
      <c r="E288" s="15" t="s">
        <v>394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>
      <c r="A289" s="15" t="s">
        <v>137</v>
      </c>
      <c r="B289" s="15" t="s">
        <v>391</v>
      </c>
      <c r="C289" s="15" t="s">
        <v>400</v>
      </c>
      <c r="D289" s="15" t="s">
        <v>418</v>
      </c>
      <c r="E289" s="15" t="s">
        <v>402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>
      <c r="A290" s="15" t="s">
        <v>124</v>
      </c>
      <c r="B290" s="15" t="s">
        <v>391</v>
      </c>
      <c r="C290" s="15" t="s">
        <v>400</v>
      </c>
      <c r="D290" s="15" t="s">
        <v>415</v>
      </c>
      <c r="E290" s="15" t="s">
        <v>365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28.9">
      <c r="A291" s="15" t="s">
        <v>124</v>
      </c>
      <c r="B291" s="15" t="s">
        <v>391</v>
      </c>
      <c r="C291" s="15" t="s">
        <v>392</v>
      </c>
      <c r="D291" s="15" t="s">
        <v>393</v>
      </c>
      <c r="E291" s="15" t="s">
        <v>394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>
      <c r="A292" s="15" t="s">
        <v>390</v>
      </c>
      <c r="B292" s="15" t="s">
        <v>391</v>
      </c>
      <c r="C292" s="15" t="s">
        <v>395</v>
      </c>
      <c r="D292" s="15" t="s">
        <v>414</v>
      </c>
      <c r="E292" s="15" t="s">
        <v>394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>
      <c r="A293" s="15" t="s">
        <v>390</v>
      </c>
      <c r="B293" s="15" t="s">
        <v>391</v>
      </c>
      <c r="C293" s="15" t="s">
        <v>395</v>
      </c>
      <c r="D293" s="15" t="s">
        <v>398</v>
      </c>
      <c r="E293" s="15" t="s">
        <v>399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28.9">
      <c r="A294" s="15" t="s">
        <v>352</v>
      </c>
      <c r="B294" s="15" t="s">
        <v>391</v>
      </c>
      <c r="C294" s="15" t="s">
        <v>400</v>
      </c>
      <c r="D294" s="15" t="s">
        <v>418</v>
      </c>
      <c r="E294" s="15" t="s">
        <v>402</v>
      </c>
      <c r="F294" s="15">
        <v>1</v>
      </c>
      <c r="G294" s="15">
        <v>1</v>
      </c>
      <c r="H294" s="15" t="s">
        <v>348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28.9">
      <c r="A295" s="15" t="s">
        <v>107</v>
      </c>
      <c r="B295" s="15" t="s">
        <v>391</v>
      </c>
      <c r="C295" s="15" t="s">
        <v>392</v>
      </c>
      <c r="D295" s="15" t="s">
        <v>416</v>
      </c>
      <c r="E295" s="15" t="s">
        <v>365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>
      <c r="A296" s="15" t="s">
        <v>107</v>
      </c>
      <c r="B296" s="15" t="s">
        <v>391</v>
      </c>
      <c r="C296" s="15" t="s">
        <v>395</v>
      </c>
      <c r="D296" s="15" t="s">
        <v>419</v>
      </c>
      <c r="E296" s="15" t="s">
        <v>394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>
      <c r="A297" s="15" t="s">
        <v>107</v>
      </c>
      <c r="B297" s="15" t="s">
        <v>391</v>
      </c>
      <c r="C297" s="15" t="s">
        <v>400</v>
      </c>
      <c r="D297" s="15" t="s">
        <v>415</v>
      </c>
      <c r="E297" s="15" t="s">
        <v>365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>
      <c r="A298" s="15" t="s">
        <v>107</v>
      </c>
      <c r="B298" s="15" t="s">
        <v>391</v>
      </c>
      <c r="C298" s="15" t="s">
        <v>395</v>
      </c>
      <c r="D298" s="15" t="s">
        <v>398</v>
      </c>
      <c r="E298" s="15" t="s">
        <v>399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>
      <c r="A299" s="15" t="s">
        <v>422</v>
      </c>
      <c r="B299" s="15" t="s">
        <v>391</v>
      </c>
      <c r="C299" s="15" t="s">
        <v>400</v>
      </c>
      <c r="D299" s="15" t="s">
        <v>418</v>
      </c>
      <c r="E299" s="15" t="s">
        <v>402</v>
      </c>
      <c r="F299" s="15"/>
      <c r="G299" s="15">
        <v>1</v>
      </c>
      <c r="H299" s="15" t="s">
        <v>348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28.9">
      <c r="A300" s="15" t="s">
        <v>179</v>
      </c>
      <c r="B300" s="15" t="s">
        <v>391</v>
      </c>
      <c r="C300" s="15" t="s">
        <v>392</v>
      </c>
      <c r="D300" s="15" t="s">
        <v>417</v>
      </c>
      <c r="E300" s="15" t="s">
        <v>424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28.9">
      <c r="A301" s="15" t="s">
        <v>425</v>
      </c>
      <c r="B301" s="15" t="s">
        <v>391</v>
      </c>
      <c r="C301" s="15" t="s">
        <v>392</v>
      </c>
      <c r="D301" s="15" t="s">
        <v>417</v>
      </c>
      <c r="E301" s="15" t="s">
        <v>360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28.9">
      <c r="A302" s="15" t="s">
        <v>109</v>
      </c>
      <c r="B302" s="15" t="s">
        <v>391</v>
      </c>
      <c r="C302" s="15" t="s">
        <v>392</v>
      </c>
      <c r="D302" s="15" t="s">
        <v>417</v>
      </c>
      <c r="E302" s="15" t="s">
        <v>394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28.9">
      <c r="A303" s="15" t="s">
        <v>109</v>
      </c>
      <c r="B303" s="15" t="s">
        <v>391</v>
      </c>
      <c r="C303" s="15" t="s">
        <v>392</v>
      </c>
      <c r="D303" s="15" t="s">
        <v>417</v>
      </c>
      <c r="E303" s="15" t="s">
        <v>394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28.9">
      <c r="A304" s="15" t="s">
        <v>179</v>
      </c>
      <c r="B304" s="15" t="s">
        <v>391</v>
      </c>
      <c r="C304" s="15" t="s">
        <v>392</v>
      </c>
      <c r="D304" s="15" t="s">
        <v>417</v>
      </c>
      <c r="E304" s="15" t="s">
        <v>424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28.9">
      <c r="A305" s="15" t="s">
        <v>179</v>
      </c>
      <c r="B305" s="15" t="s">
        <v>391</v>
      </c>
      <c r="C305" s="15" t="s">
        <v>392</v>
      </c>
      <c r="D305" s="15" t="s">
        <v>417</v>
      </c>
      <c r="E305" s="15" t="s">
        <v>394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28.9">
      <c r="A306" s="15" t="s">
        <v>425</v>
      </c>
      <c r="B306" s="15" t="s">
        <v>391</v>
      </c>
      <c r="C306" s="15" t="s">
        <v>392</v>
      </c>
      <c r="D306" s="15" t="s">
        <v>417</v>
      </c>
      <c r="E306" s="15" t="s">
        <v>360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28.9">
      <c r="A307" s="15" t="s">
        <v>425</v>
      </c>
      <c r="B307" s="15" t="s">
        <v>391</v>
      </c>
      <c r="C307" s="15" t="s">
        <v>392</v>
      </c>
      <c r="D307" s="15" t="s">
        <v>417</v>
      </c>
      <c r="E307" s="15" t="s">
        <v>394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28.9">
      <c r="A308" s="15" t="s">
        <v>388</v>
      </c>
      <c r="B308" s="15" t="s">
        <v>391</v>
      </c>
      <c r="C308" s="15" t="s">
        <v>392</v>
      </c>
      <c r="D308" s="15" t="s">
        <v>417</v>
      </c>
      <c r="E308" s="15" t="s">
        <v>360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28.9">
      <c r="A309" s="15" t="s">
        <v>388</v>
      </c>
      <c r="B309" s="15" t="s">
        <v>391</v>
      </c>
      <c r="C309" s="15" t="s">
        <v>392</v>
      </c>
      <c r="D309" s="15" t="s">
        <v>417</v>
      </c>
      <c r="E309" s="15" t="s">
        <v>394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28.9">
      <c r="A310" s="15" t="s">
        <v>85</v>
      </c>
      <c r="B310" s="15" t="s">
        <v>391</v>
      </c>
      <c r="C310" s="15" t="s">
        <v>392</v>
      </c>
      <c r="D310" s="15" t="s">
        <v>417</v>
      </c>
      <c r="E310" s="15" t="s">
        <v>426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28.9">
      <c r="A311" s="15" t="s">
        <v>53</v>
      </c>
      <c r="B311" s="15" t="s">
        <v>391</v>
      </c>
      <c r="C311" s="15" t="s">
        <v>392</v>
      </c>
      <c r="D311" s="15" t="s">
        <v>417</v>
      </c>
      <c r="E311" s="15" t="s">
        <v>427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28.9">
      <c r="A312" s="15" t="s">
        <v>53</v>
      </c>
      <c r="B312" s="15" t="s">
        <v>391</v>
      </c>
      <c r="C312" s="15" t="s">
        <v>392</v>
      </c>
      <c r="D312" s="15" t="s">
        <v>417</v>
      </c>
      <c r="E312" s="15" t="s">
        <v>428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28.9">
      <c r="A313" s="15" t="s">
        <v>171</v>
      </c>
      <c r="B313" s="15" t="s">
        <v>391</v>
      </c>
      <c r="C313" s="15" t="s">
        <v>392</v>
      </c>
      <c r="D313" s="15" t="s">
        <v>417</v>
      </c>
      <c r="E313" s="15" t="s">
        <v>394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28.9">
      <c r="A314" s="15" t="s">
        <v>358</v>
      </c>
      <c r="B314" s="15" t="s">
        <v>391</v>
      </c>
      <c r="C314" s="15" t="s">
        <v>392</v>
      </c>
      <c r="D314" s="15" t="s">
        <v>417</v>
      </c>
      <c r="E314" s="15" t="s">
        <v>399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28.9">
      <c r="A315" s="15" t="s">
        <v>346</v>
      </c>
      <c r="B315" s="15" t="s">
        <v>391</v>
      </c>
      <c r="C315" s="15" t="s">
        <v>392</v>
      </c>
      <c r="D315" s="15" t="s">
        <v>417</v>
      </c>
      <c r="E315" s="15" t="s">
        <v>394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28.9">
      <c r="A316" s="15" t="s">
        <v>146</v>
      </c>
      <c r="B316" s="15" t="s">
        <v>391</v>
      </c>
      <c r="C316" s="15" t="s">
        <v>392</v>
      </c>
      <c r="D316" s="15" t="s">
        <v>417</v>
      </c>
      <c r="E316" s="15" t="s">
        <v>394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28.9">
      <c r="A317" s="15" t="s">
        <v>91</v>
      </c>
      <c r="B317" s="15" t="s">
        <v>391</v>
      </c>
      <c r="C317" s="15" t="s">
        <v>392</v>
      </c>
      <c r="D317" s="15" t="s">
        <v>417</v>
      </c>
      <c r="E317" s="15" t="s">
        <v>429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28.9">
      <c r="A318" s="15" t="s">
        <v>160</v>
      </c>
      <c r="B318" s="15" t="s">
        <v>391</v>
      </c>
      <c r="C318" s="15" t="s">
        <v>392</v>
      </c>
      <c r="D318" s="15" t="s">
        <v>417</v>
      </c>
      <c r="E318" s="15" t="s">
        <v>394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28.9">
      <c r="A319" s="15" t="s">
        <v>51</v>
      </c>
      <c r="B319" s="15" t="s">
        <v>391</v>
      </c>
      <c r="C319" s="15" t="s">
        <v>392</v>
      </c>
      <c r="D319" s="15" t="s">
        <v>417</v>
      </c>
      <c r="E319" s="15" t="s">
        <v>427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28.9">
      <c r="A320" s="15" t="s">
        <v>51</v>
      </c>
      <c r="B320" s="15" t="s">
        <v>391</v>
      </c>
      <c r="C320" s="15" t="s">
        <v>392</v>
      </c>
      <c r="D320" s="15" t="s">
        <v>417</v>
      </c>
      <c r="E320" s="15" t="s">
        <v>428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28.9">
      <c r="A321" s="15" t="s">
        <v>153</v>
      </c>
      <c r="B321" s="15" t="s">
        <v>391</v>
      </c>
      <c r="C321" s="15" t="s">
        <v>392</v>
      </c>
      <c r="D321" s="15" t="s">
        <v>417</v>
      </c>
      <c r="E321" s="15" t="s">
        <v>394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28.9">
      <c r="A322" s="15" t="s">
        <v>430</v>
      </c>
      <c r="B322" s="15" t="s">
        <v>391</v>
      </c>
      <c r="C322" s="15" t="s">
        <v>392</v>
      </c>
      <c r="D322" s="15" t="s">
        <v>417</v>
      </c>
      <c r="E322" s="15" t="s">
        <v>429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28.9">
      <c r="A323" s="15" t="s">
        <v>59</v>
      </c>
      <c r="B323" s="15" t="s">
        <v>391</v>
      </c>
      <c r="C323" s="15" t="s">
        <v>392</v>
      </c>
      <c r="D323" s="15" t="s">
        <v>417</v>
      </c>
      <c r="E323" s="15" t="s">
        <v>431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28.9">
      <c r="A324" s="15" t="s">
        <v>94</v>
      </c>
      <c r="B324" s="15" t="s">
        <v>391</v>
      </c>
      <c r="C324" s="15" t="s">
        <v>392</v>
      </c>
      <c r="D324" s="15" t="s">
        <v>417</v>
      </c>
      <c r="E324" s="15" t="s">
        <v>429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28.9">
      <c r="A325" s="15" t="s">
        <v>22</v>
      </c>
      <c r="B325" s="15" t="s">
        <v>391</v>
      </c>
      <c r="C325" s="15" t="s">
        <v>392</v>
      </c>
      <c r="D325" s="15" t="s">
        <v>417</v>
      </c>
      <c r="E325" s="15" t="s">
        <v>394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28.9">
      <c r="A326" s="15" t="s">
        <v>432</v>
      </c>
      <c r="B326" s="15" t="s">
        <v>391</v>
      </c>
      <c r="C326" s="15" t="s">
        <v>392</v>
      </c>
      <c r="D326" s="15" t="s">
        <v>417</v>
      </c>
      <c r="E326" s="15" t="s">
        <v>426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28.9">
      <c r="A327" s="15" t="s">
        <v>40</v>
      </c>
      <c r="B327" s="15" t="s">
        <v>391</v>
      </c>
      <c r="C327" s="15" t="s">
        <v>392</v>
      </c>
      <c r="D327" s="15" t="s">
        <v>417</v>
      </c>
      <c r="E327" s="15" t="s">
        <v>356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28.9">
      <c r="A328" s="15" t="s">
        <v>349</v>
      </c>
      <c r="B328" s="15" t="s">
        <v>391</v>
      </c>
      <c r="C328" s="15" t="s">
        <v>392</v>
      </c>
      <c r="D328" s="15" t="s">
        <v>417</v>
      </c>
      <c r="E328" s="15" t="s">
        <v>433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28.9">
      <c r="A329" s="15" t="s">
        <v>27</v>
      </c>
      <c r="B329" s="15" t="s">
        <v>391</v>
      </c>
      <c r="C329" s="15" t="s">
        <v>392</v>
      </c>
      <c r="D329" s="15" t="s">
        <v>417</v>
      </c>
      <c r="E329" s="15" t="s">
        <v>394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28.9">
      <c r="A330" s="15" t="s">
        <v>45</v>
      </c>
      <c r="B330" s="15" t="s">
        <v>391</v>
      </c>
      <c r="C330" s="15" t="s">
        <v>392</v>
      </c>
      <c r="D330" s="15" t="s">
        <v>417</v>
      </c>
      <c r="E330" s="15" t="s">
        <v>434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28.9">
      <c r="A331" s="15" t="s">
        <v>57</v>
      </c>
      <c r="B331" s="15" t="s">
        <v>391</v>
      </c>
      <c r="C331" s="15" t="s">
        <v>392</v>
      </c>
      <c r="D331" s="15" t="s">
        <v>417</v>
      </c>
      <c r="E331" s="15" t="s">
        <v>431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28.9">
      <c r="A332" s="15" t="s">
        <v>178</v>
      </c>
      <c r="B332" s="15" t="s">
        <v>391</v>
      </c>
      <c r="C332" s="15" t="s">
        <v>392</v>
      </c>
      <c r="D332" s="15" t="s">
        <v>417</v>
      </c>
      <c r="E332" s="15" t="s">
        <v>424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28.9">
      <c r="A333" s="15" t="s">
        <v>178</v>
      </c>
      <c r="B333" s="15" t="s">
        <v>391</v>
      </c>
      <c r="C333" s="15" t="s">
        <v>392</v>
      </c>
      <c r="D333" s="15" t="s">
        <v>417</v>
      </c>
      <c r="E333" s="15" t="s">
        <v>394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28.9">
      <c r="A334" s="15" t="s">
        <v>185</v>
      </c>
      <c r="B334" s="15" t="s">
        <v>391</v>
      </c>
      <c r="C334" s="15" t="s">
        <v>392</v>
      </c>
      <c r="D334" s="15" t="s">
        <v>417</v>
      </c>
      <c r="E334" s="15" t="s">
        <v>424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28.9">
      <c r="A335" s="15" t="s">
        <v>115</v>
      </c>
      <c r="B335" s="15" t="s">
        <v>391</v>
      </c>
      <c r="C335" s="15" t="s">
        <v>392</v>
      </c>
      <c r="D335" s="15" t="s">
        <v>417</v>
      </c>
      <c r="E335" s="15" t="s">
        <v>365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28.9">
      <c r="A336" s="15" t="s">
        <v>350</v>
      </c>
      <c r="B336" s="15" t="s">
        <v>391</v>
      </c>
      <c r="C336" s="15" t="s">
        <v>392</v>
      </c>
      <c r="D336" s="15" t="s">
        <v>417</v>
      </c>
      <c r="E336" s="15" t="s">
        <v>356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28.9">
      <c r="A337" s="15" t="s">
        <v>155</v>
      </c>
      <c r="B337" s="15" t="s">
        <v>391</v>
      </c>
      <c r="C337" s="15" t="s">
        <v>392</v>
      </c>
      <c r="D337" s="15" t="s">
        <v>417</v>
      </c>
      <c r="E337" s="15" t="s">
        <v>394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28.9">
      <c r="A338" s="15" t="s">
        <v>338</v>
      </c>
      <c r="B338" s="15" t="s">
        <v>391</v>
      </c>
      <c r="C338" s="15" t="s">
        <v>392</v>
      </c>
      <c r="D338" s="15" t="s">
        <v>417</v>
      </c>
      <c r="E338" s="15" t="s">
        <v>394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28.9">
      <c r="A339" s="15" t="s">
        <v>38</v>
      </c>
      <c r="B339" s="15" t="s">
        <v>391</v>
      </c>
      <c r="C339" s="15" t="s">
        <v>392</v>
      </c>
      <c r="D339" s="15" t="s">
        <v>417</v>
      </c>
      <c r="E339" s="15" t="s">
        <v>356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28.9">
      <c r="A340" s="15" t="s">
        <v>39</v>
      </c>
      <c r="B340" s="15" t="s">
        <v>391</v>
      </c>
      <c r="C340" s="15" t="s">
        <v>392</v>
      </c>
      <c r="D340" s="15" t="s">
        <v>417</v>
      </c>
      <c r="E340" s="15" t="s">
        <v>356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28.9">
      <c r="A341" s="15" t="s">
        <v>131</v>
      </c>
      <c r="B341" s="15" t="s">
        <v>391</v>
      </c>
      <c r="C341" s="15" t="s">
        <v>392</v>
      </c>
      <c r="D341" s="15" t="s">
        <v>417</v>
      </c>
      <c r="E341" s="15" t="s">
        <v>360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28.9">
      <c r="A342" s="15" t="s">
        <v>131</v>
      </c>
      <c r="B342" s="15" t="s">
        <v>391</v>
      </c>
      <c r="C342" s="15" t="s">
        <v>392</v>
      </c>
      <c r="D342" s="15" t="s">
        <v>417</v>
      </c>
      <c r="E342" s="15" t="s">
        <v>394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28.9">
      <c r="A343" s="15" t="s">
        <v>127</v>
      </c>
      <c r="B343" s="15" t="s">
        <v>391</v>
      </c>
      <c r="C343" s="15" t="s">
        <v>392</v>
      </c>
      <c r="D343" s="15" t="s">
        <v>417</v>
      </c>
      <c r="E343" s="15" t="s">
        <v>435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28.9">
      <c r="A344" s="15" t="s">
        <v>112</v>
      </c>
      <c r="B344" s="15" t="s">
        <v>391</v>
      </c>
      <c r="C344" s="15" t="s">
        <v>392</v>
      </c>
      <c r="D344" s="15" t="s">
        <v>417</v>
      </c>
      <c r="E344" s="15" t="s">
        <v>394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28.9">
      <c r="A345" s="15" t="s">
        <v>150</v>
      </c>
      <c r="B345" s="15" t="s">
        <v>391</v>
      </c>
      <c r="C345" s="15" t="s">
        <v>392</v>
      </c>
      <c r="D345" s="15" t="s">
        <v>417</v>
      </c>
      <c r="E345" s="15" t="s">
        <v>394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28.9">
      <c r="A346" s="15" t="s">
        <v>157</v>
      </c>
      <c r="B346" s="15" t="s">
        <v>391</v>
      </c>
      <c r="C346" s="15" t="s">
        <v>392</v>
      </c>
      <c r="D346" s="15" t="s">
        <v>417</v>
      </c>
      <c r="E346" s="15" t="s">
        <v>394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28.9">
      <c r="A347" s="15" t="s">
        <v>106</v>
      </c>
      <c r="B347" s="15" t="s">
        <v>391</v>
      </c>
      <c r="C347" s="15" t="s">
        <v>392</v>
      </c>
      <c r="D347" s="15" t="s">
        <v>417</v>
      </c>
      <c r="E347" s="15" t="s">
        <v>365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28.9">
      <c r="A348" s="15" t="s">
        <v>436</v>
      </c>
      <c r="B348" s="15" t="s">
        <v>391</v>
      </c>
      <c r="C348" s="15" t="s">
        <v>392</v>
      </c>
      <c r="D348" s="15" t="s">
        <v>417</v>
      </c>
      <c r="E348" s="15" t="s">
        <v>426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28.9">
      <c r="A349" s="15" t="s">
        <v>41</v>
      </c>
      <c r="B349" s="15" t="s">
        <v>391</v>
      </c>
      <c r="C349" s="15" t="s">
        <v>392</v>
      </c>
      <c r="D349" s="15" t="s">
        <v>417</v>
      </c>
      <c r="E349" s="15" t="s">
        <v>356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28.9">
      <c r="A350" s="15" t="s">
        <v>161</v>
      </c>
      <c r="B350" s="15" t="s">
        <v>391</v>
      </c>
      <c r="C350" s="15" t="s">
        <v>392</v>
      </c>
      <c r="D350" s="15" t="s">
        <v>417</v>
      </c>
      <c r="E350" s="15" t="s">
        <v>359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28.9">
      <c r="A351" s="15" t="s">
        <v>20</v>
      </c>
      <c r="B351" s="15" t="s">
        <v>391</v>
      </c>
      <c r="C351" s="15" t="s">
        <v>392</v>
      </c>
      <c r="D351" s="15" t="s">
        <v>417</v>
      </c>
      <c r="E351" s="15" t="s">
        <v>394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28.9">
      <c r="A352" s="15" t="s">
        <v>109</v>
      </c>
      <c r="B352" s="15" t="s">
        <v>391</v>
      </c>
      <c r="C352" s="15" t="s">
        <v>392</v>
      </c>
      <c r="D352" s="15" t="s">
        <v>417</v>
      </c>
      <c r="E352" s="15" t="s">
        <v>394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28.9">
      <c r="A353" s="15" t="s">
        <v>351</v>
      </c>
      <c r="B353" s="15" t="s">
        <v>391</v>
      </c>
      <c r="C353" s="15" t="s">
        <v>392</v>
      </c>
      <c r="D353" s="15" t="s">
        <v>417</v>
      </c>
      <c r="E353" s="15" t="s">
        <v>356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28.9">
      <c r="A354" s="15" t="s">
        <v>159</v>
      </c>
      <c r="B354" s="15" t="s">
        <v>391</v>
      </c>
      <c r="C354" s="15" t="s">
        <v>392</v>
      </c>
      <c r="D354" s="15" t="s">
        <v>417</v>
      </c>
      <c r="E354" s="15" t="s">
        <v>394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28.9">
      <c r="A355" s="15" t="s">
        <v>68</v>
      </c>
      <c r="B355" s="15" t="s">
        <v>391</v>
      </c>
      <c r="C355" s="15" t="s">
        <v>392</v>
      </c>
      <c r="D355" s="15" t="s">
        <v>417</v>
      </c>
      <c r="E355" s="15" t="s">
        <v>426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28.9">
      <c r="A356" s="15" t="s">
        <v>437</v>
      </c>
      <c r="B356" s="15" t="s">
        <v>391</v>
      </c>
      <c r="C356" s="15" t="s">
        <v>392</v>
      </c>
      <c r="D356" s="15" t="s">
        <v>417</v>
      </c>
      <c r="E356" s="15" t="s">
        <v>424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28.9">
      <c r="A357" s="15" t="s">
        <v>165</v>
      </c>
      <c r="B357" s="15" t="s">
        <v>391</v>
      </c>
      <c r="C357" s="15" t="s">
        <v>392</v>
      </c>
      <c r="D357" s="15" t="s">
        <v>417</v>
      </c>
      <c r="E357" s="15" t="s">
        <v>394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28.9">
      <c r="A358" s="15" t="s">
        <v>156</v>
      </c>
      <c r="B358" s="15" t="s">
        <v>391</v>
      </c>
      <c r="C358" s="15" t="s">
        <v>392</v>
      </c>
      <c r="D358" s="15" t="s">
        <v>417</v>
      </c>
      <c r="E358" s="15" t="s">
        <v>394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28.9">
      <c r="A359" s="15" t="s">
        <v>97</v>
      </c>
      <c r="B359" s="15" t="s">
        <v>391</v>
      </c>
      <c r="C359" s="15" t="s">
        <v>392</v>
      </c>
      <c r="D359" s="15" t="s">
        <v>417</v>
      </c>
      <c r="E359" s="15" t="s">
        <v>394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28.9">
      <c r="A360" s="15" t="s">
        <v>58</v>
      </c>
      <c r="B360" s="15" t="s">
        <v>391</v>
      </c>
      <c r="C360" s="15" t="s">
        <v>392</v>
      </c>
      <c r="D360" s="15" t="s">
        <v>417</v>
      </c>
      <c r="E360" s="15" t="s">
        <v>431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28.9">
      <c r="A361" s="15" t="s">
        <v>137</v>
      </c>
      <c r="B361" s="15" t="s">
        <v>391</v>
      </c>
      <c r="C361" s="15" t="s">
        <v>392</v>
      </c>
      <c r="D361" s="15" t="s">
        <v>417</v>
      </c>
      <c r="E361" s="15" t="s">
        <v>433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28.9">
      <c r="A362" s="15" t="s">
        <v>19</v>
      </c>
      <c r="B362" s="15" t="s">
        <v>391</v>
      </c>
      <c r="C362" s="15" t="s">
        <v>392</v>
      </c>
      <c r="D362" s="15" t="s">
        <v>417</v>
      </c>
      <c r="E362" s="15" t="s">
        <v>394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28.9">
      <c r="A363" s="15" t="s">
        <v>124</v>
      </c>
      <c r="B363" s="15" t="s">
        <v>391</v>
      </c>
      <c r="C363" s="15" t="s">
        <v>392</v>
      </c>
      <c r="D363" s="15" t="s">
        <v>417</v>
      </c>
      <c r="E363" s="15" t="s">
        <v>365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28.9">
      <c r="A364" s="15" t="s">
        <v>390</v>
      </c>
      <c r="B364" s="15" t="s">
        <v>391</v>
      </c>
      <c r="C364" s="15" t="s">
        <v>392</v>
      </c>
      <c r="D364" s="15" t="s">
        <v>417</v>
      </c>
      <c r="E364" s="15" t="s">
        <v>394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28.9">
      <c r="A365" s="15" t="s">
        <v>107</v>
      </c>
      <c r="B365" s="15" t="s">
        <v>391</v>
      </c>
      <c r="C365" s="15" t="s">
        <v>392</v>
      </c>
      <c r="D365" s="15" t="s">
        <v>417</v>
      </c>
      <c r="E365" s="15" t="s">
        <v>365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28.9">
      <c r="A366" s="15" t="s">
        <v>341</v>
      </c>
      <c r="B366" s="15" t="s">
        <v>391</v>
      </c>
      <c r="C366" s="15" t="s">
        <v>392</v>
      </c>
      <c r="D366" s="15" t="s">
        <v>417</v>
      </c>
      <c r="E366" s="15" t="s">
        <v>394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28.9">
      <c r="A367" s="15" t="s">
        <v>422</v>
      </c>
      <c r="B367" s="15" t="s">
        <v>391</v>
      </c>
      <c r="C367" s="15" t="s">
        <v>392</v>
      </c>
      <c r="D367" s="15" t="s">
        <v>417</v>
      </c>
      <c r="E367" s="15" t="s">
        <v>365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28.9">
      <c r="A368" s="15" t="s">
        <v>54</v>
      </c>
      <c r="B368" s="15" t="s">
        <v>391</v>
      </c>
      <c r="C368" s="15" t="s">
        <v>392</v>
      </c>
      <c r="D368" s="15" t="s">
        <v>417</v>
      </c>
      <c r="E368" s="15" t="s">
        <v>431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28.9">
      <c r="A369" s="15" t="s">
        <v>178</v>
      </c>
      <c r="B369" s="15" t="s">
        <v>391</v>
      </c>
      <c r="C369" s="15" t="s">
        <v>392</v>
      </c>
      <c r="D369" s="15" t="s">
        <v>403</v>
      </c>
      <c r="E369" s="15" t="s">
        <v>394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28.9">
      <c r="A370" s="15" t="s">
        <v>161</v>
      </c>
      <c r="B370" s="15" t="s">
        <v>391</v>
      </c>
      <c r="C370" s="15" t="s">
        <v>392</v>
      </c>
      <c r="D370" s="15" t="s">
        <v>403</v>
      </c>
      <c r="E370" s="15" t="s">
        <v>394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28.9">
      <c r="A371" s="15" t="s">
        <v>179</v>
      </c>
      <c r="B371" s="15" t="s">
        <v>391</v>
      </c>
      <c r="C371" s="15" t="s">
        <v>392</v>
      </c>
      <c r="D371" s="15" t="s">
        <v>403</v>
      </c>
      <c r="E371" s="15" t="s">
        <v>394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28.9">
      <c r="A372" s="15" t="s">
        <v>171</v>
      </c>
      <c r="B372" s="15" t="s">
        <v>391</v>
      </c>
      <c r="C372" s="15" t="s">
        <v>392</v>
      </c>
      <c r="D372" s="15" t="s">
        <v>403</v>
      </c>
      <c r="E372" s="15" t="s">
        <v>394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28.9">
      <c r="A373" s="15" t="s">
        <v>358</v>
      </c>
      <c r="B373" s="15" t="s">
        <v>391</v>
      </c>
      <c r="C373" s="15" t="s">
        <v>392</v>
      </c>
      <c r="D373" s="15" t="s">
        <v>403</v>
      </c>
      <c r="E373" s="15" t="s">
        <v>394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28.9">
      <c r="A374" s="15" t="s">
        <v>346</v>
      </c>
      <c r="B374" s="15" t="s">
        <v>391</v>
      </c>
      <c r="C374" s="15" t="s">
        <v>392</v>
      </c>
      <c r="D374" s="15" t="s">
        <v>403</v>
      </c>
      <c r="E374" s="15" t="s">
        <v>394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28.9">
      <c r="A375" s="15" t="s">
        <v>146</v>
      </c>
      <c r="B375" s="15" t="s">
        <v>391</v>
      </c>
      <c r="C375" s="15" t="s">
        <v>392</v>
      </c>
      <c r="D375" s="15" t="s">
        <v>403</v>
      </c>
      <c r="E375" s="15" t="s">
        <v>394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28.9">
      <c r="A376" s="15" t="s">
        <v>24</v>
      </c>
      <c r="B376" s="15" t="s">
        <v>391</v>
      </c>
      <c r="C376" s="15" t="s">
        <v>392</v>
      </c>
      <c r="D376" s="15" t="s">
        <v>403</v>
      </c>
      <c r="E376" s="15" t="s">
        <v>394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28.9">
      <c r="A377" s="15" t="s">
        <v>160</v>
      </c>
      <c r="B377" s="15" t="s">
        <v>391</v>
      </c>
      <c r="C377" s="15" t="s">
        <v>392</v>
      </c>
      <c r="D377" s="15" t="s">
        <v>403</v>
      </c>
      <c r="E377" s="15" t="s">
        <v>394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28.9">
      <c r="A378" s="15" t="s">
        <v>153</v>
      </c>
      <c r="B378" s="15" t="s">
        <v>391</v>
      </c>
      <c r="C378" s="15" t="s">
        <v>392</v>
      </c>
      <c r="D378" s="15" t="s">
        <v>403</v>
      </c>
      <c r="E378" s="15" t="s">
        <v>394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28.9">
      <c r="A379" s="15" t="s">
        <v>439</v>
      </c>
      <c r="B379" s="15" t="s">
        <v>391</v>
      </c>
      <c r="C379" s="15" t="s">
        <v>392</v>
      </c>
      <c r="D379" s="15" t="s">
        <v>403</v>
      </c>
      <c r="E379" s="15" t="s">
        <v>394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28.9">
      <c r="A380" s="15" t="s">
        <v>22</v>
      </c>
      <c r="B380" s="15" t="s">
        <v>391</v>
      </c>
      <c r="C380" s="15" t="s">
        <v>392</v>
      </c>
      <c r="D380" s="15" t="s">
        <v>403</v>
      </c>
      <c r="E380" s="15" t="s">
        <v>394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28.9">
      <c r="A381" s="15" t="s">
        <v>27</v>
      </c>
      <c r="B381" s="15" t="s">
        <v>391</v>
      </c>
      <c r="C381" s="15" t="s">
        <v>392</v>
      </c>
      <c r="D381" s="15" t="s">
        <v>403</v>
      </c>
      <c r="E381" s="15" t="s">
        <v>394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28.9">
      <c r="A382" s="15" t="s">
        <v>178</v>
      </c>
      <c r="B382" s="15" t="s">
        <v>391</v>
      </c>
      <c r="C382" s="15" t="s">
        <v>392</v>
      </c>
      <c r="D382" s="15" t="s">
        <v>403</v>
      </c>
      <c r="E382" s="15" t="s">
        <v>394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28.9">
      <c r="A383" s="15" t="s">
        <v>185</v>
      </c>
      <c r="B383" s="15" t="s">
        <v>391</v>
      </c>
      <c r="C383" s="15" t="s">
        <v>392</v>
      </c>
      <c r="D383" s="15" t="s">
        <v>403</v>
      </c>
      <c r="E383" s="15" t="s">
        <v>394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28.9">
      <c r="A384" s="15" t="s">
        <v>151</v>
      </c>
      <c r="B384" s="15" t="s">
        <v>391</v>
      </c>
      <c r="C384" s="15" t="s">
        <v>392</v>
      </c>
      <c r="D384" s="15" t="s">
        <v>403</v>
      </c>
      <c r="E384" s="15" t="s">
        <v>394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28.9">
      <c r="A385" s="15" t="s">
        <v>155</v>
      </c>
      <c r="B385" s="15" t="s">
        <v>391</v>
      </c>
      <c r="C385" s="15" t="s">
        <v>392</v>
      </c>
      <c r="D385" s="15" t="s">
        <v>403</v>
      </c>
      <c r="E385" s="15" t="s">
        <v>394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28.9">
      <c r="A386" s="15" t="s">
        <v>355</v>
      </c>
      <c r="B386" s="15" t="s">
        <v>391</v>
      </c>
      <c r="C386" s="15" t="s">
        <v>392</v>
      </c>
      <c r="D386" s="15" t="s">
        <v>403</v>
      </c>
      <c r="E386" s="15" t="s">
        <v>394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28.9">
      <c r="A387" s="15" t="s">
        <v>29</v>
      </c>
      <c r="B387" s="15" t="s">
        <v>391</v>
      </c>
      <c r="C387" s="15" t="s">
        <v>392</v>
      </c>
      <c r="D387" s="15" t="s">
        <v>403</v>
      </c>
      <c r="E387" s="15" t="s">
        <v>394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28.9">
      <c r="A388" s="15" t="s">
        <v>7</v>
      </c>
      <c r="B388" s="15" t="s">
        <v>391</v>
      </c>
      <c r="C388" s="15" t="s">
        <v>392</v>
      </c>
      <c r="D388" s="15" t="s">
        <v>403</v>
      </c>
      <c r="E388" s="15" t="s">
        <v>394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28.9">
      <c r="A389" s="15" t="s">
        <v>338</v>
      </c>
      <c r="B389" s="15" t="s">
        <v>391</v>
      </c>
      <c r="C389" s="15" t="s">
        <v>392</v>
      </c>
      <c r="D389" s="15" t="s">
        <v>403</v>
      </c>
      <c r="E389" s="15" t="s">
        <v>394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28.9">
      <c r="A390" s="15" t="s">
        <v>23</v>
      </c>
      <c r="B390" s="15" t="s">
        <v>391</v>
      </c>
      <c r="C390" s="15" t="s">
        <v>392</v>
      </c>
      <c r="D390" s="15" t="s">
        <v>403</v>
      </c>
      <c r="E390" s="15" t="s">
        <v>394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28.9">
      <c r="A391" s="15" t="s">
        <v>112</v>
      </c>
      <c r="B391" s="15" t="s">
        <v>391</v>
      </c>
      <c r="C391" s="15" t="s">
        <v>392</v>
      </c>
      <c r="D391" s="15" t="s">
        <v>403</v>
      </c>
      <c r="E391" s="15" t="s">
        <v>394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28.9">
      <c r="A392" s="15" t="s">
        <v>150</v>
      </c>
      <c r="B392" s="15" t="s">
        <v>391</v>
      </c>
      <c r="C392" s="15" t="s">
        <v>392</v>
      </c>
      <c r="D392" s="15" t="s">
        <v>403</v>
      </c>
      <c r="E392" s="15" t="s">
        <v>394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28.9">
      <c r="A393" s="15" t="s">
        <v>157</v>
      </c>
      <c r="B393" s="15" t="s">
        <v>391</v>
      </c>
      <c r="C393" s="15" t="s">
        <v>392</v>
      </c>
      <c r="D393" s="15" t="s">
        <v>403</v>
      </c>
      <c r="E393" s="15" t="s">
        <v>394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28.9">
      <c r="A394" s="15" t="s">
        <v>157</v>
      </c>
      <c r="B394" s="15" t="s">
        <v>391</v>
      </c>
      <c r="C394" s="15" t="s">
        <v>392</v>
      </c>
      <c r="D394" s="15" t="s">
        <v>403</v>
      </c>
      <c r="E394" s="15" t="s">
        <v>394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28.9">
      <c r="A395" s="15" t="s">
        <v>106</v>
      </c>
      <c r="B395" s="15" t="s">
        <v>391</v>
      </c>
      <c r="C395" s="15" t="s">
        <v>392</v>
      </c>
      <c r="D395" s="15" t="s">
        <v>403</v>
      </c>
      <c r="E395" s="15" t="s">
        <v>394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28.9">
      <c r="A396" s="15" t="s">
        <v>161</v>
      </c>
      <c r="B396" s="15" t="s">
        <v>391</v>
      </c>
      <c r="C396" s="15" t="s">
        <v>392</v>
      </c>
      <c r="D396" s="15" t="s">
        <v>403</v>
      </c>
      <c r="E396" s="15" t="s">
        <v>394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28.9">
      <c r="A397" s="15" t="s">
        <v>20</v>
      </c>
      <c r="B397" s="15" t="s">
        <v>391</v>
      </c>
      <c r="C397" s="15" t="s">
        <v>392</v>
      </c>
      <c r="D397" s="15" t="s">
        <v>403</v>
      </c>
      <c r="E397" s="15" t="s">
        <v>394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28.9">
      <c r="A398" s="15" t="s">
        <v>109</v>
      </c>
      <c r="B398" s="15" t="s">
        <v>391</v>
      </c>
      <c r="C398" s="15" t="s">
        <v>392</v>
      </c>
      <c r="D398" s="15" t="s">
        <v>403</v>
      </c>
      <c r="E398" s="15" t="s">
        <v>394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28.9">
      <c r="A399" s="15" t="s">
        <v>159</v>
      </c>
      <c r="B399" s="15" t="s">
        <v>391</v>
      </c>
      <c r="C399" s="15" t="s">
        <v>392</v>
      </c>
      <c r="D399" s="15" t="s">
        <v>403</v>
      </c>
      <c r="E399" s="15" t="s">
        <v>394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28.9">
      <c r="A400" s="15" t="s">
        <v>437</v>
      </c>
      <c r="B400" s="15" t="s">
        <v>391</v>
      </c>
      <c r="C400" s="15" t="s">
        <v>392</v>
      </c>
      <c r="D400" s="15" t="s">
        <v>403</v>
      </c>
      <c r="E400" s="15" t="s">
        <v>394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28.9">
      <c r="A401" s="15" t="s">
        <v>165</v>
      </c>
      <c r="B401" s="15" t="s">
        <v>391</v>
      </c>
      <c r="C401" s="15" t="s">
        <v>392</v>
      </c>
      <c r="D401" s="15" t="s">
        <v>403</v>
      </c>
      <c r="E401" s="15" t="s">
        <v>394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28.9">
      <c r="A402" s="15" t="s">
        <v>156</v>
      </c>
      <c r="B402" s="15" t="s">
        <v>391</v>
      </c>
      <c r="C402" s="15" t="s">
        <v>392</v>
      </c>
      <c r="D402" s="15" t="s">
        <v>403</v>
      </c>
      <c r="E402" s="15" t="s">
        <v>394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28.9">
      <c r="A403" s="15" t="s">
        <v>97</v>
      </c>
      <c r="B403" s="15" t="s">
        <v>391</v>
      </c>
      <c r="C403" s="15" t="s">
        <v>392</v>
      </c>
      <c r="D403" s="15" t="s">
        <v>403</v>
      </c>
      <c r="E403" s="15" t="s">
        <v>394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28.9">
      <c r="A404" s="15" t="s">
        <v>19</v>
      </c>
      <c r="B404" s="15" t="s">
        <v>391</v>
      </c>
      <c r="C404" s="15" t="s">
        <v>392</v>
      </c>
      <c r="D404" s="15" t="s">
        <v>403</v>
      </c>
      <c r="E404" s="15" t="s">
        <v>394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28.9">
      <c r="A405" s="15" t="s">
        <v>440</v>
      </c>
      <c r="B405" s="15" t="s">
        <v>391</v>
      </c>
      <c r="C405" s="15" t="s">
        <v>392</v>
      </c>
      <c r="D405" s="15" t="s">
        <v>403</v>
      </c>
      <c r="E405" s="15" t="s">
        <v>394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28.9">
      <c r="A406" s="15" t="s">
        <v>341</v>
      </c>
      <c r="B406" s="15" t="s">
        <v>391</v>
      </c>
      <c r="C406" s="15" t="s">
        <v>392</v>
      </c>
      <c r="D406" s="15" t="s">
        <v>403</v>
      </c>
      <c r="E406" s="15" t="s">
        <v>394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28.9">
      <c r="A407" s="15" t="s">
        <v>425</v>
      </c>
      <c r="B407" s="15" t="s">
        <v>391</v>
      </c>
      <c r="C407" s="15" t="s">
        <v>392</v>
      </c>
      <c r="D407" s="15" t="s">
        <v>441</v>
      </c>
      <c r="E407" s="15" t="s">
        <v>365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28.9">
      <c r="A408" s="15" t="s">
        <v>388</v>
      </c>
      <c r="B408" s="15" t="s">
        <v>391</v>
      </c>
      <c r="C408" s="15" t="s">
        <v>392</v>
      </c>
      <c r="D408" s="15" t="s">
        <v>441</v>
      </c>
      <c r="E408" s="15" t="s">
        <v>365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28.9">
      <c r="A409" s="15" t="s">
        <v>358</v>
      </c>
      <c r="B409" s="15" t="s">
        <v>391</v>
      </c>
      <c r="C409" s="15" t="s">
        <v>392</v>
      </c>
      <c r="D409" s="15" t="s">
        <v>441</v>
      </c>
      <c r="E409" s="15" t="s">
        <v>365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28.9">
      <c r="A410" s="15" t="s">
        <v>160</v>
      </c>
      <c r="B410" s="15" t="s">
        <v>391</v>
      </c>
      <c r="C410" s="15" t="s">
        <v>392</v>
      </c>
      <c r="D410" s="15" t="s">
        <v>441</v>
      </c>
      <c r="E410" s="15" t="s">
        <v>365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28.9">
      <c r="A411" s="15" t="s">
        <v>94</v>
      </c>
      <c r="B411" s="15" t="s">
        <v>391</v>
      </c>
      <c r="C411" s="15" t="s">
        <v>392</v>
      </c>
      <c r="D411" s="15" t="s">
        <v>441</v>
      </c>
      <c r="E411" s="15" t="s">
        <v>365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28.9">
      <c r="A412" s="15" t="s">
        <v>349</v>
      </c>
      <c r="B412" s="15" t="s">
        <v>391</v>
      </c>
      <c r="C412" s="15" t="s">
        <v>392</v>
      </c>
      <c r="D412" s="15" t="s">
        <v>441</v>
      </c>
      <c r="E412" s="15" t="s">
        <v>365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28.9">
      <c r="A413" s="15" t="s">
        <v>45</v>
      </c>
      <c r="B413" s="15" t="s">
        <v>391</v>
      </c>
      <c r="C413" s="15" t="s">
        <v>392</v>
      </c>
      <c r="D413" s="15" t="s">
        <v>441</v>
      </c>
      <c r="E413" s="15" t="s">
        <v>365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28.9">
      <c r="A414" s="15" t="s">
        <v>178</v>
      </c>
      <c r="B414" s="15" t="s">
        <v>391</v>
      </c>
      <c r="C414" s="15" t="s">
        <v>392</v>
      </c>
      <c r="D414" s="15" t="s">
        <v>441</v>
      </c>
      <c r="E414" s="15" t="s">
        <v>365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28.9">
      <c r="A415" s="15" t="s">
        <v>140</v>
      </c>
      <c r="B415" s="15" t="s">
        <v>391</v>
      </c>
      <c r="C415" s="15" t="s">
        <v>392</v>
      </c>
      <c r="D415" s="15" t="s">
        <v>441</v>
      </c>
      <c r="E415" s="15" t="s">
        <v>365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28.9">
      <c r="A416" s="15" t="s">
        <v>115</v>
      </c>
      <c r="B416" s="15" t="s">
        <v>391</v>
      </c>
      <c r="C416" s="15" t="s">
        <v>392</v>
      </c>
      <c r="D416" s="15" t="s">
        <v>441</v>
      </c>
      <c r="E416" s="15" t="s">
        <v>365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28.9">
      <c r="A417" s="15" t="s">
        <v>350</v>
      </c>
      <c r="B417" s="15" t="s">
        <v>391</v>
      </c>
      <c r="C417" s="15" t="s">
        <v>392</v>
      </c>
      <c r="D417" s="15" t="s">
        <v>441</v>
      </c>
      <c r="E417" s="15" t="s">
        <v>365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28.9">
      <c r="A418" s="15" t="s">
        <v>338</v>
      </c>
      <c r="B418" s="15" t="s">
        <v>391</v>
      </c>
      <c r="C418" s="15" t="s">
        <v>392</v>
      </c>
      <c r="D418" s="15" t="s">
        <v>441</v>
      </c>
      <c r="E418" s="15" t="s">
        <v>365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28.9">
      <c r="A419" s="15" t="s">
        <v>131</v>
      </c>
      <c r="B419" s="15" t="s">
        <v>391</v>
      </c>
      <c r="C419" s="15" t="s">
        <v>392</v>
      </c>
      <c r="D419" s="15" t="s">
        <v>441</v>
      </c>
      <c r="E419" s="15" t="s">
        <v>365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28.9">
      <c r="A420" s="15" t="s">
        <v>127</v>
      </c>
      <c r="B420" s="15" t="s">
        <v>391</v>
      </c>
      <c r="C420" s="15" t="s">
        <v>392</v>
      </c>
      <c r="D420" s="15" t="s">
        <v>441</v>
      </c>
      <c r="E420" s="15" t="s">
        <v>365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28.9">
      <c r="A421" s="15" t="s">
        <v>106</v>
      </c>
      <c r="B421" s="15" t="s">
        <v>391</v>
      </c>
      <c r="C421" s="15" t="s">
        <v>392</v>
      </c>
      <c r="D421" s="15" t="s">
        <v>441</v>
      </c>
      <c r="E421" s="15" t="s">
        <v>365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28.9">
      <c r="A422" s="15" t="s">
        <v>161</v>
      </c>
      <c r="B422" s="15" t="s">
        <v>391</v>
      </c>
      <c r="C422" s="15" t="s">
        <v>392</v>
      </c>
      <c r="D422" s="15" t="s">
        <v>441</v>
      </c>
      <c r="E422" s="15" t="s">
        <v>365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28.9">
      <c r="A423" s="15" t="s">
        <v>351</v>
      </c>
      <c r="B423" s="15" t="s">
        <v>391</v>
      </c>
      <c r="C423" s="15" t="s">
        <v>392</v>
      </c>
      <c r="D423" s="15" t="s">
        <v>441</v>
      </c>
      <c r="E423" s="15" t="s">
        <v>365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28.9">
      <c r="A424" s="15" t="s">
        <v>122</v>
      </c>
      <c r="B424" s="15" t="s">
        <v>391</v>
      </c>
      <c r="C424" s="15" t="s">
        <v>392</v>
      </c>
      <c r="D424" s="15" t="s">
        <v>441</v>
      </c>
      <c r="E424" s="15" t="s">
        <v>365</v>
      </c>
      <c r="F424" s="15">
        <v>1</v>
      </c>
      <c r="G424" s="15">
        <v>1</v>
      </c>
      <c r="H424" s="15" t="s">
        <v>348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28.9">
      <c r="A425" s="15" t="s">
        <v>165</v>
      </c>
      <c r="B425" s="15" t="s">
        <v>391</v>
      </c>
      <c r="C425" s="15" t="s">
        <v>392</v>
      </c>
      <c r="D425" s="15" t="s">
        <v>441</v>
      </c>
      <c r="E425" s="15" t="s">
        <v>365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28.9">
      <c r="A426" s="15" t="s">
        <v>97</v>
      </c>
      <c r="B426" s="15" t="s">
        <v>391</v>
      </c>
      <c r="C426" s="15" t="s">
        <v>392</v>
      </c>
      <c r="D426" s="15" t="s">
        <v>441</v>
      </c>
      <c r="E426" s="15" t="s">
        <v>365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28.9">
      <c r="A427" s="15" t="s">
        <v>58</v>
      </c>
      <c r="B427" s="15" t="s">
        <v>391</v>
      </c>
      <c r="C427" s="15" t="s">
        <v>392</v>
      </c>
      <c r="D427" s="15" t="s">
        <v>441</v>
      </c>
      <c r="E427" s="15" t="s">
        <v>365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28.9">
      <c r="A428" s="15" t="s">
        <v>137</v>
      </c>
      <c r="B428" s="15" t="s">
        <v>391</v>
      </c>
      <c r="C428" s="15" t="s">
        <v>392</v>
      </c>
      <c r="D428" s="15" t="s">
        <v>441</v>
      </c>
      <c r="E428" s="15" t="s">
        <v>365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28.9">
      <c r="A429" s="15" t="s">
        <v>124</v>
      </c>
      <c r="B429" s="15" t="s">
        <v>391</v>
      </c>
      <c r="C429" s="15" t="s">
        <v>392</v>
      </c>
      <c r="D429" s="15" t="s">
        <v>441</v>
      </c>
      <c r="E429" s="15" t="s">
        <v>365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28.9">
      <c r="A430" s="15" t="s">
        <v>390</v>
      </c>
      <c r="B430" s="15" t="s">
        <v>391</v>
      </c>
      <c r="C430" s="15" t="s">
        <v>392</v>
      </c>
      <c r="D430" s="15" t="s">
        <v>441</v>
      </c>
      <c r="E430" s="15" t="s">
        <v>365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28.9">
      <c r="A431" s="15" t="s">
        <v>352</v>
      </c>
      <c r="B431" s="15" t="s">
        <v>391</v>
      </c>
      <c r="C431" s="15" t="s">
        <v>392</v>
      </c>
      <c r="D431" s="15" t="s">
        <v>441</v>
      </c>
      <c r="E431" s="15" t="s">
        <v>365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28.9">
      <c r="A432" s="15" t="s">
        <v>107</v>
      </c>
      <c r="B432" s="15" t="s">
        <v>391</v>
      </c>
      <c r="C432" s="15" t="s">
        <v>392</v>
      </c>
      <c r="D432" s="15" t="s">
        <v>441</v>
      </c>
      <c r="E432" s="15" t="s">
        <v>365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28.9">
      <c r="A433" s="15" t="s">
        <v>422</v>
      </c>
      <c r="B433" s="15" t="s">
        <v>391</v>
      </c>
      <c r="C433" s="15" t="s">
        <v>392</v>
      </c>
      <c r="D433" s="15" t="s">
        <v>441</v>
      </c>
      <c r="E433" s="15" t="s">
        <v>365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>
      <c r="A434" s="15" t="s">
        <v>85</v>
      </c>
      <c r="B434" s="15" t="s">
        <v>443</v>
      </c>
      <c r="C434" s="15" t="s">
        <v>444</v>
      </c>
      <c r="D434" s="15" t="s">
        <v>445</v>
      </c>
      <c r="E434" s="15" t="s">
        <v>426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>
      <c r="A435" s="15" t="s">
        <v>85</v>
      </c>
      <c r="B435" s="15" t="s">
        <v>443</v>
      </c>
      <c r="C435" s="15" t="s">
        <v>444</v>
      </c>
      <c r="D435" s="15" t="s">
        <v>446</v>
      </c>
      <c r="E435" s="15" t="s">
        <v>447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>
      <c r="A436" s="15" t="s">
        <v>85</v>
      </c>
      <c r="B436" s="15" t="s">
        <v>443</v>
      </c>
      <c r="C436" s="15" t="s">
        <v>444</v>
      </c>
      <c r="D436" s="15" t="s">
        <v>446</v>
      </c>
      <c r="E436" s="15" t="s">
        <v>426</v>
      </c>
      <c r="F436" s="15"/>
      <c r="G436" s="15"/>
      <c r="H436" s="15" t="s">
        <v>348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>
      <c r="A437" s="15" t="s">
        <v>91</v>
      </c>
      <c r="B437" s="15" t="s">
        <v>443</v>
      </c>
      <c r="C437" s="15" t="s">
        <v>448</v>
      </c>
      <c r="D437" s="15" t="s">
        <v>449</v>
      </c>
      <c r="E437" s="15" t="s">
        <v>429</v>
      </c>
      <c r="F437" s="15"/>
      <c r="G437" s="15"/>
      <c r="H437" s="15" t="s">
        <v>382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>
      <c r="A438" s="15" t="s">
        <v>91</v>
      </c>
      <c r="B438" s="15" t="s">
        <v>443</v>
      </c>
      <c r="C438" s="15" t="s">
        <v>448</v>
      </c>
      <c r="D438" s="15" t="s">
        <v>450</v>
      </c>
      <c r="E438" s="15" t="s">
        <v>429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>
      <c r="A439" s="15" t="s">
        <v>91</v>
      </c>
      <c r="B439" s="15" t="s">
        <v>443</v>
      </c>
      <c r="C439" s="15" t="s">
        <v>448</v>
      </c>
      <c r="D439" s="15" t="s">
        <v>451</v>
      </c>
      <c r="E439" s="15" t="s">
        <v>429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>
      <c r="A440" s="15" t="s">
        <v>91</v>
      </c>
      <c r="B440" s="15" t="s">
        <v>443</v>
      </c>
      <c r="C440" s="15" t="s">
        <v>452</v>
      </c>
      <c r="D440" s="15" t="s">
        <v>453</v>
      </c>
      <c r="E440" s="15" t="s">
        <v>429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>
      <c r="A441" s="15" t="s">
        <v>454</v>
      </c>
      <c r="B441" s="15" t="s">
        <v>443</v>
      </c>
      <c r="C441" s="15" t="s">
        <v>444</v>
      </c>
      <c r="D441" s="15" t="s">
        <v>445</v>
      </c>
      <c r="E441" s="15" t="s">
        <v>455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>
      <c r="A442" s="15" t="s">
        <v>454</v>
      </c>
      <c r="B442" s="15" t="s">
        <v>443</v>
      </c>
      <c r="C442" s="15" t="s">
        <v>444</v>
      </c>
      <c r="D442" s="15" t="s">
        <v>456</v>
      </c>
      <c r="E442" s="15" t="s">
        <v>426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>
      <c r="A443" s="15" t="s">
        <v>454</v>
      </c>
      <c r="B443" s="15" t="s">
        <v>443</v>
      </c>
      <c r="C443" s="15" t="s">
        <v>444</v>
      </c>
      <c r="D443" s="15" t="s">
        <v>445</v>
      </c>
      <c r="E443" s="15" t="s">
        <v>426</v>
      </c>
      <c r="F443" s="15"/>
      <c r="G443" s="15"/>
      <c r="H443" s="15" t="s">
        <v>348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>
      <c r="A444" s="15" t="s">
        <v>430</v>
      </c>
      <c r="B444" s="15" t="s">
        <v>443</v>
      </c>
      <c r="C444" s="15" t="s">
        <v>448</v>
      </c>
      <c r="D444" s="15" t="s">
        <v>457</v>
      </c>
      <c r="E444" s="15" t="s">
        <v>429</v>
      </c>
      <c r="F444" s="15"/>
      <c r="G444" s="15"/>
      <c r="H444" s="15" t="s">
        <v>382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>
      <c r="A445" s="15" t="s">
        <v>430</v>
      </c>
      <c r="B445" s="15" t="s">
        <v>443</v>
      </c>
      <c r="C445" s="15" t="s">
        <v>452</v>
      </c>
      <c r="D445" s="15" t="s">
        <v>453</v>
      </c>
      <c r="E445" s="15" t="s">
        <v>429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>
      <c r="A446" s="15" t="s">
        <v>94</v>
      </c>
      <c r="B446" s="15" t="s">
        <v>443</v>
      </c>
      <c r="C446" s="15" t="s">
        <v>448</v>
      </c>
      <c r="D446" s="15" t="s">
        <v>449</v>
      </c>
      <c r="E446" s="15" t="s">
        <v>429</v>
      </c>
      <c r="F446" s="15">
        <v>1</v>
      </c>
      <c r="G446" s="15">
        <v>2</v>
      </c>
      <c r="H446" s="15" t="s">
        <v>382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>
      <c r="A447" s="15" t="s">
        <v>94</v>
      </c>
      <c r="B447" s="15" t="s">
        <v>443</v>
      </c>
      <c r="C447" s="15" t="s">
        <v>448</v>
      </c>
      <c r="D447" s="15" t="s">
        <v>450</v>
      </c>
      <c r="E447" s="15" t="s">
        <v>429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>
      <c r="A448" s="15" t="s">
        <v>94</v>
      </c>
      <c r="B448" s="15" t="s">
        <v>443</v>
      </c>
      <c r="C448" s="15" t="s">
        <v>448</v>
      </c>
      <c r="D448" s="15" t="s">
        <v>451</v>
      </c>
      <c r="E448" s="15" t="s">
        <v>429</v>
      </c>
      <c r="F448" s="15"/>
      <c r="G448" s="15"/>
      <c r="H448" s="15" t="s">
        <v>382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>
      <c r="A449" s="15" t="s">
        <v>94</v>
      </c>
      <c r="B449" s="15" t="s">
        <v>443</v>
      </c>
      <c r="C449" s="15" t="s">
        <v>458</v>
      </c>
      <c r="D449" s="15" t="s">
        <v>459</v>
      </c>
      <c r="E449" s="15" t="s">
        <v>429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>
      <c r="A450" s="15" t="s">
        <v>94</v>
      </c>
      <c r="B450" s="15" t="s">
        <v>443</v>
      </c>
      <c r="C450" s="15" t="s">
        <v>452</v>
      </c>
      <c r="D450" s="15" t="s">
        <v>453</v>
      </c>
      <c r="E450" s="15" t="s">
        <v>429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>
      <c r="A451" s="15" t="s">
        <v>432</v>
      </c>
      <c r="B451" s="15" t="s">
        <v>443</v>
      </c>
      <c r="C451" s="15" t="s">
        <v>458</v>
      </c>
      <c r="D451" s="15" t="s">
        <v>460</v>
      </c>
      <c r="E451" s="15" t="s">
        <v>426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>
      <c r="A452" s="15" t="s">
        <v>69</v>
      </c>
      <c r="B452" s="15" t="s">
        <v>443</v>
      </c>
      <c r="C452" s="15" t="s">
        <v>458</v>
      </c>
      <c r="D452" s="15" t="s">
        <v>459</v>
      </c>
      <c r="E452" s="15" t="s">
        <v>455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>
      <c r="A453" s="15" t="s">
        <v>69</v>
      </c>
      <c r="B453" s="15" t="s">
        <v>443</v>
      </c>
      <c r="C453" s="15" t="s">
        <v>458</v>
      </c>
      <c r="D453" s="15" t="s">
        <v>459</v>
      </c>
      <c r="E453" s="15" t="s">
        <v>426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>
      <c r="A454" s="15" t="s">
        <v>436</v>
      </c>
      <c r="B454" s="15" t="s">
        <v>443</v>
      </c>
      <c r="C454" s="15" t="s">
        <v>458</v>
      </c>
      <c r="D454" s="15" t="s">
        <v>461</v>
      </c>
      <c r="E454" s="15" t="s">
        <v>455</v>
      </c>
      <c r="F454" s="15">
        <v>1</v>
      </c>
      <c r="G454" s="15">
        <v>2</v>
      </c>
      <c r="H454" s="15" t="s">
        <v>348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>
      <c r="A455" s="15" t="s">
        <v>436</v>
      </c>
      <c r="B455" s="15" t="s">
        <v>443</v>
      </c>
      <c r="C455" s="15" t="s">
        <v>458</v>
      </c>
      <c r="D455" s="15" t="s">
        <v>461</v>
      </c>
      <c r="E455" s="15" t="s">
        <v>426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>
      <c r="A456" s="15" t="s">
        <v>436</v>
      </c>
      <c r="B456" s="15" t="s">
        <v>443</v>
      </c>
      <c r="C456" s="15" t="s">
        <v>458</v>
      </c>
      <c r="D456" s="15" t="s">
        <v>462</v>
      </c>
      <c r="E456" s="15" t="s">
        <v>455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>
      <c r="A457" s="15" t="s">
        <v>436</v>
      </c>
      <c r="B457" s="15" t="s">
        <v>443</v>
      </c>
      <c r="C457" s="15" t="s">
        <v>458</v>
      </c>
      <c r="D457" s="15" t="s">
        <v>462</v>
      </c>
      <c r="E457" s="15" t="s">
        <v>426</v>
      </c>
      <c r="F457" s="15"/>
      <c r="G457" s="15"/>
      <c r="H457" s="15" t="s">
        <v>348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>
      <c r="A458" s="15" t="s">
        <v>436</v>
      </c>
      <c r="B458" s="15" t="s">
        <v>443</v>
      </c>
      <c r="C458" s="15" t="s">
        <v>458</v>
      </c>
      <c r="D458" s="15" t="s">
        <v>459</v>
      </c>
      <c r="E458" s="15" t="s">
        <v>455</v>
      </c>
      <c r="F458" s="15"/>
      <c r="G458" s="15"/>
      <c r="H458" s="15" t="s">
        <v>348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>
      <c r="A459" s="15" t="s">
        <v>436</v>
      </c>
      <c r="B459" s="15" t="s">
        <v>443</v>
      </c>
      <c r="C459" s="15" t="s">
        <v>458</v>
      </c>
      <c r="D459" s="15" t="s">
        <v>459</v>
      </c>
      <c r="E459" s="15" t="s">
        <v>426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>
      <c r="A460" s="15" t="s">
        <v>436</v>
      </c>
      <c r="B460" s="15" t="s">
        <v>443</v>
      </c>
      <c r="C460" s="15" t="s">
        <v>452</v>
      </c>
      <c r="D460" s="15" t="s">
        <v>453</v>
      </c>
      <c r="E460" s="15" t="s">
        <v>455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>
      <c r="A461" s="15" t="s">
        <v>436</v>
      </c>
      <c r="B461" s="15" t="s">
        <v>443</v>
      </c>
      <c r="C461" s="15" t="s">
        <v>452</v>
      </c>
      <c r="D461" s="15" t="s">
        <v>453</v>
      </c>
      <c r="E461" s="15" t="s">
        <v>426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>
      <c r="A462" s="15" t="s">
        <v>463</v>
      </c>
      <c r="B462" s="15" t="s">
        <v>443</v>
      </c>
      <c r="C462" s="15" t="s">
        <v>444</v>
      </c>
      <c r="D462" s="15" t="s">
        <v>464</v>
      </c>
      <c r="E462" s="15" t="s">
        <v>447</v>
      </c>
      <c r="F462" s="15">
        <v>1</v>
      </c>
      <c r="G462" s="15"/>
      <c r="H462" s="15" t="s">
        <v>348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>
      <c r="A463" s="15" t="s">
        <v>463</v>
      </c>
      <c r="B463" s="15" t="s">
        <v>443</v>
      </c>
      <c r="C463" s="15" t="s">
        <v>444</v>
      </c>
      <c r="D463" s="15" t="s">
        <v>464</v>
      </c>
      <c r="E463" s="15" t="s">
        <v>455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>
      <c r="A464" s="15" t="s">
        <v>463</v>
      </c>
      <c r="B464" s="15" t="s">
        <v>443</v>
      </c>
      <c r="C464" s="15" t="s">
        <v>444</v>
      </c>
      <c r="D464" s="15" t="s">
        <v>464</v>
      </c>
      <c r="E464" s="15" t="s">
        <v>426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>
      <c r="A465" s="15" t="s">
        <v>68</v>
      </c>
      <c r="B465" s="15" t="s">
        <v>443</v>
      </c>
      <c r="C465" s="15" t="s">
        <v>458</v>
      </c>
      <c r="D465" s="15" t="s">
        <v>460</v>
      </c>
      <c r="E465" s="15" t="s">
        <v>455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>
      <c r="A466" s="15" t="s">
        <v>68</v>
      </c>
      <c r="B466" s="15" t="s">
        <v>443</v>
      </c>
      <c r="C466" s="15" t="s">
        <v>458</v>
      </c>
      <c r="D466" s="15" t="s">
        <v>460</v>
      </c>
      <c r="E466" s="15" t="s">
        <v>426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>
      <c r="A467" s="15" t="s">
        <v>77</v>
      </c>
      <c r="B467" s="15" t="s">
        <v>443</v>
      </c>
      <c r="C467" s="15" t="s">
        <v>444</v>
      </c>
      <c r="D467" s="15" t="s">
        <v>445</v>
      </c>
      <c r="E467" s="15" t="s">
        <v>455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>
      <c r="A468" s="15" t="s">
        <v>77</v>
      </c>
      <c r="B468" s="15" t="s">
        <v>443</v>
      </c>
      <c r="C468" s="15" t="s">
        <v>444</v>
      </c>
      <c r="D468" s="15" t="s">
        <v>445</v>
      </c>
      <c r="E468" s="15" t="s">
        <v>426</v>
      </c>
      <c r="F468" s="15">
        <v>1</v>
      </c>
      <c r="G468" s="15"/>
      <c r="H468" s="15" t="s">
        <v>348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>
      <c r="A469" s="15" t="s">
        <v>77</v>
      </c>
      <c r="B469" s="15" t="s">
        <v>443</v>
      </c>
      <c r="C469" s="15" t="s">
        <v>444</v>
      </c>
      <c r="D469" s="15" t="s">
        <v>456</v>
      </c>
      <c r="E469" s="15" t="s">
        <v>455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>
      <c r="A470" s="15" t="s">
        <v>77</v>
      </c>
      <c r="B470" s="15" t="s">
        <v>443</v>
      </c>
      <c r="C470" s="15" t="s">
        <v>444</v>
      </c>
      <c r="D470" s="15" t="s">
        <v>456</v>
      </c>
      <c r="E470" s="15" t="s">
        <v>426</v>
      </c>
      <c r="F470" s="15"/>
      <c r="G470" s="15"/>
      <c r="H470" s="15" t="s">
        <v>348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>
      <c r="A471" s="15" t="s">
        <v>77</v>
      </c>
      <c r="B471" s="15" t="s">
        <v>443</v>
      </c>
      <c r="C471" s="15" t="s">
        <v>452</v>
      </c>
      <c r="D471" s="15" t="s">
        <v>453</v>
      </c>
      <c r="E471" s="15" t="s">
        <v>455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>
      <c r="A472" s="15" t="s">
        <v>77</v>
      </c>
      <c r="B472" s="15" t="s">
        <v>443</v>
      </c>
      <c r="C472" s="15" t="s">
        <v>452</v>
      </c>
      <c r="D472" s="15" t="s">
        <v>453</v>
      </c>
      <c r="E472" s="15" t="s">
        <v>426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>
      <c r="A473" s="15" t="s">
        <v>465</v>
      </c>
      <c r="B473" s="15" t="s">
        <v>443</v>
      </c>
      <c r="C473" s="15" t="s">
        <v>444</v>
      </c>
      <c r="D473" s="15" t="s">
        <v>445</v>
      </c>
      <c r="E473" s="15" t="s">
        <v>455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>
      <c r="A474" s="15" t="s">
        <v>465</v>
      </c>
      <c r="B474" s="15" t="s">
        <v>443</v>
      </c>
      <c r="C474" s="15" t="s">
        <v>444</v>
      </c>
      <c r="D474" s="15" t="s">
        <v>445</v>
      </c>
      <c r="E474" s="15" t="s">
        <v>426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>
      <c r="A475" s="15" t="s">
        <v>85</v>
      </c>
      <c r="B475" s="15" t="s">
        <v>443</v>
      </c>
      <c r="C475" s="15" t="s">
        <v>458</v>
      </c>
      <c r="D475" s="15" t="s">
        <v>466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>
      <c r="A476" s="15" t="s">
        <v>91</v>
      </c>
      <c r="B476" s="15" t="s">
        <v>443</v>
      </c>
      <c r="C476" s="15" t="s">
        <v>458</v>
      </c>
      <c r="D476" s="15" t="s">
        <v>466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>
      <c r="A477" s="15" t="s">
        <v>454</v>
      </c>
      <c r="B477" s="15" t="s">
        <v>443</v>
      </c>
      <c r="C477" s="15" t="s">
        <v>458</v>
      </c>
      <c r="D477" s="15" t="s">
        <v>466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>
      <c r="A478" s="15" t="s">
        <v>430</v>
      </c>
      <c r="B478" s="15" t="s">
        <v>443</v>
      </c>
      <c r="C478" s="15" t="s">
        <v>458</v>
      </c>
      <c r="D478" s="15" t="s">
        <v>466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>
      <c r="A479" s="15" t="s">
        <v>94</v>
      </c>
      <c r="B479" s="15" t="s">
        <v>443</v>
      </c>
      <c r="C479" s="15" t="s">
        <v>458</v>
      </c>
      <c r="D479" s="15" t="s">
        <v>466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>
      <c r="A480" s="15" t="s">
        <v>436</v>
      </c>
      <c r="B480" s="15" t="s">
        <v>443</v>
      </c>
      <c r="C480" s="15" t="s">
        <v>458</v>
      </c>
      <c r="D480" s="15" t="s">
        <v>466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>
      <c r="A481" s="15" t="s">
        <v>463</v>
      </c>
      <c r="B481" s="15" t="s">
        <v>443</v>
      </c>
      <c r="C481" s="15" t="s">
        <v>458</v>
      </c>
      <c r="D481" s="15" t="s">
        <v>466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>
      <c r="A482" s="15" t="s">
        <v>77</v>
      </c>
      <c r="B482" s="15" t="s">
        <v>443</v>
      </c>
      <c r="C482" s="15" t="s">
        <v>458</v>
      </c>
      <c r="D482" s="15" t="s">
        <v>466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>
      <c r="A483" s="15" t="s">
        <v>85</v>
      </c>
      <c r="B483" s="15" t="s">
        <v>443</v>
      </c>
      <c r="C483" s="15" t="s">
        <v>467</v>
      </c>
      <c r="D483" s="15" t="s">
        <v>468</v>
      </c>
      <c r="E483" s="15" t="s">
        <v>426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>
      <c r="A484" s="15" t="s">
        <v>91</v>
      </c>
      <c r="B484" s="15" t="s">
        <v>443</v>
      </c>
      <c r="C484" s="15" t="s">
        <v>467</v>
      </c>
      <c r="D484" s="15" t="s">
        <v>468</v>
      </c>
      <c r="E484" s="15" t="s">
        <v>429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>
      <c r="A485" s="15" t="s">
        <v>454</v>
      </c>
      <c r="B485" s="15" t="s">
        <v>443</v>
      </c>
      <c r="C485" s="15" t="s">
        <v>467</v>
      </c>
      <c r="D485" s="15" t="s">
        <v>468</v>
      </c>
      <c r="E485" s="15" t="s">
        <v>426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>
      <c r="A486" s="15" t="s">
        <v>430</v>
      </c>
      <c r="B486" s="15" t="s">
        <v>443</v>
      </c>
      <c r="C486" s="15" t="s">
        <v>467</v>
      </c>
      <c r="D486" s="15" t="s">
        <v>468</v>
      </c>
      <c r="E486" s="15" t="s">
        <v>429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>
      <c r="A487" s="15" t="s">
        <v>94</v>
      </c>
      <c r="B487" s="15" t="s">
        <v>443</v>
      </c>
      <c r="C487" s="15" t="s">
        <v>467</v>
      </c>
      <c r="D487" s="15" t="s">
        <v>468</v>
      </c>
      <c r="E487" s="15" t="s">
        <v>429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>
      <c r="A488" s="15" t="s">
        <v>432</v>
      </c>
      <c r="B488" s="15" t="s">
        <v>443</v>
      </c>
      <c r="C488" s="15" t="s">
        <v>467</v>
      </c>
      <c r="D488" s="15" t="s">
        <v>468</v>
      </c>
      <c r="E488" s="15" t="s">
        <v>426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>
      <c r="A489" s="15" t="s">
        <v>69</v>
      </c>
      <c r="B489" s="15" t="s">
        <v>443</v>
      </c>
      <c r="C489" s="15" t="s">
        <v>467</v>
      </c>
      <c r="D489" s="15" t="s">
        <v>468</v>
      </c>
      <c r="E489" s="15" t="s">
        <v>426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>
      <c r="A490" s="15" t="s">
        <v>436</v>
      </c>
      <c r="B490" s="15" t="s">
        <v>443</v>
      </c>
      <c r="C490" s="15" t="s">
        <v>467</v>
      </c>
      <c r="D490" s="15" t="s">
        <v>468</v>
      </c>
      <c r="E490" s="15" t="s">
        <v>455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>
      <c r="A491" s="15" t="s">
        <v>463</v>
      </c>
      <c r="B491" s="15" t="s">
        <v>443</v>
      </c>
      <c r="C491" s="15" t="s">
        <v>467</v>
      </c>
      <c r="D491" s="15" t="s">
        <v>468</v>
      </c>
      <c r="E491" s="15" t="s">
        <v>447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>
      <c r="A492" s="15" t="s">
        <v>68</v>
      </c>
      <c r="B492" s="15" t="s">
        <v>443</v>
      </c>
      <c r="C492" s="15" t="s">
        <v>467</v>
      </c>
      <c r="D492" s="15" t="s">
        <v>468</v>
      </c>
      <c r="E492" s="15" t="s">
        <v>426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>
      <c r="A493" s="15" t="s">
        <v>77</v>
      </c>
      <c r="B493" s="15" t="s">
        <v>443</v>
      </c>
      <c r="C493" s="15" t="s">
        <v>467</v>
      </c>
      <c r="D493" s="15" t="s">
        <v>468</v>
      </c>
      <c r="E493" s="15" t="s">
        <v>455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>
      <c r="A494" s="15" t="s">
        <v>77</v>
      </c>
      <c r="B494" s="15" t="s">
        <v>443</v>
      </c>
      <c r="C494" s="15" t="s">
        <v>467</v>
      </c>
      <c r="D494" s="15" t="s">
        <v>468</v>
      </c>
      <c r="E494" s="15" t="s">
        <v>426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>
      <c r="A495" s="15" t="s">
        <v>425</v>
      </c>
      <c r="B495" s="15" t="s">
        <v>469</v>
      </c>
      <c r="C495" s="15" t="s">
        <v>470</v>
      </c>
      <c r="D495" s="15" t="s">
        <v>471</v>
      </c>
      <c r="E495" s="15"/>
      <c r="F495" s="15"/>
      <c r="G495" s="15"/>
      <c r="H495" s="15" t="s">
        <v>348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>
      <c r="A496" s="15" t="s">
        <v>425</v>
      </c>
      <c r="B496" s="15" t="s">
        <v>469</v>
      </c>
      <c r="C496" s="15" t="s">
        <v>470</v>
      </c>
      <c r="D496" s="15" t="s">
        <v>472</v>
      </c>
      <c r="E496" s="15"/>
      <c r="F496" s="15"/>
      <c r="G496" s="15"/>
      <c r="H496" s="15" t="s">
        <v>348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>
      <c r="A497" s="15" t="s">
        <v>388</v>
      </c>
      <c r="B497" s="15" t="s">
        <v>469</v>
      </c>
      <c r="C497" s="15" t="s">
        <v>470</v>
      </c>
      <c r="D497" s="15" t="s">
        <v>473</v>
      </c>
      <c r="E497" s="15"/>
      <c r="F497" s="15"/>
      <c r="G497" s="15"/>
      <c r="H497" s="15" t="s">
        <v>348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>
      <c r="A498" s="15" t="s">
        <v>388</v>
      </c>
      <c r="B498" s="15" t="s">
        <v>469</v>
      </c>
      <c r="C498" s="15" t="s">
        <v>470</v>
      </c>
      <c r="D498" s="15" t="s">
        <v>471</v>
      </c>
      <c r="E498" s="15"/>
      <c r="F498" s="15"/>
      <c r="G498" s="15"/>
      <c r="H498" s="15" t="s">
        <v>348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>
      <c r="A499" s="15" t="s">
        <v>388</v>
      </c>
      <c r="B499" s="15" t="s">
        <v>469</v>
      </c>
      <c r="C499" s="15" t="s">
        <v>470</v>
      </c>
      <c r="D499" s="15" t="s">
        <v>472</v>
      </c>
      <c r="E499" s="15"/>
      <c r="F499" s="15"/>
      <c r="G499" s="15"/>
      <c r="H499" s="15" t="s">
        <v>348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>
      <c r="A500" s="15" t="s">
        <v>349</v>
      </c>
      <c r="B500" s="15" t="s">
        <v>469</v>
      </c>
      <c r="C500" s="15" t="s">
        <v>470</v>
      </c>
      <c r="D500" s="15" t="s">
        <v>473</v>
      </c>
      <c r="E500" s="15"/>
      <c r="F500" s="15"/>
      <c r="G500" s="15"/>
      <c r="H500" s="15" t="s">
        <v>348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>
      <c r="A501" s="15" t="s">
        <v>349</v>
      </c>
      <c r="B501" s="15" t="s">
        <v>469</v>
      </c>
      <c r="C501" s="15" t="s">
        <v>470</v>
      </c>
      <c r="D501" s="15" t="s">
        <v>471</v>
      </c>
      <c r="E501" s="15"/>
      <c r="F501" s="15"/>
      <c r="G501" s="15"/>
      <c r="H501" s="15" t="s">
        <v>348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>
      <c r="A502" s="15" t="s">
        <v>349</v>
      </c>
      <c r="B502" s="15" t="s">
        <v>469</v>
      </c>
      <c r="C502" s="15" t="s">
        <v>470</v>
      </c>
      <c r="D502" s="15" t="s">
        <v>472</v>
      </c>
      <c r="E502" s="15"/>
      <c r="F502" s="15"/>
      <c r="G502" s="15"/>
      <c r="H502" s="15" t="s">
        <v>348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>
      <c r="A503" s="15" t="s">
        <v>140</v>
      </c>
      <c r="B503" s="15" t="s">
        <v>469</v>
      </c>
      <c r="C503" s="15" t="s">
        <v>470</v>
      </c>
      <c r="D503" s="15" t="s">
        <v>473</v>
      </c>
      <c r="E503" s="15"/>
      <c r="F503" s="15"/>
      <c r="G503" s="15"/>
      <c r="H503" s="15" t="s">
        <v>348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>
      <c r="A504" s="15" t="s">
        <v>140</v>
      </c>
      <c r="B504" s="15" t="s">
        <v>469</v>
      </c>
      <c r="C504" s="15" t="s">
        <v>470</v>
      </c>
      <c r="D504" s="15" t="s">
        <v>471</v>
      </c>
      <c r="E504" s="15"/>
      <c r="F504" s="15"/>
      <c r="G504" s="15"/>
      <c r="H504" s="15" t="s">
        <v>348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>
      <c r="A505" s="15" t="s">
        <v>140</v>
      </c>
      <c r="B505" s="15" t="s">
        <v>469</v>
      </c>
      <c r="C505" s="15" t="s">
        <v>470</v>
      </c>
      <c r="D505" s="15" t="s">
        <v>472</v>
      </c>
      <c r="E505" s="15"/>
      <c r="F505" s="15"/>
      <c r="G505" s="15"/>
      <c r="H505" s="15" t="s">
        <v>348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>
      <c r="A506" s="15" t="s">
        <v>131</v>
      </c>
      <c r="B506" s="15" t="s">
        <v>469</v>
      </c>
      <c r="C506" s="15" t="s">
        <v>470</v>
      </c>
      <c r="D506" s="15" t="s">
        <v>473</v>
      </c>
      <c r="E506" s="15"/>
      <c r="F506" s="15"/>
      <c r="G506" s="15"/>
      <c r="H506" s="15" t="s">
        <v>348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>
      <c r="A507" s="15" t="s">
        <v>131</v>
      </c>
      <c r="B507" s="15" t="s">
        <v>469</v>
      </c>
      <c r="C507" s="15" t="s">
        <v>470</v>
      </c>
      <c r="D507" s="15" t="s">
        <v>471</v>
      </c>
      <c r="E507" s="15"/>
      <c r="F507" s="15"/>
      <c r="G507" s="15"/>
      <c r="H507" s="15" t="s">
        <v>348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>
      <c r="A508" s="15" t="s">
        <v>131</v>
      </c>
      <c r="B508" s="15" t="s">
        <v>469</v>
      </c>
      <c r="C508" s="15" t="s">
        <v>470</v>
      </c>
      <c r="D508" s="15" t="s">
        <v>472</v>
      </c>
      <c r="E508" s="15"/>
      <c r="F508" s="15"/>
      <c r="G508" s="15"/>
      <c r="H508" s="15" t="s">
        <v>348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>
      <c r="A509" s="15" t="s">
        <v>127</v>
      </c>
      <c r="B509" s="15" t="s">
        <v>469</v>
      </c>
      <c r="C509" s="15" t="s">
        <v>470</v>
      </c>
      <c r="D509" s="15" t="s">
        <v>473</v>
      </c>
      <c r="E509" s="15"/>
      <c r="F509" s="15"/>
      <c r="G509" s="15"/>
      <c r="H509" s="15" t="s">
        <v>348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>
      <c r="A510" s="15" t="s">
        <v>127</v>
      </c>
      <c r="B510" s="15" t="s">
        <v>469</v>
      </c>
      <c r="C510" s="15" t="s">
        <v>470</v>
      </c>
      <c r="D510" s="15" t="s">
        <v>471</v>
      </c>
      <c r="E510" s="15"/>
      <c r="F510" s="15"/>
      <c r="G510" s="15"/>
      <c r="H510" s="15" t="s">
        <v>348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>
      <c r="A511" s="15" t="s">
        <v>127</v>
      </c>
      <c r="B511" s="15" t="s">
        <v>469</v>
      </c>
      <c r="C511" s="15" t="s">
        <v>470</v>
      </c>
      <c r="D511" s="15" t="s">
        <v>472</v>
      </c>
      <c r="E511" s="15"/>
      <c r="F511" s="15"/>
      <c r="G511" s="15"/>
      <c r="H511" s="15" t="s">
        <v>348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>
      <c r="A512" s="15" t="s">
        <v>137</v>
      </c>
      <c r="B512" s="15" t="s">
        <v>469</v>
      </c>
      <c r="C512" s="15" t="s">
        <v>470</v>
      </c>
      <c r="D512" s="15" t="s">
        <v>473</v>
      </c>
      <c r="E512" s="15"/>
      <c r="F512" s="15"/>
      <c r="G512" s="15"/>
      <c r="H512" s="15" t="s">
        <v>348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>
      <c r="A513" s="15" t="s">
        <v>137</v>
      </c>
      <c r="B513" s="15" t="s">
        <v>469</v>
      </c>
      <c r="C513" s="15" t="s">
        <v>470</v>
      </c>
      <c r="D513" s="15" t="s">
        <v>471</v>
      </c>
      <c r="E513" s="15"/>
      <c r="F513" s="15"/>
      <c r="G513" s="15"/>
      <c r="H513" s="15" t="s">
        <v>348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>
      <c r="A514" s="15" t="s">
        <v>137</v>
      </c>
      <c r="B514" s="15" t="s">
        <v>469</v>
      </c>
      <c r="C514" s="15" t="s">
        <v>470</v>
      </c>
      <c r="D514" s="15" t="s">
        <v>472</v>
      </c>
      <c r="E514" s="15"/>
      <c r="F514" s="15"/>
      <c r="G514" s="15"/>
      <c r="H514" s="15" t="s">
        <v>348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>
      <c r="A515" s="15" t="s">
        <v>144</v>
      </c>
      <c r="B515" s="15" t="s">
        <v>469</v>
      </c>
      <c r="C515" s="15" t="s">
        <v>470</v>
      </c>
      <c r="D515" s="15" t="s">
        <v>471</v>
      </c>
      <c r="E515" s="15"/>
      <c r="F515" s="15"/>
      <c r="G515" s="15"/>
      <c r="H515" s="15" t="s">
        <v>348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>
      <c r="A516" s="15" t="s">
        <v>143</v>
      </c>
      <c r="B516" s="15" t="s">
        <v>469</v>
      </c>
      <c r="C516" s="15" t="s">
        <v>470</v>
      </c>
      <c r="D516" s="15" t="s">
        <v>471</v>
      </c>
      <c r="E516" s="15"/>
      <c r="F516" s="15"/>
      <c r="G516" s="15"/>
      <c r="H516" s="15" t="s">
        <v>348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>
      <c r="A517" s="15" t="s">
        <v>143</v>
      </c>
      <c r="B517" s="15" t="s">
        <v>469</v>
      </c>
      <c r="C517" s="15" t="s">
        <v>470</v>
      </c>
      <c r="D517" s="15" t="s">
        <v>472</v>
      </c>
      <c r="E517" s="15"/>
      <c r="F517" s="15"/>
      <c r="G517" s="15"/>
      <c r="H517" s="15" t="s">
        <v>348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>
      <c r="A518" s="15" t="s">
        <v>153</v>
      </c>
      <c r="B518" s="15" t="s">
        <v>469</v>
      </c>
      <c r="C518" s="15" t="s">
        <v>474</v>
      </c>
      <c r="D518" s="15" t="s">
        <v>475</v>
      </c>
      <c r="E518" s="15"/>
      <c r="F518" s="15"/>
      <c r="G518" s="15"/>
      <c r="H518" s="15" t="s">
        <v>348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>
      <c r="A519" s="15" t="s">
        <v>151</v>
      </c>
      <c r="B519" s="15" t="s">
        <v>469</v>
      </c>
      <c r="C519" s="15" t="s">
        <v>474</v>
      </c>
      <c r="D519" s="15" t="s">
        <v>475</v>
      </c>
      <c r="E519" s="15"/>
      <c r="F519" s="15"/>
      <c r="G519" s="15"/>
      <c r="H519" s="15" t="s">
        <v>348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>
      <c r="A520" s="15" t="s">
        <v>146</v>
      </c>
      <c r="B520" s="15" t="s">
        <v>469</v>
      </c>
      <c r="C520" s="15" t="s">
        <v>474</v>
      </c>
      <c r="D520" s="15" t="s">
        <v>475</v>
      </c>
      <c r="E520" s="15"/>
      <c r="F520" s="15"/>
      <c r="G520" s="15"/>
      <c r="H520" s="15" t="s">
        <v>348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>
      <c r="A521" s="15" t="s">
        <v>150</v>
      </c>
      <c r="B521" s="15" t="s">
        <v>469</v>
      </c>
      <c r="C521" s="15" t="s">
        <v>474</v>
      </c>
      <c r="D521" s="15" t="s">
        <v>475</v>
      </c>
      <c r="E521" s="15"/>
      <c r="F521" s="15"/>
      <c r="G521" s="15"/>
      <c r="H521" s="15" t="s">
        <v>348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>
      <c r="A522" s="15" t="s">
        <v>156</v>
      </c>
      <c r="B522" s="15" t="s">
        <v>469</v>
      </c>
      <c r="C522" s="15" t="s">
        <v>474</v>
      </c>
      <c r="D522" s="15" t="s">
        <v>475</v>
      </c>
      <c r="E522" s="15"/>
      <c r="F522" s="15"/>
      <c r="G522" s="15"/>
      <c r="H522" s="15" t="s">
        <v>348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>
      <c r="A523" s="15" t="s">
        <v>122</v>
      </c>
      <c r="B523" s="15" t="s">
        <v>469</v>
      </c>
      <c r="C523" s="15" t="s">
        <v>474</v>
      </c>
      <c r="D523" s="15" t="s">
        <v>475</v>
      </c>
      <c r="E523" s="15"/>
      <c r="F523" s="15"/>
      <c r="G523" s="15"/>
      <c r="H523" s="15" t="s">
        <v>348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>
      <c r="A524" s="15" t="s">
        <v>124</v>
      </c>
      <c r="B524" s="15" t="s">
        <v>469</v>
      </c>
      <c r="C524" s="15" t="s">
        <v>474</v>
      </c>
      <c r="D524" s="15" t="s">
        <v>475</v>
      </c>
      <c r="E524" s="15"/>
      <c r="F524" s="15"/>
      <c r="G524" s="15"/>
      <c r="H524" s="15" t="s">
        <v>348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>
      <c r="A525" s="15" t="s">
        <v>106</v>
      </c>
      <c r="B525" s="15" t="s">
        <v>469</v>
      </c>
      <c r="C525" s="15" t="s">
        <v>474</v>
      </c>
      <c r="D525" s="15" t="s">
        <v>475</v>
      </c>
      <c r="E525" s="15"/>
      <c r="F525" s="15"/>
      <c r="G525" s="15"/>
      <c r="H525" s="15" t="s">
        <v>348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>
      <c r="A526" s="15" t="s">
        <v>107</v>
      </c>
      <c r="B526" s="15" t="s">
        <v>469</v>
      </c>
      <c r="C526" s="15" t="s">
        <v>474</v>
      </c>
      <c r="D526" s="15" t="s">
        <v>475</v>
      </c>
      <c r="E526" s="15"/>
      <c r="F526" s="15"/>
      <c r="G526" s="15"/>
      <c r="H526" s="15" t="s">
        <v>348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>
      <c r="A527" s="15" t="s">
        <v>109</v>
      </c>
      <c r="B527" s="15" t="s">
        <v>469</v>
      </c>
      <c r="C527" s="15" t="s">
        <v>474</v>
      </c>
      <c r="D527" s="15" t="s">
        <v>475</v>
      </c>
      <c r="E527" s="15"/>
      <c r="F527" s="15"/>
      <c r="G527" s="15"/>
      <c r="H527" s="15" t="s">
        <v>348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>
      <c r="A528" s="15" t="s">
        <v>59</v>
      </c>
      <c r="B528" s="15" t="s">
        <v>469</v>
      </c>
      <c r="C528" s="15" t="s">
        <v>474</v>
      </c>
      <c r="D528" s="15" t="s">
        <v>475</v>
      </c>
      <c r="E528" s="15"/>
      <c r="F528" s="15"/>
      <c r="G528" s="15"/>
      <c r="H528" s="15" t="s">
        <v>348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>
      <c r="A529" s="15" t="s">
        <v>58</v>
      </c>
      <c r="B529" s="15" t="s">
        <v>469</v>
      </c>
      <c r="C529" s="15" t="s">
        <v>474</v>
      </c>
      <c r="D529" s="15" t="s">
        <v>475</v>
      </c>
      <c r="E529" s="15"/>
      <c r="F529" s="15"/>
      <c r="G529" s="15"/>
      <c r="H529" s="15" t="s">
        <v>348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>
      <c r="A530" s="15" t="s">
        <v>54</v>
      </c>
      <c r="B530" s="15" t="s">
        <v>469</v>
      </c>
      <c r="C530" s="15" t="s">
        <v>474</v>
      </c>
      <c r="D530" s="15" t="s">
        <v>475</v>
      </c>
      <c r="E530" s="15"/>
      <c r="F530" s="15"/>
      <c r="G530" s="15"/>
      <c r="H530" s="15" t="s">
        <v>348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>
      <c r="A531" s="15" t="s">
        <v>58</v>
      </c>
      <c r="B531" s="15" t="s">
        <v>469</v>
      </c>
      <c r="C531" s="15" t="s">
        <v>474</v>
      </c>
      <c r="D531" s="15" t="s">
        <v>475</v>
      </c>
      <c r="E531" s="15"/>
      <c r="F531" s="15"/>
      <c r="G531" s="15"/>
      <c r="H531" s="15" t="s">
        <v>348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>
      <c r="A532" s="15" t="s">
        <v>338</v>
      </c>
      <c r="B532" s="15" t="s">
        <v>469</v>
      </c>
      <c r="C532" s="15" t="s">
        <v>474</v>
      </c>
      <c r="D532" s="15" t="s">
        <v>475</v>
      </c>
      <c r="E532" s="15"/>
      <c r="F532" s="15"/>
      <c r="G532" s="15"/>
      <c r="H532" s="15" t="s">
        <v>477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>
      <c r="A533" s="15" t="s">
        <v>24</v>
      </c>
      <c r="B533" s="15" t="s">
        <v>469</v>
      </c>
      <c r="C533" s="15" t="s">
        <v>474</v>
      </c>
      <c r="D533" s="15" t="s">
        <v>475</v>
      </c>
      <c r="E533" s="15"/>
      <c r="F533" s="15"/>
      <c r="G533" s="15"/>
      <c r="H533" s="15" t="s">
        <v>477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>
      <c r="A534" s="15" t="s">
        <v>23</v>
      </c>
      <c r="B534" s="15" t="s">
        <v>469</v>
      </c>
      <c r="C534" s="15" t="s">
        <v>474</v>
      </c>
      <c r="D534" s="15" t="s">
        <v>475</v>
      </c>
      <c r="E534" s="15"/>
      <c r="F534" s="15"/>
      <c r="G534" s="15"/>
      <c r="H534" s="15" t="s">
        <v>477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>
      <c r="A535" s="15" t="s">
        <v>19</v>
      </c>
      <c r="B535" s="15" t="s">
        <v>469</v>
      </c>
      <c r="C535" s="15" t="s">
        <v>474</v>
      </c>
      <c r="D535" s="15" t="s">
        <v>475</v>
      </c>
      <c r="E535" s="15"/>
      <c r="F535" s="15"/>
      <c r="G535" s="15"/>
      <c r="H535" s="15" t="s">
        <v>477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>
      <c r="A536" s="15" t="s">
        <v>22</v>
      </c>
      <c r="B536" s="15" t="s">
        <v>469</v>
      </c>
      <c r="C536" s="15" t="s">
        <v>474</v>
      </c>
      <c r="D536" s="15" t="s">
        <v>475</v>
      </c>
      <c r="E536" s="15"/>
      <c r="F536" s="15"/>
      <c r="G536" s="15"/>
      <c r="H536" s="15" t="s">
        <v>477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>
      <c r="A537" s="15" t="s">
        <v>155</v>
      </c>
      <c r="B537" s="15" t="s">
        <v>469</v>
      </c>
      <c r="C537" s="15" t="s">
        <v>474</v>
      </c>
      <c r="D537" s="15" t="s">
        <v>475</v>
      </c>
      <c r="E537" s="15"/>
      <c r="F537" s="15"/>
      <c r="G537" s="15"/>
      <c r="H537" s="15" t="s">
        <v>477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>
      <c r="A538" s="15" t="s">
        <v>20</v>
      </c>
      <c r="B538" s="15" t="s">
        <v>469</v>
      </c>
      <c r="C538" s="15" t="s">
        <v>474</v>
      </c>
      <c r="D538" s="15" t="s">
        <v>475</v>
      </c>
      <c r="E538" s="15"/>
      <c r="F538" s="15"/>
      <c r="G538" s="15"/>
      <c r="H538" s="15" t="s">
        <v>477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>
      <c r="A539" s="15" t="s">
        <v>388</v>
      </c>
      <c r="B539" s="15" t="s">
        <v>469</v>
      </c>
      <c r="C539" s="15" t="s">
        <v>474</v>
      </c>
      <c r="D539" s="15" t="s">
        <v>475</v>
      </c>
      <c r="E539" s="15"/>
      <c r="F539" s="15"/>
      <c r="G539" s="15"/>
      <c r="H539" s="15" t="s">
        <v>348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>
      <c r="A540" s="15" t="s">
        <v>349</v>
      </c>
      <c r="B540" s="15" t="s">
        <v>469</v>
      </c>
      <c r="C540" s="15" t="s">
        <v>474</v>
      </c>
      <c r="D540" s="15" t="s">
        <v>475</v>
      </c>
      <c r="E540" s="15"/>
      <c r="F540" s="15"/>
      <c r="G540" s="15"/>
      <c r="H540" s="15" t="s">
        <v>348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>
      <c r="A541" s="15" t="s">
        <v>140</v>
      </c>
      <c r="B541" s="15" t="s">
        <v>469</v>
      </c>
      <c r="C541" s="15" t="s">
        <v>474</v>
      </c>
      <c r="D541" s="15" t="s">
        <v>475</v>
      </c>
      <c r="E541" s="15"/>
      <c r="F541" s="15"/>
      <c r="G541" s="15"/>
      <c r="H541" s="15" t="s">
        <v>348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>
      <c r="A542" s="15" t="s">
        <v>131</v>
      </c>
      <c r="B542" s="15" t="s">
        <v>469</v>
      </c>
      <c r="C542" s="15" t="s">
        <v>474</v>
      </c>
      <c r="D542" s="15" t="s">
        <v>475</v>
      </c>
      <c r="E542" s="15"/>
      <c r="F542" s="15"/>
      <c r="G542" s="15"/>
      <c r="H542" s="15" t="s">
        <v>348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>
      <c r="A543" s="15" t="s">
        <v>127</v>
      </c>
      <c r="B543" s="15" t="s">
        <v>469</v>
      </c>
      <c r="C543" s="15" t="s">
        <v>474</v>
      </c>
      <c r="D543" s="15" t="s">
        <v>475</v>
      </c>
      <c r="E543" s="15"/>
      <c r="F543" s="15"/>
      <c r="G543" s="15"/>
      <c r="H543" s="15" t="s">
        <v>348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>
      <c r="A544" s="15" t="s">
        <v>137</v>
      </c>
      <c r="B544" s="15" t="s">
        <v>469</v>
      </c>
      <c r="C544" s="15" t="s">
        <v>474</v>
      </c>
      <c r="D544" s="15" t="s">
        <v>475</v>
      </c>
      <c r="E544" s="15"/>
      <c r="F544" s="15"/>
      <c r="G544" s="15">
        <v>1</v>
      </c>
      <c r="H544" s="15" t="s">
        <v>348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>
      <c r="A545" s="15" t="s">
        <v>388</v>
      </c>
      <c r="B545" s="15" t="s">
        <v>469</v>
      </c>
      <c r="C545" s="15" t="s">
        <v>470</v>
      </c>
      <c r="D545" s="15" t="s">
        <v>478</v>
      </c>
      <c r="E545" s="15"/>
      <c r="F545" s="15"/>
      <c r="G545" s="15"/>
      <c r="H545" s="15" t="s">
        <v>348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>
      <c r="A546" s="15" t="s">
        <v>349</v>
      </c>
      <c r="B546" s="15" t="s">
        <v>469</v>
      </c>
      <c r="C546" s="15" t="s">
        <v>470</v>
      </c>
      <c r="D546" s="15" t="s">
        <v>478</v>
      </c>
      <c r="E546" s="15"/>
      <c r="F546" s="15"/>
      <c r="G546" s="15"/>
      <c r="H546" s="15" t="s">
        <v>348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>
      <c r="A547" s="15" t="s">
        <v>140</v>
      </c>
      <c r="B547" s="15" t="s">
        <v>469</v>
      </c>
      <c r="C547" s="15" t="s">
        <v>470</v>
      </c>
      <c r="D547" s="15" t="s">
        <v>478</v>
      </c>
      <c r="E547" s="15"/>
      <c r="F547" s="15"/>
      <c r="G547" s="15"/>
      <c r="H547" s="15" t="s">
        <v>348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>
      <c r="A548" s="15" t="s">
        <v>131</v>
      </c>
      <c r="B548" s="15" t="s">
        <v>469</v>
      </c>
      <c r="C548" s="15" t="s">
        <v>470</v>
      </c>
      <c r="D548" s="15" t="s">
        <v>478</v>
      </c>
      <c r="E548" s="15"/>
      <c r="F548" s="15"/>
      <c r="G548" s="15"/>
      <c r="H548" s="15" t="s">
        <v>348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>
      <c r="A549" s="15" t="s">
        <v>127</v>
      </c>
      <c r="B549" s="15" t="s">
        <v>469</v>
      </c>
      <c r="C549" s="15" t="s">
        <v>470</v>
      </c>
      <c r="D549" s="15" t="s">
        <v>478</v>
      </c>
      <c r="E549" s="15"/>
      <c r="F549" s="15"/>
      <c r="G549" s="15"/>
      <c r="H549" s="15" t="s">
        <v>348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>
      <c r="A550" s="15" t="s">
        <v>137</v>
      </c>
      <c r="B550" s="15" t="s">
        <v>469</v>
      </c>
      <c r="C550" s="15" t="s">
        <v>470</v>
      </c>
      <c r="D550" s="15" t="s">
        <v>478</v>
      </c>
      <c r="E550" s="15"/>
      <c r="F550" s="15"/>
      <c r="G550" s="15"/>
      <c r="H550" s="15" t="s">
        <v>348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>
      <c r="A551" s="15" t="s">
        <v>388</v>
      </c>
      <c r="B551" s="15" t="s">
        <v>469</v>
      </c>
      <c r="C551" s="15" t="s">
        <v>474</v>
      </c>
      <c r="D551" s="15" t="s">
        <v>479</v>
      </c>
      <c r="E551" s="15"/>
      <c r="F551" s="15"/>
      <c r="G551" s="15">
        <v>1</v>
      </c>
      <c r="H551" s="15" t="s">
        <v>348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>
      <c r="A552" s="15" t="s">
        <v>349</v>
      </c>
      <c r="B552" s="15" t="s">
        <v>469</v>
      </c>
      <c r="C552" s="15" t="s">
        <v>474</v>
      </c>
      <c r="D552" s="15" t="s">
        <v>479</v>
      </c>
      <c r="E552" s="15"/>
      <c r="F552" s="15"/>
      <c r="G552" s="15"/>
      <c r="H552" s="15" t="s">
        <v>348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>
      <c r="A553" s="15" t="s">
        <v>131</v>
      </c>
      <c r="B553" s="15" t="s">
        <v>469</v>
      </c>
      <c r="C553" s="15" t="s">
        <v>474</v>
      </c>
      <c r="D553" s="15" t="s">
        <v>479</v>
      </c>
      <c r="E553" s="15"/>
      <c r="F553" s="15"/>
      <c r="G553" s="15"/>
      <c r="H553" s="15" t="s">
        <v>348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>
      <c r="A554" s="15" t="s">
        <v>137</v>
      </c>
      <c r="B554" s="15" t="s">
        <v>469</v>
      </c>
      <c r="C554" s="15" t="s">
        <v>474</v>
      </c>
      <c r="D554" s="15" t="s">
        <v>479</v>
      </c>
      <c r="E554" s="15"/>
      <c r="F554" s="15"/>
      <c r="G554" s="15"/>
      <c r="H554" s="15" t="s">
        <v>348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>
      <c r="A555" s="15" t="s">
        <v>425</v>
      </c>
      <c r="B555" s="15" t="s">
        <v>469</v>
      </c>
      <c r="C555" s="15" t="s">
        <v>474</v>
      </c>
      <c r="D555" s="15" t="s">
        <v>479</v>
      </c>
      <c r="E555" s="15"/>
      <c r="F555" s="15"/>
      <c r="G555" s="15"/>
      <c r="H555" s="15" t="s">
        <v>348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>
      <c r="A556" s="15" t="s">
        <v>388</v>
      </c>
      <c r="B556" s="15" t="s">
        <v>469</v>
      </c>
      <c r="C556" s="15" t="s">
        <v>470</v>
      </c>
      <c r="D556" s="15" t="s">
        <v>478</v>
      </c>
      <c r="E556" s="15"/>
      <c r="F556" s="15"/>
      <c r="G556" s="15"/>
      <c r="H556" s="15" t="s">
        <v>348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>
      <c r="A557" s="15" t="s">
        <v>349</v>
      </c>
      <c r="B557" s="15" t="s">
        <v>469</v>
      </c>
      <c r="C557" s="15" t="s">
        <v>470</v>
      </c>
      <c r="D557" s="15" t="s">
        <v>478</v>
      </c>
      <c r="E557" s="15"/>
      <c r="F557" s="15"/>
      <c r="G557" s="15"/>
      <c r="H557" s="15" t="s">
        <v>348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>
      <c r="A558" s="15" t="s">
        <v>131</v>
      </c>
      <c r="B558" s="15" t="s">
        <v>469</v>
      </c>
      <c r="C558" s="15" t="s">
        <v>470</v>
      </c>
      <c r="D558" s="15" t="s">
        <v>478</v>
      </c>
      <c r="E558" s="15"/>
      <c r="F558" s="15"/>
      <c r="G558" s="15"/>
      <c r="H558" s="15" t="s">
        <v>348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>
      <c r="A559" s="15" t="s">
        <v>137</v>
      </c>
      <c r="B559" s="15" t="s">
        <v>469</v>
      </c>
      <c r="C559" s="15" t="s">
        <v>470</v>
      </c>
      <c r="D559" s="15" t="s">
        <v>478</v>
      </c>
      <c r="E559" s="15"/>
      <c r="F559" s="15"/>
      <c r="G559" s="15"/>
      <c r="H559" s="15" t="s">
        <v>348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>
      <c r="A560" s="15" t="s">
        <v>425</v>
      </c>
      <c r="B560" s="15" t="s">
        <v>469</v>
      </c>
      <c r="C560" s="15" t="s">
        <v>470</v>
      </c>
      <c r="D560" s="15" t="s">
        <v>478</v>
      </c>
      <c r="E560" s="15"/>
      <c r="F560" s="15"/>
      <c r="G560" s="15"/>
      <c r="H560" s="15" t="s">
        <v>348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>
      <c r="A561" s="15" t="s">
        <v>425</v>
      </c>
      <c r="B561" s="15" t="s">
        <v>469</v>
      </c>
      <c r="C561" s="15" t="s">
        <v>470</v>
      </c>
      <c r="D561" s="15" t="s">
        <v>478</v>
      </c>
      <c r="E561" s="15"/>
      <c r="F561" s="15"/>
      <c r="G561" s="15"/>
      <c r="H561" s="15" t="s">
        <v>348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>
      <c r="A562" s="15" t="s">
        <v>388</v>
      </c>
      <c r="B562" s="15" t="s">
        <v>469</v>
      </c>
      <c r="C562" s="15" t="s">
        <v>470</v>
      </c>
      <c r="D562" s="15" t="s">
        <v>478</v>
      </c>
      <c r="E562" s="15"/>
      <c r="F562" s="15"/>
      <c r="G562" s="15"/>
      <c r="H562" s="15" t="s">
        <v>348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>
      <c r="A563" s="15" t="s">
        <v>349</v>
      </c>
      <c r="B563" s="15" t="s">
        <v>469</v>
      </c>
      <c r="C563" s="15" t="s">
        <v>470</v>
      </c>
      <c r="D563" s="15" t="s">
        <v>478</v>
      </c>
      <c r="E563" s="15"/>
      <c r="F563" s="15"/>
      <c r="G563" s="15"/>
      <c r="H563" s="15" t="s">
        <v>348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>
      <c r="A564" s="15" t="s">
        <v>140</v>
      </c>
      <c r="B564" s="15" t="s">
        <v>469</v>
      </c>
      <c r="C564" s="15" t="s">
        <v>470</v>
      </c>
      <c r="D564" s="15" t="s">
        <v>478</v>
      </c>
      <c r="E564" s="15"/>
      <c r="F564" s="15"/>
      <c r="G564" s="15"/>
      <c r="H564" s="15" t="s">
        <v>348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>
      <c r="A565" s="15" t="s">
        <v>131</v>
      </c>
      <c r="B565" s="15" t="s">
        <v>469</v>
      </c>
      <c r="C565" s="15" t="s">
        <v>470</v>
      </c>
      <c r="D565" s="15" t="s">
        <v>478</v>
      </c>
      <c r="E565" s="15"/>
      <c r="F565" s="15"/>
      <c r="G565" s="15"/>
      <c r="H565" s="15" t="s">
        <v>348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>
      <c r="A566" s="15" t="s">
        <v>127</v>
      </c>
      <c r="B566" s="15" t="s">
        <v>469</v>
      </c>
      <c r="C566" s="15" t="s">
        <v>470</v>
      </c>
      <c r="D566" s="15" t="s">
        <v>478</v>
      </c>
      <c r="E566" s="15"/>
      <c r="F566" s="15"/>
      <c r="G566" s="15"/>
      <c r="H566" s="15" t="s">
        <v>348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>
      <c r="A567" s="15" t="s">
        <v>137</v>
      </c>
      <c r="B567" s="15" t="s">
        <v>469</v>
      </c>
      <c r="C567" s="15" t="s">
        <v>470</v>
      </c>
      <c r="D567" s="15" t="s">
        <v>478</v>
      </c>
      <c r="E567" s="15"/>
      <c r="F567" s="15"/>
      <c r="G567" s="15"/>
      <c r="H567" s="15" t="s">
        <v>348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>
      <c r="A568" s="15" t="s">
        <v>140</v>
      </c>
      <c r="B568" s="15" t="s">
        <v>469</v>
      </c>
      <c r="C568" s="15" t="s">
        <v>474</v>
      </c>
      <c r="D568" s="15" t="s">
        <v>482</v>
      </c>
      <c r="E568" s="15" t="s">
        <v>483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>
      <c r="A569" s="15" t="s">
        <v>143</v>
      </c>
      <c r="B569" s="15" t="s">
        <v>469</v>
      </c>
      <c r="C569" s="15" t="s">
        <v>474</v>
      </c>
      <c r="D569" s="15" t="s">
        <v>482</v>
      </c>
      <c r="E569" s="15" t="s">
        <v>483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>
      <c r="A570" s="15" t="s">
        <v>140</v>
      </c>
      <c r="B570" s="15" t="s">
        <v>469</v>
      </c>
      <c r="C570" s="15" t="s">
        <v>474</v>
      </c>
      <c r="D570" s="15" t="s">
        <v>482</v>
      </c>
      <c r="E570" s="15" t="s">
        <v>483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>
      <c r="A571" s="15" t="s">
        <v>140</v>
      </c>
      <c r="B571" s="15" t="s">
        <v>469</v>
      </c>
      <c r="C571" s="15" t="s">
        <v>470</v>
      </c>
      <c r="D571" s="15" t="s">
        <v>478</v>
      </c>
      <c r="E571" s="15"/>
      <c r="F571" s="15"/>
      <c r="G571" s="15"/>
      <c r="H571" s="15" t="s">
        <v>348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>
      <c r="A572" s="15" t="s">
        <v>143</v>
      </c>
      <c r="B572" s="15" t="s">
        <v>469</v>
      </c>
      <c r="C572" s="15" t="s">
        <v>470</v>
      </c>
      <c r="D572" s="15" t="s">
        <v>478</v>
      </c>
      <c r="E572" s="15"/>
      <c r="F572" s="15"/>
      <c r="G572" s="15"/>
      <c r="H572" s="15" t="s">
        <v>348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>
      <c r="A573" s="15" t="s">
        <v>140</v>
      </c>
      <c r="B573" s="15" t="s">
        <v>469</v>
      </c>
      <c r="C573" s="15" t="s">
        <v>470</v>
      </c>
      <c r="D573" s="15" t="s">
        <v>478</v>
      </c>
      <c r="E573" s="15"/>
      <c r="F573" s="15"/>
      <c r="G573" s="15"/>
      <c r="H573" s="15" t="s">
        <v>348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28.9">
      <c r="A574" s="15" t="s">
        <v>140</v>
      </c>
      <c r="B574" s="15" t="s">
        <v>469</v>
      </c>
      <c r="C574" s="15" t="s">
        <v>486</v>
      </c>
      <c r="D574" s="15" t="s">
        <v>487</v>
      </c>
      <c r="E574" s="15" t="s">
        <v>483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28.9">
      <c r="A575" s="15" t="s">
        <v>131</v>
      </c>
      <c r="B575" s="15" t="s">
        <v>469</v>
      </c>
      <c r="C575" s="15" t="s">
        <v>486</v>
      </c>
      <c r="D575" s="15" t="s">
        <v>488</v>
      </c>
      <c r="E575" s="15" t="s">
        <v>360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28.9">
      <c r="A576" s="15" t="s">
        <v>425</v>
      </c>
      <c r="B576" s="15" t="s">
        <v>469</v>
      </c>
      <c r="C576" s="15" t="s">
        <v>486</v>
      </c>
      <c r="D576" s="15" t="s">
        <v>489</v>
      </c>
      <c r="E576" s="15" t="s">
        <v>360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>
      <c r="A577" s="15" t="s">
        <v>425</v>
      </c>
      <c r="B577" s="15" t="s">
        <v>469</v>
      </c>
      <c r="C577" s="15" t="s">
        <v>474</v>
      </c>
      <c r="D577" s="15" t="s">
        <v>490</v>
      </c>
      <c r="E577" s="15" t="s">
        <v>360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28.9">
      <c r="A578" s="15" t="s">
        <v>388</v>
      </c>
      <c r="B578" s="15" t="s">
        <v>469</v>
      </c>
      <c r="C578" s="15" t="s">
        <v>486</v>
      </c>
      <c r="D578" s="15" t="s">
        <v>489</v>
      </c>
      <c r="E578" s="15" t="s">
        <v>360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28.9">
      <c r="A579" s="15" t="s">
        <v>388</v>
      </c>
      <c r="B579" s="15" t="s">
        <v>469</v>
      </c>
      <c r="C579" s="15" t="s">
        <v>486</v>
      </c>
      <c r="D579" s="15" t="s">
        <v>487</v>
      </c>
      <c r="E579" s="15" t="s">
        <v>483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28.9">
      <c r="A580" s="15" t="s">
        <v>388</v>
      </c>
      <c r="B580" s="15" t="s">
        <v>469</v>
      </c>
      <c r="C580" s="15" t="s">
        <v>486</v>
      </c>
      <c r="D580" s="15" t="s">
        <v>491</v>
      </c>
      <c r="E580" s="15" t="s">
        <v>433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>
      <c r="A581" s="15" t="s">
        <v>388</v>
      </c>
      <c r="B581" s="15" t="s">
        <v>469</v>
      </c>
      <c r="C581" s="15" t="s">
        <v>474</v>
      </c>
      <c r="D581" s="15" t="s">
        <v>490</v>
      </c>
      <c r="E581" s="15" t="s">
        <v>360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28.9">
      <c r="A582" s="15" t="s">
        <v>388</v>
      </c>
      <c r="B582" s="15" t="s">
        <v>469</v>
      </c>
      <c r="C582" s="15" t="s">
        <v>486</v>
      </c>
      <c r="D582" s="15" t="s">
        <v>491</v>
      </c>
      <c r="E582" s="15" t="s">
        <v>435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28.9">
      <c r="A583" s="15" t="s">
        <v>349</v>
      </c>
      <c r="B583" s="15" t="s">
        <v>469</v>
      </c>
      <c r="C583" s="15" t="s">
        <v>486</v>
      </c>
      <c r="D583" s="15" t="s">
        <v>491</v>
      </c>
      <c r="E583" s="15" t="s">
        <v>433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28.9">
      <c r="A584" s="15" t="s">
        <v>349</v>
      </c>
      <c r="B584" s="15" t="s">
        <v>469</v>
      </c>
      <c r="C584" s="15" t="s">
        <v>486</v>
      </c>
      <c r="D584" s="15" t="s">
        <v>491</v>
      </c>
      <c r="E584" s="15" t="s">
        <v>435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>
      <c r="A585" s="15" t="s">
        <v>349</v>
      </c>
      <c r="B585" s="15" t="s">
        <v>469</v>
      </c>
      <c r="C585" s="15" t="s">
        <v>474</v>
      </c>
      <c r="D585" s="15" t="s">
        <v>490</v>
      </c>
      <c r="E585" s="15" t="s">
        <v>433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>
      <c r="A586" s="15" t="s">
        <v>349</v>
      </c>
      <c r="B586" s="15" t="s">
        <v>469</v>
      </c>
      <c r="C586" s="15" t="s">
        <v>474</v>
      </c>
      <c r="D586" s="15" t="s">
        <v>490</v>
      </c>
      <c r="E586" s="15" t="s">
        <v>360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28.9">
      <c r="A587" s="15" t="s">
        <v>349</v>
      </c>
      <c r="B587" s="15" t="s">
        <v>469</v>
      </c>
      <c r="C587" s="15" t="s">
        <v>486</v>
      </c>
      <c r="D587" s="15" t="s">
        <v>491</v>
      </c>
      <c r="E587" s="15" t="s">
        <v>360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28.9">
      <c r="A588" s="15" t="s">
        <v>349</v>
      </c>
      <c r="B588" s="15" t="s">
        <v>469</v>
      </c>
      <c r="C588" s="15" t="s">
        <v>486</v>
      </c>
      <c r="D588" s="15" t="s">
        <v>487</v>
      </c>
      <c r="E588" s="15" t="s">
        <v>483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28.9">
      <c r="A589" s="15" t="s">
        <v>349</v>
      </c>
      <c r="B589" s="15" t="s">
        <v>469</v>
      </c>
      <c r="C589" s="15" t="s">
        <v>486</v>
      </c>
      <c r="D589" s="15" t="s">
        <v>488</v>
      </c>
      <c r="E589" s="15" t="s">
        <v>433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28.9">
      <c r="A590" s="15" t="s">
        <v>140</v>
      </c>
      <c r="B590" s="15" t="s">
        <v>469</v>
      </c>
      <c r="C590" s="15" t="s">
        <v>486</v>
      </c>
      <c r="D590" s="15" t="s">
        <v>487</v>
      </c>
      <c r="E590" s="15" t="s">
        <v>492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28.9">
      <c r="A591" s="15" t="s">
        <v>140</v>
      </c>
      <c r="B591" s="15" t="s">
        <v>469</v>
      </c>
      <c r="C591" s="15" t="s">
        <v>486</v>
      </c>
      <c r="D591" s="15" t="s">
        <v>488</v>
      </c>
      <c r="E591" s="15" t="s">
        <v>360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28.9">
      <c r="A592" s="15" t="s">
        <v>140</v>
      </c>
      <c r="B592" s="15" t="s">
        <v>469</v>
      </c>
      <c r="C592" s="15" t="s">
        <v>486</v>
      </c>
      <c r="D592" s="15" t="s">
        <v>488</v>
      </c>
      <c r="E592" s="15" t="s">
        <v>483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28.9">
      <c r="A593" s="15" t="s">
        <v>131</v>
      </c>
      <c r="B593" s="15" t="s">
        <v>469</v>
      </c>
      <c r="C593" s="15" t="s">
        <v>486</v>
      </c>
      <c r="D593" s="15" t="s">
        <v>489</v>
      </c>
      <c r="E593" s="15" t="s">
        <v>360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>
      <c r="A594" s="15" t="s">
        <v>131</v>
      </c>
      <c r="B594" s="15" t="s">
        <v>469</v>
      </c>
      <c r="C594" s="15" t="s">
        <v>474</v>
      </c>
      <c r="D594" s="15" t="s">
        <v>490</v>
      </c>
      <c r="E594" s="15" t="s">
        <v>360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28.9">
      <c r="A595" s="15" t="s">
        <v>131</v>
      </c>
      <c r="B595" s="15" t="s">
        <v>469</v>
      </c>
      <c r="C595" s="15" t="s">
        <v>486</v>
      </c>
      <c r="D595" s="15" t="s">
        <v>491</v>
      </c>
      <c r="E595" s="15" t="s">
        <v>435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28.9">
      <c r="A596" s="15" t="s">
        <v>131</v>
      </c>
      <c r="B596" s="15" t="s">
        <v>469</v>
      </c>
      <c r="C596" s="15" t="s">
        <v>486</v>
      </c>
      <c r="D596" s="15" t="s">
        <v>488</v>
      </c>
      <c r="E596" s="15" t="s">
        <v>483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28.9">
      <c r="A597" s="15" t="s">
        <v>131</v>
      </c>
      <c r="B597" s="15" t="s">
        <v>469</v>
      </c>
      <c r="C597" s="15" t="s">
        <v>486</v>
      </c>
      <c r="D597" s="15" t="s">
        <v>488</v>
      </c>
      <c r="E597" s="15" t="s">
        <v>433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28.9">
      <c r="A598" s="15" t="s">
        <v>127</v>
      </c>
      <c r="B598" s="15" t="s">
        <v>469</v>
      </c>
      <c r="C598" s="15" t="s">
        <v>486</v>
      </c>
      <c r="D598" s="15" t="s">
        <v>491</v>
      </c>
      <c r="E598" s="15" t="s">
        <v>435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>
      <c r="A599" s="15" t="s">
        <v>137</v>
      </c>
      <c r="B599" s="15" t="s">
        <v>469</v>
      </c>
      <c r="C599" s="15" t="s">
        <v>474</v>
      </c>
      <c r="D599" s="15" t="s">
        <v>490</v>
      </c>
      <c r="E599" s="15" t="s">
        <v>433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>
      <c r="A600" s="15" t="s">
        <v>137</v>
      </c>
      <c r="B600" s="15" t="s">
        <v>469</v>
      </c>
      <c r="C600" s="15" t="s">
        <v>474</v>
      </c>
      <c r="D600" s="15" t="s">
        <v>490</v>
      </c>
      <c r="E600" s="15" t="s">
        <v>360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28.9">
      <c r="A601" s="15" t="s">
        <v>137</v>
      </c>
      <c r="B601" s="15" t="s">
        <v>469</v>
      </c>
      <c r="C601" s="15" t="s">
        <v>486</v>
      </c>
      <c r="D601" s="15" t="s">
        <v>488</v>
      </c>
      <c r="E601" s="15" t="s">
        <v>360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28.9">
      <c r="A602" s="15" t="s">
        <v>137</v>
      </c>
      <c r="B602" s="15" t="s">
        <v>469</v>
      </c>
      <c r="C602" s="15" t="s">
        <v>486</v>
      </c>
      <c r="D602" s="15" t="s">
        <v>491</v>
      </c>
      <c r="E602" s="15" t="s">
        <v>433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28.9">
      <c r="A603" s="15" t="s">
        <v>137</v>
      </c>
      <c r="B603" s="15" t="s">
        <v>469</v>
      </c>
      <c r="C603" s="15" t="s">
        <v>486</v>
      </c>
      <c r="D603" s="15" t="s">
        <v>488</v>
      </c>
      <c r="E603" s="15" t="s">
        <v>433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28.9">
      <c r="A604" s="15" t="s">
        <v>144</v>
      </c>
      <c r="B604" s="15" t="s">
        <v>469</v>
      </c>
      <c r="C604" s="15" t="s">
        <v>486</v>
      </c>
      <c r="D604" s="15" t="s">
        <v>487</v>
      </c>
      <c r="E604" s="15" t="s">
        <v>483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28.9">
      <c r="A605" s="15" t="s">
        <v>143</v>
      </c>
      <c r="B605" s="15" t="s">
        <v>469</v>
      </c>
      <c r="C605" s="15" t="s">
        <v>486</v>
      </c>
      <c r="D605" s="15" t="s">
        <v>487</v>
      </c>
      <c r="E605" s="15" t="s">
        <v>483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>
      <c r="A606" s="15" t="s">
        <v>94</v>
      </c>
      <c r="B606" s="15" t="s">
        <v>469</v>
      </c>
      <c r="C606" s="15" t="s">
        <v>474</v>
      </c>
      <c r="D606" s="15" t="s">
        <v>482</v>
      </c>
      <c r="E606" s="15" t="s">
        <v>429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>
      <c r="A607" s="15" t="s">
        <v>94</v>
      </c>
      <c r="B607" s="15" t="s">
        <v>469</v>
      </c>
      <c r="C607" s="15" t="s">
        <v>474</v>
      </c>
      <c r="D607" s="15" t="s">
        <v>482</v>
      </c>
      <c r="E607" s="15" t="s">
        <v>429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>
      <c r="A608" s="15" t="s">
        <v>172</v>
      </c>
      <c r="B608" s="15" t="s">
        <v>494</v>
      </c>
      <c r="C608" s="15" t="s">
        <v>495</v>
      </c>
      <c r="D608" s="15" t="s">
        <v>496</v>
      </c>
      <c r="E608" s="15" t="s">
        <v>497</v>
      </c>
      <c r="F608" s="15">
        <v>1</v>
      </c>
      <c r="G608" s="15"/>
      <c r="H608" s="15" t="s">
        <v>347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>
      <c r="A609" s="15" t="s">
        <v>498</v>
      </c>
      <c r="B609" s="15" t="s">
        <v>494</v>
      </c>
      <c r="C609" s="15" t="s">
        <v>495</v>
      </c>
      <c r="D609" s="15" t="s">
        <v>496</v>
      </c>
      <c r="E609" s="15" t="s">
        <v>497</v>
      </c>
      <c r="F609" s="15"/>
      <c r="G609" s="15"/>
      <c r="H609" s="15" t="s">
        <v>347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>
      <c r="A610" s="15" t="s">
        <v>176</v>
      </c>
      <c r="B610" s="15" t="s">
        <v>494</v>
      </c>
      <c r="C610" s="15" t="s">
        <v>495</v>
      </c>
      <c r="D610" s="15" t="s">
        <v>496</v>
      </c>
      <c r="E610" s="15" t="s">
        <v>499</v>
      </c>
      <c r="F610" s="15">
        <v>1</v>
      </c>
      <c r="G610" s="15"/>
      <c r="H610" s="15" t="s">
        <v>347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>
      <c r="A611" s="15" t="s">
        <v>346</v>
      </c>
      <c r="B611" s="15" t="s">
        <v>494</v>
      </c>
      <c r="C611" s="15" t="s">
        <v>500</v>
      </c>
      <c r="D611" s="15" t="s">
        <v>501</v>
      </c>
      <c r="E611" s="15" t="s">
        <v>502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>
      <c r="A612" s="15" t="s">
        <v>146</v>
      </c>
      <c r="B612" s="15" t="s">
        <v>494</v>
      </c>
      <c r="C612" s="15" t="s">
        <v>500</v>
      </c>
      <c r="D612" s="15" t="s">
        <v>501</v>
      </c>
      <c r="E612" s="15" t="s">
        <v>502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>
      <c r="A613" s="15" t="s">
        <v>153</v>
      </c>
      <c r="B613" s="15" t="s">
        <v>494</v>
      </c>
      <c r="C613" s="15" t="s">
        <v>500</v>
      </c>
      <c r="D613" s="15" t="s">
        <v>501</v>
      </c>
      <c r="E613" s="15" t="s">
        <v>502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>
      <c r="A614" s="15" t="s">
        <v>22</v>
      </c>
      <c r="B614" s="15" t="s">
        <v>494</v>
      </c>
      <c r="C614" s="15" t="s">
        <v>500</v>
      </c>
      <c r="D614" s="15" t="s">
        <v>501</v>
      </c>
      <c r="E614" s="15" t="s">
        <v>502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>
      <c r="A615" s="15" t="s">
        <v>151</v>
      </c>
      <c r="B615" s="15" t="s">
        <v>494</v>
      </c>
      <c r="C615" s="15" t="s">
        <v>500</v>
      </c>
      <c r="D615" s="15" t="s">
        <v>501</v>
      </c>
      <c r="E615" s="15" t="s">
        <v>502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>
      <c r="A616" s="15" t="s">
        <v>155</v>
      </c>
      <c r="B616" s="15" t="s">
        <v>494</v>
      </c>
      <c r="C616" s="15" t="s">
        <v>500</v>
      </c>
      <c r="D616" s="15" t="s">
        <v>501</v>
      </c>
      <c r="E616" s="15" t="s">
        <v>502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>
      <c r="A617" s="15" t="s">
        <v>150</v>
      </c>
      <c r="B617" s="15" t="s">
        <v>494</v>
      </c>
      <c r="C617" s="15" t="s">
        <v>500</v>
      </c>
      <c r="D617" s="15" t="s">
        <v>501</v>
      </c>
      <c r="E617" s="15" t="s">
        <v>502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>
      <c r="A618" s="15" t="s">
        <v>20</v>
      </c>
      <c r="B618" s="15" t="s">
        <v>494</v>
      </c>
      <c r="C618" s="15" t="s">
        <v>500</v>
      </c>
      <c r="D618" s="15" t="s">
        <v>501</v>
      </c>
      <c r="E618" s="15" t="s">
        <v>502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>
      <c r="A619" s="15" t="s">
        <v>61</v>
      </c>
      <c r="B619" s="15" t="s">
        <v>494</v>
      </c>
      <c r="C619" s="15" t="s">
        <v>500</v>
      </c>
      <c r="D619" s="15" t="s">
        <v>501</v>
      </c>
      <c r="E619" s="15" t="s">
        <v>502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>
      <c r="A620" s="15" t="s">
        <v>156</v>
      </c>
      <c r="B620" s="15" t="s">
        <v>494</v>
      </c>
      <c r="C620" s="15" t="s">
        <v>500</v>
      </c>
      <c r="D620" s="15" t="s">
        <v>501</v>
      </c>
      <c r="E620" s="15" t="s">
        <v>502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>
      <c r="A621" s="15" t="s">
        <v>19</v>
      </c>
      <c r="B621" s="15" t="s">
        <v>494</v>
      </c>
      <c r="C621" s="15" t="s">
        <v>500</v>
      </c>
      <c r="D621" s="15" t="s">
        <v>501</v>
      </c>
      <c r="E621" s="15" t="s">
        <v>502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>
      <c r="A622" s="15" t="s">
        <v>146</v>
      </c>
      <c r="B622" s="15" t="s">
        <v>494</v>
      </c>
      <c r="C622" s="15" t="s">
        <v>500</v>
      </c>
      <c r="D622" s="15" t="s">
        <v>503</v>
      </c>
      <c r="E622" s="15" t="s">
        <v>502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>
      <c r="A623" s="15" t="s">
        <v>150</v>
      </c>
      <c r="B623" s="15" t="s">
        <v>494</v>
      </c>
      <c r="C623" s="15" t="s">
        <v>500</v>
      </c>
      <c r="D623" s="15" t="s">
        <v>503</v>
      </c>
      <c r="E623" s="15" t="s">
        <v>502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>
      <c r="A624" s="15" t="s">
        <v>439</v>
      </c>
      <c r="B624" s="15" t="s">
        <v>494</v>
      </c>
      <c r="C624" s="15" t="s">
        <v>495</v>
      </c>
      <c r="D624" s="15" t="s">
        <v>504</v>
      </c>
      <c r="E624" s="15" t="s">
        <v>424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>
      <c r="A625" s="15" t="s">
        <v>178</v>
      </c>
      <c r="B625" s="15" t="s">
        <v>494</v>
      </c>
      <c r="C625" s="15" t="s">
        <v>495</v>
      </c>
      <c r="D625" s="15" t="s">
        <v>504</v>
      </c>
      <c r="E625" s="15" t="s">
        <v>424</v>
      </c>
      <c r="F625" s="15"/>
      <c r="G625" s="15"/>
      <c r="H625" s="15" t="s">
        <v>347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>
      <c r="A626" s="15" t="s">
        <v>185</v>
      </c>
      <c r="B626" s="15" t="s">
        <v>494</v>
      </c>
      <c r="C626" s="15" t="s">
        <v>495</v>
      </c>
      <c r="D626" s="15" t="s">
        <v>504</v>
      </c>
      <c r="E626" s="15" t="s">
        <v>424</v>
      </c>
      <c r="F626" s="15">
        <v>1</v>
      </c>
      <c r="G626" s="15"/>
      <c r="H626" s="15" t="s">
        <v>347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>
      <c r="A627" s="15" t="s">
        <v>505</v>
      </c>
      <c r="B627" s="15" t="s">
        <v>494</v>
      </c>
      <c r="C627" s="15" t="s">
        <v>495</v>
      </c>
      <c r="D627" s="15" t="s">
        <v>504</v>
      </c>
      <c r="E627" s="15" t="s">
        <v>424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>
      <c r="A628" s="15" t="s">
        <v>437</v>
      </c>
      <c r="B628" s="15" t="s">
        <v>494</v>
      </c>
      <c r="C628" s="15" t="s">
        <v>495</v>
      </c>
      <c r="D628" s="15" t="s">
        <v>504</v>
      </c>
      <c r="E628" s="15" t="s">
        <v>424</v>
      </c>
      <c r="F628" s="15"/>
      <c r="G628" s="15"/>
      <c r="H628" s="15" t="s">
        <v>347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>
      <c r="A629" s="15" t="s">
        <v>185</v>
      </c>
      <c r="B629" s="15" t="s">
        <v>494</v>
      </c>
      <c r="C629" s="15" t="s">
        <v>495</v>
      </c>
      <c r="D629" s="15" t="s">
        <v>506</v>
      </c>
      <c r="E629" s="15" t="s">
        <v>424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>
      <c r="A630" s="15" t="s">
        <v>437</v>
      </c>
      <c r="B630" s="15" t="s">
        <v>494</v>
      </c>
      <c r="C630" s="15" t="s">
        <v>495</v>
      </c>
      <c r="D630" s="15" t="s">
        <v>506</v>
      </c>
      <c r="E630" s="15" t="s">
        <v>424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>
      <c r="A631" s="15" t="s">
        <v>179</v>
      </c>
      <c r="B631" s="15" t="s">
        <v>494</v>
      </c>
      <c r="C631" s="15" t="s">
        <v>495</v>
      </c>
      <c r="D631" s="15" t="s">
        <v>507</v>
      </c>
      <c r="E631" s="15" t="s">
        <v>424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>
      <c r="A632" s="15" t="s">
        <v>439</v>
      </c>
      <c r="B632" s="15" t="s">
        <v>494</v>
      </c>
      <c r="C632" s="15" t="s">
        <v>508</v>
      </c>
      <c r="D632" s="15" t="s">
        <v>509</v>
      </c>
      <c r="E632" s="15" t="s">
        <v>359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>
      <c r="A633" s="15" t="s">
        <v>178</v>
      </c>
      <c r="B633" s="15" t="s">
        <v>494</v>
      </c>
      <c r="C633" s="15" t="s">
        <v>508</v>
      </c>
      <c r="D633" s="15" t="s">
        <v>509</v>
      </c>
      <c r="E633" s="15" t="s">
        <v>359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>
      <c r="A634" s="15" t="s">
        <v>161</v>
      </c>
      <c r="B634" s="15" t="s">
        <v>494</v>
      </c>
      <c r="C634" s="15" t="s">
        <v>508</v>
      </c>
      <c r="D634" s="15" t="s">
        <v>509</v>
      </c>
      <c r="E634" s="15" t="s">
        <v>359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>
      <c r="A635" s="15" t="s">
        <v>170</v>
      </c>
      <c r="B635" s="15" t="s">
        <v>494</v>
      </c>
      <c r="C635" s="15" t="s">
        <v>508</v>
      </c>
      <c r="D635" s="15" t="s">
        <v>509</v>
      </c>
      <c r="E635" s="15" t="s">
        <v>359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>
      <c r="A636" s="15" t="s">
        <v>178</v>
      </c>
      <c r="B636" s="15" t="s">
        <v>494</v>
      </c>
      <c r="C636" s="15" t="s">
        <v>508</v>
      </c>
      <c r="D636" s="15" t="s">
        <v>510</v>
      </c>
      <c r="E636" s="15" t="s">
        <v>359</v>
      </c>
      <c r="F636" s="15"/>
      <c r="G636" s="15"/>
      <c r="H636" s="15" t="s">
        <v>347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>
      <c r="A637" s="15" t="s">
        <v>511</v>
      </c>
      <c r="B637" s="15" t="s">
        <v>494</v>
      </c>
      <c r="C637" s="15" t="s">
        <v>508</v>
      </c>
      <c r="D637" s="15" t="s">
        <v>510</v>
      </c>
      <c r="E637" s="15" t="s">
        <v>359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>
      <c r="A638" s="15" t="s">
        <v>179</v>
      </c>
      <c r="B638" s="15" t="s">
        <v>494</v>
      </c>
      <c r="C638" s="15" t="s">
        <v>512</v>
      </c>
      <c r="D638" s="15" t="s">
        <v>513</v>
      </c>
      <c r="E638" s="15"/>
      <c r="F638" s="15"/>
      <c r="G638" s="15"/>
      <c r="H638" s="15" t="s">
        <v>347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>
      <c r="A639" s="15" t="s">
        <v>179</v>
      </c>
      <c r="B639" s="15" t="s">
        <v>494</v>
      </c>
      <c r="C639" s="15" t="s">
        <v>495</v>
      </c>
      <c r="D639" s="15" t="s">
        <v>496</v>
      </c>
      <c r="E639" s="15" t="s">
        <v>100</v>
      </c>
      <c r="F639" s="15"/>
      <c r="G639" s="15"/>
      <c r="H639" s="15" t="s">
        <v>347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>
      <c r="A640" s="15" t="s">
        <v>171</v>
      </c>
      <c r="B640" s="15" t="s">
        <v>494</v>
      </c>
      <c r="C640" s="15" t="s">
        <v>514</v>
      </c>
      <c r="D640" s="15" t="s">
        <v>515</v>
      </c>
      <c r="E640" s="15"/>
      <c r="F640" s="15"/>
      <c r="G640" s="15"/>
      <c r="H640" s="15" t="s">
        <v>347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>
      <c r="A641" s="15" t="s">
        <v>346</v>
      </c>
      <c r="B641" s="15" t="s">
        <v>494</v>
      </c>
      <c r="C641" s="15" t="s">
        <v>514</v>
      </c>
      <c r="D641" s="15" t="s">
        <v>516</v>
      </c>
      <c r="E641" s="15"/>
      <c r="F641" s="15"/>
      <c r="G641" s="15"/>
      <c r="H641" s="15" t="s">
        <v>347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>
      <c r="A642" s="15" t="s">
        <v>146</v>
      </c>
      <c r="B642" s="15" t="s">
        <v>494</v>
      </c>
      <c r="C642" s="15" t="s">
        <v>514</v>
      </c>
      <c r="D642" s="15" t="s">
        <v>516</v>
      </c>
      <c r="E642" s="15"/>
      <c r="F642" s="15"/>
      <c r="G642" s="15"/>
      <c r="H642" s="15" t="s">
        <v>347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>
      <c r="A643" s="15" t="s">
        <v>160</v>
      </c>
      <c r="B643" s="15" t="s">
        <v>494</v>
      </c>
      <c r="C643" s="15" t="s">
        <v>514</v>
      </c>
      <c r="D643" s="15" t="s">
        <v>515</v>
      </c>
      <c r="E643" s="15"/>
      <c r="F643" s="15"/>
      <c r="G643" s="15"/>
      <c r="H643" s="15" t="s">
        <v>347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>
      <c r="A644" s="15" t="s">
        <v>153</v>
      </c>
      <c r="B644" s="15" t="s">
        <v>494</v>
      </c>
      <c r="C644" s="15" t="s">
        <v>514</v>
      </c>
      <c r="D644" s="15" t="s">
        <v>516</v>
      </c>
      <c r="E644" s="15"/>
      <c r="F644" s="15"/>
      <c r="G644" s="15"/>
      <c r="H644" s="15" t="s">
        <v>347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>
      <c r="A645" s="15" t="s">
        <v>517</v>
      </c>
      <c r="B645" s="15" t="s">
        <v>494</v>
      </c>
      <c r="C645" s="15" t="s">
        <v>512</v>
      </c>
      <c r="D645" s="15" t="s">
        <v>518</v>
      </c>
      <c r="E645" s="15"/>
      <c r="F645" s="15"/>
      <c r="G645" s="15"/>
      <c r="H645" s="15" t="s">
        <v>347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>
      <c r="A646" s="15" t="s">
        <v>170</v>
      </c>
      <c r="B646" s="15" t="s">
        <v>494</v>
      </c>
      <c r="C646" s="15" t="s">
        <v>514</v>
      </c>
      <c r="D646" s="15" t="s">
        <v>515</v>
      </c>
      <c r="E646" s="15"/>
      <c r="F646" s="15"/>
      <c r="G646" s="15"/>
      <c r="H646" s="15" t="s">
        <v>347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>
      <c r="A647" s="15" t="s">
        <v>519</v>
      </c>
      <c r="B647" s="15" t="s">
        <v>494</v>
      </c>
      <c r="C647" s="15" t="s">
        <v>512</v>
      </c>
      <c r="D647" s="15" t="s">
        <v>518</v>
      </c>
      <c r="E647" s="15"/>
      <c r="F647" s="15"/>
      <c r="G647" s="15"/>
      <c r="H647" s="15" t="s">
        <v>347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>
      <c r="A648" s="15" t="s">
        <v>178</v>
      </c>
      <c r="B648" s="15" t="s">
        <v>494</v>
      </c>
      <c r="C648" s="15" t="s">
        <v>512</v>
      </c>
      <c r="D648" s="15" t="s">
        <v>513</v>
      </c>
      <c r="E648" s="15"/>
      <c r="F648" s="15"/>
      <c r="G648" s="15"/>
      <c r="H648" s="15" t="s">
        <v>347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>
      <c r="A649" s="15" t="s">
        <v>178</v>
      </c>
      <c r="B649" s="15" t="s">
        <v>494</v>
      </c>
      <c r="C649" s="15" t="s">
        <v>512</v>
      </c>
      <c r="D649" s="15" t="s">
        <v>520</v>
      </c>
      <c r="E649" s="15"/>
      <c r="F649" s="15"/>
      <c r="G649" s="15"/>
      <c r="H649" s="15" t="s">
        <v>347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>
      <c r="A650" s="15" t="s">
        <v>151</v>
      </c>
      <c r="B650" s="15" t="s">
        <v>494</v>
      </c>
      <c r="C650" s="15" t="s">
        <v>514</v>
      </c>
      <c r="D650" s="15" t="s">
        <v>516</v>
      </c>
      <c r="E650" s="15"/>
      <c r="F650" s="15"/>
      <c r="G650" s="15"/>
      <c r="H650" s="15" t="s">
        <v>347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>
      <c r="A651" s="15" t="s">
        <v>155</v>
      </c>
      <c r="B651" s="15" t="s">
        <v>494</v>
      </c>
      <c r="C651" s="15" t="s">
        <v>514</v>
      </c>
      <c r="D651" s="15" t="s">
        <v>516</v>
      </c>
      <c r="E651" s="15"/>
      <c r="F651" s="15"/>
      <c r="G651" s="15"/>
      <c r="H651" s="15" t="s">
        <v>347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>
      <c r="A652" s="15" t="s">
        <v>150</v>
      </c>
      <c r="B652" s="15" t="s">
        <v>494</v>
      </c>
      <c r="C652" s="15" t="s">
        <v>514</v>
      </c>
      <c r="D652" s="15" t="s">
        <v>516</v>
      </c>
      <c r="E652" s="15"/>
      <c r="F652" s="15"/>
      <c r="G652" s="15"/>
      <c r="H652" s="15" t="s">
        <v>347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>
      <c r="A653" s="15" t="s">
        <v>157</v>
      </c>
      <c r="B653" s="15" t="s">
        <v>494</v>
      </c>
      <c r="C653" s="15" t="s">
        <v>514</v>
      </c>
      <c r="D653" s="15" t="s">
        <v>521</v>
      </c>
      <c r="E653" s="15"/>
      <c r="F653" s="15"/>
      <c r="G653" s="15"/>
      <c r="H653" s="15" t="s">
        <v>347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>
      <c r="A654" s="15" t="s">
        <v>161</v>
      </c>
      <c r="B654" s="15" t="s">
        <v>494</v>
      </c>
      <c r="C654" s="15" t="s">
        <v>512</v>
      </c>
      <c r="D654" s="15" t="s">
        <v>520</v>
      </c>
      <c r="E654" s="15"/>
      <c r="F654" s="15"/>
      <c r="G654" s="15"/>
      <c r="H654" s="15" t="s">
        <v>347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>
      <c r="A655" s="15" t="s">
        <v>159</v>
      </c>
      <c r="B655" s="15" t="s">
        <v>494</v>
      </c>
      <c r="C655" s="15" t="s">
        <v>514</v>
      </c>
      <c r="D655" s="15" t="s">
        <v>521</v>
      </c>
      <c r="E655" s="15"/>
      <c r="F655" s="15"/>
      <c r="G655" s="15"/>
      <c r="H655" s="15" t="s">
        <v>347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>
      <c r="A656" s="15" t="s">
        <v>522</v>
      </c>
      <c r="B656" s="15" t="s">
        <v>494</v>
      </c>
      <c r="C656" s="15" t="s">
        <v>512</v>
      </c>
      <c r="D656" s="15" t="s">
        <v>518</v>
      </c>
      <c r="E656" s="15"/>
      <c r="F656" s="15"/>
      <c r="G656" s="15"/>
      <c r="H656" s="15" t="s">
        <v>347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>
      <c r="A657" s="15" t="s">
        <v>165</v>
      </c>
      <c r="B657" s="15" t="s">
        <v>494</v>
      </c>
      <c r="C657" s="15" t="s">
        <v>512</v>
      </c>
      <c r="D657" s="15" t="s">
        <v>518</v>
      </c>
      <c r="E657" s="15"/>
      <c r="F657" s="15"/>
      <c r="G657" s="15"/>
      <c r="H657" s="15" t="s">
        <v>347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>
      <c r="A658" s="15" t="s">
        <v>156</v>
      </c>
      <c r="B658" s="15" t="s">
        <v>494</v>
      </c>
      <c r="C658" s="15" t="s">
        <v>514</v>
      </c>
      <c r="D658" s="15" t="s">
        <v>516</v>
      </c>
      <c r="E658" s="15"/>
      <c r="F658" s="15"/>
      <c r="G658" s="15"/>
      <c r="H658" s="15" t="s">
        <v>347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>
      <c r="A659" s="15" t="s">
        <v>346</v>
      </c>
      <c r="B659" s="15" t="s">
        <v>494</v>
      </c>
      <c r="C659" s="15" t="s">
        <v>514</v>
      </c>
      <c r="D659" s="15" t="s">
        <v>523</v>
      </c>
      <c r="E659" s="15"/>
      <c r="F659" s="15"/>
      <c r="G659" s="15"/>
      <c r="H659" s="15" t="s">
        <v>347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>
      <c r="A660" s="15" t="s">
        <v>146</v>
      </c>
      <c r="B660" s="15" t="s">
        <v>494</v>
      </c>
      <c r="C660" s="15" t="s">
        <v>514</v>
      </c>
      <c r="D660" s="15" t="s">
        <v>523</v>
      </c>
      <c r="E660" s="15"/>
      <c r="F660" s="15"/>
      <c r="G660" s="15"/>
      <c r="H660" s="15" t="s">
        <v>347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>
      <c r="A661" s="15" t="s">
        <v>153</v>
      </c>
      <c r="B661" s="15" t="s">
        <v>494</v>
      </c>
      <c r="C661" s="15" t="s">
        <v>514</v>
      </c>
      <c r="D661" s="15" t="s">
        <v>523</v>
      </c>
      <c r="E661" s="15"/>
      <c r="F661" s="15"/>
      <c r="G661" s="15"/>
      <c r="H661" s="15" t="s">
        <v>347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>
      <c r="A662" s="15" t="s">
        <v>178</v>
      </c>
      <c r="B662" s="15" t="s">
        <v>494</v>
      </c>
      <c r="C662" s="15" t="s">
        <v>514</v>
      </c>
      <c r="D662" s="15" t="s">
        <v>515</v>
      </c>
      <c r="E662" s="15"/>
      <c r="F662" s="15"/>
      <c r="G662" s="15"/>
      <c r="H662" s="15" t="s">
        <v>347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>
      <c r="A663" s="15" t="s">
        <v>151</v>
      </c>
      <c r="B663" s="15" t="s">
        <v>494</v>
      </c>
      <c r="C663" s="15" t="s">
        <v>514</v>
      </c>
      <c r="D663" s="15" t="s">
        <v>523</v>
      </c>
      <c r="E663" s="15"/>
      <c r="F663" s="15"/>
      <c r="G663" s="15"/>
      <c r="H663" s="15" t="s">
        <v>347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>
      <c r="A664" s="15" t="s">
        <v>155</v>
      </c>
      <c r="B664" s="15" t="s">
        <v>494</v>
      </c>
      <c r="C664" s="15" t="s">
        <v>514</v>
      </c>
      <c r="D664" s="15" t="s">
        <v>523</v>
      </c>
      <c r="E664" s="15"/>
      <c r="F664" s="15"/>
      <c r="G664" s="15"/>
      <c r="H664" s="15" t="s">
        <v>347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>
      <c r="A665" s="15" t="s">
        <v>150</v>
      </c>
      <c r="B665" s="15" t="s">
        <v>494</v>
      </c>
      <c r="C665" s="15" t="s">
        <v>514</v>
      </c>
      <c r="D665" s="15" t="s">
        <v>523</v>
      </c>
      <c r="E665" s="15"/>
      <c r="F665" s="15"/>
      <c r="G665" s="15"/>
      <c r="H665" s="15" t="s">
        <v>347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>
      <c r="A666" s="15" t="s">
        <v>159</v>
      </c>
      <c r="B666" s="15" t="s">
        <v>494</v>
      </c>
      <c r="C666" s="15" t="s">
        <v>514</v>
      </c>
      <c r="D666" s="15" t="s">
        <v>515</v>
      </c>
      <c r="E666" s="15"/>
      <c r="F666" s="15"/>
      <c r="G666" s="15"/>
      <c r="H666" s="15" t="s">
        <v>347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>
      <c r="A667" s="15" t="s">
        <v>156</v>
      </c>
      <c r="B667" s="15" t="s">
        <v>494</v>
      </c>
      <c r="C667" s="15" t="s">
        <v>514</v>
      </c>
      <c r="D667" s="15" t="s">
        <v>521</v>
      </c>
      <c r="E667" s="15"/>
      <c r="F667" s="15"/>
      <c r="G667" s="15"/>
      <c r="H667" s="15" t="s">
        <v>347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>
      <c r="A668" s="15" t="s">
        <v>179</v>
      </c>
      <c r="B668" s="15" t="s">
        <v>494</v>
      </c>
      <c r="C668" s="15" t="s">
        <v>495</v>
      </c>
      <c r="D668" s="15" t="s">
        <v>507</v>
      </c>
      <c r="E668" s="15" t="s">
        <v>100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>
      <c r="A669" s="15" t="s">
        <v>346</v>
      </c>
      <c r="B669" s="15" t="s">
        <v>494</v>
      </c>
      <c r="C669" s="15" t="s">
        <v>500</v>
      </c>
      <c r="D669" s="15" t="s">
        <v>501</v>
      </c>
      <c r="E669" s="15" t="s">
        <v>100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>
      <c r="A670" s="15" t="s">
        <v>346</v>
      </c>
      <c r="B670" s="15" t="s">
        <v>494</v>
      </c>
      <c r="C670" s="15" t="s">
        <v>500</v>
      </c>
      <c r="D670" s="15" t="s">
        <v>503</v>
      </c>
      <c r="E670" s="15" t="s">
        <v>100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>
      <c r="A671" s="15" t="s">
        <v>146</v>
      </c>
      <c r="B671" s="15" t="s">
        <v>494</v>
      </c>
      <c r="C671" s="15" t="s">
        <v>500</v>
      </c>
      <c r="D671" s="15" t="s">
        <v>501</v>
      </c>
      <c r="E671" s="15" t="s">
        <v>100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>
      <c r="A672" s="15" t="s">
        <v>153</v>
      </c>
      <c r="B672" s="15" t="s">
        <v>494</v>
      </c>
      <c r="C672" s="15" t="s">
        <v>500</v>
      </c>
      <c r="D672" s="15" t="s">
        <v>501</v>
      </c>
      <c r="E672" s="15" t="s">
        <v>100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>
      <c r="A673" s="15" t="s">
        <v>153</v>
      </c>
      <c r="B673" s="15" t="s">
        <v>494</v>
      </c>
      <c r="C673" s="15" t="s">
        <v>500</v>
      </c>
      <c r="D673" s="15" t="s">
        <v>503</v>
      </c>
      <c r="E673" s="15" t="s">
        <v>100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>
      <c r="A674" s="15" t="s">
        <v>176</v>
      </c>
      <c r="B674" s="15" t="s">
        <v>494</v>
      </c>
      <c r="C674" s="15" t="s">
        <v>495</v>
      </c>
      <c r="D674" s="15" t="s">
        <v>496</v>
      </c>
      <c r="E674" s="15" t="s">
        <v>100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>
      <c r="A675" s="15" t="s">
        <v>439</v>
      </c>
      <c r="B675" s="15" t="s">
        <v>494</v>
      </c>
      <c r="C675" s="15" t="s">
        <v>495</v>
      </c>
      <c r="D675" s="15" t="s">
        <v>507</v>
      </c>
      <c r="E675" s="15" t="s">
        <v>100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>
      <c r="A676" s="15" t="s">
        <v>22</v>
      </c>
      <c r="B676" s="15" t="s">
        <v>494</v>
      </c>
      <c r="C676" s="15" t="s">
        <v>500</v>
      </c>
      <c r="D676" s="15" t="s">
        <v>501</v>
      </c>
      <c r="E676" s="15" t="s">
        <v>100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>
      <c r="A677" s="15" t="s">
        <v>178</v>
      </c>
      <c r="B677" s="15" t="s">
        <v>494</v>
      </c>
      <c r="C677" s="15" t="s">
        <v>495</v>
      </c>
      <c r="D677" s="15" t="s">
        <v>504</v>
      </c>
      <c r="E677" s="15" t="s">
        <v>100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>
      <c r="A678" s="15" t="s">
        <v>178</v>
      </c>
      <c r="B678" s="15" t="s">
        <v>494</v>
      </c>
      <c r="C678" s="15" t="s">
        <v>495</v>
      </c>
      <c r="D678" s="15" t="s">
        <v>507</v>
      </c>
      <c r="E678" s="15" t="s">
        <v>100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>
      <c r="A679" s="15" t="s">
        <v>178</v>
      </c>
      <c r="B679" s="15" t="s">
        <v>494</v>
      </c>
      <c r="C679" s="15" t="s">
        <v>508</v>
      </c>
      <c r="D679" s="15" t="s">
        <v>509</v>
      </c>
      <c r="E679" s="15" t="s">
        <v>100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>
      <c r="A680" s="15" t="s">
        <v>178</v>
      </c>
      <c r="B680" s="15" t="s">
        <v>494</v>
      </c>
      <c r="C680" s="15" t="s">
        <v>508</v>
      </c>
      <c r="D680" s="15" t="s">
        <v>510</v>
      </c>
      <c r="E680" s="15" t="s">
        <v>100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>
      <c r="A681" s="15" t="s">
        <v>178</v>
      </c>
      <c r="B681" s="15" t="s">
        <v>494</v>
      </c>
      <c r="C681" s="15" t="s">
        <v>495</v>
      </c>
      <c r="D681" s="15" t="s">
        <v>496</v>
      </c>
      <c r="E681" s="15" t="s">
        <v>100</v>
      </c>
      <c r="F681" s="15"/>
      <c r="G681" s="15"/>
      <c r="H681" s="15" t="s">
        <v>347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>
      <c r="A682" s="15" t="s">
        <v>185</v>
      </c>
      <c r="B682" s="15" t="s">
        <v>494</v>
      </c>
      <c r="C682" s="15" t="s">
        <v>495</v>
      </c>
      <c r="D682" s="15" t="s">
        <v>504</v>
      </c>
      <c r="E682" s="15" t="s">
        <v>100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>
      <c r="A683" s="15" t="s">
        <v>185</v>
      </c>
      <c r="B683" s="15" t="s">
        <v>494</v>
      </c>
      <c r="C683" s="15" t="s">
        <v>495</v>
      </c>
      <c r="D683" s="15" t="s">
        <v>507</v>
      </c>
      <c r="E683" s="15" t="s">
        <v>100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>
      <c r="A684" s="15" t="s">
        <v>151</v>
      </c>
      <c r="B684" s="15" t="s">
        <v>494</v>
      </c>
      <c r="C684" s="15" t="s">
        <v>500</v>
      </c>
      <c r="D684" s="15" t="s">
        <v>501</v>
      </c>
      <c r="E684" s="15" t="s">
        <v>100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>
      <c r="A685" s="15" t="s">
        <v>151</v>
      </c>
      <c r="B685" s="15" t="s">
        <v>494</v>
      </c>
      <c r="C685" s="15" t="s">
        <v>500</v>
      </c>
      <c r="D685" s="15" t="s">
        <v>503</v>
      </c>
      <c r="E685" s="15" t="s">
        <v>100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>
      <c r="A686" s="15" t="s">
        <v>155</v>
      </c>
      <c r="B686" s="15" t="s">
        <v>494</v>
      </c>
      <c r="C686" s="15" t="s">
        <v>500</v>
      </c>
      <c r="D686" s="15" t="s">
        <v>501</v>
      </c>
      <c r="E686" s="15" t="s">
        <v>100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>
      <c r="A687" s="15" t="s">
        <v>155</v>
      </c>
      <c r="B687" s="15" t="s">
        <v>494</v>
      </c>
      <c r="C687" s="15" t="s">
        <v>500</v>
      </c>
      <c r="D687" s="15" t="s">
        <v>503</v>
      </c>
      <c r="E687" s="15" t="s">
        <v>100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>
      <c r="A688" s="15" t="s">
        <v>505</v>
      </c>
      <c r="B688" s="15" t="s">
        <v>494</v>
      </c>
      <c r="C688" s="15" t="s">
        <v>495</v>
      </c>
      <c r="D688" s="15" t="s">
        <v>507</v>
      </c>
      <c r="E688" s="15" t="s">
        <v>100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>
      <c r="A689" s="15" t="s">
        <v>7</v>
      </c>
      <c r="B689" s="15" t="s">
        <v>494</v>
      </c>
      <c r="C689" s="15" t="s">
        <v>500</v>
      </c>
      <c r="D689" s="15" t="s">
        <v>501</v>
      </c>
      <c r="E689" s="15" t="s">
        <v>100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>
      <c r="A690" s="15" t="s">
        <v>150</v>
      </c>
      <c r="B690" s="15" t="s">
        <v>494</v>
      </c>
      <c r="C690" s="15" t="s">
        <v>500</v>
      </c>
      <c r="D690" s="15" t="s">
        <v>501</v>
      </c>
      <c r="E690" s="15" t="s">
        <v>100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>
      <c r="A691" s="15" t="s">
        <v>150</v>
      </c>
      <c r="B691" s="15" t="s">
        <v>494</v>
      </c>
      <c r="C691" s="15" t="s">
        <v>500</v>
      </c>
      <c r="D691" s="15" t="s">
        <v>503</v>
      </c>
      <c r="E691" s="15" t="s">
        <v>100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>
      <c r="A692" s="15" t="s">
        <v>161</v>
      </c>
      <c r="B692" s="15" t="s">
        <v>494</v>
      </c>
      <c r="C692" s="15" t="s">
        <v>495</v>
      </c>
      <c r="D692" s="15" t="s">
        <v>507</v>
      </c>
      <c r="E692" s="15" t="s">
        <v>100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>
      <c r="A693" s="15" t="s">
        <v>161</v>
      </c>
      <c r="B693" s="15" t="s">
        <v>494</v>
      </c>
      <c r="C693" s="15" t="s">
        <v>500</v>
      </c>
      <c r="D693" s="15" t="s">
        <v>524</v>
      </c>
      <c r="E693" s="15" t="s">
        <v>100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>
      <c r="A694" s="15" t="s">
        <v>161</v>
      </c>
      <c r="B694" s="15" t="s">
        <v>494</v>
      </c>
      <c r="C694" s="15" t="s">
        <v>508</v>
      </c>
      <c r="D694" s="15" t="s">
        <v>509</v>
      </c>
      <c r="E694" s="15" t="s">
        <v>100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>
      <c r="A695" s="15" t="s">
        <v>20</v>
      </c>
      <c r="B695" s="15" t="s">
        <v>566</v>
      </c>
      <c r="C695" s="15" t="s">
        <v>323</v>
      </c>
      <c r="D695" s="15" t="s">
        <v>324</v>
      </c>
      <c r="E695" s="15" t="s">
        <v>100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>
      <c r="A696" s="15" t="s">
        <v>437</v>
      </c>
      <c r="B696" s="15" t="s">
        <v>494</v>
      </c>
      <c r="C696" s="15" t="s">
        <v>495</v>
      </c>
      <c r="D696" s="15" t="s">
        <v>504</v>
      </c>
      <c r="E696" s="15" t="s">
        <v>100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>
      <c r="A697" s="15" t="s">
        <v>156</v>
      </c>
      <c r="B697" s="15" t="s">
        <v>494</v>
      </c>
      <c r="C697" s="15" t="s">
        <v>500</v>
      </c>
      <c r="D697" s="15" t="s">
        <v>501</v>
      </c>
      <c r="E697" s="15" t="s">
        <v>100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>
      <c r="A698" s="15" t="s">
        <v>156</v>
      </c>
      <c r="B698" s="15" t="s">
        <v>494</v>
      </c>
      <c r="C698" s="15" t="s">
        <v>500</v>
      </c>
      <c r="D698" s="15" t="s">
        <v>503</v>
      </c>
      <c r="E698" s="15" t="s">
        <v>100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>
      <c r="A699" s="15" t="s">
        <v>156</v>
      </c>
      <c r="B699" s="15" t="s">
        <v>494</v>
      </c>
      <c r="C699" s="15" t="s">
        <v>500</v>
      </c>
      <c r="D699" s="15" t="s">
        <v>524</v>
      </c>
      <c r="E699" s="15" t="s">
        <v>100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>
      <c r="A700" s="15" t="s">
        <v>19</v>
      </c>
      <c r="B700" s="15" t="s">
        <v>566</v>
      </c>
      <c r="C700" s="15" t="s">
        <v>323</v>
      </c>
      <c r="D700" s="15" t="s">
        <v>336</v>
      </c>
      <c r="E700" s="15" t="s">
        <v>100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>
      <c r="A701" s="15" t="s">
        <v>172</v>
      </c>
      <c r="B701" s="15" t="s">
        <v>494</v>
      </c>
      <c r="C701" s="15" t="s">
        <v>495</v>
      </c>
      <c r="D701" s="15" t="s">
        <v>496</v>
      </c>
      <c r="E701" s="15" t="s">
        <v>100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>
      <c r="A702" s="15" t="s">
        <v>159</v>
      </c>
      <c r="B702" s="15" t="s">
        <v>494</v>
      </c>
      <c r="C702" s="15" t="s">
        <v>500</v>
      </c>
      <c r="D702" s="15" t="s">
        <v>524</v>
      </c>
      <c r="E702" s="15" t="s">
        <v>100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>
      <c r="A703" s="15" t="s">
        <v>338</v>
      </c>
      <c r="B703" s="15" t="s">
        <v>494</v>
      </c>
      <c r="C703" s="15" t="s">
        <v>500</v>
      </c>
      <c r="D703" s="15" t="s">
        <v>501</v>
      </c>
      <c r="E703" s="15" t="s">
        <v>100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>
      <c r="A704" s="15" t="s">
        <v>157</v>
      </c>
      <c r="B704" s="15" t="s">
        <v>494</v>
      </c>
      <c r="C704" s="15" t="s">
        <v>495</v>
      </c>
      <c r="D704" s="15" t="s">
        <v>507</v>
      </c>
      <c r="E704" s="15" t="s">
        <v>100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>
      <c r="A705" s="15" t="s">
        <v>157</v>
      </c>
      <c r="B705" s="15" t="s">
        <v>494</v>
      </c>
      <c r="C705" s="15" t="s">
        <v>500</v>
      </c>
      <c r="D705" s="15" t="s">
        <v>524</v>
      </c>
      <c r="E705" s="15" t="s">
        <v>100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>
      <c r="A706" s="15" t="s">
        <v>111</v>
      </c>
      <c r="B706" s="15" t="s">
        <v>494</v>
      </c>
      <c r="C706" s="15" t="s">
        <v>500</v>
      </c>
      <c r="D706" s="15" t="s">
        <v>524</v>
      </c>
      <c r="E706" s="15" t="s">
        <v>100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>
      <c r="A707" s="15" t="s">
        <v>29</v>
      </c>
      <c r="B707" s="15" t="s">
        <v>494</v>
      </c>
      <c r="C707" s="15" t="s">
        <v>500</v>
      </c>
      <c r="D707" s="15" t="s">
        <v>524</v>
      </c>
      <c r="E707" s="15" t="s">
        <v>100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>
      <c r="A708" s="15" t="s">
        <v>109</v>
      </c>
      <c r="B708" s="15" t="s">
        <v>494</v>
      </c>
      <c r="C708" s="15" t="s">
        <v>500</v>
      </c>
      <c r="D708" s="15" t="s">
        <v>524</v>
      </c>
      <c r="E708" s="15" t="s">
        <v>100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>
      <c r="A709" s="15" t="s">
        <v>517</v>
      </c>
      <c r="B709" s="15" t="s">
        <v>494</v>
      </c>
      <c r="C709" s="15" t="s">
        <v>508</v>
      </c>
      <c r="D709" s="15" t="s">
        <v>525</v>
      </c>
      <c r="E709" s="15" t="s">
        <v>100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>
      <c r="A710" s="15" t="s">
        <v>522</v>
      </c>
      <c r="B710" s="15" t="s">
        <v>494</v>
      </c>
      <c r="C710" s="15" t="s">
        <v>508</v>
      </c>
      <c r="D710" s="15" t="s">
        <v>525</v>
      </c>
      <c r="E710" s="15" t="s">
        <v>100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>
      <c r="A711" s="15" t="s">
        <v>165</v>
      </c>
      <c r="B711" s="15" t="s">
        <v>494</v>
      </c>
      <c r="C711" s="15" t="s">
        <v>495</v>
      </c>
      <c r="D711" s="15" t="s">
        <v>507</v>
      </c>
      <c r="E711" s="15" t="s">
        <v>100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>
      <c r="A712" s="15" t="s">
        <v>165</v>
      </c>
      <c r="B712" s="15" t="s">
        <v>494</v>
      </c>
      <c r="C712" s="15" t="s">
        <v>508</v>
      </c>
      <c r="D712" s="15" t="s">
        <v>525</v>
      </c>
      <c r="E712" s="15" t="s">
        <v>100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>
      <c r="A713" s="15" t="s">
        <v>519</v>
      </c>
      <c r="B713" s="15" t="s">
        <v>494</v>
      </c>
      <c r="C713" s="15" t="s">
        <v>508</v>
      </c>
      <c r="D713" s="15" t="s">
        <v>525</v>
      </c>
      <c r="E713" s="15" t="s">
        <v>100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>
      <c r="A714" s="15" t="s">
        <v>170</v>
      </c>
      <c r="B714" s="15" t="s">
        <v>494</v>
      </c>
      <c r="C714" s="15" t="s">
        <v>500</v>
      </c>
      <c r="D714" s="15" t="s">
        <v>524</v>
      </c>
      <c r="E714" s="15" t="s">
        <v>100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>
      <c r="A715" s="15" t="s">
        <v>24</v>
      </c>
      <c r="B715" s="15" t="s">
        <v>566</v>
      </c>
      <c r="C715" s="15" t="s">
        <v>323</v>
      </c>
      <c r="D715" s="15" t="s">
        <v>324</v>
      </c>
      <c r="E715" s="15" t="s">
        <v>100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>
      <c r="A716" s="15" t="s">
        <v>160</v>
      </c>
      <c r="B716" s="15" t="s">
        <v>494</v>
      </c>
      <c r="C716" s="15" t="s">
        <v>500</v>
      </c>
      <c r="D716" s="15" t="s">
        <v>524</v>
      </c>
      <c r="E716" s="15" t="s">
        <v>100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>
      <c r="A717" s="15" t="s">
        <v>171</v>
      </c>
      <c r="B717" s="15" t="s">
        <v>494</v>
      </c>
      <c r="C717" s="15" t="s">
        <v>500</v>
      </c>
      <c r="D717" s="15" t="s">
        <v>524</v>
      </c>
      <c r="E717" s="15" t="s">
        <v>100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>
      <c r="A718" s="15" t="s">
        <v>440</v>
      </c>
      <c r="B718" s="15" t="s">
        <v>494</v>
      </c>
      <c r="C718" s="15" t="s">
        <v>495</v>
      </c>
      <c r="D718" s="15" t="s">
        <v>507</v>
      </c>
      <c r="E718" s="15" t="s">
        <v>100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>
      <c r="A719" s="15" t="s">
        <v>526</v>
      </c>
      <c r="B719" s="15" t="s">
        <v>494</v>
      </c>
      <c r="C719" s="15" t="s">
        <v>495</v>
      </c>
      <c r="D719" s="15" t="s">
        <v>507</v>
      </c>
      <c r="E719" s="15" t="s">
        <v>100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>
      <c r="A720" s="15" t="s">
        <v>20</v>
      </c>
      <c r="B720" s="15" t="s">
        <v>566</v>
      </c>
      <c r="C720" s="15" t="s">
        <v>323</v>
      </c>
      <c r="D720" s="15" t="s">
        <v>324</v>
      </c>
      <c r="E720" s="15" t="s">
        <v>100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>
      <c r="A721" s="15" t="s">
        <v>19</v>
      </c>
      <c r="B721" s="15" t="s">
        <v>566</v>
      </c>
      <c r="C721" s="15" t="s">
        <v>323</v>
      </c>
      <c r="D721" s="15" t="s">
        <v>527</v>
      </c>
      <c r="E721" s="15" t="s">
        <v>100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>
      <c r="A722" s="15" t="s">
        <v>22</v>
      </c>
      <c r="B722" s="15" t="s">
        <v>566</v>
      </c>
      <c r="C722" s="15" t="s">
        <v>328</v>
      </c>
      <c r="D722" s="15" t="s">
        <v>329</v>
      </c>
      <c r="E722" s="15" t="s">
        <v>100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>
      <c r="A723" s="15" t="s">
        <v>530</v>
      </c>
      <c r="B723" s="15" t="s">
        <v>531</v>
      </c>
      <c r="C723" s="15" t="s">
        <v>532</v>
      </c>
      <c r="D723" s="15" t="s">
        <v>533</v>
      </c>
      <c r="E723" s="15" t="s">
        <v>428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>
      <c r="A724" s="15" t="s">
        <v>530</v>
      </c>
      <c r="B724" s="15" t="s">
        <v>531</v>
      </c>
      <c r="C724" s="15" t="s">
        <v>534</v>
      </c>
      <c r="D724" s="15" t="s">
        <v>535</v>
      </c>
      <c r="E724" s="15" t="s">
        <v>356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>
      <c r="A725" s="15" t="s">
        <v>536</v>
      </c>
      <c r="B725" s="15" t="s">
        <v>531</v>
      </c>
      <c r="C725" s="15" t="s">
        <v>532</v>
      </c>
      <c r="D725" s="15" t="s">
        <v>537</v>
      </c>
      <c r="E725" s="15" t="s">
        <v>431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>
      <c r="A726" s="15" t="s">
        <v>538</v>
      </c>
      <c r="B726" s="15" t="s">
        <v>531</v>
      </c>
      <c r="C726" s="15" t="s">
        <v>532</v>
      </c>
      <c r="D726" s="15" t="s">
        <v>537</v>
      </c>
      <c r="E726" s="15" t="s">
        <v>431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>
      <c r="A727" s="15" t="s">
        <v>539</v>
      </c>
      <c r="B727" s="15" t="s">
        <v>531</v>
      </c>
      <c r="C727" s="15" t="s">
        <v>532</v>
      </c>
      <c r="D727" s="15" t="s">
        <v>537</v>
      </c>
      <c r="E727" s="15" t="s">
        <v>431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>
      <c r="A728" s="15" t="s">
        <v>539</v>
      </c>
      <c r="B728" s="15" t="s">
        <v>531</v>
      </c>
      <c r="C728" s="15" t="s">
        <v>532</v>
      </c>
      <c r="D728" s="15" t="s">
        <v>533</v>
      </c>
      <c r="E728" s="15" t="s">
        <v>428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>
      <c r="A729" s="15" t="s">
        <v>538</v>
      </c>
      <c r="B729" s="15" t="s">
        <v>531</v>
      </c>
      <c r="C729" s="15" t="s">
        <v>532</v>
      </c>
      <c r="D729" s="15" t="s">
        <v>540</v>
      </c>
      <c r="E729" s="15" t="s">
        <v>431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>
      <c r="A730" s="15" t="s">
        <v>541</v>
      </c>
      <c r="B730" s="15" t="s">
        <v>531</v>
      </c>
      <c r="C730" s="15" t="s">
        <v>534</v>
      </c>
      <c r="D730" s="15" t="s">
        <v>542</v>
      </c>
      <c r="E730" s="15" t="s">
        <v>543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>
      <c r="A731" s="15" t="s">
        <v>544</v>
      </c>
      <c r="B731" s="15" t="s">
        <v>531</v>
      </c>
      <c r="C731" s="15" t="s">
        <v>534</v>
      </c>
      <c r="D731" s="15" t="s">
        <v>535</v>
      </c>
      <c r="E731" s="15" t="s">
        <v>356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>
      <c r="A732" s="15" t="s">
        <v>544</v>
      </c>
      <c r="B732" s="15" t="s">
        <v>531</v>
      </c>
      <c r="C732" s="15" t="s">
        <v>534</v>
      </c>
      <c r="D732" s="15" t="s">
        <v>545</v>
      </c>
      <c r="E732" s="15" t="s">
        <v>356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>
      <c r="A733" s="15" t="s">
        <v>546</v>
      </c>
      <c r="B733" s="15" t="s">
        <v>531</v>
      </c>
      <c r="C733" s="15" t="s">
        <v>532</v>
      </c>
      <c r="D733" s="15" t="s">
        <v>533</v>
      </c>
      <c r="E733" s="15" t="s">
        <v>434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>
      <c r="A734" s="15" t="s">
        <v>547</v>
      </c>
      <c r="B734" s="15" t="s">
        <v>531</v>
      </c>
      <c r="C734" s="15" t="s">
        <v>532</v>
      </c>
      <c r="D734" s="15" t="s">
        <v>537</v>
      </c>
      <c r="E734" s="15" t="s">
        <v>431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>
      <c r="A735" s="15" t="s">
        <v>547</v>
      </c>
      <c r="B735" s="15" t="s">
        <v>531</v>
      </c>
      <c r="C735" s="15" t="s">
        <v>532</v>
      </c>
      <c r="D735" s="15" t="s">
        <v>540</v>
      </c>
      <c r="E735" s="15" t="s">
        <v>431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>
      <c r="A736" s="15" t="s">
        <v>548</v>
      </c>
      <c r="B736" s="15" t="s">
        <v>531</v>
      </c>
      <c r="C736" s="15" t="s">
        <v>534</v>
      </c>
      <c r="D736" s="15" t="s">
        <v>535</v>
      </c>
      <c r="E736" s="15" t="s">
        <v>356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>
      <c r="A737" s="15" t="s">
        <v>548</v>
      </c>
      <c r="B737" s="15" t="s">
        <v>531</v>
      </c>
      <c r="C737" s="15" t="s">
        <v>534</v>
      </c>
      <c r="D737" s="15" t="s">
        <v>545</v>
      </c>
      <c r="E737" s="15" t="s">
        <v>356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>
      <c r="A738" s="15" t="s">
        <v>548</v>
      </c>
      <c r="B738" s="15" t="s">
        <v>531</v>
      </c>
      <c r="C738" s="15" t="s">
        <v>534</v>
      </c>
      <c r="D738" s="15" t="s">
        <v>549</v>
      </c>
      <c r="E738" s="15" t="s">
        <v>356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>
      <c r="A739" s="15" t="s">
        <v>550</v>
      </c>
      <c r="B739" s="15" t="s">
        <v>531</v>
      </c>
      <c r="C739" s="15" t="s">
        <v>532</v>
      </c>
      <c r="D739" s="15" t="s">
        <v>537</v>
      </c>
      <c r="E739" s="15" t="s">
        <v>431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>
      <c r="A740" s="15" t="s">
        <v>550</v>
      </c>
      <c r="B740" s="15" t="s">
        <v>531</v>
      </c>
      <c r="C740" s="15" t="s">
        <v>532</v>
      </c>
      <c r="D740" s="15" t="s">
        <v>540</v>
      </c>
      <c r="E740" s="15" t="s">
        <v>431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>
      <c r="A741" s="15" t="s">
        <v>550</v>
      </c>
      <c r="B741" s="15" t="s">
        <v>531</v>
      </c>
      <c r="C741" s="15" t="s">
        <v>534</v>
      </c>
      <c r="D741" s="15" t="s">
        <v>549</v>
      </c>
      <c r="E741" s="15" t="s">
        <v>356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>
      <c r="A742" s="15" t="s">
        <v>550</v>
      </c>
      <c r="B742" s="15" t="s">
        <v>531</v>
      </c>
      <c r="C742" s="15" t="s">
        <v>532</v>
      </c>
      <c r="D742" s="15" t="s">
        <v>537</v>
      </c>
      <c r="E742" s="15" t="s">
        <v>431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>
      <c r="A743" s="15" t="s">
        <v>550</v>
      </c>
      <c r="B743" s="15" t="s">
        <v>531</v>
      </c>
      <c r="C743" s="15" t="s">
        <v>532</v>
      </c>
      <c r="D743" s="15" t="s">
        <v>540</v>
      </c>
      <c r="E743" s="15" t="s">
        <v>431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>
      <c r="A744" s="15" t="s">
        <v>551</v>
      </c>
      <c r="B744" s="15" t="s">
        <v>531</v>
      </c>
      <c r="C744" s="15" t="s">
        <v>534</v>
      </c>
      <c r="D744" s="15" t="s">
        <v>535</v>
      </c>
      <c r="E744" s="15" t="s">
        <v>356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>
      <c r="A745" s="15" t="s">
        <v>551</v>
      </c>
      <c r="B745" s="15" t="s">
        <v>531</v>
      </c>
      <c r="C745" s="15" t="s">
        <v>534</v>
      </c>
      <c r="D745" s="15" t="s">
        <v>549</v>
      </c>
      <c r="E745" s="15" t="s">
        <v>356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>
      <c r="A746" s="15" t="s">
        <v>552</v>
      </c>
      <c r="B746" s="15" t="s">
        <v>531</v>
      </c>
      <c r="C746" s="15" t="s">
        <v>534</v>
      </c>
      <c r="D746" s="15" t="s">
        <v>535</v>
      </c>
      <c r="E746" s="15" t="s">
        <v>356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>
      <c r="A747" s="15" t="s">
        <v>553</v>
      </c>
      <c r="B747" s="15" t="s">
        <v>531</v>
      </c>
      <c r="C747" s="15" t="s">
        <v>532</v>
      </c>
      <c r="D747" s="15" t="s">
        <v>533</v>
      </c>
      <c r="E747" s="15" t="s">
        <v>428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>
      <c r="A748" s="15" t="s">
        <v>553</v>
      </c>
      <c r="B748" s="15" t="s">
        <v>531</v>
      </c>
      <c r="C748" s="15" t="s">
        <v>532</v>
      </c>
      <c r="D748" s="15" t="s">
        <v>533</v>
      </c>
      <c r="E748" s="15" t="s">
        <v>434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>
      <c r="A749" s="15" t="s">
        <v>554</v>
      </c>
      <c r="B749" s="15" t="s">
        <v>531</v>
      </c>
      <c r="C749" s="15" t="s">
        <v>534</v>
      </c>
      <c r="D749" s="15" t="s">
        <v>535</v>
      </c>
      <c r="E749" s="15" t="s">
        <v>356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>
      <c r="A750" s="15" t="s">
        <v>551</v>
      </c>
      <c r="B750" s="15" t="s">
        <v>531</v>
      </c>
      <c r="C750" s="15" t="s">
        <v>532</v>
      </c>
      <c r="D750" s="15" t="s">
        <v>537</v>
      </c>
      <c r="E750" s="15" t="s">
        <v>431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>
      <c r="A751" s="15" t="s">
        <v>551</v>
      </c>
      <c r="B751" s="15" t="s">
        <v>531</v>
      </c>
      <c r="C751" s="15" t="s">
        <v>534</v>
      </c>
      <c r="D751" s="15" t="s">
        <v>549</v>
      </c>
      <c r="E751" s="15" t="s">
        <v>356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>
      <c r="A752" s="15" t="s">
        <v>351</v>
      </c>
      <c r="B752" s="15" t="s">
        <v>531</v>
      </c>
      <c r="C752" s="15" t="s">
        <v>534</v>
      </c>
      <c r="D752" s="15" t="s">
        <v>535</v>
      </c>
      <c r="E752" s="15" t="s">
        <v>356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>
      <c r="A753" s="15" t="s">
        <v>351</v>
      </c>
      <c r="B753" s="15" t="s">
        <v>531</v>
      </c>
      <c r="C753" s="15" t="s">
        <v>534</v>
      </c>
      <c r="D753" s="15" t="s">
        <v>545</v>
      </c>
      <c r="E753" s="15" t="s">
        <v>356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>
      <c r="A754" s="15" t="s">
        <v>351</v>
      </c>
      <c r="B754" s="15" t="s">
        <v>531</v>
      </c>
      <c r="C754" s="15" t="s">
        <v>534</v>
      </c>
      <c r="D754" s="15" t="s">
        <v>549</v>
      </c>
      <c r="E754" s="15" t="s">
        <v>356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>
      <c r="A755" s="15" t="s">
        <v>536</v>
      </c>
      <c r="B755" s="15" t="s">
        <v>531</v>
      </c>
      <c r="C755" s="15" t="s">
        <v>532</v>
      </c>
      <c r="D755" s="15" t="s">
        <v>537</v>
      </c>
      <c r="E755" s="15" t="s">
        <v>431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>
      <c r="A756" s="15" t="s">
        <v>550</v>
      </c>
      <c r="B756" s="15" t="s">
        <v>531</v>
      </c>
      <c r="C756" s="15" t="s">
        <v>532</v>
      </c>
      <c r="D756" s="15" t="s">
        <v>540</v>
      </c>
      <c r="E756" s="15" t="s">
        <v>431</v>
      </c>
      <c r="F756" s="15"/>
      <c r="G756" s="15"/>
      <c r="H756" s="15" t="s">
        <v>382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>
      <c r="A757" s="15" t="s">
        <v>550</v>
      </c>
      <c r="B757" s="15" t="s">
        <v>531</v>
      </c>
      <c r="C757" s="15" t="s">
        <v>534</v>
      </c>
      <c r="D757" s="15" t="s">
        <v>545</v>
      </c>
      <c r="E757" s="15" t="s">
        <v>356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>
      <c r="A758" s="15" t="s">
        <v>422</v>
      </c>
      <c r="B758" s="15" t="s">
        <v>531</v>
      </c>
      <c r="C758" s="15" t="s">
        <v>532</v>
      </c>
      <c r="D758" s="15" t="s">
        <v>533</v>
      </c>
      <c r="E758" s="15" t="s">
        <v>434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3.15">
      <c r="A759" s="15" t="s">
        <v>555</v>
      </c>
      <c r="B759" s="15" t="s">
        <v>531</v>
      </c>
      <c r="C759" s="15" t="s">
        <v>532</v>
      </c>
      <c r="D759" s="15" t="s">
        <v>533</v>
      </c>
      <c r="E759" s="15" t="s">
        <v>434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>
      <c r="A760" s="15" t="s">
        <v>556</v>
      </c>
      <c r="B760" s="15" t="s">
        <v>531</v>
      </c>
      <c r="C760" s="15" t="s">
        <v>532</v>
      </c>
      <c r="D760" s="15" t="s">
        <v>537</v>
      </c>
      <c r="E760" s="15" t="s">
        <v>431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>
      <c r="A761" s="15" t="s">
        <v>556</v>
      </c>
      <c r="B761" s="15" t="s">
        <v>531</v>
      </c>
      <c r="C761" s="15" t="s">
        <v>532</v>
      </c>
      <c r="D761" s="15" t="s">
        <v>540</v>
      </c>
      <c r="E761" s="15" t="s">
        <v>431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>
      <c r="A762" s="15" t="s">
        <v>530</v>
      </c>
      <c r="B762" s="15" t="s">
        <v>531</v>
      </c>
      <c r="C762" s="15" t="s">
        <v>557</v>
      </c>
      <c r="D762" s="15" t="s">
        <v>558</v>
      </c>
      <c r="E762" s="15"/>
      <c r="F762" s="15"/>
      <c r="G762" s="15"/>
      <c r="H762" s="15" t="s">
        <v>382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>
      <c r="A763" s="15" t="s">
        <v>539</v>
      </c>
      <c r="B763" s="15" t="s">
        <v>531</v>
      </c>
      <c r="C763" s="15" t="s">
        <v>557</v>
      </c>
      <c r="D763" s="15" t="s">
        <v>559</v>
      </c>
      <c r="E763" s="15"/>
      <c r="F763" s="15"/>
      <c r="G763" s="15"/>
      <c r="H763" s="15" t="s">
        <v>382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>
      <c r="A764" s="15" t="s">
        <v>538</v>
      </c>
      <c r="B764" s="15" t="s">
        <v>531</v>
      </c>
      <c r="C764" s="15" t="s">
        <v>557</v>
      </c>
      <c r="D764" s="15" t="s">
        <v>558</v>
      </c>
      <c r="E764" s="15"/>
      <c r="F764" s="15"/>
      <c r="G764" s="15"/>
      <c r="H764" s="15" t="s">
        <v>382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>
      <c r="A765" s="15" t="s">
        <v>547</v>
      </c>
      <c r="B765" s="15" t="s">
        <v>531</v>
      </c>
      <c r="C765" s="15" t="s">
        <v>557</v>
      </c>
      <c r="D765" s="15" t="s">
        <v>560</v>
      </c>
      <c r="E765" s="15"/>
      <c r="F765" s="15"/>
      <c r="G765" s="15"/>
      <c r="H765" s="15" t="s">
        <v>382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>
      <c r="A766" s="15" t="s">
        <v>548</v>
      </c>
      <c r="B766" s="15" t="s">
        <v>531</v>
      </c>
      <c r="C766" s="15" t="s">
        <v>561</v>
      </c>
      <c r="D766" s="15" t="s">
        <v>562</v>
      </c>
      <c r="E766" s="15"/>
      <c r="F766" s="15"/>
      <c r="G766" s="15"/>
      <c r="H766" s="15" t="s">
        <v>382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>
      <c r="A767" s="15" t="s">
        <v>548</v>
      </c>
      <c r="B767" s="15" t="s">
        <v>531</v>
      </c>
      <c r="C767" s="15" t="s">
        <v>561</v>
      </c>
      <c r="D767" s="15" t="s">
        <v>563</v>
      </c>
      <c r="E767" s="15"/>
      <c r="F767" s="15"/>
      <c r="G767" s="15"/>
      <c r="H767" s="15" t="s">
        <v>382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>
      <c r="A768" s="15" t="s">
        <v>552</v>
      </c>
      <c r="B768" s="15" t="s">
        <v>531</v>
      </c>
      <c r="C768" s="15" t="s">
        <v>557</v>
      </c>
      <c r="D768" s="15" t="s">
        <v>558</v>
      </c>
      <c r="E768" s="15"/>
      <c r="F768" s="15"/>
      <c r="G768" s="15"/>
      <c r="H768" s="15" t="s">
        <v>382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>
      <c r="A769" s="15" t="s">
        <v>552</v>
      </c>
      <c r="B769" s="15" t="s">
        <v>531</v>
      </c>
      <c r="C769" s="15" t="s">
        <v>561</v>
      </c>
      <c r="D769" s="15" t="s">
        <v>562</v>
      </c>
      <c r="E769" s="15"/>
      <c r="F769" s="15"/>
      <c r="G769" s="15"/>
      <c r="H769" s="15" t="s">
        <v>382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>
      <c r="A770" s="15" t="s">
        <v>554</v>
      </c>
      <c r="B770" s="15" t="s">
        <v>531</v>
      </c>
      <c r="C770" s="15" t="s">
        <v>561</v>
      </c>
      <c r="D770" s="15" t="s">
        <v>563</v>
      </c>
      <c r="E770" s="15"/>
      <c r="F770" s="15"/>
      <c r="G770" s="15"/>
      <c r="H770" s="15" t="s">
        <v>382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>
      <c r="A771" s="15" t="s">
        <v>551</v>
      </c>
      <c r="B771" s="15" t="s">
        <v>531</v>
      </c>
      <c r="C771" s="15" t="s">
        <v>561</v>
      </c>
      <c r="D771" s="15" t="s">
        <v>563</v>
      </c>
      <c r="E771" s="15"/>
      <c r="F771" s="15"/>
      <c r="G771" s="15"/>
      <c r="H771" s="15" t="s">
        <v>382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>
      <c r="A772" s="15" t="s">
        <v>544</v>
      </c>
      <c r="B772" s="15" t="s">
        <v>531</v>
      </c>
      <c r="C772" s="15" t="s">
        <v>557</v>
      </c>
      <c r="D772" s="15" t="s">
        <v>559</v>
      </c>
      <c r="E772" s="15"/>
      <c r="F772" s="15"/>
      <c r="G772" s="15"/>
      <c r="H772" s="15" t="s">
        <v>382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>
      <c r="A773" s="15" t="s">
        <v>546</v>
      </c>
      <c r="B773" s="15" t="s">
        <v>531</v>
      </c>
      <c r="C773" s="15" t="s">
        <v>557</v>
      </c>
      <c r="D773" s="15" t="s">
        <v>559</v>
      </c>
      <c r="E773" s="15"/>
      <c r="F773" s="15"/>
      <c r="G773" s="15"/>
      <c r="H773" s="15" t="s">
        <v>382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>
      <c r="A774" s="15" t="s">
        <v>351</v>
      </c>
      <c r="B774" s="15" t="s">
        <v>531</v>
      </c>
      <c r="C774" s="15" t="s">
        <v>561</v>
      </c>
      <c r="D774" s="15" t="s">
        <v>562</v>
      </c>
      <c r="E774" s="15"/>
      <c r="F774" s="15"/>
      <c r="G774" s="15"/>
      <c r="H774" s="15" t="s">
        <v>382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>
      <c r="A775" s="15" t="s">
        <v>536</v>
      </c>
      <c r="B775" s="15" t="s">
        <v>531</v>
      </c>
      <c r="C775" s="15" t="s">
        <v>557</v>
      </c>
      <c r="D775" s="15" t="s">
        <v>564</v>
      </c>
      <c r="E775" s="15"/>
      <c r="F775" s="15"/>
      <c r="G775" s="15"/>
      <c r="H775" s="15" t="s">
        <v>382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>
      <c r="A776" s="15" t="s">
        <v>550</v>
      </c>
      <c r="B776" s="15" t="s">
        <v>531</v>
      </c>
      <c r="C776" s="15" t="s">
        <v>557</v>
      </c>
      <c r="D776" s="15" t="s">
        <v>564</v>
      </c>
      <c r="E776" s="15"/>
      <c r="F776" s="15"/>
      <c r="G776" s="15"/>
      <c r="H776" s="15" t="s">
        <v>382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>
      <c r="A777" s="15" t="s">
        <v>556</v>
      </c>
      <c r="B777" s="15" t="s">
        <v>531</v>
      </c>
      <c r="C777" s="15" t="s">
        <v>557</v>
      </c>
      <c r="D777" s="15" t="s">
        <v>560</v>
      </c>
      <c r="E777" s="15"/>
      <c r="F777" s="15"/>
      <c r="G777" s="15"/>
      <c r="H777" s="15" t="s">
        <v>382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>
      <c r="A778" s="15" t="s">
        <v>548</v>
      </c>
      <c r="B778" s="15" t="s">
        <v>531</v>
      </c>
      <c r="C778" s="15" t="s">
        <v>561</v>
      </c>
      <c r="D778" s="15" t="s">
        <v>565</v>
      </c>
      <c r="E778" s="15"/>
      <c r="F778" s="15"/>
      <c r="G778" s="15"/>
      <c r="H778" s="15" t="s">
        <v>382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>
      <c r="A779" s="15" t="s">
        <v>351</v>
      </c>
      <c r="B779" s="15" t="s">
        <v>531</v>
      </c>
      <c r="C779" s="15" t="s">
        <v>561</v>
      </c>
      <c r="D779" s="15" t="s">
        <v>565</v>
      </c>
      <c r="E779" s="15"/>
      <c r="F779" s="15"/>
      <c r="G779" s="15"/>
      <c r="H779" s="15" t="s">
        <v>382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>
      <c r="A780" s="15" t="s">
        <v>550</v>
      </c>
      <c r="B780" s="15" t="s">
        <v>531</v>
      </c>
      <c r="C780" s="15" t="s">
        <v>557</v>
      </c>
      <c r="D780" s="15" t="s">
        <v>560</v>
      </c>
      <c r="E780" s="15"/>
      <c r="F780" s="15"/>
      <c r="G780" s="15"/>
      <c r="H780" s="15" t="s">
        <v>382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>
      <c r="A781" s="15" t="s">
        <v>351</v>
      </c>
      <c r="B781" s="15" t="s">
        <v>531</v>
      </c>
      <c r="C781" s="15" t="s">
        <v>561</v>
      </c>
      <c r="D781" s="15" t="s">
        <v>563</v>
      </c>
      <c r="E781" s="15"/>
      <c r="F781" s="15"/>
      <c r="G781" s="15"/>
      <c r="H781" s="15" t="s">
        <v>382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886176641.00030017</v>
      </c>
      <c r="P781" s="15">
        <v>0</v>
      </c>
      <c r="Q781" s="15"/>
    </row>
    <row r="782" spans="1:17">
      <c r="A782" s="15" t="s">
        <v>538</v>
      </c>
      <c r="B782" s="15" t="s">
        <v>531</v>
      </c>
      <c r="C782" s="15" t="s">
        <v>557</v>
      </c>
      <c r="D782" s="15" t="s">
        <v>564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>
      <c r="A783" s="15" t="s">
        <v>539</v>
      </c>
      <c r="B783" s="15" t="s">
        <v>531</v>
      </c>
      <c r="C783" s="15" t="s">
        <v>532</v>
      </c>
      <c r="D783" s="15" t="s">
        <v>533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>
      <c r="A784" s="15" t="s">
        <v>556</v>
      </c>
      <c r="B784" s="15" t="s">
        <v>531</v>
      </c>
      <c r="C784" s="15" t="s">
        <v>532</v>
      </c>
      <c r="D784" s="15" t="s">
        <v>533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>
      <c r="A785" s="15" t="s">
        <v>552</v>
      </c>
      <c r="B785" s="15" t="s">
        <v>531</v>
      </c>
      <c r="C785" s="15" t="s">
        <v>534</v>
      </c>
      <c r="D785" s="15" t="s">
        <v>549</v>
      </c>
      <c r="E785" s="15" t="s">
        <v>356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>
      <c r="A786" s="15" t="s">
        <v>538</v>
      </c>
      <c r="B786" s="15" t="s">
        <v>531</v>
      </c>
      <c r="C786" s="15" t="s">
        <v>557</v>
      </c>
      <c r="D786" s="15" t="s">
        <v>560</v>
      </c>
      <c r="E786" s="15"/>
      <c r="F786" s="15"/>
      <c r="G786" s="15"/>
      <c r="H786" s="15" t="s">
        <v>382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</sheetData>
  <autoFilter ref="A1:Q786" xr:uid="{9CE123FB-CEA7-44A7-9963-9B13BC48808D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4.4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" thickBot="1"/>
    <row r="3" spans="1:11" s="3" customFormat="1" ht="31.15" customHeight="1" thickBot="1">
      <c r="A3" s="336" t="s">
        <v>567</v>
      </c>
      <c r="B3" s="335" t="s">
        <v>568</v>
      </c>
      <c r="C3" s="253" t="s">
        <v>569</v>
      </c>
      <c r="D3" s="254" t="s">
        <v>570</v>
      </c>
      <c r="E3" s="253" t="s">
        <v>571</v>
      </c>
      <c r="F3" s="254" t="s">
        <v>572</v>
      </c>
      <c r="G3" s="253" t="s">
        <v>573</v>
      </c>
      <c r="H3" s="253" t="s">
        <v>574</v>
      </c>
      <c r="I3" s="254" t="s">
        <v>575</v>
      </c>
      <c r="J3" s="253" t="s">
        <v>576</v>
      </c>
    </row>
    <row r="4" spans="1:11">
      <c r="A4" s="255" t="s">
        <v>391</v>
      </c>
      <c r="B4" s="321">
        <v>7795999005.7501945</v>
      </c>
      <c r="C4" s="322">
        <v>1421463026.7099991</v>
      </c>
      <c r="D4" s="323">
        <v>577848068.99999833</v>
      </c>
      <c r="E4" s="322">
        <v>1099965863.8399994</v>
      </c>
      <c r="F4" s="323">
        <v>19636213234.82159</v>
      </c>
      <c r="G4" s="322">
        <v>2478723844.7799959</v>
      </c>
      <c r="H4" s="322">
        <v>12273121311.639599</v>
      </c>
      <c r="I4" s="323">
        <v>19986538145.539383</v>
      </c>
      <c r="J4" s="322">
        <v>229764450.55999988</v>
      </c>
      <c r="K4" s="258">
        <f>SUM(B4:F4)</f>
        <v>30531489200.12178</v>
      </c>
    </row>
    <row r="5" spans="1:11">
      <c r="A5" s="255" t="s">
        <v>566</v>
      </c>
      <c r="B5" s="312">
        <v>3662564846.030014</v>
      </c>
      <c r="C5" s="313">
        <v>173163698.79999998</v>
      </c>
      <c r="D5" s="258">
        <v>213513348.66999993</v>
      </c>
      <c r="E5" s="313">
        <v>1408011081.2800004</v>
      </c>
      <c r="F5" s="258">
        <v>27487786700.587818</v>
      </c>
      <c r="G5" s="313">
        <v>1234365238.7950001</v>
      </c>
      <c r="H5" s="313">
        <v>15542800757.655602</v>
      </c>
      <c r="I5" s="258">
        <v>18132457968.977825</v>
      </c>
      <c r="J5" s="313"/>
      <c r="K5" s="258">
        <f t="shared" ref="K5:K10" si="0">SUM(B5:F5)</f>
        <v>32945039675.367832</v>
      </c>
    </row>
    <row r="6" spans="1:11">
      <c r="A6" s="255" t="s">
        <v>531</v>
      </c>
      <c r="B6" s="312">
        <v>1396668761.6800001</v>
      </c>
      <c r="C6" s="313">
        <v>710291849.13999987</v>
      </c>
      <c r="D6" s="258">
        <v>1379570561.5799999</v>
      </c>
      <c r="E6" s="313">
        <v>1609129468.6699998</v>
      </c>
      <c r="F6" s="258">
        <v>17039236388.799255</v>
      </c>
      <c r="G6" s="313">
        <v>30151158.260957617</v>
      </c>
      <c r="H6" s="313">
        <v>11916898685.322798</v>
      </c>
      <c r="I6" s="258">
        <v>17894758836.269665</v>
      </c>
      <c r="J6" s="313"/>
      <c r="K6" s="258">
        <f t="shared" si="0"/>
        <v>22134897029.869255</v>
      </c>
    </row>
    <row r="7" spans="1:11">
      <c r="A7" s="255" t="s">
        <v>443</v>
      </c>
      <c r="B7" s="312">
        <v>864521902.31999981</v>
      </c>
      <c r="C7" s="313">
        <v>2450708828.4699993</v>
      </c>
      <c r="D7" s="258">
        <v>836408698.87000012</v>
      </c>
      <c r="E7" s="313">
        <v>3487432752.4199996</v>
      </c>
      <c r="F7" s="258">
        <v>1268877709.1800027</v>
      </c>
      <c r="G7" s="313">
        <v>636211775.19999993</v>
      </c>
      <c r="H7" s="313">
        <v>855640391.10279989</v>
      </c>
      <c r="I7" s="258">
        <v>986262290.77999067</v>
      </c>
      <c r="J7" s="313">
        <v>1913658133.830003</v>
      </c>
      <c r="K7" s="258">
        <f t="shared" si="0"/>
        <v>8907949891.2600002</v>
      </c>
    </row>
    <row r="8" spans="1:11">
      <c r="A8" s="255" t="s">
        <v>469</v>
      </c>
      <c r="B8" s="312">
        <v>3762605333.653336</v>
      </c>
      <c r="C8" s="313">
        <v>513836243.72999996</v>
      </c>
      <c r="D8" s="258">
        <v>389199921.87999994</v>
      </c>
      <c r="E8" s="313">
        <v>902733242.40000033</v>
      </c>
      <c r="F8" s="258">
        <v>7840527162.077508</v>
      </c>
      <c r="G8" s="313">
        <v>4231672222.2766666</v>
      </c>
      <c r="H8" s="313">
        <v>6868601348.6542225</v>
      </c>
      <c r="I8" s="258">
        <v>0</v>
      </c>
      <c r="J8" s="313"/>
      <c r="K8" s="258">
        <f t="shared" si="0"/>
        <v>13408901903.740845</v>
      </c>
    </row>
    <row r="9" spans="1:11" ht="15" thickBot="1">
      <c r="A9" s="255" t="s">
        <v>494</v>
      </c>
      <c r="B9" s="312">
        <v>0</v>
      </c>
      <c r="C9" s="313">
        <v>819354253.26999986</v>
      </c>
      <c r="D9" s="258">
        <v>1212831504.1000023</v>
      </c>
      <c r="E9" s="313">
        <v>2830987855.4800005</v>
      </c>
      <c r="F9" s="258">
        <v>25125112147.7481</v>
      </c>
      <c r="G9" s="313">
        <v>2258794635.6799998</v>
      </c>
      <c r="H9" s="313">
        <v>15579989592.549202</v>
      </c>
      <c r="I9" s="258">
        <v>25108963002.738102</v>
      </c>
      <c r="J9" s="313"/>
      <c r="K9" s="258">
        <f t="shared" si="0"/>
        <v>29988285760.598103</v>
      </c>
    </row>
    <row r="10" spans="1:11" ht="15" thickBot="1">
      <c r="A10" s="255" t="s">
        <v>577</v>
      </c>
      <c r="B10" s="314">
        <v>17482359849.433544</v>
      </c>
      <c r="C10" s="315">
        <v>6088817900.119997</v>
      </c>
      <c r="D10" s="324">
        <v>4609372104.1000004</v>
      </c>
      <c r="E10" s="315">
        <v>11338260264.09</v>
      </c>
      <c r="F10" s="324">
        <v>98397753343.214264</v>
      </c>
      <c r="G10" s="315">
        <v>10869918874.99262</v>
      </c>
      <c r="H10" s="315">
        <v>63037052086.924217</v>
      </c>
      <c r="I10" s="324">
        <v>82108980244.304977</v>
      </c>
      <c r="J10" s="315">
        <v>2143422584.390003</v>
      </c>
      <c r="K10" s="325">
        <f t="shared" si="0"/>
        <v>137916563460.95782</v>
      </c>
    </row>
    <row r="12" spans="1:11" ht="15" thickBot="1"/>
    <row r="13" spans="1:11" s="130" customFormat="1" ht="29.45" thickBot="1">
      <c r="A13" s="3" t="s">
        <v>567</v>
      </c>
      <c r="B13" s="335" t="s">
        <v>568</v>
      </c>
      <c r="C13" s="253" t="s">
        <v>569</v>
      </c>
      <c r="D13" s="254" t="s">
        <v>570</v>
      </c>
      <c r="E13" s="253" t="s">
        <v>571</v>
      </c>
      <c r="F13" s="254" t="s">
        <v>572</v>
      </c>
      <c r="G13" s="253" t="s">
        <v>573</v>
      </c>
      <c r="H13" s="253" t="s">
        <v>574</v>
      </c>
      <c r="I13" s="254" t="s">
        <v>575</v>
      </c>
      <c r="J13" s="253" t="s">
        <v>576</v>
      </c>
    </row>
    <row r="14" spans="1:11">
      <c r="A14" s="255" t="s">
        <v>391</v>
      </c>
      <c r="B14" s="326">
        <f>B4/$K4</f>
        <v>0.2553429003954088</v>
      </c>
      <c r="C14" s="327">
        <f t="shared" ref="C14:F14" si="1">C4/$K4</f>
        <v>4.6557277877697797E-2</v>
      </c>
      <c r="D14" s="328">
        <f t="shared" si="1"/>
        <v>1.8926298197000278E-2</v>
      </c>
      <c r="E14" s="327">
        <f t="shared" si="1"/>
        <v>3.6027258828750873E-2</v>
      </c>
      <c r="F14" s="328">
        <f t="shared" si="1"/>
        <v>0.64314626470114233</v>
      </c>
      <c r="G14" s="322"/>
      <c r="H14" s="322"/>
      <c r="I14" s="323"/>
      <c r="J14" s="322"/>
    </row>
    <row r="15" spans="1:11">
      <c r="A15" s="255" t="s">
        <v>566</v>
      </c>
      <c r="B15" s="329">
        <f t="shared" ref="B15:F15" si="2">B5/$K5</f>
        <v>0.11117196646657616</v>
      </c>
      <c r="C15" s="330">
        <f t="shared" si="2"/>
        <v>5.2561387239569808E-3</v>
      </c>
      <c r="D15" s="331">
        <f t="shared" si="2"/>
        <v>6.4808951749309451E-3</v>
      </c>
      <c r="E15" s="330">
        <f t="shared" si="2"/>
        <v>4.2738181381907228E-2</v>
      </c>
      <c r="F15" s="331">
        <f t="shared" si="2"/>
        <v>0.83435281825262864</v>
      </c>
      <c r="G15" s="313"/>
      <c r="H15" s="313"/>
      <c r="I15" s="258"/>
      <c r="J15" s="313"/>
    </row>
    <row r="16" spans="1:11">
      <c r="A16" s="255" t="s">
        <v>531</v>
      </c>
      <c r="B16" s="329">
        <f t="shared" ref="B16:F16" si="3">B6/$K6</f>
        <v>6.3098046482678846E-2</v>
      </c>
      <c r="C16" s="330">
        <f t="shared" si="3"/>
        <v>3.2089232137900547E-2</v>
      </c>
      <c r="D16" s="331">
        <f t="shared" si="3"/>
        <v>6.2325592015105423E-2</v>
      </c>
      <c r="E16" s="330">
        <f t="shared" si="3"/>
        <v>7.2696496690208667E-2</v>
      </c>
      <c r="F16" s="331">
        <f t="shared" si="3"/>
        <v>0.76979063267410652</v>
      </c>
      <c r="G16" s="313"/>
      <c r="H16" s="313"/>
      <c r="I16" s="258"/>
      <c r="J16" s="313"/>
    </row>
    <row r="17" spans="1:10">
      <c r="A17" s="255" t="s">
        <v>443</v>
      </c>
      <c r="B17" s="329">
        <f t="shared" ref="B17:F17" si="4">B7/$K7</f>
        <v>9.7050602312909517E-2</v>
      </c>
      <c r="C17" s="330">
        <f t="shared" si="4"/>
        <v>0.27511479727501642</v>
      </c>
      <c r="D17" s="331">
        <f t="shared" si="4"/>
        <v>9.3894634464731244E-2</v>
      </c>
      <c r="E17" s="330">
        <f t="shared" si="4"/>
        <v>0.39149667375673952</v>
      </c>
      <c r="F17" s="331">
        <f t="shared" si="4"/>
        <v>0.14244329219060348</v>
      </c>
      <c r="G17" s="313"/>
      <c r="H17" s="313"/>
      <c r="I17" s="258"/>
      <c r="J17" s="313"/>
    </row>
    <row r="18" spans="1:10">
      <c r="A18" s="255" t="s">
        <v>469</v>
      </c>
      <c r="B18" s="329">
        <f t="shared" ref="B18:F18" si="5">B8/$K8</f>
        <v>0.2806050309461684</v>
      </c>
      <c r="C18" s="330">
        <f t="shared" si="5"/>
        <v>3.8320531197759661E-2</v>
      </c>
      <c r="D18" s="331">
        <f t="shared" si="5"/>
        <v>2.90254880432394E-2</v>
      </c>
      <c r="E18" s="330">
        <f t="shared" si="5"/>
        <v>6.7323428039111385E-2</v>
      </c>
      <c r="F18" s="331">
        <f t="shared" si="5"/>
        <v>0.58472552177372117</v>
      </c>
      <c r="G18" s="313"/>
      <c r="H18" s="313"/>
      <c r="I18" s="258"/>
      <c r="J18" s="313"/>
    </row>
    <row r="19" spans="1:10" ht="15" thickBot="1">
      <c r="A19" s="255" t="s">
        <v>494</v>
      </c>
      <c r="B19" s="329">
        <f t="shared" ref="B19:F19" si="6">B9/$K9</f>
        <v>0</v>
      </c>
      <c r="C19" s="330">
        <f t="shared" si="6"/>
        <v>2.7322477176956787E-2</v>
      </c>
      <c r="D19" s="331">
        <f t="shared" si="6"/>
        <v>4.0443508968210293E-2</v>
      </c>
      <c r="E19" s="330">
        <f t="shared" si="6"/>
        <v>9.4403123875778941E-2</v>
      </c>
      <c r="F19" s="331">
        <f t="shared" si="6"/>
        <v>0.83783088997905397</v>
      </c>
      <c r="G19" s="313"/>
      <c r="H19" s="313"/>
      <c r="I19" s="258"/>
      <c r="J19" s="313"/>
    </row>
    <row r="20" spans="1:10" ht="15" thickBot="1">
      <c r="A20" s="255" t="s">
        <v>577</v>
      </c>
      <c r="B20" s="332">
        <f t="shared" ref="B20:F20" si="7">B10/$K10</f>
        <v>0.12676040796493995</v>
      </c>
      <c r="C20" s="333">
        <f t="shared" si="7"/>
        <v>4.4148561618152941E-2</v>
      </c>
      <c r="D20" s="334">
        <f t="shared" si="7"/>
        <v>3.3421454163515656E-2</v>
      </c>
      <c r="E20" s="333">
        <f t="shared" si="7"/>
        <v>8.2211012075425569E-2</v>
      </c>
      <c r="F20" s="334">
        <f t="shared" si="7"/>
        <v>0.71345856417796572</v>
      </c>
      <c r="G20" s="315"/>
      <c r="H20" s="315"/>
      <c r="I20" s="324"/>
      <c r="J20" s="3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4.4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" thickBot="1"/>
    <row r="3" spans="1:10" s="1" customFormat="1" ht="31.15" customHeight="1" thickBot="1">
      <c r="A3" s="311" t="s">
        <v>567</v>
      </c>
      <c r="B3" s="316" t="s">
        <v>568</v>
      </c>
      <c r="C3" s="317" t="s">
        <v>569</v>
      </c>
      <c r="D3" s="318" t="s">
        <v>570</v>
      </c>
      <c r="E3" s="317" t="s">
        <v>571</v>
      </c>
      <c r="F3" s="318" t="s">
        <v>572</v>
      </c>
      <c r="G3" s="317" t="s">
        <v>573</v>
      </c>
      <c r="H3" s="317" t="s">
        <v>574</v>
      </c>
      <c r="I3" s="318" t="s">
        <v>575</v>
      </c>
      <c r="J3" s="317" t="s">
        <v>576</v>
      </c>
    </row>
    <row r="4" spans="1:10">
      <c r="A4" s="255" t="s">
        <v>391</v>
      </c>
      <c r="B4" s="321">
        <v>7795999005.7501945</v>
      </c>
      <c r="C4" s="322">
        <v>1421463026.7099991</v>
      </c>
      <c r="D4" s="323">
        <v>577848068.99999821</v>
      </c>
      <c r="E4" s="322">
        <v>1099965863.8399994</v>
      </c>
      <c r="F4" s="323">
        <v>19636213234.821587</v>
      </c>
      <c r="G4" s="322">
        <v>2478723844.7799964</v>
      </c>
      <c r="H4" s="322">
        <v>12273121311.639599</v>
      </c>
      <c r="I4" s="323">
        <v>19986538145.539383</v>
      </c>
      <c r="J4" s="322">
        <v>229764450.55999988</v>
      </c>
    </row>
    <row r="5" spans="1:10">
      <c r="A5" s="256" t="s">
        <v>395</v>
      </c>
      <c r="B5" s="312">
        <v>0</v>
      </c>
      <c r="C5" s="313">
        <v>578902794.47000003</v>
      </c>
      <c r="D5" s="258">
        <v>399925110.35999823</v>
      </c>
      <c r="E5" s="313">
        <v>575041945.14999998</v>
      </c>
      <c r="F5" s="258">
        <v>0</v>
      </c>
      <c r="G5" s="313">
        <v>946132699.09000313</v>
      </c>
      <c r="H5" s="313">
        <v>347879417.17230004</v>
      </c>
      <c r="I5" s="258">
        <v>0</v>
      </c>
      <c r="J5" s="313">
        <v>119698332.00999993</v>
      </c>
    </row>
    <row r="6" spans="1:10">
      <c r="A6" s="256" t="s">
        <v>400</v>
      </c>
      <c r="B6" s="312">
        <v>0</v>
      </c>
      <c r="C6" s="313">
        <v>533970520.06000102</v>
      </c>
      <c r="D6" s="258">
        <v>7814178.4400000004</v>
      </c>
      <c r="E6" s="313">
        <v>445722167.58999962</v>
      </c>
      <c r="F6" s="258">
        <v>2244012906.4189529</v>
      </c>
      <c r="G6" s="313">
        <v>464167447.19999951</v>
      </c>
      <c r="H6" s="313">
        <v>1373303155.8077006</v>
      </c>
      <c r="I6" s="258">
        <v>99474719.699999988</v>
      </c>
      <c r="J6" s="313">
        <v>25730178.769999996</v>
      </c>
    </row>
    <row r="7" spans="1:10">
      <c r="A7" s="256" t="s">
        <v>392</v>
      </c>
      <c r="B7" s="312">
        <v>7795999005.7501945</v>
      </c>
      <c r="C7" s="313">
        <v>294471024.13999796</v>
      </c>
      <c r="D7" s="258">
        <v>123026288.84999998</v>
      </c>
      <c r="E7" s="313">
        <v>57431014.080000013</v>
      </c>
      <c r="F7" s="258">
        <v>295869483.78616917</v>
      </c>
      <c r="G7" s="313">
        <v>1068423698.4899937</v>
      </c>
      <c r="H7" s="313">
        <v>850825961.94839907</v>
      </c>
      <c r="I7" s="258">
        <v>0</v>
      </c>
      <c r="J7" s="313">
        <v>82338081.789999947</v>
      </c>
    </row>
    <row r="8" spans="1:10">
      <c r="A8" s="256" t="s">
        <v>406</v>
      </c>
      <c r="B8" s="312">
        <v>0</v>
      </c>
      <c r="C8" s="313">
        <v>0</v>
      </c>
      <c r="D8" s="258">
        <v>0</v>
      </c>
      <c r="E8" s="313">
        <v>0</v>
      </c>
      <c r="F8" s="258">
        <v>8359334284.5734138</v>
      </c>
      <c r="G8" s="313">
        <v>0</v>
      </c>
      <c r="H8" s="313">
        <v>4794123307.5853004</v>
      </c>
      <c r="I8" s="258">
        <v>14309051815.629385</v>
      </c>
      <c r="J8" s="313">
        <v>0</v>
      </c>
    </row>
    <row r="9" spans="1:10">
      <c r="A9" s="256" t="s">
        <v>404</v>
      </c>
      <c r="B9" s="312">
        <v>0</v>
      </c>
      <c r="C9" s="313">
        <v>14118688.039999999</v>
      </c>
      <c r="D9" s="258">
        <v>47082491.349999994</v>
      </c>
      <c r="E9" s="313">
        <v>21770737.020000003</v>
      </c>
      <c r="F9" s="258">
        <v>8736996560.0430508</v>
      </c>
      <c r="G9" s="313">
        <v>0</v>
      </c>
      <c r="H9" s="313">
        <v>4906989469.1258993</v>
      </c>
      <c r="I9" s="258">
        <v>5578011610.2099981</v>
      </c>
      <c r="J9" s="313">
        <v>1997857.99</v>
      </c>
    </row>
    <row r="10" spans="1:10">
      <c r="A10" s="255" t="s">
        <v>566</v>
      </c>
      <c r="B10" s="312">
        <v>3662564846.030014</v>
      </c>
      <c r="C10" s="313">
        <v>173163698.79999998</v>
      </c>
      <c r="D10" s="258">
        <v>213513348.66999996</v>
      </c>
      <c r="E10" s="313">
        <v>1408011081.2800002</v>
      </c>
      <c r="F10" s="258">
        <v>27487786700.587818</v>
      </c>
      <c r="G10" s="313">
        <v>1234365238.7949998</v>
      </c>
      <c r="H10" s="313">
        <v>15542800757.655602</v>
      </c>
      <c r="I10" s="258">
        <v>18132457968.977825</v>
      </c>
      <c r="J10" s="313"/>
    </row>
    <row r="11" spans="1:10">
      <c r="A11" s="256" t="s">
        <v>328</v>
      </c>
      <c r="B11" s="312">
        <v>75907049.919999987</v>
      </c>
      <c r="C11" s="313">
        <v>107332669.47</v>
      </c>
      <c r="D11" s="258">
        <v>122432415.21999997</v>
      </c>
      <c r="E11" s="313">
        <v>564413722.41000009</v>
      </c>
      <c r="F11" s="258">
        <v>0</v>
      </c>
      <c r="G11" s="313">
        <v>57874596.949999876</v>
      </c>
      <c r="H11" s="313">
        <v>3208724.3721000003</v>
      </c>
      <c r="I11" s="258">
        <v>0</v>
      </c>
      <c r="J11" s="313"/>
    </row>
    <row r="12" spans="1:10">
      <c r="A12" s="256" t="s">
        <v>323</v>
      </c>
      <c r="B12" s="312">
        <v>537969727.04999769</v>
      </c>
      <c r="C12" s="313">
        <v>65831029.329999991</v>
      </c>
      <c r="D12" s="258">
        <v>91080933.449999973</v>
      </c>
      <c r="E12" s="313">
        <v>843597358.87000024</v>
      </c>
      <c r="F12" s="258">
        <v>0</v>
      </c>
      <c r="G12" s="313">
        <v>1176490641.845</v>
      </c>
      <c r="H12" s="313">
        <v>650000</v>
      </c>
      <c r="I12" s="258">
        <v>0</v>
      </c>
      <c r="J12" s="313"/>
    </row>
    <row r="13" spans="1:10">
      <c r="A13" s="256" t="s">
        <v>342</v>
      </c>
      <c r="B13" s="312">
        <v>3048688069.0600166</v>
      </c>
      <c r="C13" s="313">
        <v>0</v>
      </c>
      <c r="D13" s="258">
        <v>0</v>
      </c>
      <c r="E13" s="313">
        <v>0</v>
      </c>
      <c r="F13" s="258">
        <v>0</v>
      </c>
      <c r="G13" s="313">
        <v>0</v>
      </c>
      <c r="H13" s="313">
        <v>361010000</v>
      </c>
      <c r="I13" s="258">
        <v>0</v>
      </c>
      <c r="J13" s="313"/>
    </row>
    <row r="14" spans="1:10">
      <c r="A14" s="256" t="s">
        <v>367</v>
      </c>
      <c r="B14" s="312">
        <v>0</v>
      </c>
      <c r="C14" s="313">
        <v>0</v>
      </c>
      <c r="D14" s="258">
        <v>0</v>
      </c>
      <c r="E14" s="313">
        <v>0</v>
      </c>
      <c r="F14" s="258">
        <v>15341407347.053478</v>
      </c>
      <c r="G14" s="313">
        <v>0</v>
      </c>
      <c r="H14" s="313">
        <v>8867441038.0932999</v>
      </c>
      <c r="I14" s="258">
        <v>6817750437.9784079</v>
      </c>
      <c r="J14" s="313"/>
    </row>
    <row r="15" spans="1:10">
      <c r="A15" s="256" t="s">
        <v>369</v>
      </c>
      <c r="B15" s="312">
        <v>0</v>
      </c>
      <c r="C15" s="313">
        <v>0</v>
      </c>
      <c r="D15" s="258">
        <v>0</v>
      </c>
      <c r="E15" s="313">
        <v>0</v>
      </c>
      <c r="F15" s="258">
        <v>12146379353.53434</v>
      </c>
      <c r="G15" s="313">
        <v>0</v>
      </c>
      <c r="H15" s="313">
        <v>6310490995.1901999</v>
      </c>
      <c r="I15" s="258">
        <v>11314707530.999416</v>
      </c>
      <c r="J15" s="313"/>
    </row>
    <row r="16" spans="1:10">
      <c r="A16" s="255" t="s">
        <v>531</v>
      </c>
      <c r="B16" s="312">
        <v>1396668761.6800003</v>
      </c>
      <c r="C16" s="313">
        <v>710291849.13999999</v>
      </c>
      <c r="D16" s="258">
        <v>1379570561.5799999</v>
      </c>
      <c r="E16" s="313">
        <v>1609129468.6700001</v>
      </c>
      <c r="F16" s="258">
        <v>17039236388.799255</v>
      </c>
      <c r="G16" s="313">
        <v>30151158.260957614</v>
      </c>
      <c r="H16" s="313">
        <v>11916898685.3228</v>
      </c>
      <c r="I16" s="258">
        <v>17894758836.269665</v>
      </c>
      <c r="J16" s="313"/>
    </row>
    <row r="17" spans="1:10">
      <c r="A17" s="256" t="s">
        <v>532</v>
      </c>
      <c r="B17" s="312">
        <v>390490907.73000014</v>
      </c>
      <c r="C17" s="313">
        <v>31784312.930000041</v>
      </c>
      <c r="D17" s="258">
        <v>807063926.50999999</v>
      </c>
      <c r="E17" s="313">
        <v>976222500.75</v>
      </c>
      <c r="F17" s="258">
        <v>0</v>
      </c>
      <c r="G17" s="313">
        <v>0</v>
      </c>
      <c r="H17" s="313">
        <v>1119300</v>
      </c>
      <c r="I17" s="258">
        <v>0</v>
      </c>
      <c r="J17" s="313"/>
    </row>
    <row r="18" spans="1:10">
      <c r="A18" s="256" t="s">
        <v>534</v>
      </c>
      <c r="B18" s="312">
        <v>1006177853.9500002</v>
      </c>
      <c r="C18" s="313">
        <v>678507536.20999992</v>
      </c>
      <c r="D18" s="258">
        <v>572506635.06999981</v>
      </c>
      <c r="E18" s="313">
        <v>632906967.92000008</v>
      </c>
      <c r="F18" s="258">
        <v>0</v>
      </c>
      <c r="G18" s="313">
        <v>0</v>
      </c>
      <c r="H18" s="313">
        <v>533285680.44700003</v>
      </c>
      <c r="I18" s="258">
        <v>0</v>
      </c>
      <c r="J18" s="313"/>
    </row>
    <row r="19" spans="1:10">
      <c r="A19" s="256" t="s">
        <v>557</v>
      </c>
      <c r="B19" s="312">
        <v>0</v>
      </c>
      <c r="C19" s="313">
        <v>0</v>
      </c>
      <c r="D19" s="258">
        <v>0</v>
      </c>
      <c r="E19" s="313">
        <v>0</v>
      </c>
      <c r="F19" s="258">
        <v>9219450076.0850506</v>
      </c>
      <c r="G19" s="313">
        <v>27130505.840957616</v>
      </c>
      <c r="H19" s="313">
        <v>5762553882.198101</v>
      </c>
      <c r="I19" s="258">
        <v>1239276737.9199791</v>
      </c>
      <c r="J19" s="313"/>
    </row>
    <row r="20" spans="1:10">
      <c r="A20" s="256" t="s">
        <v>561</v>
      </c>
      <c r="B20" s="312">
        <v>0</v>
      </c>
      <c r="C20" s="313">
        <v>0</v>
      </c>
      <c r="D20" s="258">
        <v>0</v>
      </c>
      <c r="E20" s="313">
        <v>0</v>
      </c>
      <c r="F20" s="258">
        <v>7819786312.7142038</v>
      </c>
      <c r="G20" s="313">
        <v>3020652.42</v>
      </c>
      <c r="H20" s="313">
        <v>5619939822.6776991</v>
      </c>
      <c r="I20" s="258">
        <v>16655482098.349686</v>
      </c>
      <c r="J20" s="313"/>
    </row>
    <row r="21" spans="1:10">
      <c r="A21" s="255" t="s">
        <v>443</v>
      </c>
      <c r="B21" s="312">
        <v>864521902.31999981</v>
      </c>
      <c r="C21" s="313">
        <v>2450708828.4699998</v>
      </c>
      <c r="D21" s="258">
        <v>836408698.87000012</v>
      </c>
      <c r="E21" s="313">
        <v>3487432752.4200001</v>
      </c>
      <c r="F21" s="258">
        <v>1268877709.1800027</v>
      </c>
      <c r="G21" s="313">
        <v>636211775.19999993</v>
      </c>
      <c r="H21" s="313">
        <v>855640391.10280001</v>
      </c>
      <c r="I21" s="258">
        <v>986262290.77999067</v>
      </c>
      <c r="J21" s="313">
        <v>1913658133.8300028</v>
      </c>
    </row>
    <row r="22" spans="1:10">
      <c r="A22" s="256" t="s">
        <v>448</v>
      </c>
      <c r="B22" s="312">
        <v>0</v>
      </c>
      <c r="C22" s="313">
        <v>901713757.16999984</v>
      </c>
      <c r="D22" s="258">
        <v>522361513.40000004</v>
      </c>
      <c r="E22" s="313">
        <v>878845996.87999976</v>
      </c>
      <c r="F22" s="258">
        <v>753325656.66000128</v>
      </c>
      <c r="G22" s="313">
        <v>18110606.940000001</v>
      </c>
      <c r="H22" s="313">
        <v>586512446.33019996</v>
      </c>
      <c r="I22" s="258">
        <v>0</v>
      </c>
      <c r="J22" s="313">
        <v>0</v>
      </c>
    </row>
    <row r="23" spans="1:10">
      <c r="A23" s="256" t="s">
        <v>444</v>
      </c>
      <c r="B23" s="312">
        <v>0</v>
      </c>
      <c r="C23" s="313">
        <v>713475145.95000005</v>
      </c>
      <c r="D23" s="258">
        <v>235628622.49000001</v>
      </c>
      <c r="E23" s="313">
        <v>1082233209.3199999</v>
      </c>
      <c r="F23" s="258">
        <v>314438153.57000077</v>
      </c>
      <c r="G23" s="313">
        <v>257446709.98999995</v>
      </c>
      <c r="H23" s="313">
        <v>130423909.94099995</v>
      </c>
      <c r="I23" s="258">
        <v>0</v>
      </c>
      <c r="J23" s="313">
        <v>0</v>
      </c>
    </row>
    <row r="24" spans="1:10">
      <c r="A24" s="256" t="s">
        <v>458</v>
      </c>
      <c r="B24" s="312">
        <v>0</v>
      </c>
      <c r="C24" s="313">
        <v>835519925.3499999</v>
      </c>
      <c r="D24" s="258">
        <v>78418562.980000004</v>
      </c>
      <c r="E24" s="313">
        <v>1526353546.22</v>
      </c>
      <c r="F24" s="258">
        <v>201113898.95000064</v>
      </c>
      <c r="G24" s="313">
        <v>360654458.26999998</v>
      </c>
      <c r="H24" s="313">
        <v>138704034.83160004</v>
      </c>
      <c r="I24" s="258">
        <v>986262290.77999067</v>
      </c>
      <c r="J24" s="313">
        <v>0</v>
      </c>
    </row>
    <row r="25" spans="1:10">
      <c r="A25" s="256" t="s">
        <v>452</v>
      </c>
      <c r="B25" s="312">
        <v>0</v>
      </c>
      <c r="C25" s="313">
        <v>0</v>
      </c>
      <c r="D25" s="258">
        <v>0</v>
      </c>
      <c r="E25" s="313">
        <v>0</v>
      </c>
      <c r="F25" s="258">
        <v>0</v>
      </c>
      <c r="G25" s="313">
        <v>0</v>
      </c>
      <c r="H25" s="313">
        <v>0</v>
      </c>
      <c r="I25" s="258">
        <v>0</v>
      </c>
      <c r="J25" s="313">
        <v>1485792933.96</v>
      </c>
    </row>
    <row r="26" spans="1:10">
      <c r="A26" s="256" t="s">
        <v>467</v>
      </c>
      <c r="B26" s="312">
        <v>864521902.31999981</v>
      </c>
      <c r="C26" s="313">
        <v>0</v>
      </c>
      <c r="D26" s="258">
        <v>0</v>
      </c>
      <c r="E26" s="313">
        <v>0</v>
      </c>
      <c r="F26" s="258">
        <v>0</v>
      </c>
      <c r="G26" s="313">
        <v>0</v>
      </c>
      <c r="H26" s="313">
        <v>0</v>
      </c>
      <c r="I26" s="258">
        <v>0</v>
      </c>
      <c r="J26" s="313">
        <v>427865199.87000287</v>
      </c>
    </row>
    <row r="27" spans="1:10">
      <c r="A27" s="255" t="s">
        <v>469</v>
      </c>
      <c r="B27" s="312">
        <v>3762605333.653336</v>
      </c>
      <c r="C27" s="313">
        <v>513836243.72999996</v>
      </c>
      <c r="D27" s="258">
        <v>389199921.87999994</v>
      </c>
      <c r="E27" s="313">
        <v>902733242.40000033</v>
      </c>
      <c r="F27" s="258">
        <v>7840527162.077508</v>
      </c>
      <c r="G27" s="313">
        <v>4231672222.2766662</v>
      </c>
      <c r="H27" s="313">
        <v>6868601348.6542225</v>
      </c>
      <c r="I27" s="258">
        <v>0</v>
      </c>
      <c r="J27" s="313"/>
    </row>
    <row r="28" spans="1:10">
      <c r="A28" s="256" t="s">
        <v>486</v>
      </c>
      <c r="B28" s="312">
        <v>0</v>
      </c>
      <c r="C28" s="313">
        <v>513836243.72999996</v>
      </c>
      <c r="D28" s="258">
        <v>131318603.29000008</v>
      </c>
      <c r="E28" s="313">
        <v>902733242.40000033</v>
      </c>
      <c r="F28" s="258">
        <v>0</v>
      </c>
      <c r="G28" s="313">
        <v>0</v>
      </c>
      <c r="H28" s="313">
        <v>0</v>
      </c>
      <c r="I28" s="258">
        <v>0</v>
      </c>
      <c r="J28" s="313"/>
    </row>
    <row r="29" spans="1:10">
      <c r="A29" s="256" t="s">
        <v>474</v>
      </c>
      <c r="B29" s="312">
        <v>3762605333.653336</v>
      </c>
      <c r="C29" s="313">
        <v>0</v>
      </c>
      <c r="D29" s="258">
        <v>257881318.58999985</v>
      </c>
      <c r="E29" s="313">
        <v>0</v>
      </c>
      <c r="F29" s="258">
        <v>0</v>
      </c>
      <c r="G29" s="313">
        <v>257881318.58999985</v>
      </c>
      <c r="H29" s="313">
        <v>0</v>
      </c>
      <c r="I29" s="258">
        <v>0</v>
      </c>
      <c r="J29" s="313"/>
    </row>
    <row r="30" spans="1:10">
      <c r="A30" s="256" t="s">
        <v>470</v>
      </c>
      <c r="B30" s="312">
        <v>0</v>
      </c>
      <c r="C30" s="313">
        <v>0</v>
      </c>
      <c r="D30" s="258">
        <v>0</v>
      </c>
      <c r="E30" s="313">
        <v>0</v>
      </c>
      <c r="F30" s="258">
        <v>7840527162.077508</v>
      </c>
      <c r="G30" s="313">
        <v>3973790903.6866665</v>
      </c>
      <c r="H30" s="313">
        <v>6868601348.6542225</v>
      </c>
      <c r="I30" s="258">
        <v>0</v>
      </c>
      <c r="J30" s="313"/>
    </row>
    <row r="31" spans="1:10">
      <c r="A31" s="255" t="s">
        <v>494</v>
      </c>
      <c r="B31" s="312">
        <v>0</v>
      </c>
      <c r="C31" s="313">
        <v>819354253.26999998</v>
      </c>
      <c r="D31" s="258">
        <v>1212831504.1000023</v>
      </c>
      <c r="E31" s="313">
        <v>2830987855.4800005</v>
      </c>
      <c r="F31" s="258">
        <v>25125112147.7481</v>
      </c>
      <c r="G31" s="313">
        <v>2258794635.6799998</v>
      </c>
      <c r="H31" s="313">
        <v>15579989592.549202</v>
      </c>
      <c r="I31" s="258">
        <v>25108963002.738098</v>
      </c>
      <c r="J31" s="313"/>
    </row>
    <row r="32" spans="1:10">
      <c r="A32" s="256" t="s">
        <v>495</v>
      </c>
      <c r="B32" s="312">
        <v>0</v>
      </c>
      <c r="C32" s="313">
        <v>261385281.33999994</v>
      </c>
      <c r="D32" s="258">
        <v>724317853.19000208</v>
      </c>
      <c r="E32" s="313">
        <v>1679454147.7100003</v>
      </c>
      <c r="F32" s="258">
        <v>2140615845.6834664</v>
      </c>
      <c r="G32" s="313">
        <v>1073573392.3999996</v>
      </c>
      <c r="H32" s="313">
        <v>1078994482.9923999</v>
      </c>
      <c r="I32" s="258">
        <v>0</v>
      </c>
      <c r="J32" s="313"/>
    </row>
    <row r="33" spans="1:10">
      <c r="A33" s="256" t="s">
        <v>500</v>
      </c>
      <c r="B33" s="312">
        <v>0</v>
      </c>
      <c r="C33" s="313">
        <v>424675876.93000001</v>
      </c>
      <c r="D33" s="258">
        <v>283756984.29000032</v>
      </c>
      <c r="E33" s="313">
        <v>735976792.60000026</v>
      </c>
      <c r="F33" s="258">
        <v>0</v>
      </c>
      <c r="G33" s="313">
        <v>1075413982.4999998</v>
      </c>
      <c r="H33" s="313">
        <v>3795337.0000000005</v>
      </c>
      <c r="I33" s="258">
        <v>0</v>
      </c>
      <c r="J33" s="313"/>
    </row>
    <row r="34" spans="1:10">
      <c r="A34" s="256" t="s">
        <v>508</v>
      </c>
      <c r="B34" s="312">
        <v>0</v>
      </c>
      <c r="C34" s="313">
        <v>133293094.99999997</v>
      </c>
      <c r="D34" s="258">
        <v>204756666.61999992</v>
      </c>
      <c r="E34" s="313">
        <v>415556915.16999996</v>
      </c>
      <c r="F34" s="258">
        <v>889574794.65997851</v>
      </c>
      <c r="G34" s="313">
        <v>109807260.77999999</v>
      </c>
      <c r="H34" s="313">
        <v>577762884.74320006</v>
      </c>
      <c r="I34" s="258">
        <v>0</v>
      </c>
      <c r="J34" s="313"/>
    </row>
    <row r="35" spans="1:10">
      <c r="A35" s="256" t="s">
        <v>512</v>
      </c>
      <c r="B35" s="312">
        <v>0</v>
      </c>
      <c r="C35" s="313">
        <v>0</v>
      </c>
      <c r="D35" s="258">
        <v>0</v>
      </c>
      <c r="E35" s="313">
        <v>0</v>
      </c>
      <c r="F35" s="258">
        <v>10124639624.576168</v>
      </c>
      <c r="G35" s="313">
        <v>0</v>
      </c>
      <c r="H35" s="313">
        <v>6569767230.6954994</v>
      </c>
      <c r="I35" s="258">
        <v>8507119655.309227</v>
      </c>
      <c r="J35" s="313"/>
    </row>
    <row r="36" spans="1:10" ht="15" thickBot="1">
      <c r="A36" s="256" t="s">
        <v>514</v>
      </c>
      <c r="B36" s="312">
        <v>0</v>
      </c>
      <c r="C36" s="313">
        <v>0</v>
      </c>
      <c r="D36" s="258">
        <v>0</v>
      </c>
      <c r="E36" s="313">
        <v>0</v>
      </c>
      <c r="F36" s="258">
        <v>11970281882.828489</v>
      </c>
      <c r="G36" s="313">
        <v>0</v>
      </c>
      <c r="H36" s="313">
        <v>7349669657.118103</v>
      </c>
      <c r="I36" s="258">
        <v>16601843347.428873</v>
      </c>
      <c r="J36" s="313"/>
    </row>
    <row r="37" spans="1:10" ht="15" thickBot="1">
      <c r="A37" s="255" t="s">
        <v>577</v>
      </c>
      <c r="B37" s="314">
        <v>17482359849.433544</v>
      </c>
      <c r="C37" s="315">
        <v>6088817900.1199989</v>
      </c>
      <c r="D37" s="324">
        <v>4609372104.0999994</v>
      </c>
      <c r="E37" s="315">
        <v>11338260264.090002</v>
      </c>
      <c r="F37" s="324">
        <v>98397753343.214279</v>
      </c>
      <c r="G37" s="315">
        <v>10869918874.99262</v>
      </c>
      <c r="H37" s="315">
        <v>63037052086.924225</v>
      </c>
      <c r="I37" s="324">
        <v>82108980244.304977</v>
      </c>
      <c r="J37" s="315">
        <v>2143422584.3900027</v>
      </c>
    </row>
    <row r="39" spans="1:10" ht="15" thickBot="1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tabSelected="1" workbookViewId="0">
      <pane xSplit="1" ySplit="1" topLeftCell="B17" activePane="bottomRight" state="frozen"/>
      <selection pane="bottomRight" activeCell="D38" sqref="D38"/>
      <selection pane="bottomLeft" activeCell="A2" sqref="A2"/>
      <selection pane="topRight" activeCell="B1" sqref="B1"/>
    </sheetView>
  </sheetViews>
  <sheetFormatPr defaultRowHeight="14.4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>
      <c r="A1" s="336" t="s">
        <v>567</v>
      </c>
      <c r="B1" s="335" t="s">
        <v>568</v>
      </c>
      <c r="C1" s="253" t="s">
        <v>569</v>
      </c>
      <c r="D1" s="254" t="s">
        <v>570</v>
      </c>
      <c r="E1" s="253" t="s">
        <v>571</v>
      </c>
      <c r="F1" s="254" t="s">
        <v>572</v>
      </c>
      <c r="G1" s="253" t="s">
        <v>573</v>
      </c>
      <c r="H1" s="253" t="s">
        <v>574</v>
      </c>
      <c r="I1" s="254" t="s">
        <v>575</v>
      </c>
      <c r="J1" s="253" t="s">
        <v>576</v>
      </c>
    </row>
    <row r="2" spans="1:10">
      <c r="A2" s="255" t="s">
        <v>391</v>
      </c>
      <c r="B2" s="312">
        <v>7795999005.7501945</v>
      </c>
      <c r="C2" s="313">
        <v>1421463026.7099988</v>
      </c>
      <c r="D2" s="258">
        <v>577848068.99999821</v>
      </c>
      <c r="E2" s="313">
        <v>1099965863.8399997</v>
      </c>
      <c r="F2" s="258">
        <v>19636213234.821587</v>
      </c>
      <c r="G2" s="313">
        <v>2478723844.7799964</v>
      </c>
      <c r="H2" s="313">
        <v>12273121311.639601</v>
      </c>
      <c r="I2" s="258">
        <v>19986538145.539383</v>
      </c>
      <c r="J2" s="313">
        <v>229764450.55999988</v>
      </c>
    </row>
    <row r="3" spans="1:10">
      <c r="A3" s="256" t="s">
        <v>395</v>
      </c>
      <c r="B3" s="312">
        <v>0</v>
      </c>
      <c r="C3" s="313">
        <v>578902794.46999991</v>
      </c>
      <c r="D3" s="258">
        <v>399925110.35999823</v>
      </c>
      <c r="E3" s="313">
        <v>575041945.14999986</v>
      </c>
      <c r="F3" s="258">
        <v>0</v>
      </c>
      <c r="G3" s="313">
        <v>946132699.09000313</v>
      </c>
      <c r="H3" s="313">
        <v>347879417.17230004</v>
      </c>
      <c r="I3" s="258">
        <v>0</v>
      </c>
      <c r="J3" s="313">
        <v>119698332.00999993</v>
      </c>
    </row>
    <row r="4" spans="1:10">
      <c r="A4" s="257" t="s">
        <v>419</v>
      </c>
      <c r="B4" s="312">
        <v>0</v>
      </c>
      <c r="C4" s="319">
        <v>5248127.7100000009</v>
      </c>
      <c r="D4" s="449">
        <v>2517076.71</v>
      </c>
      <c r="E4" s="313">
        <v>101239778.97</v>
      </c>
      <c r="F4" s="258">
        <v>0</v>
      </c>
      <c r="G4" s="313">
        <v>249482271.56000093</v>
      </c>
      <c r="H4" s="313">
        <v>92206844.813199982</v>
      </c>
      <c r="I4" s="258">
        <v>0</v>
      </c>
      <c r="J4" s="313">
        <v>59178799.899999954</v>
      </c>
    </row>
    <row r="5" spans="1:10">
      <c r="A5" s="257" t="s">
        <v>396</v>
      </c>
      <c r="B5" s="312">
        <v>0</v>
      </c>
      <c r="C5" s="319">
        <v>11422863.77</v>
      </c>
      <c r="D5" s="258">
        <v>223133780.36999807</v>
      </c>
      <c r="E5" s="313">
        <v>108741007.88999994</v>
      </c>
      <c r="F5" s="258">
        <v>0</v>
      </c>
      <c r="G5" s="313">
        <v>0</v>
      </c>
      <c r="H5" s="313">
        <v>0</v>
      </c>
      <c r="I5" s="258">
        <v>0</v>
      </c>
      <c r="J5" s="313">
        <v>6854476.5</v>
      </c>
    </row>
    <row r="6" spans="1:10">
      <c r="A6" s="257" t="s">
        <v>414</v>
      </c>
      <c r="B6" s="312">
        <v>0</v>
      </c>
      <c r="C6" s="319">
        <v>17566407.939999998</v>
      </c>
      <c r="D6" s="449">
        <v>48725047.029999986</v>
      </c>
      <c r="E6" s="313">
        <v>217347752.58999985</v>
      </c>
      <c r="F6" s="258">
        <v>0</v>
      </c>
      <c r="G6" s="313">
        <v>432116571.60000175</v>
      </c>
      <c r="H6" s="313">
        <v>136276647.87099999</v>
      </c>
      <c r="I6" s="258">
        <v>0</v>
      </c>
      <c r="J6" s="313">
        <v>36691344.199999981</v>
      </c>
    </row>
    <row r="7" spans="1:10">
      <c r="A7" s="257" t="s">
        <v>397</v>
      </c>
      <c r="B7" s="312">
        <v>0</v>
      </c>
      <c r="C7" s="313">
        <v>537867925.62</v>
      </c>
      <c r="D7" s="258">
        <v>48991654.930000298</v>
      </c>
      <c r="E7" s="313">
        <v>83731236.620000064</v>
      </c>
      <c r="F7" s="258">
        <v>0</v>
      </c>
      <c r="G7" s="313">
        <v>9452726.7900000159</v>
      </c>
      <c r="H7" s="313">
        <v>0</v>
      </c>
      <c r="I7" s="258">
        <v>0</v>
      </c>
      <c r="J7" s="313">
        <v>292274.43</v>
      </c>
    </row>
    <row r="8" spans="1:10">
      <c r="A8" s="257" t="s">
        <v>398</v>
      </c>
      <c r="B8" s="312">
        <v>0</v>
      </c>
      <c r="C8" s="319">
        <v>6797469.4299999997</v>
      </c>
      <c r="D8" s="449">
        <v>76557551.319999903</v>
      </c>
      <c r="E8" s="319">
        <v>63982169.080000013</v>
      </c>
      <c r="F8" s="258">
        <v>0</v>
      </c>
      <c r="G8" s="313">
        <v>255081129.14000046</v>
      </c>
      <c r="H8" s="313">
        <v>119395924.48810005</v>
      </c>
      <c r="I8" s="258">
        <v>0</v>
      </c>
      <c r="J8" s="313">
        <v>16681436.979999997</v>
      </c>
    </row>
    <row r="9" spans="1:10">
      <c r="A9" s="256" t="s">
        <v>400</v>
      </c>
      <c r="B9" s="312">
        <v>0</v>
      </c>
      <c r="C9" s="313">
        <v>533970520.06000102</v>
      </c>
      <c r="D9" s="258">
        <v>7814178.4400000004</v>
      </c>
      <c r="E9" s="313">
        <v>445722167.58999968</v>
      </c>
      <c r="F9" s="258">
        <v>2244012906.4189529</v>
      </c>
      <c r="G9" s="313">
        <v>464167447.19999951</v>
      </c>
      <c r="H9" s="313">
        <v>1373303155.8077006</v>
      </c>
      <c r="I9" s="258">
        <v>99474719.699999988</v>
      </c>
      <c r="J9" s="313">
        <v>25730178.769999996</v>
      </c>
    </row>
    <row r="10" spans="1:10">
      <c r="A10" s="257" t="s">
        <v>415</v>
      </c>
      <c r="B10" s="312">
        <v>0</v>
      </c>
      <c r="C10" s="313">
        <v>513551595.54000103</v>
      </c>
      <c r="D10" s="258">
        <v>7157387.2400000002</v>
      </c>
      <c r="E10" s="313">
        <v>313607875.77999967</v>
      </c>
      <c r="F10" s="258">
        <v>0</v>
      </c>
      <c r="G10" s="313">
        <v>0</v>
      </c>
      <c r="H10" s="313">
        <v>0</v>
      </c>
      <c r="I10" s="258">
        <v>0</v>
      </c>
      <c r="J10" s="313">
        <v>0</v>
      </c>
    </row>
    <row r="11" spans="1:10">
      <c r="A11" s="257" t="s">
        <v>418</v>
      </c>
      <c r="B11" s="312">
        <v>0</v>
      </c>
      <c r="C11" s="313">
        <v>8722385.4600000009</v>
      </c>
      <c r="D11" s="258">
        <v>656791.19999999995</v>
      </c>
      <c r="E11" s="313">
        <v>69827372.419999987</v>
      </c>
      <c r="F11" s="258">
        <v>1166634014.8683753</v>
      </c>
      <c r="G11" s="313">
        <v>252087257.15000045</v>
      </c>
      <c r="H11" s="313">
        <v>624978370.53080022</v>
      </c>
      <c r="I11" s="258">
        <v>99474719.699999988</v>
      </c>
      <c r="J11" s="313">
        <v>3859752.72</v>
      </c>
    </row>
    <row r="12" spans="1:10">
      <c r="A12" s="257" t="s">
        <v>401</v>
      </c>
      <c r="B12" s="312">
        <v>0</v>
      </c>
      <c r="C12" s="313">
        <v>11696539.060000004</v>
      </c>
      <c r="D12" s="258">
        <v>0</v>
      </c>
      <c r="E12" s="313">
        <v>62286919.390000001</v>
      </c>
      <c r="F12" s="258">
        <v>1077378891.5505776</v>
      </c>
      <c r="G12" s="313">
        <v>212080190.04999906</v>
      </c>
      <c r="H12" s="313">
        <v>748324785.27690029</v>
      </c>
      <c r="I12" s="258">
        <v>0</v>
      </c>
      <c r="J12" s="313">
        <v>21870426.049999997</v>
      </c>
    </row>
    <row r="13" spans="1:10">
      <c r="A13" s="256" t="s">
        <v>392</v>
      </c>
      <c r="B13" s="312">
        <v>7795999005.7501945</v>
      </c>
      <c r="C13" s="313">
        <v>294471024.13999796</v>
      </c>
      <c r="D13" s="258">
        <v>123026288.84999998</v>
      </c>
      <c r="E13" s="313">
        <v>57431014.080000013</v>
      </c>
      <c r="F13" s="258">
        <v>295869483.78616917</v>
      </c>
      <c r="G13" s="313">
        <v>1068423698.4899937</v>
      </c>
      <c r="H13" s="313">
        <v>850825961.94839895</v>
      </c>
      <c r="I13" s="258">
        <v>0</v>
      </c>
      <c r="J13" s="313">
        <v>82338081.789999962</v>
      </c>
    </row>
    <row r="14" spans="1:10">
      <c r="A14" s="257" t="s">
        <v>416</v>
      </c>
      <c r="B14" s="312">
        <v>0</v>
      </c>
      <c r="C14" s="313">
        <v>0</v>
      </c>
      <c r="D14" s="449">
        <v>104085409.96999998</v>
      </c>
      <c r="E14" s="319">
        <v>18050152.199999999</v>
      </c>
      <c r="F14" s="258">
        <v>0</v>
      </c>
      <c r="G14" s="313">
        <v>745246078.51999485</v>
      </c>
      <c r="H14" s="313">
        <v>0</v>
      </c>
      <c r="I14" s="258">
        <v>0</v>
      </c>
      <c r="J14" s="313">
        <v>63038286.849999949</v>
      </c>
    </row>
    <row r="15" spans="1:10">
      <c r="A15" s="257" t="s">
        <v>417</v>
      </c>
      <c r="B15" s="312">
        <v>944874453.8399986</v>
      </c>
      <c r="C15" s="313">
        <v>0</v>
      </c>
      <c r="D15" s="258">
        <v>0</v>
      </c>
      <c r="E15" s="313">
        <v>0</v>
      </c>
      <c r="F15" s="258">
        <v>0</v>
      </c>
      <c r="G15" s="313">
        <v>260328241.31999904</v>
      </c>
      <c r="H15" s="313">
        <v>260328241.31999904</v>
      </c>
      <c r="I15" s="258">
        <v>0</v>
      </c>
      <c r="J15" s="313">
        <v>0</v>
      </c>
    </row>
    <row r="16" spans="1:10">
      <c r="A16" s="257" t="s">
        <v>441</v>
      </c>
      <c r="B16" s="312">
        <v>2901587227.3301883</v>
      </c>
      <c r="C16" s="313">
        <v>0</v>
      </c>
      <c r="D16" s="258">
        <v>0</v>
      </c>
      <c r="E16" s="313">
        <v>0</v>
      </c>
      <c r="F16" s="258">
        <v>0</v>
      </c>
      <c r="G16" s="313">
        <v>62849378.649999693</v>
      </c>
      <c r="H16" s="313">
        <v>453601227.03999996</v>
      </c>
      <c r="I16" s="258">
        <v>0</v>
      </c>
      <c r="J16" s="313">
        <v>0</v>
      </c>
    </row>
    <row r="17" spans="1:10">
      <c r="A17" s="257" t="s">
        <v>403</v>
      </c>
      <c r="B17" s="312">
        <v>3949537324.5800076</v>
      </c>
      <c r="C17" s="313">
        <v>0</v>
      </c>
      <c r="D17" s="258">
        <v>17632294.399999999</v>
      </c>
      <c r="E17" s="313">
        <v>11623141.609999999</v>
      </c>
      <c r="F17" s="258">
        <v>0</v>
      </c>
      <c r="G17" s="313">
        <v>0</v>
      </c>
      <c r="H17" s="313">
        <v>0</v>
      </c>
      <c r="I17" s="258">
        <v>0</v>
      </c>
      <c r="J17" s="313">
        <v>1288855.8400000001</v>
      </c>
    </row>
    <row r="18" spans="1:10">
      <c r="A18" s="257" t="s">
        <v>393</v>
      </c>
      <c r="B18" s="312">
        <v>0</v>
      </c>
      <c r="C18" s="313">
        <v>294471024.13999796</v>
      </c>
      <c r="D18" s="258">
        <v>1308584.48</v>
      </c>
      <c r="E18" s="313">
        <v>27757720.270000011</v>
      </c>
      <c r="F18" s="258">
        <v>295869483.78616917</v>
      </c>
      <c r="G18" s="313">
        <v>0</v>
      </c>
      <c r="H18" s="313">
        <v>136896493.58840001</v>
      </c>
      <c r="I18" s="258">
        <v>0</v>
      </c>
      <c r="J18" s="313">
        <v>18010939.100000001</v>
      </c>
    </row>
    <row r="19" spans="1:10">
      <c r="A19" s="256" t="s">
        <v>406</v>
      </c>
      <c r="B19" s="312">
        <v>0</v>
      </c>
      <c r="C19" s="313">
        <v>0</v>
      </c>
      <c r="D19" s="258">
        <v>0</v>
      </c>
      <c r="E19" s="313">
        <v>0</v>
      </c>
      <c r="F19" s="258">
        <v>8359334284.5734138</v>
      </c>
      <c r="G19" s="313">
        <v>0</v>
      </c>
      <c r="H19" s="313">
        <v>4794123307.5853004</v>
      </c>
      <c r="I19" s="258">
        <v>14309051815.629385</v>
      </c>
      <c r="J19" s="313">
        <v>0</v>
      </c>
    </row>
    <row r="20" spans="1:10">
      <c r="A20" s="257" t="s">
        <v>407</v>
      </c>
      <c r="B20" s="312">
        <v>0</v>
      </c>
      <c r="C20" s="313">
        <v>0</v>
      </c>
      <c r="D20" s="258">
        <v>0</v>
      </c>
      <c r="E20" s="313">
        <v>0</v>
      </c>
      <c r="F20" s="258">
        <v>2326531547.897965</v>
      </c>
      <c r="G20" s="313">
        <v>0</v>
      </c>
      <c r="H20" s="313">
        <v>1270221008.9855001</v>
      </c>
      <c r="I20" s="258">
        <v>1003918901.3799986</v>
      </c>
      <c r="J20" s="313">
        <v>0</v>
      </c>
    </row>
    <row r="21" spans="1:10">
      <c r="A21" s="257" t="s">
        <v>408</v>
      </c>
      <c r="B21" s="312">
        <v>0</v>
      </c>
      <c r="C21" s="313">
        <v>0</v>
      </c>
      <c r="D21" s="258">
        <v>0</v>
      </c>
      <c r="E21" s="313">
        <v>0</v>
      </c>
      <c r="F21" s="258">
        <v>1556732899.31043</v>
      </c>
      <c r="G21" s="313">
        <v>0</v>
      </c>
      <c r="H21" s="313">
        <v>809693097.54320014</v>
      </c>
      <c r="I21" s="258">
        <v>5201309809</v>
      </c>
      <c r="J21" s="313">
        <v>0</v>
      </c>
    </row>
    <row r="22" spans="1:10">
      <c r="A22" s="257" t="s">
        <v>409</v>
      </c>
      <c r="B22" s="312">
        <v>0</v>
      </c>
      <c r="C22" s="313">
        <v>0</v>
      </c>
      <c r="D22" s="258">
        <v>0</v>
      </c>
      <c r="E22" s="313">
        <v>0</v>
      </c>
      <c r="F22" s="258">
        <v>1431955621.1198773</v>
      </c>
      <c r="G22" s="313">
        <v>0</v>
      </c>
      <c r="H22" s="313">
        <v>854540439.37340009</v>
      </c>
      <c r="I22" s="258">
        <v>7842292527.5393858</v>
      </c>
      <c r="J22" s="313">
        <v>0</v>
      </c>
    </row>
    <row r="23" spans="1:10">
      <c r="A23" s="257" t="s">
        <v>410</v>
      </c>
      <c r="B23" s="312">
        <v>0</v>
      </c>
      <c r="C23" s="313">
        <v>0</v>
      </c>
      <c r="D23" s="258">
        <v>0</v>
      </c>
      <c r="E23" s="313">
        <v>0</v>
      </c>
      <c r="F23" s="258">
        <v>3044114216.245142</v>
      </c>
      <c r="G23" s="313">
        <v>0</v>
      </c>
      <c r="H23" s="313">
        <v>1859668761.6831999</v>
      </c>
      <c r="I23" s="258">
        <v>261530577.7100001</v>
      </c>
      <c r="J23" s="313">
        <v>0</v>
      </c>
    </row>
    <row r="24" spans="1:10">
      <c r="A24" s="256" t="s">
        <v>404</v>
      </c>
      <c r="B24" s="312">
        <v>0</v>
      </c>
      <c r="C24" s="313">
        <v>14118688.039999999</v>
      </c>
      <c r="D24" s="258">
        <v>47082491.349999994</v>
      </c>
      <c r="E24" s="313">
        <v>21770737.020000003</v>
      </c>
      <c r="F24" s="258">
        <v>8736996560.0430508</v>
      </c>
      <c r="G24" s="313">
        <v>0</v>
      </c>
      <c r="H24" s="313">
        <v>4906989469.1258993</v>
      </c>
      <c r="I24" s="258">
        <v>5578011610.2099981</v>
      </c>
      <c r="J24" s="313">
        <v>1997857.99</v>
      </c>
    </row>
    <row r="25" spans="1:10">
      <c r="A25" s="257" t="s">
        <v>405</v>
      </c>
      <c r="B25" s="312">
        <v>0</v>
      </c>
      <c r="C25" s="313">
        <v>0</v>
      </c>
      <c r="D25" s="258">
        <v>0</v>
      </c>
      <c r="E25" s="313">
        <v>0</v>
      </c>
      <c r="F25" s="258">
        <v>2536220966.6901655</v>
      </c>
      <c r="G25" s="313">
        <v>0</v>
      </c>
      <c r="H25" s="313">
        <v>1259436385.0236988</v>
      </c>
      <c r="I25" s="258">
        <v>218761180.7299979</v>
      </c>
      <c r="J25" s="313">
        <v>0</v>
      </c>
    </row>
    <row r="26" spans="1:10">
      <c r="A26" s="257" t="s">
        <v>411</v>
      </c>
      <c r="B26" s="312">
        <v>0</v>
      </c>
      <c r="C26" s="313">
        <v>0</v>
      </c>
      <c r="D26" s="258">
        <v>0</v>
      </c>
      <c r="E26" s="313">
        <v>0</v>
      </c>
      <c r="F26" s="258">
        <v>3270543337.822751</v>
      </c>
      <c r="G26" s="313">
        <v>0</v>
      </c>
      <c r="H26" s="313">
        <v>2108569471.1471004</v>
      </c>
      <c r="I26" s="258">
        <v>3581306822</v>
      </c>
      <c r="J26" s="313">
        <v>0</v>
      </c>
    </row>
    <row r="27" spans="1:10">
      <c r="A27" s="257" t="s">
        <v>412</v>
      </c>
      <c r="B27" s="312">
        <v>0</v>
      </c>
      <c r="C27" s="313">
        <v>0</v>
      </c>
      <c r="D27" s="258">
        <v>0</v>
      </c>
      <c r="E27" s="313">
        <v>0</v>
      </c>
      <c r="F27" s="258">
        <v>1734424295.8827801</v>
      </c>
      <c r="G27" s="313">
        <v>0</v>
      </c>
      <c r="H27" s="313">
        <v>911492076.11280048</v>
      </c>
      <c r="I27" s="258">
        <v>236932645.48000008</v>
      </c>
      <c r="J27" s="313">
        <v>0</v>
      </c>
    </row>
    <row r="28" spans="1:10">
      <c r="A28" s="257" t="s">
        <v>413</v>
      </c>
      <c r="B28" s="312">
        <v>0</v>
      </c>
      <c r="C28" s="313">
        <v>14118688.039999999</v>
      </c>
      <c r="D28" s="258">
        <v>47082491.349999994</v>
      </c>
      <c r="E28" s="313">
        <v>21770737.020000003</v>
      </c>
      <c r="F28" s="258">
        <v>1195807959.6473541</v>
      </c>
      <c r="G28" s="313">
        <v>0</v>
      </c>
      <c r="H28" s="313">
        <v>627491536.84229958</v>
      </c>
      <c r="I28" s="258">
        <v>1541010962</v>
      </c>
      <c r="J28" s="313">
        <v>1997857.99</v>
      </c>
    </row>
    <row r="29" spans="1:10">
      <c r="A29" s="255" t="s">
        <v>566</v>
      </c>
      <c r="B29" s="312">
        <v>3662564846.0300136</v>
      </c>
      <c r="C29" s="313">
        <v>173163698.79999998</v>
      </c>
      <c r="D29" s="258">
        <v>213513348.66999993</v>
      </c>
      <c r="E29" s="313">
        <v>1408011081.2800004</v>
      </c>
      <c r="F29" s="258">
        <v>27487786700.587818</v>
      </c>
      <c r="G29" s="313">
        <v>1234365238.7950001</v>
      </c>
      <c r="H29" s="313">
        <v>15542800757.6556</v>
      </c>
      <c r="I29" s="258">
        <v>18132457968.977825</v>
      </c>
      <c r="J29" s="313"/>
    </row>
    <row r="30" spans="1:10">
      <c r="A30" s="256" t="s">
        <v>328</v>
      </c>
      <c r="B30" s="312">
        <v>75907049.919999987</v>
      </c>
      <c r="C30" s="313">
        <v>107332669.47</v>
      </c>
      <c r="D30" s="258">
        <v>122432415.21999995</v>
      </c>
      <c r="E30" s="313">
        <v>564413722.40999997</v>
      </c>
      <c r="F30" s="258">
        <v>0</v>
      </c>
      <c r="G30" s="313">
        <v>57874596.949999876</v>
      </c>
      <c r="H30" s="313">
        <v>3208724.3721000003</v>
      </c>
      <c r="I30" s="258">
        <v>0</v>
      </c>
      <c r="J30" s="313"/>
    </row>
    <row r="31" spans="1:10">
      <c r="A31" s="257" t="s">
        <v>334</v>
      </c>
      <c r="B31" s="312">
        <v>0</v>
      </c>
      <c r="C31" s="313">
        <v>43720409.620000005</v>
      </c>
      <c r="D31" s="258">
        <v>117420382.85999995</v>
      </c>
      <c r="E31" s="313">
        <v>245038138.19000003</v>
      </c>
      <c r="F31" s="258">
        <v>0</v>
      </c>
      <c r="G31" s="313">
        <v>0</v>
      </c>
      <c r="H31" s="313">
        <v>3208724.3721000003</v>
      </c>
      <c r="I31" s="258">
        <v>0</v>
      </c>
      <c r="J31" s="313"/>
    </row>
    <row r="32" spans="1:10">
      <c r="A32" s="257" t="s">
        <v>329</v>
      </c>
      <c r="B32" s="312">
        <v>75907049.919999987</v>
      </c>
      <c r="C32" s="313">
        <v>63612259.850000001</v>
      </c>
      <c r="D32" s="258">
        <v>5012032.3599999985</v>
      </c>
      <c r="E32" s="313">
        <v>319375584.21999997</v>
      </c>
      <c r="F32" s="258">
        <v>0</v>
      </c>
      <c r="G32" s="313">
        <v>57874596.949999876</v>
      </c>
      <c r="H32" s="313">
        <v>0</v>
      </c>
      <c r="I32" s="258">
        <v>0</v>
      </c>
      <c r="J32" s="313"/>
    </row>
    <row r="33" spans="1:10">
      <c r="A33" s="256" t="s">
        <v>323</v>
      </c>
      <c r="B33" s="312">
        <v>537969727.04999781</v>
      </c>
      <c r="C33" s="313">
        <v>65831029.329999991</v>
      </c>
      <c r="D33" s="258">
        <v>91080933.449999973</v>
      </c>
      <c r="E33" s="313">
        <v>843597358.87000036</v>
      </c>
      <c r="F33" s="258">
        <v>0</v>
      </c>
      <c r="G33" s="313">
        <v>1176490641.8450003</v>
      </c>
      <c r="H33" s="313">
        <v>650000</v>
      </c>
      <c r="I33" s="258">
        <v>0</v>
      </c>
      <c r="J33" s="313"/>
    </row>
    <row r="34" spans="1:10">
      <c r="A34" s="257" t="s">
        <v>527</v>
      </c>
      <c r="B34" s="312">
        <v>0</v>
      </c>
      <c r="C34" s="313">
        <v>0</v>
      </c>
      <c r="D34" s="258">
        <v>0</v>
      </c>
      <c r="E34" s="313">
        <v>0</v>
      </c>
      <c r="F34" s="258">
        <v>0</v>
      </c>
      <c r="G34" s="313">
        <v>1871080</v>
      </c>
      <c r="H34" s="313">
        <v>0</v>
      </c>
      <c r="I34" s="258">
        <v>0</v>
      </c>
      <c r="J34" s="313"/>
    </row>
    <row r="35" spans="1:10">
      <c r="A35" s="257" t="s">
        <v>336</v>
      </c>
      <c r="B35" s="312">
        <v>0</v>
      </c>
      <c r="C35" s="313">
        <v>0</v>
      </c>
      <c r="D35" s="449">
        <v>1794546.2449999864</v>
      </c>
      <c r="E35" s="319">
        <v>188079040.08000004</v>
      </c>
      <c r="F35" s="258">
        <v>0</v>
      </c>
      <c r="G35" s="313">
        <v>245472370.21500003</v>
      </c>
      <c r="H35" s="313">
        <v>0</v>
      </c>
      <c r="I35" s="258">
        <v>0</v>
      </c>
      <c r="J35" s="313"/>
    </row>
    <row r="36" spans="1:10">
      <c r="A36" s="257" t="s">
        <v>332</v>
      </c>
      <c r="B36" s="312">
        <v>0</v>
      </c>
      <c r="C36" s="319">
        <v>2268781.3500000006</v>
      </c>
      <c r="D36" s="449">
        <v>186953.53500000111</v>
      </c>
      <c r="E36" s="319">
        <v>188843326.16999999</v>
      </c>
      <c r="F36" s="258">
        <v>0</v>
      </c>
      <c r="G36" s="313">
        <v>219317518.47499987</v>
      </c>
      <c r="H36" s="313">
        <v>0</v>
      </c>
      <c r="I36" s="258">
        <v>0</v>
      </c>
      <c r="J36" s="313"/>
    </row>
    <row r="37" spans="1:10">
      <c r="A37" s="257" t="s">
        <v>331</v>
      </c>
      <c r="B37" s="312">
        <v>265454613.44999894</v>
      </c>
      <c r="C37" s="313">
        <v>0</v>
      </c>
      <c r="D37" s="258">
        <v>77487854.839999989</v>
      </c>
      <c r="E37" s="313">
        <v>238409723.12000012</v>
      </c>
      <c r="F37" s="258">
        <v>0</v>
      </c>
      <c r="G37" s="313">
        <v>209308737.22000018</v>
      </c>
      <c r="H37" s="313">
        <v>0</v>
      </c>
      <c r="I37" s="258">
        <v>0</v>
      </c>
      <c r="J37" s="313"/>
    </row>
    <row r="38" spans="1:10">
      <c r="A38" s="257" t="s">
        <v>324</v>
      </c>
      <c r="B38" s="312">
        <v>272515113.59999883</v>
      </c>
      <c r="C38" s="313">
        <v>63562247.979999989</v>
      </c>
      <c r="D38" s="258">
        <v>11611578.83</v>
      </c>
      <c r="E38" s="313">
        <v>228265269.50000024</v>
      </c>
      <c r="F38" s="258">
        <v>0</v>
      </c>
      <c r="G38" s="313">
        <v>500520935.93500006</v>
      </c>
      <c r="H38" s="313">
        <v>650000</v>
      </c>
      <c r="I38" s="258">
        <v>0</v>
      </c>
      <c r="J38" s="313"/>
    </row>
    <row r="39" spans="1:10">
      <c r="A39" s="256" t="s">
        <v>342</v>
      </c>
      <c r="B39" s="312">
        <v>3048688069.0600162</v>
      </c>
      <c r="C39" s="313">
        <v>0</v>
      </c>
      <c r="D39" s="258">
        <v>0</v>
      </c>
      <c r="E39" s="313">
        <v>0</v>
      </c>
      <c r="F39" s="258">
        <v>0</v>
      </c>
      <c r="G39" s="313">
        <v>0</v>
      </c>
      <c r="H39" s="313">
        <v>361010000</v>
      </c>
      <c r="I39" s="258">
        <v>0</v>
      </c>
      <c r="J39" s="313"/>
    </row>
    <row r="40" spans="1:10">
      <c r="A40" s="257" t="s">
        <v>379</v>
      </c>
      <c r="B40" s="312">
        <v>1397370089.2200017</v>
      </c>
      <c r="C40" s="313">
        <v>0</v>
      </c>
      <c r="D40" s="258">
        <v>0</v>
      </c>
      <c r="E40" s="313">
        <v>0</v>
      </c>
      <c r="F40" s="258">
        <v>0</v>
      </c>
      <c r="G40" s="313">
        <v>0</v>
      </c>
      <c r="H40" s="313">
        <v>0</v>
      </c>
      <c r="I40" s="258">
        <v>0</v>
      </c>
      <c r="J40" s="313"/>
    </row>
    <row r="41" spans="1:10">
      <c r="A41" s="257" t="s">
        <v>353</v>
      </c>
      <c r="B41" s="312">
        <v>1181206026.5700133</v>
      </c>
      <c r="C41" s="313">
        <v>0</v>
      </c>
      <c r="D41" s="258">
        <v>0</v>
      </c>
      <c r="E41" s="313">
        <v>0</v>
      </c>
      <c r="F41" s="258">
        <v>0</v>
      </c>
      <c r="G41" s="313">
        <v>0</v>
      </c>
      <c r="H41" s="313">
        <v>0</v>
      </c>
      <c r="I41" s="258">
        <v>0</v>
      </c>
      <c r="J41" s="313"/>
    </row>
    <row r="42" spans="1:10">
      <c r="A42" s="257" t="s">
        <v>343</v>
      </c>
      <c r="B42" s="312">
        <v>470111953.27000087</v>
      </c>
      <c r="C42" s="313">
        <v>0</v>
      </c>
      <c r="D42" s="258">
        <v>0</v>
      </c>
      <c r="E42" s="313">
        <v>0</v>
      </c>
      <c r="F42" s="258">
        <v>0</v>
      </c>
      <c r="G42" s="313">
        <v>0</v>
      </c>
      <c r="H42" s="313">
        <v>361010000</v>
      </c>
      <c r="I42" s="258">
        <v>0</v>
      </c>
      <c r="J42" s="313"/>
    </row>
    <row r="43" spans="1:10">
      <c r="A43" s="256" t="s">
        <v>367</v>
      </c>
      <c r="B43" s="312">
        <v>0</v>
      </c>
      <c r="C43" s="313">
        <v>0</v>
      </c>
      <c r="D43" s="258">
        <v>0</v>
      </c>
      <c r="E43" s="313">
        <v>0</v>
      </c>
      <c r="F43" s="258">
        <v>15341407347.053482</v>
      </c>
      <c r="G43" s="313">
        <v>0</v>
      </c>
      <c r="H43" s="313">
        <v>8867441038.0932999</v>
      </c>
      <c r="I43" s="258">
        <v>6817750437.9784079</v>
      </c>
      <c r="J43" s="313"/>
    </row>
    <row r="44" spans="1:10">
      <c r="A44" s="257" t="s">
        <v>374</v>
      </c>
      <c r="B44" s="312">
        <v>0</v>
      </c>
      <c r="C44" s="313">
        <v>0</v>
      </c>
      <c r="D44" s="258">
        <v>0</v>
      </c>
      <c r="E44" s="313">
        <v>0</v>
      </c>
      <c r="F44" s="258">
        <v>3181624376.36132</v>
      </c>
      <c r="G44" s="313">
        <v>0</v>
      </c>
      <c r="H44" s="313">
        <v>1841724236.6458004</v>
      </c>
      <c r="I44" s="258">
        <v>0</v>
      </c>
      <c r="J44" s="313"/>
    </row>
    <row r="45" spans="1:10">
      <c r="A45" s="257" t="s">
        <v>375</v>
      </c>
      <c r="B45" s="312">
        <v>0</v>
      </c>
      <c r="C45" s="313">
        <v>0</v>
      </c>
      <c r="D45" s="258">
        <v>0</v>
      </c>
      <c r="E45" s="313">
        <v>0</v>
      </c>
      <c r="F45" s="258">
        <v>2168589251.82792</v>
      </c>
      <c r="G45" s="313">
        <v>0</v>
      </c>
      <c r="H45" s="313">
        <v>1360826294.5654001</v>
      </c>
      <c r="I45" s="258">
        <v>0</v>
      </c>
      <c r="J45" s="313"/>
    </row>
    <row r="46" spans="1:10">
      <c r="A46" s="257" t="s">
        <v>376</v>
      </c>
      <c r="B46" s="312">
        <v>0</v>
      </c>
      <c r="C46" s="313">
        <v>0</v>
      </c>
      <c r="D46" s="258">
        <v>0</v>
      </c>
      <c r="E46" s="313">
        <v>0</v>
      </c>
      <c r="F46" s="258">
        <v>3198033082.4474812</v>
      </c>
      <c r="G46" s="313">
        <v>0</v>
      </c>
      <c r="H46" s="313">
        <v>1815733080.2909989</v>
      </c>
      <c r="I46" s="258">
        <v>0</v>
      </c>
      <c r="J46" s="313"/>
    </row>
    <row r="47" spans="1:10">
      <c r="A47" s="257" t="s">
        <v>371</v>
      </c>
      <c r="B47" s="312">
        <v>0</v>
      </c>
      <c r="C47" s="313">
        <v>0</v>
      </c>
      <c r="D47" s="258">
        <v>0</v>
      </c>
      <c r="E47" s="313">
        <v>0</v>
      </c>
      <c r="F47" s="258">
        <v>2804258219.2842288</v>
      </c>
      <c r="G47" s="313">
        <v>0</v>
      </c>
      <c r="H47" s="313">
        <v>1628591640.8125005</v>
      </c>
      <c r="I47" s="258">
        <v>6817750437.9784079</v>
      </c>
      <c r="J47" s="313"/>
    </row>
    <row r="48" spans="1:10">
      <c r="A48" s="257" t="s">
        <v>368</v>
      </c>
      <c r="B48" s="312">
        <v>0</v>
      </c>
      <c r="C48" s="313">
        <v>0</v>
      </c>
      <c r="D48" s="258">
        <v>0</v>
      </c>
      <c r="E48" s="313">
        <v>0</v>
      </c>
      <c r="F48" s="258">
        <v>3988902417.1325326</v>
      </c>
      <c r="G48" s="313">
        <v>0</v>
      </c>
      <c r="H48" s="313">
        <v>2220565785.7786002</v>
      </c>
      <c r="I48" s="258">
        <v>0</v>
      </c>
      <c r="J48" s="313"/>
    </row>
    <row r="49" spans="1:10">
      <c r="A49" s="256" t="s">
        <v>369</v>
      </c>
      <c r="B49" s="312">
        <v>0</v>
      </c>
      <c r="C49" s="313">
        <v>0</v>
      </c>
      <c r="D49" s="258">
        <v>0</v>
      </c>
      <c r="E49" s="313">
        <v>0</v>
      </c>
      <c r="F49" s="258">
        <v>12146379353.534338</v>
      </c>
      <c r="G49" s="313">
        <v>0</v>
      </c>
      <c r="H49" s="313">
        <v>6310490995.1902008</v>
      </c>
      <c r="I49" s="258">
        <v>11314707530.999416</v>
      </c>
      <c r="J49" s="313"/>
    </row>
    <row r="50" spans="1:10">
      <c r="A50" s="257" t="s">
        <v>377</v>
      </c>
      <c r="B50" s="312">
        <v>0</v>
      </c>
      <c r="C50" s="313">
        <v>0</v>
      </c>
      <c r="D50" s="258">
        <v>0</v>
      </c>
      <c r="E50" s="313">
        <v>0</v>
      </c>
      <c r="F50" s="258">
        <v>3413731374.3028264</v>
      </c>
      <c r="G50" s="313">
        <v>0</v>
      </c>
      <c r="H50" s="313">
        <v>1876588866.3067002</v>
      </c>
      <c r="I50" s="258">
        <v>0</v>
      </c>
      <c r="J50" s="313"/>
    </row>
    <row r="51" spans="1:10">
      <c r="A51" s="257" t="s">
        <v>370</v>
      </c>
      <c r="B51" s="312">
        <v>0</v>
      </c>
      <c r="C51" s="313">
        <v>0</v>
      </c>
      <c r="D51" s="258">
        <v>0</v>
      </c>
      <c r="E51" s="313">
        <v>0</v>
      </c>
      <c r="F51" s="258">
        <v>3927956071.2693911</v>
      </c>
      <c r="G51" s="313">
        <v>0</v>
      </c>
      <c r="H51" s="313">
        <v>1883869929.6495004</v>
      </c>
      <c r="I51" s="258">
        <v>0</v>
      </c>
      <c r="J51" s="313"/>
    </row>
    <row r="52" spans="1:10">
      <c r="A52" s="257" t="s">
        <v>378</v>
      </c>
      <c r="B52" s="312">
        <v>0</v>
      </c>
      <c r="C52" s="313">
        <v>0</v>
      </c>
      <c r="D52" s="258">
        <v>0</v>
      </c>
      <c r="E52" s="313">
        <v>0</v>
      </c>
      <c r="F52" s="258">
        <v>4804691907.9621201</v>
      </c>
      <c r="G52" s="313">
        <v>0</v>
      </c>
      <c r="H52" s="313">
        <v>2550032199.2339997</v>
      </c>
      <c r="I52" s="258">
        <v>0</v>
      </c>
      <c r="J52" s="313"/>
    </row>
    <row r="53" spans="1:10">
      <c r="A53" s="257" t="s">
        <v>386</v>
      </c>
      <c r="B53" s="312">
        <v>0</v>
      </c>
      <c r="C53" s="313">
        <v>0</v>
      </c>
      <c r="D53" s="258">
        <v>0</v>
      </c>
      <c r="E53" s="313">
        <v>0</v>
      </c>
      <c r="F53" s="449">
        <v>0</v>
      </c>
      <c r="G53" s="319">
        <v>0</v>
      </c>
      <c r="H53" s="319">
        <v>0</v>
      </c>
      <c r="I53" s="449">
        <v>11314707530.999416</v>
      </c>
      <c r="J53" s="313"/>
    </row>
    <row r="54" spans="1:10">
      <c r="A54" s="255" t="s">
        <v>531</v>
      </c>
      <c r="B54" s="312">
        <v>1396668761.6800003</v>
      </c>
      <c r="C54" s="313">
        <v>710291849.1400001</v>
      </c>
      <c r="D54" s="258">
        <v>1379570561.5799999</v>
      </c>
      <c r="E54" s="313">
        <v>1609129468.6699998</v>
      </c>
      <c r="F54" s="258">
        <v>17039236388.799253</v>
      </c>
      <c r="G54" s="313">
        <v>30151158.260957614</v>
      </c>
      <c r="H54" s="313">
        <v>11916898685.322802</v>
      </c>
      <c r="I54" s="258">
        <v>17894758836.269665</v>
      </c>
      <c r="J54" s="313"/>
    </row>
    <row r="55" spans="1:10">
      <c r="A55" s="256" t="s">
        <v>532</v>
      </c>
      <c r="B55" s="312">
        <v>390490907.73000014</v>
      </c>
      <c r="C55" s="313">
        <v>31784312.930000041</v>
      </c>
      <c r="D55" s="258">
        <v>807063926.50999999</v>
      </c>
      <c r="E55" s="313">
        <v>976222500.75</v>
      </c>
      <c r="F55" s="258">
        <v>0</v>
      </c>
      <c r="G55" s="313">
        <v>0</v>
      </c>
      <c r="H55" s="313">
        <v>1119300</v>
      </c>
      <c r="I55" s="258">
        <v>0</v>
      </c>
      <c r="J55" s="313"/>
    </row>
    <row r="56" spans="1:10">
      <c r="A56" s="257" t="s">
        <v>537</v>
      </c>
      <c r="B56" s="312">
        <v>0</v>
      </c>
      <c r="C56" s="319">
        <v>0</v>
      </c>
      <c r="D56" s="258">
        <v>426688592.22000003</v>
      </c>
      <c r="E56" s="313">
        <v>5036923.6599999992</v>
      </c>
      <c r="F56" s="258">
        <v>0</v>
      </c>
      <c r="G56" s="313">
        <v>0</v>
      </c>
      <c r="H56" s="313">
        <v>0</v>
      </c>
      <c r="I56" s="258">
        <v>0</v>
      </c>
      <c r="J56" s="313"/>
    </row>
    <row r="57" spans="1:10">
      <c r="A57" s="257" t="s">
        <v>533</v>
      </c>
      <c r="B57" s="312">
        <v>390490907.73000014</v>
      </c>
      <c r="C57" s="313">
        <v>8540356.7300000004</v>
      </c>
      <c r="D57" s="258">
        <v>154394419.58000001</v>
      </c>
      <c r="E57" s="313">
        <v>808057680.12</v>
      </c>
      <c r="F57" s="258">
        <v>0</v>
      </c>
      <c r="G57" s="313">
        <v>0</v>
      </c>
      <c r="H57" s="313">
        <v>1119300</v>
      </c>
      <c r="I57" s="258">
        <v>0</v>
      </c>
      <c r="J57" s="313"/>
    </row>
    <row r="58" spans="1:10">
      <c r="A58" s="257" t="s">
        <v>540</v>
      </c>
      <c r="B58" s="312">
        <v>0</v>
      </c>
      <c r="C58" s="313">
        <v>23243956.20000004</v>
      </c>
      <c r="D58" s="258">
        <v>225980914.70999989</v>
      </c>
      <c r="E58" s="313">
        <v>163127896.97000003</v>
      </c>
      <c r="F58" s="258">
        <v>0</v>
      </c>
      <c r="G58" s="313">
        <v>0</v>
      </c>
      <c r="H58" s="313">
        <v>0</v>
      </c>
      <c r="I58" s="258">
        <v>0</v>
      </c>
      <c r="J58" s="313"/>
    </row>
    <row r="59" spans="1:10">
      <c r="A59" s="256" t="s">
        <v>534</v>
      </c>
      <c r="B59" s="312">
        <v>1006177853.9500002</v>
      </c>
      <c r="C59" s="313">
        <v>678507536.21000004</v>
      </c>
      <c r="D59" s="258">
        <v>572506635.06999993</v>
      </c>
      <c r="E59" s="313">
        <v>632906967.92000008</v>
      </c>
      <c r="F59" s="258">
        <v>0</v>
      </c>
      <c r="G59" s="313">
        <v>0</v>
      </c>
      <c r="H59" s="313">
        <v>533285680.44700003</v>
      </c>
      <c r="I59" s="258">
        <v>0</v>
      </c>
      <c r="J59" s="313"/>
    </row>
    <row r="60" spans="1:10">
      <c r="A60" s="257" t="s">
        <v>542</v>
      </c>
      <c r="B60" s="312">
        <v>455626091.64999998</v>
      </c>
      <c r="C60" s="313">
        <v>240569215.74000001</v>
      </c>
      <c r="D60" s="258">
        <v>130862903.00999998</v>
      </c>
      <c r="E60" s="313">
        <v>352208206.12</v>
      </c>
      <c r="F60" s="258">
        <v>0</v>
      </c>
      <c r="G60" s="313">
        <v>0</v>
      </c>
      <c r="H60" s="313">
        <v>398605680.44700003</v>
      </c>
      <c r="I60" s="258">
        <v>0</v>
      </c>
      <c r="J60" s="313"/>
    </row>
    <row r="61" spans="1:10">
      <c r="A61" s="257" t="s">
        <v>535</v>
      </c>
      <c r="B61" s="312">
        <v>0</v>
      </c>
      <c r="C61" s="313">
        <v>97210541.730000019</v>
      </c>
      <c r="D61" s="258">
        <v>328947972.70999992</v>
      </c>
      <c r="E61" s="313">
        <v>125566140.82999998</v>
      </c>
      <c r="F61" s="258">
        <v>0</v>
      </c>
      <c r="G61" s="313">
        <v>0</v>
      </c>
      <c r="H61" s="313">
        <v>67167100</v>
      </c>
      <c r="I61" s="258">
        <v>0</v>
      </c>
      <c r="J61" s="313"/>
    </row>
    <row r="62" spans="1:10">
      <c r="A62" s="257" t="s">
        <v>545</v>
      </c>
      <c r="B62" s="312">
        <v>0</v>
      </c>
      <c r="C62" s="313">
        <v>318681900.88</v>
      </c>
      <c r="D62" s="258">
        <v>104037404.78</v>
      </c>
      <c r="E62" s="313">
        <v>155131518.53</v>
      </c>
      <c r="F62" s="258">
        <v>0</v>
      </c>
      <c r="G62" s="313">
        <v>0</v>
      </c>
      <c r="H62" s="313">
        <v>26026000</v>
      </c>
      <c r="I62" s="258">
        <v>0</v>
      </c>
      <c r="J62" s="313"/>
    </row>
    <row r="63" spans="1:10">
      <c r="A63" s="257" t="s">
        <v>549</v>
      </c>
      <c r="B63" s="312">
        <v>550551762.30000019</v>
      </c>
      <c r="C63" s="313">
        <v>22045877.859999981</v>
      </c>
      <c r="D63" s="258">
        <v>8658354.5700000003</v>
      </c>
      <c r="E63" s="313">
        <v>1102.44</v>
      </c>
      <c r="F63" s="258">
        <v>0</v>
      </c>
      <c r="G63" s="313">
        <v>0</v>
      </c>
      <c r="H63" s="313">
        <v>41486900</v>
      </c>
      <c r="I63" s="258">
        <v>0</v>
      </c>
      <c r="J63" s="313"/>
    </row>
    <row r="64" spans="1:10">
      <c r="A64" s="256" t="s">
        <v>557</v>
      </c>
      <c r="B64" s="312">
        <v>0</v>
      </c>
      <c r="C64" s="313">
        <v>0</v>
      </c>
      <c r="D64" s="258">
        <v>0</v>
      </c>
      <c r="E64" s="313">
        <v>0</v>
      </c>
      <c r="F64" s="258">
        <v>9219450076.0850506</v>
      </c>
      <c r="G64" s="313">
        <v>27130505.840957616</v>
      </c>
      <c r="H64" s="313">
        <v>5762553882.198101</v>
      </c>
      <c r="I64" s="258">
        <v>1239276737.9199791</v>
      </c>
      <c r="J64" s="313"/>
    </row>
    <row r="65" spans="1:10">
      <c r="A65" s="257" t="s">
        <v>558</v>
      </c>
      <c r="B65" s="312">
        <v>0</v>
      </c>
      <c r="C65" s="313">
        <v>0</v>
      </c>
      <c r="D65" s="258">
        <v>0</v>
      </c>
      <c r="E65" s="313">
        <v>0</v>
      </c>
      <c r="F65" s="258">
        <v>2499187773.985817</v>
      </c>
      <c r="G65" s="313">
        <v>0</v>
      </c>
      <c r="H65" s="313">
        <v>1008700663.4809</v>
      </c>
      <c r="I65" s="258">
        <v>1239276737.9199791</v>
      </c>
      <c r="J65" s="313"/>
    </row>
    <row r="66" spans="1:10">
      <c r="A66" s="257" t="s">
        <v>559</v>
      </c>
      <c r="B66" s="312">
        <v>0</v>
      </c>
      <c r="C66" s="313">
        <v>0</v>
      </c>
      <c r="D66" s="258">
        <v>0</v>
      </c>
      <c r="E66" s="313">
        <v>0</v>
      </c>
      <c r="F66" s="258">
        <v>2189482761.2112374</v>
      </c>
      <c r="G66" s="313">
        <v>0</v>
      </c>
      <c r="H66" s="313">
        <v>1176822312.9299002</v>
      </c>
      <c r="I66" s="258">
        <v>0</v>
      </c>
      <c r="J66" s="313"/>
    </row>
    <row r="67" spans="1:10">
      <c r="A67" s="257" t="s">
        <v>560</v>
      </c>
      <c r="B67" s="312">
        <v>0</v>
      </c>
      <c r="C67" s="313">
        <v>0</v>
      </c>
      <c r="D67" s="258">
        <v>0</v>
      </c>
      <c r="E67" s="313">
        <v>0</v>
      </c>
      <c r="F67" s="258">
        <v>1967313156.6679699</v>
      </c>
      <c r="G67" s="313">
        <v>27130505.840957616</v>
      </c>
      <c r="H67" s="313">
        <v>1967581503.4382</v>
      </c>
      <c r="I67" s="258">
        <v>0</v>
      </c>
      <c r="J67" s="313"/>
    </row>
    <row r="68" spans="1:10">
      <c r="A68" s="257" t="s">
        <v>564</v>
      </c>
      <c r="B68" s="312">
        <v>0</v>
      </c>
      <c r="C68" s="313">
        <v>0</v>
      </c>
      <c r="D68" s="258">
        <v>0</v>
      </c>
      <c r="E68" s="313">
        <v>0</v>
      </c>
      <c r="F68" s="258">
        <v>2563466384.220027</v>
      </c>
      <c r="G68" s="313">
        <v>0</v>
      </c>
      <c r="H68" s="313">
        <v>1609449402.3491006</v>
      </c>
      <c r="I68" s="258">
        <v>0</v>
      </c>
      <c r="J68" s="313"/>
    </row>
    <row r="69" spans="1:10">
      <c r="A69" s="256" t="s">
        <v>561</v>
      </c>
      <c r="B69" s="312">
        <v>0</v>
      </c>
      <c r="C69" s="313">
        <v>0</v>
      </c>
      <c r="D69" s="258">
        <v>0</v>
      </c>
      <c r="E69" s="313">
        <v>0</v>
      </c>
      <c r="F69" s="258">
        <v>7819786312.7142048</v>
      </c>
      <c r="G69" s="313">
        <v>3020652.42</v>
      </c>
      <c r="H69" s="313">
        <v>5619939822.6777</v>
      </c>
      <c r="I69" s="258">
        <v>16655482098.349686</v>
      </c>
      <c r="J69" s="313"/>
    </row>
    <row r="70" spans="1:10">
      <c r="A70" s="257" t="s">
        <v>562</v>
      </c>
      <c r="B70" s="312">
        <v>0</v>
      </c>
      <c r="C70" s="313">
        <v>0</v>
      </c>
      <c r="D70" s="258">
        <v>0</v>
      </c>
      <c r="E70" s="313">
        <v>0</v>
      </c>
      <c r="F70" s="258">
        <v>2237092071.4398184</v>
      </c>
      <c r="G70" s="313">
        <v>0</v>
      </c>
      <c r="H70" s="313">
        <v>1801439087.4466987</v>
      </c>
      <c r="I70" s="258">
        <v>6981487904.4999857</v>
      </c>
      <c r="J70" s="313"/>
    </row>
    <row r="71" spans="1:10">
      <c r="A71" s="257" t="s">
        <v>563</v>
      </c>
      <c r="B71" s="312">
        <v>0</v>
      </c>
      <c r="C71" s="313">
        <v>0</v>
      </c>
      <c r="D71" s="258">
        <v>0</v>
      </c>
      <c r="E71" s="313">
        <v>0</v>
      </c>
      <c r="F71" s="258">
        <v>3337320744.5091424</v>
      </c>
      <c r="G71" s="313">
        <v>3020652.42</v>
      </c>
      <c r="H71" s="313">
        <v>2551201014.5830002</v>
      </c>
      <c r="I71" s="258">
        <v>1812890091.9499843</v>
      </c>
      <c r="J71" s="313"/>
    </row>
    <row r="72" spans="1:10">
      <c r="A72" s="257" t="s">
        <v>565</v>
      </c>
      <c r="B72" s="312">
        <v>0</v>
      </c>
      <c r="C72" s="313">
        <v>0</v>
      </c>
      <c r="D72" s="258">
        <v>0</v>
      </c>
      <c r="E72" s="313">
        <v>0</v>
      </c>
      <c r="F72" s="258">
        <v>2245373496.7652435</v>
      </c>
      <c r="G72" s="313">
        <v>0</v>
      </c>
      <c r="H72" s="313">
        <v>1267299720.6480002</v>
      </c>
      <c r="I72" s="258">
        <v>7861104101.8997154</v>
      </c>
      <c r="J72" s="313"/>
    </row>
    <row r="73" spans="1:10">
      <c r="A73" s="255" t="s">
        <v>443</v>
      </c>
      <c r="B73" s="312">
        <v>864521902.31999981</v>
      </c>
      <c r="C73" s="313">
        <v>2450708828.4699998</v>
      </c>
      <c r="D73" s="258">
        <v>836408698.87</v>
      </c>
      <c r="E73" s="313">
        <v>3487432752.4200001</v>
      </c>
      <c r="F73" s="258">
        <v>1268877709.1800029</v>
      </c>
      <c r="G73" s="313">
        <v>636211775.19999993</v>
      </c>
      <c r="H73" s="313">
        <v>855640391.10279989</v>
      </c>
      <c r="I73" s="258">
        <v>986262290.77999067</v>
      </c>
      <c r="J73" s="313">
        <v>1913658133.8300028</v>
      </c>
    </row>
    <row r="74" spans="1:10">
      <c r="A74" s="256" t="s">
        <v>448</v>
      </c>
      <c r="B74" s="312">
        <v>0</v>
      </c>
      <c r="C74" s="313">
        <v>901713757.16999984</v>
      </c>
      <c r="D74" s="258">
        <v>522361513.39999998</v>
      </c>
      <c r="E74" s="313">
        <v>878845996.87999988</v>
      </c>
      <c r="F74" s="258">
        <v>753325656.6600014</v>
      </c>
      <c r="G74" s="313">
        <v>18110606.940000001</v>
      </c>
      <c r="H74" s="313">
        <v>586512446.33019996</v>
      </c>
      <c r="I74" s="258">
        <v>0</v>
      </c>
      <c r="J74" s="313">
        <v>0</v>
      </c>
    </row>
    <row r="75" spans="1:10">
      <c r="A75" s="257" t="s">
        <v>449</v>
      </c>
      <c r="B75" s="312">
        <v>0</v>
      </c>
      <c r="C75" s="313">
        <v>207604141.61000004</v>
      </c>
      <c r="D75" s="258">
        <v>267598793.23000005</v>
      </c>
      <c r="E75" s="313">
        <v>64431172.359999985</v>
      </c>
      <c r="F75" s="258">
        <v>355101442.36000061</v>
      </c>
      <c r="G75" s="313">
        <v>0</v>
      </c>
      <c r="H75" s="313">
        <v>339730098.9576</v>
      </c>
      <c r="I75" s="258">
        <v>0</v>
      </c>
      <c r="J75" s="313">
        <v>0</v>
      </c>
    </row>
    <row r="76" spans="1:10">
      <c r="A76" s="257" t="s">
        <v>450</v>
      </c>
      <c r="B76" s="312">
        <v>0</v>
      </c>
      <c r="C76" s="313">
        <v>127941209.57999995</v>
      </c>
      <c r="D76" s="258">
        <v>2351096.6800000002</v>
      </c>
      <c r="E76" s="313">
        <v>303797832.34000003</v>
      </c>
      <c r="F76" s="258">
        <v>511490.75000000006</v>
      </c>
      <c r="G76" s="313">
        <v>18110606.940000001</v>
      </c>
      <c r="H76" s="313">
        <v>0</v>
      </c>
      <c r="I76" s="258">
        <v>0</v>
      </c>
      <c r="J76" s="313">
        <v>0</v>
      </c>
    </row>
    <row r="77" spans="1:10">
      <c r="A77" s="257" t="s">
        <v>451</v>
      </c>
      <c r="B77" s="312">
        <v>0</v>
      </c>
      <c r="C77" s="313">
        <v>444496975.47999984</v>
      </c>
      <c r="D77" s="258">
        <v>68752876.779999986</v>
      </c>
      <c r="E77" s="313">
        <v>282678090.38000005</v>
      </c>
      <c r="F77" s="258">
        <v>275845491.41999978</v>
      </c>
      <c r="G77" s="313">
        <v>0</v>
      </c>
      <c r="H77" s="313">
        <v>176294026.74129999</v>
      </c>
      <c r="I77" s="258">
        <v>0</v>
      </c>
      <c r="J77" s="313">
        <v>0</v>
      </c>
    </row>
    <row r="78" spans="1:10">
      <c r="A78" s="257" t="s">
        <v>457</v>
      </c>
      <c r="B78" s="312">
        <v>0</v>
      </c>
      <c r="C78" s="313">
        <v>121671430.49999997</v>
      </c>
      <c r="D78" s="258">
        <v>183658746.71000001</v>
      </c>
      <c r="E78" s="313">
        <v>227938901.79999974</v>
      </c>
      <c r="F78" s="258">
        <v>121867232.1300009</v>
      </c>
      <c r="G78" s="313">
        <v>0</v>
      </c>
      <c r="H78" s="313">
        <v>70488320.631299987</v>
      </c>
      <c r="I78" s="258">
        <v>0</v>
      </c>
      <c r="J78" s="313">
        <v>0</v>
      </c>
    </row>
    <row r="79" spans="1:10">
      <c r="A79" s="256" t="s">
        <v>444</v>
      </c>
      <c r="B79" s="312">
        <v>0</v>
      </c>
      <c r="C79" s="313">
        <v>713475145.95000005</v>
      </c>
      <c r="D79" s="258">
        <v>235628622.49000001</v>
      </c>
      <c r="E79" s="313">
        <v>1082233209.3200002</v>
      </c>
      <c r="F79" s="258">
        <v>314438153.57000083</v>
      </c>
      <c r="G79" s="313">
        <v>257446709.98999998</v>
      </c>
      <c r="H79" s="313">
        <v>130423909.94099995</v>
      </c>
      <c r="I79" s="258">
        <v>0</v>
      </c>
      <c r="J79" s="313">
        <v>0</v>
      </c>
    </row>
    <row r="80" spans="1:10">
      <c r="A80" s="257" t="s">
        <v>445</v>
      </c>
      <c r="B80" s="312">
        <v>0</v>
      </c>
      <c r="C80" s="313">
        <v>380332306.94</v>
      </c>
      <c r="D80" s="258">
        <v>1069912.8400000001</v>
      </c>
      <c r="E80" s="313">
        <v>274408009.31999999</v>
      </c>
      <c r="F80" s="258">
        <v>141716641.35000092</v>
      </c>
      <c r="G80" s="313">
        <v>171065687.12999997</v>
      </c>
      <c r="H80" s="313">
        <v>20031660.741299998</v>
      </c>
      <c r="I80" s="258">
        <v>0</v>
      </c>
      <c r="J80" s="313">
        <v>0</v>
      </c>
    </row>
    <row r="81" spans="1:10">
      <c r="A81" s="257" t="s">
        <v>446</v>
      </c>
      <c r="B81" s="312">
        <v>0</v>
      </c>
      <c r="C81" s="313">
        <v>153019583.42999998</v>
      </c>
      <c r="D81" s="258">
        <v>134970165.77000001</v>
      </c>
      <c r="E81" s="313">
        <v>333905249.43000019</v>
      </c>
      <c r="F81" s="258">
        <v>13117256.509999998</v>
      </c>
      <c r="G81" s="313">
        <v>27361099.270000003</v>
      </c>
      <c r="H81" s="313">
        <v>1989224.5970999999</v>
      </c>
      <c r="I81" s="258">
        <v>0</v>
      </c>
      <c r="J81" s="313">
        <v>0</v>
      </c>
    </row>
    <row r="82" spans="1:10">
      <c r="A82" s="257" t="s">
        <v>456</v>
      </c>
      <c r="B82" s="312">
        <v>0</v>
      </c>
      <c r="C82" s="313">
        <v>180123255.57999998</v>
      </c>
      <c r="D82" s="258">
        <v>0</v>
      </c>
      <c r="E82" s="313">
        <v>165399535.2899999</v>
      </c>
      <c r="F82" s="258">
        <v>149308281.99999991</v>
      </c>
      <c r="G82" s="313">
        <v>17840405.869999994</v>
      </c>
      <c r="H82" s="313">
        <v>107753024.60259996</v>
      </c>
      <c r="I82" s="258">
        <v>0</v>
      </c>
      <c r="J82" s="313">
        <v>0</v>
      </c>
    </row>
    <row r="83" spans="1:10">
      <c r="A83" s="257" t="s">
        <v>464</v>
      </c>
      <c r="B83" s="312">
        <v>0</v>
      </c>
      <c r="C83" s="319">
        <v>0</v>
      </c>
      <c r="D83" s="258">
        <v>99588543.879999995</v>
      </c>
      <c r="E83" s="313">
        <v>308520415.27999991</v>
      </c>
      <c r="F83" s="258">
        <v>10295973.709999979</v>
      </c>
      <c r="G83" s="313">
        <v>41179517.719999999</v>
      </c>
      <c r="H83" s="313">
        <v>650000</v>
      </c>
      <c r="I83" s="258">
        <v>0</v>
      </c>
      <c r="J83" s="313">
        <v>0</v>
      </c>
    </row>
    <row r="84" spans="1:10">
      <c r="A84" s="256" t="s">
        <v>458</v>
      </c>
      <c r="B84" s="312">
        <v>0</v>
      </c>
      <c r="C84" s="313">
        <v>835519925.3499999</v>
      </c>
      <c r="D84" s="258">
        <v>78418562.980000004</v>
      </c>
      <c r="E84" s="313">
        <v>1526353546.2199998</v>
      </c>
      <c r="F84" s="258">
        <v>201113898.95000064</v>
      </c>
      <c r="G84" s="313">
        <v>360654458.26999998</v>
      </c>
      <c r="H84" s="313">
        <v>138704034.83160004</v>
      </c>
      <c r="I84" s="258">
        <v>986262290.77999067</v>
      </c>
      <c r="J84" s="313">
        <v>0</v>
      </c>
    </row>
    <row r="85" spans="1:10">
      <c r="A85" s="257" t="s">
        <v>466</v>
      </c>
      <c r="B85" s="312">
        <v>0</v>
      </c>
      <c r="C85" s="313">
        <v>0</v>
      </c>
      <c r="D85" s="258">
        <v>0</v>
      </c>
      <c r="E85" s="313">
        <v>0</v>
      </c>
      <c r="F85" s="449">
        <v>0</v>
      </c>
      <c r="G85" s="319">
        <v>0</v>
      </c>
      <c r="H85" s="319">
        <v>0</v>
      </c>
      <c r="I85" s="449">
        <v>986262290.77999067</v>
      </c>
      <c r="J85" s="313">
        <v>0</v>
      </c>
    </row>
    <row r="86" spans="1:10">
      <c r="A86" s="257" t="s">
        <v>461</v>
      </c>
      <c r="B86" s="312">
        <v>0</v>
      </c>
      <c r="C86" s="313">
        <v>234796005.89000002</v>
      </c>
      <c r="D86" s="258">
        <v>2795778.5500000003</v>
      </c>
      <c r="E86" s="313">
        <v>265251818.04999995</v>
      </c>
      <c r="F86" s="258">
        <v>42057506.110000044</v>
      </c>
      <c r="G86" s="313">
        <v>0</v>
      </c>
      <c r="H86" s="313">
        <v>42057506.110000044</v>
      </c>
      <c r="I86" s="258">
        <v>0</v>
      </c>
      <c r="J86" s="313">
        <v>0</v>
      </c>
    </row>
    <row r="87" spans="1:10">
      <c r="A87" s="257" t="s">
        <v>462</v>
      </c>
      <c r="B87" s="312">
        <v>0</v>
      </c>
      <c r="C87" s="313">
        <v>244488114.28000003</v>
      </c>
      <c r="D87" s="258">
        <v>965889.3600000001</v>
      </c>
      <c r="E87" s="313">
        <v>314646867.63999999</v>
      </c>
      <c r="F87" s="258">
        <v>85979673.750000238</v>
      </c>
      <c r="G87" s="313">
        <v>112886230.99000001</v>
      </c>
      <c r="H87" s="313">
        <v>52620015.693699993</v>
      </c>
      <c r="I87" s="258">
        <v>0</v>
      </c>
      <c r="J87" s="313">
        <v>0</v>
      </c>
    </row>
    <row r="88" spans="1:10">
      <c r="A88" s="257" t="s">
        <v>460</v>
      </c>
      <c r="B88" s="312">
        <v>0</v>
      </c>
      <c r="C88" s="313">
        <v>87856068.169999987</v>
      </c>
      <c r="D88" s="258">
        <v>73470389.230000004</v>
      </c>
      <c r="E88" s="313">
        <v>453665160.90999985</v>
      </c>
      <c r="F88" s="258">
        <v>0</v>
      </c>
      <c r="G88" s="313">
        <v>159162598.17999998</v>
      </c>
      <c r="H88" s="313">
        <v>0</v>
      </c>
      <c r="I88" s="258">
        <v>0</v>
      </c>
      <c r="J88" s="313">
        <v>0</v>
      </c>
    </row>
    <row r="89" spans="1:10">
      <c r="A89" s="257" t="s">
        <v>459</v>
      </c>
      <c r="B89" s="312">
        <v>0</v>
      </c>
      <c r="C89" s="313">
        <v>268379737.00999993</v>
      </c>
      <c r="D89" s="258">
        <v>1186505.8400000001</v>
      </c>
      <c r="E89" s="313">
        <v>492789699.62000012</v>
      </c>
      <c r="F89" s="258">
        <v>73076719.090000346</v>
      </c>
      <c r="G89" s="313">
        <v>88605629.100000009</v>
      </c>
      <c r="H89" s="313">
        <v>44026513.027900003</v>
      </c>
      <c r="I89" s="258">
        <v>0</v>
      </c>
      <c r="J89" s="313">
        <v>0</v>
      </c>
    </row>
    <row r="90" spans="1:10">
      <c r="A90" s="256" t="s">
        <v>452</v>
      </c>
      <c r="B90" s="312">
        <v>0</v>
      </c>
      <c r="C90" s="313">
        <v>0</v>
      </c>
      <c r="D90" s="258">
        <v>0</v>
      </c>
      <c r="E90" s="313">
        <v>0</v>
      </c>
      <c r="F90" s="258">
        <v>0</v>
      </c>
      <c r="G90" s="313">
        <v>0</v>
      </c>
      <c r="H90" s="313">
        <v>0</v>
      </c>
      <c r="I90" s="258">
        <v>0</v>
      </c>
      <c r="J90" s="313">
        <v>1485792933.96</v>
      </c>
    </row>
    <row r="91" spans="1:10">
      <c r="A91" s="257" t="s">
        <v>453</v>
      </c>
      <c r="B91" s="312">
        <v>0</v>
      </c>
      <c r="C91" s="313">
        <v>0</v>
      </c>
      <c r="D91" s="258">
        <v>0</v>
      </c>
      <c r="E91" s="313">
        <v>0</v>
      </c>
      <c r="F91" s="258">
        <v>0</v>
      </c>
      <c r="G91" s="313">
        <v>0</v>
      </c>
      <c r="H91" s="313">
        <v>0</v>
      </c>
      <c r="I91" s="258">
        <v>0</v>
      </c>
      <c r="J91" s="313">
        <v>1485792933.96</v>
      </c>
    </row>
    <row r="92" spans="1:10">
      <c r="A92" s="256" t="s">
        <v>467</v>
      </c>
      <c r="B92" s="312">
        <v>864521902.31999981</v>
      </c>
      <c r="C92" s="313">
        <v>0</v>
      </c>
      <c r="D92" s="258">
        <v>0</v>
      </c>
      <c r="E92" s="313">
        <v>0</v>
      </c>
      <c r="F92" s="258">
        <v>0</v>
      </c>
      <c r="G92" s="313">
        <v>0</v>
      </c>
      <c r="H92" s="313">
        <v>0</v>
      </c>
      <c r="I92" s="258">
        <v>0</v>
      </c>
      <c r="J92" s="313">
        <v>427865199.87000287</v>
      </c>
    </row>
    <row r="93" spans="1:10">
      <c r="A93" s="257" t="s">
        <v>468</v>
      </c>
      <c r="B93" s="312">
        <v>864521902.31999981</v>
      </c>
      <c r="C93" s="313">
        <v>0</v>
      </c>
      <c r="D93" s="258">
        <v>0</v>
      </c>
      <c r="E93" s="313">
        <v>0</v>
      </c>
      <c r="F93" s="258">
        <v>0</v>
      </c>
      <c r="G93" s="313">
        <v>0</v>
      </c>
      <c r="H93" s="313">
        <v>0</v>
      </c>
      <c r="I93" s="258">
        <v>0</v>
      </c>
      <c r="J93" s="313">
        <v>427865199.87000287</v>
      </c>
    </row>
    <row r="94" spans="1:10">
      <c r="A94" s="255" t="s">
        <v>469</v>
      </c>
      <c r="B94" s="312">
        <v>3762605333.6533365</v>
      </c>
      <c r="C94" s="313">
        <v>513836243.72999996</v>
      </c>
      <c r="D94" s="258">
        <v>389199921.87999994</v>
      </c>
      <c r="E94" s="313">
        <v>902733242.40000021</v>
      </c>
      <c r="F94" s="258">
        <v>7840527162.0775099</v>
      </c>
      <c r="G94" s="313">
        <v>4231672222.2766662</v>
      </c>
      <c r="H94" s="313">
        <v>6868601348.6542215</v>
      </c>
      <c r="I94" s="258">
        <v>0</v>
      </c>
      <c r="J94" s="313"/>
    </row>
    <row r="95" spans="1:10">
      <c r="A95" s="256" t="s">
        <v>486</v>
      </c>
      <c r="B95" s="312">
        <v>0</v>
      </c>
      <c r="C95" s="313">
        <v>513836243.72999996</v>
      </c>
      <c r="D95" s="258">
        <v>131318603.2900001</v>
      </c>
      <c r="E95" s="313">
        <v>902733242.40000021</v>
      </c>
      <c r="F95" s="258">
        <v>0</v>
      </c>
      <c r="G95" s="313">
        <v>0</v>
      </c>
      <c r="H95" s="313">
        <v>0</v>
      </c>
      <c r="I95" s="258">
        <v>0</v>
      </c>
      <c r="J95" s="313"/>
    </row>
    <row r="96" spans="1:10">
      <c r="A96" s="257" t="s">
        <v>489</v>
      </c>
      <c r="B96" s="312">
        <v>0</v>
      </c>
      <c r="C96" s="313">
        <v>93661367.669999987</v>
      </c>
      <c r="D96" s="258">
        <v>3290891.09</v>
      </c>
      <c r="E96" s="313">
        <v>128681270.21000007</v>
      </c>
      <c r="F96" s="258">
        <v>0</v>
      </c>
      <c r="G96" s="313">
        <v>0</v>
      </c>
      <c r="H96" s="313">
        <v>0</v>
      </c>
      <c r="I96" s="258">
        <v>0</v>
      </c>
      <c r="J96" s="313"/>
    </row>
    <row r="97" spans="1:11">
      <c r="A97" s="257" t="s">
        <v>487</v>
      </c>
      <c r="B97" s="312">
        <v>0</v>
      </c>
      <c r="C97" s="313">
        <v>322431270.45000005</v>
      </c>
      <c r="D97" s="258">
        <v>16180557.30000001</v>
      </c>
      <c r="E97" s="313">
        <v>410459160.78000009</v>
      </c>
      <c r="F97" s="258">
        <v>0</v>
      </c>
      <c r="G97" s="313">
        <v>0</v>
      </c>
      <c r="H97" s="313">
        <v>0</v>
      </c>
      <c r="I97" s="258">
        <v>0</v>
      </c>
      <c r="J97" s="313"/>
    </row>
    <row r="98" spans="1:11">
      <c r="A98" s="257" t="s">
        <v>491</v>
      </c>
      <c r="B98" s="312">
        <v>0</v>
      </c>
      <c r="C98" s="313">
        <v>37142153.909999996</v>
      </c>
      <c r="D98" s="258">
        <v>109756029.64000008</v>
      </c>
      <c r="E98" s="313">
        <v>179395181.75000006</v>
      </c>
      <c r="F98" s="258">
        <v>0</v>
      </c>
      <c r="G98" s="313">
        <v>0</v>
      </c>
      <c r="H98" s="313">
        <v>0</v>
      </c>
      <c r="I98" s="258">
        <v>0</v>
      </c>
      <c r="J98" s="313"/>
    </row>
    <row r="99" spans="1:11">
      <c r="A99" s="257" t="s">
        <v>488</v>
      </c>
      <c r="B99" s="312">
        <v>0</v>
      </c>
      <c r="C99" s="313">
        <v>60601451.700000003</v>
      </c>
      <c r="D99" s="258">
        <v>2091125.26</v>
      </c>
      <c r="E99" s="313">
        <v>184197629.66</v>
      </c>
      <c r="F99" s="258">
        <v>0</v>
      </c>
      <c r="G99" s="313">
        <v>0</v>
      </c>
      <c r="H99" s="313">
        <v>0</v>
      </c>
      <c r="I99" s="258">
        <v>0</v>
      </c>
      <c r="J99" s="313"/>
    </row>
    <row r="100" spans="1:11">
      <c r="A100" s="256" t="s">
        <v>474</v>
      </c>
      <c r="B100" s="312">
        <v>3762605333.6533365</v>
      </c>
      <c r="C100" s="313">
        <v>0</v>
      </c>
      <c r="D100" s="258">
        <v>257881318.58999985</v>
      </c>
      <c r="E100" s="313">
        <v>0</v>
      </c>
      <c r="F100" s="258">
        <v>0</v>
      </c>
      <c r="G100" s="313">
        <v>257881318.58999985</v>
      </c>
      <c r="H100" s="313">
        <v>0</v>
      </c>
      <c r="I100" s="258">
        <v>0</v>
      </c>
      <c r="J100" s="313"/>
    </row>
    <row r="101" spans="1:11">
      <c r="A101" s="257" t="s">
        <v>482</v>
      </c>
      <c r="B101" s="312">
        <v>752384027.11000335</v>
      </c>
      <c r="C101" s="313">
        <v>0</v>
      </c>
      <c r="D101" s="258">
        <v>0</v>
      </c>
      <c r="E101" s="313">
        <v>0</v>
      </c>
      <c r="F101" s="258">
        <v>0</v>
      </c>
      <c r="G101" s="313">
        <v>0</v>
      </c>
      <c r="H101" s="313">
        <v>0</v>
      </c>
      <c r="I101" s="258">
        <v>0</v>
      </c>
      <c r="J101" s="313"/>
    </row>
    <row r="102" spans="1:11">
      <c r="A102" s="257" t="s">
        <v>479</v>
      </c>
      <c r="B102" s="312">
        <v>1546722497.1800001</v>
      </c>
      <c r="C102" s="313">
        <v>0</v>
      </c>
      <c r="D102" s="258">
        <v>0</v>
      </c>
      <c r="E102" s="313">
        <v>0</v>
      </c>
      <c r="F102" s="258">
        <v>0</v>
      </c>
      <c r="G102" s="313">
        <v>0</v>
      </c>
      <c r="H102" s="313">
        <v>0</v>
      </c>
      <c r="I102" s="258">
        <v>0</v>
      </c>
      <c r="J102" s="313"/>
    </row>
    <row r="103" spans="1:11">
      <c r="A103" s="257" t="s">
        <v>475</v>
      </c>
      <c r="B103" s="312">
        <v>1463498809.3633332</v>
      </c>
      <c r="C103" s="313">
        <v>0</v>
      </c>
      <c r="D103" s="258">
        <v>0</v>
      </c>
      <c r="E103" s="313">
        <v>0</v>
      </c>
      <c r="F103" s="258">
        <v>0</v>
      </c>
      <c r="G103" s="313">
        <v>0</v>
      </c>
      <c r="H103" s="313">
        <v>0</v>
      </c>
      <c r="I103" s="258">
        <v>0</v>
      </c>
      <c r="J103" s="313"/>
    </row>
    <row r="104" spans="1:11">
      <c r="A104" s="257" t="s">
        <v>490</v>
      </c>
      <c r="B104" s="312">
        <v>0</v>
      </c>
      <c r="C104" s="313">
        <v>0</v>
      </c>
      <c r="D104" s="449">
        <v>257881318.58999985</v>
      </c>
      <c r="E104" s="313">
        <v>0</v>
      </c>
      <c r="F104" s="258">
        <v>0</v>
      </c>
      <c r="G104" s="313">
        <v>257881318.58999985</v>
      </c>
      <c r="H104" s="313">
        <v>0</v>
      </c>
      <c r="I104" s="258">
        <v>0</v>
      </c>
      <c r="J104" s="313"/>
    </row>
    <row r="105" spans="1:11">
      <c r="A105" s="256" t="s">
        <v>470</v>
      </c>
      <c r="B105" s="312">
        <v>0</v>
      </c>
      <c r="C105" s="313">
        <v>0</v>
      </c>
      <c r="D105" s="258">
        <v>0</v>
      </c>
      <c r="E105" s="313">
        <v>0</v>
      </c>
      <c r="F105" s="258">
        <v>7840527162.0775099</v>
      </c>
      <c r="G105" s="313">
        <v>3973790903.6866665</v>
      </c>
      <c r="H105" s="313">
        <v>6868601348.6542215</v>
      </c>
      <c r="I105" s="258">
        <v>0</v>
      </c>
      <c r="J105" s="313"/>
    </row>
    <row r="106" spans="1:11">
      <c r="A106" s="257" t="s">
        <v>473</v>
      </c>
      <c r="B106" s="312">
        <v>0</v>
      </c>
      <c r="C106" s="313">
        <v>0</v>
      </c>
      <c r="D106" s="258">
        <v>0</v>
      </c>
      <c r="E106" s="313">
        <v>0</v>
      </c>
      <c r="F106" s="258">
        <v>2150262832.7800002</v>
      </c>
      <c r="G106" s="313">
        <v>0</v>
      </c>
      <c r="H106" s="313">
        <v>1570314413.6791031</v>
      </c>
      <c r="I106" s="258">
        <v>0</v>
      </c>
      <c r="J106" s="313"/>
    </row>
    <row r="107" spans="1:11">
      <c r="A107" s="257" t="s">
        <v>471</v>
      </c>
      <c r="B107" s="312">
        <v>0</v>
      </c>
      <c r="C107" s="313">
        <v>0</v>
      </c>
      <c r="D107" s="258">
        <v>0</v>
      </c>
      <c r="E107" s="313">
        <v>0</v>
      </c>
      <c r="F107" s="258">
        <v>2578644919.219902</v>
      </c>
      <c r="G107" s="313">
        <v>0</v>
      </c>
      <c r="H107" s="313">
        <v>1523570988.0783951</v>
      </c>
      <c r="I107" s="258">
        <v>0</v>
      </c>
      <c r="J107" s="313"/>
    </row>
    <row r="108" spans="1:11">
      <c r="A108" s="257" t="s">
        <v>478</v>
      </c>
      <c r="B108" s="312">
        <v>0</v>
      </c>
      <c r="C108" s="313">
        <v>0</v>
      </c>
      <c r="D108" s="258">
        <v>0</v>
      </c>
      <c r="E108" s="313">
        <v>0</v>
      </c>
      <c r="F108" s="258">
        <v>0</v>
      </c>
      <c r="G108" s="313">
        <v>3973790903.6866665</v>
      </c>
      <c r="H108" s="313">
        <v>2209598484.2026157</v>
      </c>
      <c r="I108" s="258">
        <v>0</v>
      </c>
      <c r="J108" s="313"/>
      <c r="K108" s="320" t="s">
        <v>578</v>
      </c>
    </row>
    <row r="109" spans="1:11">
      <c r="A109" s="257" t="s">
        <v>472</v>
      </c>
      <c r="B109" s="312">
        <v>0</v>
      </c>
      <c r="C109" s="313">
        <v>0</v>
      </c>
      <c r="D109" s="258">
        <v>0</v>
      </c>
      <c r="E109" s="313">
        <v>0</v>
      </c>
      <c r="F109" s="258">
        <v>3111619410.0776072</v>
      </c>
      <c r="G109" s="313">
        <v>0</v>
      </c>
      <c r="H109" s="313">
        <v>1565117462.6941082</v>
      </c>
      <c r="I109" s="258">
        <v>0</v>
      </c>
      <c r="J109" s="313"/>
    </row>
    <row r="110" spans="1:11">
      <c r="A110" s="255" t="s">
        <v>494</v>
      </c>
      <c r="B110" s="312">
        <v>0</v>
      </c>
      <c r="C110" s="313">
        <v>819354253.26999974</v>
      </c>
      <c r="D110" s="258">
        <v>1212831504.1000023</v>
      </c>
      <c r="E110" s="313">
        <v>2830987855.48</v>
      </c>
      <c r="F110" s="258">
        <v>25125112147.748104</v>
      </c>
      <c r="G110" s="313">
        <v>2258794635.6799998</v>
      </c>
      <c r="H110" s="313">
        <v>15579989592.549202</v>
      </c>
      <c r="I110" s="258">
        <v>25108963002.738098</v>
      </c>
      <c r="J110" s="313"/>
    </row>
    <row r="111" spans="1:11">
      <c r="A111" s="256" t="s">
        <v>495</v>
      </c>
      <c r="B111" s="312">
        <v>0</v>
      </c>
      <c r="C111" s="313">
        <v>261385281.33999994</v>
      </c>
      <c r="D111" s="258">
        <v>724317853.1900022</v>
      </c>
      <c r="E111" s="313">
        <v>1679454147.71</v>
      </c>
      <c r="F111" s="258">
        <v>2140615845.6834667</v>
      </c>
      <c r="G111" s="313">
        <v>1073573392.3999997</v>
      </c>
      <c r="H111" s="313">
        <v>1078994482.9923999</v>
      </c>
      <c r="I111" s="258">
        <v>0</v>
      </c>
      <c r="J111" s="313"/>
    </row>
    <row r="112" spans="1:11">
      <c r="A112" s="257" t="s">
        <v>504</v>
      </c>
      <c r="B112" s="312">
        <v>0</v>
      </c>
      <c r="C112" s="313">
        <v>29201092.889999997</v>
      </c>
      <c r="D112" s="258">
        <v>11609227.609999999</v>
      </c>
      <c r="E112" s="313">
        <v>402581759.96000004</v>
      </c>
      <c r="F112" s="258">
        <v>130475655.79999988</v>
      </c>
      <c r="G112" s="313">
        <v>5527032.7500000009</v>
      </c>
      <c r="H112" s="313">
        <v>162486690.05530003</v>
      </c>
      <c r="I112" s="258">
        <v>0</v>
      </c>
      <c r="J112" s="313"/>
    </row>
    <row r="113" spans="1:10">
      <c r="A113" s="257" t="s">
        <v>506</v>
      </c>
      <c r="B113" s="312">
        <v>0</v>
      </c>
      <c r="C113" s="313">
        <v>163721471.18999997</v>
      </c>
      <c r="D113" s="258">
        <v>585928794.40000212</v>
      </c>
      <c r="E113" s="313">
        <v>0</v>
      </c>
      <c r="F113" s="258">
        <v>0</v>
      </c>
      <c r="G113" s="313">
        <v>0</v>
      </c>
      <c r="H113" s="313">
        <v>0</v>
      </c>
      <c r="I113" s="258">
        <v>0</v>
      </c>
      <c r="J113" s="313"/>
    </row>
    <row r="114" spans="1:10">
      <c r="A114" s="257" t="s">
        <v>496</v>
      </c>
      <c r="B114" s="312">
        <v>0</v>
      </c>
      <c r="C114" s="313">
        <v>17699566.189999998</v>
      </c>
      <c r="D114" s="258">
        <v>15545544.32</v>
      </c>
      <c r="E114" s="313">
        <v>602618484.24999976</v>
      </c>
      <c r="F114" s="258">
        <v>2010140189.8834667</v>
      </c>
      <c r="G114" s="313">
        <v>10774057.129999999</v>
      </c>
      <c r="H114" s="313">
        <v>916507792.93709993</v>
      </c>
      <c r="I114" s="258">
        <v>0</v>
      </c>
      <c r="J114" s="313"/>
    </row>
    <row r="115" spans="1:10">
      <c r="A115" s="257" t="s">
        <v>507</v>
      </c>
      <c r="B115" s="312">
        <v>0</v>
      </c>
      <c r="C115" s="313">
        <v>50763151.07</v>
      </c>
      <c r="D115" s="258">
        <v>111234286.86</v>
      </c>
      <c r="E115" s="313">
        <v>674253903.50000012</v>
      </c>
      <c r="F115" s="258">
        <v>0</v>
      </c>
      <c r="G115" s="313">
        <v>1057272302.5199997</v>
      </c>
      <c r="H115" s="313">
        <v>0</v>
      </c>
      <c r="I115" s="258">
        <v>0</v>
      </c>
      <c r="J115" s="313"/>
    </row>
    <row r="116" spans="1:10">
      <c r="A116" s="256" t="s">
        <v>500</v>
      </c>
      <c r="B116" s="312">
        <v>0</v>
      </c>
      <c r="C116" s="313">
        <v>424675876.92999995</v>
      </c>
      <c r="D116" s="258">
        <v>283756984.29000038</v>
      </c>
      <c r="E116" s="313">
        <v>735976792.60000014</v>
      </c>
      <c r="F116" s="258">
        <v>0</v>
      </c>
      <c r="G116" s="313">
        <v>1075413982.5</v>
      </c>
      <c r="H116" s="313">
        <v>3795337.0000000005</v>
      </c>
      <c r="I116" s="258">
        <v>0</v>
      </c>
      <c r="J116" s="313"/>
    </row>
    <row r="117" spans="1:10">
      <c r="A117" s="257" t="s">
        <v>501</v>
      </c>
      <c r="B117" s="312">
        <v>0</v>
      </c>
      <c r="C117" s="313">
        <v>403915114.67999995</v>
      </c>
      <c r="D117" s="258">
        <v>88312750.840000063</v>
      </c>
      <c r="E117" s="313">
        <v>139172230.03000006</v>
      </c>
      <c r="F117" s="258">
        <v>0</v>
      </c>
      <c r="G117" s="313">
        <v>634809292.32999992</v>
      </c>
      <c r="H117" s="313">
        <v>0</v>
      </c>
      <c r="I117" s="258">
        <v>0</v>
      </c>
      <c r="J117" s="313"/>
    </row>
    <row r="118" spans="1:10">
      <c r="A118" s="257" t="s">
        <v>524</v>
      </c>
      <c r="B118" s="312">
        <v>0</v>
      </c>
      <c r="C118" s="313">
        <v>12223806.700000001</v>
      </c>
      <c r="D118" s="258">
        <v>189686437.40000027</v>
      </c>
      <c r="E118" s="313">
        <v>381120291.53000009</v>
      </c>
      <c r="F118" s="258">
        <v>0</v>
      </c>
      <c r="G118" s="313">
        <v>440604690.17000002</v>
      </c>
      <c r="H118" s="313">
        <v>3795337.0000000005</v>
      </c>
      <c r="I118" s="258">
        <v>0</v>
      </c>
      <c r="J118" s="313"/>
    </row>
    <row r="119" spans="1:10">
      <c r="A119" s="257" t="s">
        <v>503</v>
      </c>
      <c r="B119" s="312">
        <v>0</v>
      </c>
      <c r="C119" s="319">
        <v>8536955.5500000007</v>
      </c>
      <c r="D119" s="449">
        <v>5757796.0499999989</v>
      </c>
      <c r="E119" s="319">
        <v>215684271.03999999</v>
      </c>
      <c r="F119" s="258">
        <v>0</v>
      </c>
      <c r="G119" s="313">
        <v>0</v>
      </c>
      <c r="H119" s="313">
        <v>0</v>
      </c>
      <c r="I119" s="258">
        <v>0</v>
      </c>
      <c r="J119" s="313"/>
    </row>
    <row r="120" spans="1:10">
      <c r="A120" s="256" t="s">
        <v>508</v>
      </c>
      <c r="B120" s="312">
        <v>0</v>
      </c>
      <c r="C120" s="313">
        <v>133293094.99999997</v>
      </c>
      <c r="D120" s="258">
        <v>204756666.61999992</v>
      </c>
      <c r="E120" s="313">
        <v>415556915.17000002</v>
      </c>
      <c r="F120" s="258">
        <v>889574794.65997851</v>
      </c>
      <c r="G120" s="313">
        <v>109807260.77999999</v>
      </c>
      <c r="H120" s="313">
        <v>577762884.74320006</v>
      </c>
      <c r="I120" s="258">
        <v>0</v>
      </c>
      <c r="J120" s="313"/>
    </row>
    <row r="121" spans="1:10">
      <c r="A121" s="257" t="s">
        <v>509</v>
      </c>
      <c r="B121" s="312">
        <v>0</v>
      </c>
      <c r="C121" s="313">
        <v>119276684.45999998</v>
      </c>
      <c r="D121" s="258">
        <v>178509407.2299999</v>
      </c>
      <c r="E121" s="313">
        <v>165085469.13</v>
      </c>
      <c r="F121" s="258">
        <v>0</v>
      </c>
      <c r="G121" s="313">
        <v>105508457.52999999</v>
      </c>
      <c r="H121" s="313">
        <v>0</v>
      </c>
      <c r="I121" s="258">
        <v>0</v>
      </c>
      <c r="J121" s="313"/>
    </row>
    <row r="122" spans="1:10">
      <c r="A122" s="257" t="s">
        <v>510</v>
      </c>
      <c r="B122" s="312">
        <v>0</v>
      </c>
      <c r="C122" s="313">
        <v>3701884.3000000007</v>
      </c>
      <c r="D122" s="258">
        <v>1641423.5600000008</v>
      </c>
      <c r="E122" s="313">
        <v>70745703.129999995</v>
      </c>
      <c r="F122" s="258">
        <v>889574794.65997851</v>
      </c>
      <c r="G122" s="313">
        <v>614114.75</v>
      </c>
      <c r="H122" s="313">
        <v>577762884.74320006</v>
      </c>
      <c r="I122" s="258">
        <v>0</v>
      </c>
      <c r="J122" s="313"/>
    </row>
    <row r="123" spans="1:10">
      <c r="A123" s="257" t="s">
        <v>525</v>
      </c>
      <c r="B123" s="312">
        <v>0</v>
      </c>
      <c r="C123" s="319">
        <v>10314526.239999991</v>
      </c>
      <c r="D123" s="449">
        <v>24605835.830000002</v>
      </c>
      <c r="E123" s="319">
        <v>179725742.91000003</v>
      </c>
      <c r="F123" s="258">
        <v>0</v>
      </c>
      <c r="G123" s="313">
        <v>3684688.5000000005</v>
      </c>
      <c r="H123" s="313">
        <v>0</v>
      </c>
      <c r="I123" s="258">
        <v>0</v>
      </c>
      <c r="J123" s="313"/>
    </row>
    <row r="124" spans="1:10">
      <c r="A124" s="256" t="s">
        <v>512</v>
      </c>
      <c r="B124" s="312">
        <v>0</v>
      </c>
      <c r="C124" s="313">
        <v>0</v>
      </c>
      <c r="D124" s="258">
        <v>0</v>
      </c>
      <c r="E124" s="313">
        <v>0</v>
      </c>
      <c r="F124" s="258">
        <v>10124639624.576168</v>
      </c>
      <c r="G124" s="313">
        <v>0</v>
      </c>
      <c r="H124" s="313">
        <v>6569767230.6954985</v>
      </c>
      <c r="I124" s="258">
        <v>8507119655.309227</v>
      </c>
      <c r="J124" s="313"/>
    </row>
    <row r="125" spans="1:10">
      <c r="A125" s="257" t="s">
        <v>518</v>
      </c>
      <c r="B125" s="312">
        <v>0</v>
      </c>
      <c r="C125" s="313">
        <v>0</v>
      </c>
      <c r="D125" s="258">
        <v>0</v>
      </c>
      <c r="E125" s="313">
        <v>0</v>
      </c>
      <c r="F125" s="258">
        <v>2450616879.6589165</v>
      </c>
      <c r="G125" s="313">
        <v>0</v>
      </c>
      <c r="H125" s="313">
        <v>1531210585.2029994</v>
      </c>
      <c r="I125" s="258">
        <v>0</v>
      </c>
      <c r="J125" s="313"/>
    </row>
    <row r="126" spans="1:10">
      <c r="A126" s="257" t="s">
        <v>513</v>
      </c>
      <c r="B126" s="312">
        <v>0</v>
      </c>
      <c r="C126" s="313">
        <v>0</v>
      </c>
      <c r="D126" s="258">
        <v>0</v>
      </c>
      <c r="E126" s="313">
        <v>0</v>
      </c>
      <c r="F126" s="258">
        <v>2781184720.7542343</v>
      </c>
      <c r="G126" s="313">
        <v>0</v>
      </c>
      <c r="H126" s="313">
        <v>1962794644.0920985</v>
      </c>
      <c r="I126" s="258">
        <v>2065790674.7799973</v>
      </c>
      <c r="J126" s="313"/>
    </row>
    <row r="127" spans="1:10">
      <c r="A127" s="257" t="s">
        <v>520</v>
      </c>
      <c r="B127" s="312">
        <v>0</v>
      </c>
      <c r="C127" s="313">
        <v>0</v>
      </c>
      <c r="D127" s="258">
        <v>0</v>
      </c>
      <c r="E127" s="313">
        <v>0</v>
      </c>
      <c r="F127" s="258">
        <v>4892838024.1630163</v>
      </c>
      <c r="G127" s="313">
        <v>0</v>
      </c>
      <c r="H127" s="313">
        <v>3075762001.4004006</v>
      </c>
      <c r="I127" s="258">
        <v>6441328980.5292301</v>
      </c>
      <c r="J127" s="313"/>
    </row>
    <row r="128" spans="1:10">
      <c r="A128" s="256" t="s">
        <v>514</v>
      </c>
      <c r="B128" s="312">
        <v>0</v>
      </c>
      <c r="C128" s="313">
        <v>0</v>
      </c>
      <c r="D128" s="258">
        <v>0</v>
      </c>
      <c r="E128" s="313">
        <v>0</v>
      </c>
      <c r="F128" s="258">
        <v>11970281882.828491</v>
      </c>
      <c r="G128" s="313">
        <v>0</v>
      </c>
      <c r="H128" s="313">
        <v>7349669657.1181011</v>
      </c>
      <c r="I128" s="258">
        <v>16601843347.428873</v>
      </c>
      <c r="J128" s="313"/>
    </row>
    <row r="129" spans="1:10">
      <c r="A129" s="257" t="s">
        <v>523</v>
      </c>
      <c r="B129" s="312">
        <v>0</v>
      </c>
      <c r="C129" s="313">
        <v>0</v>
      </c>
      <c r="D129" s="258">
        <v>0</v>
      </c>
      <c r="E129" s="313">
        <v>0</v>
      </c>
      <c r="F129" s="258">
        <v>3381141037.9078832</v>
      </c>
      <c r="G129" s="313">
        <v>0</v>
      </c>
      <c r="H129" s="313">
        <v>1939386529.0318999</v>
      </c>
      <c r="I129" s="258">
        <v>1264255297.0799983</v>
      </c>
      <c r="J129" s="313"/>
    </row>
    <row r="130" spans="1:10">
      <c r="A130" s="257" t="s">
        <v>516</v>
      </c>
      <c r="B130" s="312">
        <v>0</v>
      </c>
      <c r="C130" s="313">
        <v>0</v>
      </c>
      <c r="D130" s="258">
        <v>0</v>
      </c>
      <c r="E130" s="313">
        <v>0</v>
      </c>
      <c r="F130" s="258">
        <v>3148648785.0299025</v>
      </c>
      <c r="G130" s="313">
        <v>0</v>
      </c>
      <c r="H130" s="313">
        <v>2055279410.4544001</v>
      </c>
      <c r="I130" s="258">
        <v>8562904904.0596447</v>
      </c>
      <c r="J130" s="313"/>
    </row>
    <row r="131" spans="1:10">
      <c r="A131" s="257" t="s">
        <v>521</v>
      </c>
      <c r="B131" s="312">
        <v>0</v>
      </c>
      <c r="C131" s="313">
        <v>0</v>
      </c>
      <c r="D131" s="258">
        <v>0</v>
      </c>
      <c r="E131" s="313">
        <v>0</v>
      </c>
      <c r="F131" s="258">
        <v>2850462000.3052983</v>
      </c>
      <c r="G131" s="313">
        <v>0</v>
      </c>
      <c r="H131" s="313">
        <v>1623967736.4703002</v>
      </c>
      <c r="I131" s="258">
        <v>333354165.76000047</v>
      </c>
      <c r="J131" s="313"/>
    </row>
    <row r="132" spans="1:10">
      <c r="A132" s="257" t="s">
        <v>515</v>
      </c>
      <c r="B132" s="312">
        <v>0</v>
      </c>
      <c r="C132" s="313">
        <v>0</v>
      </c>
      <c r="D132" s="258">
        <v>0</v>
      </c>
      <c r="E132" s="313">
        <v>0</v>
      </c>
      <c r="F132" s="258">
        <v>2590030059.5854063</v>
      </c>
      <c r="G132" s="313">
        <v>0</v>
      </c>
      <c r="H132" s="313">
        <v>1731035981.1615009</v>
      </c>
      <c r="I132" s="258">
        <v>6441328980.5292301</v>
      </c>
      <c r="J132" s="313"/>
    </row>
    <row r="133" spans="1:10">
      <c r="A133" s="255" t="s">
        <v>579</v>
      </c>
      <c r="B133" s="312"/>
      <c r="C133" s="313"/>
      <c r="D133" s="258"/>
      <c r="E133" s="313"/>
      <c r="F133" s="258"/>
      <c r="G133" s="313"/>
      <c r="H133" s="313"/>
      <c r="I133" s="258"/>
      <c r="J133" s="313"/>
    </row>
    <row r="134" spans="1:10">
      <c r="A134" s="256" t="s">
        <v>579</v>
      </c>
      <c r="B134" s="312"/>
      <c r="C134" s="313"/>
      <c r="D134" s="258"/>
      <c r="E134" s="313"/>
      <c r="F134" s="258"/>
      <c r="G134" s="313"/>
      <c r="H134" s="313"/>
      <c r="I134" s="258"/>
      <c r="J134" s="313"/>
    </row>
    <row r="135" spans="1:10" ht="15" thickBot="1">
      <c r="A135" s="257" t="s">
        <v>579</v>
      </c>
      <c r="B135" s="312"/>
      <c r="C135" s="313"/>
      <c r="D135" s="258"/>
      <c r="E135" s="313"/>
      <c r="F135" s="258"/>
      <c r="G135" s="313"/>
      <c r="H135" s="313"/>
      <c r="I135" s="258"/>
      <c r="J135" s="313"/>
    </row>
    <row r="136" spans="1:10" ht="15" thickBot="1">
      <c r="A136" s="255" t="s">
        <v>577</v>
      </c>
      <c r="B136" s="314">
        <v>17482359849.43354</v>
      </c>
      <c r="C136" s="315">
        <v>6088817900.119998</v>
      </c>
      <c r="D136" s="324">
        <v>4609372104.1000023</v>
      </c>
      <c r="E136" s="315">
        <v>11338260264.09</v>
      </c>
      <c r="F136" s="324">
        <v>98397753343.214249</v>
      </c>
      <c r="G136" s="315">
        <v>10869918874.99262</v>
      </c>
      <c r="H136" s="315">
        <v>63037052086.924232</v>
      </c>
      <c r="I136" s="324">
        <v>82108980244.304977</v>
      </c>
      <c r="J136" s="315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4.45" outlineLevelRow="2" outlineLevelCol="1"/>
  <cols>
    <col min="2" max="2" width="48.28515625" bestFit="1" customWidth="1"/>
    <col min="3" max="3" width="9.28515625" style="266" bestFit="1" customWidth="1"/>
    <col min="4" max="4" width="10.140625" style="266" bestFit="1" customWidth="1"/>
    <col min="5" max="5" width="14.42578125" style="266" bestFit="1" customWidth="1"/>
    <col min="6" max="6" width="13.42578125" style="266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57.6">
      <c r="B2" s="262" t="s">
        <v>580</v>
      </c>
      <c r="C2" s="262" t="s">
        <v>581</v>
      </c>
      <c r="D2" s="262" t="s">
        <v>582</v>
      </c>
      <c r="E2" s="262" t="s">
        <v>583</v>
      </c>
      <c r="F2" s="262" t="s">
        <v>584</v>
      </c>
      <c r="G2" s="262" t="s">
        <v>585</v>
      </c>
      <c r="H2" s="262" t="s">
        <v>295</v>
      </c>
      <c r="I2" s="262" t="s">
        <v>299</v>
      </c>
      <c r="J2" s="262" t="s">
        <v>300</v>
      </c>
      <c r="K2" s="262" t="s">
        <v>301</v>
      </c>
      <c r="L2" s="262" t="s">
        <v>303</v>
      </c>
      <c r="M2" s="262" t="s">
        <v>304</v>
      </c>
      <c r="N2" s="262" t="s">
        <v>305</v>
      </c>
      <c r="O2" s="262" t="s">
        <v>306</v>
      </c>
    </row>
    <row r="3" spans="2:18">
      <c r="B3" s="260" t="s">
        <v>391</v>
      </c>
      <c r="C3" s="263">
        <f>3+SUM(C4:C8)+1</f>
        <v>9</v>
      </c>
      <c r="D3" s="263">
        <f>C3+SUM(D4:D8)+1</f>
        <v>31</v>
      </c>
      <c r="E3" s="267">
        <f>F3+G3</f>
        <v>30531.489200121774</v>
      </c>
      <c r="F3" s="267">
        <f>H3+I3+J3+K3</f>
        <v>10895.27596530019</v>
      </c>
      <c r="G3" s="340">
        <v>19636.213234821586</v>
      </c>
      <c r="H3" s="340">
        <v>7795.9990057501946</v>
      </c>
      <c r="I3" s="340">
        <v>1421.463026709999</v>
      </c>
      <c r="J3" s="340">
        <v>577.84806899999819</v>
      </c>
      <c r="K3" s="340">
        <v>1099.9658638399994</v>
      </c>
      <c r="L3" s="340">
        <v>2478.7238447799964</v>
      </c>
      <c r="M3" s="340">
        <v>12273.121311639599</v>
      </c>
      <c r="N3" s="340">
        <v>19986.538145539384</v>
      </c>
      <c r="O3" s="340">
        <v>229.76445055999989</v>
      </c>
      <c r="R3" s="346"/>
    </row>
    <row r="4" spans="2:18" hidden="1" outlineLevel="1">
      <c r="B4" s="261" t="s">
        <v>395</v>
      </c>
      <c r="C4" s="216">
        <v>1</v>
      </c>
      <c r="D4" s="216">
        <v>5</v>
      </c>
      <c r="E4" s="268">
        <f t="shared" ref="E4:E35" si="0">F4+G4</f>
        <v>1553.8698499799982</v>
      </c>
      <c r="F4" s="268">
        <f t="shared" ref="F4:F35" si="1">H4+I4+J4+K4</f>
        <v>1553.8698499799982</v>
      </c>
      <c r="G4" s="339">
        <v>0</v>
      </c>
      <c r="H4" s="339">
        <v>0</v>
      </c>
      <c r="I4" s="339">
        <v>578.90279447</v>
      </c>
      <c r="J4" s="339">
        <v>399.9251103599982</v>
      </c>
      <c r="K4" s="339">
        <v>575.04194514999995</v>
      </c>
      <c r="L4" s="339">
        <v>946.13269909000314</v>
      </c>
      <c r="M4" s="339">
        <v>347.87941717230007</v>
      </c>
      <c r="N4" s="339">
        <v>0</v>
      </c>
      <c r="O4" s="339">
        <v>119.69833200999993</v>
      </c>
    </row>
    <row r="5" spans="2:18" hidden="1" outlineLevel="1">
      <c r="B5" s="261" t="s">
        <v>400</v>
      </c>
      <c r="C5" s="216">
        <v>1</v>
      </c>
      <c r="D5" s="216">
        <v>3</v>
      </c>
      <c r="E5" s="268">
        <f t="shared" si="0"/>
        <v>3231.5197725089533</v>
      </c>
      <c r="F5" s="268">
        <f t="shared" si="1"/>
        <v>987.50686609000059</v>
      </c>
      <c r="G5" s="339">
        <v>2244.0129064189528</v>
      </c>
      <c r="H5" s="339">
        <v>0</v>
      </c>
      <c r="I5" s="339">
        <v>533.97052006000104</v>
      </c>
      <c r="J5" s="339">
        <v>7.8141784400000001</v>
      </c>
      <c r="K5" s="339">
        <v>445.72216758999963</v>
      </c>
      <c r="L5" s="339">
        <v>464.16744719999951</v>
      </c>
      <c r="M5" s="339">
        <v>1373.3031558077007</v>
      </c>
      <c r="N5" s="339">
        <v>99.474719699999994</v>
      </c>
      <c r="O5" s="339">
        <v>25.730178769999995</v>
      </c>
    </row>
    <row r="6" spans="2:18" hidden="1" outlineLevel="1">
      <c r="B6" s="261" t="s">
        <v>392</v>
      </c>
      <c r="C6" s="216">
        <v>1</v>
      </c>
      <c r="D6" s="216">
        <v>5</v>
      </c>
      <c r="E6" s="268">
        <f t="shared" si="0"/>
        <v>8566.796816606362</v>
      </c>
      <c r="F6" s="268">
        <f t="shared" si="1"/>
        <v>8270.9273328201925</v>
      </c>
      <c r="G6" s="339">
        <v>295.86948378616916</v>
      </c>
      <c r="H6" s="339">
        <v>7795.9990057501946</v>
      </c>
      <c r="I6" s="339">
        <v>294.47102413999795</v>
      </c>
      <c r="J6" s="339">
        <v>123.02628884999999</v>
      </c>
      <c r="K6" s="339">
        <v>57.431014080000011</v>
      </c>
      <c r="L6" s="339">
        <v>1068.4236984899937</v>
      </c>
      <c r="M6" s="339">
        <v>850.82596194839903</v>
      </c>
      <c r="N6" s="339">
        <v>0</v>
      </c>
      <c r="O6" s="339">
        <v>82.338081789999947</v>
      </c>
    </row>
    <row r="7" spans="2:18" hidden="1" outlineLevel="1">
      <c r="B7" s="261" t="s">
        <v>406</v>
      </c>
      <c r="C7" s="216">
        <v>1</v>
      </c>
      <c r="D7" s="216">
        <v>4</v>
      </c>
      <c r="E7" s="268">
        <f t="shared" si="0"/>
        <v>8359.3342845734132</v>
      </c>
      <c r="F7" s="268">
        <f t="shared" si="1"/>
        <v>0</v>
      </c>
      <c r="G7" s="339">
        <v>8359.3342845734132</v>
      </c>
      <c r="H7" s="339">
        <v>0</v>
      </c>
      <c r="I7" s="339">
        <v>0</v>
      </c>
      <c r="J7" s="339">
        <v>0</v>
      </c>
      <c r="K7" s="339">
        <v>0</v>
      </c>
      <c r="L7" s="339">
        <v>0</v>
      </c>
      <c r="M7" s="339">
        <v>4794.1233075853006</v>
      </c>
      <c r="N7" s="339">
        <v>14309.051815629386</v>
      </c>
      <c r="O7" s="339">
        <v>0</v>
      </c>
    </row>
    <row r="8" spans="2:18" hidden="1" outlineLevel="1">
      <c r="B8" s="261" t="s">
        <v>404</v>
      </c>
      <c r="C8" s="216">
        <v>1</v>
      </c>
      <c r="D8" s="216">
        <v>4</v>
      </c>
      <c r="E8" s="268">
        <f t="shared" si="0"/>
        <v>8819.9684764530521</v>
      </c>
      <c r="F8" s="268">
        <f t="shared" si="1"/>
        <v>82.971916409999992</v>
      </c>
      <c r="G8" s="339">
        <v>8736.9965600430514</v>
      </c>
      <c r="H8" s="339">
        <v>0</v>
      </c>
      <c r="I8" s="339">
        <v>14.118688039999999</v>
      </c>
      <c r="J8" s="339">
        <v>47.082491349999991</v>
      </c>
      <c r="K8" s="339">
        <v>21.770737020000002</v>
      </c>
      <c r="L8" s="339">
        <v>0</v>
      </c>
      <c r="M8" s="339">
        <v>4906.9894691258996</v>
      </c>
      <c r="N8" s="339">
        <v>5578.0116102099983</v>
      </c>
      <c r="O8" s="339">
        <v>1.99785799</v>
      </c>
    </row>
    <row r="9" spans="2:18" collapsed="1">
      <c r="B9" s="260" t="s">
        <v>566</v>
      </c>
      <c r="C9" s="263">
        <f>3+SUM(C10:C14)</f>
        <v>8</v>
      </c>
      <c r="D9" s="263">
        <f>C9+SUM(D10:D14)+1</f>
        <v>27</v>
      </c>
      <c r="E9" s="267">
        <f t="shared" si="0"/>
        <v>32945.039675367836</v>
      </c>
      <c r="F9" s="267">
        <f t="shared" si="1"/>
        <v>5457.2529747800145</v>
      </c>
      <c r="G9" s="340">
        <v>27487.786700587818</v>
      </c>
      <c r="H9" s="340">
        <v>3662.564846030014</v>
      </c>
      <c r="I9" s="340">
        <v>173.16369879999999</v>
      </c>
      <c r="J9" s="340">
        <v>213.51334866999997</v>
      </c>
      <c r="K9" s="340">
        <v>1408.0110812800001</v>
      </c>
      <c r="L9" s="340">
        <v>1234.3652387949999</v>
      </c>
      <c r="M9" s="340">
        <v>15542.800757655601</v>
      </c>
      <c r="N9" s="340">
        <v>18132.457968977826</v>
      </c>
      <c r="O9" s="340">
        <v>0</v>
      </c>
    </row>
    <row r="10" spans="2:18" hidden="1" outlineLevel="1">
      <c r="B10" s="261" t="s">
        <v>328</v>
      </c>
      <c r="C10" s="216">
        <v>1</v>
      </c>
      <c r="D10" s="216">
        <v>2</v>
      </c>
      <c r="E10" s="268">
        <f t="shared" si="0"/>
        <v>870.08585702000005</v>
      </c>
      <c r="F10" s="268">
        <f t="shared" si="1"/>
        <v>870.08585702000005</v>
      </c>
      <c r="G10" s="339">
        <v>0</v>
      </c>
      <c r="H10" s="339">
        <v>75.907049919999992</v>
      </c>
      <c r="I10" s="339">
        <v>107.33266947</v>
      </c>
      <c r="J10" s="339">
        <v>122.43241521999997</v>
      </c>
      <c r="K10" s="339">
        <v>564.4137224100001</v>
      </c>
      <c r="L10" s="339">
        <v>57.874596949999876</v>
      </c>
      <c r="M10" s="339">
        <v>3.2087243721000003</v>
      </c>
      <c r="N10" s="339">
        <v>0</v>
      </c>
      <c r="O10" s="339">
        <v>0</v>
      </c>
    </row>
    <row r="11" spans="2:18" hidden="1" outlineLevel="1">
      <c r="B11" s="261" t="s">
        <v>323</v>
      </c>
      <c r="C11" s="216">
        <v>1</v>
      </c>
      <c r="D11" s="216">
        <v>4</v>
      </c>
      <c r="E11" s="268">
        <f t="shared" si="0"/>
        <v>1538.4790486999977</v>
      </c>
      <c r="F11" s="268">
        <f t="shared" si="1"/>
        <v>1538.4790486999977</v>
      </c>
      <c r="G11" s="339">
        <v>0</v>
      </c>
      <c r="H11" s="339">
        <v>537.96972704999769</v>
      </c>
      <c r="I11" s="339">
        <v>65.831029329999993</v>
      </c>
      <c r="J11" s="339">
        <v>91.080933449999975</v>
      </c>
      <c r="K11" s="339">
        <v>843.59735887000022</v>
      </c>
      <c r="L11" s="339">
        <v>1176.490641845</v>
      </c>
      <c r="M11" s="339">
        <v>0.65</v>
      </c>
      <c r="N11" s="339">
        <v>0</v>
      </c>
      <c r="O11" s="339">
        <v>0</v>
      </c>
    </row>
    <row r="12" spans="2:18" hidden="1" outlineLevel="1">
      <c r="B12" s="261" t="s">
        <v>342</v>
      </c>
      <c r="C12" s="216">
        <v>1</v>
      </c>
      <c r="D12" s="216">
        <v>3</v>
      </c>
      <c r="E12" s="268">
        <f t="shared" si="0"/>
        <v>3048.6880690600165</v>
      </c>
      <c r="F12" s="268">
        <f t="shared" si="1"/>
        <v>3048.6880690600165</v>
      </c>
      <c r="G12" s="339">
        <v>0</v>
      </c>
      <c r="H12" s="339">
        <v>3048.6880690600165</v>
      </c>
      <c r="I12" s="339">
        <v>0</v>
      </c>
      <c r="J12" s="339">
        <v>0</v>
      </c>
      <c r="K12" s="339">
        <v>0</v>
      </c>
      <c r="L12" s="339">
        <v>0</v>
      </c>
      <c r="M12" s="339">
        <v>361.01</v>
      </c>
      <c r="N12" s="339">
        <v>0</v>
      </c>
      <c r="O12" s="339">
        <v>0</v>
      </c>
    </row>
    <row r="13" spans="2:18" hidden="1" outlineLevel="1">
      <c r="B13" s="261" t="s">
        <v>367</v>
      </c>
      <c r="C13" s="216">
        <v>1</v>
      </c>
      <c r="D13" s="216">
        <v>5</v>
      </c>
      <c r="E13" s="268">
        <f t="shared" si="0"/>
        <v>15341.407347053479</v>
      </c>
      <c r="F13" s="268">
        <f t="shared" si="1"/>
        <v>0</v>
      </c>
      <c r="G13" s="339">
        <v>15341.407347053479</v>
      </c>
      <c r="H13" s="339">
        <v>0</v>
      </c>
      <c r="I13" s="339">
        <v>0</v>
      </c>
      <c r="J13" s="339">
        <v>0</v>
      </c>
      <c r="K13" s="339">
        <v>0</v>
      </c>
      <c r="L13" s="339">
        <v>0</v>
      </c>
      <c r="M13" s="339">
        <v>8867.4410380933004</v>
      </c>
      <c r="N13" s="339">
        <v>6817.7504379784077</v>
      </c>
      <c r="O13" s="339">
        <v>0</v>
      </c>
    </row>
    <row r="14" spans="2:18" hidden="1" outlineLevel="1">
      <c r="B14" s="261" t="s">
        <v>369</v>
      </c>
      <c r="C14" s="216">
        <v>1</v>
      </c>
      <c r="D14" s="216">
        <v>4</v>
      </c>
      <c r="E14" s="268">
        <f t="shared" si="0"/>
        <v>12146.379353534339</v>
      </c>
      <c r="F14" s="268">
        <f t="shared" si="1"/>
        <v>0</v>
      </c>
      <c r="G14" s="339">
        <v>12146.379353534339</v>
      </c>
      <c r="H14" s="339">
        <v>0</v>
      </c>
      <c r="I14" s="339">
        <v>0</v>
      </c>
      <c r="J14" s="339">
        <v>0</v>
      </c>
      <c r="K14" s="339">
        <v>0</v>
      </c>
      <c r="L14" s="339">
        <v>0</v>
      </c>
      <c r="M14" s="339">
        <v>6310.4909951902</v>
      </c>
      <c r="N14" s="339">
        <v>11314.707530999416</v>
      </c>
      <c r="O14" s="339">
        <v>0</v>
      </c>
    </row>
    <row r="15" spans="2:18" collapsed="1">
      <c r="B15" s="260" t="s">
        <v>531</v>
      </c>
      <c r="C15" s="263">
        <f>3+SUM(C16:C19)</f>
        <v>7</v>
      </c>
      <c r="D15" s="263">
        <f>C15+SUM(D16:D19)+1</f>
        <v>22</v>
      </c>
      <c r="E15" s="267">
        <f t="shared" si="0"/>
        <v>22134.897029869255</v>
      </c>
      <c r="F15" s="267">
        <f t="shared" si="1"/>
        <v>5095.6606410700006</v>
      </c>
      <c r="G15" s="340">
        <v>17039.236388799254</v>
      </c>
      <c r="H15" s="340">
        <v>1396.6687616800002</v>
      </c>
      <c r="I15" s="340">
        <v>710.29184913999995</v>
      </c>
      <c r="J15" s="340">
        <v>1379.57056158</v>
      </c>
      <c r="K15" s="340">
        <v>1609.1294686700001</v>
      </c>
      <c r="L15" s="340">
        <v>30.151158260957615</v>
      </c>
      <c r="M15" s="340">
        <v>11916.8986853228</v>
      </c>
      <c r="N15" s="340">
        <v>17894.758836269666</v>
      </c>
      <c r="O15" s="340">
        <v>0</v>
      </c>
    </row>
    <row r="16" spans="2:18" hidden="1" outlineLevel="1">
      <c r="B16" s="261" t="s">
        <v>532</v>
      </c>
      <c r="C16" s="216">
        <v>1</v>
      </c>
      <c r="D16" s="216">
        <v>3</v>
      </c>
      <c r="E16" s="268">
        <f t="shared" si="0"/>
        <v>2205.5616479200003</v>
      </c>
      <c r="F16" s="268">
        <f t="shared" si="1"/>
        <v>2205.5616479200003</v>
      </c>
      <c r="G16" s="339">
        <v>0</v>
      </c>
      <c r="H16" s="339">
        <v>390.49090773000012</v>
      </c>
      <c r="I16" s="339">
        <v>31.784312930000041</v>
      </c>
      <c r="J16" s="339">
        <v>807.06392650999999</v>
      </c>
      <c r="K16" s="339">
        <v>976.22250074999999</v>
      </c>
      <c r="L16" s="339">
        <v>0</v>
      </c>
      <c r="M16" s="339">
        <v>1.1193</v>
      </c>
      <c r="N16" s="339">
        <v>0</v>
      </c>
      <c r="O16" s="339">
        <v>0</v>
      </c>
    </row>
    <row r="17" spans="2:15" hidden="1" outlineLevel="1">
      <c r="B17" s="261" t="s">
        <v>534</v>
      </c>
      <c r="C17" s="216">
        <v>1</v>
      </c>
      <c r="D17" s="216">
        <v>4</v>
      </c>
      <c r="E17" s="268">
        <f t="shared" si="0"/>
        <v>2890.0989931500003</v>
      </c>
      <c r="F17" s="268">
        <f t="shared" si="1"/>
        <v>2890.0989931500003</v>
      </c>
      <c r="G17" s="339">
        <v>0</v>
      </c>
      <c r="H17" s="339">
        <v>1006.1778539500002</v>
      </c>
      <c r="I17" s="339">
        <v>678.5075362099999</v>
      </c>
      <c r="J17" s="339">
        <v>572.50663506999979</v>
      </c>
      <c r="K17" s="339">
        <v>632.90696792000006</v>
      </c>
      <c r="L17" s="339">
        <v>0</v>
      </c>
      <c r="M17" s="339">
        <v>533.285680447</v>
      </c>
      <c r="N17" s="339">
        <v>0</v>
      </c>
      <c r="O17" s="339">
        <v>0</v>
      </c>
    </row>
    <row r="18" spans="2:15" hidden="1" outlineLevel="1">
      <c r="B18" s="261" t="s">
        <v>557</v>
      </c>
      <c r="C18" s="216">
        <v>1</v>
      </c>
      <c r="D18" s="216">
        <v>4</v>
      </c>
      <c r="E18" s="268">
        <f t="shared" si="0"/>
        <v>9219.4500760850515</v>
      </c>
      <c r="F18" s="268">
        <f t="shared" si="1"/>
        <v>0</v>
      </c>
      <c r="G18" s="339">
        <v>9219.4500760850515</v>
      </c>
      <c r="H18" s="339">
        <v>0</v>
      </c>
      <c r="I18" s="339">
        <v>0</v>
      </c>
      <c r="J18" s="339">
        <v>0</v>
      </c>
      <c r="K18" s="339">
        <v>0</v>
      </c>
      <c r="L18" s="339">
        <v>27.130505840957614</v>
      </c>
      <c r="M18" s="339">
        <v>5762.5538821981008</v>
      </c>
      <c r="N18" s="339">
        <v>1239.276737919979</v>
      </c>
      <c r="O18" s="339">
        <v>0</v>
      </c>
    </row>
    <row r="19" spans="2:15" hidden="1" outlineLevel="1">
      <c r="B19" s="261" t="s">
        <v>561</v>
      </c>
      <c r="C19" s="216">
        <v>1</v>
      </c>
      <c r="D19" s="216">
        <v>3</v>
      </c>
      <c r="E19" s="268">
        <f t="shared" si="0"/>
        <v>7819.7863127142036</v>
      </c>
      <c r="F19" s="268">
        <f t="shared" si="1"/>
        <v>0</v>
      </c>
      <c r="G19" s="339">
        <v>7819.7863127142036</v>
      </c>
      <c r="H19" s="339">
        <v>0</v>
      </c>
      <c r="I19" s="339">
        <v>0</v>
      </c>
      <c r="J19" s="339">
        <v>0</v>
      </c>
      <c r="K19" s="339">
        <v>0</v>
      </c>
      <c r="L19" s="339">
        <v>3.0206524199999998</v>
      </c>
      <c r="M19" s="339">
        <v>5619.9398226776993</v>
      </c>
      <c r="N19" s="339">
        <v>16655.482098349687</v>
      </c>
      <c r="O19" s="339">
        <v>0</v>
      </c>
    </row>
    <row r="20" spans="2:15" collapsed="1">
      <c r="B20" s="260" t="s">
        <v>494</v>
      </c>
      <c r="C20" s="263">
        <f>3+SUM(C21:C25)</f>
        <v>8</v>
      </c>
      <c r="D20" s="263">
        <f>C20+SUM(D21:D25)+1</f>
        <v>26</v>
      </c>
      <c r="E20" s="267">
        <f t="shared" si="0"/>
        <v>29988.285760598104</v>
      </c>
      <c r="F20" s="267">
        <f t="shared" si="1"/>
        <v>4863.1736128500033</v>
      </c>
      <c r="G20" s="340">
        <v>25125.112147748099</v>
      </c>
      <c r="H20" s="340">
        <v>0</v>
      </c>
      <c r="I20" s="340">
        <v>819.35425326999996</v>
      </c>
      <c r="J20" s="340">
        <v>1212.8315041000023</v>
      </c>
      <c r="K20" s="340">
        <v>2830.9878554800007</v>
      </c>
      <c r="L20" s="340">
        <v>2258.7946356799998</v>
      </c>
      <c r="M20" s="340">
        <v>15579.989592549202</v>
      </c>
      <c r="N20" s="340">
        <v>25108.963002738099</v>
      </c>
      <c r="O20" s="340">
        <v>0</v>
      </c>
    </row>
    <row r="21" spans="2:15" hidden="1" outlineLevel="1">
      <c r="B21" s="261" t="s">
        <v>495</v>
      </c>
      <c r="C21" s="216">
        <v>1</v>
      </c>
      <c r="D21" s="216">
        <v>4</v>
      </c>
      <c r="E21" s="268">
        <f t="shared" si="0"/>
        <v>4805.7731279234686</v>
      </c>
      <c r="F21" s="268">
        <f t="shared" si="1"/>
        <v>2665.1572822400021</v>
      </c>
      <c r="G21" s="339">
        <v>2140.6158456834664</v>
      </c>
      <c r="H21" s="339">
        <v>0</v>
      </c>
      <c r="I21" s="339">
        <v>261.38528133999995</v>
      </c>
      <c r="J21" s="339">
        <v>724.3178531900021</v>
      </c>
      <c r="K21" s="339">
        <v>1679.4541477100004</v>
      </c>
      <c r="L21" s="339">
        <v>1073.5733923999996</v>
      </c>
      <c r="M21" s="339">
        <v>1078.9944829924</v>
      </c>
      <c r="N21" s="339">
        <v>0</v>
      </c>
      <c r="O21" s="339">
        <v>0</v>
      </c>
    </row>
    <row r="22" spans="2:15" hidden="1" outlineLevel="1">
      <c r="B22" s="261" t="s">
        <v>500</v>
      </c>
      <c r="C22" s="216">
        <v>1</v>
      </c>
      <c r="D22" s="216">
        <v>3</v>
      </c>
      <c r="E22" s="268">
        <f t="shared" si="0"/>
        <v>1444.4096538200006</v>
      </c>
      <c r="F22" s="268">
        <f t="shared" si="1"/>
        <v>1444.4096538200006</v>
      </c>
      <c r="G22" s="339">
        <v>0</v>
      </c>
      <c r="H22" s="339">
        <v>0</v>
      </c>
      <c r="I22" s="339">
        <v>424.67587693000002</v>
      </c>
      <c r="J22" s="339">
        <v>283.75698429000033</v>
      </c>
      <c r="K22" s="339">
        <v>735.97679260000029</v>
      </c>
      <c r="L22" s="339">
        <v>1075.4139824999997</v>
      </c>
      <c r="M22" s="339">
        <v>3.7953370000000004</v>
      </c>
      <c r="N22" s="339">
        <v>0</v>
      </c>
      <c r="O22" s="339">
        <v>0</v>
      </c>
    </row>
    <row r="23" spans="2:15" hidden="1" outlineLevel="1">
      <c r="B23" s="261" t="s">
        <v>508</v>
      </c>
      <c r="C23" s="216">
        <v>1</v>
      </c>
      <c r="D23" s="216">
        <v>3</v>
      </c>
      <c r="E23" s="268">
        <f t="shared" si="0"/>
        <v>1643.1814714499783</v>
      </c>
      <c r="F23" s="268">
        <f t="shared" si="1"/>
        <v>753.60667678999994</v>
      </c>
      <c r="G23" s="339">
        <v>889.57479465997847</v>
      </c>
      <c r="H23" s="339">
        <v>0</v>
      </c>
      <c r="I23" s="339">
        <v>133.29309499999997</v>
      </c>
      <c r="J23" s="339">
        <v>204.75666661999992</v>
      </c>
      <c r="K23" s="339">
        <v>415.55691516999997</v>
      </c>
      <c r="L23" s="339">
        <v>109.80726077999999</v>
      </c>
      <c r="M23" s="339">
        <v>577.76288474320006</v>
      </c>
      <c r="N23" s="339">
        <v>0</v>
      </c>
      <c r="O23" s="339">
        <v>0</v>
      </c>
    </row>
    <row r="24" spans="2:15" hidden="1" outlineLevel="1">
      <c r="B24" s="261" t="s">
        <v>512</v>
      </c>
      <c r="C24" s="216">
        <v>1</v>
      </c>
      <c r="D24" s="216">
        <v>3</v>
      </c>
      <c r="E24" s="268">
        <f t="shared" si="0"/>
        <v>10124.639624576168</v>
      </c>
      <c r="F24" s="268">
        <f t="shared" si="1"/>
        <v>0</v>
      </c>
      <c r="G24" s="339">
        <v>10124.639624576168</v>
      </c>
      <c r="H24" s="339">
        <v>0</v>
      </c>
      <c r="I24" s="339">
        <v>0</v>
      </c>
      <c r="J24" s="339">
        <v>0</v>
      </c>
      <c r="K24" s="339">
        <v>0</v>
      </c>
      <c r="L24" s="339">
        <v>0</v>
      </c>
      <c r="M24" s="339">
        <v>6569.7672306954992</v>
      </c>
      <c r="N24" s="339">
        <v>8507.1196553092268</v>
      </c>
      <c r="O24" s="339">
        <v>0</v>
      </c>
    </row>
    <row r="25" spans="2:15" hidden="1" outlineLevel="1">
      <c r="B25" s="261" t="s">
        <v>514</v>
      </c>
      <c r="C25" s="216">
        <v>1</v>
      </c>
      <c r="D25" s="216">
        <v>4</v>
      </c>
      <c r="E25" s="268">
        <f t="shared" si="0"/>
        <v>11970.281882828489</v>
      </c>
      <c r="F25" s="268">
        <f t="shared" si="1"/>
        <v>0</v>
      </c>
      <c r="G25" s="339">
        <v>11970.281882828489</v>
      </c>
      <c r="H25" s="339">
        <v>0</v>
      </c>
      <c r="I25" s="339">
        <v>0</v>
      </c>
      <c r="J25" s="339">
        <v>0</v>
      </c>
      <c r="K25" s="339">
        <v>0</v>
      </c>
      <c r="L25" s="339">
        <v>0</v>
      </c>
      <c r="M25" s="339">
        <v>7349.6696571181028</v>
      </c>
      <c r="N25" s="339">
        <v>16601.843347428872</v>
      </c>
      <c r="O25" s="339">
        <v>0</v>
      </c>
    </row>
    <row r="26" spans="2:15" collapsed="1">
      <c r="B26" s="260" t="s">
        <v>443</v>
      </c>
      <c r="C26" s="263">
        <f>3+SUM(C27:C31)</f>
        <v>8</v>
      </c>
      <c r="D26" s="263">
        <f>C26+SUM(D27:D31)+1</f>
        <v>21</v>
      </c>
      <c r="E26" s="267">
        <f t="shared" si="0"/>
        <v>8907.9498912600011</v>
      </c>
      <c r="F26" s="267">
        <f t="shared" si="1"/>
        <v>7639.072182079999</v>
      </c>
      <c r="G26" s="340">
        <v>1268.8777091800027</v>
      </c>
      <c r="H26" s="340">
        <v>864.52190231999987</v>
      </c>
      <c r="I26" s="340">
        <v>2450.7088284699998</v>
      </c>
      <c r="J26" s="340">
        <v>836.40869887000008</v>
      </c>
      <c r="K26" s="340">
        <v>3487.4327524200003</v>
      </c>
      <c r="L26" s="340">
        <v>636.21177519999992</v>
      </c>
      <c r="M26" s="340">
        <v>855.64039110279998</v>
      </c>
      <c r="N26" s="340">
        <v>986.26229077999062</v>
      </c>
      <c r="O26" s="340">
        <v>1913.6581338300027</v>
      </c>
    </row>
    <row r="27" spans="2:15" hidden="1" outlineLevel="1">
      <c r="B27" s="261" t="s">
        <v>448</v>
      </c>
      <c r="C27" s="216">
        <v>1</v>
      </c>
      <c r="D27" s="216">
        <v>4</v>
      </c>
      <c r="E27" s="268">
        <f t="shared" si="0"/>
        <v>3056.2469241100007</v>
      </c>
      <c r="F27" s="268">
        <f t="shared" si="1"/>
        <v>2302.9212674499995</v>
      </c>
      <c r="G27" s="339">
        <v>753.3256566600013</v>
      </c>
      <c r="H27" s="339">
        <v>0</v>
      </c>
      <c r="I27" s="339">
        <v>901.71375716999989</v>
      </c>
      <c r="J27" s="339">
        <v>522.36151340000004</v>
      </c>
      <c r="K27" s="339">
        <v>878.8459968799998</v>
      </c>
      <c r="L27" s="339">
        <v>18.11060694</v>
      </c>
      <c r="M27" s="339">
        <v>586.51244633019996</v>
      </c>
      <c r="N27" s="339">
        <v>0</v>
      </c>
      <c r="O27" s="339">
        <v>0</v>
      </c>
    </row>
    <row r="28" spans="2:15" hidden="1" outlineLevel="1">
      <c r="B28" s="261" t="s">
        <v>444</v>
      </c>
      <c r="C28" s="216">
        <v>1</v>
      </c>
      <c r="D28" s="216">
        <v>4</v>
      </c>
      <c r="E28" s="268">
        <f t="shared" si="0"/>
        <v>2345.7751313300009</v>
      </c>
      <c r="F28" s="268">
        <f t="shared" si="1"/>
        <v>2031.3369777600001</v>
      </c>
      <c r="G28" s="339">
        <v>314.43815357000079</v>
      </c>
      <c r="H28" s="339">
        <v>0</v>
      </c>
      <c r="I28" s="339">
        <v>713.47514595000007</v>
      </c>
      <c r="J28" s="339">
        <v>235.62862249</v>
      </c>
      <c r="K28" s="339">
        <v>1082.23320932</v>
      </c>
      <c r="L28" s="339">
        <v>257.44670998999993</v>
      </c>
      <c r="M28" s="339">
        <v>130.42390994099995</v>
      </c>
      <c r="N28" s="339">
        <v>0</v>
      </c>
      <c r="O28" s="339">
        <v>0</v>
      </c>
    </row>
    <row r="29" spans="2:15" hidden="1" outlineLevel="1">
      <c r="B29" s="261" t="s">
        <v>458</v>
      </c>
      <c r="C29" s="216">
        <v>1</v>
      </c>
      <c r="D29" s="216">
        <v>4</v>
      </c>
      <c r="E29" s="268">
        <f t="shared" si="0"/>
        <v>2641.4059335000002</v>
      </c>
      <c r="F29" s="268">
        <f t="shared" si="1"/>
        <v>2440.2920345499997</v>
      </c>
      <c r="G29" s="339">
        <v>201.11389895000065</v>
      </c>
      <c r="H29" s="339">
        <v>0</v>
      </c>
      <c r="I29" s="339">
        <v>835.51992534999988</v>
      </c>
      <c r="J29" s="339">
        <v>78.418562980000004</v>
      </c>
      <c r="K29" s="339">
        <v>1526.35354622</v>
      </c>
      <c r="L29" s="339">
        <v>360.65445826999996</v>
      </c>
      <c r="M29" s="339">
        <v>138.70403483160004</v>
      </c>
      <c r="N29" s="339">
        <v>986.26229077999062</v>
      </c>
      <c r="O29" s="339">
        <v>0</v>
      </c>
    </row>
    <row r="30" spans="2:15" hidden="1" outlineLevel="1">
      <c r="B30" s="261" t="s">
        <v>452</v>
      </c>
      <c r="C30" s="216">
        <v>1</v>
      </c>
      <c r="D30" s="216">
        <v>0</v>
      </c>
      <c r="E30" s="268">
        <f t="shared" si="0"/>
        <v>0</v>
      </c>
      <c r="F30" s="268">
        <f t="shared" si="1"/>
        <v>0</v>
      </c>
      <c r="G30" s="339">
        <v>0</v>
      </c>
      <c r="H30" s="339">
        <v>0</v>
      </c>
      <c r="I30" s="339">
        <v>0</v>
      </c>
      <c r="J30" s="339">
        <v>0</v>
      </c>
      <c r="K30" s="339">
        <v>0</v>
      </c>
      <c r="L30" s="339">
        <v>0</v>
      </c>
      <c r="M30" s="339">
        <v>0</v>
      </c>
      <c r="N30" s="339">
        <v>0</v>
      </c>
      <c r="O30" s="339">
        <v>1485.79293396</v>
      </c>
    </row>
    <row r="31" spans="2:15" hidden="1" outlineLevel="1">
      <c r="B31" s="261" t="s">
        <v>467</v>
      </c>
      <c r="C31" s="216">
        <v>1</v>
      </c>
      <c r="D31" s="216">
        <v>0</v>
      </c>
      <c r="E31" s="268">
        <f t="shared" si="0"/>
        <v>864.52190231999987</v>
      </c>
      <c r="F31" s="268">
        <f t="shared" si="1"/>
        <v>864.52190231999987</v>
      </c>
      <c r="G31" s="339">
        <v>0</v>
      </c>
      <c r="H31" s="339">
        <v>864.52190231999987</v>
      </c>
      <c r="I31" s="339">
        <v>0</v>
      </c>
      <c r="J31" s="339">
        <v>0</v>
      </c>
      <c r="K31" s="339">
        <v>0</v>
      </c>
      <c r="L31" s="339">
        <v>0</v>
      </c>
      <c r="M31" s="339">
        <v>0</v>
      </c>
      <c r="N31" s="339">
        <v>0</v>
      </c>
      <c r="O31" s="339">
        <v>427.86519987000287</v>
      </c>
    </row>
    <row r="32" spans="2:15" collapsed="1">
      <c r="B32" s="260" t="s">
        <v>469</v>
      </c>
      <c r="C32" s="263">
        <f>3+SUM(C33:C35)</f>
        <v>6</v>
      </c>
      <c r="D32" s="263">
        <f>C32+SUM(D33:D35)+1</f>
        <v>19</v>
      </c>
      <c r="E32" s="267">
        <f t="shared" si="0"/>
        <v>13408.901903740845</v>
      </c>
      <c r="F32" s="267">
        <f t="shared" si="1"/>
        <v>5568.3747416633369</v>
      </c>
      <c r="G32" s="340">
        <v>7840.5271620775084</v>
      </c>
      <c r="H32" s="340">
        <v>3762.6053336533359</v>
      </c>
      <c r="I32" s="340">
        <v>513.83624372999998</v>
      </c>
      <c r="J32" s="340">
        <v>389.19992187999992</v>
      </c>
      <c r="K32" s="340">
        <v>902.73324240000034</v>
      </c>
      <c r="L32" s="340">
        <v>4231.6722222766666</v>
      </c>
      <c r="M32" s="340">
        <v>6868.6013486542224</v>
      </c>
      <c r="N32" s="340">
        <v>0</v>
      </c>
      <c r="O32" s="340">
        <v>0</v>
      </c>
    </row>
    <row r="33" spans="2:15" hidden="1" outlineLevel="1">
      <c r="B33" s="261" t="s">
        <v>486</v>
      </c>
      <c r="C33" s="216">
        <v>1</v>
      </c>
      <c r="D33" s="216">
        <v>4</v>
      </c>
      <c r="E33" s="268">
        <f t="shared" si="0"/>
        <v>1547.8880894200004</v>
      </c>
      <c r="F33" s="268">
        <f t="shared" si="1"/>
        <v>1547.8880894200004</v>
      </c>
      <c r="G33" s="339">
        <v>0</v>
      </c>
      <c r="H33" s="339">
        <v>0</v>
      </c>
      <c r="I33" s="339">
        <v>513.83624372999998</v>
      </c>
      <c r="J33" s="339">
        <v>131.31860329000008</v>
      </c>
      <c r="K33" s="339">
        <v>902.73324240000034</v>
      </c>
      <c r="L33" s="339">
        <v>0</v>
      </c>
      <c r="M33" s="339">
        <v>0</v>
      </c>
      <c r="N33" s="339">
        <v>0</v>
      </c>
      <c r="O33" s="339">
        <v>0</v>
      </c>
    </row>
    <row r="34" spans="2:15" hidden="1" outlineLevel="1">
      <c r="B34" s="261" t="s">
        <v>474</v>
      </c>
      <c r="C34" s="216">
        <v>1</v>
      </c>
      <c r="D34" s="216">
        <v>4</v>
      </c>
      <c r="E34" s="268">
        <f t="shared" si="0"/>
        <v>4020.4866522433358</v>
      </c>
      <c r="F34" s="268">
        <f t="shared" si="1"/>
        <v>4020.4866522433358</v>
      </c>
      <c r="G34" s="339">
        <v>0</v>
      </c>
      <c r="H34" s="339">
        <v>3762.6053336533359</v>
      </c>
      <c r="I34" s="339">
        <v>0</v>
      </c>
      <c r="J34" s="339">
        <v>257.88131858999986</v>
      </c>
      <c r="K34" s="339">
        <v>0</v>
      </c>
      <c r="L34" s="339">
        <v>257.88131858999986</v>
      </c>
      <c r="M34" s="339">
        <v>0</v>
      </c>
      <c r="N34" s="339">
        <v>0</v>
      </c>
      <c r="O34" s="339">
        <v>0</v>
      </c>
    </row>
    <row r="35" spans="2:15" hidden="1" outlineLevel="1">
      <c r="B35" s="261" t="s">
        <v>470</v>
      </c>
      <c r="C35" s="216">
        <v>1</v>
      </c>
      <c r="D35" s="216">
        <v>4</v>
      </c>
      <c r="E35" s="268">
        <f t="shared" si="0"/>
        <v>7840.5271620775084</v>
      </c>
      <c r="F35" s="268">
        <f t="shared" si="1"/>
        <v>0</v>
      </c>
      <c r="G35" s="339">
        <v>7840.5271620775084</v>
      </c>
      <c r="H35" s="339">
        <v>0</v>
      </c>
      <c r="I35" s="339">
        <v>0</v>
      </c>
      <c r="J35" s="339">
        <v>0</v>
      </c>
      <c r="K35" s="339">
        <v>0</v>
      </c>
      <c r="L35" s="339">
        <v>3973.7909036866663</v>
      </c>
      <c r="M35" s="339">
        <v>6868.6013486542224</v>
      </c>
      <c r="N35" s="339">
        <v>0</v>
      </c>
      <c r="O35" s="339">
        <v>0</v>
      </c>
    </row>
    <row r="36" spans="2:15" collapsed="1">
      <c r="D36" s="500">
        <f>D3+D9+D15+D20+D26+D32</f>
        <v>146</v>
      </c>
      <c r="E36" s="500">
        <f t="shared" ref="E36:O36" si="2">E3+E9+E15+E20+E26+E32</f>
        <v>137916.56346095781</v>
      </c>
      <c r="F36" s="500">
        <f t="shared" si="2"/>
        <v>39518.810117743538</v>
      </c>
      <c r="G36" s="500">
        <f t="shared" si="2"/>
        <v>98397.753343214266</v>
      </c>
      <c r="H36" s="500">
        <f t="shared" si="2"/>
        <v>17482.359849433546</v>
      </c>
      <c r="I36" s="500">
        <f t="shared" si="2"/>
        <v>6088.8179001199987</v>
      </c>
      <c r="J36" s="500">
        <f t="shared" si="2"/>
        <v>4609.3721041000008</v>
      </c>
      <c r="K36" s="500">
        <f t="shared" si="2"/>
        <v>11338.26026409</v>
      </c>
      <c r="L36" s="500">
        <f t="shared" si="2"/>
        <v>10869.918874992622</v>
      </c>
      <c r="M36" s="500">
        <f t="shared" si="2"/>
        <v>63037.052086924225</v>
      </c>
      <c r="N36" s="500">
        <f t="shared" si="2"/>
        <v>82108.980244304985</v>
      </c>
      <c r="O36" s="500">
        <f t="shared" si="2"/>
        <v>2143.4225843900026</v>
      </c>
    </row>
    <row r="38" spans="2:15" s="130" customFormat="1" ht="57.6">
      <c r="B38" s="262" t="s">
        <v>586</v>
      </c>
      <c r="C38" s="262" t="s">
        <v>581</v>
      </c>
      <c r="D38" s="262" t="s">
        <v>582</v>
      </c>
      <c r="E38" s="262" t="s">
        <v>583</v>
      </c>
      <c r="F38" s="262" t="s">
        <v>584</v>
      </c>
      <c r="G38" s="262" t="s">
        <v>585</v>
      </c>
      <c r="H38" s="262" t="s">
        <v>295</v>
      </c>
      <c r="I38" s="262" t="s">
        <v>299</v>
      </c>
      <c r="J38" s="262" t="s">
        <v>300</v>
      </c>
      <c r="K38" s="262" t="s">
        <v>301</v>
      </c>
      <c r="L38" s="262" t="s">
        <v>303</v>
      </c>
      <c r="M38" s="262" t="s">
        <v>304</v>
      </c>
      <c r="N38" s="262" t="s">
        <v>305</v>
      </c>
      <c r="O38" s="262" t="s">
        <v>306</v>
      </c>
    </row>
    <row r="39" spans="2:15">
      <c r="B39" s="260" t="s">
        <v>391</v>
      </c>
      <c r="C39" s="263">
        <f>3+SUM(C40:C44)+1</f>
        <v>9</v>
      </c>
      <c r="D39" s="263">
        <f>C39+SUM(D40:D44)+1</f>
        <v>31</v>
      </c>
      <c r="E39" s="267">
        <f t="shared" ref="E39:E68" si="3">F39+G39</f>
        <v>30531.489200121774</v>
      </c>
      <c r="F39" s="267">
        <f t="shared" ref="F39:F68" si="4">H39+I39+J39+K39</f>
        <v>10895.27596530019</v>
      </c>
      <c r="G39" s="340">
        <v>19636.213234821586</v>
      </c>
      <c r="H39" s="340">
        <v>7795.9990057501946</v>
      </c>
      <c r="I39" s="340">
        <v>1421.463026709999</v>
      </c>
      <c r="J39" s="340">
        <v>577.84806899999819</v>
      </c>
      <c r="K39" s="340">
        <v>1099.9658638399994</v>
      </c>
      <c r="L39" s="340">
        <v>2478.7238447799964</v>
      </c>
      <c r="M39" s="340">
        <v>12273.121311639599</v>
      </c>
      <c r="N39" s="340">
        <v>19986.538145539384</v>
      </c>
      <c r="O39" s="340">
        <v>229.76445055999989</v>
      </c>
    </row>
    <row r="40" spans="2:15" hidden="1" outlineLevel="1">
      <c r="B40" s="261" t="s">
        <v>395</v>
      </c>
      <c r="C40" s="216">
        <v>1</v>
      </c>
      <c r="D40" s="216">
        <v>5</v>
      </c>
      <c r="E40" s="268">
        <f t="shared" si="3"/>
        <v>1553.8698499799982</v>
      </c>
      <c r="F40" s="268">
        <f t="shared" si="4"/>
        <v>1553.8698499799982</v>
      </c>
      <c r="G40" s="339">
        <v>0</v>
      </c>
      <c r="H40" s="339">
        <v>0</v>
      </c>
      <c r="I40" s="339">
        <v>578.90279447</v>
      </c>
      <c r="J40" s="339">
        <v>399.9251103599982</v>
      </c>
      <c r="K40" s="339">
        <v>575.04194514999995</v>
      </c>
      <c r="L40" s="339">
        <v>946.13269909000314</v>
      </c>
      <c r="M40" s="339">
        <v>347.87941717230007</v>
      </c>
      <c r="N40" s="339">
        <v>0</v>
      </c>
      <c r="O40" s="339">
        <v>119.69833200999993</v>
      </c>
    </row>
    <row r="41" spans="2:15" hidden="1" outlineLevel="1">
      <c r="B41" s="261" t="s">
        <v>400</v>
      </c>
      <c r="C41" s="216">
        <v>1</v>
      </c>
      <c r="D41" s="216">
        <v>3</v>
      </c>
      <c r="E41" s="268">
        <f t="shared" si="3"/>
        <v>3231.5197725089533</v>
      </c>
      <c r="F41" s="268">
        <f t="shared" si="4"/>
        <v>987.50686609000059</v>
      </c>
      <c r="G41" s="339">
        <v>2244.0129064189528</v>
      </c>
      <c r="H41" s="339">
        <v>0</v>
      </c>
      <c r="I41" s="339">
        <v>533.97052006000104</v>
      </c>
      <c r="J41" s="339">
        <v>7.8141784400000001</v>
      </c>
      <c r="K41" s="339">
        <v>445.72216758999963</v>
      </c>
      <c r="L41" s="339">
        <v>464.16744719999951</v>
      </c>
      <c r="M41" s="339">
        <v>1373.3031558077007</v>
      </c>
      <c r="N41" s="339">
        <v>99.474719699999994</v>
      </c>
      <c r="O41" s="339">
        <v>25.730178769999995</v>
      </c>
    </row>
    <row r="42" spans="2:15" hidden="1" outlineLevel="1">
      <c r="B42" s="261" t="s">
        <v>392</v>
      </c>
      <c r="C42" s="216">
        <v>1</v>
      </c>
      <c r="D42" s="216">
        <v>5</v>
      </c>
      <c r="E42" s="268">
        <f t="shared" si="3"/>
        <v>8566.796816606362</v>
      </c>
      <c r="F42" s="268">
        <f t="shared" si="4"/>
        <v>8270.9273328201925</v>
      </c>
      <c r="G42" s="339">
        <v>295.86948378616916</v>
      </c>
      <c r="H42" s="339">
        <v>7795.9990057501946</v>
      </c>
      <c r="I42" s="339">
        <v>294.47102413999795</v>
      </c>
      <c r="J42" s="339">
        <v>123.02628884999999</v>
      </c>
      <c r="K42" s="339">
        <v>57.431014080000011</v>
      </c>
      <c r="L42" s="339">
        <v>1068.4236984899937</v>
      </c>
      <c r="M42" s="339">
        <v>850.82596194839903</v>
      </c>
      <c r="N42" s="339">
        <v>0</v>
      </c>
      <c r="O42" s="339">
        <v>82.338081789999947</v>
      </c>
    </row>
    <row r="43" spans="2:15" hidden="1" outlineLevel="1">
      <c r="B43" s="261" t="s">
        <v>406</v>
      </c>
      <c r="C43" s="216">
        <v>1</v>
      </c>
      <c r="D43" s="216">
        <v>4</v>
      </c>
      <c r="E43" s="268">
        <f t="shared" si="3"/>
        <v>8359.3342845734132</v>
      </c>
      <c r="F43" s="268">
        <f t="shared" si="4"/>
        <v>0</v>
      </c>
      <c r="G43" s="339">
        <v>8359.3342845734132</v>
      </c>
      <c r="H43" s="339">
        <v>0</v>
      </c>
      <c r="I43" s="339">
        <v>0</v>
      </c>
      <c r="J43" s="339">
        <v>0</v>
      </c>
      <c r="K43" s="339">
        <v>0</v>
      </c>
      <c r="L43" s="339">
        <v>0</v>
      </c>
      <c r="M43" s="339">
        <v>4794.1233075853006</v>
      </c>
      <c r="N43" s="339">
        <v>14309.051815629386</v>
      </c>
      <c r="O43" s="339">
        <v>0</v>
      </c>
    </row>
    <row r="44" spans="2:15" hidden="1" outlineLevel="1">
      <c r="B44" s="261" t="s">
        <v>404</v>
      </c>
      <c r="C44" s="216">
        <v>1</v>
      </c>
      <c r="D44" s="216">
        <v>4</v>
      </c>
      <c r="E44" s="268">
        <f t="shared" si="3"/>
        <v>8819.9684764530521</v>
      </c>
      <c r="F44" s="268">
        <f t="shared" si="4"/>
        <v>82.971916409999992</v>
      </c>
      <c r="G44" s="339">
        <v>8736.9965600430514</v>
      </c>
      <c r="H44" s="339">
        <v>0</v>
      </c>
      <c r="I44" s="339">
        <v>14.118688039999999</v>
      </c>
      <c r="J44" s="339">
        <v>47.082491349999991</v>
      </c>
      <c r="K44" s="339">
        <v>21.770737020000002</v>
      </c>
      <c r="L44" s="339">
        <v>0</v>
      </c>
      <c r="M44" s="339">
        <v>4906.9894691258996</v>
      </c>
      <c r="N44" s="339">
        <v>5578.0116102099983</v>
      </c>
      <c r="O44" s="339">
        <v>1.99785799</v>
      </c>
    </row>
    <row r="45" spans="2:15" collapsed="1">
      <c r="B45" s="260" t="s">
        <v>566</v>
      </c>
      <c r="C45" s="263">
        <f>3+SUM(C46:C50)</f>
        <v>8</v>
      </c>
      <c r="D45" s="263">
        <f>C45+SUM(D46:D50)+1</f>
        <v>27</v>
      </c>
      <c r="E45" s="267">
        <f t="shared" si="3"/>
        <v>32945.039675367836</v>
      </c>
      <c r="F45" s="267">
        <f t="shared" si="4"/>
        <v>5457.2529747800145</v>
      </c>
      <c r="G45" s="340">
        <v>27487.786700587818</v>
      </c>
      <c r="H45" s="340">
        <v>3662.564846030014</v>
      </c>
      <c r="I45" s="340">
        <v>173.16369879999999</v>
      </c>
      <c r="J45" s="340">
        <v>213.51334866999997</v>
      </c>
      <c r="K45" s="340">
        <v>1408.0110812800001</v>
      </c>
      <c r="L45" s="340">
        <v>1234.3652387949999</v>
      </c>
      <c r="M45" s="340">
        <v>15542.800757655601</v>
      </c>
      <c r="N45" s="340">
        <v>18132.457968977826</v>
      </c>
      <c r="O45" s="340">
        <v>0</v>
      </c>
    </row>
    <row r="46" spans="2:15" hidden="1" outlineLevel="1">
      <c r="B46" s="261" t="s">
        <v>328</v>
      </c>
      <c r="C46" s="216">
        <v>1</v>
      </c>
      <c r="D46" s="216">
        <v>2</v>
      </c>
      <c r="E46" s="268">
        <f t="shared" si="3"/>
        <v>870.08585702000005</v>
      </c>
      <c r="F46" s="268">
        <f t="shared" si="4"/>
        <v>870.08585702000005</v>
      </c>
      <c r="G46" s="339">
        <v>0</v>
      </c>
      <c r="H46" s="339">
        <v>75.907049919999992</v>
      </c>
      <c r="I46" s="339">
        <v>107.33266947</v>
      </c>
      <c r="J46" s="339">
        <v>122.43241521999997</v>
      </c>
      <c r="K46" s="339">
        <v>564.4137224100001</v>
      </c>
      <c r="L46" s="339">
        <v>57.874596949999876</v>
      </c>
      <c r="M46" s="339">
        <v>3.2087243721000003</v>
      </c>
      <c r="N46" s="339">
        <v>0</v>
      </c>
      <c r="O46" s="339">
        <v>0</v>
      </c>
    </row>
    <row r="47" spans="2:15" hidden="1" outlineLevel="1">
      <c r="B47" s="261" t="s">
        <v>323</v>
      </c>
      <c r="C47" s="216">
        <v>1</v>
      </c>
      <c r="D47" s="216">
        <v>4</v>
      </c>
      <c r="E47" s="268">
        <f t="shared" si="3"/>
        <v>1538.4790486999977</v>
      </c>
      <c r="F47" s="268">
        <f t="shared" si="4"/>
        <v>1538.4790486999977</v>
      </c>
      <c r="G47" s="339">
        <v>0</v>
      </c>
      <c r="H47" s="339">
        <v>537.96972704999769</v>
      </c>
      <c r="I47" s="339">
        <v>65.831029329999993</v>
      </c>
      <c r="J47" s="339">
        <v>91.080933449999975</v>
      </c>
      <c r="K47" s="339">
        <v>843.59735887000022</v>
      </c>
      <c r="L47" s="339">
        <v>1176.490641845</v>
      </c>
      <c r="M47" s="339">
        <v>0.65</v>
      </c>
      <c r="N47" s="339">
        <v>0</v>
      </c>
      <c r="O47" s="339">
        <v>0</v>
      </c>
    </row>
    <row r="48" spans="2:15" hidden="1" outlineLevel="1">
      <c r="B48" s="261" t="s">
        <v>342</v>
      </c>
      <c r="C48" s="216">
        <v>1</v>
      </c>
      <c r="D48" s="216">
        <v>3</v>
      </c>
      <c r="E48" s="268">
        <f t="shared" si="3"/>
        <v>3048.6880690600165</v>
      </c>
      <c r="F48" s="268">
        <f t="shared" si="4"/>
        <v>3048.6880690600165</v>
      </c>
      <c r="G48" s="339">
        <v>0</v>
      </c>
      <c r="H48" s="339">
        <v>3048.6880690600165</v>
      </c>
      <c r="I48" s="339">
        <v>0</v>
      </c>
      <c r="J48" s="339">
        <v>0</v>
      </c>
      <c r="K48" s="339">
        <v>0</v>
      </c>
      <c r="L48" s="339">
        <v>0</v>
      </c>
      <c r="M48" s="339">
        <v>361.01</v>
      </c>
      <c r="N48" s="339">
        <v>0</v>
      </c>
      <c r="O48" s="339">
        <v>0</v>
      </c>
    </row>
    <row r="49" spans="2:15" hidden="1" outlineLevel="1">
      <c r="B49" s="261" t="s">
        <v>367</v>
      </c>
      <c r="C49" s="216">
        <v>1</v>
      </c>
      <c r="D49" s="216">
        <v>5</v>
      </c>
      <c r="E49" s="268">
        <f t="shared" si="3"/>
        <v>15341.407347053479</v>
      </c>
      <c r="F49" s="268">
        <f t="shared" si="4"/>
        <v>0</v>
      </c>
      <c r="G49" s="339">
        <v>15341.407347053479</v>
      </c>
      <c r="H49" s="339">
        <v>0</v>
      </c>
      <c r="I49" s="339">
        <v>0</v>
      </c>
      <c r="J49" s="339">
        <v>0</v>
      </c>
      <c r="K49" s="339">
        <v>0</v>
      </c>
      <c r="L49" s="339">
        <v>0</v>
      </c>
      <c r="M49" s="339">
        <v>8867.4410380933004</v>
      </c>
      <c r="N49" s="339">
        <v>6817.7504379784077</v>
      </c>
      <c r="O49" s="339">
        <v>0</v>
      </c>
    </row>
    <row r="50" spans="2:15" hidden="1" outlineLevel="1">
      <c r="B50" s="261" t="s">
        <v>369</v>
      </c>
      <c r="C50" s="216">
        <v>1</v>
      </c>
      <c r="D50" s="216">
        <v>4</v>
      </c>
      <c r="E50" s="268">
        <f t="shared" si="3"/>
        <v>12146.379353534339</v>
      </c>
      <c r="F50" s="268">
        <f t="shared" si="4"/>
        <v>0</v>
      </c>
      <c r="G50" s="339">
        <v>12146.379353534339</v>
      </c>
      <c r="H50" s="339">
        <v>0</v>
      </c>
      <c r="I50" s="339">
        <v>0</v>
      </c>
      <c r="J50" s="339">
        <v>0</v>
      </c>
      <c r="K50" s="339">
        <v>0</v>
      </c>
      <c r="L50" s="339">
        <v>0</v>
      </c>
      <c r="M50" s="339">
        <v>6310.4909951902</v>
      </c>
      <c r="N50" s="339">
        <v>11314.707530999416</v>
      </c>
      <c r="O50" s="339">
        <v>0</v>
      </c>
    </row>
    <row r="51" spans="2:15" collapsed="1">
      <c r="B51" s="260" t="s">
        <v>531</v>
      </c>
      <c r="C51" s="263">
        <f>3+SUM(C52:C55)</f>
        <v>7</v>
      </c>
      <c r="D51" s="263">
        <f>C51+SUM(D52:D55)+1</f>
        <v>22</v>
      </c>
      <c r="E51" s="267">
        <f t="shared" si="3"/>
        <v>22134.897029869255</v>
      </c>
      <c r="F51" s="267">
        <f t="shared" si="4"/>
        <v>5095.6606410700006</v>
      </c>
      <c r="G51" s="340">
        <v>17039.236388799254</v>
      </c>
      <c r="H51" s="340">
        <v>1396.6687616800002</v>
      </c>
      <c r="I51" s="340">
        <v>710.29184913999995</v>
      </c>
      <c r="J51" s="340">
        <v>1379.57056158</v>
      </c>
      <c r="K51" s="340">
        <v>1609.1294686700001</v>
      </c>
      <c r="L51" s="340">
        <v>30.151158260957615</v>
      </c>
      <c r="M51" s="340">
        <v>11916.8986853228</v>
      </c>
      <c r="N51" s="340">
        <v>17894.758836269666</v>
      </c>
      <c r="O51" s="340">
        <v>0</v>
      </c>
    </row>
    <row r="52" spans="2:15" hidden="1" outlineLevel="1">
      <c r="B52" s="261" t="s">
        <v>532</v>
      </c>
      <c r="C52" s="216">
        <v>1</v>
      </c>
      <c r="D52" s="216">
        <v>3</v>
      </c>
      <c r="E52" s="268">
        <f t="shared" si="3"/>
        <v>2205.5616479200003</v>
      </c>
      <c r="F52" s="268">
        <f t="shared" si="4"/>
        <v>2205.5616479200003</v>
      </c>
      <c r="G52" s="339">
        <v>0</v>
      </c>
      <c r="H52" s="339">
        <v>390.49090773000012</v>
      </c>
      <c r="I52" s="339">
        <v>31.784312930000041</v>
      </c>
      <c r="J52" s="339">
        <v>807.06392650999999</v>
      </c>
      <c r="K52" s="339">
        <v>976.22250074999999</v>
      </c>
      <c r="L52" s="339">
        <v>0</v>
      </c>
      <c r="M52" s="339">
        <v>1.1193</v>
      </c>
      <c r="N52" s="339">
        <v>0</v>
      </c>
      <c r="O52" s="339">
        <v>0</v>
      </c>
    </row>
    <row r="53" spans="2:15" hidden="1" outlineLevel="1">
      <c r="B53" s="261" t="s">
        <v>534</v>
      </c>
      <c r="C53" s="216">
        <v>1</v>
      </c>
      <c r="D53" s="216">
        <v>4</v>
      </c>
      <c r="E53" s="268">
        <f t="shared" si="3"/>
        <v>2890.0989931500003</v>
      </c>
      <c r="F53" s="268">
        <f t="shared" si="4"/>
        <v>2890.0989931500003</v>
      </c>
      <c r="G53" s="339">
        <v>0</v>
      </c>
      <c r="H53" s="339">
        <v>1006.1778539500002</v>
      </c>
      <c r="I53" s="339">
        <v>678.5075362099999</v>
      </c>
      <c r="J53" s="339">
        <v>572.50663506999979</v>
      </c>
      <c r="K53" s="339">
        <v>632.90696792000006</v>
      </c>
      <c r="L53" s="339">
        <v>0</v>
      </c>
      <c r="M53" s="339">
        <v>533.285680447</v>
      </c>
      <c r="N53" s="339">
        <v>0</v>
      </c>
      <c r="O53" s="339">
        <v>0</v>
      </c>
    </row>
    <row r="54" spans="2:15" hidden="1" outlineLevel="1">
      <c r="B54" s="261" t="s">
        <v>557</v>
      </c>
      <c r="C54" s="216">
        <v>1</v>
      </c>
      <c r="D54" s="216">
        <v>4</v>
      </c>
      <c r="E54" s="268">
        <f t="shared" si="3"/>
        <v>9219.4500760850515</v>
      </c>
      <c r="F54" s="268">
        <f t="shared" si="4"/>
        <v>0</v>
      </c>
      <c r="G54" s="339">
        <v>9219.4500760850515</v>
      </c>
      <c r="H54" s="339">
        <v>0</v>
      </c>
      <c r="I54" s="339">
        <v>0</v>
      </c>
      <c r="J54" s="339">
        <v>0</v>
      </c>
      <c r="K54" s="339">
        <v>0</v>
      </c>
      <c r="L54" s="339">
        <v>27.130505840957614</v>
      </c>
      <c r="M54" s="339">
        <v>5762.5538821981008</v>
      </c>
      <c r="N54" s="339">
        <v>1239.276737919979</v>
      </c>
      <c r="O54" s="339">
        <v>0</v>
      </c>
    </row>
    <row r="55" spans="2:15" hidden="1" outlineLevel="1">
      <c r="B55" s="261" t="s">
        <v>561</v>
      </c>
      <c r="C55" s="216">
        <v>1</v>
      </c>
      <c r="D55" s="216">
        <v>3</v>
      </c>
      <c r="E55" s="268">
        <f t="shared" si="3"/>
        <v>7819.7863127142036</v>
      </c>
      <c r="F55" s="268">
        <f t="shared" si="4"/>
        <v>0</v>
      </c>
      <c r="G55" s="339">
        <v>7819.7863127142036</v>
      </c>
      <c r="H55" s="339">
        <v>0</v>
      </c>
      <c r="I55" s="339">
        <v>0</v>
      </c>
      <c r="J55" s="339">
        <v>0</v>
      </c>
      <c r="K55" s="339">
        <v>0</v>
      </c>
      <c r="L55" s="339">
        <v>3.0206524199999998</v>
      </c>
      <c r="M55" s="339">
        <v>5619.9398226776993</v>
      </c>
      <c r="N55" s="339">
        <v>16655.482098349687</v>
      </c>
      <c r="O55" s="339">
        <v>0</v>
      </c>
    </row>
    <row r="56" spans="2:15" collapsed="1">
      <c r="B56" s="260" t="s">
        <v>494</v>
      </c>
      <c r="C56" s="263">
        <f>3+SUM(C57:C61)</f>
        <v>8</v>
      </c>
      <c r="D56" s="263">
        <f>C56+SUM(D57:D61)+1</f>
        <v>26</v>
      </c>
      <c r="E56" s="267">
        <f t="shared" si="3"/>
        <v>29988.285760598104</v>
      </c>
      <c r="F56" s="267">
        <f t="shared" si="4"/>
        <v>4863.1736128500033</v>
      </c>
      <c r="G56" s="340">
        <v>25125.112147748099</v>
      </c>
      <c r="H56" s="340">
        <v>0</v>
      </c>
      <c r="I56" s="340">
        <v>819.35425326999996</v>
      </c>
      <c r="J56" s="340">
        <v>1212.8315041000023</v>
      </c>
      <c r="K56" s="340">
        <v>2830.9878554800007</v>
      </c>
      <c r="L56" s="340">
        <v>2258.7946356799998</v>
      </c>
      <c r="M56" s="340">
        <v>15579.989592549202</v>
      </c>
      <c r="N56" s="340">
        <v>25108.963002738099</v>
      </c>
      <c r="O56" s="340">
        <v>0</v>
      </c>
    </row>
    <row r="57" spans="2:15" hidden="1" outlineLevel="1">
      <c r="B57" s="261" t="s">
        <v>495</v>
      </c>
      <c r="C57" s="216">
        <v>1</v>
      </c>
      <c r="D57" s="216">
        <v>4</v>
      </c>
      <c r="E57" s="268">
        <f t="shared" si="3"/>
        <v>4805.7731279234686</v>
      </c>
      <c r="F57" s="268">
        <f t="shared" si="4"/>
        <v>2665.1572822400021</v>
      </c>
      <c r="G57" s="339">
        <v>2140.6158456834664</v>
      </c>
      <c r="H57" s="339">
        <v>0</v>
      </c>
      <c r="I57" s="339">
        <v>261.38528133999995</v>
      </c>
      <c r="J57" s="339">
        <v>724.3178531900021</v>
      </c>
      <c r="K57" s="339">
        <v>1679.4541477100004</v>
      </c>
      <c r="L57" s="339">
        <v>1073.5733923999996</v>
      </c>
      <c r="M57" s="339">
        <v>1078.9944829924</v>
      </c>
      <c r="N57" s="339">
        <v>0</v>
      </c>
      <c r="O57" s="339">
        <v>0</v>
      </c>
    </row>
    <row r="58" spans="2:15" hidden="1" outlineLevel="1">
      <c r="B58" s="261" t="s">
        <v>500</v>
      </c>
      <c r="C58" s="216">
        <v>1</v>
      </c>
      <c r="D58" s="216">
        <v>3</v>
      </c>
      <c r="E58" s="268">
        <f t="shared" si="3"/>
        <v>1444.4096538200006</v>
      </c>
      <c r="F58" s="268">
        <f t="shared" si="4"/>
        <v>1444.4096538200006</v>
      </c>
      <c r="G58" s="339">
        <v>0</v>
      </c>
      <c r="H58" s="339">
        <v>0</v>
      </c>
      <c r="I58" s="339">
        <v>424.67587693000002</v>
      </c>
      <c r="J58" s="339">
        <v>283.75698429000033</v>
      </c>
      <c r="K58" s="339">
        <v>735.97679260000029</v>
      </c>
      <c r="L58" s="339">
        <v>1075.4139824999997</v>
      </c>
      <c r="M58" s="339">
        <v>3.7953370000000004</v>
      </c>
      <c r="N58" s="339">
        <v>0</v>
      </c>
      <c r="O58" s="339">
        <v>0</v>
      </c>
    </row>
    <row r="59" spans="2:15" hidden="1" outlineLevel="1">
      <c r="B59" s="261" t="s">
        <v>508</v>
      </c>
      <c r="C59" s="216">
        <v>1</v>
      </c>
      <c r="D59" s="216">
        <v>3</v>
      </c>
      <c r="E59" s="268">
        <f t="shared" si="3"/>
        <v>1643.1814714499783</v>
      </c>
      <c r="F59" s="268">
        <f t="shared" si="4"/>
        <v>753.60667678999994</v>
      </c>
      <c r="G59" s="339">
        <v>889.57479465997847</v>
      </c>
      <c r="H59" s="339">
        <v>0</v>
      </c>
      <c r="I59" s="339">
        <v>133.29309499999997</v>
      </c>
      <c r="J59" s="339">
        <v>204.75666661999992</v>
      </c>
      <c r="K59" s="339">
        <v>415.55691516999997</v>
      </c>
      <c r="L59" s="339">
        <v>109.80726077999999</v>
      </c>
      <c r="M59" s="339">
        <v>577.76288474320006</v>
      </c>
      <c r="N59" s="339">
        <v>0</v>
      </c>
      <c r="O59" s="339">
        <v>0</v>
      </c>
    </row>
    <row r="60" spans="2:15" hidden="1" outlineLevel="1">
      <c r="B60" s="261" t="s">
        <v>512</v>
      </c>
      <c r="C60" s="216">
        <v>1</v>
      </c>
      <c r="D60" s="216">
        <v>3</v>
      </c>
      <c r="E60" s="268">
        <f t="shared" si="3"/>
        <v>10124.639624576168</v>
      </c>
      <c r="F60" s="268">
        <f t="shared" si="4"/>
        <v>0</v>
      </c>
      <c r="G60" s="339">
        <v>10124.639624576168</v>
      </c>
      <c r="H60" s="339">
        <v>0</v>
      </c>
      <c r="I60" s="339">
        <v>0</v>
      </c>
      <c r="J60" s="339">
        <v>0</v>
      </c>
      <c r="K60" s="339">
        <v>0</v>
      </c>
      <c r="L60" s="339">
        <v>0</v>
      </c>
      <c r="M60" s="339">
        <v>6569.7672306954992</v>
      </c>
      <c r="N60" s="339">
        <v>8507.1196553092268</v>
      </c>
      <c r="O60" s="339">
        <v>0</v>
      </c>
    </row>
    <row r="61" spans="2:15" hidden="1" outlineLevel="1">
      <c r="B61" s="261" t="s">
        <v>514</v>
      </c>
      <c r="C61" s="216">
        <v>1</v>
      </c>
      <c r="D61" s="216">
        <v>4</v>
      </c>
      <c r="E61" s="268">
        <f t="shared" si="3"/>
        <v>11970.281882828489</v>
      </c>
      <c r="F61" s="268">
        <f t="shared" si="4"/>
        <v>0</v>
      </c>
      <c r="G61" s="339">
        <v>11970.281882828489</v>
      </c>
      <c r="H61" s="339">
        <v>0</v>
      </c>
      <c r="I61" s="339">
        <v>0</v>
      </c>
      <c r="J61" s="339">
        <v>0</v>
      </c>
      <c r="K61" s="339">
        <v>0</v>
      </c>
      <c r="L61" s="339">
        <v>0</v>
      </c>
      <c r="M61" s="339">
        <v>7349.6696571181028</v>
      </c>
      <c r="N61" s="339">
        <v>16601.843347428872</v>
      </c>
      <c r="O61" s="339">
        <v>0</v>
      </c>
    </row>
    <row r="62" spans="2:15" collapsed="1">
      <c r="B62" s="260" t="s">
        <v>587</v>
      </c>
      <c r="C62" s="263">
        <f>3+SUM(C63:C68)</f>
        <v>9</v>
      </c>
      <c r="D62" s="263">
        <f>C62+SUM(D63:D68)+1</f>
        <v>36</v>
      </c>
      <c r="E62" s="267">
        <f t="shared" si="3"/>
        <v>22316.851795000846</v>
      </c>
      <c r="F62" s="267">
        <f t="shared" si="4"/>
        <v>13207.446923743335</v>
      </c>
      <c r="G62" s="267">
        <f>SUM(G63:G68)</f>
        <v>9109.4048712575132</v>
      </c>
      <c r="H62" s="267">
        <f t="shared" ref="H62:M62" si="5">SUM(H63:H68)</f>
        <v>4627.1272359733366</v>
      </c>
      <c r="I62" s="267">
        <f t="shared" si="5"/>
        <v>2964.5450721999996</v>
      </c>
      <c r="J62" s="267">
        <f t="shared" si="5"/>
        <v>1225.60862075</v>
      </c>
      <c r="K62" s="267">
        <f t="shared" si="5"/>
        <v>4390.1659948199995</v>
      </c>
      <c r="L62" s="267">
        <f t="shared" si="5"/>
        <v>4867.8839974766661</v>
      </c>
      <c r="M62" s="267">
        <f t="shared" si="5"/>
        <v>7724.2417397570234</v>
      </c>
      <c r="N62" s="267">
        <f t="shared" ref="N62" si="6">SUM(N63:N68)</f>
        <v>986.26229077999062</v>
      </c>
      <c r="O62" s="267">
        <f t="shared" ref="O62" si="7">SUM(O63:O68)</f>
        <v>1913.658133830003</v>
      </c>
    </row>
    <row r="63" spans="2:15" hidden="1" outlineLevel="2">
      <c r="B63" s="261" t="s">
        <v>588</v>
      </c>
      <c r="C63" s="216">
        <v>1</v>
      </c>
      <c r="D63" s="216">
        <v>5</v>
      </c>
      <c r="E63" s="268">
        <f t="shared" si="3"/>
        <v>1805.7694080100005</v>
      </c>
      <c r="F63" s="268">
        <f t="shared" si="4"/>
        <v>1805.7694080100005</v>
      </c>
      <c r="G63" s="268">
        <f>SUM(G95:G98)+G103</f>
        <v>0</v>
      </c>
      <c r="H63" s="268">
        <f t="shared" ref="H63:M63" si="8">SUM(H95:H98)+H103</f>
        <v>0</v>
      </c>
      <c r="I63" s="268">
        <f t="shared" si="8"/>
        <v>513.83624373000009</v>
      </c>
      <c r="J63" s="268">
        <f t="shared" si="8"/>
        <v>389.19992187999998</v>
      </c>
      <c r="K63" s="268">
        <f t="shared" si="8"/>
        <v>902.73324240000022</v>
      </c>
      <c r="L63" s="268">
        <f t="shared" si="8"/>
        <v>257.88131858999986</v>
      </c>
      <c r="M63" s="268">
        <f t="shared" si="8"/>
        <v>0</v>
      </c>
      <c r="N63" s="268">
        <f t="shared" ref="N63:O63" si="9">SUM(N95:N98)+N103</f>
        <v>0</v>
      </c>
      <c r="O63" s="268">
        <f t="shared" si="9"/>
        <v>0</v>
      </c>
    </row>
    <row r="64" spans="2:15" hidden="1" outlineLevel="2">
      <c r="B64" s="261" t="s">
        <v>589</v>
      </c>
      <c r="C64" s="216">
        <v>1</v>
      </c>
      <c r="D64" s="216">
        <v>5</v>
      </c>
      <c r="E64" s="268">
        <f t="shared" si="3"/>
        <v>4627.1272359733366</v>
      </c>
      <c r="F64" s="268">
        <f t="shared" si="4"/>
        <v>4627.1272359733366</v>
      </c>
      <c r="G64" s="268">
        <f>G90+G92+G100+G101+G102</f>
        <v>0</v>
      </c>
      <c r="H64" s="268">
        <f t="shared" ref="H64:M64" si="10">H90+H92+H100+H101+H102</f>
        <v>4627.1272359733366</v>
      </c>
      <c r="I64" s="268">
        <f t="shared" si="10"/>
        <v>0</v>
      </c>
      <c r="J64" s="268">
        <f t="shared" si="10"/>
        <v>0</v>
      </c>
      <c r="K64" s="268">
        <f t="shared" si="10"/>
        <v>0</v>
      </c>
      <c r="L64" s="268">
        <f t="shared" si="10"/>
        <v>0</v>
      </c>
      <c r="M64" s="268">
        <f t="shared" si="10"/>
        <v>0</v>
      </c>
      <c r="N64" s="268">
        <f t="shared" ref="N64:O64" si="11">N90+N92+N100+N101+N102</f>
        <v>0</v>
      </c>
      <c r="O64" s="268">
        <f t="shared" si="11"/>
        <v>1913.658133830003</v>
      </c>
    </row>
    <row r="65" spans="2:15" hidden="1" outlineLevel="2">
      <c r="B65" s="261" t="s">
        <v>590</v>
      </c>
      <c r="C65" s="216">
        <v>1</v>
      </c>
      <c r="D65" s="216">
        <v>5</v>
      </c>
      <c r="E65" s="268">
        <f t="shared" si="3"/>
        <v>7840.5271620775084</v>
      </c>
      <c r="F65" s="268">
        <f t="shared" si="4"/>
        <v>0</v>
      </c>
      <c r="G65" s="268">
        <f>G84+G105+G106+G107+G108</f>
        <v>7840.5271620775084</v>
      </c>
      <c r="H65" s="268">
        <f t="shared" ref="H65:M65" si="12">H84+H105+H106+H107+H108</f>
        <v>0</v>
      </c>
      <c r="I65" s="268">
        <f t="shared" si="12"/>
        <v>0</v>
      </c>
      <c r="J65" s="268">
        <f t="shared" si="12"/>
        <v>0</v>
      </c>
      <c r="K65" s="268">
        <f t="shared" si="12"/>
        <v>0</v>
      </c>
      <c r="L65" s="268">
        <f t="shared" si="12"/>
        <v>3973.7909036866663</v>
      </c>
      <c r="M65" s="268">
        <f t="shared" si="12"/>
        <v>6868.6013486542233</v>
      </c>
      <c r="N65" s="268">
        <f t="shared" ref="N65:O65" si="13">N84+N105+N106+N107+N108</f>
        <v>986.26229077999062</v>
      </c>
      <c r="O65" s="268">
        <f t="shared" si="13"/>
        <v>0</v>
      </c>
    </row>
    <row r="66" spans="2:15" hidden="1" outlineLevel="2">
      <c r="B66" s="261" t="s">
        <v>448</v>
      </c>
      <c r="C66" s="216">
        <v>1</v>
      </c>
      <c r="D66" s="216">
        <v>4</v>
      </c>
      <c r="E66" s="268">
        <f t="shared" si="3"/>
        <v>3056.2469241100007</v>
      </c>
      <c r="F66" s="268">
        <f t="shared" si="4"/>
        <v>2302.9212674499995</v>
      </c>
      <c r="G66" s="268">
        <f>G74+G75+G76+G77</f>
        <v>753.32565666000141</v>
      </c>
      <c r="H66" s="268">
        <f t="shared" ref="H66:M66" si="14">H74+H75+H76+H77</f>
        <v>0</v>
      </c>
      <c r="I66" s="268">
        <f t="shared" si="14"/>
        <v>901.71375716999978</v>
      </c>
      <c r="J66" s="268">
        <f t="shared" si="14"/>
        <v>522.36151340000015</v>
      </c>
      <c r="K66" s="268">
        <f t="shared" si="14"/>
        <v>878.8459968799998</v>
      </c>
      <c r="L66" s="268">
        <f t="shared" si="14"/>
        <v>18.11060694</v>
      </c>
      <c r="M66" s="268">
        <f t="shared" si="14"/>
        <v>586.51244633019996</v>
      </c>
      <c r="N66" s="268">
        <f t="shared" ref="N66:O66" si="15">N74+N75+N76+N77</f>
        <v>0</v>
      </c>
      <c r="O66" s="268">
        <f t="shared" si="15"/>
        <v>0</v>
      </c>
    </row>
    <row r="67" spans="2:15" hidden="1" outlineLevel="2">
      <c r="B67" s="261" t="s">
        <v>444</v>
      </c>
      <c r="C67" s="216">
        <v>1</v>
      </c>
      <c r="D67" s="216">
        <v>3</v>
      </c>
      <c r="E67" s="268">
        <f t="shared" si="3"/>
        <v>2345.7751313300009</v>
      </c>
      <c r="F67" s="268">
        <f t="shared" si="4"/>
        <v>2031.3369777600001</v>
      </c>
      <c r="G67" s="268">
        <f>G79+G80+G81+G82</f>
        <v>314.43815357000085</v>
      </c>
      <c r="H67" s="268">
        <f t="shared" ref="H67:M67" si="16">H79+H80+H81+H82</f>
        <v>0</v>
      </c>
      <c r="I67" s="268">
        <f t="shared" si="16"/>
        <v>713.47514594999996</v>
      </c>
      <c r="J67" s="268">
        <f t="shared" si="16"/>
        <v>235.62862249</v>
      </c>
      <c r="K67" s="268">
        <f t="shared" si="16"/>
        <v>1082.23320932</v>
      </c>
      <c r="L67" s="268">
        <f t="shared" si="16"/>
        <v>257.44670998999993</v>
      </c>
      <c r="M67" s="268">
        <f t="shared" si="16"/>
        <v>130.42390994099998</v>
      </c>
      <c r="N67" s="268">
        <f t="shared" ref="N67:O67" si="17">N79+N80+N81+N82</f>
        <v>0</v>
      </c>
      <c r="O67" s="268">
        <f t="shared" si="17"/>
        <v>0</v>
      </c>
    </row>
    <row r="68" spans="2:15" hidden="1" outlineLevel="2">
      <c r="B68" s="261" t="s">
        <v>458</v>
      </c>
      <c r="C68" s="216">
        <v>1</v>
      </c>
      <c r="D68" s="216">
        <v>4</v>
      </c>
      <c r="E68" s="268">
        <f t="shared" si="3"/>
        <v>2641.4059335000002</v>
      </c>
      <c r="F68" s="268">
        <f t="shared" si="4"/>
        <v>2440.2920345499997</v>
      </c>
      <c r="G68" s="268">
        <f>G85+G86+G87+G88</f>
        <v>201.11389895000065</v>
      </c>
      <c r="H68" s="268">
        <f t="shared" ref="H68:M68" si="18">H85+H86+H87+H88</f>
        <v>0</v>
      </c>
      <c r="I68" s="268">
        <f t="shared" si="18"/>
        <v>835.51992534999999</v>
      </c>
      <c r="J68" s="268">
        <f t="shared" si="18"/>
        <v>78.418562980000004</v>
      </c>
      <c r="K68" s="268">
        <f t="shared" si="18"/>
        <v>1526.3535462199998</v>
      </c>
      <c r="L68" s="268">
        <f t="shared" si="18"/>
        <v>360.65445826999996</v>
      </c>
      <c r="M68" s="268">
        <f t="shared" si="18"/>
        <v>138.70403483160004</v>
      </c>
      <c r="N68" s="268">
        <f t="shared" ref="N68:O68" si="19">N85+N86+N87+N88</f>
        <v>0</v>
      </c>
      <c r="O68" s="268">
        <f t="shared" si="19"/>
        <v>0</v>
      </c>
    </row>
    <row r="69" spans="2:15" collapsed="1">
      <c r="C69"/>
      <c r="D69" s="266">
        <f>D39+D45+D51+D56+D62</f>
        <v>142</v>
      </c>
      <c r="E69" s="500">
        <f t="shared" ref="E69:O69" si="20">E39+E45+E51+E56+E62</f>
        <v>137916.56346095781</v>
      </c>
      <c r="F69" s="500">
        <f t="shared" si="20"/>
        <v>39518.810117743546</v>
      </c>
      <c r="G69" s="500">
        <f t="shared" si="20"/>
        <v>98397.753343214281</v>
      </c>
      <c r="H69" s="500">
        <f t="shared" si="20"/>
        <v>17482.359849433546</v>
      </c>
      <c r="I69" s="500">
        <f t="shared" si="20"/>
        <v>6088.8179001199987</v>
      </c>
      <c r="J69" s="500">
        <f t="shared" si="20"/>
        <v>4609.3721041000008</v>
      </c>
      <c r="K69" s="500">
        <f t="shared" si="20"/>
        <v>11338.26026409</v>
      </c>
      <c r="L69" s="500">
        <f t="shared" si="20"/>
        <v>10869.91887499262</v>
      </c>
      <c r="M69" s="500">
        <f t="shared" si="20"/>
        <v>63037.052086924225</v>
      </c>
      <c r="N69" s="500">
        <f t="shared" si="20"/>
        <v>82108.980244304985</v>
      </c>
      <c r="O69" s="500">
        <f t="shared" si="20"/>
        <v>2143.4225843900031</v>
      </c>
    </row>
    <row r="70" spans="2:15">
      <c r="C70"/>
      <c r="D70"/>
      <c r="E70"/>
      <c r="F70"/>
    </row>
    <row r="71" spans="2:15" ht="28.9" hidden="1" outlineLevel="1">
      <c r="B71" s="262" t="s">
        <v>567</v>
      </c>
      <c r="C71" s="216"/>
      <c r="D71" s="216"/>
      <c r="E71" s="268"/>
      <c r="F71" s="268"/>
      <c r="G71" s="262" t="s">
        <v>302</v>
      </c>
      <c r="H71" s="262" t="s">
        <v>295</v>
      </c>
      <c r="I71" s="262" t="s">
        <v>299</v>
      </c>
      <c r="J71" s="262" t="s">
        <v>300</v>
      </c>
      <c r="K71" s="262" t="s">
        <v>301</v>
      </c>
      <c r="L71" s="262" t="s">
        <v>303</v>
      </c>
      <c r="M71" s="262" t="s">
        <v>304</v>
      </c>
      <c r="N71" s="262" t="s">
        <v>305</v>
      </c>
      <c r="O71" s="262" t="s">
        <v>306</v>
      </c>
    </row>
    <row r="72" spans="2:15" hidden="1" outlineLevel="1">
      <c r="B72" s="260" t="s">
        <v>443</v>
      </c>
      <c r="C72" s="216"/>
      <c r="D72" s="216"/>
      <c r="E72" s="268"/>
      <c r="F72" s="268"/>
      <c r="G72" s="340">
        <v>1268.877709180003</v>
      </c>
      <c r="H72" s="340">
        <v>864.52190231999998</v>
      </c>
      <c r="I72" s="340">
        <v>2450.7088284699998</v>
      </c>
      <c r="J72" s="340">
        <v>836.40869886999997</v>
      </c>
      <c r="K72" s="340">
        <v>3487.4327524200003</v>
      </c>
      <c r="L72" s="340">
        <v>636.21177519999992</v>
      </c>
      <c r="M72" s="340">
        <v>855.64039110279987</v>
      </c>
      <c r="N72" s="340">
        <v>986.26229077999062</v>
      </c>
      <c r="O72" s="340">
        <v>1913.658133830003</v>
      </c>
    </row>
    <row r="73" spans="2:15" hidden="1" outlineLevel="1">
      <c r="B73" s="343" t="s">
        <v>448</v>
      </c>
      <c r="C73" s="216"/>
      <c r="D73" s="216"/>
      <c r="E73" s="268"/>
      <c r="F73" s="268"/>
      <c r="G73" s="340">
        <v>753.32565666000141</v>
      </c>
      <c r="H73" s="340">
        <v>0</v>
      </c>
      <c r="I73" s="340">
        <v>901.71375716999989</v>
      </c>
      <c r="J73" s="340">
        <v>522.36151339999992</v>
      </c>
      <c r="K73" s="340">
        <v>878.84599687999992</v>
      </c>
      <c r="L73" s="340">
        <v>18.11060694</v>
      </c>
      <c r="M73" s="340">
        <v>586.51244633019996</v>
      </c>
      <c r="N73" s="340">
        <v>0</v>
      </c>
      <c r="O73" s="340">
        <v>0</v>
      </c>
    </row>
    <row r="74" spans="2:15" hidden="1" outlineLevel="1">
      <c r="B74" s="344" t="s">
        <v>449</v>
      </c>
      <c r="C74" s="216"/>
      <c r="D74" s="216"/>
      <c r="E74" s="268"/>
      <c r="F74" s="268"/>
      <c r="G74" s="339">
        <v>355.10144236000059</v>
      </c>
      <c r="H74" s="339">
        <v>0</v>
      </c>
      <c r="I74" s="339">
        <v>207.60414161000006</v>
      </c>
      <c r="J74" s="339">
        <v>267.59879323000007</v>
      </c>
      <c r="K74" s="339">
        <v>64.431172359999991</v>
      </c>
      <c r="L74" s="339">
        <v>0</v>
      </c>
      <c r="M74" s="339">
        <v>339.73009895759998</v>
      </c>
      <c r="N74" s="339">
        <v>0</v>
      </c>
      <c r="O74" s="339">
        <v>0</v>
      </c>
    </row>
    <row r="75" spans="2:15" hidden="1" outlineLevel="1">
      <c r="B75" s="344" t="s">
        <v>450</v>
      </c>
      <c r="C75" s="216"/>
      <c r="D75" s="216"/>
      <c r="E75" s="268"/>
      <c r="F75" s="268"/>
      <c r="G75" s="339">
        <v>0.51149075000000011</v>
      </c>
      <c r="H75" s="339">
        <v>0</v>
      </c>
      <c r="I75" s="339">
        <v>127.94120957999995</v>
      </c>
      <c r="J75" s="339">
        <v>2.3510966800000004</v>
      </c>
      <c r="K75" s="339">
        <v>303.79783234000001</v>
      </c>
      <c r="L75" s="339">
        <v>18.11060694</v>
      </c>
      <c r="M75" s="339">
        <v>0</v>
      </c>
      <c r="N75" s="339">
        <v>0</v>
      </c>
      <c r="O75" s="339">
        <v>0</v>
      </c>
    </row>
    <row r="76" spans="2:15" hidden="1" outlineLevel="1">
      <c r="B76" s="344" t="s">
        <v>451</v>
      </c>
      <c r="D76" s="500"/>
      <c r="E76" s="500"/>
      <c r="F76" s="500"/>
      <c r="G76" s="339">
        <v>275.8454914199998</v>
      </c>
      <c r="H76" s="339">
        <v>0</v>
      </c>
      <c r="I76" s="339">
        <v>444.49697547999983</v>
      </c>
      <c r="J76" s="339">
        <v>68.75287677999998</v>
      </c>
      <c r="K76" s="339">
        <v>282.67809038000007</v>
      </c>
      <c r="L76" s="339">
        <v>0</v>
      </c>
      <c r="M76" s="339">
        <v>176.29402674129997</v>
      </c>
      <c r="N76" s="339">
        <v>0</v>
      </c>
      <c r="O76" s="339">
        <v>0</v>
      </c>
    </row>
    <row r="77" spans="2:15" hidden="1" outlineLevel="1">
      <c r="B77" s="344" t="s">
        <v>457</v>
      </c>
      <c r="D77" s="500"/>
      <c r="E77" s="500"/>
      <c r="F77" s="500"/>
      <c r="G77" s="339">
        <v>121.8672321300009</v>
      </c>
      <c r="H77" s="339">
        <v>0</v>
      </c>
      <c r="I77" s="339">
        <v>121.67143049999997</v>
      </c>
      <c r="J77" s="339">
        <v>183.65874671</v>
      </c>
      <c r="K77" s="339">
        <v>227.93890179999974</v>
      </c>
      <c r="L77" s="339">
        <v>0</v>
      </c>
      <c r="M77" s="339">
        <v>70.488320631299985</v>
      </c>
      <c r="N77" s="339">
        <v>0</v>
      </c>
      <c r="O77" s="339">
        <v>0</v>
      </c>
    </row>
    <row r="78" spans="2:15" hidden="1" outlineLevel="1">
      <c r="B78" s="343" t="s">
        <v>444</v>
      </c>
      <c r="C78" s="264"/>
      <c r="D78" s="264"/>
      <c r="E78" s="264"/>
      <c r="F78" s="264"/>
      <c r="G78" s="340">
        <v>314.43815357000085</v>
      </c>
      <c r="H78" s="340">
        <v>0</v>
      </c>
      <c r="I78" s="340">
        <v>713.47514595000007</v>
      </c>
      <c r="J78" s="340">
        <v>235.62862249</v>
      </c>
      <c r="K78" s="340">
        <v>1082.2332093200002</v>
      </c>
      <c r="L78" s="340">
        <v>257.44670998999999</v>
      </c>
      <c r="M78" s="340">
        <v>130.42390994099995</v>
      </c>
      <c r="N78" s="340">
        <v>0</v>
      </c>
      <c r="O78" s="340">
        <v>0</v>
      </c>
    </row>
    <row r="79" spans="2:15" hidden="1" outlineLevel="1">
      <c r="B79" s="344" t="s">
        <v>445</v>
      </c>
      <c r="C79" s="265"/>
      <c r="D79" s="265"/>
      <c r="E79" s="265"/>
      <c r="F79" s="265"/>
      <c r="G79" s="339">
        <v>141.71664135000091</v>
      </c>
      <c r="H79" s="339">
        <v>0</v>
      </c>
      <c r="I79" s="339">
        <v>380.33230694000002</v>
      </c>
      <c r="J79" s="339">
        <v>1.06991284</v>
      </c>
      <c r="K79" s="339">
        <v>274.40800932000008</v>
      </c>
      <c r="L79" s="339">
        <v>171.06568712999996</v>
      </c>
      <c r="M79" s="339">
        <v>20.031660741299998</v>
      </c>
      <c r="N79" s="339">
        <v>0</v>
      </c>
      <c r="O79" s="339">
        <v>0</v>
      </c>
    </row>
    <row r="80" spans="2:15" hidden="1" outlineLevel="1">
      <c r="B80" s="344" t="s">
        <v>446</v>
      </c>
      <c r="G80" s="339">
        <v>13.117256509999997</v>
      </c>
      <c r="H80" s="339">
        <v>0</v>
      </c>
      <c r="I80" s="339">
        <v>153.01958342999998</v>
      </c>
      <c r="J80" s="339">
        <v>134.97016577000002</v>
      </c>
      <c r="K80" s="339">
        <v>333.9052494300002</v>
      </c>
      <c r="L80" s="339">
        <v>27.361099270000004</v>
      </c>
      <c r="M80" s="339">
        <v>1.9892245971</v>
      </c>
      <c r="N80" s="339">
        <v>0</v>
      </c>
      <c r="O80" s="339">
        <v>0</v>
      </c>
    </row>
    <row r="81" spans="2:15" hidden="1" outlineLevel="1">
      <c r="B81" s="344" t="s">
        <v>456</v>
      </c>
      <c r="G81" s="339">
        <v>149.30828199999991</v>
      </c>
      <c r="H81" s="339">
        <v>0</v>
      </c>
      <c r="I81" s="339">
        <v>180.12325557999998</v>
      </c>
      <c r="J81" s="339">
        <v>0</v>
      </c>
      <c r="K81" s="339">
        <v>165.3995352899999</v>
      </c>
      <c r="L81" s="339">
        <v>17.840405869999994</v>
      </c>
      <c r="M81" s="339">
        <v>107.75302460259996</v>
      </c>
      <c r="N81" s="339">
        <v>0</v>
      </c>
      <c r="O81" s="339">
        <v>0</v>
      </c>
    </row>
    <row r="82" spans="2:15" hidden="1" outlineLevel="1">
      <c r="B82" s="344" t="s">
        <v>464</v>
      </c>
      <c r="G82" s="339">
        <v>10.295973709999979</v>
      </c>
      <c r="H82" s="339">
        <v>0</v>
      </c>
      <c r="I82" s="345">
        <v>0</v>
      </c>
      <c r="J82" s="339">
        <v>99.588543879999989</v>
      </c>
      <c r="K82" s="339">
        <v>308.52041527999984</v>
      </c>
      <c r="L82" s="339">
        <v>41.17951772</v>
      </c>
      <c r="M82" s="339">
        <v>0.65</v>
      </c>
      <c r="N82" s="339">
        <v>0</v>
      </c>
      <c r="O82" s="339">
        <v>0</v>
      </c>
    </row>
    <row r="83" spans="2:15" hidden="1" outlineLevel="1">
      <c r="B83" s="343" t="s">
        <v>458</v>
      </c>
      <c r="G83" s="340">
        <v>201.11389895000065</v>
      </c>
      <c r="H83" s="340">
        <v>0</v>
      </c>
      <c r="I83" s="340">
        <v>835.51992534999988</v>
      </c>
      <c r="J83" s="340">
        <v>78.418562980000004</v>
      </c>
      <c r="K83" s="340">
        <v>1526.3535462199998</v>
      </c>
      <c r="L83" s="340">
        <v>360.65445826999996</v>
      </c>
      <c r="M83" s="340">
        <v>138.70403483160004</v>
      </c>
      <c r="N83" s="340">
        <v>986.26229077999062</v>
      </c>
      <c r="O83" s="340">
        <v>0</v>
      </c>
    </row>
    <row r="84" spans="2:15" hidden="1" outlineLevel="1">
      <c r="B84" s="344" t="s">
        <v>466</v>
      </c>
      <c r="C84" s="265"/>
      <c r="D84" s="265"/>
      <c r="E84" s="265"/>
      <c r="F84" s="265"/>
      <c r="G84" s="345">
        <v>0</v>
      </c>
      <c r="H84" s="339">
        <v>0</v>
      </c>
      <c r="I84" s="339">
        <v>0</v>
      </c>
      <c r="J84" s="339">
        <v>0</v>
      </c>
      <c r="K84" s="339">
        <v>0</v>
      </c>
      <c r="L84" s="345">
        <v>0</v>
      </c>
      <c r="M84" s="345">
        <v>0</v>
      </c>
      <c r="N84" s="345">
        <v>986.26229077999062</v>
      </c>
      <c r="O84" s="339">
        <v>0</v>
      </c>
    </row>
    <row r="85" spans="2:15" hidden="1" outlineLevel="1">
      <c r="B85" s="344" t="s">
        <v>461</v>
      </c>
      <c r="G85" s="339">
        <v>42.057506110000041</v>
      </c>
      <c r="H85" s="339">
        <v>0</v>
      </c>
      <c r="I85" s="339">
        <v>234.79600589</v>
      </c>
      <c r="J85" s="339">
        <v>2.7957785500000001</v>
      </c>
      <c r="K85" s="339">
        <v>265.25181804999994</v>
      </c>
      <c r="L85" s="339">
        <v>0</v>
      </c>
      <c r="M85" s="339">
        <v>42.057506110000041</v>
      </c>
      <c r="N85" s="339">
        <v>0</v>
      </c>
      <c r="O85" s="339">
        <v>0</v>
      </c>
    </row>
    <row r="86" spans="2:15" hidden="1" outlineLevel="1">
      <c r="B86" s="344" t="s">
        <v>462</v>
      </c>
      <c r="G86" s="339">
        <v>85.979673750000245</v>
      </c>
      <c r="H86" s="339">
        <v>0</v>
      </c>
      <c r="I86" s="339">
        <v>244.48811428000002</v>
      </c>
      <c r="J86" s="339">
        <v>0.96588936000000014</v>
      </c>
      <c r="K86" s="339">
        <v>314.64686763999998</v>
      </c>
      <c r="L86" s="339">
        <v>112.88623099000002</v>
      </c>
      <c r="M86" s="339">
        <v>52.62001569369999</v>
      </c>
      <c r="N86" s="339">
        <v>0</v>
      </c>
      <c r="O86" s="339">
        <v>0</v>
      </c>
    </row>
    <row r="87" spans="2:15" hidden="1" outlineLevel="1">
      <c r="B87" s="344" t="s">
        <v>460</v>
      </c>
      <c r="G87" s="339">
        <v>0</v>
      </c>
      <c r="H87" s="339">
        <v>0</v>
      </c>
      <c r="I87" s="339">
        <v>87.856068169999986</v>
      </c>
      <c r="J87" s="339">
        <v>73.470389230000009</v>
      </c>
      <c r="K87" s="339">
        <v>453.66516090999983</v>
      </c>
      <c r="L87" s="339">
        <v>159.16259817999997</v>
      </c>
      <c r="M87" s="339">
        <v>0</v>
      </c>
      <c r="N87" s="339">
        <v>0</v>
      </c>
      <c r="O87" s="339">
        <v>0</v>
      </c>
    </row>
    <row r="88" spans="2:15" hidden="1" outlineLevel="1">
      <c r="B88" s="344" t="s">
        <v>459</v>
      </c>
      <c r="G88" s="339">
        <v>73.076719090000353</v>
      </c>
      <c r="H88" s="339">
        <v>0</v>
      </c>
      <c r="I88" s="339">
        <v>268.37973700999993</v>
      </c>
      <c r="J88" s="339">
        <v>1.1865058400000001</v>
      </c>
      <c r="K88" s="339">
        <v>492.78969962000014</v>
      </c>
      <c r="L88" s="339">
        <v>88.605629100000016</v>
      </c>
      <c r="M88" s="339">
        <v>44.026513027900002</v>
      </c>
      <c r="N88" s="339">
        <v>0</v>
      </c>
      <c r="O88" s="339">
        <v>0</v>
      </c>
    </row>
    <row r="89" spans="2:15" hidden="1" outlineLevel="1">
      <c r="B89" s="343" t="s">
        <v>452</v>
      </c>
      <c r="C89" s="265"/>
      <c r="D89" s="265"/>
      <c r="E89" s="265"/>
      <c r="F89" s="265"/>
      <c r="G89" s="340">
        <v>0</v>
      </c>
      <c r="H89" s="340">
        <v>0</v>
      </c>
      <c r="I89" s="340">
        <v>0</v>
      </c>
      <c r="J89" s="340">
        <v>0</v>
      </c>
      <c r="K89" s="340">
        <v>0</v>
      </c>
      <c r="L89" s="340">
        <v>0</v>
      </c>
      <c r="M89" s="340">
        <v>0</v>
      </c>
      <c r="N89" s="340">
        <v>0</v>
      </c>
      <c r="O89" s="340">
        <v>1485.79293396</v>
      </c>
    </row>
    <row r="90" spans="2:15" hidden="1" outlineLevel="1">
      <c r="B90" s="344" t="s">
        <v>453</v>
      </c>
      <c r="G90" s="339">
        <v>0</v>
      </c>
      <c r="H90" s="339">
        <v>0</v>
      </c>
      <c r="I90" s="339">
        <v>0</v>
      </c>
      <c r="J90" s="339">
        <v>0</v>
      </c>
      <c r="K90" s="339">
        <v>0</v>
      </c>
      <c r="L90" s="339">
        <v>0</v>
      </c>
      <c r="M90" s="339">
        <v>0</v>
      </c>
      <c r="N90" s="339">
        <v>0</v>
      </c>
      <c r="O90" s="339">
        <v>1485.79293396</v>
      </c>
    </row>
    <row r="91" spans="2:15" hidden="1" outlineLevel="1">
      <c r="B91" s="343" t="s">
        <v>467</v>
      </c>
      <c r="G91" s="340">
        <v>0</v>
      </c>
      <c r="H91" s="340">
        <v>864.52190231999998</v>
      </c>
      <c r="I91" s="340">
        <v>0</v>
      </c>
      <c r="J91" s="340">
        <v>0</v>
      </c>
      <c r="K91" s="340">
        <v>0</v>
      </c>
      <c r="L91" s="340">
        <v>0</v>
      </c>
      <c r="M91" s="340">
        <v>0</v>
      </c>
      <c r="N91" s="340">
        <v>0</v>
      </c>
      <c r="O91" s="340">
        <v>427.86519987000293</v>
      </c>
    </row>
    <row r="92" spans="2:15" hidden="1" outlineLevel="1">
      <c r="B92" s="344" t="s">
        <v>468</v>
      </c>
      <c r="G92" s="339">
        <v>0</v>
      </c>
      <c r="H92" s="339">
        <v>864.52190231999998</v>
      </c>
      <c r="I92" s="339">
        <v>0</v>
      </c>
      <c r="J92" s="339">
        <v>0</v>
      </c>
      <c r="K92" s="339">
        <v>0</v>
      </c>
      <c r="L92" s="339">
        <v>0</v>
      </c>
      <c r="M92" s="339">
        <v>0</v>
      </c>
      <c r="N92" s="339">
        <v>0</v>
      </c>
      <c r="O92" s="339">
        <v>427.86519987000293</v>
      </c>
    </row>
    <row r="93" spans="2:15" hidden="1" outlineLevel="1">
      <c r="B93" s="260" t="s">
        <v>469</v>
      </c>
      <c r="G93" s="340">
        <v>7840.5271620775093</v>
      </c>
      <c r="H93" s="340">
        <v>3762.6053336533364</v>
      </c>
      <c r="I93" s="340">
        <v>513.83624372999998</v>
      </c>
      <c r="J93" s="340">
        <v>389.19992187999992</v>
      </c>
      <c r="K93" s="340">
        <v>902.73324240000022</v>
      </c>
      <c r="L93" s="340">
        <v>4231.6722222766666</v>
      </c>
      <c r="M93" s="340">
        <v>6868.6013486542224</v>
      </c>
      <c r="N93" s="340">
        <v>0</v>
      </c>
      <c r="O93" s="340">
        <v>0</v>
      </c>
    </row>
    <row r="94" spans="2:15" hidden="1" outlineLevel="1">
      <c r="B94" s="343" t="s">
        <v>486</v>
      </c>
      <c r="G94" s="340">
        <v>0</v>
      </c>
      <c r="H94" s="340">
        <v>0</v>
      </c>
      <c r="I94" s="340">
        <v>513.83624372999998</v>
      </c>
      <c r="J94" s="340">
        <v>131.31860329000008</v>
      </c>
      <c r="K94" s="340">
        <v>902.73324240000022</v>
      </c>
      <c r="L94" s="340">
        <v>0</v>
      </c>
      <c r="M94" s="340">
        <v>0</v>
      </c>
      <c r="N94" s="340">
        <v>0</v>
      </c>
      <c r="O94" s="340">
        <v>0</v>
      </c>
    </row>
    <row r="95" spans="2:15" hidden="1" outlineLevel="1">
      <c r="B95" s="344" t="s">
        <v>489</v>
      </c>
      <c r="C95" s="265"/>
      <c r="D95" s="265"/>
      <c r="E95" s="265"/>
      <c r="F95" s="265"/>
      <c r="G95" s="339">
        <v>0</v>
      </c>
      <c r="H95" s="339">
        <v>0</v>
      </c>
      <c r="I95" s="339">
        <v>93.66136766999999</v>
      </c>
      <c r="J95" s="339">
        <v>3.2908910899999997</v>
      </c>
      <c r="K95" s="339">
        <v>128.68127021000006</v>
      </c>
      <c r="L95" s="339">
        <v>0</v>
      </c>
      <c r="M95" s="339">
        <v>0</v>
      </c>
      <c r="N95" s="339">
        <v>0</v>
      </c>
      <c r="O95" s="339">
        <v>0</v>
      </c>
    </row>
    <row r="96" spans="2:15" hidden="1" outlineLevel="1">
      <c r="B96" s="344" t="s">
        <v>487</v>
      </c>
      <c r="G96" s="339">
        <v>0</v>
      </c>
      <c r="H96" s="339">
        <v>0</v>
      </c>
      <c r="I96" s="339">
        <v>322.43127045000006</v>
      </c>
      <c r="J96" s="339">
        <v>16.180557300000011</v>
      </c>
      <c r="K96" s="339">
        <v>410.4591607800001</v>
      </c>
      <c r="L96" s="339">
        <v>0</v>
      </c>
      <c r="M96" s="339">
        <v>0</v>
      </c>
      <c r="N96" s="339">
        <v>0</v>
      </c>
      <c r="O96" s="339">
        <v>0</v>
      </c>
    </row>
    <row r="97" spans="2:15" hidden="1" outlineLevel="1">
      <c r="B97" s="344" t="s">
        <v>491</v>
      </c>
      <c r="C97" s="265"/>
      <c r="D97" s="265"/>
      <c r="E97" s="265"/>
      <c r="F97" s="265"/>
      <c r="G97" s="339">
        <v>0</v>
      </c>
      <c r="H97" s="339">
        <v>0</v>
      </c>
      <c r="I97" s="339">
        <v>37.142153909999998</v>
      </c>
      <c r="J97" s="339">
        <v>109.75602964000008</v>
      </c>
      <c r="K97" s="339">
        <v>179.39518175000006</v>
      </c>
      <c r="L97" s="339">
        <v>0</v>
      </c>
      <c r="M97" s="339">
        <v>0</v>
      </c>
      <c r="N97" s="339">
        <v>0</v>
      </c>
      <c r="O97" s="339">
        <v>0</v>
      </c>
    </row>
    <row r="98" spans="2:15" hidden="1" outlineLevel="1">
      <c r="B98" s="344" t="s">
        <v>488</v>
      </c>
      <c r="G98" s="339">
        <v>0</v>
      </c>
      <c r="H98" s="339">
        <v>0</v>
      </c>
      <c r="I98" s="339">
        <v>60.601451700000005</v>
      </c>
      <c r="J98" s="339">
        <v>2.0911252600000001</v>
      </c>
      <c r="K98" s="339">
        <v>184.19762965999996</v>
      </c>
      <c r="L98" s="339">
        <v>0</v>
      </c>
      <c r="M98" s="339">
        <v>0</v>
      </c>
      <c r="N98" s="339">
        <v>0</v>
      </c>
      <c r="O98" s="339">
        <v>0</v>
      </c>
    </row>
    <row r="99" spans="2:15" hidden="1" outlineLevel="1">
      <c r="B99" s="343" t="s">
        <v>474</v>
      </c>
      <c r="C99" s="264"/>
      <c r="D99" s="264"/>
      <c r="E99" s="264"/>
      <c r="F99" s="264"/>
      <c r="G99" s="340">
        <v>0</v>
      </c>
      <c r="H99" s="340">
        <v>3762.6053336533364</v>
      </c>
      <c r="I99" s="340">
        <v>0</v>
      </c>
      <c r="J99" s="340">
        <v>257.88131858999986</v>
      </c>
      <c r="K99" s="340">
        <v>0</v>
      </c>
      <c r="L99" s="340">
        <v>257.88131858999986</v>
      </c>
      <c r="M99" s="340">
        <v>0</v>
      </c>
      <c r="N99" s="340">
        <v>0</v>
      </c>
      <c r="O99" s="340">
        <v>0</v>
      </c>
    </row>
    <row r="100" spans="2:15" hidden="1" outlineLevel="1">
      <c r="B100" s="344" t="s">
        <v>482</v>
      </c>
      <c r="C100" s="265"/>
      <c r="D100" s="265"/>
      <c r="E100" s="265"/>
      <c r="F100" s="265"/>
      <c r="G100" s="339">
        <v>0</v>
      </c>
      <c r="H100" s="339">
        <v>752.38402711000322</v>
      </c>
      <c r="I100" s="339">
        <v>0</v>
      </c>
      <c r="J100" s="339">
        <v>0</v>
      </c>
      <c r="K100" s="339">
        <v>0</v>
      </c>
      <c r="L100" s="339">
        <v>0</v>
      </c>
      <c r="M100" s="339">
        <v>0</v>
      </c>
      <c r="N100" s="339">
        <v>0</v>
      </c>
      <c r="O100" s="339">
        <v>0</v>
      </c>
    </row>
    <row r="101" spans="2:15" hidden="1" outlineLevel="1">
      <c r="B101" s="344" t="s">
        <v>479</v>
      </c>
      <c r="G101" s="339">
        <v>0</v>
      </c>
      <c r="H101" s="339">
        <v>1546.7224971800001</v>
      </c>
      <c r="I101" s="339">
        <v>0</v>
      </c>
      <c r="J101" s="339">
        <v>0</v>
      </c>
      <c r="K101" s="339">
        <v>0</v>
      </c>
      <c r="L101" s="339">
        <v>0</v>
      </c>
      <c r="M101" s="339">
        <v>0</v>
      </c>
      <c r="N101" s="339">
        <v>0</v>
      </c>
      <c r="O101" s="339">
        <v>0</v>
      </c>
    </row>
    <row r="102" spans="2:15" hidden="1" outlineLevel="1">
      <c r="B102" s="344" t="s">
        <v>475</v>
      </c>
      <c r="G102" s="339">
        <v>0</v>
      </c>
      <c r="H102" s="339">
        <v>1463.4988093633333</v>
      </c>
      <c r="I102" s="339">
        <v>0</v>
      </c>
      <c r="J102" s="339">
        <v>0</v>
      </c>
      <c r="K102" s="339">
        <v>0</v>
      </c>
      <c r="L102" s="339">
        <v>0</v>
      </c>
      <c r="M102" s="339">
        <v>0</v>
      </c>
      <c r="N102" s="339">
        <v>0</v>
      </c>
      <c r="O102" s="339">
        <v>0</v>
      </c>
    </row>
    <row r="103" spans="2:15" hidden="1" outlineLevel="1">
      <c r="B103" s="344" t="s">
        <v>490</v>
      </c>
      <c r="G103" s="339">
        <v>0</v>
      </c>
      <c r="H103" s="339">
        <v>0</v>
      </c>
      <c r="I103" s="339">
        <v>0</v>
      </c>
      <c r="J103" s="345">
        <v>257.88131858999986</v>
      </c>
      <c r="K103" s="339">
        <v>0</v>
      </c>
      <c r="L103" s="339">
        <v>257.88131858999986</v>
      </c>
      <c r="M103" s="339">
        <v>0</v>
      </c>
      <c r="N103" s="339">
        <v>0</v>
      </c>
      <c r="O103" s="339">
        <v>0</v>
      </c>
    </row>
    <row r="104" spans="2:15" hidden="1" outlineLevel="1">
      <c r="B104" s="343" t="s">
        <v>470</v>
      </c>
      <c r="G104" s="340">
        <v>7840.5271620775093</v>
      </c>
      <c r="H104" s="340">
        <v>0</v>
      </c>
      <c r="I104" s="340">
        <v>0</v>
      </c>
      <c r="J104" s="340">
        <v>0</v>
      </c>
      <c r="K104" s="340">
        <v>0</v>
      </c>
      <c r="L104" s="340">
        <v>3973.7909036866663</v>
      </c>
      <c r="M104" s="340">
        <v>6868.6013486542224</v>
      </c>
      <c r="N104" s="340">
        <v>0</v>
      </c>
      <c r="O104" s="340">
        <v>0</v>
      </c>
    </row>
    <row r="105" spans="2:15" hidden="1" outlineLevel="1">
      <c r="B105" s="344" t="s">
        <v>473</v>
      </c>
      <c r="C105" s="265"/>
      <c r="D105" s="265"/>
      <c r="E105" s="265"/>
      <c r="F105" s="265"/>
      <c r="G105" s="339">
        <v>2150.2628327799998</v>
      </c>
      <c r="H105" s="339">
        <v>0</v>
      </c>
      <c r="I105" s="339">
        <v>0</v>
      </c>
      <c r="J105" s="339">
        <v>0</v>
      </c>
      <c r="K105" s="339">
        <v>0</v>
      </c>
      <c r="L105" s="339">
        <v>0</v>
      </c>
      <c r="M105" s="339">
        <v>1570.3144136791029</v>
      </c>
      <c r="N105" s="339">
        <v>0</v>
      </c>
      <c r="O105" s="339">
        <v>0</v>
      </c>
    </row>
    <row r="106" spans="2:15" hidden="1" outlineLevel="1">
      <c r="B106" s="344" t="s">
        <v>471</v>
      </c>
      <c r="G106" s="339">
        <v>2578.644919219902</v>
      </c>
      <c r="H106" s="339">
        <v>0</v>
      </c>
      <c r="I106" s="339">
        <v>0</v>
      </c>
      <c r="J106" s="339">
        <v>0</v>
      </c>
      <c r="K106" s="339">
        <v>0</v>
      </c>
      <c r="L106" s="339">
        <v>0</v>
      </c>
      <c r="M106" s="339">
        <v>1523.5709880783954</v>
      </c>
      <c r="N106" s="339">
        <v>0</v>
      </c>
      <c r="O106" s="339">
        <v>0</v>
      </c>
    </row>
    <row r="107" spans="2:15" hidden="1" outlineLevel="1">
      <c r="B107" s="344" t="s">
        <v>478</v>
      </c>
      <c r="G107" s="339">
        <v>0</v>
      </c>
      <c r="H107" s="339">
        <v>0</v>
      </c>
      <c r="I107" s="339">
        <v>0</v>
      </c>
      <c r="J107" s="339">
        <v>0</v>
      </c>
      <c r="K107" s="339">
        <v>0</v>
      </c>
      <c r="L107" s="339">
        <v>3973.7909036866663</v>
      </c>
      <c r="M107" s="339">
        <v>2209.5984842026164</v>
      </c>
      <c r="N107" s="339">
        <v>0</v>
      </c>
      <c r="O107" s="339">
        <v>0</v>
      </c>
    </row>
    <row r="108" spans="2:15" hidden="1" outlineLevel="1">
      <c r="B108" s="344" t="s">
        <v>472</v>
      </c>
      <c r="G108" s="339">
        <v>3111.6194100776065</v>
      </c>
      <c r="H108" s="339">
        <v>0</v>
      </c>
      <c r="I108" s="339">
        <v>0</v>
      </c>
      <c r="J108" s="339">
        <v>0</v>
      </c>
      <c r="K108" s="339">
        <v>0</v>
      </c>
      <c r="L108" s="339">
        <v>0</v>
      </c>
      <c r="M108" s="339">
        <v>1565.1174626941083</v>
      </c>
      <c r="N108" s="339">
        <v>0</v>
      </c>
      <c r="O108" s="339">
        <v>0</v>
      </c>
    </row>
    <row r="109" spans="2:15" collapsed="1"/>
    <row r="110" spans="2:15">
      <c r="C110" s="265"/>
      <c r="D110" s="265"/>
      <c r="E110" s="265"/>
      <c r="F110" s="265"/>
    </row>
    <row r="116" spans="5:6">
      <c r="E116" s="258"/>
      <c r="F116" s="258"/>
    </row>
    <row r="117" spans="5:6">
      <c r="E117" s="258"/>
      <c r="F117" s="258"/>
    </row>
    <row r="118" spans="5:6">
      <c r="E118" s="258"/>
      <c r="F118" s="258"/>
    </row>
    <row r="119" spans="5:6">
      <c r="E119" s="258"/>
      <c r="F119" s="258"/>
    </row>
    <row r="120" spans="5:6">
      <c r="E120" s="258"/>
      <c r="F120" s="258"/>
    </row>
    <row r="121" spans="5:6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4.45" outlineLevelRow="2" outlineLevelCol="2"/>
  <cols>
    <col min="2" max="2" width="26.28515625" style="1" customWidth="1"/>
    <col min="3" max="3" width="9.28515625" style="266" bestFit="1" customWidth="1"/>
    <col min="4" max="4" width="10.140625" style="266" bestFit="1" customWidth="1"/>
    <col min="5" max="5" width="14.42578125" style="266" bestFit="1" customWidth="1"/>
    <col min="6" max="8" width="13.42578125" style="266" bestFit="1" customWidth="1"/>
    <col min="9" max="9" width="13.42578125" style="266" customWidth="1"/>
    <col min="10" max="11" width="12.28515625" style="266" customWidth="1"/>
    <col min="12" max="12" width="13.42578125" style="266" customWidth="1"/>
    <col min="13" max="13" width="13.42578125" style="266" hidden="1" customWidth="1" outlineLevel="2"/>
    <col min="14" max="14" width="13.42578125" style="266" hidden="1" customWidth="1" outlineLevel="1" collapsed="1"/>
    <col min="15" max="15" width="12.28515625" style="266" hidden="1" customWidth="1" outlineLevel="1"/>
    <col min="16" max="16" width="8.85546875" collapsed="1"/>
  </cols>
  <sheetData>
    <row r="1" spans="2:18" ht="15" thickBot="1"/>
    <row r="2" spans="2:18" s="130" customFormat="1" ht="58.15" thickBot="1">
      <c r="B2" s="341" t="s">
        <v>580</v>
      </c>
      <c r="C2" s="367" t="s">
        <v>581</v>
      </c>
      <c r="D2" s="362" t="s">
        <v>582</v>
      </c>
      <c r="E2" s="341" t="s">
        <v>583</v>
      </c>
      <c r="F2" s="367" t="s">
        <v>584</v>
      </c>
      <c r="G2" s="362" t="s">
        <v>585</v>
      </c>
      <c r="H2" s="341" t="s">
        <v>304</v>
      </c>
      <c r="I2" s="360" t="s">
        <v>295</v>
      </c>
      <c r="J2" s="361" t="s">
        <v>299</v>
      </c>
      <c r="K2" s="361" t="s">
        <v>300</v>
      </c>
      <c r="L2" s="362" t="s">
        <v>301</v>
      </c>
      <c r="M2" s="351" t="s">
        <v>303</v>
      </c>
      <c r="N2" s="262" t="s">
        <v>305</v>
      </c>
      <c r="O2" s="262" t="s">
        <v>306</v>
      </c>
    </row>
    <row r="3" spans="2:18">
      <c r="B3" s="358" t="s">
        <v>391</v>
      </c>
      <c r="C3" s="368">
        <f>3+SUM(C4:C8)+1</f>
        <v>9</v>
      </c>
      <c r="D3" s="369">
        <f>C3+SUM(D4:D8)+1</f>
        <v>31</v>
      </c>
      <c r="E3" s="376">
        <f>F3+G3</f>
        <v>30531.489200121774</v>
      </c>
      <c r="F3" s="380">
        <f>I3+J3+K3+L3</f>
        <v>10895.27596530019</v>
      </c>
      <c r="G3" s="402">
        <v>19636.213234821586</v>
      </c>
      <c r="H3" s="376">
        <v>12273.121311639599</v>
      </c>
      <c r="I3" s="363">
        <v>7795.9990057501946</v>
      </c>
      <c r="J3" s="359">
        <v>1421.463026709999</v>
      </c>
      <c r="K3" s="359">
        <v>577.84806899999819</v>
      </c>
      <c r="L3" s="402">
        <v>1099.9658638399994</v>
      </c>
      <c r="M3" s="365">
        <v>2478.7238447799964</v>
      </c>
      <c r="N3" s="267">
        <v>19986.538145539384</v>
      </c>
      <c r="O3" s="267">
        <v>229.76445055999989</v>
      </c>
      <c r="R3" s="346"/>
    </row>
    <row r="4" spans="2:18" hidden="1" outlineLevel="1">
      <c r="B4" s="356" t="s">
        <v>395</v>
      </c>
      <c r="C4" s="370">
        <v>1</v>
      </c>
      <c r="D4" s="371">
        <v>5</v>
      </c>
      <c r="E4" s="377">
        <f t="shared" ref="E4:E35" si="0">F4+G4</f>
        <v>1553.8698499799982</v>
      </c>
      <c r="F4" s="381">
        <f t="shared" ref="F4:F35" si="1">I4+J4+K4+L4</f>
        <v>1553.8698499799982</v>
      </c>
      <c r="G4" s="403">
        <v>0</v>
      </c>
      <c r="H4" s="377">
        <v>347.87941717230007</v>
      </c>
      <c r="I4" s="364">
        <v>0</v>
      </c>
      <c r="J4" s="268">
        <v>578.90279447</v>
      </c>
      <c r="K4" s="268">
        <v>399.9251103599982</v>
      </c>
      <c r="L4" s="403">
        <v>575.04194514999995</v>
      </c>
      <c r="M4" s="364">
        <v>946.13269909000314</v>
      </c>
      <c r="N4" s="268">
        <v>0</v>
      </c>
      <c r="O4" s="268">
        <v>119.69833200999993</v>
      </c>
    </row>
    <row r="5" spans="2:18" hidden="1" outlineLevel="1">
      <c r="B5" s="356" t="s">
        <v>400</v>
      </c>
      <c r="C5" s="370">
        <v>1</v>
      </c>
      <c r="D5" s="371">
        <v>3</v>
      </c>
      <c r="E5" s="377">
        <f t="shared" si="0"/>
        <v>3231.5197725089533</v>
      </c>
      <c r="F5" s="381">
        <f t="shared" si="1"/>
        <v>987.50686609000059</v>
      </c>
      <c r="G5" s="403">
        <v>2244.0129064189528</v>
      </c>
      <c r="H5" s="377">
        <v>1373.3031558077007</v>
      </c>
      <c r="I5" s="364">
        <v>0</v>
      </c>
      <c r="J5" s="268">
        <v>533.97052006000104</v>
      </c>
      <c r="K5" s="268">
        <v>7.8141784400000001</v>
      </c>
      <c r="L5" s="403">
        <v>445.72216758999963</v>
      </c>
      <c r="M5" s="364">
        <v>464.16744719999951</v>
      </c>
      <c r="N5" s="268">
        <v>99.474719699999994</v>
      </c>
      <c r="O5" s="268">
        <v>25.730178769999995</v>
      </c>
    </row>
    <row r="6" spans="2:18" ht="43.15" hidden="1" outlineLevel="1">
      <c r="B6" s="356" t="s">
        <v>392</v>
      </c>
      <c r="C6" s="370">
        <v>1</v>
      </c>
      <c r="D6" s="371">
        <v>5</v>
      </c>
      <c r="E6" s="377">
        <f t="shared" si="0"/>
        <v>8566.796816606362</v>
      </c>
      <c r="F6" s="381">
        <f t="shared" si="1"/>
        <v>8270.9273328201925</v>
      </c>
      <c r="G6" s="403">
        <v>295.86948378616916</v>
      </c>
      <c r="H6" s="377">
        <v>850.82596194839903</v>
      </c>
      <c r="I6" s="364">
        <v>7795.9990057501946</v>
      </c>
      <c r="J6" s="268">
        <v>294.47102413999795</v>
      </c>
      <c r="K6" s="268">
        <v>123.02628884999999</v>
      </c>
      <c r="L6" s="403">
        <v>57.431014080000011</v>
      </c>
      <c r="M6" s="364">
        <v>1068.4236984899937</v>
      </c>
      <c r="N6" s="268">
        <v>0</v>
      </c>
      <c r="O6" s="268">
        <v>82.338081789999947</v>
      </c>
    </row>
    <row r="7" spans="2:18" hidden="1" outlineLevel="1">
      <c r="B7" s="356" t="s">
        <v>406</v>
      </c>
      <c r="C7" s="370">
        <v>1</v>
      </c>
      <c r="D7" s="371">
        <v>4</v>
      </c>
      <c r="E7" s="377">
        <f t="shared" si="0"/>
        <v>8359.3342845734132</v>
      </c>
      <c r="F7" s="381">
        <f t="shared" si="1"/>
        <v>0</v>
      </c>
      <c r="G7" s="403">
        <v>8359.3342845734132</v>
      </c>
      <c r="H7" s="377">
        <v>4794.1233075853006</v>
      </c>
      <c r="I7" s="364">
        <v>0</v>
      </c>
      <c r="J7" s="268">
        <v>0</v>
      </c>
      <c r="K7" s="268">
        <v>0</v>
      </c>
      <c r="L7" s="403">
        <v>0</v>
      </c>
      <c r="M7" s="364">
        <v>0</v>
      </c>
      <c r="N7" s="268">
        <v>14309.051815629386</v>
      </c>
      <c r="O7" s="268">
        <v>0</v>
      </c>
    </row>
    <row r="8" spans="2:18" hidden="1" outlineLevel="1">
      <c r="B8" s="356" t="s">
        <v>404</v>
      </c>
      <c r="C8" s="370">
        <v>1</v>
      </c>
      <c r="D8" s="371">
        <v>4</v>
      </c>
      <c r="E8" s="377">
        <f t="shared" si="0"/>
        <v>8819.9684764530521</v>
      </c>
      <c r="F8" s="381">
        <f t="shared" si="1"/>
        <v>82.971916409999992</v>
      </c>
      <c r="G8" s="403">
        <v>8736.9965600430514</v>
      </c>
      <c r="H8" s="377">
        <v>4906.9894691258996</v>
      </c>
      <c r="I8" s="364">
        <v>0</v>
      </c>
      <c r="J8" s="268">
        <v>14.118688039999999</v>
      </c>
      <c r="K8" s="268">
        <v>47.082491349999991</v>
      </c>
      <c r="L8" s="403">
        <v>21.770737020000002</v>
      </c>
      <c r="M8" s="364">
        <v>0</v>
      </c>
      <c r="N8" s="268">
        <v>5578.0116102099983</v>
      </c>
      <c r="O8" s="268">
        <v>1.99785799</v>
      </c>
    </row>
    <row r="9" spans="2:18" collapsed="1">
      <c r="B9" s="355" t="s">
        <v>566</v>
      </c>
      <c r="C9" s="372">
        <f>3+SUM(C10:C14)</f>
        <v>8</v>
      </c>
      <c r="D9" s="373">
        <f>C9+SUM(D10:D14)+1</f>
        <v>27</v>
      </c>
      <c r="E9" s="378">
        <f t="shared" si="0"/>
        <v>32945.039675367836</v>
      </c>
      <c r="F9" s="382">
        <f t="shared" si="1"/>
        <v>5457.2529747800145</v>
      </c>
      <c r="G9" s="404">
        <v>27487.786700587818</v>
      </c>
      <c r="H9" s="378">
        <v>15542.800757655601</v>
      </c>
      <c r="I9" s="365">
        <v>3662.564846030014</v>
      </c>
      <c r="J9" s="267">
        <v>173.16369879999999</v>
      </c>
      <c r="K9" s="267">
        <v>213.51334866999997</v>
      </c>
      <c r="L9" s="404">
        <v>1408.0110812800001</v>
      </c>
      <c r="M9" s="365">
        <v>1234.3652387949999</v>
      </c>
      <c r="N9" s="267">
        <v>18132.457968977826</v>
      </c>
      <c r="O9" s="267">
        <v>0</v>
      </c>
    </row>
    <row r="10" spans="2:18" hidden="1" outlineLevel="1">
      <c r="B10" s="356" t="s">
        <v>328</v>
      </c>
      <c r="C10" s="370">
        <v>1</v>
      </c>
      <c r="D10" s="371">
        <v>2</v>
      </c>
      <c r="E10" s="377">
        <f t="shared" si="0"/>
        <v>870.08585702000005</v>
      </c>
      <c r="F10" s="381">
        <f t="shared" si="1"/>
        <v>870.08585702000005</v>
      </c>
      <c r="G10" s="403">
        <v>0</v>
      </c>
      <c r="H10" s="377">
        <v>3.2087243721000003</v>
      </c>
      <c r="I10" s="364">
        <v>75.907049919999992</v>
      </c>
      <c r="J10" s="268">
        <v>107.33266947</v>
      </c>
      <c r="K10" s="268">
        <v>122.43241521999997</v>
      </c>
      <c r="L10" s="403">
        <v>564.4137224100001</v>
      </c>
      <c r="M10" s="364">
        <v>57.874596949999876</v>
      </c>
      <c r="N10" s="268">
        <v>0</v>
      </c>
      <c r="O10" s="268">
        <v>0</v>
      </c>
    </row>
    <row r="11" spans="2:18" hidden="1" outlineLevel="1">
      <c r="B11" s="356" t="s">
        <v>323</v>
      </c>
      <c r="C11" s="370">
        <v>1</v>
      </c>
      <c r="D11" s="371">
        <v>4</v>
      </c>
      <c r="E11" s="377">
        <f t="shared" si="0"/>
        <v>1538.4790486999977</v>
      </c>
      <c r="F11" s="381">
        <f t="shared" si="1"/>
        <v>1538.4790486999977</v>
      </c>
      <c r="G11" s="403">
        <v>0</v>
      </c>
      <c r="H11" s="377">
        <v>0.65</v>
      </c>
      <c r="I11" s="364">
        <v>537.96972704999769</v>
      </c>
      <c r="J11" s="268">
        <v>65.831029329999993</v>
      </c>
      <c r="K11" s="268">
        <v>91.080933449999975</v>
      </c>
      <c r="L11" s="403">
        <v>843.59735887000022</v>
      </c>
      <c r="M11" s="364">
        <v>1176.490641845</v>
      </c>
      <c r="N11" s="268">
        <v>0</v>
      </c>
      <c r="O11" s="268">
        <v>0</v>
      </c>
    </row>
    <row r="12" spans="2:18" hidden="1" outlineLevel="1">
      <c r="B12" s="356" t="s">
        <v>342</v>
      </c>
      <c r="C12" s="370">
        <v>1</v>
      </c>
      <c r="D12" s="371">
        <v>3</v>
      </c>
      <c r="E12" s="377">
        <f t="shared" si="0"/>
        <v>3048.6880690600165</v>
      </c>
      <c r="F12" s="381">
        <f t="shared" si="1"/>
        <v>3048.6880690600165</v>
      </c>
      <c r="G12" s="403">
        <v>0</v>
      </c>
      <c r="H12" s="377">
        <v>361.01</v>
      </c>
      <c r="I12" s="364">
        <v>3048.6880690600165</v>
      </c>
      <c r="J12" s="268">
        <v>0</v>
      </c>
      <c r="K12" s="268">
        <v>0</v>
      </c>
      <c r="L12" s="403">
        <v>0</v>
      </c>
      <c r="M12" s="364">
        <v>0</v>
      </c>
      <c r="N12" s="268">
        <v>0</v>
      </c>
      <c r="O12" s="268">
        <v>0</v>
      </c>
    </row>
    <row r="13" spans="2:18" ht="28.9" hidden="1" outlineLevel="1">
      <c r="B13" s="356" t="s">
        <v>367</v>
      </c>
      <c r="C13" s="370">
        <v>1</v>
      </c>
      <c r="D13" s="371">
        <v>5</v>
      </c>
      <c r="E13" s="377">
        <f t="shared" si="0"/>
        <v>15341.407347053479</v>
      </c>
      <c r="F13" s="381">
        <f t="shared" si="1"/>
        <v>0</v>
      </c>
      <c r="G13" s="403">
        <v>15341.407347053479</v>
      </c>
      <c r="H13" s="377">
        <v>8867.4410380933004</v>
      </c>
      <c r="I13" s="364">
        <v>0</v>
      </c>
      <c r="J13" s="268">
        <v>0</v>
      </c>
      <c r="K13" s="268">
        <v>0</v>
      </c>
      <c r="L13" s="403">
        <v>0</v>
      </c>
      <c r="M13" s="364">
        <v>0</v>
      </c>
      <c r="N13" s="268">
        <v>6817.7504379784077</v>
      </c>
      <c r="O13" s="268">
        <v>0</v>
      </c>
    </row>
    <row r="14" spans="2:18" ht="28.9" hidden="1" outlineLevel="1">
      <c r="B14" s="356" t="s">
        <v>369</v>
      </c>
      <c r="C14" s="370">
        <v>1</v>
      </c>
      <c r="D14" s="371">
        <v>4</v>
      </c>
      <c r="E14" s="377">
        <f t="shared" si="0"/>
        <v>12146.379353534339</v>
      </c>
      <c r="F14" s="381">
        <f t="shared" si="1"/>
        <v>0</v>
      </c>
      <c r="G14" s="403">
        <v>12146.379353534339</v>
      </c>
      <c r="H14" s="377">
        <v>6310.4909951902</v>
      </c>
      <c r="I14" s="364">
        <v>0</v>
      </c>
      <c r="J14" s="268">
        <v>0</v>
      </c>
      <c r="K14" s="268">
        <v>0</v>
      </c>
      <c r="L14" s="403">
        <v>0</v>
      </c>
      <c r="M14" s="364">
        <v>0</v>
      </c>
      <c r="N14" s="268">
        <v>11314.707530999416</v>
      </c>
      <c r="O14" s="268">
        <v>0</v>
      </c>
    </row>
    <row r="15" spans="2:18" collapsed="1">
      <c r="B15" s="355" t="s">
        <v>531</v>
      </c>
      <c r="C15" s="372">
        <f>3+SUM(C16:C19)</f>
        <v>7</v>
      </c>
      <c r="D15" s="373">
        <f>C15+SUM(D16:D19)+1</f>
        <v>22</v>
      </c>
      <c r="E15" s="378">
        <f t="shared" si="0"/>
        <v>22134.897029869255</v>
      </c>
      <c r="F15" s="382">
        <f t="shared" si="1"/>
        <v>5095.6606410700006</v>
      </c>
      <c r="G15" s="404">
        <v>17039.236388799254</v>
      </c>
      <c r="H15" s="378">
        <v>11916.8986853228</v>
      </c>
      <c r="I15" s="365">
        <v>1396.6687616800002</v>
      </c>
      <c r="J15" s="267">
        <v>710.29184913999995</v>
      </c>
      <c r="K15" s="267">
        <v>1379.57056158</v>
      </c>
      <c r="L15" s="404">
        <v>1609.1294686700001</v>
      </c>
      <c r="M15" s="365">
        <v>30.151158260957615</v>
      </c>
      <c r="N15" s="267">
        <v>17894.758836269666</v>
      </c>
      <c r="O15" s="267">
        <v>0</v>
      </c>
    </row>
    <row r="16" spans="2:18" hidden="1" outlineLevel="1">
      <c r="B16" s="356" t="s">
        <v>532</v>
      </c>
      <c r="C16" s="370">
        <v>1</v>
      </c>
      <c r="D16" s="371">
        <v>3</v>
      </c>
      <c r="E16" s="377">
        <f t="shared" si="0"/>
        <v>2205.5616479200003</v>
      </c>
      <c r="F16" s="381">
        <f t="shared" si="1"/>
        <v>2205.5616479200003</v>
      </c>
      <c r="G16" s="403">
        <v>0</v>
      </c>
      <c r="H16" s="377">
        <v>1.1193</v>
      </c>
      <c r="I16" s="364">
        <v>390.49090773000012</v>
      </c>
      <c r="J16" s="268">
        <v>31.784312930000041</v>
      </c>
      <c r="K16" s="268">
        <v>807.06392650999999</v>
      </c>
      <c r="L16" s="403">
        <v>976.22250074999999</v>
      </c>
      <c r="M16" s="364">
        <v>0</v>
      </c>
      <c r="N16" s="268">
        <v>0</v>
      </c>
      <c r="O16" s="268">
        <v>0</v>
      </c>
    </row>
    <row r="17" spans="2:15" ht="28.9" hidden="1" outlineLevel="1">
      <c r="B17" s="356" t="s">
        <v>534</v>
      </c>
      <c r="C17" s="370">
        <v>1</v>
      </c>
      <c r="D17" s="371">
        <v>4</v>
      </c>
      <c r="E17" s="377">
        <f t="shared" si="0"/>
        <v>2890.0989931500003</v>
      </c>
      <c r="F17" s="381">
        <f t="shared" si="1"/>
        <v>2890.0989931500003</v>
      </c>
      <c r="G17" s="403">
        <v>0</v>
      </c>
      <c r="H17" s="377">
        <v>533.285680447</v>
      </c>
      <c r="I17" s="364">
        <v>1006.1778539500002</v>
      </c>
      <c r="J17" s="268">
        <v>678.5075362099999</v>
      </c>
      <c r="K17" s="268">
        <v>572.50663506999979</v>
      </c>
      <c r="L17" s="403">
        <v>632.90696792000006</v>
      </c>
      <c r="M17" s="364">
        <v>0</v>
      </c>
      <c r="N17" s="268">
        <v>0</v>
      </c>
      <c r="O17" s="268">
        <v>0</v>
      </c>
    </row>
    <row r="18" spans="2:15" hidden="1" outlineLevel="1">
      <c r="B18" s="356" t="s">
        <v>557</v>
      </c>
      <c r="C18" s="370">
        <v>1</v>
      </c>
      <c r="D18" s="371">
        <v>4</v>
      </c>
      <c r="E18" s="377">
        <f t="shared" si="0"/>
        <v>9219.4500760850515</v>
      </c>
      <c r="F18" s="381">
        <f t="shared" si="1"/>
        <v>0</v>
      </c>
      <c r="G18" s="403">
        <v>9219.4500760850515</v>
      </c>
      <c r="H18" s="377">
        <v>5762.5538821981008</v>
      </c>
      <c r="I18" s="364">
        <v>0</v>
      </c>
      <c r="J18" s="268">
        <v>0</v>
      </c>
      <c r="K18" s="268">
        <v>0</v>
      </c>
      <c r="L18" s="403">
        <v>0</v>
      </c>
      <c r="M18" s="364">
        <v>27.130505840957614</v>
      </c>
      <c r="N18" s="268">
        <v>1239.276737919979</v>
      </c>
      <c r="O18" s="268">
        <v>0</v>
      </c>
    </row>
    <row r="19" spans="2:15" hidden="1" outlineLevel="1">
      <c r="B19" s="356" t="s">
        <v>561</v>
      </c>
      <c r="C19" s="370">
        <v>1</v>
      </c>
      <c r="D19" s="371">
        <v>3</v>
      </c>
      <c r="E19" s="377">
        <f t="shared" si="0"/>
        <v>7819.7863127142036</v>
      </c>
      <c r="F19" s="381">
        <f t="shared" si="1"/>
        <v>0</v>
      </c>
      <c r="G19" s="403">
        <v>7819.7863127142036</v>
      </c>
      <c r="H19" s="377">
        <v>5619.9398226776993</v>
      </c>
      <c r="I19" s="364">
        <v>0</v>
      </c>
      <c r="J19" s="268">
        <v>0</v>
      </c>
      <c r="K19" s="268">
        <v>0</v>
      </c>
      <c r="L19" s="403">
        <v>0</v>
      </c>
      <c r="M19" s="364">
        <v>3.0206524199999998</v>
      </c>
      <c r="N19" s="268">
        <v>16655.482098349687</v>
      </c>
      <c r="O19" s="268">
        <v>0</v>
      </c>
    </row>
    <row r="20" spans="2:15" collapsed="1">
      <c r="B20" s="355" t="s">
        <v>494</v>
      </c>
      <c r="C20" s="372">
        <f>3+SUM(C21:C25)</f>
        <v>8</v>
      </c>
      <c r="D20" s="373">
        <f>C20+SUM(D21:D25)+1</f>
        <v>26</v>
      </c>
      <c r="E20" s="378">
        <f t="shared" si="0"/>
        <v>29988.285760598104</v>
      </c>
      <c r="F20" s="382">
        <f t="shared" si="1"/>
        <v>4863.1736128500033</v>
      </c>
      <c r="G20" s="404">
        <v>25125.112147748099</v>
      </c>
      <c r="H20" s="378">
        <v>15579.989592549202</v>
      </c>
      <c r="I20" s="365">
        <v>0</v>
      </c>
      <c r="J20" s="267">
        <v>819.35425326999996</v>
      </c>
      <c r="K20" s="267">
        <v>1212.8315041000023</v>
      </c>
      <c r="L20" s="404">
        <v>2830.9878554800007</v>
      </c>
      <c r="M20" s="365">
        <v>2258.7946356799998</v>
      </c>
      <c r="N20" s="267">
        <v>25108.963002738099</v>
      </c>
      <c r="O20" s="267">
        <v>0</v>
      </c>
    </row>
    <row r="21" spans="2:15" hidden="1" outlineLevel="1">
      <c r="B21" s="356" t="s">
        <v>495</v>
      </c>
      <c r="C21" s="370">
        <v>1</v>
      </c>
      <c r="D21" s="371">
        <v>4</v>
      </c>
      <c r="E21" s="377">
        <f t="shared" si="0"/>
        <v>4805.7731279234686</v>
      </c>
      <c r="F21" s="381">
        <f t="shared" si="1"/>
        <v>2665.1572822400021</v>
      </c>
      <c r="G21" s="403">
        <v>2140.6158456834664</v>
      </c>
      <c r="H21" s="377">
        <v>1078.9944829924</v>
      </c>
      <c r="I21" s="364">
        <v>0</v>
      </c>
      <c r="J21" s="268">
        <v>261.38528133999995</v>
      </c>
      <c r="K21" s="268">
        <v>724.3178531900021</v>
      </c>
      <c r="L21" s="403">
        <v>1679.4541477100004</v>
      </c>
      <c r="M21" s="364">
        <v>1073.5733923999996</v>
      </c>
      <c r="N21" s="268">
        <v>0</v>
      </c>
      <c r="O21" s="268">
        <v>0</v>
      </c>
    </row>
    <row r="22" spans="2:15" hidden="1" outlineLevel="1">
      <c r="B22" s="356" t="s">
        <v>500</v>
      </c>
      <c r="C22" s="370">
        <v>1</v>
      </c>
      <c r="D22" s="371">
        <v>3</v>
      </c>
      <c r="E22" s="377">
        <f t="shared" si="0"/>
        <v>1444.4096538200006</v>
      </c>
      <c r="F22" s="381">
        <f t="shared" si="1"/>
        <v>1444.4096538200006</v>
      </c>
      <c r="G22" s="403">
        <v>0</v>
      </c>
      <c r="H22" s="377">
        <v>3.7953370000000004</v>
      </c>
      <c r="I22" s="364">
        <v>0</v>
      </c>
      <c r="J22" s="268">
        <v>424.67587693000002</v>
      </c>
      <c r="K22" s="268">
        <v>283.75698429000033</v>
      </c>
      <c r="L22" s="403">
        <v>735.97679260000029</v>
      </c>
      <c r="M22" s="364">
        <v>1075.4139824999997</v>
      </c>
      <c r="N22" s="268">
        <v>0</v>
      </c>
      <c r="O22" s="268">
        <v>0</v>
      </c>
    </row>
    <row r="23" spans="2:15" hidden="1" outlineLevel="1">
      <c r="B23" s="356" t="s">
        <v>508</v>
      </c>
      <c r="C23" s="370">
        <v>1</v>
      </c>
      <c r="D23" s="371">
        <v>3</v>
      </c>
      <c r="E23" s="377">
        <f t="shared" si="0"/>
        <v>1643.1814714499783</v>
      </c>
      <c r="F23" s="381">
        <f t="shared" si="1"/>
        <v>753.60667678999994</v>
      </c>
      <c r="G23" s="403">
        <v>889.57479465997847</v>
      </c>
      <c r="H23" s="377">
        <v>577.76288474320006</v>
      </c>
      <c r="I23" s="364">
        <v>0</v>
      </c>
      <c r="J23" s="268">
        <v>133.29309499999997</v>
      </c>
      <c r="K23" s="268">
        <v>204.75666661999992</v>
      </c>
      <c r="L23" s="403">
        <v>415.55691516999997</v>
      </c>
      <c r="M23" s="364">
        <v>109.80726077999999</v>
      </c>
      <c r="N23" s="268">
        <v>0</v>
      </c>
      <c r="O23" s="268">
        <v>0</v>
      </c>
    </row>
    <row r="24" spans="2:15" hidden="1" outlineLevel="1">
      <c r="B24" s="356" t="s">
        <v>512</v>
      </c>
      <c r="C24" s="370">
        <v>1</v>
      </c>
      <c r="D24" s="371">
        <v>3</v>
      </c>
      <c r="E24" s="377">
        <f t="shared" si="0"/>
        <v>10124.639624576168</v>
      </c>
      <c r="F24" s="381">
        <f t="shared" si="1"/>
        <v>0</v>
      </c>
      <c r="G24" s="403">
        <v>10124.639624576168</v>
      </c>
      <c r="H24" s="377">
        <v>6569.7672306954992</v>
      </c>
      <c r="I24" s="364">
        <v>0</v>
      </c>
      <c r="J24" s="268">
        <v>0</v>
      </c>
      <c r="K24" s="268">
        <v>0</v>
      </c>
      <c r="L24" s="403">
        <v>0</v>
      </c>
      <c r="M24" s="364">
        <v>0</v>
      </c>
      <c r="N24" s="268">
        <v>8507.1196553092268</v>
      </c>
      <c r="O24" s="268">
        <v>0</v>
      </c>
    </row>
    <row r="25" spans="2:15" hidden="1" outlineLevel="1">
      <c r="B25" s="356" t="s">
        <v>514</v>
      </c>
      <c r="C25" s="370">
        <v>1</v>
      </c>
      <c r="D25" s="371">
        <v>4</v>
      </c>
      <c r="E25" s="377">
        <f t="shared" si="0"/>
        <v>11970.281882828489</v>
      </c>
      <c r="F25" s="381">
        <f t="shared" si="1"/>
        <v>0</v>
      </c>
      <c r="G25" s="403">
        <v>11970.281882828489</v>
      </c>
      <c r="H25" s="377">
        <v>7349.6696571181028</v>
      </c>
      <c r="I25" s="364">
        <v>0</v>
      </c>
      <c r="J25" s="268">
        <v>0</v>
      </c>
      <c r="K25" s="268">
        <v>0</v>
      </c>
      <c r="L25" s="403">
        <v>0</v>
      </c>
      <c r="M25" s="364">
        <v>0</v>
      </c>
      <c r="N25" s="268">
        <v>16601.843347428872</v>
      </c>
      <c r="O25" s="268">
        <v>0</v>
      </c>
    </row>
    <row r="26" spans="2:15" collapsed="1">
      <c r="B26" s="355" t="s">
        <v>443</v>
      </c>
      <c r="C26" s="372">
        <f>3+SUM(C27:C31)</f>
        <v>8</v>
      </c>
      <c r="D26" s="373">
        <f>C26+SUM(D27:D31)+1</f>
        <v>21</v>
      </c>
      <c r="E26" s="378">
        <f t="shared" si="0"/>
        <v>8907.9498912600011</v>
      </c>
      <c r="F26" s="382">
        <f t="shared" si="1"/>
        <v>7639.072182079999</v>
      </c>
      <c r="G26" s="404">
        <v>1268.8777091800027</v>
      </c>
      <c r="H26" s="378">
        <v>855.64039110279998</v>
      </c>
      <c r="I26" s="365">
        <v>864.52190231999987</v>
      </c>
      <c r="J26" s="267">
        <v>2450.7088284699998</v>
      </c>
      <c r="K26" s="267">
        <v>836.40869887000008</v>
      </c>
      <c r="L26" s="404">
        <v>3487.4327524200003</v>
      </c>
      <c r="M26" s="365">
        <v>636.21177519999992</v>
      </c>
      <c r="N26" s="267">
        <v>986.26229077999062</v>
      </c>
      <c r="O26" s="267">
        <v>1913.6581338300027</v>
      </c>
    </row>
    <row r="27" spans="2:15" hidden="1" outlineLevel="1">
      <c r="B27" s="356" t="s">
        <v>448</v>
      </c>
      <c r="C27" s="370">
        <v>1</v>
      </c>
      <c r="D27" s="371">
        <v>4</v>
      </c>
      <c r="E27" s="377">
        <f t="shared" si="0"/>
        <v>3056.2469241100007</v>
      </c>
      <c r="F27" s="381">
        <f t="shared" si="1"/>
        <v>2302.9212674499995</v>
      </c>
      <c r="G27" s="403">
        <v>753.3256566600013</v>
      </c>
      <c r="H27" s="377">
        <v>586.51244633019996</v>
      </c>
      <c r="I27" s="364">
        <v>0</v>
      </c>
      <c r="J27" s="268">
        <v>901.71375716999989</v>
      </c>
      <c r="K27" s="268">
        <v>522.36151340000004</v>
      </c>
      <c r="L27" s="403">
        <v>878.8459968799998</v>
      </c>
      <c r="M27" s="364">
        <v>18.11060694</v>
      </c>
      <c r="N27" s="268">
        <v>0</v>
      </c>
      <c r="O27" s="268">
        <v>0</v>
      </c>
    </row>
    <row r="28" spans="2:15" ht="28.9" hidden="1" outlineLevel="1">
      <c r="B28" s="356" t="s">
        <v>444</v>
      </c>
      <c r="C28" s="370">
        <v>1</v>
      </c>
      <c r="D28" s="371">
        <v>4</v>
      </c>
      <c r="E28" s="377">
        <f t="shared" si="0"/>
        <v>2345.7751313300009</v>
      </c>
      <c r="F28" s="381">
        <f t="shared" si="1"/>
        <v>2031.3369777600001</v>
      </c>
      <c r="G28" s="403">
        <v>314.43815357000079</v>
      </c>
      <c r="H28" s="377">
        <v>130.42390994099995</v>
      </c>
      <c r="I28" s="364">
        <v>0</v>
      </c>
      <c r="J28" s="268">
        <v>713.47514595000007</v>
      </c>
      <c r="K28" s="268">
        <v>235.62862249</v>
      </c>
      <c r="L28" s="403">
        <v>1082.23320932</v>
      </c>
      <c r="M28" s="364">
        <v>257.44670998999993</v>
      </c>
      <c r="N28" s="268">
        <v>0</v>
      </c>
      <c r="O28" s="268">
        <v>0</v>
      </c>
    </row>
    <row r="29" spans="2:15" ht="28.9" hidden="1" outlineLevel="1">
      <c r="B29" s="356" t="s">
        <v>458</v>
      </c>
      <c r="C29" s="370">
        <v>1</v>
      </c>
      <c r="D29" s="371">
        <v>4</v>
      </c>
      <c r="E29" s="377">
        <f t="shared" si="0"/>
        <v>2641.4059335000002</v>
      </c>
      <c r="F29" s="381">
        <f t="shared" si="1"/>
        <v>2440.2920345499997</v>
      </c>
      <c r="G29" s="403">
        <v>201.11389895000065</v>
      </c>
      <c r="H29" s="377">
        <v>138.70403483160004</v>
      </c>
      <c r="I29" s="364">
        <v>0</v>
      </c>
      <c r="J29" s="268">
        <v>835.51992534999988</v>
      </c>
      <c r="K29" s="268">
        <v>78.418562980000004</v>
      </c>
      <c r="L29" s="403">
        <v>1526.35354622</v>
      </c>
      <c r="M29" s="364">
        <v>360.65445826999996</v>
      </c>
      <c r="N29" s="268">
        <v>986.26229077999062</v>
      </c>
      <c r="O29" s="268">
        <v>0</v>
      </c>
    </row>
    <row r="30" spans="2:15" hidden="1" outlineLevel="1">
      <c r="B30" s="356" t="s">
        <v>452</v>
      </c>
      <c r="C30" s="370">
        <v>1</v>
      </c>
      <c r="D30" s="371">
        <v>0</v>
      </c>
      <c r="E30" s="377">
        <f t="shared" si="0"/>
        <v>0</v>
      </c>
      <c r="F30" s="381">
        <f t="shared" si="1"/>
        <v>0</v>
      </c>
      <c r="G30" s="403">
        <v>0</v>
      </c>
      <c r="H30" s="377">
        <v>0</v>
      </c>
      <c r="I30" s="364">
        <v>0</v>
      </c>
      <c r="J30" s="268">
        <v>0</v>
      </c>
      <c r="K30" s="268">
        <v>0</v>
      </c>
      <c r="L30" s="403">
        <v>0</v>
      </c>
      <c r="M30" s="364">
        <v>0</v>
      </c>
      <c r="N30" s="268">
        <v>0</v>
      </c>
      <c r="O30" s="268">
        <v>1485.79293396</v>
      </c>
    </row>
    <row r="31" spans="2:15" hidden="1" outlineLevel="1">
      <c r="B31" s="356" t="s">
        <v>467</v>
      </c>
      <c r="C31" s="370">
        <v>1</v>
      </c>
      <c r="D31" s="371">
        <v>0</v>
      </c>
      <c r="E31" s="377">
        <f t="shared" si="0"/>
        <v>864.52190231999987</v>
      </c>
      <c r="F31" s="381">
        <f t="shared" si="1"/>
        <v>864.52190231999987</v>
      </c>
      <c r="G31" s="403">
        <v>0</v>
      </c>
      <c r="H31" s="377">
        <v>0</v>
      </c>
      <c r="I31" s="364">
        <v>864.52190231999987</v>
      </c>
      <c r="J31" s="268">
        <v>0</v>
      </c>
      <c r="K31" s="268">
        <v>0</v>
      </c>
      <c r="L31" s="403">
        <v>0</v>
      </c>
      <c r="M31" s="364">
        <v>0</v>
      </c>
      <c r="N31" s="268">
        <v>0</v>
      </c>
      <c r="O31" s="268">
        <v>427.86519987000287</v>
      </c>
    </row>
    <row r="32" spans="2:15" ht="15" collapsed="1" thickBot="1">
      <c r="B32" s="357" t="s">
        <v>469</v>
      </c>
      <c r="C32" s="374">
        <f>3+SUM(C33:C35)</f>
        <v>6</v>
      </c>
      <c r="D32" s="375">
        <f>C32+SUM(D33:D35)+1</f>
        <v>19</v>
      </c>
      <c r="E32" s="379">
        <f t="shared" si="0"/>
        <v>13408.901903740845</v>
      </c>
      <c r="F32" s="383">
        <f t="shared" si="1"/>
        <v>5568.3747416633369</v>
      </c>
      <c r="G32" s="405">
        <v>7840.5271620775084</v>
      </c>
      <c r="H32" s="379">
        <v>6868.6013486542224</v>
      </c>
      <c r="I32" s="366">
        <v>3762.6053336533359</v>
      </c>
      <c r="J32" s="354">
        <v>513.83624372999998</v>
      </c>
      <c r="K32" s="354">
        <v>389.19992187999992</v>
      </c>
      <c r="L32" s="405">
        <v>902.73324240000034</v>
      </c>
      <c r="M32" s="365">
        <v>4231.6722222766666</v>
      </c>
      <c r="N32" s="267">
        <v>0</v>
      </c>
      <c r="O32" s="267">
        <v>0</v>
      </c>
    </row>
    <row r="33" spans="2:15" ht="43.15" hidden="1" outlineLevel="1">
      <c r="B33" s="352" t="s">
        <v>486</v>
      </c>
      <c r="C33" s="353">
        <v>1</v>
      </c>
      <c r="D33" s="353">
        <v>4</v>
      </c>
      <c r="E33" s="348">
        <f t="shared" si="0"/>
        <v>1547.8880894200004</v>
      </c>
      <c r="F33" s="348">
        <f t="shared" si="1"/>
        <v>1547.8880894200004</v>
      </c>
      <c r="G33" s="348">
        <v>0</v>
      </c>
      <c r="H33" s="348">
        <v>0</v>
      </c>
      <c r="I33" s="348">
        <v>0</v>
      </c>
      <c r="J33" s="348">
        <v>513.83624372999998</v>
      </c>
      <c r="K33" s="348">
        <v>131.31860329000008</v>
      </c>
      <c r="L33" s="348">
        <v>902.73324240000034</v>
      </c>
      <c r="M33" s="268">
        <v>0</v>
      </c>
      <c r="N33" s="268">
        <v>0</v>
      </c>
      <c r="O33" s="268">
        <v>0</v>
      </c>
    </row>
    <row r="34" spans="2:15" hidden="1" outlineLevel="1">
      <c r="B34" s="350" t="s">
        <v>474</v>
      </c>
      <c r="C34" s="216">
        <v>1</v>
      </c>
      <c r="D34" s="216">
        <v>4</v>
      </c>
      <c r="E34" s="268">
        <f t="shared" si="0"/>
        <v>4020.4866522433358</v>
      </c>
      <c r="F34" s="268">
        <f t="shared" si="1"/>
        <v>4020.4866522433358</v>
      </c>
      <c r="G34" s="268">
        <v>0</v>
      </c>
      <c r="H34" s="268">
        <v>0</v>
      </c>
      <c r="I34" s="268">
        <v>3762.6053336533359</v>
      </c>
      <c r="J34" s="268">
        <v>0</v>
      </c>
      <c r="K34" s="268">
        <v>257.88131858999986</v>
      </c>
      <c r="L34" s="268">
        <v>0</v>
      </c>
      <c r="M34" s="268">
        <v>257.88131858999986</v>
      </c>
      <c r="N34" s="268">
        <v>0</v>
      </c>
      <c r="O34" s="268">
        <v>0</v>
      </c>
    </row>
    <row r="35" spans="2:15" hidden="1" outlineLevel="1">
      <c r="B35" s="350" t="s">
        <v>470</v>
      </c>
      <c r="C35" s="216">
        <v>1</v>
      </c>
      <c r="D35" s="216">
        <v>4</v>
      </c>
      <c r="E35" s="268">
        <f t="shared" si="0"/>
        <v>7840.5271620775084</v>
      </c>
      <c r="F35" s="268">
        <f t="shared" si="1"/>
        <v>0</v>
      </c>
      <c r="G35" s="268">
        <v>7840.5271620775084</v>
      </c>
      <c r="H35" s="268">
        <v>6868.6013486542224</v>
      </c>
      <c r="I35" s="268">
        <v>0</v>
      </c>
      <c r="J35" s="268">
        <v>0</v>
      </c>
      <c r="K35" s="268">
        <v>0</v>
      </c>
      <c r="L35" s="268">
        <v>0</v>
      </c>
      <c r="M35" s="268">
        <v>3973.7909036866663</v>
      </c>
      <c r="N35" s="268">
        <v>0</v>
      </c>
      <c r="O35" s="268">
        <v>0</v>
      </c>
    </row>
    <row r="36" spans="2:15" collapsed="1">
      <c r="D36" s="500">
        <f>D3+D9+D15+D20+D26+D32</f>
        <v>146</v>
      </c>
      <c r="E36" s="500">
        <f t="shared" ref="E36:O36" si="2">E3+E9+E15+E20+E26+E32</f>
        <v>137916.56346095781</v>
      </c>
      <c r="F36" s="500">
        <f t="shared" si="2"/>
        <v>39518.810117743538</v>
      </c>
      <c r="G36" s="500">
        <f t="shared" si="2"/>
        <v>98397.753343214266</v>
      </c>
      <c r="H36" s="500">
        <f>H3+H9+H15+H20+H26+H32</f>
        <v>63037.052086924225</v>
      </c>
      <c r="I36" s="500">
        <f t="shared" si="2"/>
        <v>17482.359849433546</v>
      </c>
      <c r="J36" s="500">
        <f t="shared" si="2"/>
        <v>6088.8179001199987</v>
      </c>
      <c r="K36" s="500">
        <f t="shared" si="2"/>
        <v>4609.3721041000008</v>
      </c>
      <c r="L36" s="500">
        <f t="shared" si="2"/>
        <v>11338.26026409</v>
      </c>
      <c r="M36" s="500">
        <f t="shared" si="2"/>
        <v>10869.918874992622</v>
      </c>
      <c r="N36" s="500">
        <f t="shared" si="2"/>
        <v>82108.980244304985</v>
      </c>
      <c r="O36" s="500">
        <f t="shared" si="2"/>
        <v>2143.4225843900026</v>
      </c>
    </row>
    <row r="37" spans="2:15" ht="15" thickBot="1"/>
    <row r="38" spans="2:15" s="130" customFormat="1" ht="58.15" thickBot="1">
      <c r="B38" s="384" t="s">
        <v>591</v>
      </c>
      <c r="C38" s="367" t="s">
        <v>581</v>
      </c>
      <c r="D38" s="362" t="s">
        <v>582</v>
      </c>
      <c r="E38" s="341" t="s">
        <v>583</v>
      </c>
      <c r="F38" s="360" t="s">
        <v>584</v>
      </c>
      <c r="G38" s="389" t="s">
        <v>585</v>
      </c>
      <c r="H38" s="341" t="s">
        <v>304</v>
      </c>
      <c r="I38" s="360" t="s">
        <v>295</v>
      </c>
      <c r="J38" s="361" t="s">
        <v>299</v>
      </c>
      <c r="K38" s="361" t="s">
        <v>300</v>
      </c>
      <c r="L38" s="362" t="s">
        <v>301</v>
      </c>
      <c r="M38" s="351" t="s">
        <v>303</v>
      </c>
      <c r="N38" s="262" t="s">
        <v>305</v>
      </c>
      <c r="O38" s="262" t="s">
        <v>306</v>
      </c>
    </row>
    <row r="39" spans="2:15">
      <c r="B39" s="385" t="s">
        <v>391</v>
      </c>
      <c r="C39" s="368">
        <f>3+SUM(C40:C44)+1</f>
        <v>9</v>
      </c>
      <c r="D39" s="369">
        <f>C39+SUM(D40:D44)+1</f>
        <v>31</v>
      </c>
      <c r="E39" s="376">
        <f t="shared" ref="E39:E68" si="3">F39+G39</f>
        <v>30531.489200121774</v>
      </c>
      <c r="F39" s="363">
        <f t="shared" ref="F39:F68" si="4">I39+J39+K39+L39</f>
        <v>10895.27596530019</v>
      </c>
      <c r="G39" s="406">
        <v>19636.213234821586</v>
      </c>
      <c r="H39" s="376">
        <v>12273.121311639599</v>
      </c>
      <c r="I39" s="363">
        <v>7795.9990057501946</v>
      </c>
      <c r="J39" s="359">
        <v>1421.463026709999</v>
      </c>
      <c r="K39" s="359">
        <v>577.84806899999819</v>
      </c>
      <c r="L39" s="402">
        <v>1099.9658638399994</v>
      </c>
      <c r="M39" s="365">
        <v>2478.7238447799964</v>
      </c>
      <c r="N39" s="267">
        <v>19986.538145539384</v>
      </c>
      <c r="O39" s="267">
        <v>229.76445055999989</v>
      </c>
    </row>
    <row r="40" spans="2:15" hidden="1" outlineLevel="1">
      <c r="B40" s="386" t="s">
        <v>395</v>
      </c>
      <c r="C40" s="370">
        <v>1</v>
      </c>
      <c r="D40" s="371">
        <v>5</v>
      </c>
      <c r="E40" s="377">
        <f t="shared" si="3"/>
        <v>1553.8698499799982</v>
      </c>
      <c r="F40" s="364">
        <f t="shared" si="4"/>
        <v>1553.8698499799982</v>
      </c>
      <c r="G40" s="407">
        <v>0</v>
      </c>
      <c r="H40" s="377">
        <v>347.87941717230007</v>
      </c>
      <c r="I40" s="364">
        <v>0</v>
      </c>
      <c r="J40" s="268">
        <v>578.90279447</v>
      </c>
      <c r="K40" s="268">
        <v>399.9251103599982</v>
      </c>
      <c r="L40" s="403">
        <v>575.04194514999995</v>
      </c>
      <c r="M40" s="364">
        <v>946.13269909000314</v>
      </c>
      <c r="N40" s="268">
        <v>0</v>
      </c>
      <c r="O40" s="268">
        <v>119.69833200999993</v>
      </c>
    </row>
    <row r="41" spans="2:15" hidden="1" outlineLevel="1">
      <c r="B41" s="386" t="s">
        <v>400</v>
      </c>
      <c r="C41" s="370">
        <v>1</v>
      </c>
      <c r="D41" s="371">
        <v>3</v>
      </c>
      <c r="E41" s="377">
        <f t="shared" si="3"/>
        <v>3231.5197725089533</v>
      </c>
      <c r="F41" s="364">
        <f t="shared" si="4"/>
        <v>987.50686609000059</v>
      </c>
      <c r="G41" s="407">
        <v>2244.0129064189528</v>
      </c>
      <c r="H41" s="377">
        <v>1373.3031558077007</v>
      </c>
      <c r="I41" s="364">
        <v>0</v>
      </c>
      <c r="J41" s="268">
        <v>533.97052006000104</v>
      </c>
      <c r="K41" s="268">
        <v>7.8141784400000001</v>
      </c>
      <c r="L41" s="403">
        <v>445.72216758999963</v>
      </c>
      <c r="M41" s="364">
        <v>464.16744719999951</v>
      </c>
      <c r="N41" s="268">
        <v>99.474719699999994</v>
      </c>
      <c r="O41" s="268">
        <v>25.730178769999995</v>
      </c>
    </row>
    <row r="42" spans="2:15" ht="43.15" hidden="1" outlineLevel="1">
      <c r="B42" s="386" t="s">
        <v>392</v>
      </c>
      <c r="C42" s="370">
        <v>1</v>
      </c>
      <c r="D42" s="371">
        <v>5</v>
      </c>
      <c r="E42" s="377">
        <f t="shared" si="3"/>
        <v>8566.796816606362</v>
      </c>
      <c r="F42" s="364">
        <f t="shared" si="4"/>
        <v>8270.9273328201925</v>
      </c>
      <c r="G42" s="407">
        <v>295.86948378616916</v>
      </c>
      <c r="H42" s="377">
        <v>850.82596194839903</v>
      </c>
      <c r="I42" s="364">
        <v>7795.9990057501946</v>
      </c>
      <c r="J42" s="268">
        <v>294.47102413999795</v>
      </c>
      <c r="K42" s="268">
        <v>123.02628884999999</v>
      </c>
      <c r="L42" s="403">
        <v>57.431014080000011</v>
      </c>
      <c r="M42" s="364">
        <v>1068.4236984899937</v>
      </c>
      <c r="N42" s="268">
        <v>0</v>
      </c>
      <c r="O42" s="268">
        <v>82.338081789999947</v>
      </c>
    </row>
    <row r="43" spans="2:15" hidden="1" outlineLevel="1">
      <c r="B43" s="386" t="s">
        <v>406</v>
      </c>
      <c r="C43" s="370">
        <v>1</v>
      </c>
      <c r="D43" s="371">
        <v>4</v>
      </c>
      <c r="E43" s="377">
        <f t="shared" si="3"/>
        <v>8359.3342845734132</v>
      </c>
      <c r="F43" s="364">
        <f t="shared" si="4"/>
        <v>0</v>
      </c>
      <c r="G43" s="407">
        <v>8359.3342845734132</v>
      </c>
      <c r="H43" s="377">
        <v>4794.1233075853006</v>
      </c>
      <c r="I43" s="364">
        <v>0</v>
      </c>
      <c r="J43" s="268">
        <v>0</v>
      </c>
      <c r="K43" s="268">
        <v>0</v>
      </c>
      <c r="L43" s="403">
        <v>0</v>
      </c>
      <c r="M43" s="364">
        <v>0</v>
      </c>
      <c r="N43" s="268">
        <v>14309.051815629386</v>
      </c>
      <c r="O43" s="268">
        <v>0</v>
      </c>
    </row>
    <row r="44" spans="2:15" hidden="1" outlineLevel="1">
      <c r="B44" s="386" t="s">
        <v>404</v>
      </c>
      <c r="C44" s="370">
        <v>1</v>
      </c>
      <c r="D44" s="371">
        <v>4</v>
      </c>
      <c r="E44" s="377">
        <f t="shared" si="3"/>
        <v>8819.9684764530521</v>
      </c>
      <c r="F44" s="364">
        <f t="shared" si="4"/>
        <v>82.971916409999992</v>
      </c>
      <c r="G44" s="407">
        <v>8736.9965600430514</v>
      </c>
      <c r="H44" s="377">
        <v>4906.9894691258996</v>
      </c>
      <c r="I44" s="364">
        <v>0</v>
      </c>
      <c r="J44" s="268">
        <v>14.118688039999999</v>
      </c>
      <c r="K44" s="268">
        <v>47.082491349999991</v>
      </c>
      <c r="L44" s="403">
        <v>21.770737020000002</v>
      </c>
      <c r="M44" s="364">
        <v>0</v>
      </c>
      <c r="N44" s="268">
        <v>5578.0116102099983</v>
      </c>
      <c r="O44" s="268">
        <v>1.99785799</v>
      </c>
    </row>
    <row r="45" spans="2:15" collapsed="1">
      <c r="B45" s="387" t="s">
        <v>566</v>
      </c>
      <c r="C45" s="372">
        <f>3+SUM(C46:C50)</f>
        <v>8</v>
      </c>
      <c r="D45" s="373">
        <f>C45+SUM(D46:D50)+1</f>
        <v>27</v>
      </c>
      <c r="E45" s="378">
        <f t="shared" si="3"/>
        <v>32945.039675367836</v>
      </c>
      <c r="F45" s="365">
        <f t="shared" si="4"/>
        <v>5457.2529747800145</v>
      </c>
      <c r="G45" s="408">
        <v>27487.786700587818</v>
      </c>
      <c r="H45" s="378">
        <v>15542.800757655601</v>
      </c>
      <c r="I45" s="365">
        <v>3662.564846030014</v>
      </c>
      <c r="J45" s="267">
        <v>173.16369879999999</v>
      </c>
      <c r="K45" s="267">
        <v>213.51334866999997</v>
      </c>
      <c r="L45" s="404">
        <v>1408.0110812800001</v>
      </c>
      <c r="M45" s="365">
        <v>1234.3652387949999</v>
      </c>
      <c r="N45" s="267">
        <v>18132.457968977826</v>
      </c>
      <c r="O45" s="267">
        <v>0</v>
      </c>
    </row>
    <row r="46" spans="2:15" hidden="1" outlineLevel="1">
      <c r="B46" s="386" t="s">
        <v>328</v>
      </c>
      <c r="C46" s="370">
        <v>1</v>
      </c>
      <c r="D46" s="371">
        <v>2</v>
      </c>
      <c r="E46" s="377">
        <f t="shared" si="3"/>
        <v>870.08585702000005</v>
      </c>
      <c r="F46" s="364">
        <f t="shared" si="4"/>
        <v>870.08585702000005</v>
      </c>
      <c r="G46" s="407">
        <v>0</v>
      </c>
      <c r="H46" s="377">
        <v>3.2087243721000003</v>
      </c>
      <c r="I46" s="364">
        <v>75.907049919999992</v>
      </c>
      <c r="J46" s="268">
        <v>107.33266947</v>
      </c>
      <c r="K46" s="268">
        <v>122.43241521999997</v>
      </c>
      <c r="L46" s="403">
        <v>564.4137224100001</v>
      </c>
      <c r="M46" s="364">
        <v>57.874596949999876</v>
      </c>
      <c r="N46" s="268">
        <v>0</v>
      </c>
      <c r="O46" s="268">
        <v>0</v>
      </c>
    </row>
    <row r="47" spans="2:15" hidden="1" outlineLevel="1">
      <c r="B47" s="386" t="s">
        <v>323</v>
      </c>
      <c r="C47" s="370">
        <v>1</v>
      </c>
      <c r="D47" s="371">
        <v>4</v>
      </c>
      <c r="E47" s="377">
        <f t="shared" si="3"/>
        <v>1538.4790486999977</v>
      </c>
      <c r="F47" s="364">
        <f t="shared" si="4"/>
        <v>1538.4790486999977</v>
      </c>
      <c r="G47" s="407">
        <v>0</v>
      </c>
      <c r="H47" s="377">
        <v>0.65</v>
      </c>
      <c r="I47" s="364">
        <v>537.96972704999769</v>
      </c>
      <c r="J47" s="268">
        <v>65.831029329999993</v>
      </c>
      <c r="K47" s="268">
        <v>91.080933449999975</v>
      </c>
      <c r="L47" s="403">
        <v>843.59735887000022</v>
      </c>
      <c r="M47" s="364">
        <v>1176.490641845</v>
      </c>
      <c r="N47" s="268">
        <v>0</v>
      </c>
      <c r="O47" s="268">
        <v>0</v>
      </c>
    </row>
    <row r="48" spans="2:15" hidden="1" outlineLevel="1">
      <c r="B48" s="386" t="s">
        <v>342</v>
      </c>
      <c r="C48" s="370">
        <v>1</v>
      </c>
      <c r="D48" s="371">
        <v>3</v>
      </c>
      <c r="E48" s="377">
        <f t="shared" si="3"/>
        <v>3048.6880690600165</v>
      </c>
      <c r="F48" s="364">
        <f t="shared" si="4"/>
        <v>3048.6880690600165</v>
      </c>
      <c r="G48" s="407">
        <v>0</v>
      </c>
      <c r="H48" s="377">
        <v>361.01</v>
      </c>
      <c r="I48" s="364">
        <v>3048.6880690600165</v>
      </c>
      <c r="J48" s="268">
        <v>0</v>
      </c>
      <c r="K48" s="268">
        <v>0</v>
      </c>
      <c r="L48" s="403">
        <v>0</v>
      </c>
      <c r="M48" s="364">
        <v>0</v>
      </c>
      <c r="N48" s="268">
        <v>0</v>
      </c>
      <c r="O48" s="268">
        <v>0</v>
      </c>
    </row>
    <row r="49" spans="2:15" ht="28.9" hidden="1" outlineLevel="1">
      <c r="B49" s="386" t="s">
        <v>367</v>
      </c>
      <c r="C49" s="370">
        <v>1</v>
      </c>
      <c r="D49" s="371">
        <v>5</v>
      </c>
      <c r="E49" s="377">
        <f t="shared" si="3"/>
        <v>15341.407347053479</v>
      </c>
      <c r="F49" s="364">
        <f t="shared" si="4"/>
        <v>0</v>
      </c>
      <c r="G49" s="407">
        <v>15341.407347053479</v>
      </c>
      <c r="H49" s="377">
        <v>8867.4410380933004</v>
      </c>
      <c r="I49" s="364">
        <v>0</v>
      </c>
      <c r="J49" s="268">
        <v>0</v>
      </c>
      <c r="K49" s="268">
        <v>0</v>
      </c>
      <c r="L49" s="403">
        <v>0</v>
      </c>
      <c r="M49" s="364">
        <v>0</v>
      </c>
      <c r="N49" s="268">
        <v>6817.7504379784077</v>
      </c>
      <c r="O49" s="268">
        <v>0</v>
      </c>
    </row>
    <row r="50" spans="2:15" ht="28.9" hidden="1" outlineLevel="1">
      <c r="B50" s="386" t="s">
        <v>369</v>
      </c>
      <c r="C50" s="370">
        <v>1</v>
      </c>
      <c r="D50" s="371">
        <v>4</v>
      </c>
      <c r="E50" s="377">
        <f t="shared" si="3"/>
        <v>12146.379353534339</v>
      </c>
      <c r="F50" s="364">
        <f t="shared" si="4"/>
        <v>0</v>
      </c>
      <c r="G50" s="407">
        <v>12146.379353534339</v>
      </c>
      <c r="H50" s="377">
        <v>6310.4909951902</v>
      </c>
      <c r="I50" s="364">
        <v>0</v>
      </c>
      <c r="J50" s="268">
        <v>0</v>
      </c>
      <c r="K50" s="268">
        <v>0</v>
      </c>
      <c r="L50" s="403">
        <v>0</v>
      </c>
      <c r="M50" s="364">
        <v>0</v>
      </c>
      <c r="N50" s="268">
        <v>11314.707530999416</v>
      </c>
      <c r="O50" s="268">
        <v>0</v>
      </c>
    </row>
    <row r="51" spans="2:15" collapsed="1">
      <c r="B51" s="387" t="s">
        <v>531</v>
      </c>
      <c r="C51" s="372">
        <f>3+SUM(C52:C55)</f>
        <v>7</v>
      </c>
      <c r="D51" s="373">
        <f>C51+SUM(D52:D55)+1</f>
        <v>22</v>
      </c>
      <c r="E51" s="378">
        <f t="shared" si="3"/>
        <v>22134.897029869255</v>
      </c>
      <c r="F51" s="365">
        <f t="shared" si="4"/>
        <v>5095.6606410700006</v>
      </c>
      <c r="G51" s="408">
        <v>17039.236388799254</v>
      </c>
      <c r="H51" s="378">
        <v>11916.8986853228</v>
      </c>
      <c r="I51" s="365">
        <v>1396.6687616800002</v>
      </c>
      <c r="J51" s="267">
        <v>710.29184913999995</v>
      </c>
      <c r="K51" s="267">
        <v>1379.57056158</v>
      </c>
      <c r="L51" s="404">
        <v>1609.1294686700001</v>
      </c>
      <c r="M51" s="365">
        <v>30.151158260957615</v>
      </c>
      <c r="N51" s="267">
        <v>17894.758836269666</v>
      </c>
      <c r="O51" s="267">
        <v>0</v>
      </c>
    </row>
    <row r="52" spans="2:15" hidden="1" outlineLevel="1">
      <c r="B52" s="386" t="s">
        <v>532</v>
      </c>
      <c r="C52" s="370">
        <v>1</v>
      </c>
      <c r="D52" s="371">
        <v>3</v>
      </c>
      <c r="E52" s="377">
        <f t="shared" si="3"/>
        <v>2205.5616479200003</v>
      </c>
      <c r="F52" s="364">
        <f t="shared" si="4"/>
        <v>2205.5616479200003</v>
      </c>
      <c r="G52" s="407">
        <v>0</v>
      </c>
      <c r="H52" s="377">
        <v>1.1193</v>
      </c>
      <c r="I52" s="364">
        <v>390.49090773000012</v>
      </c>
      <c r="J52" s="268">
        <v>31.784312930000041</v>
      </c>
      <c r="K52" s="268">
        <v>807.06392650999999</v>
      </c>
      <c r="L52" s="403">
        <v>976.22250074999999</v>
      </c>
      <c r="M52" s="364">
        <v>0</v>
      </c>
      <c r="N52" s="268">
        <v>0</v>
      </c>
      <c r="O52" s="268">
        <v>0</v>
      </c>
    </row>
    <row r="53" spans="2:15" ht="28.9" hidden="1" outlineLevel="1">
      <c r="B53" s="386" t="s">
        <v>534</v>
      </c>
      <c r="C53" s="370">
        <v>1</v>
      </c>
      <c r="D53" s="371">
        <v>4</v>
      </c>
      <c r="E53" s="377">
        <f t="shared" si="3"/>
        <v>2890.0989931500003</v>
      </c>
      <c r="F53" s="364">
        <f t="shared" si="4"/>
        <v>2890.0989931500003</v>
      </c>
      <c r="G53" s="407">
        <v>0</v>
      </c>
      <c r="H53" s="377">
        <v>533.285680447</v>
      </c>
      <c r="I53" s="364">
        <v>1006.1778539500002</v>
      </c>
      <c r="J53" s="268">
        <v>678.5075362099999</v>
      </c>
      <c r="K53" s="268">
        <v>572.50663506999979</v>
      </c>
      <c r="L53" s="403">
        <v>632.90696792000006</v>
      </c>
      <c r="M53" s="364">
        <v>0</v>
      </c>
      <c r="N53" s="268">
        <v>0</v>
      </c>
      <c r="O53" s="268">
        <v>0</v>
      </c>
    </row>
    <row r="54" spans="2:15" hidden="1" outlineLevel="1">
      <c r="B54" s="386" t="s">
        <v>557</v>
      </c>
      <c r="C54" s="370">
        <v>1</v>
      </c>
      <c r="D54" s="371">
        <v>4</v>
      </c>
      <c r="E54" s="377">
        <f t="shared" si="3"/>
        <v>9219.4500760850515</v>
      </c>
      <c r="F54" s="364">
        <f t="shared" si="4"/>
        <v>0</v>
      </c>
      <c r="G54" s="407">
        <v>9219.4500760850515</v>
      </c>
      <c r="H54" s="377">
        <v>5762.5538821981008</v>
      </c>
      <c r="I54" s="364">
        <v>0</v>
      </c>
      <c r="J54" s="268">
        <v>0</v>
      </c>
      <c r="K54" s="268">
        <v>0</v>
      </c>
      <c r="L54" s="403">
        <v>0</v>
      </c>
      <c r="M54" s="364">
        <v>27.130505840957614</v>
      </c>
      <c r="N54" s="268">
        <v>1239.276737919979</v>
      </c>
      <c r="O54" s="268">
        <v>0</v>
      </c>
    </row>
    <row r="55" spans="2:15" hidden="1" outlineLevel="1">
      <c r="B55" s="386" t="s">
        <v>561</v>
      </c>
      <c r="C55" s="370">
        <v>1</v>
      </c>
      <c r="D55" s="371">
        <v>3</v>
      </c>
      <c r="E55" s="377">
        <f t="shared" si="3"/>
        <v>7819.7863127142036</v>
      </c>
      <c r="F55" s="364">
        <f t="shared" si="4"/>
        <v>0</v>
      </c>
      <c r="G55" s="407">
        <v>7819.7863127142036</v>
      </c>
      <c r="H55" s="377">
        <v>5619.9398226776993</v>
      </c>
      <c r="I55" s="364">
        <v>0</v>
      </c>
      <c r="J55" s="268">
        <v>0</v>
      </c>
      <c r="K55" s="268">
        <v>0</v>
      </c>
      <c r="L55" s="403">
        <v>0</v>
      </c>
      <c r="M55" s="364">
        <v>3.0206524199999998</v>
      </c>
      <c r="N55" s="268">
        <v>16655.482098349687</v>
      </c>
      <c r="O55" s="268">
        <v>0</v>
      </c>
    </row>
    <row r="56" spans="2:15" collapsed="1">
      <c r="B56" s="387" t="s">
        <v>494</v>
      </c>
      <c r="C56" s="372">
        <f>3+SUM(C57:C61)</f>
        <v>8</v>
      </c>
      <c r="D56" s="373">
        <f>C56+SUM(D57:D61)+1</f>
        <v>26</v>
      </c>
      <c r="E56" s="378">
        <f t="shared" si="3"/>
        <v>29988.285760598104</v>
      </c>
      <c r="F56" s="365">
        <f t="shared" si="4"/>
        <v>4863.1736128500033</v>
      </c>
      <c r="G56" s="408">
        <v>25125.112147748099</v>
      </c>
      <c r="H56" s="378">
        <v>15579.989592549202</v>
      </c>
      <c r="I56" s="365">
        <v>0</v>
      </c>
      <c r="J56" s="267">
        <v>819.35425326999996</v>
      </c>
      <c r="K56" s="267">
        <v>1212.8315041000023</v>
      </c>
      <c r="L56" s="404">
        <v>2830.9878554800007</v>
      </c>
      <c r="M56" s="365">
        <v>2258.7946356799998</v>
      </c>
      <c r="N56" s="267">
        <v>25108.963002738099</v>
      </c>
      <c r="O56" s="267">
        <v>0</v>
      </c>
    </row>
    <row r="57" spans="2:15" hidden="1" outlineLevel="1">
      <c r="B57" s="386" t="s">
        <v>495</v>
      </c>
      <c r="C57" s="370">
        <v>1</v>
      </c>
      <c r="D57" s="371">
        <v>4</v>
      </c>
      <c r="E57" s="377">
        <f t="shared" si="3"/>
        <v>4805.7731279234686</v>
      </c>
      <c r="F57" s="364">
        <f t="shared" si="4"/>
        <v>2665.1572822400021</v>
      </c>
      <c r="G57" s="407">
        <v>2140.6158456834664</v>
      </c>
      <c r="H57" s="377">
        <v>1078.9944829924</v>
      </c>
      <c r="I57" s="364">
        <v>0</v>
      </c>
      <c r="J57" s="268">
        <v>261.38528133999995</v>
      </c>
      <c r="K57" s="268">
        <v>724.3178531900021</v>
      </c>
      <c r="L57" s="403">
        <v>1679.4541477100004</v>
      </c>
      <c r="M57" s="364">
        <v>1073.5733923999996</v>
      </c>
      <c r="N57" s="268">
        <v>0</v>
      </c>
      <c r="O57" s="268">
        <v>0</v>
      </c>
    </row>
    <row r="58" spans="2:15" hidden="1" outlineLevel="1">
      <c r="B58" s="386" t="s">
        <v>500</v>
      </c>
      <c r="C58" s="370">
        <v>1</v>
      </c>
      <c r="D58" s="371">
        <v>3</v>
      </c>
      <c r="E58" s="377">
        <f t="shared" si="3"/>
        <v>1444.4096538200006</v>
      </c>
      <c r="F58" s="364">
        <f t="shared" si="4"/>
        <v>1444.4096538200006</v>
      </c>
      <c r="G58" s="407">
        <v>0</v>
      </c>
      <c r="H58" s="377">
        <v>3.7953370000000004</v>
      </c>
      <c r="I58" s="364">
        <v>0</v>
      </c>
      <c r="J58" s="268">
        <v>424.67587693000002</v>
      </c>
      <c r="K58" s="268">
        <v>283.75698429000033</v>
      </c>
      <c r="L58" s="403">
        <v>735.97679260000029</v>
      </c>
      <c r="M58" s="364">
        <v>1075.4139824999997</v>
      </c>
      <c r="N58" s="268">
        <v>0</v>
      </c>
      <c r="O58" s="268">
        <v>0</v>
      </c>
    </row>
    <row r="59" spans="2:15" hidden="1" outlineLevel="1">
      <c r="B59" s="386" t="s">
        <v>508</v>
      </c>
      <c r="C59" s="370">
        <v>1</v>
      </c>
      <c r="D59" s="371">
        <v>3</v>
      </c>
      <c r="E59" s="377">
        <f t="shared" si="3"/>
        <v>1643.1814714499783</v>
      </c>
      <c r="F59" s="364">
        <f t="shared" si="4"/>
        <v>753.60667678999994</v>
      </c>
      <c r="G59" s="407">
        <v>889.57479465997847</v>
      </c>
      <c r="H59" s="377">
        <v>577.76288474320006</v>
      </c>
      <c r="I59" s="364">
        <v>0</v>
      </c>
      <c r="J59" s="268">
        <v>133.29309499999997</v>
      </c>
      <c r="K59" s="268">
        <v>204.75666661999992</v>
      </c>
      <c r="L59" s="403">
        <v>415.55691516999997</v>
      </c>
      <c r="M59" s="364">
        <v>109.80726077999999</v>
      </c>
      <c r="N59" s="268">
        <v>0</v>
      </c>
      <c r="O59" s="268">
        <v>0</v>
      </c>
    </row>
    <row r="60" spans="2:15" hidden="1" outlineLevel="1">
      <c r="B60" s="386" t="s">
        <v>512</v>
      </c>
      <c r="C60" s="370">
        <v>1</v>
      </c>
      <c r="D60" s="371">
        <v>3</v>
      </c>
      <c r="E60" s="377">
        <f t="shared" si="3"/>
        <v>10124.639624576168</v>
      </c>
      <c r="F60" s="364">
        <f t="shared" si="4"/>
        <v>0</v>
      </c>
      <c r="G60" s="407">
        <v>10124.639624576168</v>
      </c>
      <c r="H60" s="377">
        <v>6569.7672306954992</v>
      </c>
      <c r="I60" s="364">
        <v>0</v>
      </c>
      <c r="J60" s="268">
        <v>0</v>
      </c>
      <c r="K60" s="268">
        <v>0</v>
      </c>
      <c r="L60" s="403">
        <v>0</v>
      </c>
      <c r="M60" s="364">
        <v>0</v>
      </c>
      <c r="N60" s="268">
        <v>8507.1196553092268</v>
      </c>
      <c r="O60" s="268">
        <v>0</v>
      </c>
    </row>
    <row r="61" spans="2:15" hidden="1" outlineLevel="1">
      <c r="B61" s="386" t="s">
        <v>514</v>
      </c>
      <c r="C61" s="370">
        <v>1</v>
      </c>
      <c r="D61" s="371">
        <v>4</v>
      </c>
      <c r="E61" s="377">
        <f t="shared" si="3"/>
        <v>11970.281882828489</v>
      </c>
      <c r="F61" s="364">
        <f t="shared" si="4"/>
        <v>0</v>
      </c>
      <c r="G61" s="407">
        <v>11970.281882828489</v>
      </c>
      <c r="H61" s="377">
        <v>7349.6696571181028</v>
      </c>
      <c r="I61" s="364">
        <v>0</v>
      </c>
      <c r="J61" s="268">
        <v>0</v>
      </c>
      <c r="K61" s="268">
        <v>0</v>
      </c>
      <c r="L61" s="403">
        <v>0</v>
      </c>
      <c r="M61" s="364">
        <v>0</v>
      </c>
      <c r="N61" s="268">
        <v>16601.843347428872</v>
      </c>
      <c r="O61" s="268">
        <v>0</v>
      </c>
    </row>
    <row r="62" spans="2:15" ht="15" collapsed="1" thickBot="1">
      <c r="B62" s="388" t="s">
        <v>587</v>
      </c>
      <c r="C62" s="374">
        <f>3+SUM(C63:C68)</f>
        <v>9</v>
      </c>
      <c r="D62" s="375">
        <f>C62+SUM(D63:D68)+1</f>
        <v>36</v>
      </c>
      <c r="E62" s="379">
        <f t="shared" si="3"/>
        <v>22316.851795000846</v>
      </c>
      <c r="F62" s="366">
        <f t="shared" si="4"/>
        <v>13207.446923743335</v>
      </c>
      <c r="G62" s="409">
        <f>SUM(G63:G68)</f>
        <v>9109.4048712575132</v>
      </c>
      <c r="H62" s="379">
        <f>SUM(H63:H68)</f>
        <v>7724.2417397570234</v>
      </c>
      <c r="I62" s="366">
        <f t="shared" ref="I62:O62" si="5">SUM(I63:I68)</f>
        <v>4627.1272359733366</v>
      </c>
      <c r="J62" s="354">
        <f t="shared" si="5"/>
        <v>2964.5450721999996</v>
      </c>
      <c r="K62" s="354">
        <f t="shared" si="5"/>
        <v>1225.60862075</v>
      </c>
      <c r="L62" s="405">
        <f t="shared" si="5"/>
        <v>4390.1659948199995</v>
      </c>
      <c r="M62" s="365">
        <f t="shared" si="5"/>
        <v>4867.8839974766661</v>
      </c>
      <c r="N62" s="267">
        <f t="shared" si="5"/>
        <v>986.26229077999062</v>
      </c>
      <c r="O62" s="267">
        <f t="shared" si="5"/>
        <v>1913.658133830003</v>
      </c>
    </row>
    <row r="63" spans="2:15" hidden="1" outlineLevel="2">
      <c r="B63" s="352" t="s">
        <v>588</v>
      </c>
      <c r="C63" s="353">
        <v>1</v>
      </c>
      <c r="D63" s="353">
        <v>5</v>
      </c>
      <c r="E63" s="348">
        <f t="shared" si="3"/>
        <v>1805.7694080100005</v>
      </c>
      <c r="F63" s="348">
        <f t="shared" si="4"/>
        <v>1805.7694080100005</v>
      </c>
      <c r="G63" s="348">
        <v>0</v>
      </c>
      <c r="H63" s="348">
        <v>0</v>
      </c>
      <c r="I63" s="348">
        <v>0</v>
      </c>
      <c r="J63" s="348">
        <v>513.83624373000009</v>
      </c>
      <c r="K63" s="348">
        <v>389.19992187999998</v>
      </c>
      <c r="L63" s="348">
        <v>902.73324240000022</v>
      </c>
      <c r="M63" s="268">
        <v>257.88131858999986</v>
      </c>
      <c r="N63" s="268">
        <v>0</v>
      </c>
      <c r="O63" s="268">
        <v>0</v>
      </c>
    </row>
    <row r="64" spans="2:15" hidden="1" outlineLevel="2">
      <c r="B64" s="350" t="s">
        <v>589</v>
      </c>
      <c r="C64" s="216">
        <v>1</v>
      </c>
      <c r="D64" s="216">
        <v>5</v>
      </c>
      <c r="E64" s="268">
        <f t="shared" si="3"/>
        <v>4627.1272359733366</v>
      </c>
      <c r="F64" s="268">
        <f t="shared" si="4"/>
        <v>4627.1272359733366</v>
      </c>
      <c r="G64" s="268">
        <v>0</v>
      </c>
      <c r="H64" s="268">
        <v>0</v>
      </c>
      <c r="I64" s="268">
        <v>4627.1272359733366</v>
      </c>
      <c r="J64" s="268">
        <v>0</v>
      </c>
      <c r="K64" s="268">
        <v>0</v>
      </c>
      <c r="L64" s="268">
        <v>0</v>
      </c>
      <c r="M64" s="268">
        <v>0</v>
      </c>
      <c r="N64" s="268">
        <v>0</v>
      </c>
      <c r="O64" s="268">
        <v>1913.658133830003</v>
      </c>
    </row>
    <row r="65" spans="2:17" hidden="1" outlineLevel="2">
      <c r="B65" s="350" t="s">
        <v>590</v>
      </c>
      <c r="C65" s="216">
        <v>1</v>
      </c>
      <c r="D65" s="216">
        <v>5</v>
      </c>
      <c r="E65" s="268">
        <f t="shared" si="3"/>
        <v>7840.5271620775084</v>
      </c>
      <c r="F65" s="268">
        <f t="shared" si="4"/>
        <v>0</v>
      </c>
      <c r="G65" s="268">
        <v>7840.5271620775084</v>
      </c>
      <c r="H65" s="268">
        <v>6868.6013486542233</v>
      </c>
      <c r="I65" s="268">
        <v>0</v>
      </c>
      <c r="J65" s="268">
        <v>0</v>
      </c>
      <c r="K65" s="268">
        <v>0</v>
      </c>
      <c r="L65" s="268">
        <v>0</v>
      </c>
      <c r="M65" s="268">
        <v>3973.7909036866663</v>
      </c>
      <c r="N65" s="268">
        <v>986.26229077999062</v>
      </c>
      <c r="O65" s="268">
        <v>0</v>
      </c>
    </row>
    <row r="66" spans="2:17" hidden="1" outlineLevel="2">
      <c r="B66" s="350" t="s">
        <v>448</v>
      </c>
      <c r="C66" s="216">
        <v>1</v>
      </c>
      <c r="D66" s="216">
        <v>4</v>
      </c>
      <c r="E66" s="268">
        <f t="shared" si="3"/>
        <v>3056.2469241100007</v>
      </c>
      <c r="F66" s="268">
        <f t="shared" si="4"/>
        <v>2302.9212674499995</v>
      </c>
      <c r="G66" s="268">
        <v>753.32565666000141</v>
      </c>
      <c r="H66" s="268">
        <v>586.51244633019996</v>
      </c>
      <c r="I66" s="268">
        <v>0</v>
      </c>
      <c r="J66" s="268">
        <v>901.71375716999978</v>
      </c>
      <c r="K66" s="268">
        <v>522.36151340000015</v>
      </c>
      <c r="L66" s="268">
        <v>878.8459968799998</v>
      </c>
      <c r="M66" s="268">
        <v>18.11060694</v>
      </c>
      <c r="N66" s="268">
        <v>0</v>
      </c>
      <c r="O66" s="268">
        <v>0</v>
      </c>
    </row>
    <row r="67" spans="2:17" ht="28.9" hidden="1" outlineLevel="2">
      <c r="B67" s="350" t="s">
        <v>444</v>
      </c>
      <c r="C67" s="216">
        <v>1</v>
      </c>
      <c r="D67" s="216">
        <v>3</v>
      </c>
      <c r="E67" s="268">
        <f t="shared" si="3"/>
        <v>2345.7751313300009</v>
      </c>
      <c r="F67" s="268">
        <f t="shared" si="4"/>
        <v>2031.3369777600001</v>
      </c>
      <c r="G67" s="268">
        <v>314.43815357000085</v>
      </c>
      <c r="H67" s="268">
        <v>130.42390994099998</v>
      </c>
      <c r="I67" s="268">
        <v>0</v>
      </c>
      <c r="J67" s="268">
        <v>713.47514594999996</v>
      </c>
      <c r="K67" s="268">
        <v>235.62862249</v>
      </c>
      <c r="L67" s="268">
        <v>1082.23320932</v>
      </c>
      <c r="M67" s="268">
        <v>257.44670998999993</v>
      </c>
      <c r="N67" s="268">
        <v>0</v>
      </c>
      <c r="O67" s="268">
        <v>0</v>
      </c>
    </row>
    <row r="68" spans="2:17" ht="28.9" hidden="1" outlineLevel="2">
      <c r="B68" s="350" t="s">
        <v>458</v>
      </c>
      <c r="C68" s="216">
        <v>1</v>
      </c>
      <c r="D68" s="216">
        <v>4</v>
      </c>
      <c r="E68" s="268">
        <f t="shared" si="3"/>
        <v>2641.4059335000002</v>
      </c>
      <c r="F68" s="268">
        <f t="shared" si="4"/>
        <v>2440.2920345499997</v>
      </c>
      <c r="G68" s="268">
        <v>201.11389895000065</v>
      </c>
      <c r="H68" s="268">
        <v>138.70403483160004</v>
      </c>
      <c r="I68" s="268">
        <v>0</v>
      </c>
      <c r="J68" s="268">
        <v>835.51992534999999</v>
      </c>
      <c r="K68" s="268">
        <v>78.418562980000004</v>
      </c>
      <c r="L68" s="268">
        <v>1526.3535462199998</v>
      </c>
      <c r="M68" s="268">
        <v>360.65445826999996</v>
      </c>
      <c r="N68" s="268">
        <v>0</v>
      </c>
      <c r="O68" s="268">
        <v>0</v>
      </c>
    </row>
    <row r="69" spans="2:17" collapsed="1">
      <c r="D69" s="266">
        <f>D39+D45+D51+D56+D62</f>
        <v>142</v>
      </c>
      <c r="E69" s="500">
        <f t="shared" ref="E69:O69" si="6">E39+E45+E51+E56+E62</f>
        <v>137916.56346095781</v>
      </c>
      <c r="F69" s="500">
        <f t="shared" si="6"/>
        <v>39518.810117743546</v>
      </c>
      <c r="G69" s="500">
        <f t="shared" si="6"/>
        <v>98397.753343214281</v>
      </c>
      <c r="H69" s="500">
        <f>H39+H45+H51+H56+H62</f>
        <v>63037.052086924225</v>
      </c>
      <c r="I69" s="500">
        <f t="shared" si="6"/>
        <v>17482.359849433546</v>
      </c>
      <c r="J69" s="500">
        <f t="shared" si="6"/>
        <v>6088.8179001199987</v>
      </c>
      <c r="K69" s="500">
        <f t="shared" si="6"/>
        <v>4609.3721041000008</v>
      </c>
      <c r="L69" s="500">
        <f t="shared" si="6"/>
        <v>11338.26026409</v>
      </c>
      <c r="M69" s="500">
        <f t="shared" si="6"/>
        <v>10869.91887499262</v>
      </c>
      <c r="N69" s="500">
        <f t="shared" si="6"/>
        <v>82108.980244304985</v>
      </c>
      <c r="O69" s="500">
        <f t="shared" si="6"/>
        <v>2143.4225843900031</v>
      </c>
    </row>
    <row r="70" spans="2:17" ht="15" thickBot="1"/>
    <row r="71" spans="2:17" ht="58.15" thickBot="1">
      <c r="B71" s="384" t="s">
        <v>592</v>
      </c>
      <c r="C71" s="367" t="s">
        <v>581</v>
      </c>
      <c r="D71" s="362" t="s">
        <v>582</v>
      </c>
      <c r="E71" s="342" t="s">
        <v>583</v>
      </c>
      <c r="F71" s="367" t="s">
        <v>584</v>
      </c>
      <c r="G71" s="362" t="s">
        <v>585</v>
      </c>
      <c r="H71" s="341" t="s">
        <v>304</v>
      </c>
      <c r="I71" s="360" t="s">
        <v>295</v>
      </c>
      <c r="J71" s="361" t="s">
        <v>299</v>
      </c>
      <c r="K71" s="361" t="s">
        <v>300</v>
      </c>
      <c r="L71" s="362" t="s">
        <v>301</v>
      </c>
      <c r="M71" s="351" t="s">
        <v>303</v>
      </c>
      <c r="N71" s="262" t="s">
        <v>305</v>
      </c>
      <c r="O71" s="262" t="s">
        <v>306</v>
      </c>
    </row>
    <row r="72" spans="2:17">
      <c r="B72" s="385" t="s">
        <v>391</v>
      </c>
      <c r="C72" s="368">
        <f>3+SUM(C73:C77)+1</f>
        <v>9</v>
      </c>
      <c r="D72" s="369">
        <f>C72+SUM(D73:D77)+1</f>
        <v>33</v>
      </c>
      <c r="E72" s="394">
        <f t="shared" ref="E72:E102" si="7">F72+G72</f>
        <v>33202.456305437176</v>
      </c>
      <c r="F72" s="398">
        <f t="shared" ref="F72:F102" si="8">I72+J72+K72+L72</f>
        <v>11154.735154980192</v>
      </c>
      <c r="G72" s="410">
        <v>22047.721150456986</v>
      </c>
      <c r="H72" s="411">
        <v>13642.823323651699</v>
      </c>
      <c r="I72" s="412">
        <v>7795.9990057501946</v>
      </c>
      <c r="J72" s="413">
        <v>1421.463026709999</v>
      </c>
      <c r="K72" s="413">
        <v>645.53893148999828</v>
      </c>
      <c r="L72" s="410">
        <v>1291.7341910299997</v>
      </c>
      <c r="M72" s="414">
        <v>2688.0325819999966</v>
      </c>
      <c r="N72" s="415">
        <v>26804.288583517791</v>
      </c>
      <c r="O72" s="415">
        <v>229.76445055999989</v>
      </c>
      <c r="Q72" s="347"/>
    </row>
    <row r="73" spans="2:17" hidden="1" outlineLevel="1">
      <c r="B73" s="386" t="s">
        <v>395</v>
      </c>
      <c r="C73" s="370">
        <v>1</v>
      </c>
      <c r="D73" s="391">
        <f>5+1</f>
        <v>6</v>
      </c>
      <c r="E73" s="395">
        <f t="shared" si="7"/>
        <v>1813.3290396599982</v>
      </c>
      <c r="F73" s="399">
        <f t="shared" si="8"/>
        <v>1813.3290396599982</v>
      </c>
      <c r="G73" s="416">
        <v>0</v>
      </c>
      <c r="H73" s="417">
        <v>347.87941717230007</v>
      </c>
      <c r="I73" s="418">
        <v>0</v>
      </c>
      <c r="J73" s="419">
        <v>578.90279447</v>
      </c>
      <c r="K73" s="419">
        <v>467.61597284999817</v>
      </c>
      <c r="L73" s="416">
        <v>766.8102723400001</v>
      </c>
      <c r="M73" s="418">
        <v>1155.4414363100034</v>
      </c>
      <c r="N73" s="419">
        <v>0</v>
      </c>
      <c r="O73" s="419">
        <v>119.69833200999993</v>
      </c>
    </row>
    <row r="74" spans="2:17" hidden="1" outlineLevel="1">
      <c r="B74" s="386" t="s">
        <v>400</v>
      </c>
      <c r="C74" s="370">
        <v>1</v>
      </c>
      <c r="D74" s="371">
        <v>3</v>
      </c>
      <c r="E74" s="395">
        <f t="shared" si="7"/>
        <v>3231.5197725089533</v>
      </c>
      <c r="F74" s="399">
        <f t="shared" si="8"/>
        <v>987.50686609000059</v>
      </c>
      <c r="G74" s="416">
        <v>2244.0129064189528</v>
      </c>
      <c r="H74" s="417">
        <v>1373.3031558077007</v>
      </c>
      <c r="I74" s="418">
        <v>0</v>
      </c>
      <c r="J74" s="419">
        <v>533.97052006000104</v>
      </c>
      <c r="K74" s="419">
        <v>7.8141784400000001</v>
      </c>
      <c r="L74" s="416">
        <v>445.72216758999963</v>
      </c>
      <c r="M74" s="418">
        <v>464.16744719999951</v>
      </c>
      <c r="N74" s="419">
        <v>99.474719699999994</v>
      </c>
      <c r="O74" s="419">
        <v>25.730178769999995</v>
      </c>
    </row>
    <row r="75" spans="2:17" ht="43.15" hidden="1" outlineLevel="1">
      <c r="B75" s="386" t="s">
        <v>392</v>
      </c>
      <c r="C75" s="370">
        <v>1</v>
      </c>
      <c r="D75" s="371">
        <v>5</v>
      </c>
      <c r="E75" s="395">
        <f t="shared" si="7"/>
        <v>8566.796816606362</v>
      </c>
      <c r="F75" s="399">
        <f t="shared" si="8"/>
        <v>8270.9273328201925</v>
      </c>
      <c r="G75" s="416">
        <v>295.86948378616916</v>
      </c>
      <c r="H75" s="417">
        <v>850.82596194839903</v>
      </c>
      <c r="I75" s="418">
        <v>7795.9990057501946</v>
      </c>
      <c r="J75" s="419">
        <v>294.47102413999795</v>
      </c>
      <c r="K75" s="419">
        <v>123.02628884999999</v>
      </c>
      <c r="L75" s="416">
        <v>57.431014080000011</v>
      </c>
      <c r="M75" s="418">
        <v>1068.4236984899937</v>
      </c>
      <c r="N75" s="419">
        <v>0</v>
      </c>
      <c r="O75" s="419">
        <v>82.338081789999947</v>
      </c>
    </row>
    <row r="76" spans="2:17" hidden="1" outlineLevel="1">
      <c r="B76" s="386" t="s">
        <v>406</v>
      </c>
      <c r="C76" s="370">
        <v>1</v>
      </c>
      <c r="D76" s="371">
        <v>4</v>
      </c>
      <c r="E76" s="395">
        <f t="shared" si="7"/>
        <v>8359.3342845734132</v>
      </c>
      <c r="F76" s="399">
        <f t="shared" si="8"/>
        <v>0</v>
      </c>
      <c r="G76" s="416">
        <v>8359.3342845734132</v>
      </c>
      <c r="H76" s="417">
        <v>4794.1233075853006</v>
      </c>
      <c r="I76" s="418">
        <v>0</v>
      </c>
      <c r="J76" s="419">
        <v>0</v>
      </c>
      <c r="K76" s="419">
        <v>0</v>
      </c>
      <c r="L76" s="416">
        <v>0</v>
      </c>
      <c r="M76" s="418">
        <v>0</v>
      </c>
      <c r="N76" s="419">
        <v>14309.051815629386</v>
      </c>
      <c r="O76" s="419">
        <v>0</v>
      </c>
    </row>
    <row r="77" spans="2:17" hidden="1" outlineLevel="1">
      <c r="B77" s="386" t="s">
        <v>404</v>
      </c>
      <c r="C77" s="370">
        <v>1</v>
      </c>
      <c r="D77" s="391">
        <f>4+1</f>
        <v>5</v>
      </c>
      <c r="E77" s="395">
        <f t="shared" si="7"/>
        <v>11231.476392088452</v>
      </c>
      <c r="F77" s="399">
        <f t="shared" si="8"/>
        <v>82.971916409999992</v>
      </c>
      <c r="G77" s="416">
        <v>11148.504475678452</v>
      </c>
      <c r="H77" s="417">
        <v>6276.6914811379993</v>
      </c>
      <c r="I77" s="418">
        <v>0</v>
      </c>
      <c r="J77" s="419">
        <v>14.118688039999999</v>
      </c>
      <c r="K77" s="419">
        <v>47.082491349999991</v>
      </c>
      <c r="L77" s="416">
        <v>21.770737020000002</v>
      </c>
      <c r="M77" s="418">
        <v>0</v>
      </c>
      <c r="N77" s="419">
        <v>12395.762048188404</v>
      </c>
      <c r="O77" s="419">
        <v>1.99785799</v>
      </c>
    </row>
    <row r="78" spans="2:17" collapsed="1">
      <c r="B78" s="387" t="s">
        <v>593</v>
      </c>
      <c r="C78" s="372">
        <f>3+SUM(C79:C86)</f>
        <v>11</v>
      </c>
      <c r="D78" s="373">
        <f>C78+SUM(D79:D86)+1</f>
        <v>40</v>
      </c>
      <c r="E78" s="396">
        <f t="shared" si="7"/>
        <v>48385.485191522297</v>
      </c>
      <c r="F78" s="400">
        <f t="shared" si="8"/>
        <v>10197.926089040015</v>
      </c>
      <c r="G78" s="420">
        <v>38187.559102482286</v>
      </c>
      <c r="H78" s="421">
        <v>24206.127501316798</v>
      </c>
      <c r="I78" s="414">
        <v>5059.2336077100144</v>
      </c>
      <c r="J78" s="415">
        <v>883.45554793999997</v>
      </c>
      <c r="K78" s="415">
        <v>1525.2919675899998</v>
      </c>
      <c r="L78" s="420">
        <v>2729.9449658000003</v>
      </c>
      <c r="M78" s="414">
        <v>823.78374714595748</v>
      </c>
      <c r="N78" s="415">
        <v>29209.46636726908</v>
      </c>
      <c r="O78" s="415">
        <v>0</v>
      </c>
    </row>
    <row r="79" spans="2:17" hidden="1" outlineLevel="1">
      <c r="B79" s="386" t="s">
        <v>532</v>
      </c>
      <c r="C79" s="392">
        <v>1</v>
      </c>
      <c r="D79" s="393">
        <v>3</v>
      </c>
      <c r="E79" s="395">
        <f t="shared" si="7"/>
        <v>2205.5616479200003</v>
      </c>
      <c r="F79" s="399">
        <f t="shared" si="8"/>
        <v>2205.5616479200003</v>
      </c>
      <c r="G79" s="416">
        <v>0</v>
      </c>
      <c r="H79" s="417">
        <v>1.1193</v>
      </c>
      <c r="I79" s="418">
        <v>390.49090773000012</v>
      </c>
      <c r="J79" s="419">
        <v>31.784312930000041</v>
      </c>
      <c r="K79" s="419">
        <v>807.06392650999999</v>
      </c>
      <c r="L79" s="416">
        <v>976.22250074999999</v>
      </c>
      <c r="M79" s="418">
        <v>0</v>
      </c>
      <c r="N79" s="419">
        <v>0</v>
      </c>
      <c r="O79" s="419">
        <v>0</v>
      </c>
    </row>
    <row r="80" spans="2:17" hidden="1" outlineLevel="1">
      <c r="B80" s="386" t="s">
        <v>323</v>
      </c>
      <c r="C80" s="392">
        <v>1</v>
      </c>
      <c r="D80" s="393">
        <v>4</v>
      </c>
      <c r="E80" s="395">
        <f t="shared" si="7"/>
        <v>2053.5773789099976</v>
      </c>
      <c r="F80" s="399">
        <f t="shared" si="8"/>
        <v>2053.5773789099976</v>
      </c>
      <c r="G80" s="416">
        <v>0</v>
      </c>
      <c r="H80" s="417">
        <v>3.8587243721000002</v>
      </c>
      <c r="I80" s="418">
        <v>613.87677696999765</v>
      </c>
      <c r="J80" s="419">
        <v>173.16369879999999</v>
      </c>
      <c r="K80" s="419">
        <v>145.72140600999995</v>
      </c>
      <c r="L80" s="416">
        <v>1120.8154971300003</v>
      </c>
      <c r="M80" s="418">
        <v>793.6325888849999</v>
      </c>
      <c r="N80" s="419">
        <v>0</v>
      </c>
      <c r="O80" s="419">
        <v>0</v>
      </c>
    </row>
    <row r="81" spans="2:15" ht="28.9" hidden="1" outlineLevel="1">
      <c r="B81" s="386" t="s">
        <v>534</v>
      </c>
      <c r="C81" s="392">
        <v>1</v>
      </c>
      <c r="D81" s="393">
        <v>4</v>
      </c>
      <c r="E81" s="395">
        <f t="shared" si="7"/>
        <v>2890.0989931500003</v>
      </c>
      <c r="F81" s="399">
        <f t="shared" si="8"/>
        <v>2890.0989931500003</v>
      </c>
      <c r="G81" s="416">
        <v>0</v>
      </c>
      <c r="H81" s="417">
        <v>533.285680447</v>
      </c>
      <c r="I81" s="418">
        <v>1006.1778539500002</v>
      </c>
      <c r="J81" s="419">
        <v>678.5075362099999</v>
      </c>
      <c r="K81" s="419">
        <v>572.50663506999979</v>
      </c>
      <c r="L81" s="416">
        <v>632.90696792000006</v>
      </c>
      <c r="M81" s="418">
        <v>0</v>
      </c>
      <c r="N81" s="419">
        <v>0</v>
      </c>
      <c r="O81" s="419">
        <v>0</v>
      </c>
    </row>
    <row r="82" spans="2:15" hidden="1" outlineLevel="1">
      <c r="B82" s="386" t="s">
        <v>342</v>
      </c>
      <c r="C82" s="392">
        <v>1</v>
      </c>
      <c r="D82" s="393">
        <v>3</v>
      </c>
      <c r="E82" s="395">
        <f t="shared" si="7"/>
        <v>3048.6880690600165</v>
      </c>
      <c r="F82" s="399">
        <f t="shared" si="8"/>
        <v>3048.6880690600165</v>
      </c>
      <c r="G82" s="416">
        <v>0</v>
      </c>
      <c r="H82" s="417">
        <v>361.01</v>
      </c>
      <c r="I82" s="418">
        <v>3048.6880690600165</v>
      </c>
      <c r="J82" s="419">
        <v>0</v>
      </c>
      <c r="K82" s="419">
        <v>0</v>
      </c>
      <c r="L82" s="416">
        <v>0</v>
      </c>
      <c r="M82" s="418">
        <v>0</v>
      </c>
      <c r="N82" s="419">
        <v>0</v>
      </c>
      <c r="O82" s="419">
        <v>0</v>
      </c>
    </row>
    <row r="83" spans="2:15" ht="28.9" hidden="1" outlineLevel="1">
      <c r="B83" s="386" t="s">
        <v>367</v>
      </c>
      <c r="C83" s="392">
        <v>1</v>
      </c>
      <c r="D83" s="393">
        <v>4</v>
      </c>
      <c r="E83" s="395">
        <f t="shared" si="7"/>
        <v>12929.899431418082</v>
      </c>
      <c r="F83" s="399">
        <f t="shared" si="8"/>
        <v>0</v>
      </c>
      <c r="G83" s="416">
        <v>12929.899431418082</v>
      </c>
      <c r="H83" s="417">
        <v>7497.7390260811999</v>
      </c>
      <c r="I83" s="418">
        <v>0</v>
      </c>
      <c r="J83" s="419">
        <v>0</v>
      </c>
      <c r="K83" s="419">
        <v>0</v>
      </c>
      <c r="L83" s="416">
        <v>0</v>
      </c>
      <c r="M83" s="418">
        <v>0</v>
      </c>
      <c r="N83" s="419">
        <v>0</v>
      </c>
      <c r="O83" s="419">
        <v>0</v>
      </c>
    </row>
    <row r="84" spans="2:15" ht="28.9" hidden="1" outlineLevel="1">
      <c r="B84" s="386" t="s">
        <v>369</v>
      </c>
      <c r="C84" s="392">
        <v>1</v>
      </c>
      <c r="D84" s="393">
        <v>3</v>
      </c>
      <c r="E84" s="395">
        <f t="shared" si="7"/>
        <v>8218.4232822649465</v>
      </c>
      <c r="F84" s="399">
        <f t="shared" si="8"/>
        <v>0</v>
      </c>
      <c r="G84" s="416">
        <v>8218.4232822649465</v>
      </c>
      <c r="H84" s="417">
        <v>4426.6210655407003</v>
      </c>
      <c r="I84" s="418">
        <v>0</v>
      </c>
      <c r="J84" s="419">
        <v>0</v>
      </c>
      <c r="K84" s="419">
        <v>0</v>
      </c>
      <c r="L84" s="416">
        <v>0</v>
      </c>
      <c r="M84" s="418">
        <v>0</v>
      </c>
      <c r="N84" s="419">
        <v>11314.707530999416</v>
      </c>
      <c r="O84" s="419">
        <v>0</v>
      </c>
    </row>
    <row r="85" spans="2:15" hidden="1" outlineLevel="1">
      <c r="B85" s="386" t="s">
        <v>557</v>
      </c>
      <c r="C85" s="392">
        <v>1</v>
      </c>
      <c r="D85" s="393">
        <v>4</v>
      </c>
      <c r="E85" s="395">
        <f t="shared" si="7"/>
        <v>9219.4500760850515</v>
      </c>
      <c r="F85" s="399">
        <f t="shared" si="8"/>
        <v>0</v>
      </c>
      <c r="G85" s="416">
        <v>9219.4500760850515</v>
      </c>
      <c r="H85" s="417">
        <v>5762.5538821981008</v>
      </c>
      <c r="I85" s="418">
        <v>0</v>
      </c>
      <c r="J85" s="419">
        <v>0</v>
      </c>
      <c r="K85" s="419">
        <v>0</v>
      </c>
      <c r="L85" s="416">
        <v>0</v>
      </c>
      <c r="M85" s="418">
        <v>27.130505840957614</v>
      </c>
      <c r="N85" s="419">
        <v>1239.276737919979</v>
      </c>
      <c r="O85" s="419">
        <v>0</v>
      </c>
    </row>
    <row r="86" spans="2:15" hidden="1" outlineLevel="1">
      <c r="B86" s="386" t="s">
        <v>561</v>
      </c>
      <c r="C86" s="392">
        <v>1</v>
      </c>
      <c r="D86" s="393">
        <v>3</v>
      </c>
      <c r="E86" s="395">
        <f t="shared" si="7"/>
        <v>7819.7863127142036</v>
      </c>
      <c r="F86" s="399">
        <f t="shared" si="8"/>
        <v>0</v>
      </c>
      <c r="G86" s="416">
        <v>7819.7863127142036</v>
      </c>
      <c r="H86" s="417">
        <v>5619.9398226776993</v>
      </c>
      <c r="I86" s="418">
        <v>0</v>
      </c>
      <c r="J86" s="419">
        <v>0</v>
      </c>
      <c r="K86" s="419">
        <v>0</v>
      </c>
      <c r="L86" s="416">
        <v>0</v>
      </c>
      <c r="M86" s="418">
        <v>3.0206524199999998</v>
      </c>
      <c r="N86" s="419">
        <v>16655.482098349687</v>
      </c>
      <c r="O86" s="419">
        <v>0</v>
      </c>
    </row>
    <row r="87" spans="2:15" collapsed="1">
      <c r="B87" s="387" t="s">
        <v>594</v>
      </c>
      <c r="C87" s="372">
        <f>3+SUM(C88:C92)</f>
        <v>8</v>
      </c>
      <c r="D87" s="373">
        <f>C87+SUM(D88:D92)+1</f>
        <v>28</v>
      </c>
      <c r="E87" s="396">
        <f t="shared" ref="E87:E92" si="9">F87+G87</f>
        <v>34011.7701689975</v>
      </c>
      <c r="F87" s="400">
        <f t="shared" ref="F87:F92" si="10">I87+J87+K87+L87</f>
        <v>4958.7019499800026</v>
      </c>
      <c r="G87" s="420">
        <v>29053.068219017496</v>
      </c>
      <c r="H87" s="421">
        <v>17463.859522198702</v>
      </c>
      <c r="I87" s="414">
        <v>0</v>
      </c>
      <c r="J87" s="415">
        <v>819.35425326999996</v>
      </c>
      <c r="K87" s="415">
        <v>1212.9325842700023</v>
      </c>
      <c r="L87" s="420">
        <v>2926.4151124400005</v>
      </c>
      <c r="M87" s="414">
        <v>2490.2185483699996</v>
      </c>
      <c r="N87" s="415">
        <v>25108.963002738099</v>
      </c>
      <c r="O87" s="415">
        <v>0</v>
      </c>
    </row>
    <row r="88" spans="2:15" hidden="1" outlineLevel="1">
      <c r="B88" s="386" t="s">
        <v>495</v>
      </c>
      <c r="C88" s="370">
        <v>1</v>
      </c>
      <c r="D88" s="371">
        <v>4</v>
      </c>
      <c r="E88" s="395">
        <f t="shared" si="9"/>
        <v>4805.7731279234686</v>
      </c>
      <c r="F88" s="399">
        <f t="shared" si="10"/>
        <v>2665.1572822400021</v>
      </c>
      <c r="G88" s="416">
        <v>2140.6158456834664</v>
      </c>
      <c r="H88" s="417">
        <v>1078.9944829924</v>
      </c>
      <c r="I88" s="418">
        <v>0</v>
      </c>
      <c r="J88" s="419">
        <v>261.38528133999995</v>
      </c>
      <c r="K88" s="419">
        <v>724.3178531900021</v>
      </c>
      <c r="L88" s="416">
        <v>1679.4541477100004</v>
      </c>
      <c r="M88" s="418">
        <v>1073.5733923999996</v>
      </c>
      <c r="N88" s="419">
        <v>0</v>
      </c>
      <c r="O88" s="419">
        <v>0</v>
      </c>
    </row>
    <row r="89" spans="2:15" hidden="1" outlineLevel="1">
      <c r="B89" s="386" t="s">
        <v>500</v>
      </c>
      <c r="C89" s="370">
        <v>1</v>
      </c>
      <c r="D89" s="391">
        <f>3+1</f>
        <v>4</v>
      </c>
      <c r="E89" s="395">
        <f t="shared" si="9"/>
        <v>1539.9379909500005</v>
      </c>
      <c r="F89" s="399">
        <f t="shared" si="10"/>
        <v>1539.9379909500005</v>
      </c>
      <c r="G89" s="416">
        <v>0</v>
      </c>
      <c r="H89" s="417">
        <v>3.7953370000000004</v>
      </c>
      <c r="I89" s="418">
        <v>0</v>
      </c>
      <c r="J89" s="419">
        <v>424.67587693000002</v>
      </c>
      <c r="K89" s="419">
        <v>283.85806446000032</v>
      </c>
      <c r="L89" s="416">
        <v>831.4040495600002</v>
      </c>
      <c r="M89" s="418">
        <v>1306.8378951899999</v>
      </c>
      <c r="N89" s="419">
        <v>0</v>
      </c>
      <c r="O89" s="419">
        <v>0</v>
      </c>
    </row>
    <row r="90" spans="2:15" hidden="1" outlineLevel="1">
      <c r="B90" s="386" t="s">
        <v>508</v>
      </c>
      <c r="C90" s="370">
        <v>1</v>
      </c>
      <c r="D90" s="371">
        <v>3</v>
      </c>
      <c r="E90" s="395">
        <f t="shared" si="9"/>
        <v>1643.1814714499783</v>
      </c>
      <c r="F90" s="399">
        <f t="shared" si="10"/>
        <v>753.60667678999994</v>
      </c>
      <c r="G90" s="416">
        <v>889.57479465997847</v>
      </c>
      <c r="H90" s="417">
        <v>577.76288474320006</v>
      </c>
      <c r="I90" s="418">
        <v>0</v>
      </c>
      <c r="J90" s="419">
        <v>133.29309499999997</v>
      </c>
      <c r="K90" s="419">
        <v>204.75666661999992</v>
      </c>
      <c r="L90" s="416">
        <v>415.55691516999997</v>
      </c>
      <c r="M90" s="418">
        <v>109.80726077999999</v>
      </c>
      <c r="N90" s="419">
        <v>0</v>
      </c>
      <c r="O90" s="419">
        <v>0</v>
      </c>
    </row>
    <row r="91" spans="2:15" hidden="1" outlineLevel="1">
      <c r="B91" s="386" t="s">
        <v>512</v>
      </c>
      <c r="C91" s="370">
        <v>1</v>
      </c>
      <c r="D91" s="371">
        <v>3</v>
      </c>
      <c r="E91" s="395">
        <f t="shared" si="9"/>
        <v>10124.639624576168</v>
      </c>
      <c r="F91" s="399">
        <f t="shared" si="10"/>
        <v>0</v>
      </c>
      <c r="G91" s="416">
        <v>10124.639624576168</v>
      </c>
      <c r="H91" s="417">
        <v>6569.7672306954992</v>
      </c>
      <c r="I91" s="418">
        <v>0</v>
      </c>
      <c r="J91" s="419">
        <v>0</v>
      </c>
      <c r="K91" s="419">
        <v>0</v>
      </c>
      <c r="L91" s="416">
        <v>0</v>
      </c>
      <c r="M91" s="418">
        <v>0</v>
      </c>
      <c r="N91" s="419">
        <v>8507.1196553092268</v>
      </c>
      <c r="O91" s="419">
        <v>0</v>
      </c>
    </row>
    <row r="92" spans="2:15" hidden="1" outlineLevel="1">
      <c r="B92" s="386" t="s">
        <v>514</v>
      </c>
      <c r="C92" s="370">
        <v>1</v>
      </c>
      <c r="D92" s="391">
        <f>4+1</f>
        <v>5</v>
      </c>
      <c r="E92" s="395">
        <f t="shared" si="9"/>
        <v>15898.237954097884</v>
      </c>
      <c r="F92" s="399">
        <f t="shared" si="10"/>
        <v>0</v>
      </c>
      <c r="G92" s="416">
        <v>15898.237954097884</v>
      </c>
      <c r="H92" s="417">
        <v>9233.5395867676034</v>
      </c>
      <c r="I92" s="418">
        <v>0</v>
      </c>
      <c r="J92" s="419">
        <v>0</v>
      </c>
      <c r="K92" s="419">
        <v>0</v>
      </c>
      <c r="L92" s="416">
        <v>0</v>
      </c>
      <c r="M92" s="418">
        <v>0</v>
      </c>
      <c r="N92" s="419">
        <v>16601.843347428872</v>
      </c>
      <c r="O92" s="419">
        <v>0</v>
      </c>
    </row>
    <row r="93" spans="2:15" collapsed="1">
      <c r="B93" s="387" t="s">
        <v>443</v>
      </c>
      <c r="C93" s="372">
        <f>3+SUM(C94:C98)</f>
        <v>8</v>
      </c>
      <c r="D93" s="373">
        <f>C93+SUM(D94:D98)+1</f>
        <v>21</v>
      </c>
      <c r="E93" s="396">
        <f t="shared" si="7"/>
        <v>8907.9498912600011</v>
      </c>
      <c r="F93" s="400">
        <f t="shared" si="8"/>
        <v>7639.072182079999</v>
      </c>
      <c r="G93" s="420">
        <v>1268.8777091800027</v>
      </c>
      <c r="H93" s="421">
        <v>855.64039110279998</v>
      </c>
      <c r="I93" s="414">
        <v>864.52190231999987</v>
      </c>
      <c r="J93" s="415">
        <v>2450.7088284699998</v>
      </c>
      <c r="K93" s="415">
        <v>836.40869887000008</v>
      </c>
      <c r="L93" s="420">
        <v>3487.4327524200003</v>
      </c>
      <c r="M93" s="414">
        <v>636.21177519999992</v>
      </c>
      <c r="N93" s="415">
        <v>986.26229077999062</v>
      </c>
      <c r="O93" s="415">
        <v>1913.6581338300027</v>
      </c>
    </row>
    <row r="94" spans="2:15" hidden="1" outlineLevel="1">
      <c r="B94" s="386" t="s">
        <v>448</v>
      </c>
      <c r="C94" s="370">
        <v>1</v>
      </c>
      <c r="D94" s="371">
        <v>4</v>
      </c>
      <c r="E94" s="395">
        <f t="shared" si="7"/>
        <v>3056.2469241100007</v>
      </c>
      <c r="F94" s="399">
        <f t="shared" si="8"/>
        <v>2302.9212674499995</v>
      </c>
      <c r="G94" s="416">
        <v>753.3256566600013</v>
      </c>
      <c r="H94" s="417">
        <v>586.51244633019996</v>
      </c>
      <c r="I94" s="418">
        <v>0</v>
      </c>
      <c r="J94" s="419">
        <v>901.71375716999989</v>
      </c>
      <c r="K94" s="419">
        <v>522.36151340000004</v>
      </c>
      <c r="L94" s="416">
        <v>878.8459968799998</v>
      </c>
      <c r="M94" s="418">
        <v>18.11060694</v>
      </c>
      <c r="N94" s="419">
        <v>0</v>
      </c>
      <c r="O94" s="419">
        <v>0</v>
      </c>
    </row>
    <row r="95" spans="2:15" ht="28.9" hidden="1" outlineLevel="1">
      <c r="B95" s="386" t="s">
        <v>444</v>
      </c>
      <c r="C95" s="370">
        <v>1</v>
      </c>
      <c r="D95" s="371">
        <v>4</v>
      </c>
      <c r="E95" s="395">
        <f t="shared" si="7"/>
        <v>2345.7751313300009</v>
      </c>
      <c r="F95" s="399">
        <f t="shared" si="8"/>
        <v>2031.3369777600001</v>
      </c>
      <c r="G95" s="416">
        <v>314.43815357000079</v>
      </c>
      <c r="H95" s="417">
        <v>130.42390994099995</v>
      </c>
      <c r="I95" s="418">
        <v>0</v>
      </c>
      <c r="J95" s="419">
        <v>713.47514595000007</v>
      </c>
      <c r="K95" s="419">
        <v>235.62862249</v>
      </c>
      <c r="L95" s="416">
        <v>1082.23320932</v>
      </c>
      <c r="M95" s="418">
        <v>257.44670998999993</v>
      </c>
      <c r="N95" s="419">
        <v>0</v>
      </c>
      <c r="O95" s="419">
        <v>0</v>
      </c>
    </row>
    <row r="96" spans="2:15" ht="28.9" hidden="1" outlineLevel="1">
      <c r="B96" s="386" t="s">
        <v>458</v>
      </c>
      <c r="C96" s="370">
        <v>1</v>
      </c>
      <c r="D96" s="371">
        <v>4</v>
      </c>
      <c r="E96" s="395">
        <f t="shared" si="7"/>
        <v>2641.4059335000002</v>
      </c>
      <c r="F96" s="399">
        <f t="shared" si="8"/>
        <v>2440.2920345499997</v>
      </c>
      <c r="G96" s="416">
        <v>201.11389895000065</v>
      </c>
      <c r="H96" s="417">
        <v>138.70403483160004</v>
      </c>
      <c r="I96" s="418">
        <v>0</v>
      </c>
      <c r="J96" s="419">
        <v>835.51992534999988</v>
      </c>
      <c r="K96" s="419">
        <v>78.418562980000004</v>
      </c>
      <c r="L96" s="416">
        <v>1526.35354622</v>
      </c>
      <c r="M96" s="418">
        <v>360.65445826999996</v>
      </c>
      <c r="N96" s="419">
        <v>986.26229077999062</v>
      </c>
      <c r="O96" s="419">
        <v>0</v>
      </c>
    </row>
    <row r="97" spans="2:15" hidden="1" outlineLevel="1">
      <c r="B97" s="386" t="s">
        <v>452</v>
      </c>
      <c r="C97" s="370">
        <v>1</v>
      </c>
      <c r="D97" s="371">
        <v>0</v>
      </c>
      <c r="E97" s="395">
        <f t="shared" si="7"/>
        <v>0</v>
      </c>
      <c r="F97" s="399">
        <f t="shared" si="8"/>
        <v>0</v>
      </c>
      <c r="G97" s="416">
        <v>0</v>
      </c>
      <c r="H97" s="417">
        <v>0</v>
      </c>
      <c r="I97" s="418">
        <v>0</v>
      </c>
      <c r="J97" s="419">
        <v>0</v>
      </c>
      <c r="K97" s="419">
        <v>0</v>
      </c>
      <c r="L97" s="416">
        <v>0</v>
      </c>
      <c r="M97" s="418">
        <v>0</v>
      </c>
      <c r="N97" s="419">
        <v>0</v>
      </c>
      <c r="O97" s="419">
        <v>1485.79293396</v>
      </c>
    </row>
    <row r="98" spans="2:15" hidden="1" outlineLevel="1">
      <c r="B98" s="386" t="s">
        <v>467</v>
      </c>
      <c r="C98" s="370">
        <v>1</v>
      </c>
      <c r="D98" s="371">
        <v>0</v>
      </c>
      <c r="E98" s="395">
        <f t="shared" si="7"/>
        <v>864.52190231999987</v>
      </c>
      <c r="F98" s="399">
        <f t="shared" si="8"/>
        <v>864.52190231999987</v>
      </c>
      <c r="G98" s="416">
        <v>0</v>
      </c>
      <c r="H98" s="417">
        <v>0</v>
      </c>
      <c r="I98" s="418">
        <v>864.52190231999987</v>
      </c>
      <c r="J98" s="419">
        <v>0</v>
      </c>
      <c r="K98" s="419">
        <v>0</v>
      </c>
      <c r="L98" s="416">
        <v>0</v>
      </c>
      <c r="M98" s="418">
        <v>0</v>
      </c>
      <c r="N98" s="419">
        <v>0</v>
      </c>
      <c r="O98" s="419">
        <v>427.86519987000287</v>
      </c>
    </row>
    <row r="99" spans="2:15" ht="15" collapsed="1" thickBot="1">
      <c r="B99" s="388" t="s">
        <v>469</v>
      </c>
      <c r="C99" s="374">
        <f>3+SUM(C100:C102)</f>
        <v>6</v>
      </c>
      <c r="D99" s="375">
        <f>C99+SUM(D100:D102)+1</f>
        <v>19</v>
      </c>
      <c r="E99" s="397">
        <f t="shared" si="7"/>
        <v>13408.901903740845</v>
      </c>
      <c r="F99" s="401">
        <f t="shared" si="8"/>
        <v>5568.3747416633369</v>
      </c>
      <c r="G99" s="422">
        <v>7840.5271620775084</v>
      </c>
      <c r="H99" s="423">
        <v>6868.6013486542224</v>
      </c>
      <c r="I99" s="424">
        <v>3762.6053336533359</v>
      </c>
      <c r="J99" s="425">
        <v>513.83624372999998</v>
      </c>
      <c r="K99" s="425">
        <v>389.19992187999992</v>
      </c>
      <c r="L99" s="422">
        <v>902.73324240000034</v>
      </c>
      <c r="M99" s="414">
        <v>4231.6722222766666</v>
      </c>
      <c r="N99" s="415">
        <v>0</v>
      </c>
      <c r="O99" s="415">
        <v>0</v>
      </c>
    </row>
    <row r="100" spans="2:15" ht="43.15" hidden="1" outlineLevel="1">
      <c r="B100" s="352" t="s">
        <v>486</v>
      </c>
      <c r="C100" s="353">
        <v>1</v>
      </c>
      <c r="D100" s="353">
        <v>4</v>
      </c>
      <c r="E100" s="390">
        <f t="shared" si="7"/>
        <v>1547.8880894200004</v>
      </c>
      <c r="F100" s="390">
        <f t="shared" si="8"/>
        <v>1547.8880894200004</v>
      </c>
      <c r="G100" s="426">
        <v>0</v>
      </c>
      <c r="H100" s="426">
        <v>0</v>
      </c>
      <c r="I100" s="426">
        <v>0</v>
      </c>
      <c r="J100" s="426">
        <v>513.83624372999998</v>
      </c>
      <c r="K100" s="426">
        <v>131.31860329000008</v>
      </c>
      <c r="L100" s="426">
        <v>902.73324240000034</v>
      </c>
      <c r="M100" s="419">
        <v>0</v>
      </c>
      <c r="N100" s="419">
        <v>0</v>
      </c>
      <c r="O100" s="419">
        <v>0</v>
      </c>
    </row>
    <row r="101" spans="2:15" hidden="1" outlineLevel="1">
      <c r="B101" s="350" t="s">
        <v>474</v>
      </c>
      <c r="C101" s="216">
        <v>1</v>
      </c>
      <c r="D101" s="216">
        <v>4</v>
      </c>
      <c r="E101" s="349">
        <f t="shared" si="7"/>
        <v>4020.4866522433358</v>
      </c>
      <c r="F101" s="349">
        <f t="shared" si="8"/>
        <v>4020.4866522433358</v>
      </c>
      <c r="G101" s="419">
        <v>0</v>
      </c>
      <c r="H101" s="419">
        <v>0</v>
      </c>
      <c r="I101" s="419">
        <v>3762.6053336533359</v>
      </c>
      <c r="J101" s="419">
        <v>0</v>
      </c>
      <c r="K101" s="419">
        <v>257.88131858999986</v>
      </c>
      <c r="L101" s="419">
        <v>0</v>
      </c>
      <c r="M101" s="419">
        <v>257.88131858999986</v>
      </c>
      <c r="N101" s="419">
        <v>0</v>
      </c>
      <c r="O101" s="419">
        <v>0</v>
      </c>
    </row>
    <row r="102" spans="2:15" hidden="1" outlineLevel="1">
      <c r="B102" s="350" t="s">
        <v>470</v>
      </c>
      <c r="C102" s="216">
        <v>1</v>
      </c>
      <c r="D102" s="216">
        <v>4</v>
      </c>
      <c r="E102" s="349">
        <f t="shared" si="7"/>
        <v>7840.5271620775084</v>
      </c>
      <c r="F102" s="349">
        <f t="shared" si="8"/>
        <v>0</v>
      </c>
      <c r="G102" s="419">
        <v>7840.5271620775084</v>
      </c>
      <c r="H102" s="419">
        <v>6868.6013486542224</v>
      </c>
      <c r="I102" s="419">
        <v>0</v>
      </c>
      <c r="J102" s="419">
        <v>0</v>
      </c>
      <c r="K102" s="419">
        <v>0</v>
      </c>
      <c r="L102" s="419">
        <v>0</v>
      </c>
      <c r="M102" s="419">
        <v>3973.7909036866663</v>
      </c>
      <c r="N102" s="419">
        <v>0</v>
      </c>
      <c r="O102" s="419">
        <v>0</v>
      </c>
    </row>
    <row r="103" spans="2:15" collapsed="1">
      <c r="D103" s="269">
        <f>D72+D78+D87+D93+D99</f>
        <v>141</v>
      </c>
      <c r="E103" s="269">
        <f>E72+E78+E87+E93+E99</f>
        <v>137916.56346095781</v>
      </c>
      <c r="F103" s="269">
        <f t="shared" ref="F103:O103" si="11">F72+F78+F87+F93+F99</f>
        <v>39518.810117743538</v>
      </c>
      <c r="G103" s="269">
        <f t="shared" si="11"/>
        <v>98397.753343214266</v>
      </c>
      <c r="H103" s="269">
        <f>H72+H78+H87+H93+H99</f>
        <v>63037.052086924217</v>
      </c>
      <c r="I103" s="269">
        <f t="shared" si="11"/>
        <v>17482.359849433546</v>
      </c>
      <c r="J103" s="269">
        <f t="shared" si="11"/>
        <v>6088.8179001199987</v>
      </c>
      <c r="K103" s="269">
        <f t="shared" si="11"/>
        <v>4609.3721040999999</v>
      </c>
      <c r="L103" s="269">
        <f t="shared" si="11"/>
        <v>11338.26026409</v>
      </c>
      <c r="M103" s="269">
        <f t="shared" si="11"/>
        <v>10869.918874992622</v>
      </c>
      <c r="N103" s="269">
        <f t="shared" si="11"/>
        <v>82108.980244304956</v>
      </c>
      <c r="O103" s="269">
        <f t="shared" si="11"/>
        <v>2143.4225843900026</v>
      </c>
    </row>
    <row r="104" spans="2:15" ht="15" thickBot="1"/>
    <row r="105" spans="2:15" ht="58.15" thickBot="1">
      <c r="B105" s="384" t="s">
        <v>595</v>
      </c>
      <c r="C105" s="367" t="s">
        <v>581</v>
      </c>
      <c r="D105" s="362" t="s">
        <v>582</v>
      </c>
      <c r="E105" s="342" t="s">
        <v>583</v>
      </c>
      <c r="F105" s="367" t="s">
        <v>584</v>
      </c>
      <c r="G105" s="362" t="s">
        <v>585</v>
      </c>
      <c r="H105" s="342" t="s">
        <v>304</v>
      </c>
      <c r="I105" s="367" t="s">
        <v>295</v>
      </c>
      <c r="J105" s="361" t="s">
        <v>299</v>
      </c>
      <c r="K105" s="361" t="s">
        <v>300</v>
      </c>
      <c r="L105" s="362" t="s">
        <v>301</v>
      </c>
      <c r="M105" s="351" t="s">
        <v>303</v>
      </c>
      <c r="N105" s="262" t="s">
        <v>305</v>
      </c>
      <c r="O105" s="262" t="s">
        <v>306</v>
      </c>
    </row>
    <row r="106" spans="2:15">
      <c r="B106" s="434" t="str">
        <f>B72</f>
        <v>HSR Center</v>
      </c>
      <c r="C106" s="437">
        <f t="shared" ref="C106:M106" si="12">C72</f>
        <v>9</v>
      </c>
      <c r="D106" s="438">
        <f t="shared" si="12"/>
        <v>33</v>
      </c>
      <c r="E106" s="443">
        <f t="shared" si="12"/>
        <v>33202.456305437176</v>
      </c>
      <c r="F106" s="446">
        <f t="shared" si="12"/>
        <v>11154.735154980192</v>
      </c>
      <c r="G106" s="433">
        <f t="shared" si="12"/>
        <v>22047.721150456986</v>
      </c>
      <c r="H106" s="443">
        <f>H72</f>
        <v>13642.823323651699</v>
      </c>
      <c r="I106" s="446">
        <f t="shared" si="12"/>
        <v>7795.9990057501946</v>
      </c>
      <c r="J106" s="432">
        <f t="shared" si="12"/>
        <v>1421.463026709999</v>
      </c>
      <c r="K106" s="432">
        <f t="shared" si="12"/>
        <v>645.53893148999828</v>
      </c>
      <c r="L106" s="433">
        <f t="shared" si="12"/>
        <v>1291.7341910299997</v>
      </c>
      <c r="M106" s="428">
        <f t="shared" si="12"/>
        <v>2688.0325819999966</v>
      </c>
      <c r="N106" s="427">
        <f>N72</f>
        <v>26804.288583517791</v>
      </c>
      <c r="O106" s="427">
        <f t="shared" ref="O106" si="13">O72</f>
        <v>229.76445055999989</v>
      </c>
    </row>
    <row r="107" spans="2:15">
      <c r="B107" s="435" t="str">
        <f>B78</f>
        <v>HSR North (NEW)</v>
      </c>
      <c r="C107" s="439">
        <f t="shared" ref="C107:M107" si="14">C78</f>
        <v>11</v>
      </c>
      <c r="D107" s="440">
        <f t="shared" si="14"/>
        <v>40</v>
      </c>
      <c r="E107" s="444">
        <f t="shared" si="14"/>
        <v>48385.485191522297</v>
      </c>
      <c r="F107" s="447">
        <f t="shared" si="14"/>
        <v>10197.926089040015</v>
      </c>
      <c r="G107" s="429">
        <f t="shared" si="14"/>
        <v>38187.559102482286</v>
      </c>
      <c r="H107" s="444">
        <f>H78</f>
        <v>24206.127501316798</v>
      </c>
      <c r="I107" s="447">
        <f t="shared" si="14"/>
        <v>5059.2336077100144</v>
      </c>
      <c r="J107" s="427">
        <f t="shared" si="14"/>
        <v>883.45554793999997</v>
      </c>
      <c r="K107" s="427">
        <f t="shared" si="14"/>
        <v>1525.2919675899998</v>
      </c>
      <c r="L107" s="429">
        <f t="shared" si="14"/>
        <v>2729.9449658000003</v>
      </c>
      <c r="M107" s="428">
        <f t="shared" si="14"/>
        <v>823.78374714595748</v>
      </c>
      <c r="N107" s="427">
        <f>N78</f>
        <v>29209.46636726908</v>
      </c>
      <c r="O107" s="427">
        <f t="shared" ref="O107" si="15">O78</f>
        <v>0</v>
      </c>
    </row>
    <row r="108" spans="2:15">
      <c r="B108" s="435" t="str">
        <f>B87</f>
        <v>HSR South</v>
      </c>
      <c r="C108" s="439">
        <f t="shared" ref="C108:M108" si="16">C87</f>
        <v>8</v>
      </c>
      <c r="D108" s="440">
        <f t="shared" si="16"/>
        <v>28</v>
      </c>
      <c r="E108" s="444">
        <f t="shared" si="16"/>
        <v>34011.7701689975</v>
      </c>
      <c r="F108" s="447">
        <f t="shared" si="16"/>
        <v>4958.7019499800026</v>
      </c>
      <c r="G108" s="429">
        <f t="shared" si="16"/>
        <v>29053.068219017496</v>
      </c>
      <c r="H108" s="444">
        <f>H87</f>
        <v>17463.859522198702</v>
      </c>
      <c r="I108" s="447">
        <f t="shared" si="16"/>
        <v>0</v>
      </c>
      <c r="J108" s="427">
        <f t="shared" si="16"/>
        <v>819.35425326999996</v>
      </c>
      <c r="K108" s="427">
        <f t="shared" si="16"/>
        <v>1212.9325842700023</v>
      </c>
      <c r="L108" s="429">
        <f t="shared" si="16"/>
        <v>2926.4151124400005</v>
      </c>
      <c r="M108" s="428">
        <f t="shared" si="16"/>
        <v>2490.2185483699996</v>
      </c>
      <c r="N108" s="427">
        <f>N87</f>
        <v>25108.963002738099</v>
      </c>
      <c r="O108" s="427">
        <f t="shared" ref="O108" si="17">O87</f>
        <v>0</v>
      </c>
    </row>
    <row r="109" spans="2:15" ht="15" thickBot="1">
      <c r="B109" s="436" t="str">
        <f>B62</f>
        <v>HSR EAST</v>
      </c>
      <c r="C109" s="441">
        <f t="shared" ref="C109:M109" si="18">C62</f>
        <v>9</v>
      </c>
      <c r="D109" s="442">
        <f t="shared" si="18"/>
        <v>36</v>
      </c>
      <c r="E109" s="445">
        <f t="shared" si="18"/>
        <v>22316.851795000846</v>
      </c>
      <c r="F109" s="448">
        <f t="shared" si="18"/>
        <v>13207.446923743335</v>
      </c>
      <c r="G109" s="431">
        <f t="shared" si="18"/>
        <v>9109.4048712575132</v>
      </c>
      <c r="H109" s="445">
        <f>H62</f>
        <v>7724.2417397570234</v>
      </c>
      <c r="I109" s="448">
        <f t="shared" si="18"/>
        <v>4627.1272359733366</v>
      </c>
      <c r="J109" s="430">
        <f t="shared" si="18"/>
        <v>2964.5450721999996</v>
      </c>
      <c r="K109" s="430">
        <f t="shared" si="18"/>
        <v>1225.60862075</v>
      </c>
      <c r="L109" s="431">
        <f t="shared" si="18"/>
        <v>4390.1659948199995</v>
      </c>
      <c r="M109" s="428">
        <f t="shared" si="18"/>
        <v>4867.8839974766661</v>
      </c>
      <c r="N109" s="427">
        <f>N62</f>
        <v>986.26229077999062</v>
      </c>
      <c r="O109" s="427">
        <f t="shared" ref="O109" si="19">O62</f>
        <v>1913.658133830003</v>
      </c>
    </row>
    <row r="110" spans="2:15">
      <c r="D110" s="266">
        <f>D106+D107+D108+D109</f>
        <v>137</v>
      </c>
      <c r="E110" s="269">
        <f t="shared" ref="E110:O110" si="20">E106+E107+E108+E109</f>
        <v>137916.56346095781</v>
      </c>
      <c r="F110" s="269">
        <f t="shared" si="20"/>
        <v>39518.810117743546</v>
      </c>
      <c r="G110" s="269">
        <f t="shared" si="20"/>
        <v>98397.753343214281</v>
      </c>
      <c r="H110" s="269">
        <f>H106+H107+H108+H109</f>
        <v>63037.052086924217</v>
      </c>
      <c r="I110" s="269">
        <f t="shared" si="20"/>
        <v>17482.359849433546</v>
      </c>
      <c r="J110" s="269">
        <f t="shared" si="20"/>
        <v>6088.8179001199987</v>
      </c>
      <c r="K110" s="269">
        <f t="shared" si="20"/>
        <v>4609.3721040999999</v>
      </c>
      <c r="L110" s="269">
        <f t="shared" si="20"/>
        <v>11338.26026409</v>
      </c>
      <c r="M110" s="269">
        <f t="shared" si="20"/>
        <v>10869.91887499262</v>
      </c>
      <c r="N110" s="269">
        <f t="shared" si="20"/>
        <v>82108.980244304956</v>
      </c>
      <c r="O110" s="269">
        <f t="shared" si="20"/>
        <v>2143.4225843900031</v>
      </c>
    </row>
    <row r="111" spans="2:15">
      <c r="D111" s="269">
        <f>D110-D36</f>
        <v>-9</v>
      </c>
      <c r="E111" s="269">
        <f t="shared" ref="E111:M111" si="21">E110-E36</f>
        <v>0</v>
      </c>
      <c r="F111" s="269">
        <f t="shared" si="21"/>
        <v>0</v>
      </c>
      <c r="G111" s="269">
        <f t="shared" si="21"/>
        <v>0</v>
      </c>
      <c r="H111" s="269">
        <f>H110-H36</f>
        <v>0</v>
      </c>
      <c r="I111" s="269">
        <f t="shared" si="21"/>
        <v>0</v>
      </c>
      <c r="J111" s="269">
        <f t="shared" si="21"/>
        <v>0</v>
      </c>
      <c r="K111" s="269">
        <f t="shared" si="21"/>
        <v>0</v>
      </c>
      <c r="L111" s="269">
        <f t="shared" si="21"/>
        <v>0</v>
      </c>
      <c r="M111" s="269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4.4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>
      <c r="A3" s="337" t="s">
        <v>567</v>
      </c>
      <c r="B3" t="s">
        <v>572</v>
      </c>
      <c r="C3" t="s">
        <v>568</v>
      </c>
      <c r="D3" t="s">
        <v>569</v>
      </c>
      <c r="E3" t="s">
        <v>570</v>
      </c>
      <c r="F3" t="s">
        <v>571</v>
      </c>
      <c r="G3" t="s">
        <v>573</v>
      </c>
      <c r="H3" t="s">
        <v>574</v>
      </c>
      <c r="I3" t="s">
        <v>575</v>
      </c>
      <c r="J3" t="s">
        <v>576</v>
      </c>
    </row>
    <row r="4" spans="1:10">
      <c r="A4" s="255" t="s">
        <v>391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>
      <c r="A5" s="256" t="s">
        <v>395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>
      <c r="A6" s="257" t="s">
        <v>419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>
      <c r="A7" s="257" t="s">
        <v>396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>
      <c r="A8" s="257" t="s">
        <v>414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>
      <c r="A9" s="257" t="s">
        <v>397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>
      <c r="A10" s="257" t="s">
        <v>398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>
      <c r="A11" s="257" t="s">
        <v>331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>
      <c r="A12" s="257" t="s">
        <v>329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>
      <c r="A13" s="256" t="s">
        <v>400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>
      <c r="A14" s="257" t="s">
        <v>415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>
      <c r="A15" s="257" t="s">
        <v>418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>
      <c r="A16" s="257" t="s">
        <v>401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>
      <c r="A17" s="256" t="s">
        <v>392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>
      <c r="A18" s="257" t="s">
        <v>416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>
      <c r="A19" s="257" t="s">
        <v>417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>
      <c r="A20" s="257" t="s">
        <v>441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>
      <c r="A21" s="257" t="s">
        <v>403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>
      <c r="A22" s="257" t="s">
        <v>393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>
      <c r="A23" s="256" t="s">
        <v>406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>
      <c r="A24" s="257" t="s">
        <v>407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>
      <c r="A25" s="257" t="s">
        <v>408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>
      <c r="A26" s="257" t="s">
        <v>409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>
      <c r="A27" s="257" t="s">
        <v>410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>
      <c r="A28" s="256" t="s">
        <v>404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>
      <c r="A29" s="257" t="s">
        <v>405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>
      <c r="A30" s="257" t="s">
        <v>411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>
      <c r="A31" s="257" t="s">
        <v>412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>
      <c r="A32" s="257" t="s">
        <v>371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>
      <c r="A33" s="257" t="s">
        <v>413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>
      <c r="A34" s="255" t="s">
        <v>596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>
      <c r="A35" s="256" t="s">
        <v>532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>
      <c r="A36" s="257" t="s">
        <v>537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>
      <c r="A37" s="257" t="s">
        <v>533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>
      <c r="A38" s="257" t="s">
        <v>540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>
      <c r="A39" s="256" t="s">
        <v>323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>
      <c r="A40" s="257" t="s">
        <v>336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>
      <c r="A41" s="257" t="s">
        <v>332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>
      <c r="A42" s="257" t="s">
        <v>334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>
      <c r="A43" s="257" t="s">
        <v>324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>
      <c r="A44" s="257" t="s">
        <v>329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>
      <c r="A45" s="256" t="s">
        <v>534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>
      <c r="A46" s="257" t="s">
        <v>542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>
      <c r="A47" s="257" t="s">
        <v>535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>
      <c r="A48" s="257" t="s">
        <v>545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>
      <c r="A49" s="257" t="s">
        <v>549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>
      <c r="A50" s="256" t="s">
        <v>342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>
      <c r="A51" s="257" t="s">
        <v>379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>
      <c r="A52" s="257" t="s">
        <v>353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>
      <c r="A53" s="257" t="s">
        <v>343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>
      <c r="A54" s="256" t="s">
        <v>367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>
      <c r="A55" s="257" t="s">
        <v>374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>
      <c r="A56" s="257" t="s">
        <v>375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>
      <c r="A57" s="257" t="s">
        <v>376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>
      <c r="A58" s="257" t="s">
        <v>368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>
      <c r="A59" s="256" t="s">
        <v>369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>
      <c r="A60" s="257" t="s">
        <v>377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>
      <c r="A61" s="257" t="s">
        <v>378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>
      <c r="A62" s="257" t="s">
        <v>386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>
      <c r="A63" s="256" t="s">
        <v>557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>
      <c r="A64" s="257" t="s">
        <v>558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>
      <c r="A65" s="257" t="s">
        <v>559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>
      <c r="A66" s="257" t="s">
        <v>560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>
      <c r="A67" s="257" t="s">
        <v>564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>
      <c r="A68" s="256" t="s">
        <v>561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>
      <c r="A69" s="257" t="s">
        <v>562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>
      <c r="A70" s="257" t="s">
        <v>563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>
      <c r="A71" s="257" t="s">
        <v>565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>
      <c r="A72" s="255" t="s">
        <v>443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>
      <c r="A73" s="256" t="s">
        <v>448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>
      <c r="A74" s="257" t="s">
        <v>449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>
      <c r="A75" s="257" t="s">
        <v>450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>
      <c r="A76" s="257" t="s">
        <v>451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>
      <c r="A77" s="257" t="s">
        <v>457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>
      <c r="A78" s="256" t="s">
        <v>444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>
      <c r="A79" s="257" t="s">
        <v>445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>
      <c r="A80" s="257" t="s">
        <v>446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>
      <c r="A81" s="257" t="s">
        <v>456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>
      <c r="A82" s="257" t="s">
        <v>464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>
      <c r="A83" s="256" t="s">
        <v>458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>
      <c r="A84" s="257" t="s">
        <v>466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>
      <c r="A85" s="257" t="s">
        <v>461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>
      <c r="A86" s="257" t="s">
        <v>462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>
      <c r="A87" s="257" t="s">
        <v>460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>
      <c r="A88" s="257" t="s">
        <v>459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>
      <c r="A89" s="256" t="s">
        <v>452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>
      <c r="A90" s="257" t="s">
        <v>453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>
      <c r="A91" s="256" t="s">
        <v>467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>
      <c r="A92" s="257" t="s">
        <v>468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>
      <c r="A93" s="255" t="s">
        <v>469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>
      <c r="A94" s="256" t="s">
        <v>486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>
      <c r="A95" s="257" t="s">
        <v>489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>
      <c r="A96" s="257" t="s">
        <v>487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>
      <c r="A97" s="257" t="s">
        <v>491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>
      <c r="A98" s="257" t="s">
        <v>488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>
      <c r="A99" s="256" t="s">
        <v>474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>
      <c r="A100" s="257" t="s">
        <v>482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>
      <c r="A101" s="257" t="s">
        <v>479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>
      <c r="A102" s="257" t="s">
        <v>475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>
      <c r="A103" s="257" t="s">
        <v>490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>
      <c r="A104" s="256" t="s">
        <v>470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>
      <c r="A105" s="257" t="s">
        <v>473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>
      <c r="A106" s="257" t="s">
        <v>471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>
      <c r="A107" s="257" t="s">
        <v>478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>
      <c r="A108" s="257" t="s">
        <v>472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>
      <c r="A109" s="255" t="s">
        <v>594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>
      <c r="A110" s="256" t="s">
        <v>495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>
      <c r="A111" s="257" t="s">
        <v>504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>
      <c r="A112" s="257" t="s">
        <v>506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>
      <c r="A113" s="257" t="s">
        <v>496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>
      <c r="A114" s="257" t="s">
        <v>507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>
      <c r="A115" s="256" t="s">
        <v>500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>
      <c r="A116" s="257" t="s">
        <v>501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>
      <c r="A117" s="257" t="s">
        <v>527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>
      <c r="A118" s="257" t="s">
        <v>336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>
      <c r="A119" s="257" t="s">
        <v>332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>
      <c r="A120" s="257" t="s">
        <v>334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>
      <c r="A121" s="257" t="s">
        <v>324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>
      <c r="A122" s="257" t="s">
        <v>329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>
      <c r="A123" s="257" t="s">
        <v>524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>
      <c r="A124" s="257" t="s">
        <v>503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>
      <c r="A125" s="256" t="s">
        <v>508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>
      <c r="A126" s="257" t="s">
        <v>509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>
      <c r="A127" s="257" t="s">
        <v>510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>
      <c r="A128" s="257" t="s">
        <v>525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>
      <c r="A129" s="256" t="s">
        <v>512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>
      <c r="A130" s="257" t="s">
        <v>518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>
      <c r="A131" s="257" t="s">
        <v>513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>
      <c r="A132" s="257" t="s">
        <v>520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>
      <c r="A133" s="256" t="s">
        <v>514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>
      <c r="A134" s="257" t="s">
        <v>370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>
      <c r="A135" s="257" t="s">
        <v>523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>
      <c r="A136" s="257" t="s">
        <v>516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>
      <c r="A137" s="257" t="s">
        <v>521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>
      <c r="A138" s="257" t="s">
        <v>515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>
      <c r="A139" s="255" t="s">
        <v>577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4.4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28.9">
      <c r="A1" s="231" t="s">
        <v>195</v>
      </c>
      <c r="B1" s="231" t="s">
        <v>196</v>
      </c>
      <c r="C1" s="231" t="s">
        <v>597</v>
      </c>
      <c r="D1" s="231" t="s">
        <v>197</v>
      </c>
      <c r="E1" s="231" t="s">
        <v>598</v>
      </c>
      <c r="F1" s="231" t="s">
        <v>198</v>
      </c>
      <c r="G1" s="231" t="s">
        <v>599</v>
      </c>
      <c r="H1" s="231" t="s">
        <v>199</v>
      </c>
      <c r="I1" s="231" t="s">
        <v>200</v>
      </c>
      <c r="J1" s="231" t="s">
        <v>201</v>
      </c>
      <c r="K1" s="231" t="s">
        <v>202</v>
      </c>
      <c r="L1" s="338" t="s">
        <v>295</v>
      </c>
      <c r="M1" s="338" t="s">
        <v>299</v>
      </c>
      <c r="N1" s="338" t="s">
        <v>300</v>
      </c>
      <c r="O1" s="338" t="s">
        <v>301</v>
      </c>
      <c r="P1" s="231" t="s">
        <v>302</v>
      </c>
      <c r="Q1" s="231" t="s">
        <v>303</v>
      </c>
      <c r="R1" s="338" t="s">
        <v>304</v>
      </c>
      <c r="S1" s="231" t="s">
        <v>305</v>
      </c>
      <c r="T1" s="231" t="s">
        <v>306</v>
      </c>
    </row>
    <row r="2" spans="1:20">
      <c r="A2" s="15" t="s">
        <v>24</v>
      </c>
      <c r="B2" s="15" t="s">
        <v>566</v>
      </c>
      <c r="C2" s="15" t="s">
        <v>596</v>
      </c>
      <c r="D2" s="15" t="s">
        <v>323</v>
      </c>
      <c r="E2" s="15" t="s">
        <v>323</v>
      </c>
      <c r="F2" s="15" t="s">
        <v>324</v>
      </c>
      <c r="G2" s="15"/>
      <c r="H2" s="15" t="s">
        <v>325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>
      <c r="A3" s="15" t="s">
        <v>24</v>
      </c>
      <c r="B3" s="15" t="s">
        <v>566</v>
      </c>
      <c r="C3" s="15" t="s">
        <v>596</v>
      </c>
      <c r="D3" s="15" t="s">
        <v>323</v>
      </c>
      <c r="E3" s="15" t="s">
        <v>323</v>
      </c>
      <c r="F3" s="15" t="s">
        <v>324</v>
      </c>
      <c r="G3" s="15"/>
      <c r="H3" s="15" t="s">
        <v>327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>
      <c r="A4" s="15" t="s">
        <v>24</v>
      </c>
      <c r="B4" s="15" t="s">
        <v>566</v>
      </c>
      <c r="C4" s="15" t="s">
        <v>596</v>
      </c>
      <c r="D4" s="15" t="s">
        <v>328</v>
      </c>
      <c r="E4" s="15" t="s">
        <v>323</v>
      </c>
      <c r="F4" s="15" t="s">
        <v>329</v>
      </c>
      <c r="G4" s="15"/>
      <c r="H4" s="15" t="s">
        <v>330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>
      <c r="A5" s="15" t="s">
        <v>24</v>
      </c>
      <c r="B5" s="15" t="s">
        <v>566</v>
      </c>
      <c r="C5" s="15" t="s">
        <v>596</v>
      </c>
      <c r="D5" s="15" t="s">
        <v>323</v>
      </c>
      <c r="E5" s="15" t="s">
        <v>323</v>
      </c>
      <c r="F5" s="15" t="s">
        <v>324</v>
      </c>
      <c r="G5" s="15"/>
      <c r="H5" s="15" t="s">
        <v>325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>
      <c r="A6" s="15" t="s">
        <v>24</v>
      </c>
      <c r="B6" s="15" t="s">
        <v>566</v>
      </c>
      <c r="C6" s="15" t="s">
        <v>596</v>
      </c>
      <c r="D6" s="15" t="s">
        <v>323</v>
      </c>
      <c r="E6" s="15" t="s">
        <v>323</v>
      </c>
      <c r="F6" s="15" t="s">
        <v>324</v>
      </c>
      <c r="G6" s="15"/>
      <c r="H6" s="15" t="s">
        <v>325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>
      <c r="A7" s="15" t="s">
        <v>22</v>
      </c>
      <c r="B7" s="15" t="s">
        <v>566</v>
      </c>
      <c r="C7" s="15" t="s">
        <v>594</v>
      </c>
      <c r="D7" s="15" t="s">
        <v>328</v>
      </c>
      <c r="E7" s="15" t="s">
        <v>500</v>
      </c>
      <c r="F7" s="15" t="s">
        <v>329</v>
      </c>
      <c r="G7" s="15"/>
      <c r="H7" s="15" t="s">
        <v>330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>
      <c r="A8" s="15" t="s">
        <v>22</v>
      </c>
      <c r="B8" s="15" t="s">
        <v>566</v>
      </c>
      <c r="C8" s="15" t="s">
        <v>594</v>
      </c>
      <c r="D8" s="15" t="s">
        <v>328</v>
      </c>
      <c r="E8" s="15" t="s">
        <v>500</v>
      </c>
      <c r="F8" s="15" t="s">
        <v>329</v>
      </c>
      <c r="G8" s="15"/>
      <c r="H8" s="15" t="s">
        <v>330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>
      <c r="A9" s="15" t="s">
        <v>22</v>
      </c>
      <c r="B9" s="15" t="s">
        <v>566</v>
      </c>
      <c r="C9" s="15" t="s">
        <v>594</v>
      </c>
      <c r="D9" s="15" t="s">
        <v>323</v>
      </c>
      <c r="E9" s="15" t="s">
        <v>500</v>
      </c>
      <c r="F9" s="15" t="s">
        <v>332</v>
      </c>
      <c r="G9" s="15" t="s">
        <v>332</v>
      </c>
      <c r="H9" s="15" t="s">
        <v>325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>
      <c r="A10" s="15" t="s">
        <v>22</v>
      </c>
      <c r="B10" s="15" t="s">
        <v>566</v>
      </c>
      <c r="C10" s="15" t="s">
        <v>594</v>
      </c>
      <c r="D10" s="15" t="s">
        <v>323</v>
      </c>
      <c r="E10" s="15" t="s">
        <v>500</v>
      </c>
      <c r="F10" s="15" t="s">
        <v>332</v>
      </c>
      <c r="G10" s="15" t="s">
        <v>332</v>
      </c>
      <c r="H10" s="15" t="s">
        <v>327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>
      <c r="A11" s="15" t="s">
        <v>22</v>
      </c>
      <c r="B11" s="15" t="s">
        <v>566</v>
      </c>
      <c r="C11" s="15" t="s">
        <v>594</v>
      </c>
      <c r="D11" s="15" t="s">
        <v>328</v>
      </c>
      <c r="E11" s="15" t="s">
        <v>500</v>
      </c>
      <c r="F11" s="15" t="s">
        <v>329</v>
      </c>
      <c r="G11" s="15"/>
      <c r="H11" s="15" t="s">
        <v>330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>
      <c r="A12" s="15" t="s">
        <v>22</v>
      </c>
      <c r="B12" s="15" t="s">
        <v>566</v>
      </c>
      <c r="C12" s="15" t="s">
        <v>594</v>
      </c>
      <c r="D12" s="15" t="s">
        <v>328</v>
      </c>
      <c r="E12" s="15" t="s">
        <v>500</v>
      </c>
      <c r="F12" s="15" t="s">
        <v>334</v>
      </c>
      <c r="G12" s="15"/>
      <c r="H12" s="15" t="s">
        <v>335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>
      <c r="A13" s="15" t="s">
        <v>22</v>
      </c>
      <c r="B13" s="15" t="s">
        <v>566</v>
      </c>
      <c r="C13" s="15" t="s">
        <v>594</v>
      </c>
      <c r="D13" s="15" t="s">
        <v>323</v>
      </c>
      <c r="E13" s="15" t="s">
        <v>500</v>
      </c>
      <c r="F13" s="15" t="s">
        <v>336</v>
      </c>
      <c r="G13" s="15" t="s">
        <v>332</v>
      </c>
      <c r="H13" s="15" t="s">
        <v>325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>
      <c r="A14" s="15" t="s">
        <v>22</v>
      </c>
      <c r="B14" s="15" t="s">
        <v>566</v>
      </c>
      <c r="C14" s="15" t="s">
        <v>594</v>
      </c>
      <c r="D14" s="15" t="s">
        <v>323</v>
      </c>
      <c r="E14" s="15" t="s">
        <v>500</v>
      </c>
      <c r="F14" s="15" t="s">
        <v>336</v>
      </c>
      <c r="G14" s="15" t="s">
        <v>332</v>
      </c>
      <c r="H14" s="15" t="s">
        <v>327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>
      <c r="A15" s="15" t="s">
        <v>22</v>
      </c>
      <c r="B15" s="15" t="s">
        <v>566</v>
      </c>
      <c r="C15" s="15" t="s">
        <v>594</v>
      </c>
      <c r="D15" s="15" t="s">
        <v>323</v>
      </c>
      <c r="E15" s="15" t="s">
        <v>500</v>
      </c>
      <c r="F15" s="15" t="s">
        <v>332</v>
      </c>
      <c r="G15" s="15" t="s">
        <v>332</v>
      </c>
      <c r="H15" s="15" t="s">
        <v>327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>
      <c r="A16" s="15" t="s">
        <v>22</v>
      </c>
      <c r="B16" s="15" t="s">
        <v>566</v>
      </c>
      <c r="C16" s="15" t="s">
        <v>594</v>
      </c>
      <c r="D16" s="15" t="s">
        <v>323</v>
      </c>
      <c r="E16" s="15" t="s">
        <v>500</v>
      </c>
      <c r="F16" s="15" t="s">
        <v>336</v>
      </c>
      <c r="G16" s="15" t="s">
        <v>332</v>
      </c>
      <c r="H16" s="15" t="s">
        <v>327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>
      <c r="A17" s="15" t="s">
        <v>27</v>
      </c>
      <c r="B17" s="15" t="s">
        <v>566</v>
      </c>
      <c r="C17" s="15" t="s">
        <v>391</v>
      </c>
      <c r="D17" s="15" t="s">
        <v>323</v>
      </c>
      <c r="E17" s="15" t="s">
        <v>395</v>
      </c>
      <c r="F17" s="15" t="s">
        <v>331</v>
      </c>
      <c r="G17" s="15"/>
      <c r="H17" s="15" t="s">
        <v>325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>
      <c r="A18" s="15" t="s">
        <v>27</v>
      </c>
      <c r="B18" s="15" t="s">
        <v>566</v>
      </c>
      <c r="C18" s="15" t="s">
        <v>391</v>
      </c>
      <c r="D18" s="15" t="s">
        <v>323</v>
      </c>
      <c r="E18" s="15" t="s">
        <v>395</v>
      </c>
      <c r="F18" s="15" t="s">
        <v>331</v>
      </c>
      <c r="G18" s="15"/>
      <c r="H18" s="15" t="s">
        <v>325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>
      <c r="A19" s="15" t="s">
        <v>27</v>
      </c>
      <c r="B19" s="15" t="s">
        <v>566</v>
      </c>
      <c r="C19" s="15" t="s">
        <v>391</v>
      </c>
      <c r="D19" s="15" t="s">
        <v>323</v>
      </c>
      <c r="E19" s="15" t="s">
        <v>395</v>
      </c>
      <c r="F19" s="15" t="s">
        <v>331</v>
      </c>
      <c r="G19" s="15"/>
      <c r="H19" s="15" t="s">
        <v>325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>
      <c r="A20" s="15" t="s">
        <v>29</v>
      </c>
      <c r="B20" s="15" t="s">
        <v>566</v>
      </c>
      <c r="C20" s="15" t="s">
        <v>596</v>
      </c>
      <c r="D20" s="15" t="s">
        <v>328</v>
      </c>
      <c r="E20" s="15" t="s">
        <v>395</v>
      </c>
      <c r="F20" s="15" t="s">
        <v>329</v>
      </c>
      <c r="G20" s="15"/>
      <c r="H20" s="15" t="s">
        <v>330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>
      <c r="A21" s="15" t="s">
        <v>29</v>
      </c>
      <c r="B21" s="15" t="s">
        <v>566</v>
      </c>
      <c r="C21" s="15" t="s">
        <v>391</v>
      </c>
      <c r="D21" s="15" t="s">
        <v>323</v>
      </c>
      <c r="E21" s="15" t="s">
        <v>395</v>
      </c>
      <c r="F21" s="15" t="s">
        <v>331</v>
      </c>
      <c r="G21" s="15"/>
      <c r="H21" s="15" t="s">
        <v>325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>
      <c r="A22" s="15" t="s">
        <v>29</v>
      </c>
      <c r="B22" s="15" t="s">
        <v>566</v>
      </c>
      <c r="C22" s="15" t="s">
        <v>596</v>
      </c>
      <c r="D22" s="15" t="s">
        <v>328</v>
      </c>
      <c r="E22" s="15" t="s">
        <v>395</v>
      </c>
      <c r="F22" s="15" t="s">
        <v>329</v>
      </c>
      <c r="G22" s="15"/>
      <c r="H22" s="15" t="s">
        <v>330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>
      <c r="A23" s="15" t="s">
        <v>29</v>
      </c>
      <c r="B23" s="15" t="s">
        <v>566</v>
      </c>
      <c r="C23" s="15" t="s">
        <v>391</v>
      </c>
      <c r="D23" s="15" t="s">
        <v>323</v>
      </c>
      <c r="E23" s="15" t="s">
        <v>395</v>
      </c>
      <c r="F23" s="15" t="s">
        <v>331</v>
      </c>
      <c r="G23" s="15"/>
      <c r="H23" s="15" t="s">
        <v>325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>
      <c r="A24" s="15" t="s">
        <v>29</v>
      </c>
      <c r="B24" s="15" t="s">
        <v>566</v>
      </c>
      <c r="C24" s="15" t="s">
        <v>391</v>
      </c>
      <c r="D24" s="15" t="s">
        <v>323</v>
      </c>
      <c r="E24" s="15" t="s">
        <v>395</v>
      </c>
      <c r="F24" s="15" t="s">
        <v>331</v>
      </c>
      <c r="G24" s="15"/>
      <c r="H24" s="15" t="s">
        <v>325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>
      <c r="A25" s="15" t="s">
        <v>7</v>
      </c>
      <c r="B25" s="15" t="s">
        <v>566</v>
      </c>
      <c r="C25" s="15" t="s">
        <v>596</v>
      </c>
      <c r="D25" s="15" t="s">
        <v>328</v>
      </c>
      <c r="E25" s="15" t="s">
        <v>323</v>
      </c>
      <c r="F25" s="15" t="s">
        <v>329</v>
      </c>
      <c r="G25" s="15"/>
      <c r="H25" s="15" t="s">
        <v>330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>
      <c r="A26" s="15" t="s">
        <v>7</v>
      </c>
      <c r="B26" s="15" t="s">
        <v>566</v>
      </c>
      <c r="C26" s="15" t="s">
        <v>596</v>
      </c>
      <c r="D26" s="15" t="s">
        <v>328</v>
      </c>
      <c r="E26" s="15" t="s">
        <v>323</v>
      </c>
      <c r="F26" s="15" t="s">
        <v>329</v>
      </c>
      <c r="G26" s="15"/>
      <c r="H26" s="15" t="s">
        <v>330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>
      <c r="A27" s="15" t="s">
        <v>7</v>
      </c>
      <c r="B27" s="15" t="s">
        <v>566</v>
      </c>
      <c r="C27" s="15" t="s">
        <v>596</v>
      </c>
      <c r="D27" s="15" t="s">
        <v>328</v>
      </c>
      <c r="E27" s="15" t="s">
        <v>323</v>
      </c>
      <c r="F27" s="15" t="s">
        <v>334</v>
      </c>
      <c r="G27" s="15"/>
      <c r="H27" s="15" t="s">
        <v>335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>
      <c r="A28" s="15" t="s">
        <v>7</v>
      </c>
      <c r="B28" s="15" t="s">
        <v>566</v>
      </c>
      <c r="C28" s="15" t="s">
        <v>596</v>
      </c>
      <c r="D28" s="15" t="s">
        <v>328</v>
      </c>
      <c r="E28" s="15" t="s">
        <v>323</v>
      </c>
      <c r="F28" s="15" t="s">
        <v>329</v>
      </c>
      <c r="G28" s="15"/>
      <c r="H28" s="15" t="s">
        <v>330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>
      <c r="A29" s="15" t="s">
        <v>7</v>
      </c>
      <c r="B29" s="15" t="s">
        <v>566</v>
      </c>
      <c r="C29" s="15" t="s">
        <v>596</v>
      </c>
      <c r="D29" s="15" t="s">
        <v>328</v>
      </c>
      <c r="E29" s="15" t="s">
        <v>323</v>
      </c>
      <c r="F29" s="15" t="s">
        <v>329</v>
      </c>
      <c r="G29" s="15"/>
      <c r="H29" s="15" t="s">
        <v>330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>
      <c r="A30" s="15" t="s">
        <v>7</v>
      </c>
      <c r="B30" s="15" t="s">
        <v>566</v>
      </c>
      <c r="C30" s="15" t="s">
        <v>596</v>
      </c>
      <c r="D30" s="15" t="s">
        <v>328</v>
      </c>
      <c r="E30" s="15" t="s">
        <v>323</v>
      </c>
      <c r="F30" s="15" t="s">
        <v>329</v>
      </c>
      <c r="G30" s="15"/>
      <c r="H30" s="15" t="s">
        <v>327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>
      <c r="A31" s="15" t="s">
        <v>7</v>
      </c>
      <c r="B31" s="15" t="s">
        <v>566</v>
      </c>
      <c r="C31" s="15" t="s">
        <v>596</v>
      </c>
      <c r="D31" s="15" t="s">
        <v>328</v>
      </c>
      <c r="E31" s="15" t="s">
        <v>323</v>
      </c>
      <c r="F31" s="15" t="s">
        <v>329</v>
      </c>
      <c r="G31" s="15"/>
      <c r="H31" s="15" t="s">
        <v>330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>
      <c r="A32" s="15" t="s">
        <v>7</v>
      </c>
      <c r="B32" s="15" t="s">
        <v>566</v>
      </c>
      <c r="C32" s="15" t="s">
        <v>596</v>
      </c>
      <c r="D32" s="15" t="s">
        <v>328</v>
      </c>
      <c r="E32" s="15" t="s">
        <v>323</v>
      </c>
      <c r="F32" s="15" t="s">
        <v>334</v>
      </c>
      <c r="G32" s="15"/>
      <c r="H32" s="15" t="s">
        <v>335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>
      <c r="A33" s="15" t="s">
        <v>7</v>
      </c>
      <c r="B33" s="15" t="s">
        <v>566</v>
      </c>
      <c r="C33" s="15" t="s">
        <v>596</v>
      </c>
      <c r="D33" s="15" t="s">
        <v>328</v>
      </c>
      <c r="E33" s="15" t="s">
        <v>323</v>
      </c>
      <c r="F33" s="15" t="s">
        <v>334</v>
      </c>
      <c r="G33" s="15"/>
      <c r="H33" s="15" t="s">
        <v>335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>
      <c r="A34" s="15" t="s">
        <v>7</v>
      </c>
      <c r="B34" s="15" t="s">
        <v>566</v>
      </c>
      <c r="C34" s="15" t="s">
        <v>596</v>
      </c>
      <c r="D34" s="15" t="s">
        <v>328</v>
      </c>
      <c r="E34" s="15" t="s">
        <v>323</v>
      </c>
      <c r="F34" s="15" t="s">
        <v>329</v>
      </c>
      <c r="G34" s="15"/>
      <c r="H34" s="15" t="s">
        <v>330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>
      <c r="A35" s="15" t="s">
        <v>7</v>
      </c>
      <c r="B35" s="15" t="s">
        <v>566</v>
      </c>
      <c r="C35" s="15" t="s">
        <v>596</v>
      </c>
      <c r="D35" s="15" t="s">
        <v>328</v>
      </c>
      <c r="E35" s="15" t="s">
        <v>323</v>
      </c>
      <c r="F35" s="15" t="s">
        <v>329</v>
      </c>
      <c r="G35" s="15"/>
      <c r="H35" s="15" t="s">
        <v>330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>
      <c r="A36" s="15" t="s">
        <v>7</v>
      </c>
      <c r="B36" s="15" t="s">
        <v>566</v>
      </c>
      <c r="C36" s="15" t="s">
        <v>596</v>
      </c>
      <c r="D36" s="15" t="s">
        <v>328</v>
      </c>
      <c r="E36" s="15" t="s">
        <v>323</v>
      </c>
      <c r="F36" s="15" t="s">
        <v>329</v>
      </c>
      <c r="G36" s="15"/>
      <c r="H36" s="15" t="s">
        <v>330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>
      <c r="A37" s="15" t="s">
        <v>7</v>
      </c>
      <c r="B37" s="15" t="s">
        <v>566</v>
      </c>
      <c r="C37" s="15" t="s">
        <v>596</v>
      </c>
      <c r="D37" s="15" t="s">
        <v>323</v>
      </c>
      <c r="E37" s="15" t="s">
        <v>323</v>
      </c>
      <c r="F37" s="15" t="s">
        <v>332</v>
      </c>
      <c r="G37" s="15"/>
      <c r="H37" s="15" t="s">
        <v>327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>
      <c r="A38" s="15" t="s">
        <v>7</v>
      </c>
      <c r="B38" s="15" t="s">
        <v>566</v>
      </c>
      <c r="C38" s="15" t="s">
        <v>596</v>
      </c>
      <c r="D38" s="15" t="s">
        <v>328</v>
      </c>
      <c r="E38" s="15" t="s">
        <v>323</v>
      </c>
      <c r="F38" s="15" t="s">
        <v>329</v>
      </c>
      <c r="G38" s="15"/>
      <c r="H38" s="15" t="s">
        <v>330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>
      <c r="A39" s="15" t="s">
        <v>7</v>
      </c>
      <c r="B39" s="15" t="s">
        <v>566</v>
      </c>
      <c r="C39" s="15" t="s">
        <v>596</v>
      </c>
      <c r="D39" s="15" t="s">
        <v>328</v>
      </c>
      <c r="E39" s="15" t="s">
        <v>323</v>
      </c>
      <c r="F39" s="15" t="s">
        <v>334</v>
      </c>
      <c r="G39" s="15"/>
      <c r="H39" s="15" t="s">
        <v>335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>
      <c r="A40" s="15" t="s">
        <v>7</v>
      </c>
      <c r="B40" s="15" t="s">
        <v>566</v>
      </c>
      <c r="C40" s="15" t="s">
        <v>596</v>
      </c>
      <c r="D40" s="15" t="s">
        <v>323</v>
      </c>
      <c r="E40" s="15" t="s">
        <v>323</v>
      </c>
      <c r="F40" s="15" t="s">
        <v>332</v>
      </c>
      <c r="G40" s="15"/>
      <c r="H40" s="15" t="s">
        <v>327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>
      <c r="A41" s="15" t="s">
        <v>7</v>
      </c>
      <c r="B41" s="15" t="s">
        <v>566</v>
      </c>
      <c r="C41" s="15" t="s">
        <v>596</v>
      </c>
      <c r="D41" s="15" t="s">
        <v>323</v>
      </c>
      <c r="E41" s="15" t="s">
        <v>323</v>
      </c>
      <c r="F41" s="15" t="s">
        <v>336</v>
      </c>
      <c r="G41" s="15"/>
      <c r="H41" s="15" t="s">
        <v>327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>
      <c r="A42" s="15" t="s">
        <v>7</v>
      </c>
      <c r="B42" s="15" t="s">
        <v>566</v>
      </c>
      <c r="C42" s="15" t="s">
        <v>596</v>
      </c>
      <c r="D42" s="15" t="s">
        <v>328</v>
      </c>
      <c r="E42" s="15" t="s">
        <v>323</v>
      </c>
      <c r="F42" s="15" t="s">
        <v>329</v>
      </c>
      <c r="G42" s="15"/>
      <c r="H42" s="15" t="s">
        <v>330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>
      <c r="A43" s="15" t="s">
        <v>7</v>
      </c>
      <c r="B43" s="15" t="s">
        <v>566</v>
      </c>
      <c r="C43" s="15" t="s">
        <v>596</v>
      </c>
      <c r="D43" s="15" t="s">
        <v>328</v>
      </c>
      <c r="E43" s="15" t="s">
        <v>323</v>
      </c>
      <c r="F43" s="15" t="s">
        <v>329</v>
      </c>
      <c r="G43" s="15"/>
      <c r="H43" s="15" t="s">
        <v>330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>
      <c r="A44" s="15" t="s">
        <v>7</v>
      </c>
      <c r="B44" s="15" t="s">
        <v>566</v>
      </c>
      <c r="C44" s="15" t="s">
        <v>596</v>
      </c>
      <c r="D44" s="15" t="s">
        <v>328</v>
      </c>
      <c r="E44" s="15" t="s">
        <v>323</v>
      </c>
      <c r="F44" s="15" t="s">
        <v>334</v>
      </c>
      <c r="G44" s="15"/>
      <c r="H44" s="15" t="s">
        <v>335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>
      <c r="A45" s="15" t="s">
        <v>7</v>
      </c>
      <c r="B45" s="15" t="s">
        <v>566</v>
      </c>
      <c r="C45" s="15" t="s">
        <v>596</v>
      </c>
      <c r="D45" s="15" t="s">
        <v>328</v>
      </c>
      <c r="E45" s="15" t="s">
        <v>323</v>
      </c>
      <c r="F45" s="15" t="s">
        <v>329</v>
      </c>
      <c r="G45" s="15"/>
      <c r="H45" s="15" t="s">
        <v>330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>
      <c r="A46" s="15" t="s">
        <v>338</v>
      </c>
      <c r="B46" s="15" t="s">
        <v>566</v>
      </c>
      <c r="C46" s="15" t="s">
        <v>596</v>
      </c>
      <c r="D46" s="15" t="s">
        <v>328</v>
      </c>
      <c r="E46" s="15" t="s">
        <v>323</v>
      </c>
      <c r="F46" s="15" t="s">
        <v>329</v>
      </c>
      <c r="G46" s="15"/>
      <c r="H46" s="15" t="s">
        <v>330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>
      <c r="A47" s="15" t="s">
        <v>338</v>
      </c>
      <c r="B47" s="15" t="s">
        <v>566</v>
      </c>
      <c r="C47" s="15" t="s">
        <v>596</v>
      </c>
      <c r="D47" s="15" t="s">
        <v>328</v>
      </c>
      <c r="E47" s="15" t="s">
        <v>323</v>
      </c>
      <c r="F47" s="15" t="s">
        <v>334</v>
      </c>
      <c r="G47" s="15"/>
      <c r="H47" s="15" t="s">
        <v>327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>
      <c r="A48" s="15" t="s">
        <v>338</v>
      </c>
      <c r="B48" s="15" t="s">
        <v>566</v>
      </c>
      <c r="C48" s="15" t="s">
        <v>596</v>
      </c>
      <c r="D48" s="15" t="s">
        <v>328</v>
      </c>
      <c r="E48" s="15" t="s">
        <v>323</v>
      </c>
      <c r="F48" s="15" t="s">
        <v>329</v>
      </c>
      <c r="G48" s="15"/>
      <c r="H48" s="15" t="s">
        <v>330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>
      <c r="A49" s="15" t="s">
        <v>338</v>
      </c>
      <c r="B49" s="15" t="s">
        <v>566</v>
      </c>
      <c r="C49" s="15" t="s">
        <v>596</v>
      </c>
      <c r="D49" s="15" t="s">
        <v>328</v>
      </c>
      <c r="E49" s="15" t="s">
        <v>323</v>
      </c>
      <c r="F49" s="15" t="s">
        <v>334</v>
      </c>
      <c r="G49" s="15"/>
      <c r="H49" s="15" t="s">
        <v>335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>
      <c r="A50" s="15" t="s">
        <v>338</v>
      </c>
      <c r="B50" s="15" t="s">
        <v>566</v>
      </c>
      <c r="C50" s="15" t="s">
        <v>596</v>
      </c>
      <c r="D50" s="15" t="s">
        <v>328</v>
      </c>
      <c r="E50" s="15" t="s">
        <v>323</v>
      </c>
      <c r="F50" s="15" t="s">
        <v>329</v>
      </c>
      <c r="G50" s="15"/>
      <c r="H50" s="15" t="s">
        <v>330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>
      <c r="A51" s="15" t="s">
        <v>338</v>
      </c>
      <c r="B51" s="15" t="s">
        <v>566</v>
      </c>
      <c r="C51" s="15" t="s">
        <v>596</v>
      </c>
      <c r="D51" s="15" t="s">
        <v>323</v>
      </c>
      <c r="E51" s="15" t="s">
        <v>323</v>
      </c>
      <c r="F51" s="15" t="s">
        <v>336</v>
      </c>
      <c r="G51" s="15"/>
      <c r="H51" s="15" t="s">
        <v>327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>
      <c r="A52" s="15" t="s">
        <v>338</v>
      </c>
      <c r="B52" s="15" t="s">
        <v>566</v>
      </c>
      <c r="C52" s="15" t="s">
        <v>596</v>
      </c>
      <c r="D52" s="15" t="s">
        <v>328</v>
      </c>
      <c r="E52" s="15" t="s">
        <v>323</v>
      </c>
      <c r="F52" s="15" t="s">
        <v>329</v>
      </c>
      <c r="G52" s="15"/>
      <c r="H52" s="15" t="s">
        <v>330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>
      <c r="A53" s="15" t="s">
        <v>338</v>
      </c>
      <c r="B53" s="15" t="s">
        <v>566</v>
      </c>
      <c r="C53" s="15" t="s">
        <v>596</v>
      </c>
      <c r="D53" s="15" t="s">
        <v>328</v>
      </c>
      <c r="E53" s="15" t="s">
        <v>323</v>
      </c>
      <c r="F53" s="15" t="s">
        <v>329</v>
      </c>
      <c r="G53" s="15"/>
      <c r="H53" s="15" t="s">
        <v>330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>
      <c r="A54" s="15" t="s">
        <v>338</v>
      </c>
      <c r="B54" s="15" t="s">
        <v>566</v>
      </c>
      <c r="C54" s="15" t="s">
        <v>596</v>
      </c>
      <c r="D54" s="15" t="s">
        <v>328</v>
      </c>
      <c r="E54" s="15" t="s">
        <v>323</v>
      </c>
      <c r="F54" s="15" t="s">
        <v>329</v>
      </c>
      <c r="G54" s="15"/>
      <c r="H54" s="15" t="s">
        <v>327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>
      <c r="A55" s="15" t="s">
        <v>338</v>
      </c>
      <c r="B55" s="15" t="s">
        <v>566</v>
      </c>
      <c r="C55" s="15" t="s">
        <v>596</v>
      </c>
      <c r="D55" s="15" t="s">
        <v>328</v>
      </c>
      <c r="E55" s="15" t="s">
        <v>323</v>
      </c>
      <c r="F55" s="15" t="s">
        <v>329</v>
      </c>
      <c r="G55" s="15"/>
      <c r="H55" s="15" t="s">
        <v>330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>
      <c r="A56" s="15" t="s">
        <v>338</v>
      </c>
      <c r="B56" s="15" t="s">
        <v>566</v>
      </c>
      <c r="C56" s="15" t="s">
        <v>596</v>
      </c>
      <c r="D56" s="15" t="s">
        <v>328</v>
      </c>
      <c r="E56" s="15" t="s">
        <v>323</v>
      </c>
      <c r="F56" s="15" t="s">
        <v>334</v>
      </c>
      <c r="G56" s="15"/>
      <c r="H56" s="15" t="s">
        <v>335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>
      <c r="A57" s="15" t="s">
        <v>338</v>
      </c>
      <c r="B57" s="15" t="s">
        <v>566</v>
      </c>
      <c r="C57" s="15" t="s">
        <v>596</v>
      </c>
      <c r="D57" s="15" t="s">
        <v>328</v>
      </c>
      <c r="E57" s="15" t="s">
        <v>323</v>
      </c>
      <c r="F57" s="15" t="s">
        <v>334</v>
      </c>
      <c r="G57" s="15"/>
      <c r="H57" s="15" t="s">
        <v>335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>
      <c r="A58" s="15" t="s">
        <v>338</v>
      </c>
      <c r="B58" s="15" t="s">
        <v>566</v>
      </c>
      <c r="C58" s="15" t="s">
        <v>596</v>
      </c>
      <c r="D58" s="15" t="s">
        <v>328</v>
      </c>
      <c r="E58" s="15" t="s">
        <v>323</v>
      </c>
      <c r="F58" s="15" t="s">
        <v>329</v>
      </c>
      <c r="G58" s="15"/>
      <c r="H58" s="15" t="s">
        <v>330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>
      <c r="A59" s="15" t="s">
        <v>338</v>
      </c>
      <c r="B59" s="15" t="s">
        <v>566</v>
      </c>
      <c r="C59" s="15" t="s">
        <v>596</v>
      </c>
      <c r="D59" s="15" t="s">
        <v>328</v>
      </c>
      <c r="E59" s="15" t="s">
        <v>323</v>
      </c>
      <c r="F59" s="15" t="s">
        <v>329</v>
      </c>
      <c r="G59" s="15"/>
      <c r="H59" s="15" t="s">
        <v>330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>
      <c r="A60" s="15" t="s">
        <v>338</v>
      </c>
      <c r="B60" s="15" t="s">
        <v>566</v>
      </c>
      <c r="C60" s="15" t="s">
        <v>596</v>
      </c>
      <c r="D60" s="15" t="s">
        <v>328</v>
      </c>
      <c r="E60" s="15" t="s">
        <v>323</v>
      </c>
      <c r="F60" s="15" t="s">
        <v>329</v>
      </c>
      <c r="G60" s="15"/>
      <c r="H60" s="15" t="s">
        <v>330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>
      <c r="A61" s="15" t="s">
        <v>338</v>
      </c>
      <c r="B61" s="15" t="s">
        <v>566</v>
      </c>
      <c r="C61" s="15" t="s">
        <v>596</v>
      </c>
      <c r="D61" s="15" t="s">
        <v>323</v>
      </c>
      <c r="E61" s="15" t="s">
        <v>323</v>
      </c>
      <c r="F61" s="15" t="s">
        <v>336</v>
      </c>
      <c r="G61" s="15"/>
      <c r="H61" s="15" t="s">
        <v>327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>
      <c r="A62" s="15" t="s">
        <v>338</v>
      </c>
      <c r="B62" s="15" t="s">
        <v>566</v>
      </c>
      <c r="C62" s="15" t="s">
        <v>596</v>
      </c>
      <c r="D62" s="15" t="s">
        <v>328</v>
      </c>
      <c r="E62" s="15" t="s">
        <v>323</v>
      </c>
      <c r="F62" s="15" t="s">
        <v>329</v>
      </c>
      <c r="G62" s="15"/>
      <c r="H62" s="15" t="s">
        <v>330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>
      <c r="A63" s="15" t="s">
        <v>338</v>
      </c>
      <c r="B63" s="15" t="s">
        <v>566</v>
      </c>
      <c r="C63" s="15" t="s">
        <v>596</v>
      </c>
      <c r="D63" s="15" t="s">
        <v>328</v>
      </c>
      <c r="E63" s="15" t="s">
        <v>323</v>
      </c>
      <c r="F63" s="15" t="s">
        <v>334</v>
      </c>
      <c r="G63" s="15"/>
      <c r="H63" s="15" t="s">
        <v>335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>
      <c r="A64" s="15" t="s">
        <v>338</v>
      </c>
      <c r="B64" s="15" t="s">
        <v>566</v>
      </c>
      <c r="C64" s="15" t="s">
        <v>596</v>
      </c>
      <c r="D64" s="15" t="s">
        <v>328</v>
      </c>
      <c r="E64" s="15" t="s">
        <v>323</v>
      </c>
      <c r="F64" s="15" t="s">
        <v>329</v>
      </c>
      <c r="G64" s="15"/>
      <c r="H64" s="15" t="s">
        <v>330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>
      <c r="A65" s="15" t="s">
        <v>338</v>
      </c>
      <c r="B65" s="15" t="s">
        <v>566</v>
      </c>
      <c r="C65" s="15" t="s">
        <v>596</v>
      </c>
      <c r="D65" s="15" t="s">
        <v>323</v>
      </c>
      <c r="E65" s="15" t="s">
        <v>323</v>
      </c>
      <c r="F65" s="15" t="s">
        <v>332</v>
      </c>
      <c r="G65" s="15"/>
      <c r="H65" s="15" t="s">
        <v>327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>
      <c r="A66" s="15" t="s">
        <v>338</v>
      </c>
      <c r="B66" s="15" t="s">
        <v>566</v>
      </c>
      <c r="C66" s="15" t="s">
        <v>596</v>
      </c>
      <c r="D66" s="15" t="s">
        <v>328</v>
      </c>
      <c r="E66" s="15" t="s">
        <v>323</v>
      </c>
      <c r="F66" s="15" t="s">
        <v>329</v>
      </c>
      <c r="G66" s="15"/>
      <c r="H66" s="15" t="s">
        <v>330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>
      <c r="A67" s="15" t="s">
        <v>338</v>
      </c>
      <c r="B67" s="15" t="s">
        <v>566</v>
      </c>
      <c r="C67" s="15" t="s">
        <v>596</v>
      </c>
      <c r="D67" s="15" t="s">
        <v>328</v>
      </c>
      <c r="E67" s="15" t="s">
        <v>323</v>
      </c>
      <c r="F67" s="15" t="s">
        <v>334</v>
      </c>
      <c r="G67" s="15"/>
      <c r="H67" s="15" t="s">
        <v>335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>
      <c r="A68" s="15" t="s">
        <v>338</v>
      </c>
      <c r="B68" s="15" t="s">
        <v>566</v>
      </c>
      <c r="C68" s="15" t="s">
        <v>596</v>
      </c>
      <c r="D68" s="15" t="s">
        <v>323</v>
      </c>
      <c r="E68" s="15" t="s">
        <v>323</v>
      </c>
      <c r="F68" s="15" t="s">
        <v>324</v>
      </c>
      <c r="G68" s="15"/>
      <c r="H68" s="15" t="s">
        <v>325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>
      <c r="A69" s="15" t="s">
        <v>338</v>
      </c>
      <c r="B69" s="15" t="s">
        <v>566</v>
      </c>
      <c r="C69" s="15" t="s">
        <v>596</v>
      </c>
      <c r="D69" s="15" t="s">
        <v>328</v>
      </c>
      <c r="E69" s="15" t="s">
        <v>323</v>
      </c>
      <c r="F69" s="15" t="s">
        <v>329</v>
      </c>
      <c r="G69" s="15"/>
      <c r="H69" s="15" t="s">
        <v>330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>
      <c r="A70" s="15" t="s">
        <v>338</v>
      </c>
      <c r="B70" s="15" t="s">
        <v>566</v>
      </c>
      <c r="C70" s="15" t="s">
        <v>596</v>
      </c>
      <c r="D70" s="15" t="s">
        <v>323</v>
      </c>
      <c r="E70" s="15" t="s">
        <v>323</v>
      </c>
      <c r="F70" s="15" t="s">
        <v>324</v>
      </c>
      <c r="G70" s="15"/>
      <c r="H70" s="15" t="s">
        <v>325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>
      <c r="A71" s="15" t="s">
        <v>338</v>
      </c>
      <c r="B71" s="15" t="s">
        <v>566</v>
      </c>
      <c r="C71" s="15" t="s">
        <v>596</v>
      </c>
      <c r="D71" s="15" t="s">
        <v>328</v>
      </c>
      <c r="E71" s="15" t="s">
        <v>323</v>
      </c>
      <c r="F71" s="15" t="s">
        <v>329</v>
      </c>
      <c r="G71" s="15"/>
      <c r="H71" s="15" t="s">
        <v>330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>
      <c r="A72" s="15" t="s">
        <v>338</v>
      </c>
      <c r="B72" s="15" t="s">
        <v>566</v>
      </c>
      <c r="C72" s="15" t="s">
        <v>596</v>
      </c>
      <c r="D72" s="15" t="s">
        <v>328</v>
      </c>
      <c r="E72" s="15" t="s">
        <v>323</v>
      </c>
      <c r="F72" s="15" t="s">
        <v>334</v>
      </c>
      <c r="G72" s="15"/>
      <c r="H72" s="15" t="s">
        <v>335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>
      <c r="A73" s="15" t="s">
        <v>338</v>
      </c>
      <c r="B73" s="15" t="s">
        <v>566</v>
      </c>
      <c r="C73" s="15" t="s">
        <v>596</v>
      </c>
      <c r="D73" s="15" t="s">
        <v>323</v>
      </c>
      <c r="E73" s="15" t="s">
        <v>323</v>
      </c>
      <c r="F73" s="15" t="s">
        <v>332</v>
      </c>
      <c r="G73" s="15"/>
      <c r="H73" s="15" t="s">
        <v>327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>
      <c r="A74" s="15" t="s">
        <v>338</v>
      </c>
      <c r="B74" s="15" t="s">
        <v>566</v>
      </c>
      <c r="C74" s="15" t="s">
        <v>596</v>
      </c>
      <c r="D74" s="15" t="s">
        <v>323</v>
      </c>
      <c r="E74" s="15" t="s">
        <v>323</v>
      </c>
      <c r="F74" s="15" t="s">
        <v>336</v>
      </c>
      <c r="G74" s="15"/>
      <c r="H74" s="15" t="s">
        <v>327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>
      <c r="A75" s="15" t="s">
        <v>338</v>
      </c>
      <c r="B75" s="15" t="s">
        <v>566</v>
      </c>
      <c r="C75" s="15" t="s">
        <v>596</v>
      </c>
      <c r="D75" s="15" t="s">
        <v>323</v>
      </c>
      <c r="E75" s="15" t="s">
        <v>323</v>
      </c>
      <c r="F75" s="15" t="s">
        <v>324</v>
      </c>
      <c r="G75" s="15"/>
      <c r="H75" s="15" t="s">
        <v>325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>
      <c r="A76" s="15" t="s">
        <v>338</v>
      </c>
      <c r="B76" s="15" t="s">
        <v>566</v>
      </c>
      <c r="C76" s="15" t="s">
        <v>596</v>
      </c>
      <c r="D76" s="15" t="s">
        <v>323</v>
      </c>
      <c r="E76" s="15" t="s">
        <v>323</v>
      </c>
      <c r="F76" s="15" t="s">
        <v>324</v>
      </c>
      <c r="G76" s="15"/>
      <c r="H76" s="15" t="s">
        <v>325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>
      <c r="A77" s="15" t="s">
        <v>338</v>
      </c>
      <c r="B77" s="15" t="s">
        <v>566</v>
      </c>
      <c r="C77" s="15" t="s">
        <v>596</v>
      </c>
      <c r="D77" s="15" t="s">
        <v>328</v>
      </c>
      <c r="E77" s="15" t="s">
        <v>323</v>
      </c>
      <c r="F77" s="15" t="s">
        <v>329</v>
      </c>
      <c r="G77" s="15"/>
      <c r="H77" s="15" t="s">
        <v>330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>
      <c r="A78" s="15" t="s">
        <v>338</v>
      </c>
      <c r="B78" s="15" t="s">
        <v>566</v>
      </c>
      <c r="C78" s="15" t="s">
        <v>596</v>
      </c>
      <c r="D78" s="15" t="s">
        <v>328</v>
      </c>
      <c r="E78" s="15" t="s">
        <v>323</v>
      </c>
      <c r="F78" s="15" t="s">
        <v>329</v>
      </c>
      <c r="G78" s="15"/>
      <c r="H78" s="15" t="s">
        <v>330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>
      <c r="A79" s="15" t="s">
        <v>338</v>
      </c>
      <c r="B79" s="15" t="s">
        <v>566</v>
      </c>
      <c r="C79" s="15" t="s">
        <v>596</v>
      </c>
      <c r="D79" s="15" t="s">
        <v>323</v>
      </c>
      <c r="E79" s="15" t="s">
        <v>323</v>
      </c>
      <c r="F79" s="15" t="s">
        <v>332</v>
      </c>
      <c r="G79" s="15"/>
      <c r="H79" s="15" t="s">
        <v>327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>
      <c r="A80" s="15" t="s">
        <v>338</v>
      </c>
      <c r="B80" s="15" t="s">
        <v>566</v>
      </c>
      <c r="C80" s="15" t="s">
        <v>596</v>
      </c>
      <c r="D80" s="15" t="s">
        <v>328</v>
      </c>
      <c r="E80" s="15" t="s">
        <v>323</v>
      </c>
      <c r="F80" s="15" t="s">
        <v>329</v>
      </c>
      <c r="G80" s="15"/>
      <c r="H80" s="15" t="s">
        <v>330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>
      <c r="A81" s="15" t="s">
        <v>338</v>
      </c>
      <c r="B81" s="15" t="s">
        <v>566</v>
      </c>
      <c r="C81" s="15" t="s">
        <v>596</v>
      </c>
      <c r="D81" s="15" t="s">
        <v>328</v>
      </c>
      <c r="E81" s="15" t="s">
        <v>323</v>
      </c>
      <c r="F81" s="15" t="s">
        <v>329</v>
      </c>
      <c r="G81" s="15"/>
      <c r="H81" s="15" t="s">
        <v>330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>
      <c r="A82" s="15" t="s">
        <v>338</v>
      </c>
      <c r="B82" s="15" t="s">
        <v>566</v>
      </c>
      <c r="C82" s="15" t="s">
        <v>596</v>
      </c>
      <c r="D82" s="15" t="s">
        <v>328</v>
      </c>
      <c r="E82" s="15" t="s">
        <v>323</v>
      </c>
      <c r="F82" s="15" t="s">
        <v>329</v>
      </c>
      <c r="G82" s="15"/>
      <c r="H82" s="15" t="s">
        <v>330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>
      <c r="A83" s="15" t="s">
        <v>338</v>
      </c>
      <c r="B83" s="15" t="s">
        <v>566</v>
      </c>
      <c r="C83" s="15" t="s">
        <v>596</v>
      </c>
      <c r="D83" s="15" t="s">
        <v>328</v>
      </c>
      <c r="E83" s="15" t="s">
        <v>323</v>
      </c>
      <c r="F83" s="15" t="s">
        <v>329</v>
      </c>
      <c r="G83" s="15"/>
      <c r="H83" s="15" t="s">
        <v>330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>
      <c r="A84" s="15" t="s">
        <v>23</v>
      </c>
      <c r="B84" s="15" t="s">
        <v>566</v>
      </c>
      <c r="C84" s="15" t="s">
        <v>596</v>
      </c>
      <c r="D84" s="15" t="s">
        <v>328</v>
      </c>
      <c r="E84" s="15" t="s">
        <v>323</v>
      </c>
      <c r="F84" s="15" t="s">
        <v>329</v>
      </c>
      <c r="G84" s="15"/>
      <c r="H84" s="15" t="s">
        <v>330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>
      <c r="A85" s="15" t="s">
        <v>23</v>
      </c>
      <c r="B85" s="15" t="s">
        <v>566</v>
      </c>
      <c r="C85" s="15" t="s">
        <v>596</v>
      </c>
      <c r="D85" s="15" t="s">
        <v>323</v>
      </c>
      <c r="E85" s="15" t="s">
        <v>323</v>
      </c>
      <c r="F85" s="15" t="s">
        <v>324</v>
      </c>
      <c r="G85" s="15"/>
      <c r="H85" s="15" t="s">
        <v>325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>
      <c r="A86" s="15" t="s">
        <v>23</v>
      </c>
      <c r="B86" s="15" t="s">
        <v>566</v>
      </c>
      <c r="C86" s="15" t="s">
        <v>596</v>
      </c>
      <c r="D86" s="15" t="s">
        <v>328</v>
      </c>
      <c r="E86" s="15" t="s">
        <v>323</v>
      </c>
      <c r="F86" s="15" t="s">
        <v>329</v>
      </c>
      <c r="G86" s="15"/>
      <c r="H86" s="15" t="s">
        <v>330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>
      <c r="A87" s="15" t="s">
        <v>23</v>
      </c>
      <c r="B87" s="15" t="s">
        <v>566</v>
      </c>
      <c r="C87" s="15" t="s">
        <v>596</v>
      </c>
      <c r="D87" s="15" t="s">
        <v>323</v>
      </c>
      <c r="E87" s="15" t="s">
        <v>323</v>
      </c>
      <c r="F87" s="15" t="s">
        <v>324</v>
      </c>
      <c r="G87" s="15"/>
      <c r="H87" s="15" t="s">
        <v>325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>
      <c r="A88" s="15" t="s">
        <v>23</v>
      </c>
      <c r="B88" s="15" t="s">
        <v>566</v>
      </c>
      <c r="C88" s="15" t="s">
        <v>596</v>
      </c>
      <c r="D88" s="15" t="s">
        <v>323</v>
      </c>
      <c r="E88" s="15" t="s">
        <v>323</v>
      </c>
      <c r="F88" s="15" t="s">
        <v>324</v>
      </c>
      <c r="G88" s="15"/>
      <c r="H88" s="15" t="s">
        <v>325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>
      <c r="A89" s="15" t="s">
        <v>23</v>
      </c>
      <c r="B89" s="15" t="s">
        <v>566</v>
      </c>
      <c r="C89" s="15" t="s">
        <v>596</v>
      </c>
      <c r="D89" s="15" t="s">
        <v>323</v>
      </c>
      <c r="E89" s="15" t="s">
        <v>323</v>
      </c>
      <c r="F89" s="15" t="s">
        <v>324</v>
      </c>
      <c r="G89" s="15"/>
      <c r="H89" s="15" t="s">
        <v>325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>
      <c r="A90" s="15" t="s">
        <v>23</v>
      </c>
      <c r="B90" s="15" t="s">
        <v>566</v>
      </c>
      <c r="C90" s="15" t="s">
        <v>596</v>
      </c>
      <c r="D90" s="15" t="s">
        <v>328</v>
      </c>
      <c r="E90" s="15" t="s">
        <v>323</v>
      </c>
      <c r="F90" s="15" t="s">
        <v>329</v>
      </c>
      <c r="G90" s="15"/>
      <c r="H90" s="15" t="s">
        <v>330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>
      <c r="A91" s="15" t="s">
        <v>19</v>
      </c>
      <c r="B91" s="15" t="s">
        <v>566</v>
      </c>
      <c r="C91" s="15" t="s">
        <v>594</v>
      </c>
      <c r="D91" s="15" t="s">
        <v>328</v>
      </c>
      <c r="E91" s="15" t="s">
        <v>500</v>
      </c>
      <c r="F91" s="15" t="s">
        <v>329</v>
      </c>
      <c r="G91" s="15"/>
      <c r="H91" s="15" t="s">
        <v>330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>
      <c r="A92" s="15" t="s">
        <v>19</v>
      </c>
      <c r="B92" s="15" t="s">
        <v>566</v>
      </c>
      <c r="C92" s="15" t="s">
        <v>594</v>
      </c>
      <c r="D92" s="15" t="s">
        <v>323</v>
      </c>
      <c r="E92" s="15" t="s">
        <v>500</v>
      </c>
      <c r="F92" s="15" t="s">
        <v>336</v>
      </c>
      <c r="G92" s="15" t="s">
        <v>332</v>
      </c>
      <c r="H92" s="15" t="s">
        <v>327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>
      <c r="A93" s="15" t="s">
        <v>19</v>
      </c>
      <c r="B93" s="15" t="s">
        <v>566</v>
      </c>
      <c r="C93" s="15" t="s">
        <v>594</v>
      </c>
      <c r="D93" s="15" t="s">
        <v>328</v>
      </c>
      <c r="E93" s="15" t="s">
        <v>500</v>
      </c>
      <c r="F93" s="15" t="s">
        <v>329</v>
      </c>
      <c r="G93" s="15"/>
      <c r="H93" s="15" t="s">
        <v>330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>
      <c r="A94" s="15" t="s">
        <v>19</v>
      </c>
      <c r="B94" s="15" t="s">
        <v>566</v>
      </c>
      <c r="C94" s="15" t="s">
        <v>594</v>
      </c>
      <c r="D94" s="15" t="s">
        <v>328</v>
      </c>
      <c r="E94" s="15" t="s">
        <v>500</v>
      </c>
      <c r="F94" s="15" t="s">
        <v>334</v>
      </c>
      <c r="G94" s="15"/>
      <c r="H94" s="15" t="s">
        <v>335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>
      <c r="A95" s="15" t="s">
        <v>19</v>
      </c>
      <c r="B95" s="15" t="s">
        <v>566</v>
      </c>
      <c r="C95" s="15" t="s">
        <v>594</v>
      </c>
      <c r="D95" s="15" t="s">
        <v>323</v>
      </c>
      <c r="E95" s="15" t="s">
        <v>500</v>
      </c>
      <c r="F95" s="15" t="s">
        <v>332</v>
      </c>
      <c r="G95" s="15" t="s">
        <v>332</v>
      </c>
      <c r="H95" s="15" t="s">
        <v>327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>
      <c r="A96" s="15" t="s">
        <v>19</v>
      </c>
      <c r="B96" s="15" t="s">
        <v>566</v>
      </c>
      <c r="C96" s="15" t="s">
        <v>594</v>
      </c>
      <c r="D96" s="15" t="s">
        <v>323</v>
      </c>
      <c r="E96" s="15" t="s">
        <v>500</v>
      </c>
      <c r="F96" s="15" t="s">
        <v>336</v>
      </c>
      <c r="G96" s="15" t="s">
        <v>332</v>
      </c>
      <c r="H96" s="15" t="s">
        <v>327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>
      <c r="A97" s="15" t="s">
        <v>341</v>
      </c>
      <c r="B97" s="15" t="s">
        <v>566</v>
      </c>
      <c r="C97" s="15" t="s">
        <v>391</v>
      </c>
      <c r="D97" s="15" t="s">
        <v>323</v>
      </c>
      <c r="E97" s="15" t="s">
        <v>395</v>
      </c>
      <c r="F97" s="15" t="s">
        <v>331</v>
      </c>
      <c r="G97" s="15"/>
      <c r="H97" s="15" t="s">
        <v>325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>
      <c r="A98" s="15" t="s">
        <v>341</v>
      </c>
      <c r="B98" s="15" t="s">
        <v>566</v>
      </c>
      <c r="C98" s="15" t="s">
        <v>391</v>
      </c>
      <c r="D98" s="15" t="s">
        <v>323</v>
      </c>
      <c r="E98" s="15" t="s">
        <v>395</v>
      </c>
      <c r="F98" s="15" t="s">
        <v>331</v>
      </c>
      <c r="G98" s="15"/>
      <c r="H98" s="15" t="s">
        <v>325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>
      <c r="A99" s="15" t="s">
        <v>341</v>
      </c>
      <c r="B99" s="15" t="s">
        <v>566</v>
      </c>
      <c r="C99" s="15" t="s">
        <v>391</v>
      </c>
      <c r="D99" s="15" t="s">
        <v>323</v>
      </c>
      <c r="E99" s="15" t="s">
        <v>395</v>
      </c>
      <c r="F99" s="15" t="s">
        <v>331</v>
      </c>
      <c r="G99" s="15"/>
      <c r="H99" s="15" t="s">
        <v>325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>
      <c r="A100" s="15" t="s">
        <v>179</v>
      </c>
      <c r="B100" s="15" t="s">
        <v>566</v>
      </c>
      <c r="C100" s="15" t="s">
        <v>596</v>
      </c>
      <c r="D100" s="15" t="s">
        <v>342</v>
      </c>
      <c r="E100" s="15" t="s">
        <v>342</v>
      </c>
      <c r="F100" s="15" t="s">
        <v>343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>
      <c r="A101" s="15" t="s">
        <v>53</v>
      </c>
      <c r="B101" s="15" t="s">
        <v>566</v>
      </c>
      <c r="C101" s="15" t="s">
        <v>596</v>
      </c>
      <c r="D101" s="15" t="s">
        <v>342</v>
      </c>
      <c r="E101" s="15" t="s">
        <v>342</v>
      </c>
      <c r="F101" s="15" t="s">
        <v>343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>
      <c r="A102" s="15" t="s">
        <v>171</v>
      </c>
      <c r="B102" s="15" t="s">
        <v>566</v>
      </c>
      <c r="C102" s="15" t="s">
        <v>596</v>
      </c>
      <c r="D102" s="15" t="s">
        <v>342</v>
      </c>
      <c r="E102" s="15" t="s">
        <v>342</v>
      </c>
      <c r="F102" s="15" t="s">
        <v>343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>
      <c r="A103" s="15" t="s">
        <v>346</v>
      </c>
      <c r="B103" s="15" t="s">
        <v>566</v>
      </c>
      <c r="C103" s="15" t="s">
        <v>596</v>
      </c>
      <c r="D103" s="15" t="s">
        <v>342</v>
      </c>
      <c r="E103" s="15" t="s">
        <v>342</v>
      </c>
      <c r="F103" s="15" t="s">
        <v>343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>
      <c r="A104" s="15" t="s">
        <v>24</v>
      </c>
      <c r="B104" s="15" t="s">
        <v>566</v>
      </c>
      <c r="C104" s="15" t="s">
        <v>596</v>
      </c>
      <c r="D104" s="15" t="s">
        <v>342</v>
      </c>
      <c r="E104" s="15" t="s">
        <v>342</v>
      </c>
      <c r="F104" s="15" t="s">
        <v>343</v>
      </c>
      <c r="G104" s="15"/>
      <c r="H104" s="15"/>
      <c r="I104" s="15"/>
      <c r="J104" s="15"/>
      <c r="K104" s="15" t="s">
        <v>347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>
      <c r="A105" s="15" t="s">
        <v>160</v>
      </c>
      <c r="B105" s="15" t="s">
        <v>566</v>
      </c>
      <c r="C105" s="15" t="s">
        <v>596</v>
      </c>
      <c r="D105" s="15" t="s">
        <v>342</v>
      </c>
      <c r="E105" s="15" t="s">
        <v>342</v>
      </c>
      <c r="F105" s="15" t="s">
        <v>343</v>
      </c>
      <c r="G105" s="15"/>
      <c r="H105" s="15"/>
      <c r="I105" s="15"/>
      <c r="J105" s="15"/>
      <c r="K105" s="15" t="s">
        <v>347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>
      <c r="A106" s="15" t="s">
        <v>51</v>
      </c>
      <c r="B106" s="15" t="s">
        <v>566</v>
      </c>
      <c r="C106" s="15" t="s">
        <v>596</v>
      </c>
      <c r="D106" s="15" t="s">
        <v>342</v>
      </c>
      <c r="E106" s="15" t="s">
        <v>342</v>
      </c>
      <c r="F106" s="15" t="s">
        <v>343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>
      <c r="A107" s="15" t="s">
        <v>153</v>
      </c>
      <c r="B107" s="15" t="s">
        <v>566</v>
      </c>
      <c r="C107" s="15" t="s">
        <v>596</v>
      </c>
      <c r="D107" s="15" t="s">
        <v>342</v>
      </c>
      <c r="E107" s="15" t="s">
        <v>342</v>
      </c>
      <c r="F107" s="15" t="s">
        <v>343</v>
      </c>
      <c r="G107" s="15"/>
      <c r="H107" s="15"/>
      <c r="I107" s="15"/>
      <c r="J107" s="15"/>
      <c r="K107" s="15" t="s">
        <v>347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>
      <c r="A108" s="15" t="s">
        <v>59</v>
      </c>
      <c r="B108" s="15" t="s">
        <v>566</v>
      </c>
      <c r="C108" s="15" t="s">
        <v>596</v>
      </c>
      <c r="D108" s="15" t="s">
        <v>342</v>
      </c>
      <c r="E108" s="15" t="s">
        <v>342</v>
      </c>
      <c r="F108" s="15" t="s">
        <v>343</v>
      </c>
      <c r="G108" s="15"/>
      <c r="H108" s="15"/>
      <c r="I108" s="15"/>
      <c r="J108" s="15"/>
      <c r="K108" s="15" t="s">
        <v>347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>
      <c r="A109" s="15" t="s">
        <v>22</v>
      </c>
      <c r="B109" s="15" t="s">
        <v>566</v>
      </c>
      <c r="C109" s="15" t="s">
        <v>596</v>
      </c>
      <c r="D109" s="15" t="s">
        <v>342</v>
      </c>
      <c r="E109" s="15" t="s">
        <v>342</v>
      </c>
      <c r="F109" s="15" t="s">
        <v>343</v>
      </c>
      <c r="G109" s="15"/>
      <c r="H109" s="15"/>
      <c r="I109" s="15"/>
      <c r="J109" s="15"/>
      <c r="K109" s="15" t="s">
        <v>348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>
      <c r="A110" s="15" t="s">
        <v>349</v>
      </c>
      <c r="B110" s="15" t="s">
        <v>566</v>
      </c>
      <c r="C110" s="15" t="s">
        <v>596</v>
      </c>
      <c r="D110" s="15" t="s">
        <v>342</v>
      </c>
      <c r="E110" s="15" t="s">
        <v>342</v>
      </c>
      <c r="F110" s="15" t="s">
        <v>343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>
      <c r="A111" s="15" t="s">
        <v>57</v>
      </c>
      <c r="B111" s="15" t="s">
        <v>566</v>
      </c>
      <c r="C111" s="15" t="s">
        <v>596</v>
      </c>
      <c r="D111" s="15" t="s">
        <v>342</v>
      </c>
      <c r="E111" s="15" t="s">
        <v>342</v>
      </c>
      <c r="F111" s="15" t="s">
        <v>343</v>
      </c>
      <c r="G111" s="15"/>
      <c r="H111" s="15"/>
      <c r="I111" s="15"/>
      <c r="J111" s="15"/>
      <c r="K111" s="15" t="s">
        <v>347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>
      <c r="A112" s="15" t="s">
        <v>178</v>
      </c>
      <c r="B112" s="15" t="s">
        <v>566</v>
      </c>
      <c r="C112" s="15" t="s">
        <v>596</v>
      </c>
      <c r="D112" s="15" t="s">
        <v>342</v>
      </c>
      <c r="E112" s="15" t="s">
        <v>342</v>
      </c>
      <c r="F112" s="15" t="s">
        <v>343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>
      <c r="A113" s="15" t="s">
        <v>151</v>
      </c>
      <c r="B113" s="15" t="s">
        <v>566</v>
      </c>
      <c r="C113" s="15" t="s">
        <v>596</v>
      </c>
      <c r="D113" s="15" t="s">
        <v>342</v>
      </c>
      <c r="E113" s="15" t="s">
        <v>342</v>
      </c>
      <c r="F113" s="15" t="s">
        <v>343</v>
      </c>
      <c r="G113" s="15"/>
      <c r="H113" s="15"/>
      <c r="I113" s="15"/>
      <c r="J113" s="15"/>
      <c r="K113" s="15" t="s">
        <v>347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>
      <c r="A114" s="15" t="s">
        <v>350</v>
      </c>
      <c r="B114" s="15" t="s">
        <v>566</v>
      </c>
      <c r="C114" s="15" t="s">
        <v>596</v>
      </c>
      <c r="D114" s="15" t="s">
        <v>342</v>
      </c>
      <c r="E114" s="15" t="s">
        <v>342</v>
      </c>
      <c r="F114" s="15" t="s">
        <v>343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>
      <c r="A115" s="15" t="s">
        <v>155</v>
      </c>
      <c r="B115" s="15" t="s">
        <v>566</v>
      </c>
      <c r="C115" s="15" t="s">
        <v>596</v>
      </c>
      <c r="D115" s="15" t="s">
        <v>342</v>
      </c>
      <c r="E115" s="15" t="s">
        <v>342</v>
      </c>
      <c r="F115" s="15" t="s">
        <v>343</v>
      </c>
      <c r="G115" s="15"/>
      <c r="H115" s="15"/>
      <c r="I115" s="15"/>
      <c r="J115" s="15"/>
      <c r="K115" s="15" t="s">
        <v>347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>
      <c r="A116" s="15" t="s">
        <v>7</v>
      </c>
      <c r="B116" s="15" t="s">
        <v>566</v>
      </c>
      <c r="C116" s="15" t="s">
        <v>596</v>
      </c>
      <c r="D116" s="15" t="s">
        <v>342</v>
      </c>
      <c r="E116" s="15" t="s">
        <v>342</v>
      </c>
      <c r="F116" s="15" t="s">
        <v>343</v>
      </c>
      <c r="G116" s="15"/>
      <c r="H116" s="15"/>
      <c r="I116" s="15"/>
      <c r="J116" s="15">
        <v>1</v>
      </c>
      <c r="K116" s="15" t="s">
        <v>348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>
      <c r="A117" s="15" t="s">
        <v>338</v>
      </c>
      <c r="B117" s="15" t="s">
        <v>566</v>
      </c>
      <c r="C117" s="15" t="s">
        <v>596</v>
      </c>
      <c r="D117" s="15" t="s">
        <v>342</v>
      </c>
      <c r="E117" s="15" t="s">
        <v>342</v>
      </c>
      <c r="F117" s="15" t="s">
        <v>343</v>
      </c>
      <c r="G117" s="15"/>
      <c r="H117" s="15"/>
      <c r="I117" s="15"/>
      <c r="J117" s="15"/>
      <c r="K117" s="15" t="s">
        <v>348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>
      <c r="A118" s="15" t="s">
        <v>38</v>
      </c>
      <c r="B118" s="15" t="s">
        <v>566</v>
      </c>
      <c r="C118" s="15" t="s">
        <v>596</v>
      </c>
      <c r="D118" s="15" t="s">
        <v>342</v>
      </c>
      <c r="E118" s="15" t="s">
        <v>342</v>
      </c>
      <c r="F118" s="15" t="s">
        <v>343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>
      <c r="A119" s="15" t="s">
        <v>23</v>
      </c>
      <c r="B119" s="15" t="s">
        <v>566</v>
      </c>
      <c r="C119" s="15" t="s">
        <v>596</v>
      </c>
      <c r="D119" s="15" t="s">
        <v>342</v>
      </c>
      <c r="E119" s="15" t="s">
        <v>342</v>
      </c>
      <c r="F119" s="15" t="s">
        <v>343</v>
      </c>
      <c r="G119" s="15"/>
      <c r="H119" s="15"/>
      <c r="I119" s="15"/>
      <c r="J119" s="15"/>
      <c r="K119" s="15" t="s">
        <v>347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>
      <c r="A120" s="15" t="s">
        <v>127</v>
      </c>
      <c r="B120" s="15" t="s">
        <v>566</v>
      </c>
      <c r="C120" s="15" t="s">
        <v>596</v>
      </c>
      <c r="D120" s="15" t="s">
        <v>342</v>
      </c>
      <c r="E120" s="15" t="s">
        <v>342</v>
      </c>
      <c r="F120" s="15" t="s">
        <v>343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>
      <c r="A121" s="15" t="s">
        <v>150</v>
      </c>
      <c r="B121" s="15" t="s">
        <v>566</v>
      </c>
      <c r="C121" s="15" t="s">
        <v>596</v>
      </c>
      <c r="D121" s="15" t="s">
        <v>342</v>
      </c>
      <c r="E121" s="15" t="s">
        <v>342</v>
      </c>
      <c r="F121" s="15" t="s">
        <v>343</v>
      </c>
      <c r="G121" s="15"/>
      <c r="H121" s="15"/>
      <c r="I121" s="15"/>
      <c r="J121" s="15"/>
      <c r="K121" s="15" t="s">
        <v>347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>
      <c r="A122" s="15" t="s">
        <v>106</v>
      </c>
      <c r="B122" s="15" t="s">
        <v>566</v>
      </c>
      <c r="C122" s="15" t="s">
        <v>596</v>
      </c>
      <c r="D122" s="15" t="s">
        <v>342</v>
      </c>
      <c r="E122" s="15" t="s">
        <v>342</v>
      </c>
      <c r="F122" s="15" t="s">
        <v>343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>
      <c r="A123" s="15" t="s">
        <v>41</v>
      </c>
      <c r="B123" s="15" t="s">
        <v>566</v>
      </c>
      <c r="C123" s="15" t="s">
        <v>596</v>
      </c>
      <c r="D123" s="15" t="s">
        <v>342</v>
      </c>
      <c r="E123" s="15" t="s">
        <v>342</v>
      </c>
      <c r="F123" s="15" t="s">
        <v>343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>
      <c r="A124" s="15" t="s">
        <v>161</v>
      </c>
      <c r="B124" s="15" t="s">
        <v>566</v>
      </c>
      <c r="C124" s="15" t="s">
        <v>596</v>
      </c>
      <c r="D124" s="15" t="s">
        <v>342</v>
      </c>
      <c r="E124" s="15" t="s">
        <v>342</v>
      </c>
      <c r="F124" s="15" t="s">
        <v>343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>
      <c r="A125" s="15" t="s">
        <v>20</v>
      </c>
      <c r="B125" s="15" t="s">
        <v>566</v>
      </c>
      <c r="C125" s="15" t="s">
        <v>596</v>
      </c>
      <c r="D125" s="15" t="s">
        <v>342</v>
      </c>
      <c r="E125" s="15" t="s">
        <v>342</v>
      </c>
      <c r="F125" s="15" t="s">
        <v>343</v>
      </c>
      <c r="G125" s="15"/>
      <c r="H125" s="15"/>
      <c r="I125" s="15"/>
      <c r="J125" s="15"/>
      <c r="K125" s="15" t="s">
        <v>348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>
      <c r="A126" s="15" t="s">
        <v>109</v>
      </c>
      <c r="B126" s="15" t="s">
        <v>566</v>
      </c>
      <c r="C126" s="15" t="s">
        <v>596</v>
      </c>
      <c r="D126" s="15" t="s">
        <v>342</v>
      </c>
      <c r="E126" s="15" t="s">
        <v>342</v>
      </c>
      <c r="F126" s="15" t="s">
        <v>343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>
      <c r="A127" s="15" t="s">
        <v>351</v>
      </c>
      <c r="B127" s="15" t="s">
        <v>566</v>
      </c>
      <c r="C127" s="15" t="s">
        <v>596</v>
      </c>
      <c r="D127" s="15" t="s">
        <v>342</v>
      </c>
      <c r="E127" s="15" t="s">
        <v>342</v>
      </c>
      <c r="F127" s="15" t="s">
        <v>343</v>
      </c>
      <c r="G127" s="15"/>
      <c r="H127" s="15"/>
      <c r="I127" s="15"/>
      <c r="J127" s="15"/>
      <c r="K127" s="15" t="s">
        <v>347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>
      <c r="A128" s="15" t="s">
        <v>159</v>
      </c>
      <c r="B128" s="15" t="s">
        <v>566</v>
      </c>
      <c r="C128" s="15" t="s">
        <v>596</v>
      </c>
      <c r="D128" s="15" t="s">
        <v>342</v>
      </c>
      <c r="E128" s="15" t="s">
        <v>342</v>
      </c>
      <c r="F128" s="15" t="s">
        <v>343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>
      <c r="A129" s="15" t="s">
        <v>122</v>
      </c>
      <c r="B129" s="15" t="s">
        <v>566</v>
      </c>
      <c r="C129" s="15" t="s">
        <v>596</v>
      </c>
      <c r="D129" s="15" t="s">
        <v>342</v>
      </c>
      <c r="E129" s="15" t="s">
        <v>342</v>
      </c>
      <c r="F129" s="15" t="s">
        <v>343</v>
      </c>
      <c r="G129" s="15"/>
      <c r="H129" s="15"/>
      <c r="I129" s="15"/>
      <c r="J129" s="15"/>
      <c r="K129" s="15" t="s">
        <v>348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>
      <c r="A130" s="15" t="s">
        <v>156</v>
      </c>
      <c r="B130" s="15" t="s">
        <v>566</v>
      </c>
      <c r="C130" s="15" t="s">
        <v>596</v>
      </c>
      <c r="D130" s="15" t="s">
        <v>342</v>
      </c>
      <c r="E130" s="15" t="s">
        <v>342</v>
      </c>
      <c r="F130" s="15" t="s">
        <v>343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>
      <c r="A131" s="15" t="s">
        <v>97</v>
      </c>
      <c r="B131" s="15" t="s">
        <v>566</v>
      </c>
      <c r="C131" s="15" t="s">
        <v>596</v>
      </c>
      <c r="D131" s="15" t="s">
        <v>342</v>
      </c>
      <c r="E131" s="15" t="s">
        <v>342</v>
      </c>
      <c r="F131" s="15" t="s">
        <v>343</v>
      </c>
      <c r="G131" s="15"/>
      <c r="H131" s="15"/>
      <c r="I131" s="15"/>
      <c r="J131" s="15"/>
      <c r="K131" s="15" t="s">
        <v>348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>
      <c r="A132" s="15" t="s">
        <v>58</v>
      </c>
      <c r="B132" s="15" t="s">
        <v>566</v>
      </c>
      <c r="C132" s="15" t="s">
        <v>596</v>
      </c>
      <c r="D132" s="15" t="s">
        <v>342</v>
      </c>
      <c r="E132" s="15" t="s">
        <v>342</v>
      </c>
      <c r="F132" s="15" t="s">
        <v>343</v>
      </c>
      <c r="G132" s="15"/>
      <c r="H132" s="15"/>
      <c r="I132" s="15"/>
      <c r="J132" s="15"/>
      <c r="K132" s="15" t="s">
        <v>347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>
      <c r="A133" s="15" t="s">
        <v>19</v>
      </c>
      <c r="B133" s="15" t="s">
        <v>566</v>
      </c>
      <c r="C133" s="15" t="s">
        <v>596</v>
      </c>
      <c r="D133" s="15" t="s">
        <v>342</v>
      </c>
      <c r="E133" s="15" t="s">
        <v>342</v>
      </c>
      <c r="F133" s="15" t="s">
        <v>343</v>
      </c>
      <c r="G133" s="15"/>
      <c r="H133" s="15"/>
      <c r="I133" s="15"/>
      <c r="J133" s="15"/>
      <c r="K133" s="15" t="s">
        <v>348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>
      <c r="A134" s="15" t="s">
        <v>124</v>
      </c>
      <c r="B134" s="15" t="s">
        <v>566</v>
      </c>
      <c r="C134" s="15" t="s">
        <v>596</v>
      </c>
      <c r="D134" s="15" t="s">
        <v>342</v>
      </c>
      <c r="E134" s="15" t="s">
        <v>342</v>
      </c>
      <c r="F134" s="15" t="s">
        <v>343</v>
      </c>
      <c r="G134" s="15"/>
      <c r="H134" s="15"/>
      <c r="I134" s="15"/>
      <c r="J134" s="15"/>
      <c r="K134" s="15" t="s">
        <v>348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>
      <c r="A135" s="15" t="s">
        <v>111</v>
      </c>
      <c r="B135" s="15" t="s">
        <v>566</v>
      </c>
      <c r="C135" s="15" t="s">
        <v>596</v>
      </c>
      <c r="D135" s="15" t="s">
        <v>342</v>
      </c>
      <c r="E135" s="15" t="s">
        <v>342</v>
      </c>
      <c r="F135" s="15" t="s">
        <v>343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28.9">
      <c r="A136" s="15" t="s">
        <v>352</v>
      </c>
      <c r="B136" s="15" t="s">
        <v>566</v>
      </c>
      <c r="C136" s="15" t="s">
        <v>596</v>
      </c>
      <c r="D136" s="15" t="s">
        <v>342</v>
      </c>
      <c r="E136" s="15" t="s">
        <v>342</v>
      </c>
      <c r="F136" s="15" t="s">
        <v>343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>
      <c r="A137" s="15" t="s">
        <v>107</v>
      </c>
      <c r="B137" s="15" t="s">
        <v>566</v>
      </c>
      <c r="C137" s="15" t="s">
        <v>596</v>
      </c>
      <c r="D137" s="15" t="s">
        <v>342</v>
      </c>
      <c r="E137" s="15" t="s">
        <v>342</v>
      </c>
      <c r="F137" s="15" t="s">
        <v>343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>
      <c r="A138" s="15" t="s">
        <v>54</v>
      </c>
      <c r="B138" s="15" t="s">
        <v>566</v>
      </c>
      <c r="C138" s="15" t="s">
        <v>596</v>
      </c>
      <c r="D138" s="15" t="s">
        <v>342</v>
      </c>
      <c r="E138" s="15" t="s">
        <v>342</v>
      </c>
      <c r="F138" s="15" t="s">
        <v>343</v>
      </c>
      <c r="G138" s="15"/>
      <c r="H138" s="15"/>
      <c r="I138" s="15"/>
      <c r="J138" s="15"/>
      <c r="K138" s="15" t="s">
        <v>347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>
      <c r="A139" s="15" t="s">
        <v>23</v>
      </c>
      <c r="B139" s="15" t="s">
        <v>566</v>
      </c>
      <c r="C139" s="15" t="s">
        <v>596</v>
      </c>
      <c r="D139" s="15" t="s">
        <v>342</v>
      </c>
      <c r="E139" s="15" t="s">
        <v>342</v>
      </c>
      <c r="F139" s="15" t="s">
        <v>353</v>
      </c>
      <c r="G139" s="15"/>
      <c r="H139" s="15" t="s">
        <v>325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>
      <c r="A140" s="15" t="s">
        <v>24</v>
      </c>
      <c r="B140" s="15" t="s">
        <v>566</v>
      </c>
      <c r="C140" s="15" t="s">
        <v>596</v>
      </c>
      <c r="D140" s="15" t="s">
        <v>342</v>
      </c>
      <c r="E140" s="15" t="s">
        <v>342</v>
      </c>
      <c r="F140" s="15" t="s">
        <v>353</v>
      </c>
      <c r="G140" s="15"/>
      <c r="H140" s="15" t="s">
        <v>325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>
      <c r="A141" s="15" t="s">
        <v>59</v>
      </c>
      <c r="B141" s="15" t="s">
        <v>566</v>
      </c>
      <c r="C141" s="15" t="s">
        <v>596</v>
      </c>
      <c r="D141" s="15" t="s">
        <v>342</v>
      </c>
      <c r="E141" s="15" t="s">
        <v>342</v>
      </c>
      <c r="F141" s="15" t="s">
        <v>353</v>
      </c>
      <c r="G141" s="15"/>
      <c r="H141" s="15" t="s">
        <v>325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>
      <c r="A142" s="15" t="s">
        <v>27</v>
      </c>
      <c r="B142" s="15" t="s">
        <v>566</v>
      </c>
      <c r="C142" s="15" t="s">
        <v>596</v>
      </c>
      <c r="D142" s="15" t="s">
        <v>342</v>
      </c>
      <c r="E142" s="15" t="s">
        <v>342</v>
      </c>
      <c r="F142" s="15" t="s">
        <v>353</v>
      </c>
      <c r="G142" s="15"/>
      <c r="H142" s="15" t="s">
        <v>325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>
      <c r="A143" s="15" t="s">
        <v>57</v>
      </c>
      <c r="B143" s="15" t="s">
        <v>566</v>
      </c>
      <c r="C143" s="15" t="s">
        <v>596</v>
      </c>
      <c r="D143" s="15" t="s">
        <v>342</v>
      </c>
      <c r="E143" s="15" t="s">
        <v>342</v>
      </c>
      <c r="F143" s="15" t="s">
        <v>353</v>
      </c>
      <c r="G143" s="15"/>
      <c r="H143" s="15" t="s">
        <v>325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>
      <c r="A144" s="15" t="s">
        <v>355</v>
      </c>
      <c r="B144" s="15" t="s">
        <v>566</v>
      </c>
      <c r="C144" s="15" t="s">
        <v>596</v>
      </c>
      <c r="D144" s="15" t="s">
        <v>342</v>
      </c>
      <c r="E144" s="15" t="s">
        <v>342</v>
      </c>
      <c r="F144" s="15" t="s">
        <v>353</v>
      </c>
      <c r="G144" s="15"/>
      <c r="H144" s="15" t="s">
        <v>325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>
      <c r="A145" s="15" t="s">
        <v>29</v>
      </c>
      <c r="B145" s="15" t="s">
        <v>566</v>
      </c>
      <c r="C145" s="15" t="s">
        <v>596</v>
      </c>
      <c r="D145" s="15" t="s">
        <v>342</v>
      </c>
      <c r="E145" s="15" t="s">
        <v>342</v>
      </c>
      <c r="F145" s="15" t="s">
        <v>353</v>
      </c>
      <c r="G145" s="15"/>
      <c r="H145" s="15" t="s">
        <v>325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>
      <c r="A146" s="15" t="s">
        <v>23</v>
      </c>
      <c r="B146" s="15" t="s">
        <v>566</v>
      </c>
      <c r="C146" s="15" t="s">
        <v>596</v>
      </c>
      <c r="D146" s="15" t="s">
        <v>342</v>
      </c>
      <c r="E146" s="15" t="s">
        <v>342</v>
      </c>
      <c r="F146" s="15" t="s">
        <v>353</v>
      </c>
      <c r="G146" s="15"/>
      <c r="H146" s="15" t="s">
        <v>325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>
      <c r="A147" s="15" t="s">
        <v>157</v>
      </c>
      <c r="B147" s="15" t="s">
        <v>566</v>
      </c>
      <c r="C147" s="15" t="s">
        <v>596</v>
      </c>
      <c r="D147" s="15" t="s">
        <v>342</v>
      </c>
      <c r="E147" s="15" t="s">
        <v>342</v>
      </c>
      <c r="F147" s="15" t="s">
        <v>353</v>
      </c>
      <c r="G147" s="15"/>
      <c r="H147" s="15" t="s">
        <v>325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>
      <c r="A148" s="15" t="s">
        <v>20</v>
      </c>
      <c r="B148" s="15" t="s">
        <v>566</v>
      </c>
      <c r="C148" s="15" t="s">
        <v>596</v>
      </c>
      <c r="D148" s="15" t="s">
        <v>342</v>
      </c>
      <c r="E148" s="15" t="s">
        <v>342</v>
      </c>
      <c r="F148" s="15" t="s">
        <v>353</v>
      </c>
      <c r="G148" s="15"/>
      <c r="H148" s="15" t="s">
        <v>325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>
      <c r="A149" s="15" t="s">
        <v>97</v>
      </c>
      <c r="B149" s="15" t="s">
        <v>566</v>
      </c>
      <c r="C149" s="15" t="s">
        <v>596</v>
      </c>
      <c r="D149" s="15" t="s">
        <v>342</v>
      </c>
      <c r="E149" s="15" t="s">
        <v>342</v>
      </c>
      <c r="F149" s="15" t="s">
        <v>353</v>
      </c>
      <c r="G149" s="15"/>
      <c r="H149" s="15" t="s">
        <v>325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>
      <c r="A150" s="15" t="s">
        <v>341</v>
      </c>
      <c r="B150" s="15" t="s">
        <v>566</v>
      </c>
      <c r="C150" s="15" t="s">
        <v>596</v>
      </c>
      <c r="D150" s="15" t="s">
        <v>342</v>
      </c>
      <c r="E150" s="15" t="s">
        <v>342</v>
      </c>
      <c r="F150" s="15" t="s">
        <v>353</v>
      </c>
      <c r="G150" s="15"/>
      <c r="H150" s="15" t="s">
        <v>325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>
      <c r="A151" s="15" t="s">
        <v>54</v>
      </c>
      <c r="B151" s="15" t="s">
        <v>566</v>
      </c>
      <c r="C151" s="15" t="s">
        <v>596</v>
      </c>
      <c r="D151" s="15" t="s">
        <v>342</v>
      </c>
      <c r="E151" s="15" t="s">
        <v>342</v>
      </c>
      <c r="F151" s="15" t="s">
        <v>353</v>
      </c>
      <c r="G151" s="15"/>
      <c r="H151" s="15" t="s">
        <v>325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>
      <c r="A152" s="15" t="s">
        <v>23</v>
      </c>
      <c r="B152" s="15" t="s">
        <v>566</v>
      </c>
      <c r="C152" s="15" t="s">
        <v>596</v>
      </c>
      <c r="D152" s="15" t="s">
        <v>342</v>
      </c>
      <c r="E152" s="15" t="s">
        <v>342</v>
      </c>
      <c r="F152" s="15" t="s">
        <v>353</v>
      </c>
      <c r="G152" s="15"/>
      <c r="H152" s="15" t="s">
        <v>327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>
      <c r="A153" s="15" t="s">
        <v>24</v>
      </c>
      <c r="B153" s="15" t="s">
        <v>566</v>
      </c>
      <c r="C153" s="15" t="s">
        <v>596</v>
      </c>
      <c r="D153" s="15" t="s">
        <v>342</v>
      </c>
      <c r="E153" s="15" t="s">
        <v>342</v>
      </c>
      <c r="F153" s="15" t="s">
        <v>353</v>
      </c>
      <c r="G153" s="15"/>
      <c r="H153" s="15" t="s">
        <v>327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>
      <c r="A154" s="15" t="s">
        <v>22</v>
      </c>
      <c r="B154" s="15" t="s">
        <v>566</v>
      </c>
      <c r="C154" s="15" t="s">
        <v>596</v>
      </c>
      <c r="D154" s="15" t="s">
        <v>342</v>
      </c>
      <c r="E154" s="15" t="s">
        <v>342</v>
      </c>
      <c r="F154" s="15" t="s">
        <v>353</v>
      </c>
      <c r="G154" s="15"/>
      <c r="H154" s="15" t="s">
        <v>327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>
      <c r="A155" s="15" t="s">
        <v>350</v>
      </c>
      <c r="B155" s="15" t="s">
        <v>566</v>
      </c>
      <c r="C155" s="15" t="s">
        <v>596</v>
      </c>
      <c r="D155" s="15" t="s">
        <v>342</v>
      </c>
      <c r="E155" s="15" t="s">
        <v>342</v>
      </c>
      <c r="F155" s="15" t="s">
        <v>353</v>
      </c>
      <c r="G155" s="15"/>
      <c r="H155" s="15" t="s">
        <v>327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>
      <c r="A156" s="15" t="s">
        <v>7</v>
      </c>
      <c r="B156" s="15" t="s">
        <v>566</v>
      </c>
      <c r="C156" s="15" t="s">
        <v>596</v>
      </c>
      <c r="D156" s="15" t="s">
        <v>342</v>
      </c>
      <c r="E156" s="15" t="s">
        <v>342</v>
      </c>
      <c r="F156" s="15" t="s">
        <v>353</v>
      </c>
      <c r="G156" s="15"/>
      <c r="H156" s="15" t="s">
        <v>327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>
      <c r="A157" s="15" t="s">
        <v>338</v>
      </c>
      <c r="B157" s="15" t="s">
        <v>566</v>
      </c>
      <c r="C157" s="15" t="s">
        <v>596</v>
      </c>
      <c r="D157" s="15" t="s">
        <v>342</v>
      </c>
      <c r="E157" s="15" t="s">
        <v>342</v>
      </c>
      <c r="F157" s="15" t="s">
        <v>353</v>
      </c>
      <c r="G157" s="15"/>
      <c r="H157" s="15" t="s">
        <v>327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>
      <c r="A158" s="15" t="s">
        <v>351</v>
      </c>
      <c r="B158" s="15" t="s">
        <v>566</v>
      </c>
      <c r="C158" s="15" t="s">
        <v>596</v>
      </c>
      <c r="D158" s="15" t="s">
        <v>342</v>
      </c>
      <c r="E158" s="15" t="s">
        <v>342</v>
      </c>
      <c r="F158" s="15" t="s">
        <v>353</v>
      </c>
      <c r="G158" s="15"/>
      <c r="H158" s="15" t="s">
        <v>327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>
      <c r="A159" s="15" t="s">
        <v>58</v>
      </c>
      <c r="B159" s="15" t="s">
        <v>566</v>
      </c>
      <c r="C159" s="15" t="s">
        <v>596</v>
      </c>
      <c r="D159" s="15" t="s">
        <v>342</v>
      </c>
      <c r="E159" s="15" t="s">
        <v>342</v>
      </c>
      <c r="F159" s="15" t="s">
        <v>353</v>
      </c>
      <c r="G159" s="15"/>
      <c r="H159" s="15" t="s">
        <v>327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>
      <c r="A160" s="15" t="s">
        <v>54</v>
      </c>
      <c r="B160" s="15" t="s">
        <v>566</v>
      </c>
      <c r="C160" s="15" t="s">
        <v>596</v>
      </c>
      <c r="D160" s="15" t="s">
        <v>342</v>
      </c>
      <c r="E160" s="15" t="s">
        <v>342</v>
      </c>
      <c r="F160" s="15" t="s">
        <v>353</v>
      </c>
      <c r="G160" s="15"/>
      <c r="H160" s="15" t="s">
        <v>327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>
      <c r="A161" s="15" t="s">
        <v>350</v>
      </c>
      <c r="B161" s="15" t="s">
        <v>566</v>
      </c>
      <c r="C161" s="15" t="s">
        <v>596</v>
      </c>
      <c r="D161" s="15" t="s">
        <v>323</v>
      </c>
      <c r="E161" s="15" t="s">
        <v>323</v>
      </c>
      <c r="F161" s="15" t="s">
        <v>324</v>
      </c>
      <c r="G161" s="15"/>
      <c r="H161" s="15" t="s">
        <v>356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>
      <c r="A162" s="15" t="s">
        <v>38</v>
      </c>
      <c r="B162" s="15" t="s">
        <v>566</v>
      </c>
      <c r="C162" s="15" t="s">
        <v>596</v>
      </c>
      <c r="D162" s="15" t="s">
        <v>323</v>
      </c>
      <c r="E162" s="15" t="s">
        <v>323</v>
      </c>
      <c r="F162" s="15" t="s">
        <v>324</v>
      </c>
      <c r="G162" s="15"/>
      <c r="H162" s="15" t="s">
        <v>356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>
      <c r="A163" s="15" t="s">
        <v>351</v>
      </c>
      <c r="B163" s="15" t="s">
        <v>566</v>
      </c>
      <c r="C163" s="15" t="s">
        <v>596</v>
      </c>
      <c r="D163" s="15" t="s">
        <v>323</v>
      </c>
      <c r="E163" s="15" t="s">
        <v>323</v>
      </c>
      <c r="F163" s="15" t="s">
        <v>324</v>
      </c>
      <c r="G163" s="15"/>
      <c r="H163" s="15" t="s">
        <v>356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>
      <c r="A164" s="15" t="s">
        <v>358</v>
      </c>
      <c r="B164" s="15" t="s">
        <v>566</v>
      </c>
      <c r="C164" s="15" t="s">
        <v>596</v>
      </c>
      <c r="D164" s="15" t="s">
        <v>323</v>
      </c>
      <c r="E164" s="15" t="s">
        <v>323</v>
      </c>
      <c r="F164" s="15" t="s">
        <v>324</v>
      </c>
      <c r="G164" s="15"/>
      <c r="H164" s="15" t="s">
        <v>330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>
      <c r="A165" s="15" t="s">
        <v>24</v>
      </c>
      <c r="B165" s="15" t="s">
        <v>566</v>
      </c>
      <c r="C165" s="15" t="s">
        <v>596</v>
      </c>
      <c r="D165" s="15" t="s">
        <v>323</v>
      </c>
      <c r="E165" s="15" t="s">
        <v>323</v>
      </c>
      <c r="F165" s="15" t="s">
        <v>324</v>
      </c>
      <c r="G165" s="15"/>
      <c r="H165" s="15" t="s">
        <v>330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>
      <c r="A166" s="15" t="s">
        <v>153</v>
      </c>
      <c r="B166" s="15" t="s">
        <v>566</v>
      </c>
      <c r="C166" s="15" t="s">
        <v>596</v>
      </c>
      <c r="D166" s="15" t="s">
        <v>323</v>
      </c>
      <c r="E166" s="15" t="s">
        <v>323</v>
      </c>
      <c r="F166" s="15" t="s">
        <v>324</v>
      </c>
      <c r="G166" s="15"/>
      <c r="H166" s="15" t="s">
        <v>330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>
      <c r="A167" s="15" t="s">
        <v>7</v>
      </c>
      <c r="B167" s="15" t="s">
        <v>566</v>
      </c>
      <c r="C167" s="15" t="s">
        <v>596</v>
      </c>
      <c r="D167" s="15" t="s">
        <v>323</v>
      </c>
      <c r="E167" s="15" t="s">
        <v>323</v>
      </c>
      <c r="F167" s="15" t="s">
        <v>324</v>
      </c>
      <c r="G167" s="15"/>
      <c r="H167" s="15" t="s">
        <v>330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>
      <c r="A168" s="15" t="s">
        <v>338</v>
      </c>
      <c r="B168" s="15" t="s">
        <v>566</v>
      </c>
      <c r="C168" s="15" t="s">
        <v>596</v>
      </c>
      <c r="D168" s="15" t="s">
        <v>323</v>
      </c>
      <c r="E168" s="15" t="s">
        <v>323</v>
      </c>
      <c r="F168" s="15" t="s">
        <v>324</v>
      </c>
      <c r="G168" s="15"/>
      <c r="H168" s="15" t="s">
        <v>330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>
      <c r="A169" s="15" t="s">
        <v>131</v>
      </c>
      <c r="B169" s="15" t="s">
        <v>566</v>
      </c>
      <c r="C169" s="15" t="s">
        <v>596</v>
      </c>
      <c r="D169" s="15" t="s">
        <v>323</v>
      </c>
      <c r="E169" s="15" t="s">
        <v>323</v>
      </c>
      <c r="F169" s="15" t="s">
        <v>324</v>
      </c>
      <c r="G169" s="15"/>
      <c r="H169" s="15" t="s">
        <v>330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>
      <c r="A170" s="15" t="s">
        <v>106</v>
      </c>
      <c r="B170" s="15" t="s">
        <v>566</v>
      </c>
      <c r="C170" s="15" t="s">
        <v>596</v>
      </c>
      <c r="D170" s="15" t="s">
        <v>323</v>
      </c>
      <c r="E170" s="15" t="s">
        <v>323</v>
      </c>
      <c r="F170" s="15" t="s">
        <v>324</v>
      </c>
      <c r="G170" s="15"/>
      <c r="H170" s="15" t="s">
        <v>330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>
      <c r="A171" s="15" t="s">
        <v>109</v>
      </c>
      <c r="B171" s="15" t="s">
        <v>566</v>
      </c>
      <c r="C171" s="15" t="s">
        <v>596</v>
      </c>
      <c r="D171" s="15" t="s">
        <v>323</v>
      </c>
      <c r="E171" s="15" t="s">
        <v>323</v>
      </c>
      <c r="F171" s="15" t="s">
        <v>324</v>
      </c>
      <c r="G171" s="15"/>
      <c r="H171" s="15" t="s">
        <v>330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>
      <c r="A172" s="15" t="s">
        <v>159</v>
      </c>
      <c r="B172" s="15" t="s">
        <v>566</v>
      </c>
      <c r="C172" s="15" t="s">
        <v>596</v>
      </c>
      <c r="D172" s="15" t="s">
        <v>323</v>
      </c>
      <c r="E172" s="15" t="s">
        <v>323</v>
      </c>
      <c r="F172" s="15" t="s">
        <v>324</v>
      </c>
      <c r="G172" s="15"/>
      <c r="H172" s="15" t="s">
        <v>330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>
      <c r="A173" s="15" t="s">
        <v>122</v>
      </c>
      <c r="B173" s="15" t="s">
        <v>566</v>
      </c>
      <c r="C173" s="15" t="s">
        <v>596</v>
      </c>
      <c r="D173" s="15" t="s">
        <v>323</v>
      </c>
      <c r="E173" s="15" t="s">
        <v>323</v>
      </c>
      <c r="F173" s="15" t="s">
        <v>324</v>
      </c>
      <c r="G173" s="15"/>
      <c r="H173" s="15" t="s">
        <v>330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>
      <c r="A174" s="15" t="s">
        <v>161</v>
      </c>
      <c r="B174" s="15" t="s">
        <v>566</v>
      </c>
      <c r="C174" s="15" t="s">
        <v>596</v>
      </c>
      <c r="D174" s="15" t="s">
        <v>323</v>
      </c>
      <c r="E174" s="15" t="s">
        <v>323</v>
      </c>
      <c r="F174" s="15" t="s">
        <v>324</v>
      </c>
      <c r="G174" s="15"/>
      <c r="H174" s="15" t="s">
        <v>359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>
      <c r="A175" s="15" t="s">
        <v>131</v>
      </c>
      <c r="B175" s="15" t="s">
        <v>566</v>
      </c>
      <c r="C175" s="15" t="s">
        <v>596</v>
      </c>
      <c r="D175" s="15" t="s">
        <v>323</v>
      </c>
      <c r="E175" s="15" t="s">
        <v>323</v>
      </c>
      <c r="F175" s="15" t="s">
        <v>324</v>
      </c>
      <c r="G175" s="15"/>
      <c r="H175" s="15" t="s">
        <v>360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>
      <c r="A176" s="15" t="s">
        <v>24</v>
      </c>
      <c r="B176" s="15" t="s">
        <v>566</v>
      </c>
      <c r="C176" s="15" t="s">
        <v>596</v>
      </c>
      <c r="D176" s="15" t="s">
        <v>323</v>
      </c>
      <c r="E176" s="15" t="s">
        <v>323</v>
      </c>
      <c r="F176" s="15" t="s">
        <v>324</v>
      </c>
      <c r="G176" s="15"/>
      <c r="H176" s="15" t="s">
        <v>325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>
      <c r="A177" s="15" t="s">
        <v>23</v>
      </c>
      <c r="B177" s="15" t="s">
        <v>566</v>
      </c>
      <c r="C177" s="15" t="s">
        <v>596</v>
      </c>
      <c r="D177" s="15" t="s">
        <v>323</v>
      </c>
      <c r="E177" s="15" t="s">
        <v>323</v>
      </c>
      <c r="F177" s="15" t="s">
        <v>324</v>
      </c>
      <c r="G177" s="15"/>
      <c r="H177" s="15" t="s">
        <v>325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>
      <c r="A178" s="15" t="s">
        <v>97</v>
      </c>
      <c r="B178" s="15" t="s">
        <v>566</v>
      </c>
      <c r="C178" s="15" t="s">
        <v>596</v>
      </c>
      <c r="D178" s="15" t="s">
        <v>323</v>
      </c>
      <c r="E178" s="15" t="s">
        <v>323</v>
      </c>
      <c r="F178" s="15" t="s">
        <v>324</v>
      </c>
      <c r="G178" s="15"/>
      <c r="H178" s="15" t="s">
        <v>325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>
      <c r="A179" s="15" t="s">
        <v>7</v>
      </c>
      <c r="B179" s="15" t="s">
        <v>566</v>
      </c>
      <c r="C179" s="15" t="s">
        <v>596</v>
      </c>
      <c r="D179" s="15" t="s">
        <v>323</v>
      </c>
      <c r="E179" s="15" t="s">
        <v>323</v>
      </c>
      <c r="F179" s="15" t="s">
        <v>324</v>
      </c>
      <c r="G179" s="15"/>
      <c r="H179" s="15" t="s">
        <v>327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>
      <c r="A180" s="15" t="s">
        <v>338</v>
      </c>
      <c r="B180" s="15" t="s">
        <v>566</v>
      </c>
      <c r="C180" s="15" t="s">
        <v>596</v>
      </c>
      <c r="D180" s="15" t="s">
        <v>323</v>
      </c>
      <c r="E180" s="15" t="s">
        <v>323</v>
      </c>
      <c r="F180" s="15" t="s">
        <v>324</v>
      </c>
      <c r="G180" s="15"/>
      <c r="H180" s="15" t="s">
        <v>327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>
      <c r="A181" s="15" t="s">
        <v>153</v>
      </c>
      <c r="B181" s="15" t="s">
        <v>566</v>
      </c>
      <c r="C181" s="15" t="s">
        <v>596</v>
      </c>
      <c r="D181" s="15" t="s">
        <v>323</v>
      </c>
      <c r="E181" s="15" t="s">
        <v>323</v>
      </c>
      <c r="F181" s="15" t="s">
        <v>324</v>
      </c>
      <c r="G181" s="15"/>
      <c r="H181" s="15" t="s">
        <v>361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>
      <c r="A182" s="15" t="s">
        <v>178</v>
      </c>
      <c r="B182" s="15" t="s">
        <v>566</v>
      </c>
      <c r="C182" s="15" t="s">
        <v>596</v>
      </c>
      <c r="D182" s="15" t="s">
        <v>323</v>
      </c>
      <c r="E182" s="15" t="s">
        <v>323</v>
      </c>
      <c r="F182" s="15" t="s">
        <v>324</v>
      </c>
      <c r="G182" s="15"/>
      <c r="H182" s="15" t="s">
        <v>361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>
      <c r="A183" s="15" t="s">
        <v>161</v>
      </c>
      <c r="B183" s="15" t="s">
        <v>566</v>
      </c>
      <c r="C183" s="15" t="s">
        <v>596</v>
      </c>
      <c r="D183" s="15" t="s">
        <v>323</v>
      </c>
      <c r="E183" s="15" t="s">
        <v>323</v>
      </c>
      <c r="F183" s="15" t="s">
        <v>324</v>
      </c>
      <c r="G183" s="15"/>
      <c r="H183" s="15" t="s">
        <v>361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>
      <c r="A184" s="15" t="s">
        <v>159</v>
      </c>
      <c r="B184" s="15" t="s">
        <v>566</v>
      </c>
      <c r="C184" s="15" t="s">
        <v>596</v>
      </c>
      <c r="D184" s="15" t="s">
        <v>323</v>
      </c>
      <c r="E184" s="15" t="s">
        <v>323</v>
      </c>
      <c r="F184" s="15" t="s">
        <v>324</v>
      </c>
      <c r="G184" s="15"/>
      <c r="H184" s="15" t="s">
        <v>361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>
      <c r="A185" s="15" t="s">
        <v>165</v>
      </c>
      <c r="B185" s="15" t="s">
        <v>566</v>
      </c>
      <c r="C185" s="15" t="s">
        <v>596</v>
      </c>
      <c r="D185" s="15" t="s">
        <v>323</v>
      </c>
      <c r="E185" s="15" t="s">
        <v>323</v>
      </c>
      <c r="F185" s="15" t="s">
        <v>324</v>
      </c>
      <c r="G185" s="15"/>
      <c r="H185" s="15" t="s">
        <v>361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>
      <c r="A186" s="15" t="s">
        <v>131</v>
      </c>
      <c r="B186" s="15" t="s">
        <v>566</v>
      </c>
      <c r="C186" s="15" t="s">
        <v>596</v>
      </c>
      <c r="D186" s="15" t="s">
        <v>323</v>
      </c>
      <c r="E186" s="15" t="s">
        <v>323</v>
      </c>
      <c r="F186" s="15" t="s">
        <v>324</v>
      </c>
      <c r="G186" s="15"/>
      <c r="H186" s="15" t="s">
        <v>362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>
      <c r="A187" s="15" t="s">
        <v>106</v>
      </c>
      <c r="B187" s="15" t="s">
        <v>566</v>
      </c>
      <c r="C187" s="15" t="s">
        <v>596</v>
      </c>
      <c r="D187" s="15" t="s">
        <v>323</v>
      </c>
      <c r="E187" s="15" t="s">
        <v>323</v>
      </c>
      <c r="F187" s="15" t="s">
        <v>324</v>
      </c>
      <c r="G187" s="15"/>
      <c r="H187" s="15" t="s">
        <v>363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>
      <c r="A188" s="15" t="s">
        <v>107</v>
      </c>
      <c r="B188" s="15" t="s">
        <v>566</v>
      </c>
      <c r="C188" s="15" t="s">
        <v>596</v>
      </c>
      <c r="D188" s="15" t="s">
        <v>323</v>
      </c>
      <c r="E188" s="15" t="s">
        <v>323</v>
      </c>
      <c r="F188" s="15" t="s">
        <v>324</v>
      </c>
      <c r="G188" s="15"/>
      <c r="H188" s="15" t="s">
        <v>363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>
      <c r="A189" s="15" t="s">
        <v>109</v>
      </c>
      <c r="B189" s="15" t="s">
        <v>566</v>
      </c>
      <c r="C189" s="15" t="s">
        <v>596</v>
      </c>
      <c r="D189" s="15" t="s">
        <v>323</v>
      </c>
      <c r="E189" s="15" t="s">
        <v>323</v>
      </c>
      <c r="F189" s="15" t="s">
        <v>324</v>
      </c>
      <c r="G189" s="15"/>
      <c r="H189" s="15" t="s">
        <v>364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>
      <c r="A190" s="15" t="s">
        <v>122</v>
      </c>
      <c r="B190" s="15" t="s">
        <v>566</v>
      </c>
      <c r="C190" s="15" t="s">
        <v>596</v>
      </c>
      <c r="D190" s="15" t="s">
        <v>323</v>
      </c>
      <c r="E190" s="15" t="s">
        <v>323</v>
      </c>
      <c r="F190" s="15" t="s">
        <v>324</v>
      </c>
      <c r="G190" s="15"/>
      <c r="H190" s="15" t="s">
        <v>365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>
      <c r="A191" s="15" t="s">
        <v>346</v>
      </c>
      <c r="B191" s="15" t="s">
        <v>566</v>
      </c>
      <c r="C191" s="15" t="s">
        <v>596</v>
      </c>
      <c r="D191" s="15" t="s">
        <v>342</v>
      </c>
      <c r="E191" s="15" t="s">
        <v>342</v>
      </c>
      <c r="F191" s="15" t="s">
        <v>343</v>
      </c>
      <c r="G191" s="15"/>
      <c r="H191" s="15" t="s">
        <v>330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>
      <c r="A192" s="15" t="s">
        <v>7</v>
      </c>
      <c r="B192" s="15" t="s">
        <v>566</v>
      </c>
      <c r="C192" s="15" t="s">
        <v>596</v>
      </c>
      <c r="D192" s="15" t="s">
        <v>342</v>
      </c>
      <c r="E192" s="15" t="s">
        <v>342</v>
      </c>
      <c r="F192" s="15" t="s">
        <v>343</v>
      </c>
      <c r="G192" s="15"/>
      <c r="H192" s="15" t="s">
        <v>330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>
      <c r="A193" s="15" t="s">
        <v>338</v>
      </c>
      <c r="B193" s="15" t="s">
        <v>566</v>
      </c>
      <c r="C193" s="15" t="s">
        <v>596</v>
      </c>
      <c r="D193" s="15" t="s">
        <v>342</v>
      </c>
      <c r="E193" s="15" t="s">
        <v>342</v>
      </c>
      <c r="F193" s="15" t="s">
        <v>343</v>
      </c>
      <c r="G193" s="15"/>
      <c r="H193" s="15" t="s">
        <v>330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>
      <c r="A194" s="15" t="s">
        <v>109</v>
      </c>
      <c r="B194" s="15" t="s">
        <v>566</v>
      </c>
      <c r="C194" s="15" t="s">
        <v>596</v>
      </c>
      <c r="D194" s="15" t="s">
        <v>342</v>
      </c>
      <c r="E194" s="15" t="s">
        <v>342</v>
      </c>
      <c r="F194" s="15" t="s">
        <v>343</v>
      </c>
      <c r="G194" s="15"/>
      <c r="H194" s="15" t="s">
        <v>330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>
      <c r="A195" s="15" t="s">
        <v>351</v>
      </c>
      <c r="B195" s="15" t="s">
        <v>566</v>
      </c>
      <c r="C195" s="15" t="s">
        <v>596</v>
      </c>
      <c r="D195" s="15" t="s">
        <v>342</v>
      </c>
      <c r="E195" s="15" t="s">
        <v>342</v>
      </c>
      <c r="F195" s="15" t="s">
        <v>343</v>
      </c>
      <c r="G195" s="15"/>
      <c r="H195" s="15" t="s">
        <v>330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>
      <c r="A196" s="15" t="s">
        <v>24</v>
      </c>
      <c r="B196" s="15" t="s">
        <v>566</v>
      </c>
      <c r="C196" s="15" t="s">
        <v>596</v>
      </c>
      <c r="D196" s="15" t="s">
        <v>367</v>
      </c>
      <c r="E196" s="15" t="s">
        <v>367</v>
      </c>
      <c r="F196" s="15" t="s">
        <v>368</v>
      </c>
      <c r="G196" s="15"/>
      <c r="H196" s="15"/>
      <c r="I196" s="15"/>
      <c r="J196" s="15"/>
      <c r="K196" s="15" t="s">
        <v>347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>
      <c r="A197" s="15" t="s">
        <v>22</v>
      </c>
      <c r="B197" s="15" t="s">
        <v>566</v>
      </c>
      <c r="C197" s="15" t="s">
        <v>594</v>
      </c>
      <c r="D197" s="15" t="s">
        <v>369</v>
      </c>
      <c r="E197" s="15" t="s">
        <v>514</v>
      </c>
      <c r="F197" s="15" t="s">
        <v>370</v>
      </c>
      <c r="G197" s="15"/>
      <c r="H197" s="15"/>
      <c r="I197" s="15"/>
      <c r="J197" s="15"/>
      <c r="K197" s="15" t="s">
        <v>348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>
      <c r="A198" s="15" t="s">
        <v>27</v>
      </c>
      <c r="B198" s="15" t="s">
        <v>566</v>
      </c>
      <c r="C198" s="15" t="s">
        <v>391</v>
      </c>
      <c r="D198" s="15" t="s">
        <v>367</v>
      </c>
      <c r="E198" s="15" t="s">
        <v>404</v>
      </c>
      <c r="F198" s="15" t="s">
        <v>371</v>
      </c>
      <c r="G198" s="15"/>
      <c r="H198" s="15"/>
      <c r="I198" s="15"/>
      <c r="J198" s="15"/>
      <c r="K198" s="15" t="s">
        <v>347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>
      <c r="A199" s="15" t="s">
        <v>355</v>
      </c>
      <c r="B199" s="15" t="s">
        <v>566</v>
      </c>
      <c r="C199" s="15" t="s">
        <v>391</v>
      </c>
      <c r="D199" s="15" t="s">
        <v>367</v>
      </c>
      <c r="E199" s="15" t="s">
        <v>404</v>
      </c>
      <c r="F199" s="15" t="s">
        <v>371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>
      <c r="A200" s="15" t="s">
        <v>29</v>
      </c>
      <c r="B200" s="15" t="s">
        <v>566</v>
      </c>
      <c r="C200" s="15" t="s">
        <v>391</v>
      </c>
      <c r="D200" s="15" t="s">
        <v>367</v>
      </c>
      <c r="E200" s="15" t="s">
        <v>404</v>
      </c>
      <c r="F200" s="15" t="s">
        <v>371</v>
      </c>
      <c r="G200" s="15"/>
      <c r="H200" s="15"/>
      <c r="I200" s="15"/>
      <c r="J200" s="15"/>
      <c r="K200" s="15" t="s">
        <v>373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>
      <c r="A201" s="15" t="s">
        <v>7</v>
      </c>
      <c r="B201" s="15" t="s">
        <v>566</v>
      </c>
      <c r="C201" s="15" t="s">
        <v>596</v>
      </c>
      <c r="D201" s="15" t="s">
        <v>367</v>
      </c>
      <c r="E201" s="15" t="s">
        <v>367</v>
      </c>
      <c r="F201" s="15" t="s">
        <v>374</v>
      </c>
      <c r="G201" s="15"/>
      <c r="H201" s="15"/>
      <c r="I201" s="15"/>
      <c r="J201" s="15"/>
      <c r="K201" s="15" t="s">
        <v>347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>
      <c r="A202" s="15" t="s">
        <v>7</v>
      </c>
      <c r="B202" s="15" t="s">
        <v>566</v>
      </c>
      <c r="C202" s="15" t="s">
        <v>596</v>
      </c>
      <c r="D202" s="15" t="s">
        <v>367</v>
      </c>
      <c r="E202" s="15" t="s">
        <v>367</v>
      </c>
      <c r="F202" s="15" t="s">
        <v>375</v>
      </c>
      <c r="G202" s="15"/>
      <c r="H202" s="15"/>
      <c r="I202" s="15"/>
      <c r="J202" s="15"/>
      <c r="K202" s="15" t="s">
        <v>347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>
      <c r="A203" s="15" t="s">
        <v>7</v>
      </c>
      <c r="B203" s="15" t="s">
        <v>566</v>
      </c>
      <c r="C203" s="15" t="s">
        <v>596</v>
      </c>
      <c r="D203" s="15" t="s">
        <v>367</v>
      </c>
      <c r="E203" s="15" t="s">
        <v>367</v>
      </c>
      <c r="F203" s="15" t="s">
        <v>376</v>
      </c>
      <c r="G203" s="15"/>
      <c r="H203" s="15"/>
      <c r="I203" s="15"/>
      <c r="J203" s="15"/>
      <c r="K203" s="15" t="s">
        <v>347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>
      <c r="A204" s="15" t="s">
        <v>7</v>
      </c>
      <c r="B204" s="15" t="s">
        <v>566</v>
      </c>
      <c r="C204" s="15" t="s">
        <v>596</v>
      </c>
      <c r="D204" s="15" t="s">
        <v>369</v>
      </c>
      <c r="E204" s="15" t="s">
        <v>369</v>
      </c>
      <c r="F204" s="15" t="s">
        <v>377</v>
      </c>
      <c r="G204" s="15"/>
      <c r="H204" s="15"/>
      <c r="I204" s="15"/>
      <c r="J204" s="15"/>
      <c r="K204" s="15" t="s">
        <v>348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>
      <c r="A205" s="15" t="s">
        <v>7</v>
      </c>
      <c r="B205" s="15" t="s">
        <v>566</v>
      </c>
      <c r="C205" s="15" t="s">
        <v>596</v>
      </c>
      <c r="D205" s="15" t="s">
        <v>369</v>
      </c>
      <c r="E205" s="15" t="s">
        <v>369</v>
      </c>
      <c r="F205" s="15" t="s">
        <v>378</v>
      </c>
      <c r="G205" s="15"/>
      <c r="H205" s="15"/>
      <c r="I205" s="15"/>
      <c r="J205" s="15"/>
      <c r="K205" s="15" t="s">
        <v>348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>
      <c r="A206" s="15" t="s">
        <v>338</v>
      </c>
      <c r="B206" s="15" t="s">
        <v>566</v>
      </c>
      <c r="C206" s="15" t="s">
        <v>596</v>
      </c>
      <c r="D206" s="15" t="s">
        <v>367</v>
      </c>
      <c r="E206" s="15" t="s">
        <v>367</v>
      </c>
      <c r="F206" s="15" t="s">
        <v>374</v>
      </c>
      <c r="G206" s="15"/>
      <c r="H206" s="15"/>
      <c r="I206" s="15"/>
      <c r="J206" s="15"/>
      <c r="K206" s="15" t="s">
        <v>347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>
      <c r="A207" s="15" t="s">
        <v>338</v>
      </c>
      <c r="B207" s="15" t="s">
        <v>566</v>
      </c>
      <c r="C207" s="15" t="s">
        <v>596</v>
      </c>
      <c r="D207" s="15" t="s">
        <v>367</v>
      </c>
      <c r="E207" s="15" t="s">
        <v>367</v>
      </c>
      <c r="F207" s="15" t="s">
        <v>375</v>
      </c>
      <c r="G207" s="15"/>
      <c r="H207" s="15"/>
      <c r="I207" s="15"/>
      <c r="J207" s="15"/>
      <c r="K207" s="15" t="s">
        <v>347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>
      <c r="A208" s="15" t="s">
        <v>338</v>
      </c>
      <c r="B208" s="15" t="s">
        <v>566</v>
      </c>
      <c r="C208" s="15" t="s">
        <v>596</v>
      </c>
      <c r="D208" s="15" t="s">
        <v>367</v>
      </c>
      <c r="E208" s="15" t="s">
        <v>367</v>
      </c>
      <c r="F208" s="15" t="s">
        <v>376</v>
      </c>
      <c r="G208" s="15"/>
      <c r="H208" s="15"/>
      <c r="I208" s="15"/>
      <c r="J208" s="15"/>
      <c r="K208" s="15" t="s">
        <v>347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>
      <c r="A209" s="15" t="s">
        <v>338</v>
      </c>
      <c r="B209" s="15" t="s">
        <v>566</v>
      </c>
      <c r="C209" s="15" t="s">
        <v>596</v>
      </c>
      <c r="D209" s="15" t="s">
        <v>369</v>
      </c>
      <c r="E209" s="15" t="s">
        <v>369</v>
      </c>
      <c r="F209" s="15" t="s">
        <v>377</v>
      </c>
      <c r="G209" s="15"/>
      <c r="H209" s="15"/>
      <c r="I209" s="15"/>
      <c r="J209" s="15"/>
      <c r="K209" s="15" t="s">
        <v>348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>
      <c r="A210" s="15" t="s">
        <v>338</v>
      </c>
      <c r="B210" s="15" t="s">
        <v>566</v>
      </c>
      <c r="C210" s="15" t="s">
        <v>596</v>
      </c>
      <c r="D210" s="15" t="s">
        <v>369</v>
      </c>
      <c r="E210" s="15" t="s">
        <v>369</v>
      </c>
      <c r="F210" s="15" t="s">
        <v>378</v>
      </c>
      <c r="G210" s="15"/>
      <c r="H210" s="15"/>
      <c r="I210" s="15"/>
      <c r="J210" s="15"/>
      <c r="K210" s="15" t="s">
        <v>348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>
      <c r="A211" s="15" t="s">
        <v>23</v>
      </c>
      <c r="B211" s="15" t="s">
        <v>566</v>
      </c>
      <c r="C211" s="15" t="s">
        <v>596</v>
      </c>
      <c r="D211" s="15" t="s">
        <v>367</v>
      </c>
      <c r="E211" s="15" t="s">
        <v>367</v>
      </c>
      <c r="F211" s="15" t="s">
        <v>368</v>
      </c>
      <c r="G211" s="15"/>
      <c r="H211" s="15"/>
      <c r="I211" s="15"/>
      <c r="J211" s="15"/>
      <c r="K211" s="15" t="s">
        <v>347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>
      <c r="A212" s="15" t="s">
        <v>23</v>
      </c>
      <c r="B212" s="15" t="s">
        <v>566</v>
      </c>
      <c r="C212" s="15" t="s">
        <v>596</v>
      </c>
      <c r="D212" s="15" t="s">
        <v>367</v>
      </c>
      <c r="E212" s="15" t="s">
        <v>367</v>
      </c>
      <c r="F212" s="15" t="s">
        <v>368</v>
      </c>
      <c r="G212" s="15"/>
      <c r="H212" s="15"/>
      <c r="I212" s="15"/>
      <c r="J212" s="15"/>
      <c r="K212" s="15" t="s">
        <v>347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>
      <c r="A213" s="15" t="s">
        <v>20</v>
      </c>
      <c r="B213" s="15" t="s">
        <v>566</v>
      </c>
      <c r="C213" s="15" t="s">
        <v>594</v>
      </c>
      <c r="D213" s="15" t="s">
        <v>369</v>
      </c>
      <c r="E213" s="15" t="s">
        <v>514</v>
      </c>
      <c r="F213" s="15" t="s">
        <v>370</v>
      </c>
      <c r="G213" s="15"/>
      <c r="H213" s="15"/>
      <c r="I213" s="15"/>
      <c r="J213" s="15"/>
      <c r="K213" s="15" t="s">
        <v>348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>
      <c r="A214" s="15" t="s">
        <v>19</v>
      </c>
      <c r="B214" s="15" t="s">
        <v>566</v>
      </c>
      <c r="C214" s="15" t="s">
        <v>594</v>
      </c>
      <c r="D214" s="15" t="s">
        <v>369</v>
      </c>
      <c r="E214" s="15" t="s">
        <v>514</v>
      </c>
      <c r="F214" s="15" t="s">
        <v>370</v>
      </c>
      <c r="G214" s="15"/>
      <c r="H214" s="15"/>
      <c r="I214" s="15"/>
      <c r="J214" s="15"/>
      <c r="K214" s="15" t="s">
        <v>348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>
      <c r="A215" s="15" t="s">
        <v>341</v>
      </c>
      <c r="B215" s="15" t="s">
        <v>566</v>
      </c>
      <c r="C215" s="15" t="s">
        <v>391</v>
      </c>
      <c r="D215" s="15" t="s">
        <v>367</v>
      </c>
      <c r="E215" s="15" t="s">
        <v>404</v>
      </c>
      <c r="F215" s="15" t="s">
        <v>371</v>
      </c>
      <c r="G215" s="15"/>
      <c r="H215" s="15"/>
      <c r="I215" s="15"/>
      <c r="J215" s="15"/>
      <c r="K215" s="15" t="s">
        <v>347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>
      <c r="A216" s="15" t="s">
        <v>338</v>
      </c>
      <c r="B216" s="15" t="s">
        <v>566</v>
      </c>
      <c r="C216" s="15" t="s">
        <v>596</v>
      </c>
      <c r="D216" s="15" t="s">
        <v>342</v>
      </c>
      <c r="E216" s="15" t="s">
        <v>342</v>
      </c>
      <c r="F216" s="15" t="s">
        <v>379</v>
      </c>
      <c r="G216" s="15"/>
      <c r="H216" s="15"/>
      <c r="I216" s="15"/>
      <c r="J216" s="15"/>
      <c r="K216" s="15" t="s">
        <v>380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>
      <c r="A217" s="15" t="s">
        <v>24</v>
      </c>
      <c r="B217" s="15" t="s">
        <v>566</v>
      </c>
      <c r="C217" s="15" t="s">
        <v>596</v>
      </c>
      <c r="D217" s="15" t="s">
        <v>342</v>
      </c>
      <c r="E217" s="15" t="s">
        <v>342</v>
      </c>
      <c r="F217" s="15" t="s">
        <v>379</v>
      </c>
      <c r="G217" s="15"/>
      <c r="H217" s="15"/>
      <c r="I217" s="15"/>
      <c r="J217" s="15"/>
      <c r="K217" s="15" t="s">
        <v>382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>
      <c r="A218" s="15" t="s">
        <v>22</v>
      </c>
      <c r="B218" s="15" t="s">
        <v>566</v>
      </c>
      <c r="C218" s="15" t="s">
        <v>596</v>
      </c>
      <c r="D218" s="15" t="s">
        <v>342</v>
      </c>
      <c r="E218" s="15" t="s">
        <v>342</v>
      </c>
      <c r="F218" s="15" t="s">
        <v>379</v>
      </c>
      <c r="G218" s="15"/>
      <c r="H218" s="15"/>
      <c r="I218" s="15"/>
      <c r="J218" s="15"/>
      <c r="K218" s="15" t="s">
        <v>348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>
      <c r="A219" s="15" t="s">
        <v>350</v>
      </c>
      <c r="B219" s="15" t="s">
        <v>566</v>
      </c>
      <c r="C219" s="15" t="s">
        <v>596</v>
      </c>
      <c r="D219" s="15" t="s">
        <v>342</v>
      </c>
      <c r="E219" s="15" t="s">
        <v>342</v>
      </c>
      <c r="F219" s="15" t="s">
        <v>379</v>
      </c>
      <c r="G219" s="15"/>
      <c r="H219" s="15"/>
      <c r="I219" s="15"/>
      <c r="J219" s="15"/>
      <c r="K219" s="15" t="s">
        <v>382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>
      <c r="A220" s="15" t="s">
        <v>7</v>
      </c>
      <c r="B220" s="15" t="s">
        <v>566</v>
      </c>
      <c r="C220" s="15" t="s">
        <v>596</v>
      </c>
      <c r="D220" s="15" t="s">
        <v>342</v>
      </c>
      <c r="E220" s="15" t="s">
        <v>342</v>
      </c>
      <c r="F220" s="15" t="s">
        <v>379</v>
      </c>
      <c r="G220" s="15"/>
      <c r="H220" s="15"/>
      <c r="I220" s="15"/>
      <c r="J220" s="15">
        <v>1</v>
      </c>
      <c r="K220" s="15" t="s">
        <v>380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>
      <c r="A221" s="15" t="s">
        <v>338</v>
      </c>
      <c r="B221" s="15" t="s">
        <v>566</v>
      </c>
      <c r="C221" s="15" t="s">
        <v>596</v>
      </c>
      <c r="D221" s="15" t="s">
        <v>342</v>
      </c>
      <c r="E221" s="15" t="s">
        <v>342</v>
      </c>
      <c r="F221" s="15" t="s">
        <v>379</v>
      </c>
      <c r="G221" s="15"/>
      <c r="H221" s="15"/>
      <c r="I221" s="15"/>
      <c r="J221" s="15"/>
      <c r="K221" s="15" t="s">
        <v>380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>
      <c r="A222" s="15" t="s">
        <v>39</v>
      </c>
      <c r="B222" s="15" t="s">
        <v>566</v>
      </c>
      <c r="C222" s="15" t="s">
        <v>596</v>
      </c>
      <c r="D222" s="15" t="s">
        <v>342</v>
      </c>
      <c r="E222" s="15" t="s">
        <v>342</v>
      </c>
      <c r="F222" s="15" t="s">
        <v>379</v>
      </c>
      <c r="G222" s="15"/>
      <c r="H222" s="15"/>
      <c r="I222" s="15"/>
      <c r="J222" s="15"/>
      <c r="K222" s="15" t="s">
        <v>382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>
      <c r="A223" s="15" t="s">
        <v>351</v>
      </c>
      <c r="B223" s="15" t="s">
        <v>566</v>
      </c>
      <c r="C223" s="15" t="s">
        <v>596</v>
      </c>
      <c r="D223" s="15" t="s">
        <v>342</v>
      </c>
      <c r="E223" s="15" t="s">
        <v>342</v>
      </c>
      <c r="F223" s="15" t="s">
        <v>379</v>
      </c>
      <c r="G223" s="15"/>
      <c r="H223" s="15"/>
      <c r="I223" s="15"/>
      <c r="J223" s="15"/>
      <c r="K223" s="15" t="s">
        <v>382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>
      <c r="A224" s="15" t="s">
        <v>122</v>
      </c>
      <c r="B224" s="15" t="s">
        <v>566</v>
      </c>
      <c r="C224" s="15" t="s">
        <v>596</v>
      </c>
      <c r="D224" s="15" t="s">
        <v>342</v>
      </c>
      <c r="E224" s="15" t="s">
        <v>342</v>
      </c>
      <c r="F224" s="15" t="s">
        <v>379</v>
      </c>
      <c r="G224" s="15"/>
      <c r="H224" s="15"/>
      <c r="I224" s="15"/>
      <c r="J224" s="15"/>
      <c r="K224" s="15" t="s">
        <v>348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>
      <c r="A225" s="15" t="s">
        <v>97</v>
      </c>
      <c r="B225" s="15" t="s">
        <v>566</v>
      </c>
      <c r="C225" s="15" t="s">
        <v>596</v>
      </c>
      <c r="D225" s="15" t="s">
        <v>342</v>
      </c>
      <c r="E225" s="15" t="s">
        <v>342</v>
      </c>
      <c r="F225" s="15" t="s">
        <v>379</v>
      </c>
      <c r="G225" s="15"/>
      <c r="H225" s="15"/>
      <c r="I225" s="15"/>
      <c r="J225" s="15"/>
      <c r="K225" s="15" t="s">
        <v>348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>
      <c r="A226" s="15" t="s">
        <v>58</v>
      </c>
      <c r="B226" s="15" t="s">
        <v>566</v>
      </c>
      <c r="C226" s="15" t="s">
        <v>596</v>
      </c>
      <c r="D226" s="15" t="s">
        <v>342</v>
      </c>
      <c r="E226" s="15" t="s">
        <v>342</v>
      </c>
      <c r="F226" s="15" t="s">
        <v>379</v>
      </c>
      <c r="G226" s="15"/>
      <c r="H226" s="15"/>
      <c r="I226" s="15"/>
      <c r="J226" s="15"/>
      <c r="K226" s="15" t="s">
        <v>382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>
      <c r="A227" s="15" t="s">
        <v>19</v>
      </c>
      <c r="B227" s="15" t="s">
        <v>566</v>
      </c>
      <c r="C227" s="15" t="s">
        <v>596</v>
      </c>
      <c r="D227" s="15" t="s">
        <v>342</v>
      </c>
      <c r="E227" s="15" t="s">
        <v>342</v>
      </c>
      <c r="F227" s="15" t="s">
        <v>379</v>
      </c>
      <c r="G227" s="15"/>
      <c r="H227" s="15"/>
      <c r="I227" s="15"/>
      <c r="J227" s="15"/>
      <c r="K227" s="15" t="s">
        <v>348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>
      <c r="A228" s="15" t="s">
        <v>54</v>
      </c>
      <c r="B228" s="15" t="s">
        <v>566</v>
      </c>
      <c r="C228" s="15" t="s">
        <v>596</v>
      </c>
      <c r="D228" s="15" t="s">
        <v>342</v>
      </c>
      <c r="E228" s="15" t="s">
        <v>342</v>
      </c>
      <c r="F228" s="15" t="s">
        <v>379</v>
      </c>
      <c r="G228" s="15"/>
      <c r="H228" s="15"/>
      <c r="I228" s="15"/>
      <c r="J228" s="15"/>
      <c r="K228" s="15" t="s">
        <v>382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>
      <c r="A229" s="15" t="s">
        <v>7</v>
      </c>
      <c r="B229" s="15" t="s">
        <v>566</v>
      </c>
      <c r="C229" s="15" t="s">
        <v>596</v>
      </c>
      <c r="D229" s="15" t="s">
        <v>328</v>
      </c>
      <c r="E229" s="15" t="s">
        <v>323</v>
      </c>
      <c r="F229" s="15" t="s">
        <v>329</v>
      </c>
      <c r="G229" s="15"/>
      <c r="H229" s="15"/>
      <c r="I229" s="15"/>
      <c r="J229" s="15">
        <v>1</v>
      </c>
      <c r="K229" s="15" t="s">
        <v>384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>
      <c r="A230" s="15" t="s">
        <v>385</v>
      </c>
      <c r="B230" s="15" t="s">
        <v>566</v>
      </c>
      <c r="C230" s="15" t="s">
        <v>391</v>
      </c>
      <c r="D230" s="15" t="s">
        <v>323</v>
      </c>
      <c r="E230" s="15" t="s">
        <v>395</v>
      </c>
      <c r="F230" s="15" t="s">
        <v>331</v>
      </c>
      <c r="G230" s="15"/>
      <c r="H230" s="15" t="s">
        <v>325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>
      <c r="A231" s="15" t="s">
        <v>23</v>
      </c>
      <c r="B231" s="15" t="s">
        <v>566</v>
      </c>
      <c r="C231" s="15" t="s">
        <v>596</v>
      </c>
      <c r="D231" s="15" t="s">
        <v>323</v>
      </c>
      <c r="E231" s="15" t="s">
        <v>323</v>
      </c>
      <c r="F231" s="15" t="s">
        <v>336</v>
      </c>
      <c r="G231" s="15"/>
      <c r="H231" s="15" t="s">
        <v>327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>
      <c r="A232" s="15" t="s">
        <v>338</v>
      </c>
      <c r="B232" s="15" t="s">
        <v>566</v>
      </c>
      <c r="C232" s="15" t="s">
        <v>596</v>
      </c>
      <c r="D232" s="15" t="s">
        <v>369</v>
      </c>
      <c r="E232" s="15" t="s">
        <v>369</v>
      </c>
      <c r="F232" s="15" t="s">
        <v>386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>
      <c r="A233" s="15" t="s">
        <v>388</v>
      </c>
      <c r="B233" s="15" t="s">
        <v>566</v>
      </c>
      <c r="C233" s="15" t="s">
        <v>596</v>
      </c>
      <c r="D233" s="15" t="s">
        <v>323</v>
      </c>
      <c r="E233" s="15" t="s">
        <v>323</v>
      </c>
      <c r="F233" s="15" t="s">
        <v>324</v>
      </c>
      <c r="G233" s="15"/>
      <c r="H233" s="15" t="s">
        <v>325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>
      <c r="A234" s="15" t="s">
        <v>358</v>
      </c>
      <c r="B234" s="15" t="s">
        <v>566</v>
      </c>
      <c r="C234" s="15" t="s">
        <v>596</v>
      </c>
      <c r="D234" s="15" t="s">
        <v>323</v>
      </c>
      <c r="E234" s="15" t="s">
        <v>323</v>
      </c>
      <c r="F234" s="15" t="s">
        <v>324</v>
      </c>
      <c r="G234" s="15"/>
      <c r="H234" s="15" t="s">
        <v>325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>
      <c r="A235" s="15" t="s">
        <v>24</v>
      </c>
      <c r="B235" s="15" t="s">
        <v>566</v>
      </c>
      <c r="C235" s="15" t="s">
        <v>596</v>
      </c>
      <c r="D235" s="15" t="s">
        <v>323</v>
      </c>
      <c r="E235" s="15" t="s">
        <v>323</v>
      </c>
      <c r="F235" s="15" t="s">
        <v>324</v>
      </c>
      <c r="G235" s="15"/>
      <c r="H235" s="15" t="s">
        <v>325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>
      <c r="A236" s="15" t="s">
        <v>59</v>
      </c>
      <c r="B236" s="15" t="s">
        <v>566</v>
      </c>
      <c r="C236" s="15" t="s">
        <v>596</v>
      </c>
      <c r="D236" s="15" t="s">
        <v>323</v>
      </c>
      <c r="E236" s="15" t="s">
        <v>323</v>
      </c>
      <c r="F236" s="15" t="s">
        <v>324</v>
      </c>
      <c r="G236" s="15"/>
      <c r="H236" s="15" t="s">
        <v>325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>
      <c r="A237" s="15" t="s">
        <v>94</v>
      </c>
      <c r="B237" s="15" t="s">
        <v>566</v>
      </c>
      <c r="C237" s="15" t="s">
        <v>596</v>
      </c>
      <c r="D237" s="15" t="s">
        <v>323</v>
      </c>
      <c r="E237" s="15" t="s">
        <v>323</v>
      </c>
      <c r="F237" s="15" t="s">
        <v>324</v>
      </c>
      <c r="G237" s="15"/>
      <c r="H237" s="15" t="s">
        <v>325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>
      <c r="A238" s="15" t="s">
        <v>22</v>
      </c>
      <c r="B238" s="15" t="s">
        <v>566</v>
      </c>
      <c r="C238" s="15" t="s">
        <v>596</v>
      </c>
      <c r="D238" s="15" t="s">
        <v>323</v>
      </c>
      <c r="E238" s="15" t="s">
        <v>323</v>
      </c>
      <c r="F238" s="15" t="s">
        <v>324</v>
      </c>
      <c r="G238" s="15" t="s">
        <v>324</v>
      </c>
      <c r="H238" s="15" t="s">
        <v>325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>
      <c r="A239" s="15" t="s">
        <v>22</v>
      </c>
      <c r="B239" s="15" t="s">
        <v>566</v>
      </c>
      <c r="C239" s="15" t="s">
        <v>596</v>
      </c>
      <c r="D239" s="15" t="s">
        <v>323</v>
      </c>
      <c r="E239" s="15" t="s">
        <v>323</v>
      </c>
      <c r="F239" s="15" t="s">
        <v>324</v>
      </c>
      <c r="G239" s="15" t="s">
        <v>324</v>
      </c>
      <c r="H239" s="15" t="s">
        <v>327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>
      <c r="A240" s="15" t="s">
        <v>27</v>
      </c>
      <c r="B240" s="15" t="s">
        <v>566</v>
      </c>
      <c r="C240" s="15" t="s">
        <v>596</v>
      </c>
      <c r="D240" s="15" t="s">
        <v>323</v>
      </c>
      <c r="E240" s="15" t="s">
        <v>323</v>
      </c>
      <c r="F240" s="15" t="s">
        <v>324</v>
      </c>
      <c r="G240" s="15"/>
      <c r="H240" s="15" t="s">
        <v>325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>
      <c r="A241" s="15" t="s">
        <v>57</v>
      </c>
      <c r="B241" s="15" t="s">
        <v>566</v>
      </c>
      <c r="C241" s="15" t="s">
        <v>596</v>
      </c>
      <c r="D241" s="15" t="s">
        <v>323</v>
      </c>
      <c r="E241" s="15" t="s">
        <v>323</v>
      </c>
      <c r="F241" s="15" t="s">
        <v>324</v>
      </c>
      <c r="G241" s="15"/>
      <c r="H241" s="15" t="s">
        <v>325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>
      <c r="A242" s="15" t="s">
        <v>355</v>
      </c>
      <c r="B242" s="15" t="s">
        <v>566</v>
      </c>
      <c r="C242" s="15" t="s">
        <v>596</v>
      </c>
      <c r="D242" s="15" t="s">
        <v>323</v>
      </c>
      <c r="E242" s="15" t="s">
        <v>323</v>
      </c>
      <c r="F242" s="15" t="s">
        <v>324</v>
      </c>
      <c r="G242" s="15"/>
      <c r="H242" s="15" t="s">
        <v>325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>
      <c r="A243" s="15" t="s">
        <v>29</v>
      </c>
      <c r="B243" s="15" t="s">
        <v>566</v>
      </c>
      <c r="C243" s="15" t="s">
        <v>596</v>
      </c>
      <c r="D243" s="15" t="s">
        <v>323</v>
      </c>
      <c r="E243" s="15" t="s">
        <v>323</v>
      </c>
      <c r="F243" s="15" t="s">
        <v>324</v>
      </c>
      <c r="G243" s="15"/>
      <c r="H243" s="15" t="s">
        <v>325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>
      <c r="A244" s="15" t="s">
        <v>7</v>
      </c>
      <c r="B244" s="15" t="s">
        <v>566</v>
      </c>
      <c r="C244" s="15" t="s">
        <v>596</v>
      </c>
      <c r="D244" s="15" t="s">
        <v>323</v>
      </c>
      <c r="E244" s="15" t="s">
        <v>323</v>
      </c>
      <c r="F244" s="15" t="s">
        <v>324</v>
      </c>
      <c r="G244" s="15"/>
      <c r="H244" s="15" t="s">
        <v>325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>
      <c r="A245" s="15" t="s">
        <v>7</v>
      </c>
      <c r="B245" s="15" t="s">
        <v>566</v>
      </c>
      <c r="C245" s="15" t="s">
        <v>596</v>
      </c>
      <c r="D245" s="15" t="s">
        <v>323</v>
      </c>
      <c r="E245" s="15" t="s">
        <v>323</v>
      </c>
      <c r="F245" s="15" t="s">
        <v>324</v>
      </c>
      <c r="G245" s="15"/>
      <c r="H245" s="15" t="s">
        <v>327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>
      <c r="A246" s="15" t="s">
        <v>338</v>
      </c>
      <c r="B246" s="15" t="s">
        <v>566</v>
      </c>
      <c r="C246" s="15" t="s">
        <v>596</v>
      </c>
      <c r="D246" s="15" t="s">
        <v>323</v>
      </c>
      <c r="E246" s="15" t="s">
        <v>323</v>
      </c>
      <c r="F246" s="15" t="s">
        <v>324</v>
      </c>
      <c r="G246" s="15"/>
      <c r="H246" s="15" t="s">
        <v>327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>
      <c r="A247" s="15" t="s">
        <v>23</v>
      </c>
      <c r="B247" s="15" t="s">
        <v>566</v>
      </c>
      <c r="C247" s="15" t="s">
        <v>596</v>
      </c>
      <c r="D247" s="15" t="s">
        <v>323</v>
      </c>
      <c r="E247" s="15" t="s">
        <v>323</v>
      </c>
      <c r="F247" s="15" t="s">
        <v>324</v>
      </c>
      <c r="G247" s="15"/>
      <c r="H247" s="15" t="s">
        <v>325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>
      <c r="A248" s="15" t="s">
        <v>157</v>
      </c>
      <c r="B248" s="15" t="s">
        <v>566</v>
      </c>
      <c r="C248" s="15" t="s">
        <v>596</v>
      </c>
      <c r="D248" s="15" t="s">
        <v>323</v>
      </c>
      <c r="E248" s="15" t="s">
        <v>323</v>
      </c>
      <c r="F248" s="15" t="s">
        <v>324</v>
      </c>
      <c r="G248" s="15"/>
      <c r="H248" s="15" t="s">
        <v>325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>
      <c r="A249" s="15" t="s">
        <v>20</v>
      </c>
      <c r="B249" s="15" t="s">
        <v>566</v>
      </c>
      <c r="C249" s="15" t="s">
        <v>596</v>
      </c>
      <c r="D249" s="15" t="s">
        <v>323</v>
      </c>
      <c r="E249" s="15" t="s">
        <v>323</v>
      </c>
      <c r="F249" s="15" t="s">
        <v>324</v>
      </c>
      <c r="G249" s="15" t="s">
        <v>324</v>
      </c>
      <c r="H249" s="15" t="s">
        <v>325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>
      <c r="A250" s="15" t="s">
        <v>109</v>
      </c>
      <c r="B250" s="15" t="s">
        <v>566</v>
      </c>
      <c r="C250" s="15" t="s">
        <v>596</v>
      </c>
      <c r="D250" s="15" t="s">
        <v>323</v>
      </c>
      <c r="E250" s="15" t="s">
        <v>323</v>
      </c>
      <c r="F250" s="15" t="s">
        <v>324</v>
      </c>
      <c r="G250" s="15"/>
      <c r="H250" s="15" t="s">
        <v>325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>
      <c r="A251" s="15" t="s">
        <v>97</v>
      </c>
      <c r="B251" s="15" t="s">
        <v>566</v>
      </c>
      <c r="C251" s="15" t="s">
        <v>596</v>
      </c>
      <c r="D251" s="15" t="s">
        <v>323</v>
      </c>
      <c r="E251" s="15" t="s">
        <v>323</v>
      </c>
      <c r="F251" s="15" t="s">
        <v>324</v>
      </c>
      <c r="G251" s="15"/>
      <c r="H251" s="15" t="s">
        <v>325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>
      <c r="A252" s="15" t="s">
        <v>58</v>
      </c>
      <c r="B252" s="15" t="s">
        <v>566</v>
      </c>
      <c r="C252" s="15" t="s">
        <v>596</v>
      </c>
      <c r="D252" s="15" t="s">
        <v>323</v>
      </c>
      <c r="E252" s="15" t="s">
        <v>323</v>
      </c>
      <c r="F252" s="15" t="s">
        <v>324</v>
      </c>
      <c r="G252" s="15"/>
      <c r="H252" s="15" t="s">
        <v>327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>
      <c r="A253" s="15" t="s">
        <v>19</v>
      </c>
      <c r="B253" s="15" t="s">
        <v>566</v>
      </c>
      <c r="C253" s="15" t="s">
        <v>596</v>
      </c>
      <c r="D253" s="15" t="s">
        <v>323</v>
      </c>
      <c r="E253" s="15" t="s">
        <v>323</v>
      </c>
      <c r="F253" s="15" t="s">
        <v>324</v>
      </c>
      <c r="G253" s="15" t="s">
        <v>324</v>
      </c>
      <c r="H253" s="15" t="s">
        <v>327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>
      <c r="A254" s="15" t="s">
        <v>390</v>
      </c>
      <c r="B254" s="15" t="s">
        <v>566</v>
      </c>
      <c r="C254" s="15" t="s">
        <v>596</v>
      </c>
      <c r="D254" s="15" t="s">
        <v>323</v>
      </c>
      <c r="E254" s="15" t="s">
        <v>323</v>
      </c>
      <c r="F254" s="15" t="s">
        <v>324</v>
      </c>
      <c r="G254" s="15"/>
      <c r="H254" s="15" t="s">
        <v>325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>
      <c r="A255" s="15" t="s">
        <v>111</v>
      </c>
      <c r="B255" s="15" t="s">
        <v>566</v>
      </c>
      <c r="C255" s="15" t="s">
        <v>596</v>
      </c>
      <c r="D255" s="15" t="s">
        <v>323</v>
      </c>
      <c r="E255" s="15" t="s">
        <v>323</v>
      </c>
      <c r="F255" s="15" t="s">
        <v>324</v>
      </c>
      <c r="G255" s="15"/>
      <c r="H255" s="15" t="s">
        <v>325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>
      <c r="A256" s="15" t="s">
        <v>341</v>
      </c>
      <c r="B256" s="15" t="s">
        <v>566</v>
      </c>
      <c r="C256" s="15" t="s">
        <v>596</v>
      </c>
      <c r="D256" s="15" t="s">
        <v>323</v>
      </c>
      <c r="E256" s="15" t="s">
        <v>323</v>
      </c>
      <c r="F256" s="15" t="s">
        <v>324</v>
      </c>
      <c r="G256" s="15"/>
      <c r="H256" s="15" t="s">
        <v>325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>
      <c r="A257" s="15" t="s">
        <v>54</v>
      </c>
      <c r="B257" s="15" t="s">
        <v>566</v>
      </c>
      <c r="C257" s="15" t="s">
        <v>596</v>
      </c>
      <c r="D257" s="15" t="s">
        <v>323</v>
      </c>
      <c r="E257" s="15" t="s">
        <v>323</v>
      </c>
      <c r="F257" s="15" t="s">
        <v>324</v>
      </c>
      <c r="G257" s="15"/>
      <c r="H257" s="15" t="s">
        <v>325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>
      <c r="A258" s="15" t="s">
        <v>54</v>
      </c>
      <c r="B258" s="15" t="s">
        <v>566</v>
      </c>
      <c r="C258" s="15" t="s">
        <v>596</v>
      </c>
      <c r="D258" s="15" t="s">
        <v>323</v>
      </c>
      <c r="E258" s="15" t="s">
        <v>323</v>
      </c>
      <c r="F258" s="15" t="s">
        <v>324</v>
      </c>
      <c r="G258" s="15"/>
      <c r="H258" s="15" t="s">
        <v>327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>
      <c r="A259" s="15" t="s">
        <v>20</v>
      </c>
      <c r="B259" s="15" t="s">
        <v>566</v>
      </c>
      <c r="C259" s="15" t="s">
        <v>594</v>
      </c>
      <c r="D259" s="15" t="s">
        <v>323</v>
      </c>
      <c r="E259" s="15" t="s">
        <v>500</v>
      </c>
      <c r="F259" s="15" t="s">
        <v>324</v>
      </c>
      <c r="G259" s="15" t="s">
        <v>324</v>
      </c>
      <c r="H259" s="15" t="s">
        <v>325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28.9">
      <c r="A260" s="15" t="s">
        <v>115</v>
      </c>
      <c r="B260" s="15" t="s">
        <v>391</v>
      </c>
      <c r="C260" s="15" t="str">
        <f>B260</f>
        <v>HSR Center</v>
      </c>
      <c r="D260" s="15" t="s">
        <v>392</v>
      </c>
      <c r="E260" s="15" t="str">
        <f>D260</f>
        <v>RADM CEN Grocery RKA+Monetka,Krasnoe i beloe, Kiro</v>
      </c>
      <c r="F260" s="15" t="s">
        <v>393</v>
      </c>
      <c r="G260" s="15"/>
      <c r="H260" s="15" t="s">
        <v>394</v>
      </c>
      <c r="I260" s="15">
        <v>1</v>
      </c>
      <c r="J260" s="15">
        <v>1</v>
      </c>
      <c r="K260" s="15" t="s">
        <v>348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>
      <c r="A261" s="15" t="s">
        <v>112</v>
      </c>
      <c r="B261" s="15" t="s">
        <v>391</v>
      </c>
      <c r="C261" s="15" t="str">
        <f t="shared" ref="C261:C324" si="0">B261</f>
        <v>HSR Center</v>
      </c>
      <c r="D261" s="15" t="s">
        <v>395</v>
      </c>
      <c r="E261" s="15" t="str">
        <f t="shared" ref="E261:E324" si="1">D261</f>
        <v>ASM CEN Fud-trade+Reid-21</v>
      </c>
      <c r="F261" s="15" t="s">
        <v>396</v>
      </c>
      <c r="G261" s="15"/>
      <c r="H261" s="15" t="s">
        <v>394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>
      <c r="A262" s="15" t="s">
        <v>355</v>
      </c>
      <c r="B262" s="15" t="s">
        <v>391</v>
      </c>
      <c r="C262" s="15" t="str">
        <f t="shared" si="0"/>
        <v>HSR Center</v>
      </c>
      <c r="D262" s="15" t="s">
        <v>395</v>
      </c>
      <c r="E262" s="15" t="str">
        <f t="shared" si="1"/>
        <v>ASM CEN Fud-trade+Reid-21</v>
      </c>
      <c r="F262" s="15" t="s">
        <v>397</v>
      </c>
      <c r="G262" s="15"/>
      <c r="H262" s="15" t="s">
        <v>394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>
      <c r="A263" s="15" t="s">
        <v>112</v>
      </c>
      <c r="B263" s="15" t="s">
        <v>391</v>
      </c>
      <c r="C263" s="15" t="str">
        <f t="shared" si="0"/>
        <v>HSR Center</v>
      </c>
      <c r="D263" s="15" t="s">
        <v>395</v>
      </c>
      <c r="E263" s="15" t="str">
        <f t="shared" si="1"/>
        <v>ASM CEN Fud-trade+Reid-21</v>
      </c>
      <c r="F263" s="15" t="s">
        <v>398</v>
      </c>
      <c r="G263" s="15"/>
      <c r="H263" s="15" t="s">
        <v>399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>
      <c r="A264" s="15" t="s">
        <v>124</v>
      </c>
      <c r="B264" s="15" t="s">
        <v>391</v>
      </c>
      <c r="C264" s="15" t="str">
        <f t="shared" si="0"/>
        <v>HSR Center</v>
      </c>
      <c r="D264" s="15" t="s">
        <v>400</v>
      </c>
      <c r="E264" s="15" t="str">
        <f t="shared" si="1"/>
        <v>DDM CEN</v>
      </c>
      <c r="F264" s="15" t="s">
        <v>401</v>
      </c>
      <c r="G264" s="15"/>
      <c r="H264" s="15" t="s">
        <v>402</v>
      </c>
      <c r="I264" s="15">
        <v>1</v>
      </c>
      <c r="J264" s="15">
        <v>1</v>
      </c>
      <c r="K264" s="15" t="s">
        <v>348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28.9">
      <c r="A265" s="15" t="s">
        <v>111</v>
      </c>
      <c r="B265" s="15" t="s">
        <v>391</v>
      </c>
      <c r="C265" s="15" t="str">
        <f t="shared" si="0"/>
        <v>HSR Center</v>
      </c>
      <c r="D265" s="15" t="s">
        <v>392</v>
      </c>
      <c r="E265" s="15" t="str">
        <f t="shared" si="1"/>
        <v>RADM CEN Grocery RKA+Monetka,Krasnoe i beloe, Kiro</v>
      </c>
      <c r="F265" s="15" t="s">
        <v>403</v>
      </c>
      <c r="G265" s="15"/>
      <c r="H265" s="15" t="s">
        <v>394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>
      <c r="A266" s="15" t="s">
        <v>355</v>
      </c>
      <c r="B266" s="15" t="s">
        <v>391</v>
      </c>
      <c r="C266" s="15" t="str">
        <f t="shared" si="0"/>
        <v>HSR Center</v>
      </c>
      <c r="D266" s="15" t="s">
        <v>404</v>
      </c>
      <c r="E266" s="15" t="str">
        <f t="shared" si="1"/>
        <v>TDM CEN Samara</v>
      </c>
      <c r="F266" s="15" t="s">
        <v>405</v>
      </c>
      <c r="G266" s="15"/>
      <c r="H266" s="15"/>
      <c r="I266" s="15"/>
      <c r="J266" s="15"/>
      <c r="K266" s="15" t="s">
        <v>348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>
      <c r="A267" s="15" t="s">
        <v>97</v>
      </c>
      <c r="B267" s="15" t="s">
        <v>391</v>
      </c>
      <c r="C267" s="15" t="str">
        <f t="shared" si="0"/>
        <v>HSR Center</v>
      </c>
      <c r="D267" s="15" t="s">
        <v>404</v>
      </c>
      <c r="E267" s="15" t="str">
        <f t="shared" si="1"/>
        <v>TDM CEN Samara</v>
      </c>
      <c r="F267" s="15" t="s">
        <v>405</v>
      </c>
      <c r="G267" s="15"/>
      <c r="H267" s="15"/>
      <c r="I267" s="15"/>
      <c r="J267" s="15"/>
      <c r="K267" s="15" t="s">
        <v>348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>
      <c r="A268" s="15" t="s">
        <v>107</v>
      </c>
      <c r="B268" s="15" t="s">
        <v>391</v>
      </c>
      <c r="C268" s="15" t="str">
        <f t="shared" si="0"/>
        <v>HSR Center</v>
      </c>
      <c r="D268" s="15" t="s">
        <v>406</v>
      </c>
      <c r="E268" s="15" t="str">
        <f t="shared" si="1"/>
        <v>TDM CEN Chelyabinsk</v>
      </c>
      <c r="F268" s="15" t="s">
        <v>407</v>
      </c>
      <c r="G268" s="15"/>
      <c r="H268" s="15"/>
      <c r="I268" s="15"/>
      <c r="J268" s="15"/>
      <c r="K268" s="15" t="s">
        <v>348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>
      <c r="A269" s="15" t="s">
        <v>122</v>
      </c>
      <c r="B269" s="15" t="s">
        <v>391</v>
      </c>
      <c r="C269" s="15" t="str">
        <f t="shared" si="0"/>
        <v>HSR Center</v>
      </c>
      <c r="D269" s="15" t="s">
        <v>406</v>
      </c>
      <c r="E269" s="15" t="str">
        <f t="shared" si="1"/>
        <v>TDM CEN Chelyabinsk</v>
      </c>
      <c r="F269" s="15" t="s">
        <v>408</v>
      </c>
      <c r="G269" s="15"/>
      <c r="H269" s="15"/>
      <c r="I269" s="15"/>
      <c r="J269" s="15"/>
      <c r="K269" s="15" t="s">
        <v>348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>
      <c r="A270" s="15" t="s">
        <v>122</v>
      </c>
      <c r="B270" s="15" t="s">
        <v>391</v>
      </c>
      <c r="C270" s="15" t="str">
        <f t="shared" si="0"/>
        <v>HSR Center</v>
      </c>
      <c r="D270" s="15" t="s">
        <v>406</v>
      </c>
      <c r="E270" s="15" t="str">
        <f t="shared" si="1"/>
        <v>TDM CEN Chelyabinsk</v>
      </c>
      <c r="F270" s="15" t="s">
        <v>409</v>
      </c>
      <c r="G270" s="15"/>
      <c r="H270" s="15"/>
      <c r="I270" s="15"/>
      <c r="J270" s="15"/>
      <c r="K270" s="15" t="s">
        <v>348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>
      <c r="A271" s="15" t="s">
        <v>106</v>
      </c>
      <c r="B271" s="15" t="s">
        <v>391</v>
      </c>
      <c r="C271" s="15" t="str">
        <f t="shared" si="0"/>
        <v>HSR Center</v>
      </c>
      <c r="D271" s="15" t="s">
        <v>406</v>
      </c>
      <c r="E271" s="15" t="str">
        <f t="shared" si="1"/>
        <v>TDM CEN Chelyabinsk</v>
      </c>
      <c r="F271" s="15" t="s">
        <v>410</v>
      </c>
      <c r="G271" s="15"/>
      <c r="H271" s="15"/>
      <c r="I271" s="15"/>
      <c r="J271" s="15"/>
      <c r="K271" s="15" t="s">
        <v>348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>
      <c r="A272" s="15" t="s">
        <v>390</v>
      </c>
      <c r="B272" s="15" t="s">
        <v>391</v>
      </c>
      <c r="C272" s="15" t="str">
        <f t="shared" si="0"/>
        <v>HSR Center</v>
      </c>
      <c r="D272" s="15" t="s">
        <v>406</v>
      </c>
      <c r="E272" s="15" t="str">
        <f t="shared" si="1"/>
        <v>TDM CEN Chelyabinsk</v>
      </c>
      <c r="F272" s="15" t="s">
        <v>410</v>
      </c>
      <c r="G272" s="15"/>
      <c r="H272" s="15"/>
      <c r="I272" s="15"/>
      <c r="J272" s="15"/>
      <c r="K272" s="15" t="s">
        <v>348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>
      <c r="A273" s="15" t="s">
        <v>109</v>
      </c>
      <c r="B273" s="15" t="s">
        <v>391</v>
      </c>
      <c r="C273" s="15" t="str">
        <f t="shared" si="0"/>
        <v>HSR Center</v>
      </c>
      <c r="D273" s="15" t="s">
        <v>404</v>
      </c>
      <c r="E273" s="15" t="str">
        <f t="shared" si="1"/>
        <v>TDM CEN Samara</v>
      </c>
      <c r="F273" s="15" t="s">
        <v>411</v>
      </c>
      <c r="G273" s="15"/>
      <c r="H273" s="15"/>
      <c r="I273" s="15"/>
      <c r="J273" s="15"/>
      <c r="K273" s="15" t="s">
        <v>348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>
      <c r="A274" s="15" t="s">
        <v>111</v>
      </c>
      <c r="B274" s="15" t="s">
        <v>391</v>
      </c>
      <c r="C274" s="15" t="str">
        <f t="shared" si="0"/>
        <v>HSR Center</v>
      </c>
      <c r="D274" s="15" t="s">
        <v>404</v>
      </c>
      <c r="E274" s="15" t="str">
        <f t="shared" si="1"/>
        <v>TDM CEN Samara</v>
      </c>
      <c r="F274" s="15" t="s">
        <v>411</v>
      </c>
      <c r="G274" s="15"/>
      <c r="H274" s="15"/>
      <c r="I274" s="15"/>
      <c r="J274" s="15"/>
      <c r="K274" s="15" t="s">
        <v>348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>
      <c r="A275" s="15" t="s">
        <v>358</v>
      </c>
      <c r="B275" s="15" t="s">
        <v>391</v>
      </c>
      <c r="C275" s="15" t="str">
        <f t="shared" si="0"/>
        <v>HSR Center</v>
      </c>
      <c r="D275" s="15" t="s">
        <v>404</v>
      </c>
      <c r="E275" s="15" t="str">
        <f t="shared" si="1"/>
        <v>TDM CEN Samara</v>
      </c>
      <c r="F275" s="15" t="s">
        <v>412</v>
      </c>
      <c r="G275" s="15"/>
      <c r="H275" s="15"/>
      <c r="I275" s="15"/>
      <c r="J275" s="15"/>
      <c r="K275" s="15" t="s">
        <v>382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>
      <c r="A276" s="15" t="s">
        <v>112</v>
      </c>
      <c r="B276" s="15" t="s">
        <v>391</v>
      </c>
      <c r="C276" s="15" t="str">
        <f t="shared" si="0"/>
        <v>HSR Center</v>
      </c>
      <c r="D276" s="15" t="s">
        <v>404</v>
      </c>
      <c r="E276" s="15" t="str">
        <f t="shared" si="1"/>
        <v>TDM CEN Samara</v>
      </c>
      <c r="F276" s="15" t="s">
        <v>413</v>
      </c>
      <c r="G276" s="15"/>
      <c r="H276" s="15" t="s">
        <v>394</v>
      </c>
      <c r="I276" s="15">
        <v>1</v>
      </c>
      <c r="J276" s="15"/>
      <c r="K276" s="15" t="s">
        <v>348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>
      <c r="A277" s="15" t="s">
        <v>358</v>
      </c>
      <c r="B277" s="15" t="s">
        <v>391</v>
      </c>
      <c r="C277" s="15" t="str">
        <f t="shared" si="0"/>
        <v>HSR Center</v>
      </c>
      <c r="D277" s="15" t="s">
        <v>395</v>
      </c>
      <c r="E277" s="15" t="str">
        <f t="shared" si="1"/>
        <v>ASM CEN Fud-trade+Reid-21</v>
      </c>
      <c r="F277" s="15" t="s">
        <v>398</v>
      </c>
      <c r="G277" s="15"/>
      <c r="H277" s="15" t="s">
        <v>399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>
      <c r="A278" s="15" t="s">
        <v>106</v>
      </c>
      <c r="B278" s="15" t="s">
        <v>391</v>
      </c>
      <c r="C278" s="15" t="str">
        <f t="shared" si="0"/>
        <v>HSR Center</v>
      </c>
      <c r="D278" s="15" t="s">
        <v>395</v>
      </c>
      <c r="E278" s="15" t="str">
        <f t="shared" si="1"/>
        <v>ASM CEN Fud-trade+Reid-21</v>
      </c>
      <c r="F278" s="15" t="s">
        <v>414</v>
      </c>
      <c r="G278" s="15"/>
      <c r="H278" s="15" t="s">
        <v>394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>
      <c r="A279" s="15" t="s">
        <v>106</v>
      </c>
      <c r="B279" s="15" t="s">
        <v>391</v>
      </c>
      <c r="C279" s="15" t="str">
        <f t="shared" si="0"/>
        <v>HSR Center</v>
      </c>
      <c r="D279" s="15" t="s">
        <v>400</v>
      </c>
      <c r="E279" s="15" t="str">
        <f t="shared" si="1"/>
        <v>DDM CEN</v>
      </c>
      <c r="F279" s="15" t="s">
        <v>415</v>
      </c>
      <c r="G279" s="15"/>
      <c r="H279" s="15" t="s">
        <v>365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>
      <c r="A280" s="15" t="s">
        <v>109</v>
      </c>
      <c r="B280" s="15" t="s">
        <v>391</v>
      </c>
      <c r="C280" s="15" t="str">
        <f t="shared" si="0"/>
        <v>HSR Center</v>
      </c>
      <c r="D280" s="15" t="s">
        <v>395</v>
      </c>
      <c r="E280" s="15" t="str">
        <f t="shared" si="1"/>
        <v>ASM CEN Fud-trade+Reid-21</v>
      </c>
      <c r="F280" s="15" t="s">
        <v>396</v>
      </c>
      <c r="G280" s="15"/>
      <c r="H280" s="15" t="s">
        <v>394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>
      <c r="A281" s="15" t="s">
        <v>109</v>
      </c>
      <c r="B281" s="15" t="s">
        <v>391</v>
      </c>
      <c r="C281" s="15" t="str">
        <f t="shared" si="0"/>
        <v>HSR Center</v>
      </c>
      <c r="D281" s="15" t="s">
        <v>395</v>
      </c>
      <c r="E281" s="15" t="str">
        <f t="shared" si="1"/>
        <v>ASM CEN Fud-trade+Reid-21</v>
      </c>
      <c r="F281" s="15" t="s">
        <v>398</v>
      </c>
      <c r="G281" s="15"/>
      <c r="H281" s="15" t="s">
        <v>399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28.9">
      <c r="A282" s="15" t="s">
        <v>122</v>
      </c>
      <c r="B282" s="15" t="s">
        <v>391</v>
      </c>
      <c r="C282" s="15" t="str">
        <f t="shared" si="0"/>
        <v>HSR Center</v>
      </c>
      <c r="D282" s="15" t="s">
        <v>392</v>
      </c>
      <c r="E282" s="15" t="str">
        <f t="shared" si="1"/>
        <v>RADM CEN Grocery RKA+Monetka,Krasnoe i beloe, Kiro</v>
      </c>
      <c r="F282" s="15" t="s">
        <v>416</v>
      </c>
      <c r="G282" s="15"/>
      <c r="H282" s="15" t="s">
        <v>365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28.9">
      <c r="A283" s="15" t="s">
        <v>122</v>
      </c>
      <c r="B283" s="15" t="s">
        <v>391</v>
      </c>
      <c r="C283" s="15" t="str">
        <f t="shared" si="0"/>
        <v>HSR Center</v>
      </c>
      <c r="D283" s="15" t="s">
        <v>392</v>
      </c>
      <c r="E283" s="15" t="str">
        <f t="shared" si="1"/>
        <v>RADM CEN Grocery RKA+Monetka,Krasnoe i beloe, Kiro</v>
      </c>
      <c r="F283" s="15" t="s">
        <v>417</v>
      </c>
      <c r="G283" s="15"/>
      <c r="H283" s="15" t="s">
        <v>365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>
      <c r="A284" s="15" t="s">
        <v>122</v>
      </c>
      <c r="B284" s="15" t="s">
        <v>391</v>
      </c>
      <c r="C284" s="15" t="str">
        <f t="shared" si="0"/>
        <v>HSR Center</v>
      </c>
      <c r="D284" s="15" t="s">
        <v>400</v>
      </c>
      <c r="E284" s="15" t="str">
        <f t="shared" si="1"/>
        <v>DDM CEN</v>
      </c>
      <c r="F284" s="15" t="s">
        <v>415</v>
      </c>
      <c r="G284" s="15"/>
      <c r="H284" s="15" t="s">
        <v>365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>
      <c r="A285" s="15" t="s">
        <v>122</v>
      </c>
      <c r="B285" s="15" t="s">
        <v>391</v>
      </c>
      <c r="C285" s="15" t="str">
        <f t="shared" si="0"/>
        <v>HSR Center</v>
      </c>
      <c r="D285" s="15" t="s">
        <v>395</v>
      </c>
      <c r="E285" s="15" t="str">
        <f t="shared" si="1"/>
        <v>ASM CEN Fud-trade+Reid-21</v>
      </c>
      <c r="F285" s="15" t="s">
        <v>414</v>
      </c>
      <c r="G285" s="15"/>
      <c r="H285" s="15" t="s">
        <v>394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>
      <c r="A286" s="15" t="s">
        <v>122</v>
      </c>
      <c r="B286" s="15" t="s">
        <v>391</v>
      </c>
      <c r="C286" s="15" t="str">
        <f t="shared" si="0"/>
        <v>HSR Center</v>
      </c>
      <c r="D286" s="15" t="s">
        <v>400</v>
      </c>
      <c r="E286" s="15" t="str">
        <f t="shared" si="1"/>
        <v>DDM CEN</v>
      </c>
      <c r="F286" s="15" t="s">
        <v>401</v>
      </c>
      <c r="G286" s="15"/>
      <c r="H286" s="15" t="s">
        <v>402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>
      <c r="A287" s="15" t="s">
        <v>97</v>
      </c>
      <c r="B287" s="15" t="s">
        <v>391</v>
      </c>
      <c r="C287" s="15" t="str">
        <f t="shared" si="0"/>
        <v>HSR Center</v>
      </c>
      <c r="D287" s="15" t="s">
        <v>395</v>
      </c>
      <c r="E287" s="15" t="str">
        <f t="shared" si="1"/>
        <v>ASM CEN Fud-trade+Reid-21</v>
      </c>
      <c r="F287" s="15" t="s">
        <v>414</v>
      </c>
      <c r="G287" s="15"/>
      <c r="H287" s="15" t="s">
        <v>394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>
      <c r="A288" s="15" t="s">
        <v>97</v>
      </c>
      <c r="B288" s="15" t="s">
        <v>391</v>
      </c>
      <c r="C288" s="15" t="str">
        <f t="shared" si="0"/>
        <v>HSR Center</v>
      </c>
      <c r="D288" s="15" t="s">
        <v>395</v>
      </c>
      <c r="E288" s="15" t="str">
        <f t="shared" si="1"/>
        <v>ASM CEN Fud-trade+Reid-21</v>
      </c>
      <c r="F288" s="15" t="s">
        <v>397</v>
      </c>
      <c r="G288" s="15"/>
      <c r="H288" s="15" t="s">
        <v>394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>
      <c r="A289" s="15" t="s">
        <v>137</v>
      </c>
      <c r="B289" s="15" t="s">
        <v>391</v>
      </c>
      <c r="C289" s="15" t="str">
        <f t="shared" si="0"/>
        <v>HSR Center</v>
      </c>
      <c r="D289" s="15" t="s">
        <v>400</v>
      </c>
      <c r="E289" s="15" t="str">
        <f t="shared" si="1"/>
        <v>DDM CEN</v>
      </c>
      <c r="F289" s="15" t="s">
        <v>418</v>
      </c>
      <c r="G289" s="15"/>
      <c r="H289" s="15" t="s">
        <v>402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>
      <c r="A290" s="15" t="s">
        <v>124</v>
      </c>
      <c r="B290" s="15" t="s">
        <v>391</v>
      </c>
      <c r="C290" s="15" t="str">
        <f t="shared" si="0"/>
        <v>HSR Center</v>
      </c>
      <c r="D290" s="15" t="s">
        <v>400</v>
      </c>
      <c r="E290" s="15" t="str">
        <f t="shared" si="1"/>
        <v>DDM CEN</v>
      </c>
      <c r="F290" s="15" t="s">
        <v>415</v>
      </c>
      <c r="G290" s="15"/>
      <c r="H290" s="15" t="s">
        <v>365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28.9">
      <c r="A291" s="15" t="s">
        <v>124</v>
      </c>
      <c r="B291" s="15" t="s">
        <v>391</v>
      </c>
      <c r="C291" s="15" t="str">
        <f t="shared" si="0"/>
        <v>HSR Center</v>
      </c>
      <c r="D291" s="15" t="s">
        <v>392</v>
      </c>
      <c r="E291" s="15" t="str">
        <f t="shared" si="1"/>
        <v>RADM CEN Grocery RKA+Monetka,Krasnoe i beloe, Kiro</v>
      </c>
      <c r="F291" s="15" t="s">
        <v>393</v>
      </c>
      <c r="G291" s="15"/>
      <c r="H291" s="15" t="s">
        <v>394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>
      <c r="A292" s="15" t="s">
        <v>390</v>
      </c>
      <c r="B292" s="15" t="s">
        <v>391</v>
      </c>
      <c r="C292" s="15" t="str">
        <f t="shared" si="0"/>
        <v>HSR Center</v>
      </c>
      <c r="D292" s="15" t="s">
        <v>395</v>
      </c>
      <c r="E292" s="15" t="str">
        <f t="shared" si="1"/>
        <v>ASM CEN Fud-trade+Reid-21</v>
      </c>
      <c r="F292" s="15" t="s">
        <v>414</v>
      </c>
      <c r="G292" s="15"/>
      <c r="H292" s="15" t="s">
        <v>394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>
      <c r="A293" s="15" t="s">
        <v>390</v>
      </c>
      <c r="B293" s="15" t="s">
        <v>391</v>
      </c>
      <c r="C293" s="15" t="str">
        <f t="shared" si="0"/>
        <v>HSR Center</v>
      </c>
      <c r="D293" s="15" t="s">
        <v>395</v>
      </c>
      <c r="E293" s="15" t="str">
        <f t="shared" si="1"/>
        <v>ASM CEN Fud-trade+Reid-21</v>
      </c>
      <c r="F293" s="15" t="s">
        <v>398</v>
      </c>
      <c r="G293" s="15"/>
      <c r="H293" s="15" t="s">
        <v>399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28.9">
      <c r="A294" s="15" t="s">
        <v>352</v>
      </c>
      <c r="B294" s="15" t="s">
        <v>391</v>
      </c>
      <c r="C294" s="15" t="str">
        <f t="shared" si="0"/>
        <v>HSR Center</v>
      </c>
      <c r="D294" s="15" t="s">
        <v>400</v>
      </c>
      <c r="E294" s="15" t="str">
        <f t="shared" si="1"/>
        <v>DDM CEN</v>
      </c>
      <c r="F294" s="15" t="s">
        <v>418</v>
      </c>
      <c r="G294" s="15"/>
      <c r="H294" s="15" t="s">
        <v>402</v>
      </c>
      <c r="I294" s="15">
        <v>1</v>
      </c>
      <c r="J294" s="15">
        <v>1</v>
      </c>
      <c r="K294" s="15" t="s">
        <v>348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28.9">
      <c r="A295" s="15" t="s">
        <v>107</v>
      </c>
      <c r="B295" s="15" t="s">
        <v>391</v>
      </c>
      <c r="C295" s="15" t="str">
        <f t="shared" si="0"/>
        <v>HSR Center</v>
      </c>
      <c r="D295" s="15" t="s">
        <v>392</v>
      </c>
      <c r="E295" s="15" t="str">
        <f t="shared" si="1"/>
        <v>RADM CEN Grocery RKA+Monetka,Krasnoe i beloe, Kiro</v>
      </c>
      <c r="F295" s="15" t="s">
        <v>416</v>
      </c>
      <c r="G295" s="15"/>
      <c r="H295" s="15" t="s">
        <v>365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>
      <c r="A296" s="15" t="s">
        <v>107</v>
      </c>
      <c r="B296" s="15" t="s">
        <v>391</v>
      </c>
      <c r="C296" s="15" t="str">
        <f t="shared" si="0"/>
        <v>HSR Center</v>
      </c>
      <c r="D296" s="15" t="s">
        <v>395</v>
      </c>
      <c r="E296" s="15" t="str">
        <f t="shared" si="1"/>
        <v>ASM CEN Fud-trade+Reid-21</v>
      </c>
      <c r="F296" s="15" t="s">
        <v>419</v>
      </c>
      <c r="G296" s="15"/>
      <c r="H296" s="15" t="s">
        <v>394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>
      <c r="A297" s="15" t="s">
        <v>107</v>
      </c>
      <c r="B297" s="15" t="s">
        <v>391</v>
      </c>
      <c r="C297" s="15" t="str">
        <f t="shared" si="0"/>
        <v>HSR Center</v>
      </c>
      <c r="D297" s="15" t="s">
        <v>400</v>
      </c>
      <c r="E297" s="15" t="str">
        <f t="shared" si="1"/>
        <v>DDM CEN</v>
      </c>
      <c r="F297" s="15" t="s">
        <v>415</v>
      </c>
      <c r="G297" s="15"/>
      <c r="H297" s="15" t="s">
        <v>365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>
      <c r="A298" s="15" t="s">
        <v>107</v>
      </c>
      <c r="B298" s="15" t="s">
        <v>391</v>
      </c>
      <c r="C298" s="15" t="str">
        <f t="shared" si="0"/>
        <v>HSR Center</v>
      </c>
      <c r="D298" s="15" t="s">
        <v>395</v>
      </c>
      <c r="E298" s="15" t="str">
        <f t="shared" si="1"/>
        <v>ASM CEN Fud-trade+Reid-21</v>
      </c>
      <c r="F298" s="15" t="s">
        <v>398</v>
      </c>
      <c r="G298" s="15"/>
      <c r="H298" s="15" t="s">
        <v>399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>
      <c r="A299" s="15" t="s">
        <v>422</v>
      </c>
      <c r="B299" s="15" t="s">
        <v>391</v>
      </c>
      <c r="C299" s="15" t="str">
        <f t="shared" si="0"/>
        <v>HSR Center</v>
      </c>
      <c r="D299" s="15" t="s">
        <v>400</v>
      </c>
      <c r="E299" s="15" t="str">
        <f t="shared" si="1"/>
        <v>DDM CEN</v>
      </c>
      <c r="F299" s="15" t="s">
        <v>418</v>
      </c>
      <c r="G299" s="15"/>
      <c r="H299" s="15" t="s">
        <v>402</v>
      </c>
      <c r="I299" s="15"/>
      <c r="J299" s="15">
        <v>1</v>
      </c>
      <c r="K299" s="15" t="s">
        <v>348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28.9">
      <c r="A300" s="15" t="s">
        <v>423</v>
      </c>
      <c r="B300" s="15" t="s">
        <v>391</v>
      </c>
      <c r="C300" s="15" t="str">
        <f t="shared" si="0"/>
        <v>HSR Center</v>
      </c>
      <c r="D300" s="15" t="s">
        <v>392</v>
      </c>
      <c r="E300" s="15" t="str">
        <f t="shared" si="1"/>
        <v>RADM CEN Grocery RKA+Monetka,Krasnoe i beloe, Kiro</v>
      </c>
      <c r="F300" s="15" t="s">
        <v>417</v>
      </c>
      <c r="G300" s="15"/>
      <c r="H300" s="15" t="s">
        <v>424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28.9">
      <c r="A301" s="15" t="s">
        <v>423</v>
      </c>
      <c r="B301" s="15" t="s">
        <v>391</v>
      </c>
      <c r="C301" s="15" t="str">
        <f t="shared" si="0"/>
        <v>HSR Center</v>
      </c>
      <c r="D301" s="15" t="s">
        <v>392</v>
      </c>
      <c r="E301" s="15" t="str">
        <f t="shared" si="1"/>
        <v>RADM CEN Grocery RKA+Monetka,Krasnoe i beloe, Kiro</v>
      </c>
      <c r="F301" s="15" t="s">
        <v>417</v>
      </c>
      <c r="G301" s="15"/>
      <c r="H301" s="15" t="s">
        <v>360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28.9">
      <c r="A302" s="15" t="s">
        <v>423</v>
      </c>
      <c r="B302" s="15" t="s">
        <v>391</v>
      </c>
      <c r="C302" s="15" t="str">
        <f t="shared" si="0"/>
        <v>HSR Center</v>
      </c>
      <c r="D302" s="15" t="s">
        <v>392</v>
      </c>
      <c r="E302" s="15" t="str">
        <f t="shared" si="1"/>
        <v>RADM CEN Grocery RKA+Monetka,Krasnoe i beloe, Kiro</v>
      </c>
      <c r="F302" s="15" t="s">
        <v>417</v>
      </c>
      <c r="G302" s="15"/>
      <c r="H302" s="15" t="s">
        <v>394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28.9">
      <c r="A303" s="15" t="s">
        <v>423</v>
      </c>
      <c r="B303" s="15" t="s">
        <v>391</v>
      </c>
      <c r="C303" s="15" t="str">
        <f t="shared" si="0"/>
        <v>HSR Center</v>
      </c>
      <c r="D303" s="15" t="s">
        <v>392</v>
      </c>
      <c r="E303" s="15" t="str">
        <f t="shared" si="1"/>
        <v>RADM CEN Grocery RKA+Monetka,Krasnoe i beloe, Kiro</v>
      </c>
      <c r="F303" s="15" t="s">
        <v>417</v>
      </c>
      <c r="G303" s="15"/>
      <c r="H303" s="15" t="s">
        <v>394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28.9">
      <c r="A304" s="15" t="s">
        <v>179</v>
      </c>
      <c r="B304" s="15" t="s">
        <v>391</v>
      </c>
      <c r="C304" s="15" t="str">
        <f t="shared" si="0"/>
        <v>HSR Center</v>
      </c>
      <c r="D304" s="15" t="s">
        <v>392</v>
      </c>
      <c r="E304" s="15" t="str">
        <f t="shared" si="1"/>
        <v>RADM CEN Grocery RKA+Monetka,Krasnoe i beloe, Kiro</v>
      </c>
      <c r="F304" s="15" t="s">
        <v>417</v>
      </c>
      <c r="G304" s="15"/>
      <c r="H304" s="15" t="s">
        <v>424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28.9">
      <c r="A305" s="15" t="s">
        <v>179</v>
      </c>
      <c r="B305" s="15" t="s">
        <v>391</v>
      </c>
      <c r="C305" s="15" t="str">
        <f t="shared" si="0"/>
        <v>HSR Center</v>
      </c>
      <c r="D305" s="15" t="s">
        <v>392</v>
      </c>
      <c r="E305" s="15" t="str">
        <f t="shared" si="1"/>
        <v>RADM CEN Grocery RKA+Monetka,Krasnoe i beloe, Kiro</v>
      </c>
      <c r="F305" s="15" t="s">
        <v>417</v>
      </c>
      <c r="G305" s="15"/>
      <c r="H305" s="15" t="s">
        <v>394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28.9">
      <c r="A306" s="15" t="s">
        <v>425</v>
      </c>
      <c r="B306" s="15" t="s">
        <v>391</v>
      </c>
      <c r="C306" s="15" t="str">
        <f t="shared" si="0"/>
        <v>HSR Center</v>
      </c>
      <c r="D306" s="15" t="s">
        <v>392</v>
      </c>
      <c r="E306" s="15" t="str">
        <f t="shared" si="1"/>
        <v>RADM CEN Grocery RKA+Monetka,Krasnoe i beloe, Kiro</v>
      </c>
      <c r="F306" s="15" t="s">
        <v>417</v>
      </c>
      <c r="G306" s="15"/>
      <c r="H306" s="15" t="s">
        <v>360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28.9">
      <c r="A307" s="15" t="s">
        <v>425</v>
      </c>
      <c r="B307" s="15" t="s">
        <v>391</v>
      </c>
      <c r="C307" s="15" t="str">
        <f t="shared" si="0"/>
        <v>HSR Center</v>
      </c>
      <c r="D307" s="15" t="s">
        <v>392</v>
      </c>
      <c r="E307" s="15" t="str">
        <f t="shared" si="1"/>
        <v>RADM CEN Grocery RKA+Monetka,Krasnoe i beloe, Kiro</v>
      </c>
      <c r="F307" s="15" t="s">
        <v>417</v>
      </c>
      <c r="G307" s="15"/>
      <c r="H307" s="15" t="s">
        <v>394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28.9">
      <c r="A308" s="15" t="s">
        <v>388</v>
      </c>
      <c r="B308" s="15" t="s">
        <v>391</v>
      </c>
      <c r="C308" s="15" t="str">
        <f t="shared" si="0"/>
        <v>HSR Center</v>
      </c>
      <c r="D308" s="15" t="s">
        <v>392</v>
      </c>
      <c r="E308" s="15" t="str">
        <f t="shared" si="1"/>
        <v>RADM CEN Grocery RKA+Monetka,Krasnoe i beloe, Kiro</v>
      </c>
      <c r="F308" s="15" t="s">
        <v>417</v>
      </c>
      <c r="G308" s="15"/>
      <c r="H308" s="15" t="s">
        <v>360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28.9">
      <c r="A309" s="15" t="s">
        <v>388</v>
      </c>
      <c r="B309" s="15" t="s">
        <v>391</v>
      </c>
      <c r="C309" s="15" t="str">
        <f t="shared" si="0"/>
        <v>HSR Center</v>
      </c>
      <c r="D309" s="15" t="s">
        <v>392</v>
      </c>
      <c r="E309" s="15" t="str">
        <f t="shared" si="1"/>
        <v>RADM CEN Grocery RKA+Monetka,Krasnoe i beloe, Kiro</v>
      </c>
      <c r="F309" s="15" t="s">
        <v>417</v>
      </c>
      <c r="G309" s="15"/>
      <c r="H309" s="15" t="s">
        <v>394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28.9">
      <c r="A310" s="15" t="s">
        <v>85</v>
      </c>
      <c r="B310" s="15" t="s">
        <v>391</v>
      </c>
      <c r="C310" s="15" t="str">
        <f t="shared" si="0"/>
        <v>HSR Center</v>
      </c>
      <c r="D310" s="15" t="s">
        <v>392</v>
      </c>
      <c r="E310" s="15" t="str">
        <f t="shared" si="1"/>
        <v>RADM CEN Grocery RKA+Monetka,Krasnoe i beloe, Kiro</v>
      </c>
      <c r="F310" s="15" t="s">
        <v>417</v>
      </c>
      <c r="G310" s="15"/>
      <c r="H310" s="15" t="s">
        <v>426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28.9">
      <c r="A311" s="15" t="s">
        <v>53</v>
      </c>
      <c r="B311" s="15" t="s">
        <v>391</v>
      </c>
      <c r="C311" s="15" t="str">
        <f t="shared" si="0"/>
        <v>HSR Center</v>
      </c>
      <c r="D311" s="15" t="s">
        <v>392</v>
      </c>
      <c r="E311" s="15" t="str">
        <f t="shared" si="1"/>
        <v>RADM CEN Grocery RKA+Monetka,Krasnoe i beloe, Kiro</v>
      </c>
      <c r="F311" s="15" t="s">
        <v>417</v>
      </c>
      <c r="G311" s="15"/>
      <c r="H311" s="15" t="s">
        <v>427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28.9">
      <c r="A312" s="15" t="s">
        <v>53</v>
      </c>
      <c r="B312" s="15" t="s">
        <v>391</v>
      </c>
      <c r="C312" s="15" t="str">
        <f t="shared" si="0"/>
        <v>HSR Center</v>
      </c>
      <c r="D312" s="15" t="s">
        <v>392</v>
      </c>
      <c r="E312" s="15" t="str">
        <f t="shared" si="1"/>
        <v>RADM CEN Grocery RKA+Monetka,Krasnoe i beloe, Kiro</v>
      </c>
      <c r="F312" s="15" t="s">
        <v>417</v>
      </c>
      <c r="G312" s="15"/>
      <c r="H312" s="15" t="s">
        <v>428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28.9">
      <c r="A313" s="15" t="s">
        <v>171</v>
      </c>
      <c r="B313" s="15" t="s">
        <v>391</v>
      </c>
      <c r="C313" s="15" t="str">
        <f t="shared" si="0"/>
        <v>HSR Center</v>
      </c>
      <c r="D313" s="15" t="s">
        <v>392</v>
      </c>
      <c r="E313" s="15" t="str">
        <f t="shared" si="1"/>
        <v>RADM CEN Grocery RKA+Monetka,Krasnoe i beloe, Kiro</v>
      </c>
      <c r="F313" s="15" t="s">
        <v>417</v>
      </c>
      <c r="G313" s="15"/>
      <c r="H313" s="15" t="s">
        <v>394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28.9">
      <c r="A314" s="15" t="s">
        <v>358</v>
      </c>
      <c r="B314" s="15" t="s">
        <v>391</v>
      </c>
      <c r="C314" s="15" t="str">
        <f t="shared" si="0"/>
        <v>HSR Center</v>
      </c>
      <c r="D314" s="15" t="s">
        <v>392</v>
      </c>
      <c r="E314" s="15" t="str">
        <f t="shared" si="1"/>
        <v>RADM CEN Grocery RKA+Monetka,Krasnoe i beloe, Kiro</v>
      </c>
      <c r="F314" s="15" t="s">
        <v>417</v>
      </c>
      <c r="G314" s="15"/>
      <c r="H314" s="15" t="s">
        <v>399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28.9">
      <c r="A315" s="15" t="s">
        <v>346</v>
      </c>
      <c r="B315" s="15" t="s">
        <v>391</v>
      </c>
      <c r="C315" s="15" t="str">
        <f t="shared" si="0"/>
        <v>HSR Center</v>
      </c>
      <c r="D315" s="15" t="s">
        <v>392</v>
      </c>
      <c r="E315" s="15" t="str">
        <f t="shared" si="1"/>
        <v>RADM CEN Grocery RKA+Monetka,Krasnoe i beloe, Kiro</v>
      </c>
      <c r="F315" s="15" t="s">
        <v>417</v>
      </c>
      <c r="G315" s="15"/>
      <c r="H315" s="15" t="s">
        <v>394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28.9">
      <c r="A316" s="15" t="s">
        <v>146</v>
      </c>
      <c r="B316" s="15" t="s">
        <v>391</v>
      </c>
      <c r="C316" s="15" t="str">
        <f t="shared" si="0"/>
        <v>HSR Center</v>
      </c>
      <c r="D316" s="15" t="s">
        <v>392</v>
      </c>
      <c r="E316" s="15" t="str">
        <f t="shared" si="1"/>
        <v>RADM CEN Grocery RKA+Monetka,Krasnoe i beloe, Kiro</v>
      </c>
      <c r="F316" s="15" t="s">
        <v>417</v>
      </c>
      <c r="G316" s="15"/>
      <c r="H316" s="15" t="s">
        <v>394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28.9">
      <c r="A317" s="15" t="s">
        <v>91</v>
      </c>
      <c r="B317" s="15" t="s">
        <v>391</v>
      </c>
      <c r="C317" s="15" t="str">
        <f t="shared" si="0"/>
        <v>HSR Center</v>
      </c>
      <c r="D317" s="15" t="s">
        <v>392</v>
      </c>
      <c r="E317" s="15" t="str">
        <f t="shared" si="1"/>
        <v>RADM CEN Grocery RKA+Monetka,Krasnoe i beloe, Kiro</v>
      </c>
      <c r="F317" s="15" t="s">
        <v>417</v>
      </c>
      <c r="G317" s="15"/>
      <c r="H317" s="15" t="s">
        <v>429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28.9">
      <c r="A318" s="15" t="s">
        <v>160</v>
      </c>
      <c r="B318" s="15" t="s">
        <v>391</v>
      </c>
      <c r="C318" s="15" t="str">
        <f t="shared" si="0"/>
        <v>HSR Center</v>
      </c>
      <c r="D318" s="15" t="s">
        <v>392</v>
      </c>
      <c r="E318" s="15" t="str">
        <f t="shared" si="1"/>
        <v>RADM CEN Grocery RKA+Monetka,Krasnoe i beloe, Kiro</v>
      </c>
      <c r="F318" s="15" t="s">
        <v>417</v>
      </c>
      <c r="G318" s="15"/>
      <c r="H318" s="15" t="s">
        <v>394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28.9">
      <c r="A319" s="15" t="s">
        <v>51</v>
      </c>
      <c r="B319" s="15" t="s">
        <v>391</v>
      </c>
      <c r="C319" s="15" t="str">
        <f t="shared" si="0"/>
        <v>HSR Center</v>
      </c>
      <c r="D319" s="15" t="s">
        <v>392</v>
      </c>
      <c r="E319" s="15" t="str">
        <f t="shared" si="1"/>
        <v>RADM CEN Grocery RKA+Monetka,Krasnoe i beloe, Kiro</v>
      </c>
      <c r="F319" s="15" t="s">
        <v>417</v>
      </c>
      <c r="G319" s="15"/>
      <c r="H319" s="15" t="s">
        <v>427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28.9">
      <c r="A320" s="15" t="s">
        <v>51</v>
      </c>
      <c r="B320" s="15" t="s">
        <v>391</v>
      </c>
      <c r="C320" s="15" t="str">
        <f t="shared" si="0"/>
        <v>HSR Center</v>
      </c>
      <c r="D320" s="15" t="s">
        <v>392</v>
      </c>
      <c r="E320" s="15" t="str">
        <f t="shared" si="1"/>
        <v>RADM CEN Grocery RKA+Monetka,Krasnoe i beloe, Kiro</v>
      </c>
      <c r="F320" s="15" t="s">
        <v>417</v>
      </c>
      <c r="G320" s="15"/>
      <c r="H320" s="15" t="s">
        <v>428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28.9">
      <c r="A321" s="15" t="s">
        <v>153</v>
      </c>
      <c r="B321" s="15" t="s">
        <v>391</v>
      </c>
      <c r="C321" s="15" t="str">
        <f t="shared" si="0"/>
        <v>HSR Center</v>
      </c>
      <c r="D321" s="15" t="s">
        <v>392</v>
      </c>
      <c r="E321" s="15" t="str">
        <f t="shared" si="1"/>
        <v>RADM CEN Grocery RKA+Monetka,Krasnoe i beloe, Kiro</v>
      </c>
      <c r="F321" s="15" t="s">
        <v>417</v>
      </c>
      <c r="G321" s="15"/>
      <c r="H321" s="15" t="s">
        <v>394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28.9">
      <c r="A322" s="15" t="s">
        <v>430</v>
      </c>
      <c r="B322" s="15" t="s">
        <v>391</v>
      </c>
      <c r="C322" s="15" t="str">
        <f t="shared" si="0"/>
        <v>HSR Center</v>
      </c>
      <c r="D322" s="15" t="s">
        <v>392</v>
      </c>
      <c r="E322" s="15" t="str">
        <f t="shared" si="1"/>
        <v>RADM CEN Grocery RKA+Monetka,Krasnoe i beloe, Kiro</v>
      </c>
      <c r="F322" s="15" t="s">
        <v>417</v>
      </c>
      <c r="G322" s="15"/>
      <c r="H322" s="15" t="s">
        <v>429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28.9">
      <c r="A323" s="15" t="s">
        <v>59</v>
      </c>
      <c r="B323" s="15" t="s">
        <v>391</v>
      </c>
      <c r="C323" s="15" t="str">
        <f t="shared" si="0"/>
        <v>HSR Center</v>
      </c>
      <c r="D323" s="15" t="s">
        <v>392</v>
      </c>
      <c r="E323" s="15" t="str">
        <f t="shared" si="1"/>
        <v>RADM CEN Grocery RKA+Monetka,Krasnoe i beloe, Kiro</v>
      </c>
      <c r="F323" s="15" t="s">
        <v>417</v>
      </c>
      <c r="G323" s="15"/>
      <c r="H323" s="15" t="s">
        <v>431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28.9">
      <c r="A324" s="15" t="s">
        <v>94</v>
      </c>
      <c r="B324" s="15" t="s">
        <v>391</v>
      </c>
      <c r="C324" s="15" t="str">
        <f t="shared" si="0"/>
        <v>HSR Center</v>
      </c>
      <c r="D324" s="15" t="s">
        <v>392</v>
      </c>
      <c r="E324" s="15" t="str">
        <f t="shared" si="1"/>
        <v>RADM CEN Grocery RKA+Monetka,Krasnoe i beloe, Kiro</v>
      </c>
      <c r="F324" s="15" t="s">
        <v>417</v>
      </c>
      <c r="G324" s="15"/>
      <c r="H324" s="15" t="s">
        <v>429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28.9">
      <c r="A325" s="15" t="s">
        <v>22</v>
      </c>
      <c r="B325" s="15" t="s">
        <v>391</v>
      </c>
      <c r="C325" s="15" t="str">
        <f t="shared" ref="C325:C388" si="2">B325</f>
        <v>HSR Center</v>
      </c>
      <c r="D325" s="15" t="s">
        <v>392</v>
      </c>
      <c r="E325" s="15" t="str">
        <f t="shared" ref="E325:E388" si="3">D325</f>
        <v>RADM CEN Grocery RKA+Monetka,Krasnoe i beloe, Kiro</v>
      </c>
      <c r="F325" s="15" t="s">
        <v>417</v>
      </c>
      <c r="G325" s="15"/>
      <c r="H325" s="15" t="s">
        <v>394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28.9">
      <c r="A326" s="15" t="s">
        <v>432</v>
      </c>
      <c r="B326" s="15" t="s">
        <v>391</v>
      </c>
      <c r="C326" s="15" t="str">
        <f t="shared" si="2"/>
        <v>HSR Center</v>
      </c>
      <c r="D326" s="15" t="s">
        <v>392</v>
      </c>
      <c r="E326" s="15" t="str">
        <f t="shared" si="3"/>
        <v>RADM CEN Grocery RKA+Monetka,Krasnoe i beloe, Kiro</v>
      </c>
      <c r="F326" s="15" t="s">
        <v>417</v>
      </c>
      <c r="G326" s="15"/>
      <c r="H326" s="15" t="s">
        <v>426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28.9">
      <c r="A327" s="15" t="s">
        <v>40</v>
      </c>
      <c r="B327" s="15" t="s">
        <v>391</v>
      </c>
      <c r="C327" s="15" t="str">
        <f t="shared" si="2"/>
        <v>HSR Center</v>
      </c>
      <c r="D327" s="15" t="s">
        <v>392</v>
      </c>
      <c r="E327" s="15" t="str">
        <f t="shared" si="3"/>
        <v>RADM CEN Grocery RKA+Monetka,Krasnoe i beloe, Kiro</v>
      </c>
      <c r="F327" s="15" t="s">
        <v>417</v>
      </c>
      <c r="G327" s="15"/>
      <c r="H327" s="15" t="s">
        <v>356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28.9">
      <c r="A328" s="15" t="s">
        <v>349</v>
      </c>
      <c r="B328" s="15" t="s">
        <v>391</v>
      </c>
      <c r="C328" s="15" t="str">
        <f t="shared" si="2"/>
        <v>HSR Center</v>
      </c>
      <c r="D328" s="15" t="s">
        <v>392</v>
      </c>
      <c r="E328" s="15" t="str">
        <f t="shared" si="3"/>
        <v>RADM CEN Grocery RKA+Monetka,Krasnoe i beloe, Kiro</v>
      </c>
      <c r="F328" s="15" t="s">
        <v>417</v>
      </c>
      <c r="G328" s="15"/>
      <c r="H328" s="15" t="s">
        <v>433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28.9">
      <c r="A329" s="15" t="s">
        <v>27</v>
      </c>
      <c r="B329" s="15" t="s">
        <v>391</v>
      </c>
      <c r="C329" s="15" t="str">
        <f t="shared" si="2"/>
        <v>HSR Center</v>
      </c>
      <c r="D329" s="15" t="s">
        <v>392</v>
      </c>
      <c r="E329" s="15" t="str">
        <f t="shared" si="3"/>
        <v>RADM CEN Grocery RKA+Monetka,Krasnoe i beloe, Kiro</v>
      </c>
      <c r="F329" s="15" t="s">
        <v>417</v>
      </c>
      <c r="G329" s="15"/>
      <c r="H329" s="15" t="s">
        <v>394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28.9">
      <c r="A330" s="15" t="s">
        <v>45</v>
      </c>
      <c r="B330" s="15" t="s">
        <v>391</v>
      </c>
      <c r="C330" s="15" t="str">
        <f t="shared" si="2"/>
        <v>HSR Center</v>
      </c>
      <c r="D330" s="15" t="s">
        <v>392</v>
      </c>
      <c r="E330" s="15" t="str">
        <f t="shared" si="3"/>
        <v>RADM CEN Grocery RKA+Monetka,Krasnoe i beloe, Kiro</v>
      </c>
      <c r="F330" s="15" t="s">
        <v>417</v>
      </c>
      <c r="G330" s="15"/>
      <c r="H330" s="15" t="s">
        <v>434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28.9">
      <c r="A331" s="15" t="s">
        <v>57</v>
      </c>
      <c r="B331" s="15" t="s">
        <v>391</v>
      </c>
      <c r="C331" s="15" t="str">
        <f t="shared" si="2"/>
        <v>HSR Center</v>
      </c>
      <c r="D331" s="15" t="s">
        <v>392</v>
      </c>
      <c r="E331" s="15" t="str">
        <f t="shared" si="3"/>
        <v>RADM CEN Grocery RKA+Monetka,Krasnoe i beloe, Kiro</v>
      </c>
      <c r="F331" s="15" t="s">
        <v>417</v>
      </c>
      <c r="G331" s="15"/>
      <c r="H331" s="15" t="s">
        <v>431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28.9">
      <c r="A332" s="15" t="s">
        <v>178</v>
      </c>
      <c r="B332" s="15" t="s">
        <v>391</v>
      </c>
      <c r="C332" s="15" t="str">
        <f t="shared" si="2"/>
        <v>HSR Center</v>
      </c>
      <c r="D332" s="15" t="s">
        <v>392</v>
      </c>
      <c r="E332" s="15" t="str">
        <f t="shared" si="3"/>
        <v>RADM CEN Grocery RKA+Monetka,Krasnoe i beloe, Kiro</v>
      </c>
      <c r="F332" s="15" t="s">
        <v>417</v>
      </c>
      <c r="G332" s="15"/>
      <c r="H332" s="15" t="s">
        <v>424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28.9">
      <c r="A333" s="15" t="s">
        <v>178</v>
      </c>
      <c r="B333" s="15" t="s">
        <v>391</v>
      </c>
      <c r="C333" s="15" t="str">
        <f t="shared" si="2"/>
        <v>HSR Center</v>
      </c>
      <c r="D333" s="15" t="s">
        <v>392</v>
      </c>
      <c r="E333" s="15" t="str">
        <f t="shared" si="3"/>
        <v>RADM CEN Grocery RKA+Monetka,Krasnoe i beloe, Kiro</v>
      </c>
      <c r="F333" s="15" t="s">
        <v>417</v>
      </c>
      <c r="G333" s="15"/>
      <c r="H333" s="15" t="s">
        <v>394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28.9">
      <c r="A334" s="15" t="s">
        <v>185</v>
      </c>
      <c r="B334" s="15" t="s">
        <v>391</v>
      </c>
      <c r="C334" s="15" t="str">
        <f t="shared" si="2"/>
        <v>HSR Center</v>
      </c>
      <c r="D334" s="15" t="s">
        <v>392</v>
      </c>
      <c r="E334" s="15" t="str">
        <f t="shared" si="3"/>
        <v>RADM CEN Grocery RKA+Monetka,Krasnoe i beloe, Kiro</v>
      </c>
      <c r="F334" s="15" t="s">
        <v>417</v>
      </c>
      <c r="G334" s="15"/>
      <c r="H334" s="15" t="s">
        <v>424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28.9">
      <c r="A335" s="15" t="s">
        <v>115</v>
      </c>
      <c r="B335" s="15" t="s">
        <v>391</v>
      </c>
      <c r="C335" s="15" t="str">
        <f t="shared" si="2"/>
        <v>HSR Center</v>
      </c>
      <c r="D335" s="15" t="s">
        <v>392</v>
      </c>
      <c r="E335" s="15" t="str">
        <f t="shared" si="3"/>
        <v>RADM CEN Grocery RKA+Monetka,Krasnoe i beloe, Kiro</v>
      </c>
      <c r="F335" s="15" t="s">
        <v>417</v>
      </c>
      <c r="G335" s="15"/>
      <c r="H335" s="15" t="s">
        <v>365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28.9">
      <c r="A336" s="15" t="s">
        <v>350</v>
      </c>
      <c r="B336" s="15" t="s">
        <v>391</v>
      </c>
      <c r="C336" s="15" t="str">
        <f t="shared" si="2"/>
        <v>HSR Center</v>
      </c>
      <c r="D336" s="15" t="s">
        <v>392</v>
      </c>
      <c r="E336" s="15" t="str">
        <f t="shared" si="3"/>
        <v>RADM CEN Grocery RKA+Monetka,Krasnoe i beloe, Kiro</v>
      </c>
      <c r="F336" s="15" t="s">
        <v>417</v>
      </c>
      <c r="G336" s="15"/>
      <c r="H336" s="15" t="s">
        <v>356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28.9">
      <c r="A337" s="15" t="s">
        <v>155</v>
      </c>
      <c r="B337" s="15" t="s">
        <v>391</v>
      </c>
      <c r="C337" s="15" t="str">
        <f t="shared" si="2"/>
        <v>HSR Center</v>
      </c>
      <c r="D337" s="15" t="s">
        <v>392</v>
      </c>
      <c r="E337" s="15" t="str">
        <f t="shared" si="3"/>
        <v>RADM CEN Grocery RKA+Monetka,Krasnoe i beloe, Kiro</v>
      </c>
      <c r="F337" s="15" t="s">
        <v>417</v>
      </c>
      <c r="G337" s="15"/>
      <c r="H337" s="15" t="s">
        <v>394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28.9">
      <c r="A338" s="15" t="s">
        <v>338</v>
      </c>
      <c r="B338" s="15" t="s">
        <v>391</v>
      </c>
      <c r="C338" s="15" t="str">
        <f t="shared" si="2"/>
        <v>HSR Center</v>
      </c>
      <c r="D338" s="15" t="s">
        <v>392</v>
      </c>
      <c r="E338" s="15" t="str">
        <f t="shared" si="3"/>
        <v>RADM CEN Grocery RKA+Monetka,Krasnoe i beloe, Kiro</v>
      </c>
      <c r="F338" s="15" t="s">
        <v>417</v>
      </c>
      <c r="G338" s="15"/>
      <c r="H338" s="15" t="s">
        <v>394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28.9">
      <c r="A339" s="15" t="s">
        <v>38</v>
      </c>
      <c r="B339" s="15" t="s">
        <v>391</v>
      </c>
      <c r="C339" s="15" t="str">
        <f t="shared" si="2"/>
        <v>HSR Center</v>
      </c>
      <c r="D339" s="15" t="s">
        <v>392</v>
      </c>
      <c r="E339" s="15" t="str">
        <f t="shared" si="3"/>
        <v>RADM CEN Grocery RKA+Monetka,Krasnoe i beloe, Kiro</v>
      </c>
      <c r="F339" s="15" t="s">
        <v>417</v>
      </c>
      <c r="G339" s="15"/>
      <c r="H339" s="15" t="s">
        <v>356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28.9">
      <c r="A340" s="15" t="s">
        <v>39</v>
      </c>
      <c r="B340" s="15" t="s">
        <v>391</v>
      </c>
      <c r="C340" s="15" t="str">
        <f t="shared" si="2"/>
        <v>HSR Center</v>
      </c>
      <c r="D340" s="15" t="s">
        <v>392</v>
      </c>
      <c r="E340" s="15" t="str">
        <f t="shared" si="3"/>
        <v>RADM CEN Grocery RKA+Monetka,Krasnoe i beloe, Kiro</v>
      </c>
      <c r="F340" s="15" t="s">
        <v>417</v>
      </c>
      <c r="G340" s="15"/>
      <c r="H340" s="15" t="s">
        <v>356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28.9">
      <c r="A341" s="15" t="s">
        <v>131</v>
      </c>
      <c r="B341" s="15" t="s">
        <v>391</v>
      </c>
      <c r="C341" s="15" t="str">
        <f t="shared" si="2"/>
        <v>HSR Center</v>
      </c>
      <c r="D341" s="15" t="s">
        <v>392</v>
      </c>
      <c r="E341" s="15" t="str">
        <f t="shared" si="3"/>
        <v>RADM CEN Grocery RKA+Monetka,Krasnoe i beloe, Kiro</v>
      </c>
      <c r="F341" s="15" t="s">
        <v>417</v>
      </c>
      <c r="G341" s="15"/>
      <c r="H341" s="15" t="s">
        <v>360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28.9">
      <c r="A342" s="15" t="s">
        <v>131</v>
      </c>
      <c r="B342" s="15" t="s">
        <v>391</v>
      </c>
      <c r="C342" s="15" t="str">
        <f t="shared" si="2"/>
        <v>HSR Center</v>
      </c>
      <c r="D342" s="15" t="s">
        <v>392</v>
      </c>
      <c r="E342" s="15" t="str">
        <f t="shared" si="3"/>
        <v>RADM CEN Grocery RKA+Monetka,Krasnoe i beloe, Kiro</v>
      </c>
      <c r="F342" s="15" t="s">
        <v>417</v>
      </c>
      <c r="G342" s="15"/>
      <c r="H342" s="15" t="s">
        <v>394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28.9">
      <c r="A343" s="15" t="s">
        <v>127</v>
      </c>
      <c r="B343" s="15" t="s">
        <v>391</v>
      </c>
      <c r="C343" s="15" t="str">
        <f t="shared" si="2"/>
        <v>HSR Center</v>
      </c>
      <c r="D343" s="15" t="s">
        <v>392</v>
      </c>
      <c r="E343" s="15" t="str">
        <f t="shared" si="3"/>
        <v>RADM CEN Grocery RKA+Monetka,Krasnoe i beloe, Kiro</v>
      </c>
      <c r="F343" s="15" t="s">
        <v>417</v>
      </c>
      <c r="G343" s="15"/>
      <c r="H343" s="15" t="s">
        <v>435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28.9">
      <c r="A344" s="15" t="s">
        <v>112</v>
      </c>
      <c r="B344" s="15" t="s">
        <v>391</v>
      </c>
      <c r="C344" s="15" t="str">
        <f t="shared" si="2"/>
        <v>HSR Center</v>
      </c>
      <c r="D344" s="15" t="s">
        <v>392</v>
      </c>
      <c r="E344" s="15" t="str">
        <f t="shared" si="3"/>
        <v>RADM CEN Grocery RKA+Monetka,Krasnoe i beloe, Kiro</v>
      </c>
      <c r="F344" s="15" t="s">
        <v>417</v>
      </c>
      <c r="G344" s="15"/>
      <c r="H344" s="15" t="s">
        <v>394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28.9">
      <c r="A345" s="15" t="s">
        <v>150</v>
      </c>
      <c r="B345" s="15" t="s">
        <v>391</v>
      </c>
      <c r="C345" s="15" t="str">
        <f t="shared" si="2"/>
        <v>HSR Center</v>
      </c>
      <c r="D345" s="15" t="s">
        <v>392</v>
      </c>
      <c r="E345" s="15" t="str">
        <f t="shared" si="3"/>
        <v>RADM CEN Grocery RKA+Monetka,Krasnoe i beloe, Kiro</v>
      </c>
      <c r="F345" s="15" t="s">
        <v>417</v>
      </c>
      <c r="G345" s="15"/>
      <c r="H345" s="15" t="s">
        <v>394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28.9">
      <c r="A346" s="15" t="s">
        <v>157</v>
      </c>
      <c r="B346" s="15" t="s">
        <v>391</v>
      </c>
      <c r="C346" s="15" t="str">
        <f t="shared" si="2"/>
        <v>HSR Center</v>
      </c>
      <c r="D346" s="15" t="s">
        <v>392</v>
      </c>
      <c r="E346" s="15" t="str">
        <f t="shared" si="3"/>
        <v>RADM CEN Grocery RKA+Monetka,Krasnoe i beloe, Kiro</v>
      </c>
      <c r="F346" s="15" t="s">
        <v>417</v>
      </c>
      <c r="G346" s="15"/>
      <c r="H346" s="15" t="s">
        <v>394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28.9">
      <c r="A347" s="15" t="s">
        <v>106</v>
      </c>
      <c r="B347" s="15" t="s">
        <v>391</v>
      </c>
      <c r="C347" s="15" t="str">
        <f t="shared" si="2"/>
        <v>HSR Center</v>
      </c>
      <c r="D347" s="15" t="s">
        <v>392</v>
      </c>
      <c r="E347" s="15" t="str">
        <f t="shared" si="3"/>
        <v>RADM CEN Grocery RKA+Monetka,Krasnoe i beloe, Kiro</v>
      </c>
      <c r="F347" s="15" t="s">
        <v>417</v>
      </c>
      <c r="G347" s="15"/>
      <c r="H347" s="15" t="s">
        <v>365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28.9">
      <c r="A348" s="15" t="s">
        <v>436</v>
      </c>
      <c r="B348" s="15" t="s">
        <v>391</v>
      </c>
      <c r="C348" s="15" t="str">
        <f t="shared" si="2"/>
        <v>HSR Center</v>
      </c>
      <c r="D348" s="15" t="s">
        <v>392</v>
      </c>
      <c r="E348" s="15" t="str">
        <f t="shared" si="3"/>
        <v>RADM CEN Grocery RKA+Monetka,Krasnoe i beloe, Kiro</v>
      </c>
      <c r="F348" s="15" t="s">
        <v>417</v>
      </c>
      <c r="G348" s="15"/>
      <c r="H348" s="15" t="s">
        <v>426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28.9">
      <c r="A349" s="15" t="s">
        <v>41</v>
      </c>
      <c r="B349" s="15" t="s">
        <v>391</v>
      </c>
      <c r="C349" s="15" t="str">
        <f t="shared" si="2"/>
        <v>HSR Center</v>
      </c>
      <c r="D349" s="15" t="s">
        <v>392</v>
      </c>
      <c r="E349" s="15" t="str">
        <f t="shared" si="3"/>
        <v>RADM CEN Grocery RKA+Monetka,Krasnoe i beloe, Kiro</v>
      </c>
      <c r="F349" s="15" t="s">
        <v>417</v>
      </c>
      <c r="G349" s="15"/>
      <c r="H349" s="15" t="s">
        <v>356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28.9">
      <c r="A350" s="15" t="s">
        <v>161</v>
      </c>
      <c r="B350" s="15" t="s">
        <v>391</v>
      </c>
      <c r="C350" s="15" t="str">
        <f t="shared" si="2"/>
        <v>HSR Center</v>
      </c>
      <c r="D350" s="15" t="s">
        <v>392</v>
      </c>
      <c r="E350" s="15" t="str">
        <f t="shared" si="3"/>
        <v>RADM CEN Grocery RKA+Monetka,Krasnoe i beloe, Kiro</v>
      </c>
      <c r="F350" s="15" t="s">
        <v>417</v>
      </c>
      <c r="G350" s="15"/>
      <c r="H350" s="15" t="s">
        <v>359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28.9">
      <c r="A351" s="15" t="s">
        <v>20</v>
      </c>
      <c r="B351" s="15" t="s">
        <v>391</v>
      </c>
      <c r="C351" s="15" t="str">
        <f t="shared" si="2"/>
        <v>HSR Center</v>
      </c>
      <c r="D351" s="15" t="s">
        <v>392</v>
      </c>
      <c r="E351" s="15" t="str">
        <f t="shared" si="3"/>
        <v>RADM CEN Grocery RKA+Monetka,Krasnoe i beloe, Kiro</v>
      </c>
      <c r="F351" s="15" t="s">
        <v>417</v>
      </c>
      <c r="G351" s="15"/>
      <c r="H351" s="15" t="s">
        <v>394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28.9">
      <c r="A352" s="15" t="s">
        <v>109</v>
      </c>
      <c r="B352" s="15" t="s">
        <v>391</v>
      </c>
      <c r="C352" s="15" t="str">
        <f t="shared" si="2"/>
        <v>HSR Center</v>
      </c>
      <c r="D352" s="15" t="s">
        <v>392</v>
      </c>
      <c r="E352" s="15" t="str">
        <f t="shared" si="3"/>
        <v>RADM CEN Grocery RKA+Monetka,Krasnoe i beloe, Kiro</v>
      </c>
      <c r="F352" s="15" t="s">
        <v>417</v>
      </c>
      <c r="G352" s="15"/>
      <c r="H352" s="15" t="s">
        <v>394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28.9">
      <c r="A353" s="15" t="s">
        <v>351</v>
      </c>
      <c r="B353" s="15" t="s">
        <v>391</v>
      </c>
      <c r="C353" s="15" t="str">
        <f t="shared" si="2"/>
        <v>HSR Center</v>
      </c>
      <c r="D353" s="15" t="s">
        <v>392</v>
      </c>
      <c r="E353" s="15" t="str">
        <f t="shared" si="3"/>
        <v>RADM CEN Grocery RKA+Monetka,Krasnoe i beloe, Kiro</v>
      </c>
      <c r="F353" s="15" t="s">
        <v>417</v>
      </c>
      <c r="G353" s="15"/>
      <c r="H353" s="15" t="s">
        <v>356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28.9">
      <c r="A354" s="15" t="s">
        <v>159</v>
      </c>
      <c r="B354" s="15" t="s">
        <v>391</v>
      </c>
      <c r="C354" s="15" t="str">
        <f t="shared" si="2"/>
        <v>HSR Center</v>
      </c>
      <c r="D354" s="15" t="s">
        <v>392</v>
      </c>
      <c r="E354" s="15" t="str">
        <f t="shared" si="3"/>
        <v>RADM CEN Grocery RKA+Monetka,Krasnoe i beloe, Kiro</v>
      </c>
      <c r="F354" s="15" t="s">
        <v>417</v>
      </c>
      <c r="G354" s="15"/>
      <c r="H354" s="15" t="s">
        <v>394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28.9">
      <c r="A355" s="15" t="s">
        <v>68</v>
      </c>
      <c r="B355" s="15" t="s">
        <v>391</v>
      </c>
      <c r="C355" s="15" t="str">
        <f t="shared" si="2"/>
        <v>HSR Center</v>
      </c>
      <c r="D355" s="15" t="s">
        <v>392</v>
      </c>
      <c r="E355" s="15" t="str">
        <f t="shared" si="3"/>
        <v>RADM CEN Grocery RKA+Monetka,Krasnoe i beloe, Kiro</v>
      </c>
      <c r="F355" s="15" t="s">
        <v>417</v>
      </c>
      <c r="G355" s="15"/>
      <c r="H355" s="15" t="s">
        <v>426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28.9">
      <c r="A356" s="15" t="s">
        <v>437</v>
      </c>
      <c r="B356" s="15" t="s">
        <v>391</v>
      </c>
      <c r="C356" s="15" t="str">
        <f t="shared" si="2"/>
        <v>HSR Center</v>
      </c>
      <c r="D356" s="15" t="s">
        <v>392</v>
      </c>
      <c r="E356" s="15" t="str">
        <f t="shared" si="3"/>
        <v>RADM CEN Grocery RKA+Monetka,Krasnoe i beloe, Kiro</v>
      </c>
      <c r="F356" s="15" t="s">
        <v>417</v>
      </c>
      <c r="G356" s="15"/>
      <c r="H356" s="15" t="s">
        <v>424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28.9">
      <c r="A357" s="15" t="s">
        <v>165</v>
      </c>
      <c r="B357" s="15" t="s">
        <v>391</v>
      </c>
      <c r="C357" s="15" t="str">
        <f t="shared" si="2"/>
        <v>HSR Center</v>
      </c>
      <c r="D357" s="15" t="s">
        <v>392</v>
      </c>
      <c r="E357" s="15" t="str">
        <f t="shared" si="3"/>
        <v>RADM CEN Grocery RKA+Monetka,Krasnoe i beloe, Kiro</v>
      </c>
      <c r="F357" s="15" t="s">
        <v>417</v>
      </c>
      <c r="G357" s="15"/>
      <c r="H357" s="15" t="s">
        <v>394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28.9">
      <c r="A358" s="15" t="s">
        <v>156</v>
      </c>
      <c r="B358" s="15" t="s">
        <v>391</v>
      </c>
      <c r="C358" s="15" t="str">
        <f t="shared" si="2"/>
        <v>HSR Center</v>
      </c>
      <c r="D358" s="15" t="s">
        <v>392</v>
      </c>
      <c r="E358" s="15" t="str">
        <f t="shared" si="3"/>
        <v>RADM CEN Grocery RKA+Monetka,Krasnoe i beloe, Kiro</v>
      </c>
      <c r="F358" s="15" t="s">
        <v>417</v>
      </c>
      <c r="G358" s="15"/>
      <c r="H358" s="15" t="s">
        <v>394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28.9">
      <c r="A359" s="15" t="s">
        <v>97</v>
      </c>
      <c r="B359" s="15" t="s">
        <v>391</v>
      </c>
      <c r="C359" s="15" t="str">
        <f t="shared" si="2"/>
        <v>HSR Center</v>
      </c>
      <c r="D359" s="15" t="s">
        <v>392</v>
      </c>
      <c r="E359" s="15" t="str">
        <f t="shared" si="3"/>
        <v>RADM CEN Grocery RKA+Monetka,Krasnoe i beloe, Kiro</v>
      </c>
      <c r="F359" s="15" t="s">
        <v>417</v>
      </c>
      <c r="G359" s="15"/>
      <c r="H359" s="15" t="s">
        <v>394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28.9">
      <c r="A360" s="15" t="s">
        <v>58</v>
      </c>
      <c r="B360" s="15" t="s">
        <v>391</v>
      </c>
      <c r="C360" s="15" t="str">
        <f t="shared" si="2"/>
        <v>HSR Center</v>
      </c>
      <c r="D360" s="15" t="s">
        <v>392</v>
      </c>
      <c r="E360" s="15" t="str">
        <f t="shared" si="3"/>
        <v>RADM CEN Grocery RKA+Monetka,Krasnoe i beloe, Kiro</v>
      </c>
      <c r="F360" s="15" t="s">
        <v>417</v>
      </c>
      <c r="G360" s="15"/>
      <c r="H360" s="15" t="s">
        <v>431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28.9">
      <c r="A361" s="15" t="s">
        <v>137</v>
      </c>
      <c r="B361" s="15" t="s">
        <v>391</v>
      </c>
      <c r="C361" s="15" t="str">
        <f t="shared" si="2"/>
        <v>HSR Center</v>
      </c>
      <c r="D361" s="15" t="s">
        <v>392</v>
      </c>
      <c r="E361" s="15" t="str">
        <f t="shared" si="3"/>
        <v>RADM CEN Grocery RKA+Monetka,Krasnoe i beloe, Kiro</v>
      </c>
      <c r="F361" s="15" t="s">
        <v>417</v>
      </c>
      <c r="G361" s="15"/>
      <c r="H361" s="15" t="s">
        <v>433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28.9">
      <c r="A362" s="15" t="s">
        <v>19</v>
      </c>
      <c r="B362" s="15" t="s">
        <v>391</v>
      </c>
      <c r="C362" s="15" t="str">
        <f t="shared" si="2"/>
        <v>HSR Center</v>
      </c>
      <c r="D362" s="15" t="s">
        <v>392</v>
      </c>
      <c r="E362" s="15" t="str">
        <f t="shared" si="3"/>
        <v>RADM CEN Grocery RKA+Monetka,Krasnoe i beloe, Kiro</v>
      </c>
      <c r="F362" s="15" t="s">
        <v>417</v>
      </c>
      <c r="G362" s="15"/>
      <c r="H362" s="15" t="s">
        <v>394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28.9">
      <c r="A363" s="15" t="s">
        <v>124</v>
      </c>
      <c r="B363" s="15" t="s">
        <v>391</v>
      </c>
      <c r="C363" s="15" t="str">
        <f t="shared" si="2"/>
        <v>HSR Center</v>
      </c>
      <c r="D363" s="15" t="s">
        <v>392</v>
      </c>
      <c r="E363" s="15" t="str">
        <f t="shared" si="3"/>
        <v>RADM CEN Grocery RKA+Monetka,Krasnoe i beloe, Kiro</v>
      </c>
      <c r="F363" s="15" t="s">
        <v>417</v>
      </c>
      <c r="G363" s="15"/>
      <c r="H363" s="15" t="s">
        <v>365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28.9">
      <c r="A364" s="15" t="s">
        <v>390</v>
      </c>
      <c r="B364" s="15" t="s">
        <v>391</v>
      </c>
      <c r="C364" s="15" t="str">
        <f t="shared" si="2"/>
        <v>HSR Center</v>
      </c>
      <c r="D364" s="15" t="s">
        <v>392</v>
      </c>
      <c r="E364" s="15" t="str">
        <f t="shared" si="3"/>
        <v>RADM CEN Grocery RKA+Monetka,Krasnoe i beloe, Kiro</v>
      </c>
      <c r="F364" s="15" t="s">
        <v>417</v>
      </c>
      <c r="G364" s="15"/>
      <c r="H364" s="15" t="s">
        <v>394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28.9">
      <c r="A365" s="15" t="s">
        <v>107</v>
      </c>
      <c r="B365" s="15" t="s">
        <v>391</v>
      </c>
      <c r="C365" s="15" t="str">
        <f t="shared" si="2"/>
        <v>HSR Center</v>
      </c>
      <c r="D365" s="15" t="s">
        <v>392</v>
      </c>
      <c r="E365" s="15" t="str">
        <f t="shared" si="3"/>
        <v>RADM CEN Grocery RKA+Monetka,Krasnoe i beloe, Kiro</v>
      </c>
      <c r="F365" s="15" t="s">
        <v>417</v>
      </c>
      <c r="G365" s="15"/>
      <c r="H365" s="15" t="s">
        <v>365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28.9">
      <c r="A366" s="15" t="s">
        <v>341</v>
      </c>
      <c r="B366" s="15" t="s">
        <v>391</v>
      </c>
      <c r="C366" s="15" t="str">
        <f t="shared" si="2"/>
        <v>HSR Center</v>
      </c>
      <c r="D366" s="15" t="s">
        <v>392</v>
      </c>
      <c r="E366" s="15" t="str">
        <f t="shared" si="3"/>
        <v>RADM CEN Grocery RKA+Monetka,Krasnoe i beloe, Kiro</v>
      </c>
      <c r="F366" s="15" t="s">
        <v>417</v>
      </c>
      <c r="G366" s="15"/>
      <c r="H366" s="15" t="s">
        <v>394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28.9">
      <c r="A367" s="15" t="s">
        <v>422</v>
      </c>
      <c r="B367" s="15" t="s">
        <v>391</v>
      </c>
      <c r="C367" s="15" t="str">
        <f t="shared" si="2"/>
        <v>HSR Center</v>
      </c>
      <c r="D367" s="15" t="s">
        <v>392</v>
      </c>
      <c r="E367" s="15" t="str">
        <f t="shared" si="3"/>
        <v>RADM CEN Grocery RKA+Monetka,Krasnoe i beloe, Kiro</v>
      </c>
      <c r="F367" s="15" t="s">
        <v>417</v>
      </c>
      <c r="G367" s="15"/>
      <c r="H367" s="15" t="s">
        <v>365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28.9">
      <c r="A368" s="15" t="s">
        <v>54</v>
      </c>
      <c r="B368" s="15" t="s">
        <v>391</v>
      </c>
      <c r="C368" s="15" t="str">
        <f t="shared" si="2"/>
        <v>HSR Center</v>
      </c>
      <c r="D368" s="15" t="s">
        <v>392</v>
      </c>
      <c r="E368" s="15" t="str">
        <f t="shared" si="3"/>
        <v>RADM CEN Grocery RKA+Monetka,Krasnoe i beloe, Kiro</v>
      </c>
      <c r="F368" s="15" t="s">
        <v>417</v>
      </c>
      <c r="G368" s="15"/>
      <c r="H368" s="15" t="s">
        <v>431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28.9">
      <c r="A369" s="15" t="s">
        <v>600</v>
      </c>
      <c r="B369" s="15" t="s">
        <v>391</v>
      </c>
      <c r="C369" s="15" t="str">
        <f t="shared" si="2"/>
        <v>HSR Center</v>
      </c>
      <c r="D369" s="15" t="s">
        <v>392</v>
      </c>
      <c r="E369" s="15" t="str">
        <f t="shared" si="3"/>
        <v>RADM CEN Grocery RKA+Monetka,Krasnoe i beloe, Kiro</v>
      </c>
      <c r="F369" s="15" t="s">
        <v>403</v>
      </c>
      <c r="G369" s="15"/>
      <c r="H369" s="15" t="s">
        <v>394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28.9">
      <c r="A370" s="15" t="s">
        <v>600</v>
      </c>
      <c r="B370" s="15" t="s">
        <v>391</v>
      </c>
      <c r="C370" s="15" t="str">
        <f t="shared" si="2"/>
        <v>HSR Center</v>
      </c>
      <c r="D370" s="15" t="s">
        <v>392</v>
      </c>
      <c r="E370" s="15" t="str">
        <f t="shared" si="3"/>
        <v>RADM CEN Grocery RKA+Monetka,Krasnoe i beloe, Kiro</v>
      </c>
      <c r="F370" s="15" t="s">
        <v>403</v>
      </c>
      <c r="G370" s="15"/>
      <c r="H370" s="15" t="s">
        <v>394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28.9">
      <c r="A371" s="15" t="s">
        <v>179</v>
      </c>
      <c r="B371" s="15" t="s">
        <v>391</v>
      </c>
      <c r="C371" s="15" t="str">
        <f t="shared" si="2"/>
        <v>HSR Center</v>
      </c>
      <c r="D371" s="15" t="s">
        <v>392</v>
      </c>
      <c r="E371" s="15" t="str">
        <f t="shared" si="3"/>
        <v>RADM CEN Grocery RKA+Monetka,Krasnoe i beloe, Kiro</v>
      </c>
      <c r="F371" s="15" t="s">
        <v>403</v>
      </c>
      <c r="G371" s="15"/>
      <c r="H371" s="15" t="s">
        <v>394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28.9">
      <c r="A372" s="15" t="s">
        <v>171</v>
      </c>
      <c r="B372" s="15" t="s">
        <v>391</v>
      </c>
      <c r="C372" s="15" t="str">
        <f t="shared" si="2"/>
        <v>HSR Center</v>
      </c>
      <c r="D372" s="15" t="s">
        <v>392</v>
      </c>
      <c r="E372" s="15" t="str">
        <f t="shared" si="3"/>
        <v>RADM CEN Grocery RKA+Monetka,Krasnoe i beloe, Kiro</v>
      </c>
      <c r="F372" s="15" t="s">
        <v>403</v>
      </c>
      <c r="G372" s="15"/>
      <c r="H372" s="15" t="s">
        <v>394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28.9">
      <c r="A373" s="15" t="s">
        <v>358</v>
      </c>
      <c r="B373" s="15" t="s">
        <v>391</v>
      </c>
      <c r="C373" s="15" t="str">
        <f t="shared" si="2"/>
        <v>HSR Center</v>
      </c>
      <c r="D373" s="15" t="s">
        <v>392</v>
      </c>
      <c r="E373" s="15" t="str">
        <f t="shared" si="3"/>
        <v>RADM CEN Grocery RKA+Monetka,Krasnoe i beloe, Kiro</v>
      </c>
      <c r="F373" s="15" t="s">
        <v>403</v>
      </c>
      <c r="G373" s="15"/>
      <c r="H373" s="15" t="s">
        <v>394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28.9">
      <c r="A374" s="15" t="s">
        <v>346</v>
      </c>
      <c r="B374" s="15" t="s">
        <v>391</v>
      </c>
      <c r="C374" s="15" t="str">
        <f t="shared" si="2"/>
        <v>HSR Center</v>
      </c>
      <c r="D374" s="15" t="s">
        <v>392</v>
      </c>
      <c r="E374" s="15" t="str">
        <f t="shared" si="3"/>
        <v>RADM CEN Grocery RKA+Monetka,Krasnoe i beloe, Kiro</v>
      </c>
      <c r="F374" s="15" t="s">
        <v>403</v>
      </c>
      <c r="G374" s="15"/>
      <c r="H374" s="15" t="s">
        <v>394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28.9">
      <c r="A375" s="15" t="s">
        <v>146</v>
      </c>
      <c r="B375" s="15" t="s">
        <v>391</v>
      </c>
      <c r="C375" s="15" t="str">
        <f t="shared" si="2"/>
        <v>HSR Center</v>
      </c>
      <c r="D375" s="15" t="s">
        <v>392</v>
      </c>
      <c r="E375" s="15" t="str">
        <f t="shared" si="3"/>
        <v>RADM CEN Grocery RKA+Monetka,Krasnoe i beloe, Kiro</v>
      </c>
      <c r="F375" s="15" t="s">
        <v>403</v>
      </c>
      <c r="G375" s="15"/>
      <c r="H375" s="15" t="s">
        <v>394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28.9">
      <c r="A376" s="15" t="s">
        <v>24</v>
      </c>
      <c r="B376" s="15" t="s">
        <v>391</v>
      </c>
      <c r="C376" s="15" t="str">
        <f t="shared" si="2"/>
        <v>HSR Center</v>
      </c>
      <c r="D376" s="15" t="s">
        <v>392</v>
      </c>
      <c r="E376" s="15" t="str">
        <f t="shared" si="3"/>
        <v>RADM CEN Grocery RKA+Monetka,Krasnoe i beloe, Kiro</v>
      </c>
      <c r="F376" s="15" t="s">
        <v>403</v>
      </c>
      <c r="G376" s="15"/>
      <c r="H376" s="15" t="s">
        <v>394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28.9">
      <c r="A377" s="15" t="s">
        <v>160</v>
      </c>
      <c r="B377" s="15" t="s">
        <v>391</v>
      </c>
      <c r="C377" s="15" t="str">
        <f t="shared" si="2"/>
        <v>HSR Center</v>
      </c>
      <c r="D377" s="15" t="s">
        <v>392</v>
      </c>
      <c r="E377" s="15" t="str">
        <f t="shared" si="3"/>
        <v>RADM CEN Grocery RKA+Monetka,Krasnoe i beloe, Kiro</v>
      </c>
      <c r="F377" s="15" t="s">
        <v>403</v>
      </c>
      <c r="G377" s="15"/>
      <c r="H377" s="15" t="s">
        <v>394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28.9">
      <c r="A378" s="15" t="s">
        <v>153</v>
      </c>
      <c r="B378" s="15" t="s">
        <v>391</v>
      </c>
      <c r="C378" s="15" t="str">
        <f t="shared" si="2"/>
        <v>HSR Center</v>
      </c>
      <c r="D378" s="15" t="s">
        <v>392</v>
      </c>
      <c r="E378" s="15" t="str">
        <f t="shared" si="3"/>
        <v>RADM CEN Grocery RKA+Monetka,Krasnoe i beloe, Kiro</v>
      </c>
      <c r="F378" s="15" t="s">
        <v>403</v>
      </c>
      <c r="G378" s="15"/>
      <c r="H378" s="15" t="s">
        <v>394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28.9">
      <c r="A379" s="15" t="s">
        <v>439</v>
      </c>
      <c r="B379" s="15" t="s">
        <v>391</v>
      </c>
      <c r="C379" s="15" t="str">
        <f t="shared" si="2"/>
        <v>HSR Center</v>
      </c>
      <c r="D379" s="15" t="s">
        <v>392</v>
      </c>
      <c r="E379" s="15" t="str">
        <f t="shared" si="3"/>
        <v>RADM CEN Grocery RKA+Monetka,Krasnoe i beloe, Kiro</v>
      </c>
      <c r="F379" s="15" t="s">
        <v>403</v>
      </c>
      <c r="G379" s="15"/>
      <c r="H379" s="15" t="s">
        <v>394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28.9">
      <c r="A380" s="15" t="s">
        <v>22</v>
      </c>
      <c r="B380" s="15" t="s">
        <v>391</v>
      </c>
      <c r="C380" s="15" t="str">
        <f t="shared" si="2"/>
        <v>HSR Center</v>
      </c>
      <c r="D380" s="15" t="s">
        <v>392</v>
      </c>
      <c r="E380" s="15" t="str">
        <f t="shared" si="3"/>
        <v>RADM CEN Grocery RKA+Monetka,Krasnoe i beloe, Kiro</v>
      </c>
      <c r="F380" s="15" t="s">
        <v>403</v>
      </c>
      <c r="G380" s="15"/>
      <c r="H380" s="15" t="s">
        <v>394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28.9">
      <c r="A381" s="15" t="s">
        <v>27</v>
      </c>
      <c r="B381" s="15" t="s">
        <v>391</v>
      </c>
      <c r="C381" s="15" t="str">
        <f t="shared" si="2"/>
        <v>HSR Center</v>
      </c>
      <c r="D381" s="15" t="s">
        <v>392</v>
      </c>
      <c r="E381" s="15" t="str">
        <f t="shared" si="3"/>
        <v>RADM CEN Grocery RKA+Monetka,Krasnoe i beloe, Kiro</v>
      </c>
      <c r="F381" s="15" t="s">
        <v>403</v>
      </c>
      <c r="G381" s="15"/>
      <c r="H381" s="15" t="s">
        <v>394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28.9">
      <c r="A382" s="15" t="s">
        <v>178</v>
      </c>
      <c r="B382" s="15" t="s">
        <v>391</v>
      </c>
      <c r="C382" s="15" t="str">
        <f t="shared" si="2"/>
        <v>HSR Center</v>
      </c>
      <c r="D382" s="15" t="s">
        <v>392</v>
      </c>
      <c r="E382" s="15" t="str">
        <f t="shared" si="3"/>
        <v>RADM CEN Grocery RKA+Monetka,Krasnoe i beloe, Kiro</v>
      </c>
      <c r="F382" s="15" t="s">
        <v>403</v>
      </c>
      <c r="G382" s="15"/>
      <c r="H382" s="15" t="s">
        <v>394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28.9">
      <c r="A383" s="15" t="s">
        <v>185</v>
      </c>
      <c r="B383" s="15" t="s">
        <v>391</v>
      </c>
      <c r="C383" s="15" t="str">
        <f t="shared" si="2"/>
        <v>HSR Center</v>
      </c>
      <c r="D383" s="15" t="s">
        <v>392</v>
      </c>
      <c r="E383" s="15" t="str">
        <f t="shared" si="3"/>
        <v>RADM CEN Grocery RKA+Monetka,Krasnoe i beloe, Kiro</v>
      </c>
      <c r="F383" s="15" t="s">
        <v>403</v>
      </c>
      <c r="G383" s="15"/>
      <c r="H383" s="15" t="s">
        <v>394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28.9">
      <c r="A384" s="15" t="s">
        <v>151</v>
      </c>
      <c r="B384" s="15" t="s">
        <v>391</v>
      </c>
      <c r="C384" s="15" t="str">
        <f t="shared" si="2"/>
        <v>HSR Center</v>
      </c>
      <c r="D384" s="15" t="s">
        <v>392</v>
      </c>
      <c r="E384" s="15" t="str">
        <f t="shared" si="3"/>
        <v>RADM CEN Grocery RKA+Monetka,Krasnoe i beloe, Kiro</v>
      </c>
      <c r="F384" s="15" t="s">
        <v>403</v>
      </c>
      <c r="G384" s="15"/>
      <c r="H384" s="15" t="s">
        <v>394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28.9">
      <c r="A385" s="15" t="s">
        <v>155</v>
      </c>
      <c r="B385" s="15" t="s">
        <v>391</v>
      </c>
      <c r="C385" s="15" t="str">
        <f t="shared" si="2"/>
        <v>HSR Center</v>
      </c>
      <c r="D385" s="15" t="s">
        <v>392</v>
      </c>
      <c r="E385" s="15" t="str">
        <f t="shared" si="3"/>
        <v>RADM CEN Grocery RKA+Monetka,Krasnoe i beloe, Kiro</v>
      </c>
      <c r="F385" s="15" t="s">
        <v>403</v>
      </c>
      <c r="G385" s="15"/>
      <c r="H385" s="15" t="s">
        <v>394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28.9">
      <c r="A386" s="15" t="s">
        <v>355</v>
      </c>
      <c r="B386" s="15" t="s">
        <v>391</v>
      </c>
      <c r="C386" s="15" t="str">
        <f t="shared" si="2"/>
        <v>HSR Center</v>
      </c>
      <c r="D386" s="15" t="s">
        <v>392</v>
      </c>
      <c r="E386" s="15" t="str">
        <f t="shared" si="3"/>
        <v>RADM CEN Grocery RKA+Monetka,Krasnoe i beloe, Kiro</v>
      </c>
      <c r="F386" s="15" t="s">
        <v>403</v>
      </c>
      <c r="G386" s="15"/>
      <c r="H386" s="15" t="s">
        <v>394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28.9">
      <c r="A387" s="15" t="s">
        <v>29</v>
      </c>
      <c r="B387" s="15" t="s">
        <v>391</v>
      </c>
      <c r="C387" s="15" t="str">
        <f t="shared" si="2"/>
        <v>HSR Center</v>
      </c>
      <c r="D387" s="15" t="s">
        <v>392</v>
      </c>
      <c r="E387" s="15" t="str">
        <f t="shared" si="3"/>
        <v>RADM CEN Grocery RKA+Monetka,Krasnoe i beloe, Kiro</v>
      </c>
      <c r="F387" s="15" t="s">
        <v>403</v>
      </c>
      <c r="G387" s="15"/>
      <c r="H387" s="15" t="s">
        <v>394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28.9">
      <c r="A388" s="15" t="s">
        <v>7</v>
      </c>
      <c r="B388" s="15" t="s">
        <v>391</v>
      </c>
      <c r="C388" s="15" t="str">
        <f t="shared" si="2"/>
        <v>HSR Center</v>
      </c>
      <c r="D388" s="15" t="s">
        <v>392</v>
      </c>
      <c r="E388" s="15" t="str">
        <f t="shared" si="3"/>
        <v>RADM CEN Grocery RKA+Monetka,Krasnoe i beloe, Kiro</v>
      </c>
      <c r="F388" s="15" t="s">
        <v>403</v>
      </c>
      <c r="G388" s="15"/>
      <c r="H388" s="15" t="s">
        <v>394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28.9">
      <c r="A389" s="15" t="s">
        <v>338</v>
      </c>
      <c r="B389" s="15" t="s">
        <v>391</v>
      </c>
      <c r="C389" s="15" t="str">
        <f t="shared" ref="C389:C452" si="4">B389</f>
        <v>HSR Center</v>
      </c>
      <c r="D389" s="15" t="s">
        <v>392</v>
      </c>
      <c r="E389" s="15" t="str">
        <f t="shared" ref="E389:E452" si="5">D389</f>
        <v>RADM CEN Grocery RKA+Monetka,Krasnoe i beloe, Kiro</v>
      </c>
      <c r="F389" s="15" t="s">
        <v>403</v>
      </c>
      <c r="G389" s="15"/>
      <c r="H389" s="15" t="s">
        <v>394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28.9">
      <c r="A390" s="15" t="s">
        <v>23</v>
      </c>
      <c r="B390" s="15" t="s">
        <v>391</v>
      </c>
      <c r="C390" s="15" t="str">
        <f t="shared" si="4"/>
        <v>HSR Center</v>
      </c>
      <c r="D390" s="15" t="s">
        <v>392</v>
      </c>
      <c r="E390" s="15" t="str">
        <f t="shared" si="5"/>
        <v>RADM CEN Grocery RKA+Monetka,Krasnoe i beloe, Kiro</v>
      </c>
      <c r="F390" s="15" t="s">
        <v>403</v>
      </c>
      <c r="G390" s="15"/>
      <c r="H390" s="15" t="s">
        <v>394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28.9">
      <c r="A391" s="15" t="s">
        <v>112</v>
      </c>
      <c r="B391" s="15" t="s">
        <v>391</v>
      </c>
      <c r="C391" s="15" t="str">
        <f t="shared" si="4"/>
        <v>HSR Center</v>
      </c>
      <c r="D391" s="15" t="s">
        <v>392</v>
      </c>
      <c r="E391" s="15" t="str">
        <f t="shared" si="5"/>
        <v>RADM CEN Grocery RKA+Monetka,Krasnoe i beloe, Kiro</v>
      </c>
      <c r="F391" s="15" t="s">
        <v>403</v>
      </c>
      <c r="G391" s="15"/>
      <c r="H391" s="15" t="s">
        <v>394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28.9">
      <c r="A392" s="15" t="s">
        <v>150</v>
      </c>
      <c r="B392" s="15" t="s">
        <v>391</v>
      </c>
      <c r="C392" s="15" t="str">
        <f t="shared" si="4"/>
        <v>HSR Center</v>
      </c>
      <c r="D392" s="15" t="s">
        <v>392</v>
      </c>
      <c r="E392" s="15" t="str">
        <f t="shared" si="5"/>
        <v>RADM CEN Grocery RKA+Monetka,Krasnoe i beloe, Kiro</v>
      </c>
      <c r="F392" s="15" t="s">
        <v>403</v>
      </c>
      <c r="G392" s="15"/>
      <c r="H392" s="15" t="s">
        <v>394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28.9">
      <c r="A393" s="15" t="s">
        <v>157</v>
      </c>
      <c r="B393" s="15" t="s">
        <v>391</v>
      </c>
      <c r="C393" s="15" t="str">
        <f t="shared" si="4"/>
        <v>HSR Center</v>
      </c>
      <c r="D393" s="15" t="s">
        <v>392</v>
      </c>
      <c r="E393" s="15" t="str">
        <f t="shared" si="5"/>
        <v>RADM CEN Grocery RKA+Monetka,Krasnoe i beloe, Kiro</v>
      </c>
      <c r="F393" s="15" t="s">
        <v>403</v>
      </c>
      <c r="G393" s="15"/>
      <c r="H393" s="15" t="s">
        <v>394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28.9">
      <c r="A394" s="15" t="s">
        <v>157</v>
      </c>
      <c r="B394" s="15" t="s">
        <v>391</v>
      </c>
      <c r="C394" s="15" t="str">
        <f t="shared" si="4"/>
        <v>HSR Center</v>
      </c>
      <c r="D394" s="15" t="s">
        <v>392</v>
      </c>
      <c r="E394" s="15" t="str">
        <f t="shared" si="5"/>
        <v>RADM CEN Grocery RKA+Monetka,Krasnoe i beloe, Kiro</v>
      </c>
      <c r="F394" s="15" t="s">
        <v>403</v>
      </c>
      <c r="G394" s="15"/>
      <c r="H394" s="15" t="s">
        <v>394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28.9">
      <c r="A395" s="15" t="s">
        <v>106</v>
      </c>
      <c r="B395" s="15" t="s">
        <v>391</v>
      </c>
      <c r="C395" s="15" t="str">
        <f t="shared" si="4"/>
        <v>HSR Center</v>
      </c>
      <c r="D395" s="15" t="s">
        <v>392</v>
      </c>
      <c r="E395" s="15" t="str">
        <f t="shared" si="5"/>
        <v>RADM CEN Grocery RKA+Monetka,Krasnoe i beloe, Kiro</v>
      </c>
      <c r="F395" s="15" t="s">
        <v>403</v>
      </c>
      <c r="G395" s="15"/>
      <c r="H395" s="15" t="s">
        <v>394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28.9">
      <c r="A396" s="15" t="s">
        <v>161</v>
      </c>
      <c r="B396" s="15" t="s">
        <v>391</v>
      </c>
      <c r="C396" s="15" t="str">
        <f t="shared" si="4"/>
        <v>HSR Center</v>
      </c>
      <c r="D396" s="15" t="s">
        <v>392</v>
      </c>
      <c r="E396" s="15" t="str">
        <f t="shared" si="5"/>
        <v>RADM CEN Grocery RKA+Monetka,Krasnoe i beloe, Kiro</v>
      </c>
      <c r="F396" s="15" t="s">
        <v>403</v>
      </c>
      <c r="G396" s="15"/>
      <c r="H396" s="15" t="s">
        <v>394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28.9">
      <c r="A397" s="15" t="s">
        <v>20</v>
      </c>
      <c r="B397" s="15" t="s">
        <v>391</v>
      </c>
      <c r="C397" s="15" t="str">
        <f t="shared" si="4"/>
        <v>HSR Center</v>
      </c>
      <c r="D397" s="15" t="s">
        <v>392</v>
      </c>
      <c r="E397" s="15" t="str">
        <f t="shared" si="5"/>
        <v>RADM CEN Grocery RKA+Monetka,Krasnoe i beloe, Kiro</v>
      </c>
      <c r="F397" s="15" t="s">
        <v>403</v>
      </c>
      <c r="G397" s="15"/>
      <c r="H397" s="15" t="s">
        <v>394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28.9">
      <c r="A398" s="15" t="s">
        <v>109</v>
      </c>
      <c r="B398" s="15" t="s">
        <v>391</v>
      </c>
      <c r="C398" s="15" t="str">
        <f t="shared" si="4"/>
        <v>HSR Center</v>
      </c>
      <c r="D398" s="15" t="s">
        <v>392</v>
      </c>
      <c r="E398" s="15" t="str">
        <f t="shared" si="5"/>
        <v>RADM CEN Grocery RKA+Monetka,Krasnoe i beloe, Kiro</v>
      </c>
      <c r="F398" s="15" t="s">
        <v>403</v>
      </c>
      <c r="G398" s="15"/>
      <c r="H398" s="15" t="s">
        <v>394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28.9">
      <c r="A399" s="15" t="s">
        <v>159</v>
      </c>
      <c r="B399" s="15" t="s">
        <v>391</v>
      </c>
      <c r="C399" s="15" t="str">
        <f t="shared" si="4"/>
        <v>HSR Center</v>
      </c>
      <c r="D399" s="15" t="s">
        <v>392</v>
      </c>
      <c r="E399" s="15" t="str">
        <f t="shared" si="5"/>
        <v>RADM CEN Grocery RKA+Monetka,Krasnoe i beloe, Kiro</v>
      </c>
      <c r="F399" s="15" t="s">
        <v>403</v>
      </c>
      <c r="G399" s="15"/>
      <c r="H399" s="15" t="s">
        <v>394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28.9">
      <c r="A400" s="15" t="s">
        <v>437</v>
      </c>
      <c r="B400" s="15" t="s">
        <v>391</v>
      </c>
      <c r="C400" s="15" t="str">
        <f t="shared" si="4"/>
        <v>HSR Center</v>
      </c>
      <c r="D400" s="15" t="s">
        <v>392</v>
      </c>
      <c r="E400" s="15" t="str">
        <f t="shared" si="5"/>
        <v>RADM CEN Grocery RKA+Monetka,Krasnoe i beloe, Kiro</v>
      </c>
      <c r="F400" s="15" t="s">
        <v>403</v>
      </c>
      <c r="G400" s="15"/>
      <c r="H400" s="15" t="s">
        <v>394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28.9">
      <c r="A401" s="15" t="s">
        <v>165</v>
      </c>
      <c r="B401" s="15" t="s">
        <v>391</v>
      </c>
      <c r="C401" s="15" t="str">
        <f t="shared" si="4"/>
        <v>HSR Center</v>
      </c>
      <c r="D401" s="15" t="s">
        <v>392</v>
      </c>
      <c r="E401" s="15" t="str">
        <f t="shared" si="5"/>
        <v>RADM CEN Grocery RKA+Monetka,Krasnoe i beloe, Kiro</v>
      </c>
      <c r="F401" s="15" t="s">
        <v>403</v>
      </c>
      <c r="G401" s="15"/>
      <c r="H401" s="15" t="s">
        <v>394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28.9">
      <c r="A402" s="15" t="s">
        <v>156</v>
      </c>
      <c r="B402" s="15" t="s">
        <v>391</v>
      </c>
      <c r="C402" s="15" t="str">
        <f t="shared" si="4"/>
        <v>HSR Center</v>
      </c>
      <c r="D402" s="15" t="s">
        <v>392</v>
      </c>
      <c r="E402" s="15" t="str">
        <f t="shared" si="5"/>
        <v>RADM CEN Grocery RKA+Monetka,Krasnoe i beloe, Kiro</v>
      </c>
      <c r="F402" s="15" t="s">
        <v>403</v>
      </c>
      <c r="G402" s="15"/>
      <c r="H402" s="15" t="s">
        <v>394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28.9">
      <c r="A403" s="15" t="s">
        <v>97</v>
      </c>
      <c r="B403" s="15" t="s">
        <v>391</v>
      </c>
      <c r="C403" s="15" t="str">
        <f t="shared" si="4"/>
        <v>HSR Center</v>
      </c>
      <c r="D403" s="15" t="s">
        <v>392</v>
      </c>
      <c r="E403" s="15" t="str">
        <f t="shared" si="5"/>
        <v>RADM CEN Grocery RKA+Monetka,Krasnoe i beloe, Kiro</v>
      </c>
      <c r="F403" s="15" t="s">
        <v>403</v>
      </c>
      <c r="G403" s="15"/>
      <c r="H403" s="15" t="s">
        <v>394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28.9">
      <c r="A404" s="15" t="s">
        <v>19</v>
      </c>
      <c r="B404" s="15" t="s">
        <v>391</v>
      </c>
      <c r="C404" s="15" t="str">
        <f t="shared" si="4"/>
        <v>HSR Center</v>
      </c>
      <c r="D404" s="15" t="s">
        <v>392</v>
      </c>
      <c r="E404" s="15" t="str">
        <f t="shared" si="5"/>
        <v>RADM CEN Grocery RKA+Monetka,Krasnoe i beloe, Kiro</v>
      </c>
      <c r="F404" s="15" t="s">
        <v>403</v>
      </c>
      <c r="G404" s="15"/>
      <c r="H404" s="15" t="s">
        <v>394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28.9">
      <c r="A405" s="15" t="s">
        <v>440</v>
      </c>
      <c r="B405" s="15" t="s">
        <v>391</v>
      </c>
      <c r="C405" s="15" t="str">
        <f t="shared" si="4"/>
        <v>HSR Center</v>
      </c>
      <c r="D405" s="15" t="s">
        <v>392</v>
      </c>
      <c r="E405" s="15" t="str">
        <f t="shared" si="5"/>
        <v>RADM CEN Grocery RKA+Monetka,Krasnoe i beloe, Kiro</v>
      </c>
      <c r="F405" s="15" t="s">
        <v>403</v>
      </c>
      <c r="G405" s="15"/>
      <c r="H405" s="15" t="s">
        <v>394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28.9">
      <c r="A406" s="15" t="s">
        <v>341</v>
      </c>
      <c r="B406" s="15" t="s">
        <v>391</v>
      </c>
      <c r="C406" s="15" t="str">
        <f t="shared" si="4"/>
        <v>HSR Center</v>
      </c>
      <c r="D406" s="15" t="s">
        <v>392</v>
      </c>
      <c r="E406" s="15" t="str">
        <f t="shared" si="5"/>
        <v>RADM CEN Grocery RKA+Monetka,Krasnoe i beloe, Kiro</v>
      </c>
      <c r="F406" s="15" t="s">
        <v>403</v>
      </c>
      <c r="G406" s="15"/>
      <c r="H406" s="15" t="s">
        <v>394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28.9">
      <c r="A407" s="15" t="s">
        <v>425</v>
      </c>
      <c r="B407" s="15" t="s">
        <v>391</v>
      </c>
      <c r="C407" s="15" t="str">
        <f t="shared" si="4"/>
        <v>HSR Center</v>
      </c>
      <c r="D407" s="15" t="s">
        <v>392</v>
      </c>
      <c r="E407" s="15" t="str">
        <f t="shared" si="5"/>
        <v>RADM CEN Grocery RKA+Monetka,Krasnoe i beloe, Kiro</v>
      </c>
      <c r="F407" s="15" t="s">
        <v>441</v>
      </c>
      <c r="G407" s="15"/>
      <c r="H407" s="15" t="s">
        <v>365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28.9">
      <c r="A408" s="15" t="s">
        <v>388</v>
      </c>
      <c r="B408" s="15" t="s">
        <v>391</v>
      </c>
      <c r="C408" s="15" t="str">
        <f t="shared" si="4"/>
        <v>HSR Center</v>
      </c>
      <c r="D408" s="15" t="s">
        <v>392</v>
      </c>
      <c r="E408" s="15" t="str">
        <f t="shared" si="5"/>
        <v>RADM CEN Grocery RKA+Monetka,Krasnoe i beloe, Kiro</v>
      </c>
      <c r="F408" s="15" t="s">
        <v>441</v>
      </c>
      <c r="G408" s="15"/>
      <c r="H408" s="15" t="s">
        <v>365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28.9">
      <c r="A409" s="15" t="s">
        <v>358</v>
      </c>
      <c r="B409" s="15" t="s">
        <v>391</v>
      </c>
      <c r="C409" s="15" t="str">
        <f t="shared" si="4"/>
        <v>HSR Center</v>
      </c>
      <c r="D409" s="15" t="s">
        <v>392</v>
      </c>
      <c r="E409" s="15" t="str">
        <f t="shared" si="5"/>
        <v>RADM CEN Grocery RKA+Monetka,Krasnoe i beloe, Kiro</v>
      </c>
      <c r="F409" s="15" t="s">
        <v>441</v>
      </c>
      <c r="G409" s="15"/>
      <c r="H409" s="15" t="s">
        <v>365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28.9">
      <c r="A410" s="15" t="s">
        <v>160</v>
      </c>
      <c r="B410" s="15" t="s">
        <v>391</v>
      </c>
      <c r="C410" s="15" t="str">
        <f t="shared" si="4"/>
        <v>HSR Center</v>
      </c>
      <c r="D410" s="15" t="s">
        <v>392</v>
      </c>
      <c r="E410" s="15" t="str">
        <f t="shared" si="5"/>
        <v>RADM CEN Grocery RKA+Monetka,Krasnoe i beloe, Kiro</v>
      </c>
      <c r="F410" s="15" t="s">
        <v>441</v>
      </c>
      <c r="G410" s="15"/>
      <c r="H410" s="15" t="s">
        <v>365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28.9">
      <c r="A411" s="15" t="s">
        <v>94</v>
      </c>
      <c r="B411" s="15" t="s">
        <v>391</v>
      </c>
      <c r="C411" s="15" t="str">
        <f t="shared" si="4"/>
        <v>HSR Center</v>
      </c>
      <c r="D411" s="15" t="s">
        <v>392</v>
      </c>
      <c r="E411" s="15" t="str">
        <f t="shared" si="5"/>
        <v>RADM CEN Grocery RKA+Monetka,Krasnoe i beloe, Kiro</v>
      </c>
      <c r="F411" s="15" t="s">
        <v>441</v>
      </c>
      <c r="G411" s="15"/>
      <c r="H411" s="15" t="s">
        <v>365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28.9">
      <c r="A412" s="15" t="s">
        <v>349</v>
      </c>
      <c r="B412" s="15" t="s">
        <v>391</v>
      </c>
      <c r="C412" s="15" t="str">
        <f t="shared" si="4"/>
        <v>HSR Center</v>
      </c>
      <c r="D412" s="15" t="s">
        <v>392</v>
      </c>
      <c r="E412" s="15" t="str">
        <f t="shared" si="5"/>
        <v>RADM CEN Grocery RKA+Monetka,Krasnoe i beloe, Kiro</v>
      </c>
      <c r="F412" s="15" t="s">
        <v>441</v>
      </c>
      <c r="G412" s="15"/>
      <c r="H412" s="15" t="s">
        <v>365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28.9">
      <c r="A413" s="15" t="s">
        <v>45</v>
      </c>
      <c r="B413" s="15" t="s">
        <v>391</v>
      </c>
      <c r="C413" s="15" t="str">
        <f t="shared" si="4"/>
        <v>HSR Center</v>
      </c>
      <c r="D413" s="15" t="s">
        <v>392</v>
      </c>
      <c r="E413" s="15" t="str">
        <f t="shared" si="5"/>
        <v>RADM CEN Grocery RKA+Monetka,Krasnoe i beloe, Kiro</v>
      </c>
      <c r="F413" s="15" t="s">
        <v>441</v>
      </c>
      <c r="G413" s="15"/>
      <c r="H413" s="15" t="s">
        <v>365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28.9">
      <c r="A414" s="15" t="s">
        <v>178</v>
      </c>
      <c r="B414" s="15" t="s">
        <v>391</v>
      </c>
      <c r="C414" s="15" t="str">
        <f t="shared" si="4"/>
        <v>HSR Center</v>
      </c>
      <c r="D414" s="15" t="s">
        <v>392</v>
      </c>
      <c r="E414" s="15" t="str">
        <f t="shared" si="5"/>
        <v>RADM CEN Grocery RKA+Monetka,Krasnoe i beloe, Kiro</v>
      </c>
      <c r="F414" s="15" t="s">
        <v>441</v>
      </c>
      <c r="G414" s="15"/>
      <c r="H414" s="15" t="s">
        <v>365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28.9">
      <c r="A415" s="15" t="s">
        <v>140</v>
      </c>
      <c r="B415" s="15" t="s">
        <v>391</v>
      </c>
      <c r="C415" s="15" t="str">
        <f t="shared" si="4"/>
        <v>HSR Center</v>
      </c>
      <c r="D415" s="15" t="s">
        <v>392</v>
      </c>
      <c r="E415" s="15" t="str">
        <f t="shared" si="5"/>
        <v>RADM CEN Grocery RKA+Monetka,Krasnoe i beloe, Kiro</v>
      </c>
      <c r="F415" s="15" t="s">
        <v>441</v>
      </c>
      <c r="G415" s="15"/>
      <c r="H415" s="15" t="s">
        <v>365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28.9">
      <c r="A416" s="15" t="s">
        <v>115</v>
      </c>
      <c r="B416" s="15" t="s">
        <v>391</v>
      </c>
      <c r="C416" s="15" t="str">
        <f t="shared" si="4"/>
        <v>HSR Center</v>
      </c>
      <c r="D416" s="15" t="s">
        <v>392</v>
      </c>
      <c r="E416" s="15" t="str">
        <f t="shared" si="5"/>
        <v>RADM CEN Grocery RKA+Monetka,Krasnoe i beloe, Kiro</v>
      </c>
      <c r="F416" s="15" t="s">
        <v>441</v>
      </c>
      <c r="G416" s="15"/>
      <c r="H416" s="15" t="s">
        <v>365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28.9">
      <c r="A417" s="15" t="s">
        <v>350</v>
      </c>
      <c r="B417" s="15" t="s">
        <v>391</v>
      </c>
      <c r="C417" s="15" t="str">
        <f t="shared" si="4"/>
        <v>HSR Center</v>
      </c>
      <c r="D417" s="15" t="s">
        <v>392</v>
      </c>
      <c r="E417" s="15" t="str">
        <f t="shared" si="5"/>
        <v>RADM CEN Grocery RKA+Monetka,Krasnoe i beloe, Kiro</v>
      </c>
      <c r="F417" s="15" t="s">
        <v>441</v>
      </c>
      <c r="G417" s="15"/>
      <c r="H417" s="15" t="s">
        <v>365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28.9">
      <c r="A418" s="15" t="s">
        <v>338</v>
      </c>
      <c r="B418" s="15" t="s">
        <v>391</v>
      </c>
      <c r="C418" s="15" t="str">
        <f t="shared" si="4"/>
        <v>HSR Center</v>
      </c>
      <c r="D418" s="15" t="s">
        <v>392</v>
      </c>
      <c r="E418" s="15" t="str">
        <f t="shared" si="5"/>
        <v>RADM CEN Grocery RKA+Monetka,Krasnoe i beloe, Kiro</v>
      </c>
      <c r="F418" s="15" t="s">
        <v>441</v>
      </c>
      <c r="G418" s="15"/>
      <c r="H418" s="15" t="s">
        <v>365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28.9">
      <c r="A419" s="15" t="s">
        <v>131</v>
      </c>
      <c r="B419" s="15" t="s">
        <v>391</v>
      </c>
      <c r="C419" s="15" t="str">
        <f t="shared" si="4"/>
        <v>HSR Center</v>
      </c>
      <c r="D419" s="15" t="s">
        <v>392</v>
      </c>
      <c r="E419" s="15" t="str">
        <f t="shared" si="5"/>
        <v>RADM CEN Grocery RKA+Monetka,Krasnoe i beloe, Kiro</v>
      </c>
      <c r="F419" s="15" t="s">
        <v>441</v>
      </c>
      <c r="G419" s="15"/>
      <c r="H419" s="15" t="s">
        <v>365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28.9">
      <c r="A420" s="15" t="s">
        <v>127</v>
      </c>
      <c r="B420" s="15" t="s">
        <v>391</v>
      </c>
      <c r="C420" s="15" t="str">
        <f t="shared" si="4"/>
        <v>HSR Center</v>
      </c>
      <c r="D420" s="15" t="s">
        <v>392</v>
      </c>
      <c r="E420" s="15" t="str">
        <f t="shared" si="5"/>
        <v>RADM CEN Grocery RKA+Monetka,Krasnoe i beloe, Kiro</v>
      </c>
      <c r="F420" s="15" t="s">
        <v>441</v>
      </c>
      <c r="G420" s="15"/>
      <c r="H420" s="15" t="s">
        <v>365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28.9">
      <c r="A421" s="15" t="s">
        <v>106</v>
      </c>
      <c r="B421" s="15" t="s">
        <v>391</v>
      </c>
      <c r="C421" s="15" t="str">
        <f t="shared" si="4"/>
        <v>HSR Center</v>
      </c>
      <c r="D421" s="15" t="s">
        <v>392</v>
      </c>
      <c r="E421" s="15" t="str">
        <f t="shared" si="5"/>
        <v>RADM CEN Grocery RKA+Monetka,Krasnoe i beloe, Kiro</v>
      </c>
      <c r="F421" s="15" t="s">
        <v>441</v>
      </c>
      <c r="G421" s="15"/>
      <c r="H421" s="15" t="s">
        <v>365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28.9">
      <c r="A422" s="15" t="s">
        <v>161</v>
      </c>
      <c r="B422" s="15" t="s">
        <v>391</v>
      </c>
      <c r="C422" s="15" t="str">
        <f t="shared" si="4"/>
        <v>HSR Center</v>
      </c>
      <c r="D422" s="15" t="s">
        <v>392</v>
      </c>
      <c r="E422" s="15" t="str">
        <f t="shared" si="5"/>
        <v>RADM CEN Grocery RKA+Monetka,Krasnoe i beloe, Kiro</v>
      </c>
      <c r="F422" s="15" t="s">
        <v>441</v>
      </c>
      <c r="G422" s="15"/>
      <c r="H422" s="15" t="s">
        <v>365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28.9">
      <c r="A423" s="15" t="s">
        <v>351</v>
      </c>
      <c r="B423" s="15" t="s">
        <v>391</v>
      </c>
      <c r="C423" s="15" t="str">
        <f t="shared" si="4"/>
        <v>HSR Center</v>
      </c>
      <c r="D423" s="15" t="s">
        <v>392</v>
      </c>
      <c r="E423" s="15" t="str">
        <f t="shared" si="5"/>
        <v>RADM CEN Grocery RKA+Monetka,Krasnoe i beloe, Kiro</v>
      </c>
      <c r="F423" s="15" t="s">
        <v>441</v>
      </c>
      <c r="G423" s="15"/>
      <c r="H423" s="15" t="s">
        <v>365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28.9">
      <c r="A424" s="15" t="s">
        <v>122</v>
      </c>
      <c r="B424" s="15" t="s">
        <v>391</v>
      </c>
      <c r="C424" s="15" t="str">
        <f t="shared" si="4"/>
        <v>HSR Center</v>
      </c>
      <c r="D424" s="15" t="s">
        <v>392</v>
      </c>
      <c r="E424" s="15" t="str">
        <f t="shared" si="5"/>
        <v>RADM CEN Grocery RKA+Monetka,Krasnoe i beloe, Kiro</v>
      </c>
      <c r="F424" s="15" t="s">
        <v>441</v>
      </c>
      <c r="G424" s="15"/>
      <c r="H424" s="15" t="s">
        <v>365</v>
      </c>
      <c r="I424" s="15">
        <v>1</v>
      </c>
      <c r="J424" s="15">
        <v>1</v>
      </c>
      <c r="K424" s="15" t="s">
        <v>348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28.9">
      <c r="A425" s="15" t="s">
        <v>165</v>
      </c>
      <c r="B425" s="15" t="s">
        <v>391</v>
      </c>
      <c r="C425" s="15" t="str">
        <f t="shared" si="4"/>
        <v>HSR Center</v>
      </c>
      <c r="D425" s="15" t="s">
        <v>392</v>
      </c>
      <c r="E425" s="15" t="str">
        <f t="shared" si="5"/>
        <v>RADM CEN Grocery RKA+Monetka,Krasnoe i beloe, Kiro</v>
      </c>
      <c r="F425" s="15" t="s">
        <v>441</v>
      </c>
      <c r="G425" s="15"/>
      <c r="H425" s="15" t="s">
        <v>365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28.9">
      <c r="A426" s="15" t="s">
        <v>97</v>
      </c>
      <c r="B426" s="15" t="s">
        <v>391</v>
      </c>
      <c r="C426" s="15" t="str">
        <f t="shared" si="4"/>
        <v>HSR Center</v>
      </c>
      <c r="D426" s="15" t="s">
        <v>392</v>
      </c>
      <c r="E426" s="15" t="str">
        <f t="shared" si="5"/>
        <v>RADM CEN Grocery RKA+Monetka,Krasnoe i beloe, Kiro</v>
      </c>
      <c r="F426" s="15" t="s">
        <v>441</v>
      </c>
      <c r="G426" s="15"/>
      <c r="H426" s="15" t="s">
        <v>365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28.9">
      <c r="A427" s="15" t="s">
        <v>58</v>
      </c>
      <c r="B427" s="15" t="s">
        <v>391</v>
      </c>
      <c r="C427" s="15" t="str">
        <f t="shared" si="4"/>
        <v>HSR Center</v>
      </c>
      <c r="D427" s="15" t="s">
        <v>392</v>
      </c>
      <c r="E427" s="15" t="str">
        <f t="shared" si="5"/>
        <v>RADM CEN Grocery RKA+Monetka,Krasnoe i beloe, Kiro</v>
      </c>
      <c r="F427" s="15" t="s">
        <v>441</v>
      </c>
      <c r="G427" s="15"/>
      <c r="H427" s="15" t="s">
        <v>365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28.9">
      <c r="A428" s="15" t="s">
        <v>137</v>
      </c>
      <c r="B428" s="15" t="s">
        <v>391</v>
      </c>
      <c r="C428" s="15" t="str">
        <f t="shared" si="4"/>
        <v>HSR Center</v>
      </c>
      <c r="D428" s="15" t="s">
        <v>392</v>
      </c>
      <c r="E428" s="15" t="str">
        <f t="shared" si="5"/>
        <v>RADM CEN Grocery RKA+Monetka,Krasnoe i beloe, Kiro</v>
      </c>
      <c r="F428" s="15" t="s">
        <v>441</v>
      </c>
      <c r="G428" s="15"/>
      <c r="H428" s="15" t="s">
        <v>365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28.9">
      <c r="A429" s="15" t="s">
        <v>124</v>
      </c>
      <c r="B429" s="15" t="s">
        <v>391</v>
      </c>
      <c r="C429" s="15" t="str">
        <f t="shared" si="4"/>
        <v>HSR Center</v>
      </c>
      <c r="D429" s="15" t="s">
        <v>392</v>
      </c>
      <c r="E429" s="15" t="str">
        <f t="shared" si="5"/>
        <v>RADM CEN Grocery RKA+Monetka,Krasnoe i beloe, Kiro</v>
      </c>
      <c r="F429" s="15" t="s">
        <v>441</v>
      </c>
      <c r="G429" s="15"/>
      <c r="H429" s="15" t="s">
        <v>365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28.9">
      <c r="A430" s="15" t="s">
        <v>390</v>
      </c>
      <c r="B430" s="15" t="s">
        <v>391</v>
      </c>
      <c r="C430" s="15" t="str">
        <f t="shared" si="4"/>
        <v>HSR Center</v>
      </c>
      <c r="D430" s="15" t="s">
        <v>392</v>
      </c>
      <c r="E430" s="15" t="str">
        <f t="shared" si="5"/>
        <v>RADM CEN Grocery RKA+Monetka,Krasnoe i beloe, Kiro</v>
      </c>
      <c r="F430" s="15" t="s">
        <v>441</v>
      </c>
      <c r="G430" s="15"/>
      <c r="H430" s="15" t="s">
        <v>365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28.9">
      <c r="A431" s="15" t="s">
        <v>352</v>
      </c>
      <c r="B431" s="15" t="s">
        <v>391</v>
      </c>
      <c r="C431" s="15" t="str">
        <f t="shared" si="4"/>
        <v>HSR Center</v>
      </c>
      <c r="D431" s="15" t="s">
        <v>392</v>
      </c>
      <c r="E431" s="15" t="str">
        <f t="shared" si="5"/>
        <v>RADM CEN Grocery RKA+Monetka,Krasnoe i beloe, Kiro</v>
      </c>
      <c r="F431" s="15" t="s">
        <v>441</v>
      </c>
      <c r="G431" s="15"/>
      <c r="H431" s="15" t="s">
        <v>365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28.9">
      <c r="A432" s="15" t="s">
        <v>107</v>
      </c>
      <c r="B432" s="15" t="s">
        <v>391</v>
      </c>
      <c r="C432" s="15" t="str">
        <f t="shared" si="4"/>
        <v>HSR Center</v>
      </c>
      <c r="D432" s="15" t="s">
        <v>392</v>
      </c>
      <c r="E432" s="15" t="str">
        <f t="shared" si="5"/>
        <v>RADM CEN Grocery RKA+Monetka,Krasnoe i beloe, Kiro</v>
      </c>
      <c r="F432" s="15" t="s">
        <v>441</v>
      </c>
      <c r="G432" s="15"/>
      <c r="H432" s="15" t="s">
        <v>365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28.9">
      <c r="A433" s="15" t="s">
        <v>422</v>
      </c>
      <c r="B433" s="15" t="s">
        <v>391</v>
      </c>
      <c r="C433" s="15" t="str">
        <f t="shared" si="4"/>
        <v>HSR Center</v>
      </c>
      <c r="D433" s="15" t="s">
        <v>392</v>
      </c>
      <c r="E433" s="15" t="str">
        <f t="shared" si="5"/>
        <v>RADM CEN Grocery RKA+Monetka,Krasnoe i beloe, Kiro</v>
      </c>
      <c r="F433" s="15" t="s">
        <v>441</v>
      </c>
      <c r="G433" s="15"/>
      <c r="H433" s="15" t="s">
        <v>365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>
      <c r="A434" s="15" t="s">
        <v>85</v>
      </c>
      <c r="B434" s="15" t="s">
        <v>443</v>
      </c>
      <c r="C434" s="15" t="str">
        <f t="shared" si="4"/>
        <v>HSR RFE</v>
      </c>
      <c r="D434" s="15" t="s">
        <v>444</v>
      </c>
      <c r="E434" s="15" t="str">
        <f t="shared" si="5"/>
        <v>ASM RFE Grocery+SPT Khabarovsk</v>
      </c>
      <c r="F434" s="15" t="s">
        <v>445</v>
      </c>
      <c r="G434" s="15"/>
      <c r="H434" s="15" t="s">
        <v>426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>
      <c r="A435" s="15" t="s">
        <v>85</v>
      </c>
      <c r="B435" s="15" t="s">
        <v>443</v>
      </c>
      <c r="C435" s="15" t="str">
        <f t="shared" si="4"/>
        <v>HSR RFE</v>
      </c>
      <c r="D435" s="15" t="s">
        <v>444</v>
      </c>
      <c r="E435" s="15" t="str">
        <f t="shared" si="5"/>
        <v>ASM RFE Grocery+SPT Khabarovsk</v>
      </c>
      <c r="F435" s="15" t="s">
        <v>446</v>
      </c>
      <c r="G435" s="15"/>
      <c r="H435" s="15" t="s">
        <v>447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>
      <c r="A436" s="15" t="s">
        <v>85</v>
      </c>
      <c r="B436" s="15" t="s">
        <v>443</v>
      </c>
      <c r="C436" s="15" t="str">
        <f t="shared" si="4"/>
        <v>HSR RFE</v>
      </c>
      <c r="D436" s="15" t="s">
        <v>444</v>
      </c>
      <c r="E436" s="15" t="str">
        <f t="shared" si="5"/>
        <v>ASM RFE Grocery+SPT Khabarovsk</v>
      </c>
      <c r="F436" s="15" t="s">
        <v>446</v>
      </c>
      <c r="G436" s="15"/>
      <c r="H436" s="15" t="s">
        <v>426</v>
      </c>
      <c r="I436" s="15"/>
      <c r="J436" s="15"/>
      <c r="K436" s="15" t="s">
        <v>348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>
      <c r="A437" s="15" t="s">
        <v>91</v>
      </c>
      <c r="B437" s="15" t="s">
        <v>443</v>
      </c>
      <c r="C437" s="15" t="str">
        <f t="shared" si="4"/>
        <v>HSR RFE</v>
      </c>
      <c r="D437" s="15" t="s">
        <v>448</v>
      </c>
      <c r="E437" s="15" t="str">
        <f t="shared" si="5"/>
        <v>ASM RFE Grocery+SPT Irkutsk</v>
      </c>
      <c r="F437" s="15" t="s">
        <v>449</v>
      </c>
      <c r="G437" s="15"/>
      <c r="H437" s="15" t="s">
        <v>429</v>
      </c>
      <c r="I437" s="15"/>
      <c r="J437" s="15"/>
      <c r="K437" s="15" t="s">
        <v>382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>
      <c r="A438" s="15" t="s">
        <v>91</v>
      </c>
      <c r="B438" s="15" t="s">
        <v>443</v>
      </c>
      <c r="C438" s="15" t="str">
        <f t="shared" si="4"/>
        <v>HSR RFE</v>
      </c>
      <c r="D438" s="15" t="s">
        <v>448</v>
      </c>
      <c r="E438" s="15" t="str">
        <f t="shared" si="5"/>
        <v>ASM RFE Grocery+SPT Irkutsk</v>
      </c>
      <c r="F438" s="15" t="s">
        <v>450</v>
      </c>
      <c r="G438" s="15"/>
      <c r="H438" s="15" t="s">
        <v>429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>
      <c r="A439" s="15" t="s">
        <v>91</v>
      </c>
      <c r="B439" s="15" t="s">
        <v>443</v>
      </c>
      <c r="C439" s="15" t="str">
        <f t="shared" si="4"/>
        <v>HSR RFE</v>
      </c>
      <c r="D439" s="15" t="s">
        <v>448</v>
      </c>
      <c r="E439" s="15" t="str">
        <f t="shared" si="5"/>
        <v>ASM RFE Grocery+SPT Irkutsk</v>
      </c>
      <c r="F439" s="15" t="s">
        <v>451</v>
      </c>
      <c r="G439" s="15"/>
      <c r="H439" s="15" t="s">
        <v>429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>
      <c r="A440" s="15" t="s">
        <v>91</v>
      </c>
      <c r="B440" s="15" t="s">
        <v>443</v>
      </c>
      <c r="C440" s="15" t="str">
        <f t="shared" si="4"/>
        <v>HSR RFE</v>
      </c>
      <c r="D440" s="15" t="s">
        <v>452</v>
      </c>
      <c r="E440" s="15" t="str">
        <f t="shared" si="5"/>
        <v>RDM RFE Grocery SS</v>
      </c>
      <c r="F440" s="15" t="s">
        <v>453</v>
      </c>
      <c r="G440" s="15"/>
      <c r="H440" s="15" t="s">
        <v>429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>
      <c r="A441" s="15" t="s">
        <v>454</v>
      </c>
      <c r="B441" s="15" t="s">
        <v>443</v>
      </c>
      <c r="C441" s="15" t="str">
        <f t="shared" si="4"/>
        <v>HSR RFE</v>
      </c>
      <c r="D441" s="15" t="s">
        <v>444</v>
      </c>
      <c r="E441" s="15" t="str">
        <f t="shared" si="5"/>
        <v>ASM RFE Grocery+SPT Khabarovsk</v>
      </c>
      <c r="F441" s="15" t="s">
        <v>445</v>
      </c>
      <c r="G441" s="15"/>
      <c r="H441" s="15" t="s">
        <v>455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>
      <c r="A442" s="15" t="s">
        <v>454</v>
      </c>
      <c r="B442" s="15" t="s">
        <v>443</v>
      </c>
      <c r="C442" s="15" t="str">
        <f t="shared" si="4"/>
        <v>HSR RFE</v>
      </c>
      <c r="D442" s="15" t="s">
        <v>444</v>
      </c>
      <c r="E442" s="15" t="str">
        <f t="shared" si="5"/>
        <v>ASM RFE Grocery+SPT Khabarovsk</v>
      </c>
      <c r="F442" s="15" t="s">
        <v>456</v>
      </c>
      <c r="G442" s="15"/>
      <c r="H442" s="15" t="s">
        <v>426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>
      <c r="A443" s="15" t="s">
        <v>454</v>
      </c>
      <c r="B443" s="15" t="s">
        <v>443</v>
      </c>
      <c r="C443" s="15" t="str">
        <f t="shared" si="4"/>
        <v>HSR RFE</v>
      </c>
      <c r="D443" s="15" t="s">
        <v>444</v>
      </c>
      <c r="E443" s="15" t="str">
        <f t="shared" si="5"/>
        <v>ASM RFE Grocery+SPT Khabarovsk</v>
      </c>
      <c r="F443" s="15" t="s">
        <v>445</v>
      </c>
      <c r="G443" s="15"/>
      <c r="H443" s="15" t="s">
        <v>426</v>
      </c>
      <c r="I443" s="15"/>
      <c r="J443" s="15"/>
      <c r="K443" s="15" t="s">
        <v>348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>
      <c r="A444" s="15" t="s">
        <v>430</v>
      </c>
      <c r="B444" s="15" t="s">
        <v>443</v>
      </c>
      <c r="C444" s="15" t="str">
        <f t="shared" si="4"/>
        <v>HSR RFE</v>
      </c>
      <c r="D444" s="15" t="s">
        <v>448</v>
      </c>
      <c r="E444" s="15" t="str">
        <f t="shared" si="5"/>
        <v>ASM RFE Grocery+SPT Irkutsk</v>
      </c>
      <c r="F444" s="15" t="s">
        <v>457</v>
      </c>
      <c r="G444" s="15"/>
      <c r="H444" s="15" t="s">
        <v>429</v>
      </c>
      <c r="I444" s="15"/>
      <c r="J444" s="15"/>
      <c r="K444" s="15" t="s">
        <v>382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>
      <c r="A445" s="15" t="s">
        <v>430</v>
      </c>
      <c r="B445" s="15" t="s">
        <v>443</v>
      </c>
      <c r="C445" s="15" t="str">
        <f t="shared" si="4"/>
        <v>HSR RFE</v>
      </c>
      <c r="D445" s="15" t="s">
        <v>452</v>
      </c>
      <c r="E445" s="15" t="str">
        <f t="shared" si="5"/>
        <v>RDM RFE Grocery SS</v>
      </c>
      <c r="F445" s="15" t="s">
        <v>453</v>
      </c>
      <c r="G445" s="15"/>
      <c r="H445" s="15" t="s">
        <v>429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>
      <c r="A446" s="15" t="s">
        <v>94</v>
      </c>
      <c r="B446" s="15" t="s">
        <v>443</v>
      </c>
      <c r="C446" s="15" t="str">
        <f t="shared" si="4"/>
        <v>HSR RFE</v>
      </c>
      <c r="D446" s="15" t="s">
        <v>448</v>
      </c>
      <c r="E446" s="15" t="str">
        <f t="shared" si="5"/>
        <v>ASM RFE Grocery+SPT Irkutsk</v>
      </c>
      <c r="F446" s="15" t="s">
        <v>449</v>
      </c>
      <c r="G446" s="15"/>
      <c r="H446" s="15" t="s">
        <v>429</v>
      </c>
      <c r="I446" s="15">
        <v>1</v>
      </c>
      <c r="J446" s="15">
        <v>2</v>
      </c>
      <c r="K446" s="15" t="s">
        <v>382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>
      <c r="A447" s="15" t="s">
        <v>94</v>
      </c>
      <c r="B447" s="15" t="s">
        <v>443</v>
      </c>
      <c r="C447" s="15" t="str">
        <f t="shared" si="4"/>
        <v>HSR RFE</v>
      </c>
      <c r="D447" s="15" t="s">
        <v>448</v>
      </c>
      <c r="E447" s="15" t="str">
        <f t="shared" si="5"/>
        <v>ASM RFE Grocery+SPT Irkutsk</v>
      </c>
      <c r="F447" s="15" t="s">
        <v>450</v>
      </c>
      <c r="G447" s="15"/>
      <c r="H447" s="15" t="s">
        <v>429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>
      <c r="A448" s="15" t="s">
        <v>94</v>
      </c>
      <c r="B448" s="15" t="s">
        <v>443</v>
      </c>
      <c r="C448" s="15" t="str">
        <f t="shared" si="4"/>
        <v>HSR RFE</v>
      </c>
      <c r="D448" s="15" t="s">
        <v>448</v>
      </c>
      <c r="E448" s="15" t="str">
        <f t="shared" si="5"/>
        <v>ASM RFE Grocery+SPT Irkutsk</v>
      </c>
      <c r="F448" s="15" t="s">
        <v>451</v>
      </c>
      <c r="G448" s="15"/>
      <c r="H448" s="15" t="s">
        <v>429</v>
      </c>
      <c r="I448" s="15"/>
      <c r="J448" s="15"/>
      <c r="K448" s="15" t="s">
        <v>382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>
      <c r="A449" s="15" t="s">
        <v>94</v>
      </c>
      <c r="B449" s="15" t="s">
        <v>443</v>
      </c>
      <c r="C449" s="15" t="str">
        <f t="shared" si="4"/>
        <v>HSR RFE</v>
      </c>
      <c r="D449" s="15" t="s">
        <v>458</v>
      </c>
      <c r="E449" s="15" t="str">
        <f t="shared" si="5"/>
        <v>ASM RFE Grocery+SPT Vladivostok</v>
      </c>
      <c r="F449" s="15" t="s">
        <v>459</v>
      </c>
      <c r="G449" s="15"/>
      <c r="H449" s="15" t="s">
        <v>429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>
      <c r="A450" s="15" t="s">
        <v>94</v>
      </c>
      <c r="B450" s="15" t="s">
        <v>443</v>
      </c>
      <c r="C450" s="15" t="str">
        <f t="shared" si="4"/>
        <v>HSR RFE</v>
      </c>
      <c r="D450" s="15" t="s">
        <v>452</v>
      </c>
      <c r="E450" s="15" t="str">
        <f t="shared" si="5"/>
        <v>RDM RFE Grocery SS</v>
      </c>
      <c r="F450" s="15" t="s">
        <v>453</v>
      </c>
      <c r="G450" s="15"/>
      <c r="H450" s="15" t="s">
        <v>429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>
      <c r="A451" s="15" t="s">
        <v>432</v>
      </c>
      <c r="B451" s="15" t="s">
        <v>443</v>
      </c>
      <c r="C451" s="15" t="str">
        <f t="shared" si="4"/>
        <v>HSR RFE</v>
      </c>
      <c r="D451" s="15" t="s">
        <v>458</v>
      </c>
      <c r="E451" s="15" t="str">
        <f t="shared" si="5"/>
        <v>ASM RFE Grocery+SPT Vladivostok</v>
      </c>
      <c r="F451" s="15" t="s">
        <v>460</v>
      </c>
      <c r="G451" s="15"/>
      <c r="H451" s="15" t="s">
        <v>426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>
      <c r="A452" s="15" t="s">
        <v>69</v>
      </c>
      <c r="B452" s="15" t="s">
        <v>443</v>
      </c>
      <c r="C452" s="15" t="str">
        <f t="shared" si="4"/>
        <v>HSR RFE</v>
      </c>
      <c r="D452" s="15" t="s">
        <v>458</v>
      </c>
      <c r="E452" s="15" t="str">
        <f t="shared" si="5"/>
        <v>ASM RFE Grocery+SPT Vladivostok</v>
      </c>
      <c r="F452" s="15" t="s">
        <v>459</v>
      </c>
      <c r="G452" s="15"/>
      <c r="H452" s="15" t="s">
        <v>455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>
      <c r="A453" s="15" t="s">
        <v>69</v>
      </c>
      <c r="B453" s="15" t="s">
        <v>443</v>
      </c>
      <c r="C453" s="15" t="str">
        <f t="shared" ref="C453:C516" si="6">B453</f>
        <v>HSR RFE</v>
      </c>
      <c r="D453" s="15" t="s">
        <v>458</v>
      </c>
      <c r="E453" s="15" t="str">
        <f t="shared" ref="E453:E516" si="7">D453</f>
        <v>ASM RFE Grocery+SPT Vladivostok</v>
      </c>
      <c r="F453" s="15" t="s">
        <v>459</v>
      </c>
      <c r="G453" s="15"/>
      <c r="H453" s="15" t="s">
        <v>426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>
      <c r="A454" s="15" t="s">
        <v>436</v>
      </c>
      <c r="B454" s="15" t="s">
        <v>443</v>
      </c>
      <c r="C454" s="15" t="str">
        <f t="shared" si="6"/>
        <v>HSR RFE</v>
      </c>
      <c r="D454" s="15" t="s">
        <v>458</v>
      </c>
      <c r="E454" s="15" t="str">
        <f t="shared" si="7"/>
        <v>ASM RFE Grocery+SPT Vladivostok</v>
      </c>
      <c r="F454" s="15" t="s">
        <v>461</v>
      </c>
      <c r="G454" s="15"/>
      <c r="H454" s="15" t="s">
        <v>455</v>
      </c>
      <c r="I454" s="15">
        <v>1</v>
      </c>
      <c r="J454" s="15">
        <v>2</v>
      </c>
      <c r="K454" s="15" t="s">
        <v>348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>
      <c r="A455" s="15" t="s">
        <v>436</v>
      </c>
      <c r="B455" s="15" t="s">
        <v>443</v>
      </c>
      <c r="C455" s="15" t="str">
        <f t="shared" si="6"/>
        <v>HSR RFE</v>
      </c>
      <c r="D455" s="15" t="s">
        <v>458</v>
      </c>
      <c r="E455" s="15" t="str">
        <f t="shared" si="7"/>
        <v>ASM RFE Grocery+SPT Vladivostok</v>
      </c>
      <c r="F455" s="15" t="s">
        <v>461</v>
      </c>
      <c r="G455" s="15"/>
      <c r="H455" s="15" t="s">
        <v>426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>
      <c r="A456" s="15" t="s">
        <v>436</v>
      </c>
      <c r="B456" s="15" t="s">
        <v>443</v>
      </c>
      <c r="C456" s="15" t="str">
        <f t="shared" si="6"/>
        <v>HSR RFE</v>
      </c>
      <c r="D456" s="15" t="s">
        <v>458</v>
      </c>
      <c r="E456" s="15" t="str">
        <f t="shared" si="7"/>
        <v>ASM RFE Grocery+SPT Vladivostok</v>
      </c>
      <c r="F456" s="15" t="s">
        <v>462</v>
      </c>
      <c r="G456" s="15"/>
      <c r="H456" s="15" t="s">
        <v>455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>
      <c r="A457" s="15" t="s">
        <v>436</v>
      </c>
      <c r="B457" s="15" t="s">
        <v>443</v>
      </c>
      <c r="C457" s="15" t="str">
        <f t="shared" si="6"/>
        <v>HSR RFE</v>
      </c>
      <c r="D457" s="15" t="s">
        <v>458</v>
      </c>
      <c r="E457" s="15" t="str">
        <f t="shared" si="7"/>
        <v>ASM RFE Grocery+SPT Vladivostok</v>
      </c>
      <c r="F457" s="15" t="s">
        <v>462</v>
      </c>
      <c r="G457" s="15"/>
      <c r="H457" s="15" t="s">
        <v>426</v>
      </c>
      <c r="I457" s="15"/>
      <c r="J457" s="15"/>
      <c r="K457" s="15" t="s">
        <v>348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>
      <c r="A458" s="15" t="s">
        <v>436</v>
      </c>
      <c r="B458" s="15" t="s">
        <v>443</v>
      </c>
      <c r="C458" s="15" t="str">
        <f t="shared" si="6"/>
        <v>HSR RFE</v>
      </c>
      <c r="D458" s="15" t="s">
        <v>458</v>
      </c>
      <c r="E458" s="15" t="str">
        <f t="shared" si="7"/>
        <v>ASM RFE Grocery+SPT Vladivostok</v>
      </c>
      <c r="F458" s="15" t="s">
        <v>459</v>
      </c>
      <c r="G458" s="15"/>
      <c r="H458" s="15" t="s">
        <v>455</v>
      </c>
      <c r="I458" s="15"/>
      <c r="J458" s="15"/>
      <c r="K458" s="15" t="s">
        <v>348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>
      <c r="A459" s="15" t="s">
        <v>436</v>
      </c>
      <c r="B459" s="15" t="s">
        <v>443</v>
      </c>
      <c r="C459" s="15" t="str">
        <f t="shared" si="6"/>
        <v>HSR RFE</v>
      </c>
      <c r="D459" s="15" t="s">
        <v>458</v>
      </c>
      <c r="E459" s="15" t="str">
        <f t="shared" si="7"/>
        <v>ASM RFE Grocery+SPT Vladivostok</v>
      </c>
      <c r="F459" s="15" t="s">
        <v>459</v>
      </c>
      <c r="G459" s="15"/>
      <c r="H459" s="15" t="s">
        <v>426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>
      <c r="A460" s="15" t="s">
        <v>436</v>
      </c>
      <c r="B460" s="15" t="s">
        <v>443</v>
      </c>
      <c r="C460" s="15" t="str">
        <f t="shared" si="6"/>
        <v>HSR RFE</v>
      </c>
      <c r="D460" s="15" t="s">
        <v>452</v>
      </c>
      <c r="E460" s="15" t="str">
        <f t="shared" si="7"/>
        <v>RDM RFE Grocery SS</v>
      </c>
      <c r="F460" s="15" t="s">
        <v>453</v>
      </c>
      <c r="G460" s="15"/>
      <c r="H460" s="15" t="s">
        <v>455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>
      <c r="A461" s="15" t="s">
        <v>436</v>
      </c>
      <c r="B461" s="15" t="s">
        <v>443</v>
      </c>
      <c r="C461" s="15" t="str">
        <f t="shared" si="6"/>
        <v>HSR RFE</v>
      </c>
      <c r="D461" s="15" t="s">
        <v>452</v>
      </c>
      <c r="E461" s="15" t="str">
        <f t="shared" si="7"/>
        <v>RDM RFE Grocery SS</v>
      </c>
      <c r="F461" s="15" t="s">
        <v>453</v>
      </c>
      <c r="G461" s="15"/>
      <c r="H461" s="15" t="s">
        <v>426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>
      <c r="A462" s="15" t="s">
        <v>463</v>
      </c>
      <c r="B462" s="15" t="s">
        <v>443</v>
      </c>
      <c r="C462" s="15" t="str">
        <f t="shared" si="6"/>
        <v>HSR RFE</v>
      </c>
      <c r="D462" s="15" t="s">
        <v>444</v>
      </c>
      <c r="E462" s="15" t="str">
        <f t="shared" si="7"/>
        <v>ASM RFE Grocery+SPT Khabarovsk</v>
      </c>
      <c r="F462" s="15" t="s">
        <v>464</v>
      </c>
      <c r="G462" s="15"/>
      <c r="H462" s="15" t="s">
        <v>447</v>
      </c>
      <c r="I462" s="15">
        <v>1</v>
      </c>
      <c r="J462" s="15"/>
      <c r="K462" s="15" t="s">
        <v>348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>
      <c r="A463" s="15" t="s">
        <v>463</v>
      </c>
      <c r="B463" s="15" t="s">
        <v>443</v>
      </c>
      <c r="C463" s="15" t="str">
        <f t="shared" si="6"/>
        <v>HSR RFE</v>
      </c>
      <c r="D463" s="15" t="s">
        <v>444</v>
      </c>
      <c r="E463" s="15" t="str">
        <f t="shared" si="7"/>
        <v>ASM RFE Grocery+SPT Khabarovsk</v>
      </c>
      <c r="F463" s="15" t="s">
        <v>464</v>
      </c>
      <c r="G463" s="15"/>
      <c r="H463" s="15" t="s">
        <v>455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>
      <c r="A464" s="15" t="s">
        <v>463</v>
      </c>
      <c r="B464" s="15" t="s">
        <v>443</v>
      </c>
      <c r="C464" s="15" t="str">
        <f t="shared" si="6"/>
        <v>HSR RFE</v>
      </c>
      <c r="D464" s="15" t="s">
        <v>444</v>
      </c>
      <c r="E464" s="15" t="str">
        <f t="shared" si="7"/>
        <v>ASM RFE Grocery+SPT Khabarovsk</v>
      </c>
      <c r="F464" s="15" t="s">
        <v>464</v>
      </c>
      <c r="G464" s="15"/>
      <c r="H464" s="15" t="s">
        <v>426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>
      <c r="A465" s="15" t="s">
        <v>68</v>
      </c>
      <c r="B465" s="15" t="s">
        <v>443</v>
      </c>
      <c r="C465" s="15" t="str">
        <f t="shared" si="6"/>
        <v>HSR RFE</v>
      </c>
      <c r="D465" s="15" t="s">
        <v>458</v>
      </c>
      <c r="E465" s="15" t="str">
        <f t="shared" si="7"/>
        <v>ASM RFE Grocery+SPT Vladivostok</v>
      </c>
      <c r="F465" s="15" t="s">
        <v>460</v>
      </c>
      <c r="G465" s="15"/>
      <c r="H465" s="15" t="s">
        <v>455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>
      <c r="A466" s="15" t="s">
        <v>68</v>
      </c>
      <c r="B466" s="15" t="s">
        <v>443</v>
      </c>
      <c r="C466" s="15" t="str">
        <f t="shared" si="6"/>
        <v>HSR RFE</v>
      </c>
      <c r="D466" s="15" t="s">
        <v>458</v>
      </c>
      <c r="E466" s="15" t="str">
        <f t="shared" si="7"/>
        <v>ASM RFE Grocery+SPT Vladivostok</v>
      </c>
      <c r="F466" s="15" t="s">
        <v>460</v>
      </c>
      <c r="G466" s="15"/>
      <c r="H466" s="15" t="s">
        <v>426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>
      <c r="A467" s="15" t="s">
        <v>77</v>
      </c>
      <c r="B467" s="15" t="s">
        <v>443</v>
      </c>
      <c r="C467" s="15" t="str">
        <f t="shared" si="6"/>
        <v>HSR RFE</v>
      </c>
      <c r="D467" s="15" t="s">
        <v>444</v>
      </c>
      <c r="E467" s="15" t="str">
        <f t="shared" si="7"/>
        <v>ASM RFE Grocery+SPT Khabarovsk</v>
      </c>
      <c r="F467" s="15" t="s">
        <v>445</v>
      </c>
      <c r="G467" s="15"/>
      <c r="H467" s="15" t="s">
        <v>455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>
      <c r="A468" s="15" t="s">
        <v>77</v>
      </c>
      <c r="B468" s="15" t="s">
        <v>443</v>
      </c>
      <c r="C468" s="15" t="str">
        <f t="shared" si="6"/>
        <v>HSR RFE</v>
      </c>
      <c r="D468" s="15" t="s">
        <v>444</v>
      </c>
      <c r="E468" s="15" t="str">
        <f t="shared" si="7"/>
        <v>ASM RFE Grocery+SPT Khabarovsk</v>
      </c>
      <c r="F468" s="15" t="s">
        <v>445</v>
      </c>
      <c r="G468" s="15"/>
      <c r="H468" s="15" t="s">
        <v>426</v>
      </c>
      <c r="I468" s="15">
        <v>1</v>
      </c>
      <c r="J468" s="15"/>
      <c r="K468" s="15" t="s">
        <v>348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>
      <c r="A469" s="15" t="s">
        <v>77</v>
      </c>
      <c r="B469" s="15" t="s">
        <v>443</v>
      </c>
      <c r="C469" s="15" t="str">
        <f t="shared" si="6"/>
        <v>HSR RFE</v>
      </c>
      <c r="D469" s="15" t="s">
        <v>444</v>
      </c>
      <c r="E469" s="15" t="str">
        <f t="shared" si="7"/>
        <v>ASM RFE Grocery+SPT Khabarovsk</v>
      </c>
      <c r="F469" s="15" t="s">
        <v>456</v>
      </c>
      <c r="G469" s="15"/>
      <c r="H469" s="15" t="s">
        <v>455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>
      <c r="A470" s="15" t="s">
        <v>77</v>
      </c>
      <c r="B470" s="15" t="s">
        <v>443</v>
      </c>
      <c r="C470" s="15" t="str">
        <f t="shared" si="6"/>
        <v>HSR RFE</v>
      </c>
      <c r="D470" s="15" t="s">
        <v>444</v>
      </c>
      <c r="E470" s="15" t="str">
        <f t="shared" si="7"/>
        <v>ASM RFE Grocery+SPT Khabarovsk</v>
      </c>
      <c r="F470" s="15" t="s">
        <v>456</v>
      </c>
      <c r="G470" s="15"/>
      <c r="H470" s="15" t="s">
        <v>426</v>
      </c>
      <c r="I470" s="15"/>
      <c r="J470" s="15"/>
      <c r="K470" s="15" t="s">
        <v>348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>
      <c r="A471" s="15" t="s">
        <v>77</v>
      </c>
      <c r="B471" s="15" t="s">
        <v>443</v>
      </c>
      <c r="C471" s="15" t="str">
        <f t="shared" si="6"/>
        <v>HSR RFE</v>
      </c>
      <c r="D471" s="15" t="s">
        <v>452</v>
      </c>
      <c r="E471" s="15" t="str">
        <f t="shared" si="7"/>
        <v>RDM RFE Grocery SS</v>
      </c>
      <c r="F471" s="15" t="s">
        <v>453</v>
      </c>
      <c r="G471" s="15"/>
      <c r="H471" s="15" t="s">
        <v>455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>
      <c r="A472" s="15" t="s">
        <v>77</v>
      </c>
      <c r="B472" s="15" t="s">
        <v>443</v>
      </c>
      <c r="C472" s="15" t="str">
        <f t="shared" si="6"/>
        <v>HSR RFE</v>
      </c>
      <c r="D472" s="15" t="s">
        <v>452</v>
      </c>
      <c r="E472" s="15" t="str">
        <f t="shared" si="7"/>
        <v>RDM RFE Grocery SS</v>
      </c>
      <c r="F472" s="15" t="s">
        <v>453</v>
      </c>
      <c r="G472" s="15"/>
      <c r="H472" s="15" t="s">
        <v>426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>
      <c r="A473" s="15" t="s">
        <v>465</v>
      </c>
      <c r="B473" s="15" t="s">
        <v>443</v>
      </c>
      <c r="C473" s="15" t="str">
        <f t="shared" si="6"/>
        <v>HSR RFE</v>
      </c>
      <c r="D473" s="15" t="s">
        <v>444</v>
      </c>
      <c r="E473" s="15" t="str">
        <f t="shared" si="7"/>
        <v>ASM RFE Grocery+SPT Khabarovsk</v>
      </c>
      <c r="F473" s="15" t="s">
        <v>445</v>
      </c>
      <c r="G473" s="15"/>
      <c r="H473" s="15" t="s">
        <v>455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>
      <c r="A474" s="15" t="s">
        <v>465</v>
      </c>
      <c r="B474" s="15" t="s">
        <v>443</v>
      </c>
      <c r="C474" s="15" t="str">
        <f t="shared" si="6"/>
        <v>HSR RFE</v>
      </c>
      <c r="D474" s="15" t="s">
        <v>444</v>
      </c>
      <c r="E474" s="15" t="str">
        <f t="shared" si="7"/>
        <v>ASM RFE Grocery+SPT Khabarovsk</v>
      </c>
      <c r="F474" s="15" t="s">
        <v>445</v>
      </c>
      <c r="G474" s="15"/>
      <c r="H474" s="15" t="s">
        <v>426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>
      <c r="A475" s="15" t="s">
        <v>85</v>
      </c>
      <c r="B475" s="15" t="s">
        <v>443</v>
      </c>
      <c r="C475" s="15" t="str">
        <f t="shared" si="6"/>
        <v>HSR RFE</v>
      </c>
      <c r="D475" s="15" t="s">
        <v>458</v>
      </c>
      <c r="E475" s="15" t="str">
        <f t="shared" si="7"/>
        <v>ASM RFE Grocery+SPT Vladivostok</v>
      </c>
      <c r="F475" s="15" t="s">
        <v>466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>
      <c r="A476" s="15" t="s">
        <v>91</v>
      </c>
      <c r="B476" s="15" t="s">
        <v>443</v>
      </c>
      <c r="C476" s="15" t="str">
        <f t="shared" si="6"/>
        <v>HSR RFE</v>
      </c>
      <c r="D476" s="15" t="s">
        <v>458</v>
      </c>
      <c r="E476" s="15" t="str">
        <f t="shared" si="7"/>
        <v>ASM RFE Grocery+SPT Vladivostok</v>
      </c>
      <c r="F476" s="15" t="s">
        <v>466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>
      <c r="A477" s="15" t="s">
        <v>454</v>
      </c>
      <c r="B477" s="15" t="s">
        <v>443</v>
      </c>
      <c r="C477" s="15" t="str">
        <f t="shared" si="6"/>
        <v>HSR RFE</v>
      </c>
      <c r="D477" s="15" t="s">
        <v>458</v>
      </c>
      <c r="E477" s="15" t="str">
        <f t="shared" si="7"/>
        <v>ASM RFE Grocery+SPT Vladivostok</v>
      </c>
      <c r="F477" s="15" t="s">
        <v>466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>
      <c r="A478" s="15" t="s">
        <v>430</v>
      </c>
      <c r="B478" s="15" t="s">
        <v>443</v>
      </c>
      <c r="C478" s="15" t="str">
        <f t="shared" si="6"/>
        <v>HSR RFE</v>
      </c>
      <c r="D478" s="15" t="s">
        <v>458</v>
      </c>
      <c r="E478" s="15" t="str">
        <f t="shared" si="7"/>
        <v>ASM RFE Grocery+SPT Vladivostok</v>
      </c>
      <c r="F478" s="15" t="s">
        <v>466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>
      <c r="A479" s="15" t="s">
        <v>94</v>
      </c>
      <c r="B479" s="15" t="s">
        <v>443</v>
      </c>
      <c r="C479" s="15" t="str">
        <f t="shared" si="6"/>
        <v>HSR RFE</v>
      </c>
      <c r="D479" s="15" t="s">
        <v>458</v>
      </c>
      <c r="E479" s="15" t="str">
        <f t="shared" si="7"/>
        <v>ASM RFE Grocery+SPT Vladivostok</v>
      </c>
      <c r="F479" s="15" t="s">
        <v>466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>
      <c r="A480" s="15" t="s">
        <v>436</v>
      </c>
      <c r="B480" s="15" t="s">
        <v>443</v>
      </c>
      <c r="C480" s="15" t="str">
        <f t="shared" si="6"/>
        <v>HSR RFE</v>
      </c>
      <c r="D480" s="15" t="s">
        <v>458</v>
      </c>
      <c r="E480" s="15" t="str">
        <f t="shared" si="7"/>
        <v>ASM RFE Grocery+SPT Vladivostok</v>
      </c>
      <c r="F480" s="15" t="s">
        <v>466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>
      <c r="A481" s="15" t="s">
        <v>463</v>
      </c>
      <c r="B481" s="15" t="s">
        <v>443</v>
      </c>
      <c r="C481" s="15" t="str">
        <f t="shared" si="6"/>
        <v>HSR RFE</v>
      </c>
      <c r="D481" s="15" t="s">
        <v>458</v>
      </c>
      <c r="E481" s="15" t="str">
        <f t="shared" si="7"/>
        <v>ASM RFE Grocery+SPT Vladivostok</v>
      </c>
      <c r="F481" s="15" t="s">
        <v>466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>
      <c r="A482" s="15" t="s">
        <v>77</v>
      </c>
      <c r="B482" s="15" t="s">
        <v>443</v>
      </c>
      <c r="C482" s="15" t="str">
        <f t="shared" si="6"/>
        <v>HSR RFE</v>
      </c>
      <c r="D482" s="15" t="s">
        <v>458</v>
      </c>
      <c r="E482" s="15" t="str">
        <f t="shared" si="7"/>
        <v>ASM RFE Grocery+SPT Vladivostok</v>
      </c>
      <c r="F482" s="15" t="s">
        <v>466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>
      <c r="A483" s="15" t="s">
        <v>85</v>
      </c>
      <c r="B483" s="15" t="s">
        <v>443</v>
      </c>
      <c r="C483" s="15" t="str">
        <f t="shared" si="6"/>
        <v>HSR RFE</v>
      </c>
      <c r="D483" s="15" t="s">
        <v>467</v>
      </c>
      <c r="E483" s="15" t="str">
        <f t="shared" si="7"/>
        <v>SPT Manager RFE</v>
      </c>
      <c r="F483" s="15" t="s">
        <v>468</v>
      </c>
      <c r="G483" s="15"/>
      <c r="H483" s="15" t="s">
        <v>426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>
      <c r="A484" s="15" t="s">
        <v>91</v>
      </c>
      <c r="B484" s="15" t="s">
        <v>443</v>
      </c>
      <c r="C484" s="15" t="str">
        <f t="shared" si="6"/>
        <v>HSR RFE</v>
      </c>
      <c r="D484" s="15" t="s">
        <v>467</v>
      </c>
      <c r="E484" s="15" t="str">
        <f t="shared" si="7"/>
        <v>SPT Manager RFE</v>
      </c>
      <c r="F484" s="15" t="s">
        <v>468</v>
      </c>
      <c r="G484" s="15"/>
      <c r="H484" s="15" t="s">
        <v>429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>
      <c r="A485" s="15" t="s">
        <v>454</v>
      </c>
      <c r="B485" s="15" t="s">
        <v>443</v>
      </c>
      <c r="C485" s="15" t="str">
        <f t="shared" si="6"/>
        <v>HSR RFE</v>
      </c>
      <c r="D485" s="15" t="s">
        <v>467</v>
      </c>
      <c r="E485" s="15" t="str">
        <f t="shared" si="7"/>
        <v>SPT Manager RFE</v>
      </c>
      <c r="F485" s="15" t="s">
        <v>468</v>
      </c>
      <c r="G485" s="15"/>
      <c r="H485" s="15" t="s">
        <v>426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>
      <c r="A486" s="15" t="s">
        <v>430</v>
      </c>
      <c r="B486" s="15" t="s">
        <v>443</v>
      </c>
      <c r="C486" s="15" t="str">
        <f t="shared" si="6"/>
        <v>HSR RFE</v>
      </c>
      <c r="D486" s="15" t="s">
        <v>467</v>
      </c>
      <c r="E486" s="15" t="str">
        <f t="shared" si="7"/>
        <v>SPT Manager RFE</v>
      </c>
      <c r="F486" s="15" t="s">
        <v>468</v>
      </c>
      <c r="G486" s="15"/>
      <c r="H486" s="15" t="s">
        <v>429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>
      <c r="A487" s="15" t="s">
        <v>94</v>
      </c>
      <c r="B487" s="15" t="s">
        <v>443</v>
      </c>
      <c r="C487" s="15" t="str">
        <f t="shared" si="6"/>
        <v>HSR RFE</v>
      </c>
      <c r="D487" s="15" t="s">
        <v>467</v>
      </c>
      <c r="E487" s="15" t="str">
        <f t="shared" si="7"/>
        <v>SPT Manager RFE</v>
      </c>
      <c r="F487" s="15" t="s">
        <v>468</v>
      </c>
      <c r="G487" s="15"/>
      <c r="H487" s="15" t="s">
        <v>429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>
      <c r="A488" s="15" t="s">
        <v>432</v>
      </c>
      <c r="B488" s="15" t="s">
        <v>443</v>
      </c>
      <c r="C488" s="15" t="str">
        <f t="shared" si="6"/>
        <v>HSR RFE</v>
      </c>
      <c r="D488" s="15" t="s">
        <v>467</v>
      </c>
      <c r="E488" s="15" t="str">
        <f t="shared" si="7"/>
        <v>SPT Manager RFE</v>
      </c>
      <c r="F488" s="15" t="s">
        <v>468</v>
      </c>
      <c r="G488" s="15"/>
      <c r="H488" s="15" t="s">
        <v>426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>
      <c r="A489" s="15" t="s">
        <v>69</v>
      </c>
      <c r="B489" s="15" t="s">
        <v>443</v>
      </c>
      <c r="C489" s="15" t="str">
        <f t="shared" si="6"/>
        <v>HSR RFE</v>
      </c>
      <c r="D489" s="15" t="s">
        <v>467</v>
      </c>
      <c r="E489" s="15" t="str">
        <f t="shared" si="7"/>
        <v>SPT Manager RFE</v>
      </c>
      <c r="F489" s="15" t="s">
        <v>468</v>
      </c>
      <c r="G489" s="15"/>
      <c r="H489" s="15" t="s">
        <v>426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>
      <c r="A490" s="15" t="s">
        <v>436</v>
      </c>
      <c r="B490" s="15" t="s">
        <v>443</v>
      </c>
      <c r="C490" s="15" t="str">
        <f t="shared" si="6"/>
        <v>HSR RFE</v>
      </c>
      <c r="D490" s="15" t="s">
        <v>467</v>
      </c>
      <c r="E490" s="15" t="str">
        <f t="shared" si="7"/>
        <v>SPT Manager RFE</v>
      </c>
      <c r="F490" s="15" t="s">
        <v>468</v>
      </c>
      <c r="G490" s="15"/>
      <c r="H490" s="15" t="s">
        <v>455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>
      <c r="A491" s="15" t="s">
        <v>463</v>
      </c>
      <c r="B491" s="15" t="s">
        <v>443</v>
      </c>
      <c r="C491" s="15" t="str">
        <f t="shared" si="6"/>
        <v>HSR RFE</v>
      </c>
      <c r="D491" s="15" t="s">
        <v>467</v>
      </c>
      <c r="E491" s="15" t="str">
        <f t="shared" si="7"/>
        <v>SPT Manager RFE</v>
      </c>
      <c r="F491" s="15" t="s">
        <v>468</v>
      </c>
      <c r="G491" s="15"/>
      <c r="H491" s="15" t="s">
        <v>447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>
      <c r="A492" s="15" t="s">
        <v>68</v>
      </c>
      <c r="B492" s="15" t="s">
        <v>443</v>
      </c>
      <c r="C492" s="15" t="str">
        <f t="shared" si="6"/>
        <v>HSR RFE</v>
      </c>
      <c r="D492" s="15" t="s">
        <v>467</v>
      </c>
      <c r="E492" s="15" t="str">
        <f t="shared" si="7"/>
        <v>SPT Manager RFE</v>
      </c>
      <c r="F492" s="15" t="s">
        <v>468</v>
      </c>
      <c r="G492" s="15"/>
      <c r="H492" s="15" t="s">
        <v>426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>
      <c r="A493" s="15" t="s">
        <v>77</v>
      </c>
      <c r="B493" s="15" t="s">
        <v>443</v>
      </c>
      <c r="C493" s="15" t="str">
        <f t="shared" si="6"/>
        <v>HSR RFE</v>
      </c>
      <c r="D493" s="15" t="s">
        <v>467</v>
      </c>
      <c r="E493" s="15" t="str">
        <f t="shared" si="7"/>
        <v>SPT Manager RFE</v>
      </c>
      <c r="F493" s="15" t="s">
        <v>468</v>
      </c>
      <c r="G493" s="15"/>
      <c r="H493" s="15" t="s">
        <v>455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>
      <c r="A494" s="15" t="s">
        <v>77</v>
      </c>
      <c r="B494" s="15" t="s">
        <v>443</v>
      </c>
      <c r="C494" s="15" t="str">
        <f t="shared" si="6"/>
        <v>HSR RFE</v>
      </c>
      <c r="D494" s="15" t="s">
        <v>467</v>
      </c>
      <c r="E494" s="15" t="str">
        <f t="shared" si="7"/>
        <v>SPT Manager RFE</v>
      </c>
      <c r="F494" s="15" t="s">
        <v>468</v>
      </c>
      <c r="G494" s="15"/>
      <c r="H494" s="15" t="s">
        <v>426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>
      <c r="A495" s="15" t="s">
        <v>425</v>
      </c>
      <c r="B495" s="15" t="s">
        <v>469</v>
      </c>
      <c r="C495" s="15" t="str">
        <f t="shared" si="6"/>
        <v>HSR Siberia</v>
      </c>
      <c r="D495" s="15" t="s">
        <v>470</v>
      </c>
      <c r="E495" s="15" t="str">
        <f t="shared" si="7"/>
        <v>TDM Siberia</v>
      </c>
      <c r="F495" s="15" t="s">
        <v>471</v>
      </c>
      <c r="G495" s="15"/>
      <c r="H495" s="15"/>
      <c r="I495" s="15"/>
      <c r="J495" s="15"/>
      <c r="K495" s="15" t="s">
        <v>348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>
      <c r="A496" s="15" t="s">
        <v>425</v>
      </c>
      <c r="B496" s="15" t="s">
        <v>469</v>
      </c>
      <c r="C496" s="15" t="str">
        <f t="shared" si="6"/>
        <v>HSR Siberia</v>
      </c>
      <c r="D496" s="15" t="s">
        <v>470</v>
      </c>
      <c r="E496" s="15" t="str">
        <f t="shared" si="7"/>
        <v>TDM Siberia</v>
      </c>
      <c r="F496" s="15" t="s">
        <v>472</v>
      </c>
      <c r="G496" s="15"/>
      <c r="H496" s="15"/>
      <c r="I496" s="15"/>
      <c r="J496" s="15"/>
      <c r="K496" s="15" t="s">
        <v>348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>
      <c r="A497" s="15" t="s">
        <v>388</v>
      </c>
      <c r="B497" s="15" t="s">
        <v>469</v>
      </c>
      <c r="C497" s="15" t="str">
        <f t="shared" si="6"/>
        <v>HSR Siberia</v>
      </c>
      <c r="D497" s="15" t="s">
        <v>470</v>
      </c>
      <c r="E497" s="15" t="str">
        <f t="shared" si="7"/>
        <v>TDM Siberia</v>
      </c>
      <c r="F497" s="15" t="s">
        <v>473</v>
      </c>
      <c r="G497" s="15"/>
      <c r="H497" s="15"/>
      <c r="I497" s="15"/>
      <c r="J497" s="15"/>
      <c r="K497" s="15" t="s">
        <v>348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>
      <c r="A498" s="15" t="s">
        <v>388</v>
      </c>
      <c r="B498" s="15" t="s">
        <v>469</v>
      </c>
      <c r="C498" s="15" t="str">
        <f t="shared" si="6"/>
        <v>HSR Siberia</v>
      </c>
      <c r="D498" s="15" t="s">
        <v>470</v>
      </c>
      <c r="E498" s="15" t="str">
        <f t="shared" si="7"/>
        <v>TDM Siberia</v>
      </c>
      <c r="F498" s="15" t="s">
        <v>471</v>
      </c>
      <c r="G498" s="15"/>
      <c r="H498" s="15"/>
      <c r="I498" s="15"/>
      <c r="J498" s="15"/>
      <c r="K498" s="15" t="s">
        <v>348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>
      <c r="A499" s="15" t="s">
        <v>388</v>
      </c>
      <c r="B499" s="15" t="s">
        <v>469</v>
      </c>
      <c r="C499" s="15" t="str">
        <f t="shared" si="6"/>
        <v>HSR Siberia</v>
      </c>
      <c r="D499" s="15" t="s">
        <v>470</v>
      </c>
      <c r="E499" s="15" t="str">
        <f t="shared" si="7"/>
        <v>TDM Siberia</v>
      </c>
      <c r="F499" s="15" t="s">
        <v>472</v>
      </c>
      <c r="G499" s="15"/>
      <c r="H499" s="15"/>
      <c r="I499" s="15"/>
      <c r="J499" s="15"/>
      <c r="K499" s="15" t="s">
        <v>348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>
      <c r="A500" s="15" t="s">
        <v>349</v>
      </c>
      <c r="B500" s="15" t="s">
        <v>469</v>
      </c>
      <c r="C500" s="15" t="str">
        <f t="shared" si="6"/>
        <v>HSR Siberia</v>
      </c>
      <c r="D500" s="15" t="s">
        <v>470</v>
      </c>
      <c r="E500" s="15" t="str">
        <f t="shared" si="7"/>
        <v>TDM Siberia</v>
      </c>
      <c r="F500" s="15" t="s">
        <v>473</v>
      </c>
      <c r="G500" s="15"/>
      <c r="H500" s="15"/>
      <c r="I500" s="15"/>
      <c r="J500" s="15"/>
      <c r="K500" s="15" t="s">
        <v>348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>
      <c r="A501" s="15" t="s">
        <v>349</v>
      </c>
      <c r="B501" s="15" t="s">
        <v>469</v>
      </c>
      <c r="C501" s="15" t="str">
        <f t="shared" si="6"/>
        <v>HSR Siberia</v>
      </c>
      <c r="D501" s="15" t="s">
        <v>470</v>
      </c>
      <c r="E501" s="15" t="str">
        <f t="shared" si="7"/>
        <v>TDM Siberia</v>
      </c>
      <c r="F501" s="15" t="s">
        <v>471</v>
      </c>
      <c r="G501" s="15"/>
      <c r="H501" s="15"/>
      <c r="I501" s="15"/>
      <c r="J501" s="15"/>
      <c r="K501" s="15" t="s">
        <v>348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>
      <c r="A502" s="15" t="s">
        <v>349</v>
      </c>
      <c r="B502" s="15" t="s">
        <v>469</v>
      </c>
      <c r="C502" s="15" t="str">
        <f t="shared" si="6"/>
        <v>HSR Siberia</v>
      </c>
      <c r="D502" s="15" t="s">
        <v>470</v>
      </c>
      <c r="E502" s="15" t="str">
        <f t="shared" si="7"/>
        <v>TDM Siberia</v>
      </c>
      <c r="F502" s="15" t="s">
        <v>472</v>
      </c>
      <c r="G502" s="15"/>
      <c r="H502" s="15"/>
      <c r="I502" s="15"/>
      <c r="J502" s="15"/>
      <c r="K502" s="15" t="s">
        <v>348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>
      <c r="A503" s="15" t="s">
        <v>140</v>
      </c>
      <c r="B503" s="15" t="s">
        <v>469</v>
      </c>
      <c r="C503" s="15" t="str">
        <f t="shared" si="6"/>
        <v>HSR Siberia</v>
      </c>
      <c r="D503" s="15" t="s">
        <v>470</v>
      </c>
      <c r="E503" s="15" t="str">
        <f t="shared" si="7"/>
        <v>TDM Siberia</v>
      </c>
      <c r="F503" s="15" t="s">
        <v>473</v>
      </c>
      <c r="G503" s="15"/>
      <c r="H503" s="15"/>
      <c r="I503" s="15"/>
      <c r="J503" s="15"/>
      <c r="K503" s="15" t="s">
        <v>348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>
      <c r="A504" s="15" t="s">
        <v>140</v>
      </c>
      <c r="B504" s="15" t="s">
        <v>469</v>
      </c>
      <c r="C504" s="15" t="str">
        <f t="shared" si="6"/>
        <v>HSR Siberia</v>
      </c>
      <c r="D504" s="15" t="s">
        <v>470</v>
      </c>
      <c r="E504" s="15" t="str">
        <f t="shared" si="7"/>
        <v>TDM Siberia</v>
      </c>
      <c r="F504" s="15" t="s">
        <v>471</v>
      </c>
      <c r="G504" s="15"/>
      <c r="H504" s="15"/>
      <c r="I504" s="15"/>
      <c r="J504" s="15"/>
      <c r="K504" s="15" t="s">
        <v>348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>
      <c r="A505" s="15" t="s">
        <v>140</v>
      </c>
      <c r="B505" s="15" t="s">
        <v>469</v>
      </c>
      <c r="C505" s="15" t="str">
        <f t="shared" si="6"/>
        <v>HSR Siberia</v>
      </c>
      <c r="D505" s="15" t="s">
        <v>470</v>
      </c>
      <c r="E505" s="15" t="str">
        <f t="shared" si="7"/>
        <v>TDM Siberia</v>
      </c>
      <c r="F505" s="15" t="s">
        <v>472</v>
      </c>
      <c r="G505" s="15"/>
      <c r="H505" s="15"/>
      <c r="I505" s="15"/>
      <c r="J505" s="15"/>
      <c r="K505" s="15" t="s">
        <v>348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>
      <c r="A506" s="15" t="s">
        <v>131</v>
      </c>
      <c r="B506" s="15" t="s">
        <v>469</v>
      </c>
      <c r="C506" s="15" t="str">
        <f t="shared" si="6"/>
        <v>HSR Siberia</v>
      </c>
      <c r="D506" s="15" t="s">
        <v>470</v>
      </c>
      <c r="E506" s="15" t="str">
        <f t="shared" si="7"/>
        <v>TDM Siberia</v>
      </c>
      <c r="F506" s="15" t="s">
        <v>473</v>
      </c>
      <c r="G506" s="15"/>
      <c r="H506" s="15"/>
      <c r="I506" s="15"/>
      <c r="J506" s="15"/>
      <c r="K506" s="15" t="s">
        <v>348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>
      <c r="A507" s="15" t="s">
        <v>131</v>
      </c>
      <c r="B507" s="15" t="s">
        <v>469</v>
      </c>
      <c r="C507" s="15" t="str">
        <f t="shared" si="6"/>
        <v>HSR Siberia</v>
      </c>
      <c r="D507" s="15" t="s">
        <v>470</v>
      </c>
      <c r="E507" s="15" t="str">
        <f t="shared" si="7"/>
        <v>TDM Siberia</v>
      </c>
      <c r="F507" s="15" t="s">
        <v>471</v>
      </c>
      <c r="G507" s="15"/>
      <c r="H507" s="15"/>
      <c r="I507" s="15"/>
      <c r="J507" s="15"/>
      <c r="K507" s="15" t="s">
        <v>348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>
      <c r="A508" s="15" t="s">
        <v>131</v>
      </c>
      <c r="B508" s="15" t="s">
        <v>469</v>
      </c>
      <c r="C508" s="15" t="str">
        <f t="shared" si="6"/>
        <v>HSR Siberia</v>
      </c>
      <c r="D508" s="15" t="s">
        <v>470</v>
      </c>
      <c r="E508" s="15" t="str">
        <f t="shared" si="7"/>
        <v>TDM Siberia</v>
      </c>
      <c r="F508" s="15" t="s">
        <v>472</v>
      </c>
      <c r="G508" s="15"/>
      <c r="H508" s="15"/>
      <c r="I508" s="15"/>
      <c r="J508" s="15"/>
      <c r="K508" s="15" t="s">
        <v>348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>
      <c r="A509" s="15" t="s">
        <v>127</v>
      </c>
      <c r="B509" s="15" t="s">
        <v>469</v>
      </c>
      <c r="C509" s="15" t="str">
        <f t="shared" si="6"/>
        <v>HSR Siberia</v>
      </c>
      <c r="D509" s="15" t="s">
        <v>470</v>
      </c>
      <c r="E509" s="15" t="str">
        <f t="shared" si="7"/>
        <v>TDM Siberia</v>
      </c>
      <c r="F509" s="15" t="s">
        <v>473</v>
      </c>
      <c r="G509" s="15"/>
      <c r="H509" s="15"/>
      <c r="I509" s="15"/>
      <c r="J509" s="15"/>
      <c r="K509" s="15" t="s">
        <v>348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>
      <c r="A510" s="15" t="s">
        <v>127</v>
      </c>
      <c r="B510" s="15" t="s">
        <v>469</v>
      </c>
      <c r="C510" s="15" t="str">
        <f t="shared" si="6"/>
        <v>HSR Siberia</v>
      </c>
      <c r="D510" s="15" t="s">
        <v>470</v>
      </c>
      <c r="E510" s="15" t="str">
        <f t="shared" si="7"/>
        <v>TDM Siberia</v>
      </c>
      <c r="F510" s="15" t="s">
        <v>471</v>
      </c>
      <c r="G510" s="15"/>
      <c r="H510" s="15"/>
      <c r="I510" s="15"/>
      <c r="J510" s="15"/>
      <c r="K510" s="15" t="s">
        <v>348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>
      <c r="A511" s="15" t="s">
        <v>127</v>
      </c>
      <c r="B511" s="15" t="s">
        <v>469</v>
      </c>
      <c r="C511" s="15" t="str">
        <f t="shared" si="6"/>
        <v>HSR Siberia</v>
      </c>
      <c r="D511" s="15" t="s">
        <v>470</v>
      </c>
      <c r="E511" s="15" t="str">
        <f t="shared" si="7"/>
        <v>TDM Siberia</v>
      </c>
      <c r="F511" s="15" t="s">
        <v>472</v>
      </c>
      <c r="G511" s="15"/>
      <c r="H511" s="15"/>
      <c r="I511" s="15"/>
      <c r="J511" s="15"/>
      <c r="K511" s="15" t="s">
        <v>348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>
      <c r="A512" s="15" t="s">
        <v>137</v>
      </c>
      <c r="B512" s="15" t="s">
        <v>469</v>
      </c>
      <c r="C512" s="15" t="str">
        <f t="shared" si="6"/>
        <v>HSR Siberia</v>
      </c>
      <c r="D512" s="15" t="s">
        <v>470</v>
      </c>
      <c r="E512" s="15" t="str">
        <f t="shared" si="7"/>
        <v>TDM Siberia</v>
      </c>
      <c r="F512" s="15" t="s">
        <v>473</v>
      </c>
      <c r="G512" s="15"/>
      <c r="H512" s="15"/>
      <c r="I512" s="15"/>
      <c r="J512" s="15"/>
      <c r="K512" s="15" t="s">
        <v>348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>
      <c r="A513" s="15" t="s">
        <v>137</v>
      </c>
      <c r="B513" s="15" t="s">
        <v>469</v>
      </c>
      <c r="C513" s="15" t="str">
        <f t="shared" si="6"/>
        <v>HSR Siberia</v>
      </c>
      <c r="D513" s="15" t="s">
        <v>470</v>
      </c>
      <c r="E513" s="15" t="str">
        <f t="shared" si="7"/>
        <v>TDM Siberia</v>
      </c>
      <c r="F513" s="15" t="s">
        <v>471</v>
      </c>
      <c r="G513" s="15"/>
      <c r="H513" s="15"/>
      <c r="I513" s="15"/>
      <c r="J513" s="15"/>
      <c r="K513" s="15" t="s">
        <v>348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>
      <c r="A514" s="15" t="s">
        <v>137</v>
      </c>
      <c r="B514" s="15" t="s">
        <v>469</v>
      </c>
      <c r="C514" s="15" t="str">
        <f t="shared" si="6"/>
        <v>HSR Siberia</v>
      </c>
      <c r="D514" s="15" t="s">
        <v>470</v>
      </c>
      <c r="E514" s="15" t="str">
        <f t="shared" si="7"/>
        <v>TDM Siberia</v>
      </c>
      <c r="F514" s="15" t="s">
        <v>472</v>
      </c>
      <c r="G514" s="15"/>
      <c r="H514" s="15"/>
      <c r="I514" s="15"/>
      <c r="J514" s="15"/>
      <c r="K514" s="15" t="s">
        <v>348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>
      <c r="A515" s="15" t="s">
        <v>144</v>
      </c>
      <c r="B515" s="15" t="s">
        <v>469</v>
      </c>
      <c r="C515" s="15" t="str">
        <f t="shared" si="6"/>
        <v>HSR Siberia</v>
      </c>
      <c r="D515" s="15" t="s">
        <v>470</v>
      </c>
      <c r="E515" s="15" t="str">
        <f t="shared" si="7"/>
        <v>TDM Siberia</v>
      </c>
      <c r="F515" s="15" t="s">
        <v>471</v>
      </c>
      <c r="G515" s="15"/>
      <c r="H515" s="15"/>
      <c r="I515" s="15"/>
      <c r="J515" s="15"/>
      <c r="K515" s="15" t="s">
        <v>348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>
      <c r="A516" s="15" t="s">
        <v>143</v>
      </c>
      <c r="B516" s="15" t="s">
        <v>469</v>
      </c>
      <c r="C516" s="15" t="str">
        <f t="shared" si="6"/>
        <v>HSR Siberia</v>
      </c>
      <c r="D516" s="15" t="s">
        <v>470</v>
      </c>
      <c r="E516" s="15" t="str">
        <f t="shared" si="7"/>
        <v>TDM Siberia</v>
      </c>
      <c r="F516" s="15" t="s">
        <v>471</v>
      </c>
      <c r="G516" s="15"/>
      <c r="H516" s="15"/>
      <c r="I516" s="15"/>
      <c r="J516" s="15"/>
      <c r="K516" s="15" t="s">
        <v>348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>
      <c r="A517" s="15" t="s">
        <v>143</v>
      </c>
      <c r="B517" s="15" t="s">
        <v>469</v>
      </c>
      <c r="C517" s="15" t="str">
        <f t="shared" ref="C517:C580" si="8">B517</f>
        <v>HSR Siberia</v>
      </c>
      <c r="D517" s="15" t="s">
        <v>470</v>
      </c>
      <c r="E517" s="15" t="str">
        <f t="shared" ref="E517:E580" si="9">D517</f>
        <v>TDM Siberia</v>
      </c>
      <c r="F517" s="15" t="s">
        <v>472</v>
      </c>
      <c r="G517" s="15"/>
      <c r="H517" s="15"/>
      <c r="I517" s="15"/>
      <c r="J517" s="15"/>
      <c r="K517" s="15" t="s">
        <v>348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>
      <c r="A518" s="15" t="s">
        <v>153</v>
      </c>
      <c r="B518" s="15" t="s">
        <v>469</v>
      </c>
      <c r="C518" s="15" t="str">
        <f t="shared" si="8"/>
        <v>HSR Siberia</v>
      </c>
      <c r="D518" s="15" t="s">
        <v>474</v>
      </c>
      <c r="E518" s="15" t="str">
        <f t="shared" si="9"/>
        <v>RADM Siberia</v>
      </c>
      <c r="F518" s="15" t="s">
        <v>475</v>
      </c>
      <c r="G518" s="15"/>
      <c r="H518" s="15"/>
      <c r="I518" s="15"/>
      <c r="J518" s="15"/>
      <c r="K518" s="15" t="s">
        <v>348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>
      <c r="A519" s="15" t="s">
        <v>151</v>
      </c>
      <c r="B519" s="15" t="s">
        <v>469</v>
      </c>
      <c r="C519" s="15" t="str">
        <f t="shared" si="8"/>
        <v>HSR Siberia</v>
      </c>
      <c r="D519" s="15" t="s">
        <v>474</v>
      </c>
      <c r="E519" s="15" t="str">
        <f t="shared" si="9"/>
        <v>RADM Siberia</v>
      </c>
      <c r="F519" s="15" t="s">
        <v>475</v>
      </c>
      <c r="G519" s="15"/>
      <c r="H519" s="15"/>
      <c r="I519" s="15"/>
      <c r="J519" s="15"/>
      <c r="K519" s="15" t="s">
        <v>348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>
      <c r="A520" s="15" t="s">
        <v>146</v>
      </c>
      <c r="B520" s="15" t="s">
        <v>469</v>
      </c>
      <c r="C520" s="15" t="str">
        <f t="shared" si="8"/>
        <v>HSR Siberia</v>
      </c>
      <c r="D520" s="15" t="s">
        <v>474</v>
      </c>
      <c r="E520" s="15" t="str">
        <f t="shared" si="9"/>
        <v>RADM Siberia</v>
      </c>
      <c r="F520" s="15" t="s">
        <v>475</v>
      </c>
      <c r="G520" s="15"/>
      <c r="H520" s="15"/>
      <c r="I520" s="15"/>
      <c r="J520" s="15"/>
      <c r="K520" s="15" t="s">
        <v>348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>
      <c r="A521" s="15" t="s">
        <v>150</v>
      </c>
      <c r="B521" s="15" t="s">
        <v>469</v>
      </c>
      <c r="C521" s="15" t="str">
        <f t="shared" si="8"/>
        <v>HSR Siberia</v>
      </c>
      <c r="D521" s="15" t="s">
        <v>474</v>
      </c>
      <c r="E521" s="15" t="str">
        <f t="shared" si="9"/>
        <v>RADM Siberia</v>
      </c>
      <c r="F521" s="15" t="s">
        <v>475</v>
      </c>
      <c r="G521" s="15"/>
      <c r="H521" s="15"/>
      <c r="I521" s="15"/>
      <c r="J521" s="15"/>
      <c r="K521" s="15" t="s">
        <v>348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>
      <c r="A522" s="15" t="s">
        <v>156</v>
      </c>
      <c r="B522" s="15" t="s">
        <v>469</v>
      </c>
      <c r="C522" s="15" t="str">
        <f t="shared" si="8"/>
        <v>HSR Siberia</v>
      </c>
      <c r="D522" s="15" t="s">
        <v>474</v>
      </c>
      <c r="E522" s="15" t="str">
        <f t="shared" si="9"/>
        <v>RADM Siberia</v>
      </c>
      <c r="F522" s="15" t="s">
        <v>475</v>
      </c>
      <c r="G522" s="15"/>
      <c r="H522" s="15"/>
      <c r="I522" s="15"/>
      <c r="J522" s="15"/>
      <c r="K522" s="15" t="s">
        <v>348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>
      <c r="A523" s="15" t="s">
        <v>122</v>
      </c>
      <c r="B523" s="15" t="s">
        <v>469</v>
      </c>
      <c r="C523" s="15" t="str">
        <f t="shared" si="8"/>
        <v>HSR Siberia</v>
      </c>
      <c r="D523" s="15" t="s">
        <v>474</v>
      </c>
      <c r="E523" s="15" t="str">
        <f t="shared" si="9"/>
        <v>RADM Siberia</v>
      </c>
      <c r="F523" s="15" t="s">
        <v>475</v>
      </c>
      <c r="G523" s="15"/>
      <c r="H523" s="15"/>
      <c r="I523" s="15"/>
      <c r="J523" s="15"/>
      <c r="K523" s="15" t="s">
        <v>348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>
      <c r="A524" s="15" t="s">
        <v>124</v>
      </c>
      <c r="B524" s="15" t="s">
        <v>469</v>
      </c>
      <c r="C524" s="15" t="str">
        <f t="shared" si="8"/>
        <v>HSR Siberia</v>
      </c>
      <c r="D524" s="15" t="s">
        <v>474</v>
      </c>
      <c r="E524" s="15" t="str">
        <f t="shared" si="9"/>
        <v>RADM Siberia</v>
      </c>
      <c r="F524" s="15" t="s">
        <v>475</v>
      </c>
      <c r="G524" s="15"/>
      <c r="H524" s="15"/>
      <c r="I524" s="15"/>
      <c r="J524" s="15"/>
      <c r="K524" s="15" t="s">
        <v>348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>
      <c r="A525" s="15" t="s">
        <v>106</v>
      </c>
      <c r="B525" s="15" t="s">
        <v>469</v>
      </c>
      <c r="C525" s="15" t="str">
        <f t="shared" si="8"/>
        <v>HSR Siberia</v>
      </c>
      <c r="D525" s="15" t="s">
        <v>474</v>
      </c>
      <c r="E525" s="15" t="str">
        <f t="shared" si="9"/>
        <v>RADM Siberia</v>
      </c>
      <c r="F525" s="15" t="s">
        <v>475</v>
      </c>
      <c r="G525" s="15"/>
      <c r="H525" s="15"/>
      <c r="I525" s="15"/>
      <c r="J525" s="15"/>
      <c r="K525" s="15" t="s">
        <v>348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>
      <c r="A526" s="15" t="s">
        <v>107</v>
      </c>
      <c r="B526" s="15" t="s">
        <v>469</v>
      </c>
      <c r="C526" s="15" t="str">
        <f t="shared" si="8"/>
        <v>HSR Siberia</v>
      </c>
      <c r="D526" s="15" t="s">
        <v>474</v>
      </c>
      <c r="E526" s="15" t="str">
        <f t="shared" si="9"/>
        <v>RADM Siberia</v>
      </c>
      <c r="F526" s="15" t="s">
        <v>475</v>
      </c>
      <c r="G526" s="15"/>
      <c r="H526" s="15"/>
      <c r="I526" s="15"/>
      <c r="J526" s="15"/>
      <c r="K526" s="15" t="s">
        <v>348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>
      <c r="A527" s="15" t="s">
        <v>109</v>
      </c>
      <c r="B527" s="15" t="s">
        <v>469</v>
      </c>
      <c r="C527" s="15" t="str">
        <f t="shared" si="8"/>
        <v>HSR Siberia</v>
      </c>
      <c r="D527" s="15" t="s">
        <v>474</v>
      </c>
      <c r="E527" s="15" t="str">
        <f t="shared" si="9"/>
        <v>RADM Siberia</v>
      </c>
      <c r="F527" s="15" t="s">
        <v>475</v>
      </c>
      <c r="G527" s="15"/>
      <c r="H527" s="15"/>
      <c r="I527" s="15"/>
      <c r="J527" s="15"/>
      <c r="K527" s="15" t="s">
        <v>348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>
      <c r="A528" s="15" t="s">
        <v>59</v>
      </c>
      <c r="B528" s="15" t="s">
        <v>469</v>
      </c>
      <c r="C528" s="15" t="str">
        <f t="shared" si="8"/>
        <v>HSR Siberia</v>
      </c>
      <c r="D528" s="15" t="s">
        <v>474</v>
      </c>
      <c r="E528" s="15" t="str">
        <f t="shared" si="9"/>
        <v>RADM Siberia</v>
      </c>
      <c r="F528" s="15" t="s">
        <v>475</v>
      </c>
      <c r="G528" s="15"/>
      <c r="H528" s="15"/>
      <c r="I528" s="15"/>
      <c r="J528" s="15"/>
      <c r="K528" s="15" t="s">
        <v>348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>
      <c r="A529" s="15" t="s">
        <v>58</v>
      </c>
      <c r="B529" s="15" t="s">
        <v>469</v>
      </c>
      <c r="C529" s="15" t="str">
        <f t="shared" si="8"/>
        <v>HSR Siberia</v>
      </c>
      <c r="D529" s="15" t="s">
        <v>474</v>
      </c>
      <c r="E529" s="15" t="str">
        <f t="shared" si="9"/>
        <v>RADM Siberia</v>
      </c>
      <c r="F529" s="15" t="s">
        <v>475</v>
      </c>
      <c r="G529" s="15"/>
      <c r="H529" s="15"/>
      <c r="I529" s="15"/>
      <c r="J529" s="15"/>
      <c r="K529" s="15" t="s">
        <v>348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>
      <c r="A530" s="15" t="s">
        <v>54</v>
      </c>
      <c r="B530" s="15" t="s">
        <v>469</v>
      </c>
      <c r="C530" s="15" t="str">
        <f t="shared" si="8"/>
        <v>HSR Siberia</v>
      </c>
      <c r="D530" s="15" t="s">
        <v>474</v>
      </c>
      <c r="E530" s="15" t="str">
        <f t="shared" si="9"/>
        <v>RADM Siberia</v>
      </c>
      <c r="F530" s="15" t="s">
        <v>475</v>
      </c>
      <c r="G530" s="15"/>
      <c r="H530" s="15"/>
      <c r="I530" s="15"/>
      <c r="J530" s="15"/>
      <c r="K530" s="15" t="s">
        <v>348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>
      <c r="A531" s="15" t="s">
        <v>58</v>
      </c>
      <c r="B531" s="15" t="s">
        <v>469</v>
      </c>
      <c r="C531" s="15" t="str">
        <f t="shared" si="8"/>
        <v>HSR Siberia</v>
      </c>
      <c r="D531" s="15" t="s">
        <v>474</v>
      </c>
      <c r="E531" s="15" t="str">
        <f t="shared" si="9"/>
        <v>RADM Siberia</v>
      </c>
      <c r="F531" s="15" t="s">
        <v>475</v>
      </c>
      <c r="G531" s="15"/>
      <c r="H531" s="15"/>
      <c r="I531" s="15"/>
      <c r="J531" s="15"/>
      <c r="K531" s="15" t="s">
        <v>348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>
      <c r="A532" s="15" t="s">
        <v>338</v>
      </c>
      <c r="B532" s="15" t="s">
        <v>469</v>
      </c>
      <c r="C532" s="15" t="str">
        <f t="shared" si="8"/>
        <v>HSR Siberia</v>
      </c>
      <c r="D532" s="15" t="s">
        <v>474</v>
      </c>
      <c r="E532" s="15" t="str">
        <f t="shared" si="9"/>
        <v>RADM Siberia</v>
      </c>
      <c r="F532" s="15" t="s">
        <v>475</v>
      </c>
      <c r="G532" s="15"/>
      <c r="H532" s="15"/>
      <c r="I532" s="15"/>
      <c r="J532" s="15"/>
      <c r="K532" s="15" t="s">
        <v>477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>
      <c r="A533" s="15" t="s">
        <v>24</v>
      </c>
      <c r="B533" s="15" t="s">
        <v>469</v>
      </c>
      <c r="C533" s="15" t="str">
        <f t="shared" si="8"/>
        <v>HSR Siberia</v>
      </c>
      <c r="D533" s="15" t="s">
        <v>474</v>
      </c>
      <c r="E533" s="15" t="str">
        <f t="shared" si="9"/>
        <v>RADM Siberia</v>
      </c>
      <c r="F533" s="15" t="s">
        <v>475</v>
      </c>
      <c r="G533" s="15"/>
      <c r="H533" s="15"/>
      <c r="I533" s="15"/>
      <c r="J533" s="15"/>
      <c r="K533" s="15" t="s">
        <v>477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>
      <c r="A534" s="15" t="s">
        <v>23</v>
      </c>
      <c r="B534" s="15" t="s">
        <v>469</v>
      </c>
      <c r="C534" s="15" t="str">
        <f t="shared" si="8"/>
        <v>HSR Siberia</v>
      </c>
      <c r="D534" s="15" t="s">
        <v>474</v>
      </c>
      <c r="E534" s="15" t="str">
        <f t="shared" si="9"/>
        <v>RADM Siberia</v>
      </c>
      <c r="F534" s="15" t="s">
        <v>475</v>
      </c>
      <c r="G534" s="15"/>
      <c r="H534" s="15"/>
      <c r="I534" s="15"/>
      <c r="J534" s="15"/>
      <c r="K534" s="15" t="s">
        <v>477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>
      <c r="A535" s="15" t="s">
        <v>19</v>
      </c>
      <c r="B535" s="15" t="s">
        <v>469</v>
      </c>
      <c r="C535" s="15" t="str">
        <f t="shared" si="8"/>
        <v>HSR Siberia</v>
      </c>
      <c r="D535" s="15" t="s">
        <v>474</v>
      </c>
      <c r="E535" s="15" t="str">
        <f t="shared" si="9"/>
        <v>RADM Siberia</v>
      </c>
      <c r="F535" s="15" t="s">
        <v>475</v>
      </c>
      <c r="G535" s="15"/>
      <c r="H535" s="15"/>
      <c r="I535" s="15"/>
      <c r="J535" s="15"/>
      <c r="K535" s="15" t="s">
        <v>477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>
      <c r="A536" s="15" t="s">
        <v>22</v>
      </c>
      <c r="B536" s="15" t="s">
        <v>469</v>
      </c>
      <c r="C536" s="15" t="str">
        <f t="shared" si="8"/>
        <v>HSR Siberia</v>
      </c>
      <c r="D536" s="15" t="s">
        <v>474</v>
      </c>
      <c r="E536" s="15" t="str">
        <f t="shared" si="9"/>
        <v>RADM Siberia</v>
      </c>
      <c r="F536" s="15" t="s">
        <v>475</v>
      </c>
      <c r="G536" s="15"/>
      <c r="H536" s="15"/>
      <c r="I536" s="15"/>
      <c r="J536" s="15"/>
      <c r="K536" s="15" t="s">
        <v>477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>
      <c r="A537" s="15" t="s">
        <v>155</v>
      </c>
      <c r="B537" s="15" t="s">
        <v>469</v>
      </c>
      <c r="C537" s="15" t="str">
        <f t="shared" si="8"/>
        <v>HSR Siberia</v>
      </c>
      <c r="D537" s="15" t="s">
        <v>474</v>
      </c>
      <c r="E537" s="15" t="str">
        <f t="shared" si="9"/>
        <v>RADM Siberia</v>
      </c>
      <c r="F537" s="15" t="s">
        <v>475</v>
      </c>
      <c r="G537" s="15"/>
      <c r="H537" s="15"/>
      <c r="I537" s="15"/>
      <c r="J537" s="15"/>
      <c r="K537" s="15" t="s">
        <v>477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>
      <c r="A538" s="15" t="s">
        <v>20</v>
      </c>
      <c r="B538" s="15" t="s">
        <v>469</v>
      </c>
      <c r="C538" s="15" t="str">
        <f t="shared" si="8"/>
        <v>HSR Siberia</v>
      </c>
      <c r="D538" s="15" t="s">
        <v>474</v>
      </c>
      <c r="E538" s="15" t="str">
        <f t="shared" si="9"/>
        <v>RADM Siberia</v>
      </c>
      <c r="F538" s="15" t="s">
        <v>475</v>
      </c>
      <c r="G538" s="15"/>
      <c r="H538" s="15"/>
      <c r="I538" s="15"/>
      <c r="J538" s="15"/>
      <c r="K538" s="15" t="s">
        <v>477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>
      <c r="A539" s="15" t="s">
        <v>388</v>
      </c>
      <c r="B539" s="15" t="s">
        <v>469</v>
      </c>
      <c r="C539" s="15" t="str">
        <f t="shared" si="8"/>
        <v>HSR Siberia</v>
      </c>
      <c r="D539" s="15" t="s">
        <v>474</v>
      </c>
      <c r="E539" s="15" t="str">
        <f t="shared" si="9"/>
        <v>RADM Siberia</v>
      </c>
      <c r="F539" s="15" t="s">
        <v>475</v>
      </c>
      <c r="G539" s="15"/>
      <c r="H539" s="15"/>
      <c r="I539" s="15"/>
      <c r="J539" s="15"/>
      <c r="K539" s="15" t="s">
        <v>348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>
      <c r="A540" s="15" t="s">
        <v>349</v>
      </c>
      <c r="B540" s="15" t="s">
        <v>469</v>
      </c>
      <c r="C540" s="15" t="str">
        <f t="shared" si="8"/>
        <v>HSR Siberia</v>
      </c>
      <c r="D540" s="15" t="s">
        <v>474</v>
      </c>
      <c r="E540" s="15" t="str">
        <f t="shared" si="9"/>
        <v>RADM Siberia</v>
      </c>
      <c r="F540" s="15" t="s">
        <v>475</v>
      </c>
      <c r="G540" s="15"/>
      <c r="H540" s="15"/>
      <c r="I540" s="15"/>
      <c r="J540" s="15"/>
      <c r="K540" s="15" t="s">
        <v>348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>
      <c r="A541" s="15" t="s">
        <v>140</v>
      </c>
      <c r="B541" s="15" t="s">
        <v>469</v>
      </c>
      <c r="C541" s="15" t="str">
        <f t="shared" si="8"/>
        <v>HSR Siberia</v>
      </c>
      <c r="D541" s="15" t="s">
        <v>474</v>
      </c>
      <c r="E541" s="15" t="str">
        <f t="shared" si="9"/>
        <v>RADM Siberia</v>
      </c>
      <c r="F541" s="15" t="s">
        <v>475</v>
      </c>
      <c r="G541" s="15"/>
      <c r="H541" s="15"/>
      <c r="I541" s="15"/>
      <c r="J541" s="15"/>
      <c r="K541" s="15" t="s">
        <v>348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>
      <c r="A542" s="15" t="s">
        <v>131</v>
      </c>
      <c r="B542" s="15" t="s">
        <v>469</v>
      </c>
      <c r="C542" s="15" t="str">
        <f t="shared" si="8"/>
        <v>HSR Siberia</v>
      </c>
      <c r="D542" s="15" t="s">
        <v>474</v>
      </c>
      <c r="E542" s="15" t="str">
        <f t="shared" si="9"/>
        <v>RADM Siberia</v>
      </c>
      <c r="F542" s="15" t="s">
        <v>475</v>
      </c>
      <c r="G542" s="15"/>
      <c r="H542" s="15"/>
      <c r="I542" s="15"/>
      <c r="J542" s="15"/>
      <c r="K542" s="15" t="s">
        <v>348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>
      <c r="A543" s="15" t="s">
        <v>127</v>
      </c>
      <c r="B543" s="15" t="s">
        <v>469</v>
      </c>
      <c r="C543" s="15" t="str">
        <f t="shared" si="8"/>
        <v>HSR Siberia</v>
      </c>
      <c r="D543" s="15" t="s">
        <v>474</v>
      </c>
      <c r="E543" s="15" t="str">
        <f t="shared" si="9"/>
        <v>RADM Siberia</v>
      </c>
      <c r="F543" s="15" t="s">
        <v>475</v>
      </c>
      <c r="G543" s="15"/>
      <c r="H543" s="15"/>
      <c r="I543" s="15"/>
      <c r="J543" s="15"/>
      <c r="K543" s="15" t="s">
        <v>348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>
      <c r="A544" s="15" t="s">
        <v>137</v>
      </c>
      <c r="B544" s="15" t="s">
        <v>469</v>
      </c>
      <c r="C544" s="15" t="str">
        <f t="shared" si="8"/>
        <v>HSR Siberia</v>
      </c>
      <c r="D544" s="15" t="s">
        <v>474</v>
      </c>
      <c r="E544" s="15" t="str">
        <f t="shared" si="9"/>
        <v>RADM Siberia</v>
      </c>
      <c r="F544" s="15" t="s">
        <v>475</v>
      </c>
      <c r="G544" s="15"/>
      <c r="H544" s="15"/>
      <c r="I544" s="15"/>
      <c r="J544" s="15">
        <v>1</v>
      </c>
      <c r="K544" s="15" t="s">
        <v>348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>
      <c r="A545" s="15" t="s">
        <v>388</v>
      </c>
      <c r="B545" s="15" t="s">
        <v>469</v>
      </c>
      <c r="C545" s="15" t="str">
        <f t="shared" si="8"/>
        <v>HSR Siberia</v>
      </c>
      <c r="D545" s="15" t="s">
        <v>470</v>
      </c>
      <c r="E545" s="15" t="str">
        <f t="shared" si="9"/>
        <v>TDM Siberia</v>
      </c>
      <c r="F545" s="15" t="s">
        <v>478</v>
      </c>
      <c r="G545" s="15"/>
      <c r="H545" s="15"/>
      <c r="I545" s="15"/>
      <c r="J545" s="15"/>
      <c r="K545" s="15" t="s">
        <v>348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>
      <c r="A546" s="15" t="s">
        <v>349</v>
      </c>
      <c r="B546" s="15" t="s">
        <v>469</v>
      </c>
      <c r="C546" s="15" t="str">
        <f t="shared" si="8"/>
        <v>HSR Siberia</v>
      </c>
      <c r="D546" s="15" t="s">
        <v>470</v>
      </c>
      <c r="E546" s="15" t="str">
        <f t="shared" si="9"/>
        <v>TDM Siberia</v>
      </c>
      <c r="F546" s="15" t="s">
        <v>478</v>
      </c>
      <c r="G546" s="15"/>
      <c r="H546" s="15"/>
      <c r="I546" s="15"/>
      <c r="J546" s="15"/>
      <c r="K546" s="15" t="s">
        <v>348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>
      <c r="A547" s="15" t="s">
        <v>140</v>
      </c>
      <c r="B547" s="15" t="s">
        <v>469</v>
      </c>
      <c r="C547" s="15" t="str">
        <f t="shared" si="8"/>
        <v>HSR Siberia</v>
      </c>
      <c r="D547" s="15" t="s">
        <v>470</v>
      </c>
      <c r="E547" s="15" t="str">
        <f t="shared" si="9"/>
        <v>TDM Siberia</v>
      </c>
      <c r="F547" s="15" t="s">
        <v>478</v>
      </c>
      <c r="G547" s="15"/>
      <c r="H547" s="15"/>
      <c r="I547" s="15"/>
      <c r="J547" s="15"/>
      <c r="K547" s="15" t="s">
        <v>348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>
      <c r="A548" s="15" t="s">
        <v>131</v>
      </c>
      <c r="B548" s="15" t="s">
        <v>469</v>
      </c>
      <c r="C548" s="15" t="str">
        <f t="shared" si="8"/>
        <v>HSR Siberia</v>
      </c>
      <c r="D548" s="15" t="s">
        <v>470</v>
      </c>
      <c r="E548" s="15" t="str">
        <f t="shared" si="9"/>
        <v>TDM Siberia</v>
      </c>
      <c r="F548" s="15" t="s">
        <v>478</v>
      </c>
      <c r="G548" s="15"/>
      <c r="H548" s="15"/>
      <c r="I548" s="15"/>
      <c r="J548" s="15"/>
      <c r="K548" s="15" t="s">
        <v>348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>
      <c r="A549" s="15" t="s">
        <v>127</v>
      </c>
      <c r="B549" s="15" t="s">
        <v>469</v>
      </c>
      <c r="C549" s="15" t="str">
        <f t="shared" si="8"/>
        <v>HSR Siberia</v>
      </c>
      <c r="D549" s="15" t="s">
        <v>470</v>
      </c>
      <c r="E549" s="15" t="str">
        <f t="shared" si="9"/>
        <v>TDM Siberia</v>
      </c>
      <c r="F549" s="15" t="s">
        <v>478</v>
      </c>
      <c r="G549" s="15"/>
      <c r="H549" s="15"/>
      <c r="I549" s="15"/>
      <c r="J549" s="15"/>
      <c r="K549" s="15" t="s">
        <v>348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>
      <c r="A550" s="15" t="s">
        <v>137</v>
      </c>
      <c r="B550" s="15" t="s">
        <v>469</v>
      </c>
      <c r="C550" s="15" t="str">
        <f t="shared" si="8"/>
        <v>HSR Siberia</v>
      </c>
      <c r="D550" s="15" t="s">
        <v>470</v>
      </c>
      <c r="E550" s="15" t="str">
        <f t="shared" si="9"/>
        <v>TDM Siberia</v>
      </c>
      <c r="F550" s="15" t="s">
        <v>478</v>
      </c>
      <c r="G550" s="15"/>
      <c r="H550" s="15"/>
      <c r="I550" s="15"/>
      <c r="J550" s="15"/>
      <c r="K550" s="15" t="s">
        <v>348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>
      <c r="A551" s="15" t="s">
        <v>388</v>
      </c>
      <c r="B551" s="15" t="s">
        <v>469</v>
      </c>
      <c r="C551" s="15" t="str">
        <f t="shared" si="8"/>
        <v>HSR Siberia</v>
      </c>
      <c r="D551" s="15" t="s">
        <v>474</v>
      </c>
      <c r="E551" s="15" t="str">
        <f t="shared" si="9"/>
        <v>RADM Siberia</v>
      </c>
      <c r="F551" s="15" t="s">
        <v>479</v>
      </c>
      <c r="G551" s="15"/>
      <c r="H551" s="15"/>
      <c r="I551" s="15"/>
      <c r="J551" s="15">
        <v>1</v>
      </c>
      <c r="K551" s="15" t="s">
        <v>348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>
      <c r="A552" s="15" t="s">
        <v>349</v>
      </c>
      <c r="B552" s="15" t="s">
        <v>469</v>
      </c>
      <c r="C552" s="15" t="str">
        <f t="shared" si="8"/>
        <v>HSR Siberia</v>
      </c>
      <c r="D552" s="15" t="s">
        <v>474</v>
      </c>
      <c r="E552" s="15" t="str">
        <f t="shared" si="9"/>
        <v>RADM Siberia</v>
      </c>
      <c r="F552" s="15" t="s">
        <v>479</v>
      </c>
      <c r="G552" s="15"/>
      <c r="H552" s="15"/>
      <c r="I552" s="15"/>
      <c r="J552" s="15"/>
      <c r="K552" s="15" t="s">
        <v>348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>
      <c r="A553" s="15" t="s">
        <v>131</v>
      </c>
      <c r="B553" s="15" t="s">
        <v>469</v>
      </c>
      <c r="C553" s="15" t="str">
        <f t="shared" si="8"/>
        <v>HSR Siberia</v>
      </c>
      <c r="D553" s="15" t="s">
        <v>474</v>
      </c>
      <c r="E553" s="15" t="str">
        <f t="shared" si="9"/>
        <v>RADM Siberia</v>
      </c>
      <c r="F553" s="15" t="s">
        <v>479</v>
      </c>
      <c r="G553" s="15"/>
      <c r="H553" s="15"/>
      <c r="I553" s="15"/>
      <c r="J553" s="15"/>
      <c r="K553" s="15" t="s">
        <v>348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>
      <c r="A554" s="15" t="s">
        <v>137</v>
      </c>
      <c r="B554" s="15" t="s">
        <v>469</v>
      </c>
      <c r="C554" s="15" t="str">
        <f t="shared" si="8"/>
        <v>HSR Siberia</v>
      </c>
      <c r="D554" s="15" t="s">
        <v>474</v>
      </c>
      <c r="E554" s="15" t="str">
        <f t="shared" si="9"/>
        <v>RADM Siberia</v>
      </c>
      <c r="F554" s="15" t="s">
        <v>479</v>
      </c>
      <c r="G554" s="15"/>
      <c r="H554" s="15"/>
      <c r="I554" s="15"/>
      <c r="J554" s="15"/>
      <c r="K554" s="15" t="s">
        <v>348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>
      <c r="A555" s="15" t="s">
        <v>425</v>
      </c>
      <c r="B555" s="15" t="s">
        <v>469</v>
      </c>
      <c r="C555" s="15" t="str">
        <f t="shared" si="8"/>
        <v>HSR Siberia</v>
      </c>
      <c r="D555" s="15" t="s">
        <v>474</v>
      </c>
      <c r="E555" s="15" t="str">
        <f t="shared" si="9"/>
        <v>RADM Siberia</v>
      </c>
      <c r="F555" s="15" t="s">
        <v>479</v>
      </c>
      <c r="G555" s="15"/>
      <c r="H555" s="15"/>
      <c r="I555" s="15"/>
      <c r="J555" s="15"/>
      <c r="K555" s="15" t="s">
        <v>348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>
      <c r="A556" s="15" t="s">
        <v>388</v>
      </c>
      <c r="B556" s="15" t="s">
        <v>469</v>
      </c>
      <c r="C556" s="15" t="str">
        <f t="shared" si="8"/>
        <v>HSR Siberia</v>
      </c>
      <c r="D556" s="15" t="s">
        <v>470</v>
      </c>
      <c r="E556" s="15" t="str">
        <f t="shared" si="9"/>
        <v>TDM Siberia</v>
      </c>
      <c r="F556" s="15" t="s">
        <v>478</v>
      </c>
      <c r="G556" s="15"/>
      <c r="H556" s="15"/>
      <c r="I556" s="15"/>
      <c r="J556" s="15"/>
      <c r="K556" s="15" t="s">
        <v>348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>
      <c r="A557" s="15" t="s">
        <v>349</v>
      </c>
      <c r="B557" s="15" t="s">
        <v>469</v>
      </c>
      <c r="C557" s="15" t="str">
        <f t="shared" si="8"/>
        <v>HSR Siberia</v>
      </c>
      <c r="D557" s="15" t="s">
        <v>470</v>
      </c>
      <c r="E557" s="15" t="str">
        <f t="shared" si="9"/>
        <v>TDM Siberia</v>
      </c>
      <c r="F557" s="15" t="s">
        <v>478</v>
      </c>
      <c r="G557" s="15"/>
      <c r="H557" s="15"/>
      <c r="I557" s="15"/>
      <c r="J557" s="15"/>
      <c r="K557" s="15" t="s">
        <v>348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>
      <c r="A558" s="15" t="s">
        <v>131</v>
      </c>
      <c r="B558" s="15" t="s">
        <v>469</v>
      </c>
      <c r="C558" s="15" t="str">
        <f t="shared" si="8"/>
        <v>HSR Siberia</v>
      </c>
      <c r="D558" s="15" t="s">
        <v>470</v>
      </c>
      <c r="E558" s="15" t="str">
        <f t="shared" si="9"/>
        <v>TDM Siberia</v>
      </c>
      <c r="F558" s="15" t="s">
        <v>478</v>
      </c>
      <c r="G558" s="15"/>
      <c r="H558" s="15"/>
      <c r="I558" s="15"/>
      <c r="J558" s="15"/>
      <c r="K558" s="15" t="s">
        <v>348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>
      <c r="A559" s="15" t="s">
        <v>137</v>
      </c>
      <c r="B559" s="15" t="s">
        <v>469</v>
      </c>
      <c r="C559" s="15" t="str">
        <f t="shared" si="8"/>
        <v>HSR Siberia</v>
      </c>
      <c r="D559" s="15" t="s">
        <v>470</v>
      </c>
      <c r="E559" s="15" t="str">
        <f t="shared" si="9"/>
        <v>TDM Siberia</v>
      </c>
      <c r="F559" s="15" t="s">
        <v>478</v>
      </c>
      <c r="G559" s="15"/>
      <c r="H559" s="15"/>
      <c r="I559" s="15"/>
      <c r="J559" s="15"/>
      <c r="K559" s="15" t="s">
        <v>348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>
      <c r="A560" s="15" t="s">
        <v>425</v>
      </c>
      <c r="B560" s="15" t="s">
        <v>469</v>
      </c>
      <c r="C560" s="15" t="str">
        <f t="shared" si="8"/>
        <v>HSR Siberia</v>
      </c>
      <c r="D560" s="15" t="s">
        <v>470</v>
      </c>
      <c r="E560" s="15" t="str">
        <f t="shared" si="9"/>
        <v>TDM Siberia</v>
      </c>
      <c r="F560" s="15" t="s">
        <v>478</v>
      </c>
      <c r="G560" s="15"/>
      <c r="H560" s="15"/>
      <c r="I560" s="15"/>
      <c r="J560" s="15"/>
      <c r="K560" s="15" t="s">
        <v>348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>
      <c r="A561" s="15" t="s">
        <v>425</v>
      </c>
      <c r="B561" s="15" t="s">
        <v>469</v>
      </c>
      <c r="C561" s="15" t="str">
        <f t="shared" si="8"/>
        <v>HSR Siberia</v>
      </c>
      <c r="D561" s="15" t="s">
        <v>470</v>
      </c>
      <c r="E561" s="15" t="str">
        <f t="shared" si="9"/>
        <v>TDM Siberia</v>
      </c>
      <c r="F561" s="15" t="s">
        <v>478</v>
      </c>
      <c r="G561" s="15"/>
      <c r="H561" s="15"/>
      <c r="I561" s="15"/>
      <c r="J561" s="15"/>
      <c r="K561" s="15" t="s">
        <v>348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>
      <c r="A562" s="15" t="s">
        <v>388</v>
      </c>
      <c r="B562" s="15" t="s">
        <v>469</v>
      </c>
      <c r="C562" s="15" t="str">
        <f t="shared" si="8"/>
        <v>HSR Siberia</v>
      </c>
      <c r="D562" s="15" t="s">
        <v>470</v>
      </c>
      <c r="E562" s="15" t="str">
        <f t="shared" si="9"/>
        <v>TDM Siberia</v>
      </c>
      <c r="F562" s="15" t="s">
        <v>478</v>
      </c>
      <c r="G562" s="15"/>
      <c r="H562" s="15"/>
      <c r="I562" s="15"/>
      <c r="J562" s="15"/>
      <c r="K562" s="15" t="s">
        <v>348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>
      <c r="A563" s="15" t="s">
        <v>349</v>
      </c>
      <c r="B563" s="15" t="s">
        <v>469</v>
      </c>
      <c r="C563" s="15" t="str">
        <f t="shared" si="8"/>
        <v>HSR Siberia</v>
      </c>
      <c r="D563" s="15" t="s">
        <v>470</v>
      </c>
      <c r="E563" s="15" t="str">
        <f t="shared" si="9"/>
        <v>TDM Siberia</v>
      </c>
      <c r="F563" s="15" t="s">
        <v>478</v>
      </c>
      <c r="G563" s="15"/>
      <c r="H563" s="15"/>
      <c r="I563" s="15"/>
      <c r="J563" s="15"/>
      <c r="K563" s="15" t="s">
        <v>348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>
      <c r="A564" s="15" t="s">
        <v>140</v>
      </c>
      <c r="B564" s="15" t="s">
        <v>469</v>
      </c>
      <c r="C564" s="15" t="str">
        <f t="shared" si="8"/>
        <v>HSR Siberia</v>
      </c>
      <c r="D564" s="15" t="s">
        <v>470</v>
      </c>
      <c r="E564" s="15" t="str">
        <f t="shared" si="9"/>
        <v>TDM Siberia</v>
      </c>
      <c r="F564" s="15" t="s">
        <v>478</v>
      </c>
      <c r="G564" s="15"/>
      <c r="H564" s="15"/>
      <c r="I564" s="15"/>
      <c r="J564" s="15"/>
      <c r="K564" s="15" t="s">
        <v>348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>
      <c r="A565" s="15" t="s">
        <v>131</v>
      </c>
      <c r="B565" s="15" t="s">
        <v>469</v>
      </c>
      <c r="C565" s="15" t="str">
        <f t="shared" si="8"/>
        <v>HSR Siberia</v>
      </c>
      <c r="D565" s="15" t="s">
        <v>470</v>
      </c>
      <c r="E565" s="15" t="str">
        <f t="shared" si="9"/>
        <v>TDM Siberia</v>
      </c>
      <c r="F565" s="15" t="s">
        <v>478</v>
      </c>
      <c r="G565" s="15"/>
      <c r="H565" s="15"/>
      <c r="I565" s="15"/>
      <c r="J565" s="15"/>
      <c r="K565" s="15" t="s">
        <v>348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>
      <c r="A566" s="15" t="s">
        <v>127</v>
      </c>
      <c r="B566" s="15" t="s">
        <v>469</v>
      </c>
      <c r="C566" s="15" t="str">
        <f t="shared" si="8"/>
        <v>HSR Siberia</v>
      </c>
      <c r="D566" s="15" t="s">
        <v>470</v>
      </c>
      <c r="E566" s="15" t="str">
        <f t="shared" si="9"/>
        <v>TDM Siberia</v>
      </c>
      <c r="F566" s="15" t="s">
        <v>478</v>
      </c>
      <c r="G566" s="15"/>
      <c r="H566" s="15"/>
      <c r="I566" s="15"/>
      <c r="J566" s="15"/>
      <c r="K566" s="15" t="s">
        <v>348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>
      <c r="A567" s="15" t="s">
        <v>137</v>
      </c>
      <c r="B567" s="15" t="s">
        <v>469</v>
      </c>
      <c r="C567" s="15" t="str">
        <f t="shared" si="8"/>
        <v>HSR Siberia</v>
      </c>
      <c r="D567" s="15" t="s">
        <v>470</v>
      </c>
      <c r="E567" s="15" t="str">
        <f t="shared" si="9"/>
        <v>TDM Siberia</v>
      </c>
      <c r="F567" s="15" t="s">
        <v>478</v>
      </c>
      <c r="G567" s="15"/>
      <c r="H567" s="15"/>
      <c r="I567" s="15"/>
      <c r="J567" s="15"/>
      <c r="K567" s="15" t="s">
        <v>348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>
      <c r="A568" s="15" t="s">
        <v>140</v>
      </c>
      <c r="B568" s="15" t="s">
        <v>469</v>
      </c>
      <c r="C568" s="15" t="str">
        <f t="shared" si="8"/>
        <v>HSR Siberia</v>
      </c>
      <c r="D568" s="15" t="s">
        <v>474</v>
      </c>
      <c r="E568" s="15" t="str">
        <f t="shared" si="9"/>
        <v>RADM Siberia</v>
      </c>
      <c r="F568" s="15" t="s">
        <v>482</v>
      </c>
      <c r="G568" s="15"/>
      <c r="H568" s="15" t="s">
        <v>483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>
      <c r="A569" s="15" t="s">
        <v>143</v>
      </c>
      <c r="B569" s="15" t="s">
        <v>469</v>
      </c>
      <c r="C569" s="15" t="str">
        <f t="shared" si="8"/>
        <v>HSR Siberia</v>
      </c>
      <c r="D569" s="15" t="s">
        <v>474</v>
      </c>
      <c r="E569" s="15" t="str">
        <f t="shared" si="9"/>
        <v>RADM Siberia</v>
      </c>
      <c r="F569" s="15" t="s">
        <v>482</v>
      </c>
      <c r="G569" s="15"/>
      <c r="H569" s="15" t="s">
        <v>483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>
      <c r="A570" s="15" t="s">
        <v>140</v>
      </c>
      <c r="B570" s="15" t="s">
        <v>469</v>
      </c>
      <c r="C570" s="15" t="str">
        <f t="shared" si="8"/>
        <v>HSR Siberia</v>
      </c>
      <c r="D570" s="15" t="s">
        <v>474</v>
      </c>
      <c r="E570" s="15" t="str">
        <f t="shared" si="9"/>
        <v>RADM Siberia</v>
      </c>
      <c r="F570" s="15" t="s">
        <v>482</v>
      </c>
      <c r="G570" s="15"/>
      <c r="H570" s="15" t="s">
        <v>483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>
      <c r="A571" s="15" t="s">
        <v>140</v>
      </c>
      <c r="B571" s="15" t="s">
        <v>469</v>
      </c>
      <c r="C571" s="15" t="str">
        <f t="shared" si="8"/>
        <v>HSR Siberia</v>
      </c>
      <c r="D571" s="15" t="s">
        <v>470</v>
      </c>
      <c r="E571" s="15" t="str">
        <f t="shared" si="9"/>
        <v>TDM Siberia</v>
      </c>
      <c r="F571" s="15" t="s">
        <v>478</v>
      </c>
      <c r="G571" s="15"/>
      <c r="H571" s="15"/>
      <c r="I571" s="15"/>
      <c r="J571" s="15"/>
      <c r="K571" s="15" t="s">
        <v>348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>
      <c r="A572" s="15" t="s">
        <v>143</v>
      </c>
      <c r="B572" s="15" t="s">
        <v>469</v>
      </c>
      <c r="C572" s="15" t="str">
        <f t="shared" si="8"/>
        <v>HSR Siberia</v>
      </c>
      <c r="D572" s="15" t="s">
        <v>470</v>
      </c>
      <c r="E572" s="15" t="str">
        <f t="shared" si="9"/>
        <v>TDM Siberia</v>
      </c>
      <c r="F572" s="15" t="s">
        <v>478</v>
      </c>
      <c r="G572" s="15"/>
      <c r="H572" s="15"/>
      <c r="I572" s="15"/>
      <c r="J572" s="15"/>
      <c r="K572" s="15" t="s">
        <v>348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>
      <c r="A573" s="15" t="s">
        <v>140</v>
      </c>
      <c r="B573" s="15" t="s">
        <v>469</v>
      </c>
      <c r="C573" s="15" t="str">
        <f t="shared" si="8"/>
        <v>HSR Siberia</v>
      </c>
      <c r="D573" s="15" t="s">
        <v>470</v>
      </c>
      <c r="E573" s="15" t="str">
        <f t="shared" si="9"/>
        <v>TDM Siberia</v>
      </c>
      <c r="F573" s="15" t="s">
        <v>478</v>
      </c>
      <c r="G573" s="15"/>
      <c r="H573" s="15"/>
      <c r="I573" s="15"/>
      <c r="J573" s="15"/>
      <c r="K573" s="15" t="s">
        <v>348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28.9">
      <c r="A574" s="15" t="s">
        <v>140</v>
      </c>
      <c r="B574" s="15" t="s">
        <v>469</v>
      </c>
      <c r="C574" s="15" t="str">
        <f t="shared" si="8"/>
        <v>HSR Siberia</v>
      </c>
      <c r="D574" s="15" t="s">
        <v>486</v>
      </c>
      <c r="E574" s="15" t="str">
        <f t="shared" si="9"/>
        <v>ASM SIB Krasnoyarsk+Abakan+Tuva+Kuzbass+Norilsk</v>
      </c>
      <c r="F574" s="15" t="s">
        <v>487</v>
      </c>
      <c r="G574" s="15"/>
      <c r="H574" s="15" t="s">
        <v>483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28.9">
      <c r="A575" s="15" t="s">
        <v>131</v>
      </c>
      <c r="B575" s="15" t="s">
        <v>469</v>
      </c>
      <c r="C575" s="15" t="str">
        <f t="shared" si="8"/>
        <v>HSR Siberia</v>
      </c>
      <c r="D575" s="15" t="s">
        <v>486</v>
      </c>
      <c r="E575" s="15" t="str">
        <f t="shared" si="9"/>
        <v>ASM SIB Krasnoyarsk+Abakan+Tuva+Kuzbass+Norilsk</v>
      </c>
      <c r="F575" s="15" t="s">
        <v>488</v>
      </c>
      <c r="G575" s="15"/>
      <c r="H575" s="15" t="s">
        <v>360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28.9">
      <c r="A576" s="15" t="s">
        <v>425</v>
      </c>
      <c r="B576" s="15" t="s">
        <v>469</v>
      </c>
      <c r="C576" s="15" t="str">
        <f t="shared" si="8"/>
        <v>HSR Siberia</v>
      </c>
      <c r="D576" s="15" t="s">
        <v>486</v>
      </c>
      <c r="E576" s="15" t="str">
        <f t="shared" si="9"/>
        <v>ASM SIB Krasnoyarsk+Abakan+Tuva+Kuzbass+Norilsk</v>
      </c>
      <c r="F576" s="15" t="s">
        <v>489</v>
      </c>
      <c r="G576" s="15"/>
      <c r="H576" s="15" t="s">
        <v>360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>
      <c r="A577" s="15" t="s">
        <v>425</v>
      </c>
      <c r="B577" s="15" t="s">
        <v>469</v>
      </c>
      <c r="C577" s="15" t="str">
        <f t="shared" si="8"/>
        <v>HSR Siberia</v>
      </c>
      <c r="D577" s="15" t="s">
        <v>474</v>
      </c>
      <c r="E577" s="15" t="str">
        <f t="shared" si="9"/>
        <v>RADM Siberia</v>
      </c>
      <c r="F577" s="15" t="s">
        <v>490</v>
      </c>
      <c r="G577" s="15"/>
      <c r="H577" s="15" t="s">
        <v>360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28.9">
      <c r="A578" s="15" t="s">
        <v>388</v>
      </c>
      <c r="B578" s="15" t="s">
        <v>469</v>
      </c>
      <c r="C578" s="15" t="str">
        <f t="shared" si="8"/>
        <v>HSR Siberia</v>
      </c>
      <c r="D578" s="15" t="s">
        <v>486</v>
      </c>
      <c r="E578" s="15" t="str">
        <f t="shared" si="9"/>
        <v>ASM SIB Krasnoyarsk+Abakan+Tuva+Kuzbass+Norilsk</v>
      </c>
      <c r="F578" s="15" t="s">
        <v>489</v>
      </c>
      <c r="G578" s="15"/>
      <c r="H578" s="15" t="s">
        <v>360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28.9">
      <c r="A579" s="15" t="s">
        <v>388</v>
      </c>
      <c r="B579" s="15" t="s">
        <v>469</v>
      </c>
      <c r="C579" s="15" t="str">
        <f t="shared" si="8"/>
        <v>HSR Siberia</v>
      </c>
      <c r="D579" s="15" t="s">
        <v>486</v>
      </c>
      <c r="E579" s="15" t="str">
        <f t="shared" si="9"/>
        <v>ASM SIB Krasnoyarsk+Abakan+Tuva+Kuzbass+Norilsk</v>
      </c>
      <c r="F579" s="15" t="s">
        <v>487</v>
      </c>
      <c r="G579" s="15"/>
      <c r="H579" s="15" t="s">
        <v>483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28.9">
      <c r="A580" s="15" t="s">
        <v>388</v>
      </c>
      <c r="B580" s="15" t="s">
        <v>469</v>
      </c>
      <c r="C580" s="15" t="str">
        <f t="shared" si="8"/>
        <v>HSR Siberia</v>
      </c>
      <c r="D580" s="15" t="s">
        <v>486</v>
      </c>
      <c r="E580" s="15" t="str">
        <f t="shared" si="9"/>
        <v>ASM SIB Krasnoyarsk+Abakan+Tuva+Kuzbass+Norilsk</v>
      </c>
      <c r="F580" s="15" t="s">
        <v>491</v>
      </c>
      <c r="G580" s="15"/>
      <c r="H580" s="15" t="s">
        <v>433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>
      <c r="A581" s="15" t="s">
        <v>388</v>
      </c>
      <c r="B581" s="15" t="s">
        <v>469</v>
      </c>
      <c r="C581" s="15" t="str">
        <f t="shared" ref="C581:C644" si="10">B581</f>
        <v>HSR Siberia</v>
      </c>
      <c r="D581" s="15" t="s">
        <v>474</v>
      </c>
      <c r="E581" s="15" t="str">
        <f t="shared" ref="E581:E644" si="11">D581</f>
        <v>RADM Siberia</v>
      </c>
      <c r="F581" s="15" t="s">
        <v>490</v>
      </c>
      <c r="G581" s="15"/>
      <c r="H581" s="15" t="s">
        <v>360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28.9">
      <c r="A582" s="15" t="s">
        <v>388</v>
      </c>
      <c r="B582" s="15" t="s">
        <v>469</v>
      </c>
      <c r="C582" s="15" t="str">
        <f t="shared" si="10"/>
        <v>HSR Siberia</v>
      </c>
      <c r="D582" s="15" t="s">
        <v>486</v>
      </c>
      <c r="E582" s="15" t="str">
        <f t="shared" si="11"/>
        <v>ASM SIB Krasnoyarsk+Abakan+Tuva+Kuzbass+Norilsk</v>
      </c>
      <c r="F582" s="15" t="s">
        <v>491</v>
      </c>
      <c r="G582" s="15"/>
      <c r="H582" s="15" t="s">
        <v>435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28.9">
      <c r="A583" s="15" t="s">
        <v>349</v>
      </c>
      <c r="B583" s="15" t="s">
        <v>469</v>
      </c>
      <c r="C583" s="15" t="str">
        <f t="shared" si="10"/>
        <v>HSR Siberia</v>
      </c>
      <c r="D583" s="15" t="s">
        <v>486</v>
      </c>
      <c r="E583" s="15" t="str">
        <f t="shared" si="11"/>
        <v>ASM SIB Krasnoyarsk+Abakan+Tuva+Kuzbass+Norilsk</v>
      </c>
      <c r="F583" s="15" t="s">
        <v>491</v>
      </c>
      <c r="G583" s="15"/>
      <c r="H583" s="15" t="s">
        <v>433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28.9">
      <c r="A584" s="15" t="s">
        <v>349</v>
      </c>
      <c r="B584" s="15" t="s">
        <v>469</v>
      </c>
      <c r="C584" s="15" t="str">
        <f t="shared" si="10"/>
        <v>HSR Siberia</v>
      </c>
      <c r="D584" s="15" t="s">
        <v>486</v>
      </c>
      <c r="E584" s="15" t="str">
        <f t="shared" si="11"/>
        <v>ASM SIB Krasnoyarsk+Abakan+Tuva+Kuzbass+Norilsk</v>
      </c>
      <c r="F584" s="15" t="s">
        <v>491</v>
      </c>
      <c r="G584" s="15"/>
      <c r="H584" s="15" t="s">
        <v>435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>
      <c r="A585" s="15" t="s">
        <v>349</v>
      </c>
      <c r="B585" s="15" t="s">
        <v>469</v>
      </c>
      <c r="C585" s="15" t="str">
        <f t="shared" si="10"/>
        <v>HSR Siberia</v>
      </c>
      <c r="D585" s="15" t="s">
        <v>474</v>
      </c>
      <c r="E585" s="15" t="str">
        <f t="shared" si="11"/>
        <v>RADM Siberia</v>
      </c>
      <c r="F585" s="15" t="s">
        <v>490</v>
      </c>
      <c r="G585" s="15"/>
      <c r="H585" s="15" t="s">
        <v>433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>
      <c r="A586" s="15" t="s">
        <v>349</v>
      </c>
      <c r="B586" s="15" t="s">
        <v>469</v>
      </c>
      <c r="C586" s="15" t="str">
        <f t="shared" si="10"/>
        <v>HSR Siberia</v>
      </c>
      <c r="D586" s="15" t="s">
        <v>474</v>
      </c>
      <c r="E586" s="15" t="str">
        <f t="shared" si="11"/>
        <v>RADM Siberia</v>
      </c>
      <c r="F586" s="15" t="s">
        <v>490</v>
      </c>
      <c r="G586" s="15"/>
      <c r="H586" s="15" t="s">
        <v>360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28.9">
      <c r="A587" s="15" t="s">
        <v>349</v>
      </c>
      <c r="B587" s="15" t="s">
        <v>469</v>
      </c>
      <c r="C587" s="15" t="str">
        <f t="shared" si="10"/>
        <v>HSR Siberia</v>
      </c>
      <c r="D587" s="15" t="s">
        <v>486</v>
      </c>
      <c r="E587" s="15" t="str">
        <f t="shared" si="11"/>
        <v>ASM SIB Krasnoyarsk+Abakan+Tuva+Kuzbass+Norilsk</v>
      </c>
      <c r="F587" s="15" t="s">
        <v>491</v>
      </c>
      <c r="G587" s="15"/>
      <c r="H587" s="15" t="s">
        <v>360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28.9">
      <c r="A588" s="15" t="s">
        <v>349</v>
      </c>
      <c r="B588" s="15" t="s">
        <v>469</v>
      </c>
      <c r="C588" s="15" t="str">
        <f t="shared" si="10"/>
        <v>HSR Siberia</v>
      </c>
      <c r="D588" s="15" t="s">
        <v>486</v>
      </c>
      <c r="E588" s="15" t="str">
        <f t="shared" si="11"/>
        <v>ASM SIB Krasnoyarsk+Abakan+Tuva+Kuzbass+Norilsk</v>
      </c>
      <c r="F588" s="15" t="s">
        <v>487</v>
      </c>
      <c r="G588" s="15"/>
      <c r="H588" s="15" t="s">
        <v>483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28.9">
      <c r="A589" s="15" t="s">
        <v>349</v>
      </c>
      <c r="B589" s="15" t="s">
        <v>469</v>
      </c>
      <c r="C589" s="15" t="str">
        <f t="shared" si="10"/>
        <v>HSR Siberia</v>
      </c>
      <c r="D589" s="15" t="s">
        <v>486</v>
      </c>
      <c r="E589" s="15" t="str">
        <f t="shared" si="11"/>
        <v>ASM SIB Krasnoyarsk+Abakan+Tuva+Kuzbass+Norilsk</v>
      </c>
      <c r="F589" s="15" t="s">
        <v>488</v>
      </c>
      <c r="G589" s="15"/>
      <c r="H589" s="15" t="s">
        <v>433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28.9">
      <c r="A590" s="15" t="s">
        <v>140</v>
      </c>
      <c r="B590" s="15" t="s">
        <v>469</v>
      </c>
      <c r="C590" s="15" t="str">
        <f t="shared" si="10"/>
        <v>HSR Siberia</v>
      </c>
      <c r="D590" s="15" t="s">
        <v>486</v>
      </c>
      <c r="E590" s="15" t="str">
        <f t="shared" si="11"/>
        <v>ASM SIB Krasnoyarsk+Abakan+Tuva+Kuzbass+Norilsk</v>
      </c>
      <c r="F590" s="15" t="s">
        <v>487</v>
      </c>
      <c r="G590" s="15"/>
      <c r="H590" s="15" t="s">
        <v>492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28.9">
      <c r="A591" s="15" t="s">
        <v>140</v>
      </c>
      <c r="B591" s="15" t="s">
        <v>469</v>
      </c>
      <c r="C591" s="15" t="str">
        <f t="shared" si="10"/>
        <v>HSR Siberia</v>
      </c>
      <c r="D591" s="15" t="s">
        <v>486</v>
      </c>
      <c r="E591" s="15" t="str">
        <f t="shared" si="11"/>
        <v>ASM SIB Krasnoyarsk+Abakan+Tuva+Kuzbass+Norilsk</v>
      </c>
      <c r="F591" s="15" t="s">
        <v>488</v>
      </c>
      <c r="G591" s="15"/>
      <c r="H591" s="15" t="s">
        <v>360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28.9">
      <c r="A592" s="15" t="s">
        <v>140</v>
      </c>
      <c r="B592" s="15" t="s">
        <v>469</v>
      </c>
      <c r="C592" s="15" t="str">
        <f t="shared" si="10"/>
        <v>HSR Siberia</v>
      </c>
      <c r="D592" s="15" t="s">
        <v>486</v>
      </c>
      <c r="E592" s="15" t="str">
        <f t="shared" si="11"/>
        <v>ASM SIB Krasnoyarsk+Abakan+Tuva+Kuzbass+Norilsk</v>
      </c>
      <c r="F592" s="15" t="s">
        <v>488</v>
      </c>
      <c r="G592" s="15"/>
      <c r="H592" s="15" t="s">
        <v>483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28.9">
      <c r="A593" s="15" t="s">
        <v>131</v>
      </c>
      <c r="B593" s="15" t="s">
        <v>469</v>
      </c>
      <c r="C593" s="15" t="str">
        <f t="shared" si="10"/>
        <v>HSR Siberia</v>
      </c>
      <c r="D593" s="15" t="s">
        <v>486</v>
      </c>
      <c r="E593" s="15" t="str">
        <f t="shared" si="11"/>
        <v>ASM SIB Krasnoyarsk+Abakan+Tuva+Kuzbass+Norilsk</v>
      </c>
      <c r="F593" s="15" t="s">
        <v>489</v>
      </c>
      <c r="G593" s="15"/>
      <c r="H593" s="15" t="s">
        <v>360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>
      <c r="A594" s="15" t="s">
        <v>131</v>
      </c>
      <c r="B594" s="15" t="s">
        <v>469</v>
      </c>
      <c r="C594" s="15" t="str">
        <f t="shared" si="10"/>
        <v>HSR Siberia</v>
      </c>
      <c r="D594" s="15" t="s">
        <v>474</v>
      </c>
      <c r="E594" s="15" t="str">
        <f t="shared" si="11"/>
        <v>RADM Siberia</v>
      </c>
      <c r="F594" s="15" t="s">
        <v>490</v>
      </c>
      <c r="G594" s="15"/>
      <c r="H594" s="15" t="s">
        <v>360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28.9">
      <c r="A595" s="15" t="s">
        <v>131</v>
      </c>
      <c r="B595" s="15" t="s">
        <v>469</v>
      </c>
      <c r="C595" s="15" t="str">
        <f t="shared" si="10"/>
        <v>HSR Siberia</v>
      </c>
      <c r="D595" s="15" t="s">
        <v>486</v>
      </c>
      <c r="E595" s="15" t="str">
        <f t="shared" si="11"/>
        <v>ASM SIB Krasnoyarsk+Abakan+Tuva+Kuzbass+Norilsk</v>
      </c>
      <c r="F595" s="15" t="s">
        <v>491</v>
      </c>
      <c r="G595" s="15"/>
      <c r="H595" s="15" t="s">
        <v>435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28.9">
      <c r="A596" s="15" t="s">
        <v>131</v>
      </c>
      <c r="B596" s="15" t="s">
        <v>469</v>
      </c>
      <c r="C596" s="15" t="str">
        <f t="shared" si="10"/>
        <v>HSR Siberia</v>
      </c>
      <c r="D596" s="15" t="s">
        <v>486</v>
      </c>
      <c r="E596" s="15" t="str">
        <f t="shared" si="11"/>
        <v>ASM SIB Krasnoyarsk+Abakan+Tuva+Kuzbass+Norilsk</v>
      </c>
      <c r="F596" s="15" t="s">
        <v>488</v>
      </c>
      <c r="G596" s="15"/>
      <c r="H596" s="15" t="s">
        <v>483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28.9">
      <c r="A597" s="15" t="s">
        <v>131</v>
      </c>
      <c r="B597" s="15" t="s">
        <v>469</v>
      </c>
      <c r="C597" s="15" t="str">
        <f t="shared" si="10"/>
        <v>HSR Siberia</v>
      </c>
      <c r="D597" s="15" t="s">
        <v>486</v>
      </c>
      <c r="E597" s="15" t="str">
        <f t="shared" si="11"/>
        <v>ASM SIB Krasnoyarsk+Abakan+Tuva+Kuzbass+Norilsk</v>
      </c>
      <c r="F597" s="15" t="s">
        <v>488</v>
      </c>
      <c r="G597" s="15"/>
      <c r="H597" s="15" t="s">
        <v>433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28.9">
      <c r="A598" s="15" t="s">
        <v>127</v>
      </c>
      <c r="B598" s="15" t="s">
        <v>469</v>
      </c>
      <c r="C598" s="15" t="str">
        <f t="shared" si="10"/>
        <v>HSR Siberia</v>
      </c>
      <c r="D598" s="15" t="s">
        <v>486</v>
      </c>
      <c r="E598" s="15" t="str">
        <f t="shared" si="11"/>
        <v>ASM SIB Krasnoyarsk+Abakan+Tuva+Kuzbass+Norilsk</v>
      </c>
      <c r="F598" s="15" t="s">
        <v>491</v>
      </c>
      <c r="G598" s="15"/>
      <c r="H598" s="15" t="s">
        <v>435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>
      <c r="A599" s="15" t="s">
        <v>137</v>
      </c>
      <c r="B599" s="15" t="s">
        <v>469</v>
      </c>
      <c r="C599" s="15" t="str">
        <f t="shared" si="10"/>
        <v>HSR Siberia</v>
      </c>
      <c r="D599" s="15" t="s">
        <v>474</v>
      </c>
      <c r="E599" s="15" t="str">
        <f t="shared" si="11"/>
        <v>RADM Siberia</v>
      </c>
      <c r="F599" s="15" t="s">
        <v>490</v>
      </c>
      <c r="G599" s="15"/>
      <c r="H599" s="15" t="s">
        <v>433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>
      <c r="A600" s="15" t="s">
        <v>137</v>
      </c>
      <c r="B600" s="15" t="s">
        <v>469</v>
      </c>
      <c r="C600" s="15" t="str">
        <f t="shared" si="10"/>
        <v>HSR Siberia</v>
      </c>
      <c r="D600" s="15" t="s">
        <v>474</v>
      </c>
      <c r="E600" s="15" t="str">
        <f t="shared" si="11"/>
        <v>RADM Siberia</v>
      </c>
      <c r="F600" s="15" t="s">
        <v>490</v>
      </c>
      <c r="G600" s="15"/>
      <c r="H600" s="15" t="s">
        <v>360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28.9">
      <c r="A601" s="15" t="s">
        <v>137</v>
      </c>
      <c r="B601" s="15" t="s">
        <v>469</v>
      </c>
      <c r="C601" s="15" t="str">
        <f t="shared" si="10"/>
        <v>HSR Siberia</v>
      </c>
      <c r="D601" s="15" t="s">
        <v>486</v>
      </c>
      <c r="E601" s="15" t="str">
        <f t="shared" si="11"/>
        <v>ASM SIB Krasnoyarsk+Abakan+Tuva+Kuzbass+Norilsk</v>
      </c>
      <c r="F601" s="15" t="s">
        <v>488</v>
      </c>
      <c r="G601" s="15"/>
      <c r="H601" s="15" t="s">
        <v>360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28.9">
      <c r="A602" s="15" t="s">
        <v>137</v>
      </c>
      <c r="B602" s="15" t="s">
        <v>469</v>
      </c>
      <c r="C602" s="15" t="str">
        <f t="shared" si="10"/>
        <v>HSR Siberia</v>
      </c>
      <c r="D602" s="15" t="s">
        <v>486</v>
      </c>
      <c r="E602" s="15" t="str">
        <f t="shared" si="11"/>
        <v>ASM SIB Krasnoyarsk+Abakan+Tuva+Kuzbass+Norilsk</v>
      </c>
      <c r="F602" s="15" t="s">
        <v>491</v>
      </c>
      <c r="G602" s="15"/>
      <c r="H602" s="15" t="s">
        <v>433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28.9">
      <c r="A603" s="15" t="s">
        <v>137</v>
      </c>
      <c r="B603" s="15" t="s">
        <v>469</v>
      </c>
      <c r="C603" s="15" t="str">
        <f t="shared" si="10"/>
        <v>HSR Siberia</v>
      </c>
      <c r="D603" s="15" t="s">
        <v>486</v>
      </c>
      <c r="E603" s="15" t="str">
        <f t="shared" si="11"/>
        <v>ASM SIB Krasnoyarsk+Abakan+Tuva+Kuzbass+Norilsk</v>
      </c>
      <c r="F603" s="15" t="s">
        <v>488</v>
      </c>
      <c r="G603" s="15"/>
      <c r="H603" s="15" t="s">
        <v>433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28.9">
      <c r="A604" s="15" t="s">
        <v>144</v>
      </c>
      <c r="B604" s="15" t="s">
        <v>469</v>
      </c>
      <c r="C604" s="15" t="str">
        <f t="shared" si="10"/>
        <v>HSR Siberia</v>
      </c>
      <c r="D604" s="15" t="s">
        <v>486</v>
      </c>
      <c r="E604" s="15" t="str">
        <f t="shared" si="11"/>
        <v>ASM SIB Krasnoyarsk+Abakan+Tuva+Kuzbass+Norilsk</v>
      </c>
      <c r="F604" s="15" t="s">
        <v>487</v>
      </c>
      <c r="G604" s="15"/>
      <c r="H604" s="15" t="s">
        <v>483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28.9">
      <c r="A605" s="15" t="s">
        <v>143</v>
      </c>
      <c r="B605" s="15" t="s">
        <v>469</v>
      </c>
      <c r="C605" s="15" t="str">
        <f t="shared" si="10"/>
        <v>HSR Siberia</v>
      </c>
      <c r="D605" s="15" t="s">
        <v>486</v>
      </c>
      <c r="E605" s="15" t="str">
        <f t="shared" si="11"/>
        <v>ASM SIB Krasnoyarsk+Abakan+Tuva+Kuzbass+Norilsk</v>
      </c>
      <c r="F605" s="15" t="s">
        <v>487</v>
      </c>
      <c r="G605" s="15"/>
      <c r="H605" s="15" t="s">
        <v>483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>
      <c r="A606" s="15" t="s">
        <v>94</v>
      </c>
      <c r="B606" s="15" t="s">
        <v>469</v>
      </c>
      <c r="C606" s="15" t="str">
        <f t="shared" si="10"/>
        <v>HSR Siberia</v>
      </c>
      <c r="D606" s="15" t="s">
        <v>474</v>
      </c>
      <c r="E606" s="15" t="str">
        <f t="shared" si="11"/>
        <v>RADM Siberia</v>
      </c>
      <c r="F606" s="15" t="s">
        <v>482</v>
      </c>
      <c r="G606" s="15"/>
      <c r="H606" s="15" t="s">
        <v>429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>
      <c r="A607" s="15" t="s">
        <v>94</v>
      </c>
      <c r="B607" s="15" t="s">
        <v>469</v>
      </c>
      <c r="C607" s="15" t="str">
        <f t="shared" si="10"/>
        <v>HSR Siberia</v>
      </c>
      <c r="D607" s="15" t="s">
        <v>474</v>
      </c>
      <c r="E607" s="15" t="str">
        <f t="shared" si="11"/>
        <v>RADM Siberia</v>
      </c>
      <c r="F607" s="15" t="s">
        <v>482</v>
      </c>
      <c r="G607" s="15"/>
      <c r="H607" s="15" t="s">
        <v>429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>
      <c r="A608" s="15" t="s">
        <v>172</v>
      </c>
      <c r="B608" s="15" t="s">
        <v>494</v>
      </c>
      <c r="C608" s="15" t="str">
        <f t="shared" si="10"/>
        <v>HSR SOUTH</v>
      </c>
      <c r="D608" s="15" t="s">
        <v>495</v>
      </c>
      <c r="E608" s="15" t="str">
        <f t="shared" si="11"/>
        <v>ASM SOU Krasnodar</v>
      </c>
      <c r="F608" s="15" t="s">
        <v>496</v>
      </c>
      <c r="G608" s="15"/>
      <c r="H608" s="15" t="s">
        <v>497</v>
      </c>
      <c r="I608" s="15">
        <v>1</v>
      </c>
      <c r="J608" s="15"/>
      <c r="K608" s="15" t="s">
        <v>347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>
      <c r="A609" s="15" t="s">
        <v>498</v>
      </c>
      <c r="B609" s="15" t="s">
        <v>494</v>
      </c>
      <c r="C609" s="15" t="str">
        <f t="shared" si="10"/>
        <v>HSR SOUTH</v>
      </c>
      <c r="D609" s="15" t="s">
        <v>495</v>
      </c>
      <c r="E609" s="15" t="str">
        <f t="shared" si="11"/>
        <v>ASM SOU Krasnodar</v>
      </c>
      <c r="F609" s="15" t="s">
        <v>496</v>
      </c>
      <c r="G609" s="15"/>
      <c r="H609" s="15" t="s">
        <v>497</v>
      </c>
      <c r="I609" s="15"/>
      <c r="J609" s="15"/>
      <c r="K609" s="15" t="s">
        <v>347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>
      <c r="A610" s="15" t="s">
        <v>176</v>
      </c>
      <c r="B610" s="15" t="s">
        <v>494</v>
      </c>
      <c r="C610" s="15" t="str">
        <f t="shared" si="10"/>
        <v>HSR SOUTH</v>
      </c>
      <c r="D610" s="15" t="s">
        <v>495</v>
      </c>
      <c r="E610" s="15" t="str">
        <f t="shared" si="11"/>
        <v>ASM SOU Krasnodar</v>
      </c>
      <c r="F610" s="15" t="s">
        <v>496</v>
      </c>
      <c r="G610" s="15"/>
      <c r="H610" s="15" t="s">
        <v>499</v>
      </c>
      <c r="I610" s="15">
        <v>1</v>
      </c>
      <c r="J610" s="15"/>
      <c r="K610" s="15" t="s">
        <v>347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>
      <c r="A611" s="15" t="s">
        <v>346</v>
      </c>
      <c r="B611" s="15" t="s">
        <v>494</v>
      </c>
      <c r="C611" s="15" t="str">
        <f t="shared" si="10"/>
        <v>HSR SOUTH</v>
      </c>
      <c r="D611" s="15" t="s">
        <v>500</v>
      </c>
      <c r="E611" s="15" t="str">
        <f t="shared" si="11"/>
        <v>ASM SOU Voronezh</v>
      </c>
      <c r="F611" s="15" t="s">
        <v>501</v>
      </c>
      <c r="G611" s="15"/>
      <c r="H611" s="15" t="s">
        <v>502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>
      <c r="A612" s="15" t="s">
        <v>146</v>
      </c>
      <c r="B612" s="15" t="s">
        <v>494</v>
      </c>
      <c r="C612" s="15" t="str">
        <f t="shared" si="10"/>
        <v>HSR SOUTH</v>
      </c>
      <c r="D612" s="15" t="s">
        <v>500</v>
      </c>
      <c r="E612" s="15" t="str">
        <f t="shared" si="11"/>
        <v>ASM SOU Voronezh</v>
      </c>
      <c r="F612" s="15" t="s">
        <v>501</v>
      </c>
      <c r="G612" s="15"/>
      <c r="H612" s="15" t="s">
        <v>502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>
      <c r="A613" s="15" t="s">
        <v>153</v>
      </c>
      <c r="B613" s="15" t="s">
        <v>494</v>
      </c>
      <c r="C613" s="15" t="str">
        <f t="shared" si="10"/>
        <v>HSR SOUTH</v>
      </c>
      <c r="D613" s="15" t="s">
        <v>500</v>
      </c>
      <c r="E613" s="15" t="str">
        <f t="shared" si="11"/>
        <v>ASM SOU Voronezh</v>
      </c>
      <c r="F613" s="15" t="s">
        <v>501</v>
      </c>
      <c r="G613" s="15"/>
      <c r="H613" s="15" t="s">
        <v>502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>
      <c r="A614" s="15" t="s">
        <v>22</v>
      </c>
      <c r="B614" s="15" t="s">
        <v>494</v>
      </c>
      <c r="C614" s="15" t="str">
        <f t="shared" si="10"/>
        <v>HSR SOUTH</v>
      </c>
      <c r="D614" s="15" t="s">
        <v>500</v>
      </c>
      <c r="E614" s="15" t="str">
        <f t="shared" si="11"/>
        <v>ASM SOU Voronezh</v>
      </c>
      <c r="F614" s="15" t="s">
        <v>501</v>
      </c>
      <c r="G614" s="15"/>
      <c r="H614" s="15" t="s">
        <v>502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>
      <c r="A615" s="15" t="s">
        <v>151</v>
      </c>
      <c r="B615" s="15" t="s">
        <v>494</v>
      </c>
      <c r="C615" s="15" t="str">
        <f t="shared" si="10"/>
        <v>HSR SOUTH</v>
      </c>
      <c r="D615" s="15" t="s">
        <v>500</v>
      </c>
      <c r="E615" s="15" t="str">
        <f t="shared" si="11"/>
        <v>ASM SOU Voronezh</v>
      </c>
      <c r="F615" s="15" t="s">
        <v>501</v>
      </c>
      <c r="G615" s="15"/>
      <c r="H615" s="15" t="s">
        <v>502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>
      <c r="A616" s="15" t="s">
        <v>155</v>
      </c>
      <c r="B616" s="15" t="s">
        <v>494</v>
      </c>
      <c r="C616" s="15" t="str">
        <f t="shared" si="10"/>
        <v>HSR SOUTH</v>
      </c>
      <c r="D616" s="15" t="s">
        <v>500</v>
      </c>
      <c r="E616" s="15" t="str">
        <f t="shared" si="11"/>
        <v>ASM SOU Voronezh</v>
      </c>
      <c r="F616" s="15" t="s">
        <v>501</v>
      </c>
      <c r="G616" s="15"/>
      <c r="H616" s="15" t="s">
        <v>502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>
      <c r="A617" s="15" t="s">
        <v>150</v>
      </c>
      <c r="B617" s="15" t="s">
        <v>494</v>
      </c>
      <c r="C617" s="15" t="str">
        <f t="shared" si="10"/>
        <v>HSR SOUTH</v>
      </c>
      <c r="D617" s="15" t="s">
        <v>500</v>
      </c>
      <c r="E617" s="15" t="str">
        <f t="shared" si="11"/>
        <v>ASM SOU Voronezh</v>
      </c>
      <c r="F617" s="15" t="s">
        <v>501</v>
      </c>
      <c r="G617" s="15"/>
      <c r="H617" s="15" t="s">
        <v>502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>
      <c r="A618" s="15" t="s">
        <v>20</v>
      </c>
      <c r="B618" s="15" t="s">
        <v>494</v>
      </c>
      <c r="C618" s="15" t="str">
        <f t="shared" si="10"/>
        <v>HSR SOUTH</v>
      </c>
      <c r="D618" s="15" t="s">
        <v>500</v>
      </c>
      <c r="E618" s="15" t="str">
        <f t="shared" si="11"/>
        <v>ASM SOU Voronezh</v>
      </c>
      <c r="F618" s="15" t="s">
        <v>501</v>
      </c>
      <c r="G618" s="15"/>
      <c r="H618" s="15" t="s">
        <v>502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>
      <c r="A619" s="15" t="s">
        <v>61</v>
      </c>
      <c r="B619" s="15" t="s">
        <v>494</v>
      </c>
      <c r="C619" s="15" t="str">
        <f t="shared" si="10"/>
        <v>HSR SOUTH</v>
      </c>
      <c r="D619" s="15" t="s">
        <v>500</v>
      </c>
      <c r="E619" s="15" t="str">
        <f t="shared" si="11"/>
        <v>ASM SOU Voronezh</v>
      </c>
      <c r="F619" s="15" t="s">
        <v>501</v>
      </c>
      <c r="G619" s="15"/>
      <c r="H619" s="15" t="s">
        <v>502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>
      <c r="A620" s="15" t="s">
        <v>156</v>
      </c>
      <c r="B620" s="15" t="s">
        <v>494</v>
      </c>
      <c r="C620" s="15" t="str">
        <f t="shared" si="10"/>
        <v>HSR SOUTH</v>
      </c>
      <c r="D620" s="15" t="s">
        <v>500</v>
      </c>
      <c r="E620" s="15" t="str">
        <f t="shared" si="11"/>
        <v>ASM SOU Voronezh</v>
      </c>
      <c r="F620" s="15" t="s">
        <v>501</v>
      </c>
      <c r="G620" s="15"/>
      <c r="H620" s="15" t="s">
        <v>502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>
      <c r="A621" s="15" t="s">
        <v>19</v>
      </c>
      <c r="B621" s="15" t="s">
        <v>494</v>
      </c>
      <c r="C621" s="15" t="str">
        <f t="shared" si="10"/>
        <v>HSR SOUTH</v>
      </c>
      <c r="D621" s="15" t="s">
        <v>500</v>
      </c>
      <c r="E621" s="15" t="str">
        <f t="shared" si="11"/>
        <v>ASM SOU Voronezh</v>
      </c>
      <c r="F621" s="15" t="s">
        <v>501</v>
      </c>
      <c r="G621" s="15"/>
      <c r="H621" s="15" t="s">
        <v>502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>
      <c r="A622" s="15" t="s">
        <v>146</v>
      </c>
      <c r="B622" s="15" t="s">
        <v>494</v>
      </c>
      <c r="C622" s="15" t="str">
        <f t="shared" si="10"/>
        <v>HSR SOUTH</v>
      </c>
      <c r="D622" s="15" t="s">
        <v>500</v>
      </c>
      <c r="E622" s="15" t="str">
        <f t="shared" si="11"/>
        <v>ASM SOU Voronezh</v>
      </c>
      <c r="F622" s="15" t="s">
        <v>503</v>
      </c>
      <c r="G622" s="15"/>
      <c r="H622" s="15" t="s">
        <v>502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>
      <c r="A623" s="15" t="s">
        <v>150</v>
      </c>
      <c r="B623" s="15" t="s">
        <v>494</v>
      </c>
      <c r="C623" s="15" t="str">
        <f t="shared" si="10"/>
        <v>HSR SOUTH</v>
      </c>
      <c r="D623" s="15" t="s">
        <v>500</v>
      </c>
      <c r="E623" s="15" t="str">
        <f t="shared" si="11"/>
        <v>ASM SOU Voronezh</v>
      </c>
      <c r="F623" s="15" t="s">
        <v>503</v>
      </c>
      <c r="G623" s="15"/>
      <c r="H623" s="15" t="s">
        <v>502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>
      <c r="A624" s="15" t="s">
        <v>439</v>
      </c>
      <c r="B624" s="15" t="s">
        <v>494</v>
      </c>
      <c r="C624" s="15" t="str">
        <f t="shared" si="10"/>
        <v>HSR SOUTH</v>
      </c>
      <c r="D624" s="15" t="s">
        <v>495</v>
      </c>
      <c r="E624" s="15" t="str">
        <f t="shared" si="11"/>
        <v>ASM SOU Krasnodar</v>
      </c>
      <c r="F624" s="15" t="s">
        <v>504</v>
      </c>
      <c r="G624" s="15"/>
      <c r="H624" s="15" t="s">
        <v>424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>
      <c r="A625" s="15" t="s">
        <v>178</v>
      </c>
      <c r="B625" s="15" t="s">
        <v>494</v>
      </c>
      <c r="C625" s="15" t="str">
        <f t="shared" si="10"/>
        <v>HSR SOUTH</v>
      </c>
      <c r="D625" s="15" t="s">
        <v>495</v>
      </c>
      <c r="E625" s="15" t="str">
        <f t="shared" si="11"/>
        <v>ASM SOU Krasnodar</v>
      </c>
      <c r="F625" s="15" t="s">
        <v>504</v>
      </c>
      <c r="G625" s="15"/>
      <c r="H625" s="15" t="s">
        <v>424</v>
      </c>
      <c r="I625" s="15"/>
      <c r="J625" s="15"/>
      <c r="K625" s="15" t="s">
        <v>347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>
      <c r="A626" s="15" t="s">
        <v>185</v>
      </c>
      <c r="B626" s="15" t="s">
        <v>494</v>
      </c>
      <c r="C626" s="15" t="str">
        <f t="shared" si="10"/>
        <v>HSR SOUTH</v>
      </c>
      <c r="D626" s="15" t="s">
        <v>495</v>
      </c>
      <c r="E626" s="15" t="str">
        <f t="shared" si="11"/>
        <v>ASM SOU Krasnodar</v>
      </c>
      <c r="F626" s="15" t="s">
        <v>504</v>
      </c>
      <c r="G626" s="15"/>
      <c r="H626" s="15" t="s">
        <v>424</v>
      </c>
      <c r="I626" s="15">
        <v>1</v>
      </c>
      <c r="J626" s="15"/>
      <c r="K626" s="15" t="s">
        <v>347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>
      <c r="A627" s="15" t="s">
        <v>505</v>
      </c>
      <c r="B627" s="15" t="s">
        <v>494</v>
      </c>
      <c r="C627" s="15" t="str">
        <f t="shared" si="10"/>
        <v>HSR SOUTH</v>
      </c>
      <c r="D627" s="15" t="s">
        <v>495</v>
      </c>
      <c r="E627" s="15" t="str">
        <f t="shared" si="11"/>
        <v>ASM SOU Krasnodar</v>
      </c>
      <c r="F627" s="15" t="s">
        <v>504</v>
      </c>
      <c r="G627" s="15"/>
      <c r="H627" s="15" t="s">
        <v>424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>
      <c r="A628" s="15" t="s">
        <v>437</v>
      </c>
      <c r="B628" s="15" t="s">
        <v>494</v>
      </c>
      <c r="C628" s="15" t="str">
        <f t="shared" si="10"/>
        <v>HSR SOUTH</v>
      </c>
      <c r="D628" s="15" t="s">
        <v>495</v>
      </c>
      <c r="E628" s="15" t="str">
        <f t="shared" si="11"/>
        <v>ASM SOU Krasnodar</v>
      </c>
      <c r="F628" s="15" t="s">
        <v>504</v>
      </c>
      <c r="G628" s="15"/>
      <c r="H628" s="15" t="s">
        <v>424</v>
      </c>
      <c r="I628" s="15"/>
      <c r="J628" s="15"/>
      <c r="K628" s="15" t="s">
        <v>347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>
      <c r="A629" s="15" t="s">
        <v>185</v>
      </c>
      <c r="B629" s="15" t="s">
        <v>494</v>
      </c>
      <c r="C629" s="15" t="str">
        <f t="shared" si="10"/>
        <v>HSR SOUTH</v>
      </c>
      <c r="D629" s="15" t="s">
        <v>495</v>
      </c>
      <c r="E629" s="15" t="str">
        <f t="shared" si="11"/>
        <v>ASM SOU Krasnodar</v>
      </c>
      <c r="F629" s="15" t="s">
        <v>506</v>
      </c>
      <c r="G629" s="15"/>
      <c r="H629" s="15" t="s">
        <v>424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>
      <c r="A630" s="15" t="s">
        <v>437</v>
      </c>
      <c r="B630" s="15" t="s">
        <v>494</v>
      </c>
      <c r="C630" s="15" t="str">
        <f t="shared" si="10"/>
        <v>HSR SOUTH</v>
      </c>
      <c r="D630" s="15" t="s">
        <v>495</v>
      </c>
      <c r="E630" s="15" t="str">
        <f t="shared" si="11"/>
        <v>ASM SOU Krasnodar</v>
      </c>
      <c r="F630" s="15" t="s">
        <v>506</v>
      </c>
      <c r="G630" s="15"/>
      <c r="H630" s="15" t="s">
        <v>424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>
      <c r="A631" s="15" t="s">
        <v>179</v>
      </c>
      <c r="B631" s="15" t="s">
        <v>494</v>
      </c>
      <c r="C631" s="15" t="str">
        <f t="shared" si="10"/>
        <v>HSR SOUTH</v>
      </c>
      <c r="D631" s="15" t="s">
        <v>495</v>
      </c>
      <c r="E631" s="15" t="str">
        <f t="shared" si="11"/>
        <v>ASM SOU Krasnodar</v>
      </c>
      <c r="F631" s="15" t="s">
        <v>507</v>
      </c>
      <c r="G631" s="15"/>
      <c r="H631" s="15" t="s">
        <v>424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>
      <c r="A632" s="15" t="s">
        <v>439</v>
      </c>
      <c r="B632" s="15" t="s">
        <v>494</v>
      </c>
      <c r="C632" s="15" t="str">
        <f t="shared" si="10"/>
        <v>HSR SOUTH</v>
      </c>
      <c r="D632" s="15" t="s">
        <v>508</v>
      </c>
      <c r="E632" s="15" t="str">
        <f t="shared" si="11"/>
        <v>DDM SOU Rostov-On-Don</v>
      </c>
      <c r="F632" s="15" t="s">
        <v>509</v>
      </c>
      <c r="G632" s="15"/>
      <c r="H632" s="15" t="s">
        <v>359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>
      <c r="A633" s="15" t="s">
        <v>178</v>
      </c>
      <c r="B633" s="15" t="s">
        <v>494</v>
      </c>
      <c r="C633" s="15" t="str">
        <f t="shared" si="10"/>
        <v>HSR SOUTH</v>
      </c>
      <c r="D633" s="15" t="s">
        <v>508</v>
      </c>
      <c r="E633" s="15" t="str">
        <f t="shared" si="11"/>
        <v>DDM SOU Rostov-On-Don</v>
      </c>
      <c r="F633" s="15" t="s">
        <v>509</v>
      </c>
      <c r="G633" s="15"/>
      <c r="H633" s="15" t="s">
        <v>359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>
      <c r="A634" s="15" t="s">
        <v>161</v>
      </c>
      <c r="B634" s="15" t="s">
        <v>494</v>
      </c>
      <c r="C634" s="15" t="str">
        <f t="shared" si="10"/>
        <v>HSR SOUTH</v>
      </c>
      <c r="D634" s="15" t="s">
        <v>508</v>
      </c>
      <c r="E634" s="15" t="str">
        <f t="shared" si="11"/>
        <v>DDM SOU Rostov-On-Don</v>
      </c>
      <c r="F634" s="15" t="s">
        <v>509</v>
      </c>
      <c r="G634" s="15"/>
      <c r="H634" s="15" t="s">
        <v>359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>
      <c r="A635" s="15" t="s">
        <v>170</v>
      </c>
      <c r="B635" s="15" t="s">
        <v>494</v>
      </c>
      <c r="C635" s="15" t="str">
        <f t="shared" si="10"/>
        <v>HSR SOUTH</v>
      </c>
      <c r="D635" s="15" t="s">
        <v>508</v>
      </c>
      <c r="E635" s="15" t="str">
        <f t="shared" si="11"/>
        <v>DDM SOU Rostov-On-Don</v>
      </c>
      <c r="F635" s="15" t="s">
        <v>509</v>
      </c>
      <c r="G635" s="15"/>
      <c r="H635" s="15" t="s">
        <v>359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>
      <c r="A636" s="15" t="s">
        <v>178</v>
      </c>
      <c r="B636" s="15" t="s">
        <v>494</v>
      </c>
      <c r="C636" s="15" t="str">
        <f t="shared" si="10"/>
        <v>HSR SOUTH</v>
      </c>
      <c r="D636" s="15" t="s">
        <v>508</v>
      </c>
      <c r="E636" s="15" t="str">
        <f t="shared" si="11"/>
        <v>DDM SOU Rostov-On-Don</v>
      </c>
      <c r="F636" s="15" t="s">
        <v>510</v>
      </c>
      <c r="G636" s="15"/>
      <c r="H636" s="15" t="s">
        <v>359</v>
      </c>
      <c r="I636" s="15"/>
      <c r="J636" s="15"/>
      <c r="K636" s="15" t="s">
        <v>347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>
      <c r="A637" s="15" t="s">
        <v>511</v>
      </c>
      <c r="B637" s="15" t="s">
        <v>494</v>
      </c>
      <c r="C637" s="15" t="str">
        <f t="shared" si="10"/>
        <v>HSR SOUTH</v>
      </c>
      <c r="D637" s="15" t="s">
        <v>508</v>
      </c>
      <c r="E637" s="15" t="str">
        <f t="shared" si="11"/>
        <v>DDM SOU Rostov-On-Don</v>
      </c>
      <c r="F637" s="15" t="s">
        <v>510</v>
      </c>
      <c r="G637" s="15"/>
      <c r="H637" s="15" t="s">
        <v>359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>
      <c r="A638" s="15" t="s">
        <v>179</v>
      </c>
      <c r="B638" s="15" t="s">
        <v>494</v>
      </c>
      <c r="C638" s="15" t="str">
        <f t="shared" si="10"/>
        <v>HSR SOUTH</v>
      </c>
      <c r="D638" s="15" t="s">
        <v>512</v>
      </c>
      <c r="E638" s="15" t="str">
        <f t="shared" si="11"/>
        <v>TDM SOUTH 1</v>
      </c>
      <c r="F638" s="15" t="s">
        <v>513</v>
      </c>
      <c r="G638" s="15"/>
      <c r="H638" s="15"/>
      <c r="I638" s="15"/>
      <c r="J638" s="15"/>
      <c r="K638" s="15" t="s">
        <v>347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>
      <c r="A639" s="15" t="s">
        <v>179</v>
      </c>
      <c r="B639" s="15" t="s">
        <v>494</v>
      </c>
      <c r="C639" s="15" t="str">
        <f t="shared" si="10"/>
        <v>HSR SOUTH</v>
      </c>
      <c r="D639" s="15" t="s">
        <v>495</v>
      </c>
      <c r="E639" s="15" t="str">
        <f t="shared" si="11"/>
        <v>ASM SOU Krasnodar</v>
      </c>
      <c r="F639" s="15" t="s">
        <v>496</v>
      </c>
      <c r="G639" s="15"/>
      <c r="H639" s="15" t="s">
        <v>100</v>
      </c>
      <c r="I639" s="15"/>
      <c r="J639" s="15"/>
      <c r="K639" s="15" t="s">
        <v>347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>
      <c r="A640" s="15" t="s">
        <v>171</v>
      </c>
      <c r="B640" s="15" t="s">
        <v>494</v>
      </c>
      <c r="C640" s="15" t="str">
        <f t="shared" si="10"/>
        <v>HSR SOUTH</v>
      </c>
      <c r="D640" s="15" t="s">
        <v>514</v>
      </c>
      <c r="E640" s="15" t="str">
        <f t="shared" si="11"/>
        <v>TDM SOUTH 2</v>
      </c>
      <c r="F640" s="15" t="s">
        <v>515</v>
      </c>
      <c r="G640" s="15"/>
      <c r="H640" s="15"/>
      <c r="I640" s="15"/>
      <c r="J640" s="15"/>
      <c r="K640" s="15" t="s">
        <v>347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>
      <c r="A641" s="15" t="s">
        <v>346</v>
      </c>
      <c r="B641" s="15" t="s">
        <v>494</v>
      </c>
      <c r="C641" s="15" t="str">
        <f t="shared" si="10"/>
        <v>HSR SOUTH</v>
      </c>
      <c r="D641" s="15" t="s">
        <v>514</v>
      </c>
      <c r="E641" s="15" t="str">
        <f t="shared" si="11"/>
        <v>TDM SOUTH 2</v>
      </c>
      <c r="F641" s="15" t="s">
        <v>516</v>
      </c>
      <c r="G641" s="15"/>
      <c r="H641" s="15"/>
      <c r="I641" s="15"/>
      <c r="J641" s="15"/>
      <c r="K641" s="15" t="s">
        <v>347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>
      <c r="A642" s="15" t="s">
        <v>146</v>
      </c>
      <c r="B642" s="15" t="s">
        <v>494</v>
      </c>
      <c r="C642" s="15" t="str">
        <f t="shared" si="10"/>
        <v>HSR SOUTH</v>
      </c>
      <c r="D642" s="15" t="s">
        <v>514</v>
      </c>
      <c r="E642" s="15" t="str">
        <f t="shared" si="11"/>
        <v>TDM SOUTH 2</v>
      </c>
      <c r="F642" s="15" t="s">
        <v>516</v>
      </c>
      <c r="G642" s="15"/>
      <c r="H642" s="15"/>
      <c r="I642" s="15"/>
      <c r="J642" s="15"/>
      <c r="K642" s="15" t="s">
        <v>347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>
      <c r="A643" s="15" t="s">
        <v>160</v>
      </c>
      <c r="B643" s="15" t="s">
        <v>494</v>
      </c>
      <c r="C643" s="15" t="str">
        <f t="shared" si="10"/>
        <v>HSR SOUTH</v>
      </c>
      <c r="D643" s="15" t="s">
        <v>514</v>
      </c>
      <c r="E643" s="15" t="str">
        <f t="shared" si="11"/>
        <v>TDM SOUTH 2</v>
      </c>
      <c r="F643" s="15" t="s">
        <v>515</v>
      </c>
      <c r="G643" s="15"/>
      <c r="H643" s="15"/>
      <c r="I643" s="15"/>
      <c r="J643" s="15"/>
      <c r="K643" s="15" t="s">
        <v>347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>
      <c r="A644" s="15" t="s">
        <v>153</v>
      </c>
      <c r="B644" s="15" t="s">
        <v>494</v>
      </c>
      <c r="C644" s="15" t="str">
        <f t="shared" si="10"/>
        <v>HSR SOUTH</v>
      </c>
      <c r="D644" s="15" t="s">
        <v>514</v>
      </c>
      <c r="E644" s="15" t="str">
        <f t="shared" si="11"/>
        <v>TDM SOUTH 2</v>
      </c>
      <c r="F644" s="15" t="s">
        <v>516</v>
      </c>
      <c r="G644" s="15"/>
      <c r="H644" s="15"/>
      <c r="I644" s="15"/>
      <c r="J644" s="15"/>
      <c r="K644" s="15" t="s">
        <v>347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>
      <c r="A645" s="15" t="s">
        <v>517</v>
      </c>
      <c r="B645" s="15" t="s">
        <v>494</v>
      </c>
      <c r="C645" s="15" t="str">
        <f t="shared" ref="C645:C694" si="12">B645</f>
        <v>HSR SOUTH</v>
      </c>
      <c r="D645" s="15" t="s">
        <v>512</v>
      </c>
      <c r="E645" s="15" t="str">
        <f t="shared" ref="E645:E694" si="13">D645</f>
        <v>TDM SOUTH 1</v>
      </c>
      <c r="F645" s="15" t="s">
        <v>518</v>
      </c>
      <c r="G645" s="15"/>
      <c r="H645" s="15"/>
      <c r="I645" s="15"/>
      <c r="J645" s="15"/>
      <c r="K645" s="15" t="s">
        <v>347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>
      <c r="A646" s="15" t="s">
        <v>170</v>
      </c>
      <c r="B646" s="15" t="s">
        <v>494</v>
      </c>
      <c r="C646" s="15" t="str">
        <f t="shared" si="12"/>
        <v>HSR SOUTH</v>
      </c>
      <c r="D646" s="15" t="s">
        <v>514</v>
      </c>
      <c r="E646" s="15" t="str">
        <f t="shared" si="13"/>
        <v>TDM SOUTH 2</v>
      </c>
      <c r="F646" s="15" t="s">
        <v>515</v>
      </c>
      <c r="G646" s="15"/>
      <c r="H646" s="15"/>
      <c r="I646" s="15"/>
      <c r="J646" s="15"/>
      <c r="K646" s="15" t="s">
        <v>347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>
      <c r="A647" s="15" t="s">
        <v>519</v>
      </c>
      <c r="B647" s="15" t="s">
        <v>494</v>
      </c>
      <c r="C647" s="15" t="str">
        <f t="shared" si="12"/>
        <v>HSR SOUTH</v>
      </c>
      <c r="D647" s="15" t="s">
        <v>512</v>
      </c>
      <c r="E647" s="15" t="str">
        <f t="shared" si="13"/>
        <v>TDM SOUTH 1</v>
      </c>
      <c r="F647" s="15" t="s">
        <v>518</v>
      </c>
      <c r="G647" s="15"/>
      <c r="H647" s="15"/>
      <c r="I647" s="15"/>
      <c r="J647" s="15"/>
      <c r="K647" s="15" t="s">
        <v>347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>
      <c r="A648" s="15" t="s">
        <v>178</v>
      </c>
      <c r="B648" s="15" t="s">
        <v>494</v>
      </c>
      <c r="C648" s="15" t="str">
        <f t="shared" si="12"/>
        <v>HSR SOUTH</v>
      </c>
      <c r="D648" s="15" t="s">
        <v>512</v>
      </c>
      <c r="E648" s="15" t="str">
        <f t="shared" si="13"/>
        <v>TDM SOUTH 1</v>
      </c>
      <c r="F648" s="15" t="s">
        <v>513</v>
      </c>
      <c r="G648" s="15"/>
      <c r="H648" s="15"/>
      <c r="I648" s="15"/>
      <c r="J648" s="15"/>
      <c r="K648" s="15" t="s">
        <v>347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>
      <c r="A649" s="15" t="s">
        <v>178</v>
      </c>
      <c r="B649" s="15" t="s">
        <v>494</v>
      </c>
      <c r="C649" s="15" t="str">
        <f t="shared" si="12"/>
        <v>HSR SOUTH</v>
      </c>
      <c r="D649" s="15" t="s">
        <v>512</v>
      </c>
      <c r="E649" s="15" t="str">
        <f t="shared" si="13"/>
        <v>TDM SOUTH 1</v>
      </c>
      <c r="F649" s="15" t="s">
        <v>520</v>
      </c>
      <c r="G649" s="15"/>
      <c r="H649" s="15"/>
      <c r="I649" s="15"/>
      <c r="J649" s="15"/>
      <c r="K649" s="15" t="s">
        <v>347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>
      <c r="A650" s="15" t="s">
        <v>151</v>
      </c>
      <c r="B650" s="15" t="s">
        <v>494</v>
      </c>
      <c r="C650" s="15" t="str">
        <f t="shared" si="12"/>
        <v>HSR SOUTH</v>
      </c>
      <c r="D650" s="15" t="s">
        <v>514</v>
      </c>
      <c r="E650" s="15" t="str">
        <f t="shared" si="13"/>
        <v>TDM SOUTH 2</v>
      </c>
      <c r="F650" s="15" t="s">
        <v>516</v>
      </c>
      <c r="G650" s="15"/>
      <c r="H650" s="15"/>
      <c r="I650" s="15"/>
      <c r="J650" s="15"/>
      <c r="K650" s="15" t="s">
        <v>347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>
      <c r="A651" s="15" t="s">
        <v>155</v>
      </c>
      <c r="B651" s="15" t="s">
        <v>494</v>
      </c>
      <c r="C651" s="15" t="str">
        <f t="shared" si="12"/>
        <v>HSR SOUTH</v>
      </c>
      <c r="D651" s="15" t="s">
        <v>514</v>
      </c>
      <c r="E651" s="15" t="str">
        <f t="shared" si="13"/>
        <v>TDM SOUTH 2</v>
      </c>
      <c r="F651" s="15" t="s">
        <v>516</v>
      </c>
      <c r="G651" s="15"/>
      <c r="H651" s="15"/>
      <c r="I651" s="15"/>
      <c r="J651" s="15"/>
      <c r="K651" s="15" t="s">
        <v>347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>
      <c r="A652" s="15" t="s">
        <v>150</v>
      </c>
      <c r="B652" s="15" t="s">
        <v>494</v>
      </c>
      <c r="C652" s="15" t="str">
        <f t="shared" si="12"/>
        <v>HSR SOUTH</v>
      </c>
      <c r="D652" s="15" t="s">
        <v>514</v>
      </c>
      <c r="E652" s="15" t="str">
        <f t="shared" si="13"/>
        <v>TDM SOUTH 2</v>
      </c>
      <c r="F652" s="15" t="s">
        <v>516</v>
      </c>
      <c r="G652" s="15"/>
      <c r="H652" s="15"/>
      <c r="I652" s="15"/>
      <c r="J652" s="15"/>
      <c r="K652" s="15" t="s">
        <v>347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>
      <c r="A653" s="15" t="s">
        <v>157</v>
      </c>
      <c r="B653" s="15" t="s">
        <v>494</v>
      </c>
      <c r="C653" s="15" t="str">
        <f t="shared" si="12"/>
        <v>HSR SOUTH</v>
      </c>
      <c r="D653" s="15" t="s">
        <v>514</v>
      </c>
      <c r="E653" s="15" t="str">
        <f t="shared" si="13"/>
        <v>TDM SOUTH 2</v>
      </c>
      <c r="F653" s="15" t="s">
        <v>521</v>
      </c>
      <c r="G653" s="15"/>
      <c r="H653" s="15"/>
      <c r="I653" s="15"/>
      <c r="J653" s="15"/>
      <c r="K653" s="15" t="s">
        <v>347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>
      <c r="A654" s="15" t="s">
        <v>161</v>
      </c>
      <c r="B654" s="15" t="s">
        <v>494</v>
      </c>
      <c r="C654" s="15" t="str">
        <f t="shared" si="12"/>
        <v>HSR SOUTH</v>
      </c>
      <c r="D654" s="15" t="s">
        <v>512</v>
      </c>
      <c r="E654" s="15" t="str">
        <f t="shared" si="13"/>
        <v>TDM SOUTH 1</v>
      </c>
      <c r="F654" s="15" t="s">
        <v>520</v>
      </c>
      <c r="G654" s="15"/>
      <c r="H654" s="15"/>
      <c r="I654" s="15"/>
      <c r="J654" s="15"/>
      <c r="K654" s="15" t="s">
        <v>347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>
      <c r="A655" s="15" t="s">
        <v>159</v>
      </c>
      <c r="B655" s="15" t="s">
        <v>494</v>
      </c>
      <c r="C655" s="15" t="str">
        <f t="shared" si="12"/>
        <v>HSR SOUTH</v>
      </c>
      <c r="D655" s="15" t="s">
        <v>514</v>
      </c>
      <c r="E655" s="15" t="str">
        <f t="shared" si="13"/>
        <v>TDM SOUTH 2</v>
      </c>
      <c r="F655" s="15" t="s">
        <v>521</v>
      </c>
      <c r="G655" s="15"/>
      <c r="H655" s="15"/>
      <c r="I655" s="15"/>
      <c r="J655" s="15"/>
      <c r="K655" s="15" t="s">
        <v>347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>
      <c r="A656" s="15" t="s">
        <v>522</v>
      </c>
      <c r="B656" s="15" t="s">
        <v>494</v>
      </c>
      <c r="C656" s="15" t="str">
        <f t="shared" si="12"/>
        <v>HSR SOUTH</v>
      </c>
      <c r="D656" s="15" t="s">
        <v>512</v>
      </c>
      <c r="E656" s="15" t="str">
        <f t="shared" si="13"/>
        <v>TDM SOUTH 1</v>
      </c>
      <c r="F656" s="15" t="s">
        <v>518</v>
      </c>
      <c r="G656" s="15"/>
      <c r="H656" s="15"/>
      <c r="I656" s="15"/>
      <c r="J656" s="15"/>
      <c r="K656" s="15" t="s">
        <v>347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>
      <c r="A657" s="15" t="s">
        <v>165</v>
      </c>
      <c r="B657" s="15" t="s">
        <v>494</v>
      </c>
      <c r="C657" s="15" t="str">
        <f t="shared" si="12"/>
        <v>HSR SOUTH</v>
      </c>
      <c r="D657" s="15" t="s">
        <v>512</v>
      </c>
      <c r="E657" s="15" t="str">
        <f t="shared" si="13"/>
        <v>TDM SOUTH 1</v>
      </c>
      <c r="F657" s="15" t="s">
        <v>518</v>
      </c>
      <c r="G657" s="15"/>
      <c r="H657" s="15"/>
      <c r="I657" s="15"/>
      <c r="J657" s="15"/>
      <c r="K657" s="15" t="s">
        <v>347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>
      <c r="A658" s="15" t="s">
        <v>156</v>
      </c>
      <c r="B658" s="15" t="s">
        <v>494</v>
      </c>
      <c r="C658" s="15" t="str">
        <f t="shared" si="12"/>
        <v>HSR SOUTH</v>
      </c>
      <c r="D658" s="15" t="s">
        <v>514</v>
      </c>
      <c r="E658" s="15" t="str">
        <f t="shared" si="13"/>
        <v>TDM SOUTH 2</v>
      </c>
      <c r="F658" s="15" t="s">
        <v>516</v>
      </c>
      <c r="G658" s="15"/>
      <c r="H658" s="15"/>
      <c r="I658" s="15"/>
      <c r="J658" s="15"/>
      <c r="K658" s="15" t="s">
        <v>347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>
      <c r="A659" s="15" t="s">
        <v>346</v>
      </c>
      <c r="B659" s="15" t="s">
        <v>494</v>
      </c>
      <c r="C659" s="15" t="str">
        <f t="shared" si="12"/>
        <v>HSR SOUTH</v>
      </c>
      <c r="D659" s="15" t="s">
        <v>514</v>
      </c>
      <c r="E659" s="15" t="str">
        <f t="shared" si="13"/>
        <v>TDM SOUTH 2</v>
      </c>
      <c r="F659" s="15" t="s">
        <v>523</v>
      </c>
      <c r="G659" s="15"/>
      <c r="H659" s="15"/>
      <c r="I659" s="15"/>
      <c r="J659" s="15"/>
      <c r="K659" s="15" t="s">
        <v>347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>
      <c r="A660" s="15" t="s">
        <v>146</v>
      </c>
      <c r="B660" s="15" t="s">
        <v>494</v>
      </c>
      <c r="C660" s="15" t="str">
        <f t="shared" si="12"/>
        <v>HSR SOUTH</v>
      </c>
      <c r="D660" s="15" t="s">
        <v>514</v>
      </c>
      <c r="E660" s="15" t="str">
        <f t="shared" si="13"/>
        <v>TDM SOUTH 2</v>
      </c>
      <c r="F660" s="15" t="s">
        <v>523</v>
      </c>
      <c r="G660" s="15"/>
      <c r="H660" s="15"/>
      <c r="I660" s="15"/>
      <c r="J660" s="15"/>
      <c r="K660" s="15" t="s">
        <v>347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>
      <c r="A661" s="15" t="s">
        <v>153</v>
      </c>
      <c r="B661" s="15" t="s">
        <v>494</v>
      </c>
      <c r="C661" s="15" t="str">
        <f t="shared" si="12"/>
        <v>HSR SOUTH</v>
      </c>
      <c r="D661" s="15" t="s">
        <v>514</v>
      </c>
      <c r="E661" s="15" t="str">
        <f t="shared" si="13"/>
        <v>TDM SOUTH 2</v>
      </c>
      <c r="F661" s="15" t="s">
        <v>523</v>
      </c>
      <c r="G661" s="15"/>
      <c r="H661" s="15"/>
      <c r="I661" s="15"/>
      <c r="J661" s="15"/>
      <c r="K661" s="15" t="s">
        <v>347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>
      <c r="A662" s="15" t="s">
        <v>178</v>
      </c>
      <c r="B662" s="15" t="s">
        <v>494</v>
      </c>
      <c r="C662" s="15" t="str">
        <f t="shared" si="12"/>
        <v>HSR SOUTH</v>
      </c>
      <c r="D662" s="15" t="s">
        <v>514</v>
      </c>
      <c r="E662" s="15" t="str">
        <f t="shared" si="13"/>
        <v>TDM SOUTH 2</v>
      </c>
      <c r="F662" s="15" t="s">
        <v>515</v>
      </c>
      <c r="G662" s="15"/>
      <c r="H662" s="15"/>
      <c r="I662" s="15"/>
      <c r="J662" s="15"/>
      <c r="K662" s="15" t="s">
        <v>347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>
      <c r="A663" s="15" t="s">
        <v>151</v>
      </c>
      <c r="B663" s="15" t="s">
        <v>494</v>
      </c>
      <c r="C663" s="15" t="str">
        <f t="shared" si="12"/>
        <v>HSR SOUTH</v>
      </c>
      <c r="D663" s="15" t="s">
        <v>514</v>
      </c>
      <c r="E663" s="15" t="str">
        <f t="shared" si="13"/>
        <v>TDM SOUTH 2</v>
      </c>
      <c r="F663" s="15" t="s">
        <v>523</v>
      </c>
      <c r="G663" s="15"/>
      <c r="H663" s="15"/>
      <c r="I663" s="15"/>
      <c r="J663" s="15"/>
      <c r="K663" s="15" t="s">
        <v>347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>
      <c r="A664" s="15" t="s">
        <v>155</v>
      </c>
      <c r="B664" s="15" t="s">
        <v>494</v>
      </c>
      <c r="C664" s="15" t="str">
        <f t="shared" si="12"/>
        <v>HSR SOUTH</v>
      </c>
      <c r="D664" s="15" t="s">
        <v>514</v>
      </c>
      <c r="E664" s="15" t="str">
        <f t="shared" si="13"/>
        <v>TDM SOUTH 2</v>
      </c>
      <c r="F664" s="15" t="s">
        <v>523</v>
      </c>
      <c r="G664" s="15"/>
      <c r="H664" s="15"/>
      <c r="I664" s="15"/>
      <c r="J664" s="15"/>
      <c r="K664" s="15" t="s">
        <v>347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>
      <c r="A665" s="15" t="s">
        <v>150</v>
      </c>
      <c r="B665" s="15" t="s">
        <v>494</v>
      </c>
      <c r="C665" s="15" t="str">
        <f t="shared" si="12"/>
        <v>HSR SOUTH</v>
      </c>
      <c r="D665" s="15" t="s">
        <v>514</v>
      </c>
      <c r="E665" s="15" t="str">
        <f t="shared" si="13"/>
        <v>TDM SOUTH 2</v>
      </c>
      <c r="F665" s="15" t="s">
        <v>523</v>
      </c>
      <c r="G665" s="15"/>
      <c r="H665" s="15"/>
      <c r="I665" s="15"/>
      <c r="J665" s="15"/>
      <c r="K665" s="15" t="s">
        <v>347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>
      <c r="A666" s="15" t="s">
        <v>159</v>
      </c>
      <c r="B666" s="15" t="s">
        <v>494</v>
      </c>
      <c r="C666" s="15" t="str">
        <f t="shared" si="12"/>
        <v>HSR SOUTH</v>
      </c>
      <c r="D666" s="15" t="s">
        <v>514</v>
      </c>
      <c r="E666" s="15" t="str">
        <f t="shared" si="13"/>
        <v>TDM SOUTH 2</v>
      </c>
      <c r="F666" s="15" t="s">
        <v>515</v>
      </c>
      <c r="G666" s="15"/>
      <c r="H666" s="15"/>
      <c r="I666" s="15"/>
      <c r="J666" s="15"/>
      <c r="K666" s="15" t="s">
        <v>347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>
      <c r="A667" s="15" t="s">
        <v>156</v>
      </c>
      <c r="B667" s="15" t="s">
        <v>494</v>
      </c>
      <c r="C667" s="15" t="str">
        <f t="shared" si="12"/>
        <v>HSR SOUTH</v>
      </c>
      <c r="D667" s="15" t="s">
        <v>514</v>
      </c>
      <c r="E667" s="15" t="str">
        <f t="shared" si="13"/>
        <v>TDM SOUTH 2</v>
      </c>
      <c r="F667" s="15" t="s">
        <v>521</v>
      </c>
      <c r="G667" s="15"/>
      <c r="H667" s="15"/>
      <c r="I667" s="15"/>
      <c r="J667" s="15"/>
      <c r="K667" s="15" t="s">
        <v>347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>
      <c r="A668" s="15" t="s">
        <v>179</v>
      </c>
      <c r="B668" s="15" t="s">
        <v>494</v>
      </c>
      <c r="C668" s="15" t="str">
        <f t="shared" si="12"/>
        <v>HSR SOUTH</v>
      </c>
      <c r="D668" s="15" t="s">
        <v>495</v>
      </c>
      <c r="E668" s="15" t="str">
        <f t="shared" si="13"/>
        <v>ASM SOU Krasnodar</v>
      </c>
      <c r="F668" s="15" t="s">
        <v>507</v>
      </c>
      <c r="G668" s="15"/>
      <c r="H668" s="15" t="s">
        <v>100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>
      <c r="A669" s="15" t="s">
        <v>346</v>
      </c>
      <c r="B669" s="15" t="s">
        <v>494</v>
      </c>
      <c r="C669" s="15" t="str">
        <f t="shared" si="12"/>
        <v>HSR SOUTH</v>
      </c>
      <c r="D669" s="15" t="s">
        <v>500</v>
      </c>
      <c r="E669" s="15" t="str">
        <f t="shared" si="13"/>
        <v>ASM SOU Voronezh</v>
      </c>
      <c r="F669" s="15" t="s">
        <v>501</v>
      </c>
      <c r="G669" s="15"/>
      <c r="H669" s="15" t="s">
        <v>100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>
      <c r="A670" s="15" t="s">
        <v>346</v>
      </c>
      <c r="B670" s="15" t="s">
        <v>494</v>
      </c>
      <c r="C670" s="15" t="str">
        <f t="shared" si="12"/>
        <v>HSR SOUTH</v>
      </c>
      <c r="D670" s="15" t="s">
        <v>500</v>
      </c>
      <c r="E670" s="15" t="str">
        <f t="shared" si="13"/>
        <v>ASM SOU Voronezh</v>
      </c>
      <c r="F670" s="15" t="s">
        <v>503</v>
      </c>
      <c r="G670" s="15"/>
      <c r="H670" s="15" t="s">
        <v>100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>
      <c r="A671" s="15" t="s">
        <v>146</v>
      </c>
      <c r="B671" s="15" t="s">
        <v>494</v>
      </c>
      <c r="C671" s="15" t="str">
        <f t="shared" si="12"/>
        <v>HSR SOUTH</v>
      </c>
      <c r="D671" s="15" t="s">
        <v>500</v>
      </c>
      <c r="E671" s="15" t="str">
        <f t="shared" si="13"/>
        <v>ASM SOU Voronezh</v>
      </c>
      <c r="F671" s="15" t="s">
        <v>501</v>
      </c>
      <c r="G671" s="15"/>
      <c r="H671" s="15" t="s">
        <v>100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>
      <c r="A672" s="15" t="s">
        <v>153</v>
      </c>
      <c r="B672" s="15" t="s">
        <v>494</v>
      </c>
      <c r="C672" s="15" t="str">
        <f t="shared" si="12"/>
        <v>HSR SOUTH</v>
      </c>
      <c r="D672" s="15" t="s">
        <v>500</v>
      </c>
      <c r="E672" s="15" t="str">
        <f t="shared" si="13"/>
        <v>ASM SOU Voronezh</v>
      </c>
      <c r="F672" s="15" t="s">
        <v>501</v>
      </c>
      <c r="G672" s="15"/>
      <c r="H672" s="15" t="s">
        <v>100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>
      <c r="A673" s="15" t="s">
        <v>153</v>
      </c>
      <c r="B673" s="15" t="s">
        <v>494</v>
      </c>
      <c r="C673" s="15" t="str">
        <f t="shared" si="12"/>
        <v>HSR SOUTH</v>
      </c>
      <c r="D673" s="15" t="s">
        <v>500</v>
      </c>
      <c r="E673" s="15" t="str">
        <f t="shared" si="13"/>
        <v>ASM SOU Voronezh</v>
      </c>
      <c r="F673" s="15" t="s">
        <v>503</v>
      </c>
      <c r="G673" s="15"/>
      <c r="H673" s="15" t="s">
        <v>100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>
      <c r="A674" s="15" t="s">
        <v>176</v>
      </c>
      <c r="B674" s="15" t="s">
        <v>494</v>
      </c>
      <c r="C674" s="15" t="str">
        <f t="shared" si="12"/>
        <v>HSR SOUTH</v>
      </c>
      <c r="D674" s="15" t="s">
        <v>495</v>
      </c>
      <c r="E674" s="15" t="str">
        <f t="shared" si="13"/>
        <v>ASM SOU Krasnodar</v>
      </c>
      <c r="F674" s="15" t="s">
        <v>496</v>
      </c>
      <c r="G674" s="15"/>
      <c r="H674" s="15" t="s">
        <v>100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>
      <c r="A675" s="15" t="s">
        <v>439</v>
      </c>
      <c r="B675" s="15" t="s">
        <v>494</v>
      </c>
      <c r="C675" s="15" t="str">
        <f t="shared" si="12"/>
        <v>HSR SOUTH</v>
      </c>
      <c r="D675" s="15" t="s">
        <v>495</v>
      </c>
      <c r="E675" s="15" t="str">
        <f t="shared" si="13"/>
        <v>ASM SOU Krasnodar</v>
      </c>
      <c r="F675" s="15" t="s">
        <v>507</v>
      </c>
      <c r="G675" s="15"/>
      <c r="H675" s="15" t="s">
        <v>100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>
      <c r="A676" s="15" t="s">
        <v>22</v>
      </c>
      <c r="B676" s="15" t="s">
        <v>494</v>
      </c>
      <c r="C676" s="15" t="str">
        <f t="shared" si="12"/>
        <v>HSR SOUTH</v>
      </c>
      <c r="D676" s="15" t="s">
        <v>500</v>
      </c>
      <c r="E676" s="15" t="str">
        <f t="shared" si="13"/>
        <v>ASM SOU Voronezh</v>
      </c>
      <c r="F676" s="15" t="s">
        <v>501</v>
      </c>
      <c r="G676" s="15"/>
      <c r="H676" s="15" t="s">
        <v>100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>
      <c r="A677" s="15" t="s">
        <v>178</v>
      </c>
      <c r="B677" s="15" t="s">
        <v>494</v>
      </c>
      <c r="C677" s="15" t="str">
        <f t="shared" si="12"/>
        <v>HSR SOUTH</v>
      </c>
      <c r="D677" s="15" t="s">
        <v>495</v>
      </c>
      <c r="E677" s="15" t="str">
        <f t="shared" si="13"/>
        <v>ASM SOU Krasnodar</v>
      </c>
      <c r="F677" s="15" t="s">
        <v>504</v>
      </c>
      <c r="G677" s="15"/>
      <c r="H677" s="15" t="s">
        <v>100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>
      <c r="A678" s="15" t="s">
        <v>178</v>
      </c>
      <c r="B678" s="15" t="s">
        <v>494</v>
      </c>
      <c r="C678" s="15" t="str">
        <f t="shared" si="12"/>
        <v>HSR SOUTH</v>
      </c>
      <c r="D678" s="15" t="s">
        <v>495</v>
      </c>
      <c r="E678" s="15" t="str">
        <f t="shared" si="13"/>
        <v>ASM SOU Krasnodar</v>
      </c>
      <c r="F678" s="15" t="s">
        <v>507</v>
      </c>
      <c r="G678" s="15"/>
      <c r="H678" s="15" t="s">
        <v>100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>
      <c r="A679" s="15" t="s">
        <v>178</v>
      </c>
      <c r="B679" s="15" t="s">
        <v>494</v>
      </c>
      <c r="C679" s="15" t="str">
        <f t="shared" si="12"/>
        <v>HSR SOUTH</v>
      </c>
      <c r="D679" s="15" t="s">
        <v>508</v>
      </c>
      <c r="E679" s="15" t="str">
        <f t="shared" si="13"/>
        <v>DDM SOU Rostov-On-Don</v>
      </c>
      <c r="F679" s="15" t="s">
        <v>509</v>
      </c>
      <c r="G679" s="15"/>
      <c r="H679" s="15" t="s">
        <v>100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>
      <c r="A680" s="15" t="s">
        <v>178</v>
      </c>
      <c r="B680" s="15" t="s">
        <v>494</v>
      </c>
      <c r="C680" s="15" t="str">
        <f t="shared" si="12"/>
        <v>HSR SOUTH</v>
      </c>
      <c r="D680" s="15" t="s">
        <v>508</v>
      </c>
      <c r="E680" s="15" t="str">
        <f t="shared" si="13"/>
        <v>DDM SOU Rostov-On-Don</v>
      </c>
      <c r="F680" s="15" t="s">
        <v>510</v>
      </c>
      <c r="G680" s="15"/>
      <c r="H680" s="15" t="s">
        <v>100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>
      <c r="A681" s="15" t="s">
        <v>178</v>
      </c>
      <c r="B681" s="15" t="s">
        <v>494</v>
      </c>
      <c r="C681" s="15" t="str">
        <f t="shared" si="12"/>
        <v>HSR SOUTH</v>
      </c>
      <c r="D681" s="15" t="s">
        <v>495</v>
      </c>
      <c r="E681" s="15" t="str">
        <f t="shared" si="13"/>
        <v>ASM SOU Krasnodar</v>
      </c>
      <c r="F681" s="15" t="s">
        <v>496</v>
      </c>
      <c r="G681" s="15"/>
      <c r="H681" s="15" t="s">
        <v>100</v>
      </c>
      <c r="I681" s="15"/>
      <c r="J681" s="15"/>
      <c r="K681" s="15" t="s">
        <v>347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>
      <c r="A682" s="15" t="s">
        <v>185</v>
      </c>
      <c r="B682" s="15" t="s">
        <v>494</v>
      </c>
      <c r="C682" s="15" t="str">
        <f t="shared" si="12"/>
        <v>HSR SOUTH</v>
      </c>
      <c r="D682" s="15" t="s">
        <v>495</v>
      </c>
      <c r="E682" s="15" t="str">
        <f t="shared" si="13"/>
        <v>ASM SOU Krasnodar</v>
      </c>
      <c r="F682" s="15" t="s">
        <v>504</v>
      </c>
      <c r="G682" s="15"/>
      <c r="H682" s="15" t="s">
        <v>100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>
      <c r="A683" s="15" t="s">
        <v>185</v>
      </c>
      <c r="B683" s="15" t="s">
        <v>494</v>
      </c>
      <c r="C683" s="15" t="str">
        <f t="shared" si="12"/>
        <v>HSR SOUTH</v>
      </c>
      <c r="D683" s="15" t="s">
        <v>495</v>
      </c>
      <c r="E683" s="15" t="str">
        <f t="shared" si="13"/>
        <v>ASM SOU Krasnodar</v>
      </c>
      <c r="F683" s="15" t="s">
        <v>507</v>
      </c>
      <c r="G683" s="15"/>
      <c r="H683" s="15" t="s">
        <v>100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>
      <c r="A684" s="15" t="s">
        <v>151</v>
      </c>
      <c r="B684" s="15" t="s">
        <v>494</v>
      </c>
      <c r="C684" s="15" t="str">
        <f t="shared" si="12"/>
        <v>HSR SOUTH</v>
      </c>
      <c r="D684" s="15" t="s">
        <v>500</v>
      </c>
      <c r="E684" s="15" t="str">
        <f t="shared" si="13"/>
        <v>ASM SOU Voronezh</v>
      </c>
      <c r="F684" s="15" t="s">
        <v>501</v>
      </c>
      <c r="G684" s="15"/>
      <c r="H684" s="15" t="s">
        <v>100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>
      <c r="A685" s="15" t="s">
        <v>151</v>
      </c>
      <c r="B685" s="15" t="s">
        <v>494</v>
      </c>
      <c r="C685" s="15" t="str">
        <f t="shared" si="12"/>
        <v>HSR SOUTH</v>
      </c>
      <c r="D685" s="15" t="s">
        <v>500</v>
      </c>
      <c r="E685" s="15" t="str">
        <f t="shared" si="13"/>
        <v>ASM SOU Voronezh</v>
      </c>
      <c r="F685" s="15" t="s">
        <v>503</v>
      </c>
      <c r="G685" s="15"/>
      <c r="H685" s="15" t="s">
        <v>100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>
      <c r="A686" s="15" t="s">
        <v>155</v>
      </c>
      <c r="B686" s="15" t="s">
        <v>494</v>
      </c>
      <c r="C686" s="15" t="str">
        <f t="shared" si="12"/>
        <v>HSR SOUTH</v>
      </c>
      <c r="D686" s="15" t="s">
        <v>500</v>
      </c>
      <c r="E686" s="15" t="str">
        <f t="shared" si="13"/>
        <v>ASM SOU Voronezh</v>
      </c>
      <c r="F686" s="15" t="s">
        <v>501</v>
      </c>
      <c r="G686" s="15"/>
      <c r="H686" s="15" t="s">
        <v>100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>
      <c r="A687" s="15" t="s">
        <v>155</v>
      </c>
      <c r="B687" s="15" t="s">
        <v>494</v>
      </c>
      <c r="C687" s="15" t="str">
        <f t="shared" si="12"/>
        <v>HSR SOUTH</v>
      </c>
      <c r="D687" s="15" t="s">
        <v>500</v>
      </c>
      <c r="E687" s="15" t="str">
        <f t="shared" si="13"/>
        <v>ASM SOU Voronezh</v>
      </c>
      <c r="F687" s="15" t="s">
        <v>503</v>
      </c>
      <c r="G687" s="15"/>
      <c r="H687" s="15" t="s">
        <v>100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>
      <c r="A688" s="15" t="s">
        <v>505</v>
      </c>
      <c r="B688" s="15" t="s">
        <v>494</v>
      </c>
      <c r="C688" s="15" t="str">
        <f t="shared" si="12"/>
        <v>HSR SOUTH</v>
      </c>
      <c r="D688" s="15" t="s">
        <v>495</v>
      </c>
      <c r="E688" s="15" t="str">
        <f t="shared" si="13"/>
        <v>ASM SOU Krasnodar</v>
      </c>
      <c r="F688" s="15" t="s">
        <v>507</v>
      </c>
      <c r="G688" s="15"/>
      <c r="H688" s="15" t="s">
        <v>100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>
      <c r="A689" s="15" t="s">
        <v>7</v>
      </c>
      <c r="B689" s="15" t="s">
        <v>494</v>
      </c>
      <c r="C689" s="15" t="str">
        <f t="shared" si="12"/>
        <v>HSR SOUTH</v>
      </c>
      <c r="D689" s="15" t="s">
        <v>500</v>
      </c>
      <c r="E689" s="15" t="str">
        <f t="shared" si="13"/>
        <v>ASM SOU Voronezh</v>
      </c>
      <c r="F689" s="15" t="s">
        <v>501</v>
      </c>
      <c r="G689" s="15"/>
      <c r="H689" s="15" t="s">
        <v>100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>
      <c r="A690" s="15" t="s">
        <v>150</v>
      </c>
      <c r="B690" s="15" t="s">
        <v>494</v>
      </c>
      <c r="C690" s="15" t="str">
        <f t="shared" si="12"/>
        <v>HSR SOUTH</v>
      </c>
      <c r="D690" s="15" t="s">
        <v>500</v>
      </c>
      <c r="E690" s="15" t="str">
        <f t="shared" si="13"/>
        <v>ASM SOU Voronezh</v>
      </c>
      <c r="F690" s="15" t="s">
        <v>501</v>
      </c>
      <c r="G690" s="15"/>
      <c r="H690" s="15" t="s">
        <v>100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>
      <c r="A691" s="15" t="s">
        <v>150</v>
      </c>
      <c r="B691" s="15" t="s">
        <v>494</v>
      </c>
      <c r="C691" s="15" t="str">
        <f t="shared" si="12"/>
        <v>HSR SOUTH</v>
      </c>
      <c r="D691" s="15" t="s">
        <v>500</v>
      </c>
      <c r="E691" s="15" t="str">
        <f t="shared" si="13"/>
        <v>ASM SOU Voronezh</v>
      </c>
      <c r="F691" s="15" t="s">
        <v>503</v>
      </c>
      <c r="G691" s="15"/>
      <c r="H691" s="15" t="s">
        <v>100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>
      <c r="A692" s="15" t="s">
        <v>161</v>
      </c>
      <c r="B692" s="15" t="s">
        <v>494</v>
      </c>
      <c r="C692" s="15" t="str">
        <f t="shared" si="12"/>
        <v>HSR SOUTH</v>
      </c>
      <c r="D692" s="15" t="s">
        <v>495</v>
      </c>
      <c r="E692" s="15" t="str">
        <f t="shared" si="13"/>
        <v>ASM SOU Krasnodar</v>
      </c>
      <c r="F692" s="15" t="s">
        <v>507</v>
      </c>
      <c r="G692" s="15"/>
      <c r="H692" s="15" t="s">
        <v>100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>
      <c r="A693" s="15" t="s">
        <v>161</v>
      </c>
      <c r="B693" s="15" t="s">
        <v>494</v>
      </c>
      <c r="C693" s="15" t="str">
        <f t="shared" si="12"/>
        <v>HSR SOUTH</v>
      </c>
      <c r="D693" s="15" t="s">
        <v>500</v>
      </c>
      <c r="E693" s="15" t="str">
        <f t="shared" si="13"/>
        <v>ASM SOU Voronezh</v>
      </c>
      <c r="F693" s="15" t="s">
        <v>524</v>
      </c>
      <c r="G693" s="15"/>
      <c r="H693" s="15" t="s">
        <v>100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>
      <c r="A694" s="15" t="s">
        <v>161</v>
      </c>
      <c r="B694" s="15" t="s">
        <v>494</v>
      </c>
      <c r="C694" s="15" t="str">
        <f t="shared" si="12"/>
        <v>HSR SOUTH</v>
      </c>
      <c r="D694" s="15" t="s">
        <v>508</v>
      </c>
      <c r="E694" s="15" t="str">
        <f t="shared" si="13"/>
        <v>DDM SOU Rostov-On-Don</v>
      </c>
      <c r="F694" s="15" t="s">
        <v>509</v>
      </c>
      <c r="G694" s="15"/>
      <c r="H694" s="15" t="s">
        <v>100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>
      <c r="A695" s="15" t="s">
        <v>20</v>
      </c>
      <c r="B695" s="15" t="s">
        <v>566</v>
      </c>
      <c r="C695" s="15" t="s">
        <v>594</v>
      </c>
      <c r="D695" s="15" t="s">
        <v>323</v>
      </c>
      <c r="E695" s="15" t="s">
        <v>500</v>
      </c>
      <c r="F695" s="15" t="s">
        <v>324</v>
      </c>
      <c r="G695" s="15" t="s">
        <v>324</v>
      </c>
      <c r="H695" s="15" t="s">
        <v>100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>
      <c r="A696" s="15" t="s">
        <v>437</v>
      </c>
      <c r="B696" s="15" t="s">
        <v>494</v>
      </c>
      <c r="C696" s="15" t="str">
        <f t="shared" ref="C696:C699" si="14">B696</f>
        <v>HSR SOUTH</v>
      </c>
      <c r="D696" s="15" t="s">
        <v>495</v>
      </c>
      <c r="E696" s="15" t="str">
        <f t="shared" ref="E696:E699" si="15">D696</f>
        <v>ASM SOU Krasnodar</v>
      </c>
      <c r="F696" s="15" t="s">
        <v>504</v>
      </c>
      <c r="G696" s="15"/>
      <c r="H696" s="15" t="s">
        <v>100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>
      <c r="A697" s="15" t="s">
        <v>156</v>
      </c>
      <c r="B697" s="15" t="s">
        <v>494</v>
      </c>
      <c r="C697" s="15" t="str">
        <f t="shared" si="14"/>
        <v>HSR SOUTH</v>
      </c>
      <c r="D697" s="15" t="s">
        <v>500</v>
      </c>
      <c r="E697" s="15" t="str">
        <f t="shared" si="15"/>
        <v>ASM SOU Voronezh</v>
      </c>
      <c r="F697" s="15" t="s">
        <v>501</v>
      </c>
      <c r="G697" s="15"/>
      <c r="H697" s="15" t="s">
        <v>100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>
      <c r="A698" s="15" t="s">
        <v>156</v>
      </c>
      <c r="B698" s="15" t="s">
        <v>494</v>
      </c>
      <c r="C698" s="15" t="str">
        <f t="shared" si="14"/>
        <v>HSR SOUTH</v>
      </c>
      <c r="D698" s="15" t="s">
        <v>500</v>
      </c>
      <c r="E698" s="15" t="str">
        <f t="shared" si="15"/>
        <v>ASM SOU Voronezh</v>
      </c>
      <c r="F698" s="15" t="s">
        <v>503</v>
      </c>
      <c r="G698" s="15"/>
      <c r="H698" s="15" t="s">
        <v>100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>
      <c r="A699" s="15" t="s">
        <v>156</v>
      </c>
      <c r="B699" s="15" t="s">
        <v>494</v>
      </c>
      <c r="C699" s="15" t="str">
        <f t="shared" si="14"/>
        <v>HSR SOUTH</v>
      </c>
      <c r="D699" s="15" t="s">
        <v>500</v>
      </c>
      <c r="E699" s="15" t="str">
        <f t="shared" si="15"/>
        <v>ASM SOU Voronezh</v>
      </c>
      <c r="F699" s="15" t="s">
        <v>524</v>
      </c>
      <c r="G699" s="15"/>
      <c r="H699" s="15" t="s">
        <v>100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>
      <c r="A700" s="15" t="s">
        <v>19</v>
      </c>
      <c r="B700" s="15" t="s">
        <v>566</v>
      </c>
      <c r="C700" s="15" t="s">
        <v>594</v>
      </c>
      <c r="D700" s="15" t="s">
        <v>323</v>
      </c>
      <c r="E700" s="15" t="s">
        <v>500</v>
      </c>
      <c r="F700" s="15" t="s">
        <v>336</v>
      </c>
      <c r="G700" s="15" t="s">
        <v>336</v>
      </c>
      <c r="H700" s="15" t="s">
        <v>100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>
      <c r="A701" s="15" t="s">
        <v>172</v>
      </c>
      <c r="B701" s="15" t="s">
        <v>494</v>
      </c>
      <c r="C701" s="15" t="str">
        <f t="shared" ref="C701:C714" si="16">B701</f>
        <v>HSR SOUTH</v>
      </c>
      <c r="D701" s="15" t="s">
        <v>495</v>
      </c>
      <c r="E701" s="15" t="str">
        <f t="shared" ref="E701:E714" si="17">D701</f>
        <v>ASM SOU Krasnodar</v>
      </c>
      <c r="F701" s="15" t="s">
        <v>496</v>
      </c>
      <c r="G701" s="15"/>
      <c r="H701" s="15" t="s">
        <v>100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>
      <c r="A702" s="15" t="s">
        <v>159</v>
      </c>
      <c r="B702" s="15" t="s">
        <v>494</v>
      </c>
      <c r="C702" s="15" t="str">
        <f t="shared" si="16"/>
        <v>HSR SOUTH</v>
      </c>
      <c r="D702" s="15" t="s">
        <v>500</v>
      </c>
      <c r="E702" s="15" t="str">
        <f t="shared" si="17"/>
        <v>ASM SOU Voronezh</v>
      </c>
      <c r="F702" s="15" t="s">
        <v>524</v>
      </c>
      <c r="G702" s="15"/>
      <c r="H702" s="15" t="s">
        <v>100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>
      <c r="A703" s="15" t="s">
        <v>338</v>
      </c>
      <c r="B703" s="15" t="s">
        <v>494</v>
      </c>
      <c r="C703" s="15" t="str">
        <f t="shared" si="16"/>
        <v>HSR SOUTH</v>
      </c>
      <c r="D703" s="15" t="s">
        <v>500</v>
      </c>
      <c r="E703" s="15" t="str">
        <f t="shared" si="17"/>
        <v>ASM SOU Voronezh</v>
      </c>
      <c r="F703" s="15" t="s">
        <v>501</v>
      </c>
      <c r="G703" s="15"/>
      <c r="H703" s="15" t="s">
        <v>100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>
      <c r="A704" s="15" t="s">
        <v>157</v>
      </c>
      <c r="B704" s="15" t="s">
        <v>494</v>
      </c>
      <c r="C704" s="15" t="str">
        <f t="shared" si="16"/>
        <v>HSR SOUTH</v>
      </c>
      <c r="D704" s="15" t="s">
        <v>495</v>
      </c>
      <c r="E704" s="15" t="str">
        <f t="shared" si="17"/>
        <v>ASM SOU Krasnodar</v>
      </c>
      <c r="F704" s="15" t="s">
        <v>507</v>
      </c>
      <c r="G704" s="15"/>
      <c r="H704" s="15" t="s">
        <v>100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>
      <c r="A705" s="15" t="s">
        <v>157</v>
      </c>
      <c r="B705" s="15" t="s">
        <v>494</v>
      </c>
      <c r="C705" s="15" t="str">
        <f t="shared" si="16"/>
        <v>HSR SOUTH</v>
      </c>
      <c r="D705" s="15" t="s">
        <v>500</v>
      </c>
      <c r="E705" s="15" t="str">
        <f t="shared" si="17"/>
        <v>ASM SOU Voronezh</v>
      </c>
      <c r="F705" s="15" t="s">
        <v>524</v>
      </c>
      <c r="G705" s="15"/>
      <c r="H705" s="15" t="s">
        <v>100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>
      <c r="A706" s="15" t="s">
        <v>111</v>
      </c>
      <c r="B706" s="15" t="s">
        <v>494</v>
      </c>
      <c r="C706" s="15" t="str">
        <f t="shared" si="16"/>
        <v>HSR SOUTH</v>
      </c>
      <c r="D706" s="15" t="s">
        <v>500</v>
      </c>
      <c r="E706" s="15" t="str">
        <f t="shared" si="17"/>
        <v>ASM SOU Voronezh</v>
      </c>
      <c r="F706" s="15" t="s">
        <v>524</v>
      </c>
      <c r="G706" s="15"/>
      <c r="H706" s="15" t="s">
        <v>100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>
      <c r="A707" s="15" t="s">
        <v>29</v>
      </c>
      <c r="B707" s="15" t="s">
        <v>494</v>
      </c>
      <c r="C707" s="15" t="str">
        <f t="shared" si="16"/>
        <v>HSR SOUTH</v>
      </c>
      <c r="D707" s="15" t="s">
        <v>500</v>
      </c>
      <c r="E707" s="15" t="str">
        <f t="shared" si="17"/>
        <v>ASM SOU Voronezh</v>
      </c>
      <c r="F707" s="15" t="s">
        <v>524</v>
      </c>
      <c r="G707" s="15"/>
      <c r="H707" s="15" t="s">
        <v>100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>
      <c r="A708" s="15" t="s">
        <v>109</v>
      </c>
      <c r="B708" s="15" t="s">
        <v>494</v>
      </c>
      <c r="C708" s="15" t="str">
        <f t="shared" si="16"/>
        <v>HSR SOUTH</v>
      </c>
      <c r="D708" s="15" t="s">
        <v>500</v>
      </c>
      <c r="E708" s="15" t="str">
        <f t="shared" si="17"/>
        <v>ASM SOU Voronezh</v>
      </c>
      <c r="F708" s="15" t="s">
        <v>524</v>
      </c>
      <c r="G708" s="15"/>
      <c r="H708" s="15" t="s">
        <v>100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>
      <c r="A709" s="15" t="s">
        <v>517</v>
      </c>
      <c r="B709" s="15" t="s">
        <v>494</v>
      </c>
      <c r="C709" s="15" t="str">
        <f t="shared" si="16"/>
        <v>HSR SOUTH</v>
      </c>
      <c r="D709" s="15" t="s">
        <v>508</v>
      </c>
      <c r="E709" s="15" t="str">
        <f t="shared" si="17"/>
        <v>DDM SOU Rostov-On-Don</v>
      </c>
      <c r="F709" s="15" t="s">
        <v>525</v>
      </c>
      <c r="G709" s="15"/>
      <c r="H709" s="15" t="s">
        <v>100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>
      <c r="A710" s="15" t="s">
        <v>522</v>
      </c>
      <c r="B710" s="15" t="s">
        <v>494</v>
      </c>
      <c r="C710" s="15" t="str">
        <f t="shared" si="16"/>
        <v>HSR SOUTH</v>
      </c>
      <c r="D710" s="15" t="s">
        <v>508</v>
      </c>
      <c r="E710" s="15" t="str">
        <f t="shared" si="17"/>
        <v>DDM SOU Rostov-On-Don</v>
      </c>
      <c r="F710" s="15" t="s">
        <v>525</v>
      </c>
      <c r="G710" s="15"/>
      <c r="H710" s="15" t="s">
        <v>100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>
      <c r="A711" s="15" t="s">
        <v>165</v>
      </c>
      <c r="B711" s="15" t="s">
        <v>494</v>
      </c>
      <c r="C711" s="15" t="str">
        <f t="shared" si="16"/>
        <v>HSR SOUTH</v>
      </c>
      <c r="D711" s="15" t="s">
        <v>495</v>
      </c>
      <c r="E711" s="15" t="str">
        <f t="shared" si="17"/>
        <v>ASM SOU Krasnodar</v>
      </c>
      <c r="F711" s="15" t="s">
        <v>507</v>
      </c>
      <c r="G711" s="15"/>
      <c r="H711" s="15" t="s">
        <v>100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>
      <c r="A712" s="15" t="s">
        <v>165</v>
      </c>
      <c r="B712" s="15" t="s">
        <v>494</v>
      </c>
      <c r="C712" s="15" t="str">
        <f t="shared" si="16"/>
        <v>HSR SOUTH</v>
      </c>
      <c r="D712" s="15" t="s">
        <v>508</v>
      </c>
      <c r="E712" s="15" t="str">
        <f t="shared" si="17"/>
        <v>DDM SOU Rostov-On-Don</v>
      </c>
      <c r="F712" s="15" t="s">
        <v>525</v>
      </c>
      <c r="G712" s="15"/>
      <c r="H712" s="15" t="s">
        <v>100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>
      <c r="A713" s="15" t="s">
        <v>519</v>
      </c>
      <c r="B713" s="15" t="s">
        <v>494</v>
      </c>
      <c r="C713" s="15" t="str">
        <f t="shared" si="16"/>
        <v>HSR SOUTH</v>
      </c>
      <c r="D713" s="15" t="s">
        <v>508</v>
      </c>
      <c r="E713" s="15" t="str">
        <f t="shared" si="17"/>
        <v>DDM SOU Rostov-On-Don</v>
      </c>
      <c r="F713" s="15" t="s">
        <v>525</v>
      </c>
      <c r="G713" s="15"/>
      <c r="H713" s="15" t="s">
        <v>100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>
      <c r="A714" s="15" t="s">
        <v>170</v>
      </c>
      <c r="B714" s="15" t="s">
        <v>494</v>
      </c>
      <c r="C714" s="15" t="str">
        <f t="shared" si="16"/>
        <v>HSR SOUTH</v>
      </c>
      <c r="D714" s="15" t="s">
        <v>500</v>
      </c>
      <c r="E714" s="15" t="str">
        <f t="shared" si="17"/>
        <v>ASM SOU Voronezh</v>
      </c>
      <c r="F714" s="15" t="s">
        <v>524</v>
      </c>
      <c r="G714" s="15"/>
      <c r="H714" s="15" t="s">
        <v>100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>
      <c r="A715" s="15" t="s">
        <v>24</v>
      </c>
      <c r="B715" s="15" t="s">
        <v>566</v>
      </c>
      <c r="C715" s="15" t="s">
        <v>596</v>
      </c>
      <c r="D715" s="15" t="s">
        <v>323</v>
      </c>
      <c r="E715" s="15" t="s">
        <v>323</v>
      </c>
      <c r="F715" s="15" t="s">
        <v>324</v>
      </c>
      <c r="G715" s="15"/>
      <c r="H715" s="15" t="s">
        <v>100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>
      <c r="A716" s="15" t="s">
        <v>160</v>
      </c>
      <c r="B716" s="15" t="s">
        <v>494</v>
      </c>
      <c r="C716" s="15" t="str">
        <f t="shared" ref="C716:C719" si="18">B716</f>
        <v>HSR SOUTH</v>
      </c>
      <c r="D716" s="15" t="s">
        <v>500</v>
      </c>
      <c r="E716" s="15" t="str">
        <f t="shared" ref="E716:E719" si="19">D716</f>
        <v>ASM SOU Voronezh</v>
      </c>
      <c r="F716" s="15" t="s">
        <v>524</v>
      </c>
      <c r="G716" s="15"/>
      <c r="H716" s="15" t="s">
        <v>100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>
      <c r="A717" s="15" t="s">
        <v>171</v>
      </c>
      <c r="B717" s="15" t="s">
        <v>494</v>
      </c>
      <c r="C717" s="15" t="str">
        <f t="shared" si="18"/>
        <v>HSR SOUTH</v>
      </c>
      <c r="D717" s="15" t="s">
        <v>500</v>
      </c>
      <c r="E717" s="15" t="str">
        <f t="shared" si="19"/>
        <v>ASM SOU Voronezh</v>
      </c>
      <c r="F717" s="15" t="s">
        <v>524</v>
      </c>
      <c r="G717" s="15"/>
      <c r="H717" s="15" t="s">
        <v>100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>
      <c r="A718" s="15" t="s">
        <v>440</v>
      </c>
      <c r="B718" s="15" t="s">
        <v>494</v>
      </c>
      <c r="C718" s="15" t="str">
        <f t="shared" si="18"/>
        <v>HSR SOUTH</v>
      </c>
      <c r="D718" s="15" t="s">
        <v>495</v>
      </c>
      <c r="E718" s="15" t="str">
        <f t="shared" si="19"/>
        <v>ASM SOU Krasnodar</v>
      </c>
      <c r="F718" s="15" t="s">
        <v>507</v>
      </c>
      <c r="G718" s="15"/>
      <c r="H718" s="15" t="s">
        <v>100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>
      <c r="A719" s="15" t="s">
        <v>526</v>
      </c>
      <c r="B719" s="15" t="s">
        <v>494</v>
      </c>
      <c r="C719" s="15" t="str">
        <f t="shared" si="18"/>
        <v>HSR SOUTH</v>
      </c>
      <c r="D719" s="15" t="s">
        <v>495</v>
      </c>
      <c r="E719" s="15" t="str">
        <f t="shared" si="19"/>
        <v>ASM SOU Krasnodar</v>
      </c>
      <c r="F719" s="15" t="s">
        <v>507</v>
      </c>
      <c r="G719" s="15"/>
      <c r="H719" s="15" t="s">
        <v>100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>
      <c r="A720" s="15" t="s">
        <v>20</v>
      </c>
      <c r="B720" s="15" t="s">
        <v>566</v>
      </c>
      <c r="C720" s="15" t="s">
        <v>594</v>
      </c>
      <c r="D720" s="15" t="s">
        <v>323</v>
      </c>
      <c r="E720" s="15" t="s">
        <v>500</v>
      </c>
      <c r="F720" s="15" t="s">
        <v>324</v>
      </c>
      <c r="G720" s="15" t="s">
        <v>324</v>
      </c>
      <c r="H720" s="15" t="s">
        <v>100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>
      <c r="A721" s="15" t="s">
        <v>19</v>
      </c>
      <c r="B721" s="15" t="s">
        <v>566</v>
      </c>
      <c r="C721" s="15" t="s">
        <v>594</v>
      </c>
      <c r="D721" s="15" t="s">
        <v>323</v>
      </c>
      <c r="E721" s="15" t="s">
        <v>500</v>
      </c>
      <c r="F721" s="15" t="s">
        <v>527</v>
      </c>
      <c r="G721" s="15" t="s">
        <v>527</v>
      </c>
      <c r="H721" s="15" t="s">
        <v>100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>
      <c r="A722" s="15" t="s">
        <v>22</v>
      </c>
      <c r="B722" s="15" t="s">
        <v>566</v>
      </c>
      <c r="C722" s="15" t="s">
        <v>594</v>
      </c>
      <c r="D722" s="15" t="s">
        <v>328</v>
      </c>
      <c r="E722" s="15" t="s">
        <v>500</v>
      </c>
      <c r="F722" s="15" t="s">
        <v>329</v>
      </c>
      <c r="G722" s="15"/>
      <c r="H722" s="15" t="s">
        <v>100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>
      <c r="A723" s="15" t="s">
        <v>530</v>
      </c>
      <c r="B723" s="15" t="s">
        <v>531</v>
      </c>
      <c r="C723" s="15" t="s">
        <v>596</v>
      </c>
      <c r="D723" s="15" t="s">
        <v>532</v>
      </c>
      <c r="E723" s="15" t="str">
        <f t="shared" ref="E723:E786" si="20">D723</f>
        <v>ASM NOR Vector Dendi</v>
      </c>
      <c r="F723" s="15" t="s">
        <v>533</v>
      </c>
      <c r="G723" s="15"/>
      <c r="H723" s="15" t="s">
        <v>428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>
      <c r="A724" s="15" t="s">
        <v>530</v>
      </c>
      <c r="B724" s="15" t="s">
        <v>531</v>
      </c>
      <c r="C724" s="15" t="s">
        <v>596</v>
      </c>
      <c r="D724" s="15" t="s">
        <v>534</v>
      </c>
      <c r="E724" s="15" t="str">
        <f t="shared" si="20"/>
        <v>DDM NOR Grocery+SPT Spb Nov Pskov</v>
      </c>
      <c r="F724" s="15" t="s">
        <v>535</v>
      </c>
      <c r="G724" s="15"/>
      <c r="H724" s="15" t="s">
        <v>356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>
      <c r="A725" s="15" t="s">
        <v>536</v>
      </c>
      <c r="B725" s="15" t="s">
        <v>531</v>
      </c>
      <c r="C725" s="15" t="s">
        <v>596</v>
      </c>
      <c r="D725" s="15" t="s">
        <v>532</v>
      </c>
      <c r="E725" s="15" t="str">
        <f t="shared" si="20"/>
        <v>ASM NOR Vector Dendi</v>
      </c>
      <c r="F725" s="15" t="s">
        <v>537</v>
      </c>
      <c r="G725" s="15"/>
      <c r="H725" s="15" t="s">
        <v>431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>
      <c r="A726" s="15" t="s">
        <v>538</v>
      </c>
      <c r="B726" s="15" t="s">
        <v>531</v>
      </c>
      <c r="C726" s="15" t="s">
        <v>596</v>
      </c>
      <c r="D726" s="15" t="s">
        <v>532</v>
      </c>
      <c r="E726" s="15" t="str">
        <f t="shared" si="20"/>
        <v>ASM NOR Vector Dendi</v>
      </c>
      <c r="F726" s="15" t="s">
        <v>537</v>
      </c>
      <c r="G726" s="15"/>
      <c r="H726" s="15" t="s">
        <v>431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>
      <c r="A727" s="15" t="s">
        <v>539</v>
      </c>
      <c r="B727" s="15" t="s">
        <v>531</v>
      </c>
      <c r="C727" s="15" t="s">
        <v>596</v>
      </c>
      <c r="D727" s="15" t="s">
        <v>532</v>
      </c>
      <c r="E727" s="15" t="str">
        <f t="shared" si="20"/>
        <v>ASM NOR Vector Dendi</v>
      </c>
      <c r="F727" s="15" t="s">
        <v>537</v>
      </c>
      <c r="G727" s="15"/>
      <c r="H727" s="15" t="s">
        <v>431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>
      <c r="A728" s="15" t="s">
        <v>539</v>
      </c>
      <c r="B728" s="15" t="s">
        <v>531</v>
      </c>
      <c r="C728" s="15" t="s">
        <v>596</v>
      </c>
      <c r="D728" s="15" t="s">
        <v>532</v>
      </c>
      <c r="E728" s="15" t="str">
        <f t="shared" si="20"/>
        <v>ASM NOR Vector Dendi</v>
      </c>
      <c r="F728" s="15" t="s">
        <v>533</v>
      </c>
      <c r="G728" s="15"/>
      <c r="H728" s="15" t="s">
        <v>428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>
      <c r="A729" s="15" t="s">
        <v>538</v>
      </c>
      <c r="B729" s="15" t="s">
        <v>531</v>
      </c>
      <c r="C729" s="15" t="s">
        <v>596</v>
      </c>
      <c r="D729" s="15" t="s">
        <v>532</v>
      </c>
      <c r="E729" s="15" t="str">
        <f t="shared" si="20"/>
        <v>ASM NOR Vector Dendi</v>
      </c>
      <c r="F729" s="15" t="s">
        <v>540</v>
      </c>
      <c r="G729" s="15"/>
      <c r="H729" s="15" t="s">
        <v>431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>
      <c r="A730" s="15" t="s">
        <v>541</v>
      </c>
      <c r="B730" s="15" t="s">
        <v>531</v>
      </c>
      <c r="C730" s="15" t="s">
        <v>596</v>
      </c>
      <c r="D730" s="15" t="s">
        <v>534</v>
      </c>
      <c r="E730" s="15" t="str">
        <f t="shared" si="20"/>
        <v>DDM NOR Grocery+SPT Spb Nov Pskov</v>
      </c>
      <c r="F730" s="15" t="s">
        <v>542</v>
      </c>
      <c r="G730" s="15"/>
      <c r="H730" s="15" t="s">
        <v>543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>
      <c r="A731" s="15" t="s">
        <v>544</v>
      </c>
      <c r="B731" s="15" t="s">
        <v>531</v>
      </c>
      <c r="C731" s="15" t="s">
        <v>596</v>
      </c>
      <c r="D731" s="15" t="s">
        <v>534</v>
      </c>
      <c r="E731" s="15" t="str">
        <f t="shared" si="20"/>
        <v>DDM NOR Grocery+SPT Spb Nov Pskov</v>
      </c>
      <c r="F731" s="15" t="s">
        <v>535</v>
      </c>
      <c r="G731" s="15"/>
      <c r="H731" s="15" t="s">
        <v>356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>
      <c r="A732" s="15" t="s">
        <v>544</v>
      </c>
      <c r="B732" s="15" t="s">
        <v>531</v>
      </c>
      <c r="C732" s="15" t="s">
        <v>596</v>
      </c>
      <c r="D732" s="15" t="s">
        <v>534</v>
      </c>
      <c r="E732" s="15" t="str">
        <f t="shared" si="20"/>
        <v>DDM NOR Grocery+SPT Spb Nov Pskov</v>
      </c>
      <c r="F732" s="15" t="s">
        <v>545</v>
      </c>
      <c r="G732" s="15"/>
      <c r="H732" s="15" t="s">
        <v>356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>
      <c r="A733" s="15" t="s">
        <v>546</v>
      </c>
      <c r="B733" s="15" t="s">
        <v>531</v>
      </c>
      <c r="C733" s="15" t="s">
        <v>596</v>
      </c>
      <c r="D733" s="15" t="s">
        <v>532</v>
      </c>
      <c r="E733" s="15" t="str">
        <f t="shared" si="20"/>
        <v>ASM NOR Vector Dendi</v>
      </c>
      <c r="F733" s="15" t="s">
        <v>533</v>
      </c>
      <c r="G733" s="15"/>
      <c r="H733" s="15" t="s">
        <v>434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>
      <c r="A734" s="15" t="s">
        <v>547</v>
      </c>
      <c r="B734" s="15" t="s">
        <v>531</v>
      </c>
      <c r="C734" s="15" t="s">
        <v>596</v>
      </c>
      <c r="D734" s="15" t="s">
        <v>532</v>
      </c>
      <c r="E734" s="15" t="str">
        <f t="shared" si="20"/>
        <v>ASM NOR Vector Dendi</v>
      </c>
      <c r="F734" s="15" t="s">
        <v>537</v>
      </c>
      <c r="G734" s="15"/>
      <c r="H734" s="15" t="s">
        <v>431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>
      <c r="A735" s="15" t="s">
        <v>547</v>
      </c>
      <c r="B735" s="15" t="s">
        <v>531</v>
      </c>
      <c r="C735" s="15" t="s">
        <v>596</v>
      </c>
      <c r="D735" s="15" t="s">
        <v>532</v>
      </c>
      <c r="E735" s="15" t="str">
        <f t="shared" si="20"/>
        <v>ASM NOR Vector Dendi</v>
      </c>
      <c r="F735" s="15" t="s">
        <v>540</v>
      </c>
      <c r="G735" s="15"/>
      <c r="H735" s="15" t="s">
        <v>431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>
      <c r="A736" s="15" t="s">
        <v>548</v>
      </c>
      <c r="B736" s="15" t="s">
        <v>531</v>
      </c>
      <c r="C736" s="15" t="s">
        <v>596</v>
      </c>
      <c r="D736" s="15" t="s">
        <v>534</v>
      </c>
      <c r="E736" s="15" t="str">
        <f t="shared" si="20"/>
        <v>DDM NOR Grocery+SPT Spb Nov Pskov</v>
      </c>
      <c r="F736" s="15" t="s">
        <v>535</v>
      </c>
      <c r="G736" s="15"/>
      <c r="H736" s="15" t="s">
        <v>356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>
      <c r="A737" s="15" t="s">
        <v>548</v>
      </c>
      <c r="B737" s="15" t="s">
        <v>531</v>
      </c>
      <c r="C737" s="15" t="s">
        <v>596</v>
      </c>
      <c r="D737" s="15" t="s">
        <v>534</v>
      </c>
      <c r="E737" s="15" t="str">
        <f t="shared" si="20"/>
        <v>DDM NOR Grocery+SPT Spb Nov Pskov</v>
      </c>
      <c r="F737" s="15" t="s">
        <v>545</v>
      </c>
      <c r="G737" s="15"/>
      <c r="H737" s="15" t="s">
        <v>356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>
      <c r="A738" s="15" t="s">
        <v>548</v>
      </c>
      <c r="B738" s="15" t="s">
        <v>531</v>
      </c>
      <c r="C738" s="15" t="s">
        <v>596</v>
      </c>
      <c r="D738" s="15" t="s">
        <v>534</v>
      </c>
      <c r="E738" s="15" t="str">
        <f t="shared" si="20"/>
        <v>DDM NOR Grocery+SPT Spb Nov Pskov</v>
      </c>
      <c r="F738" s="15" t="s">
        <v>549</v>
      </c>
      <c r="G738" s="15"/>
      <c r="H738" s="15" t="s">
        <v>356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>
      <c r="A739" s="15" t="s">
        <v>550</v>
      </c>
      <c r="B739" s="15" t="s">
        <v>531</v>
      </c>
      <c r="C739" s="15" t="s">
        <v>596</v>
      </c>
      <c r="D739" s="15" t="s">
        <v>532</v>
      </c>
      <c r="E739" s="15" t="str">
        <f t="shared" si="20"/>
        <v>ASM NOR Vector Dendi</v>
      </c>
      <c r="F739" s="15" t="s">
        <v>537</v>
      </c>
      <c r="G739" s="15"/>
      <c r="H739" s="15" t="s">
        <v>431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>
      <c r="A740" s="15" t="s">
        <v>550</v>
      </c>
      <c r="B740" s="15" t="s">
        <v>531</v>
      </c>
      <c r="C740" s="15" t="s">
        <v>596</v>
      </c>
      <c r="D740" s="15" t="s">
        <v>532</v>
      </c>
      <c r="E740" s="15" t="str">
        <f t="shared" si="20"/>
        <v>ASM NOR Vector Dendi</v>
      </c>
      <c r="F740" s="15" t="s">
        <v>540</v>
      </c>
      <c r="G740" s="15"/>
      <c r="H740" s="15" t="s">
        <v>431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>
      <c r="A741" s="15" t="s">
        <v>550</v>
      </c>
      <c r="B741" s="15" t="s">
        <v>531</v>
      </c>
      <c r="C741" s="15" t="s">
        <v>596</v>
      </c>
      <c r="D741" s="15" t="s">
        <v>534</v>
      </c>
      <c r="E741" s="15" t="str">
        <f t="shared" si="20"/>
        <v>DDM NOR Grocery+SPT Spb Nov Pskov</v>
      </c>
      <c r="F741" s="15" t="s">
        <v>549</v>
      </c>
      <c r="G741" s="15"/>
      <c r="H741" s="15" t="s">
        <v>356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>
      <c r="A742" s="15" t="s">
        <v>550</v>
      </c>
      <c r="B742" s="15" t="s">
        <v>531</v>
      </c>
      <c r="C742" s="15" t="s">
        <v>596</v>
      </c>
      <c r="D742" s="15" t="s">
        <v>532</v>
      </c>
      <c r="E742" s="15" t="str">
        <f t="shared" si="20"/>
        <v>ASM NOR Vector Dendi</v>
      </c>
      <c r="F742" s="15" t="s">
        <v>537</v>
      </c>
      <c r="G742" s="15"/>
      <c r="H742" s="15" t="s">
        <v>431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>
      <c r="A743" s="15" t="s">
        <v>550</v>
      </c>
      <c r="B743" s="15" t="s">
        <v>531</v>
      </c>
      <c r="C743" s="15" t="s">
        <v>596</v>
      </c>
      <c r="D743" s="15" t="s">
        <v>532</v>
      </c>
      <c r="E743" s="15" t="str">
        <f t="shared" si="20"/>
        <v>ASM NOR Vector Dendi</v>
      </c>
      <c r="F743" s="15" t="s">
        <v>540</v>
      </c>
      <c r="G743" s="15"/>
      <c r="H743" s="15" t="s">
        <v>431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>
      <c r="A744" s="15" t="s">
        <v>551</v>
      </c>
      <c r="B744" s="15" t="s">
        <v>531</v>
      </c>
      <c r="C744" s="15" t="s">
        <v>596</v>
      </c>
      <c r="D744" s="15" t="s">
        <v>534</v>
      </c>
      <c r="E744" s="15" t="str">
        <f t="shared" si="20"/>
        <v>DDM NOR Grocery+SPT Spb Nov Pskov</v>
      </c>
      <c r="F744" s="15" t="s">
        <v>535</v>
      </c>
      <c r="G744" s="15"/>
      <c r="H744" s="15" t="s">
        <v>356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>
      <c r="A745" s="15" t="s">
        <v>551</v>
      </c>
      <c r="B745" s="15" t="s">
        <v>531</v>
      </c>
      <c r="C745" s="15" t="s">
        <v>596</v>
      </c>
      <c r="D745" s="15" t="s">
        <v>534</v>
      </c>
      <c r="E745" s="15" t="str">
        <f t="shared" si="20"/>
        <v>DDM NOR Grocery+SPT Spb Nov Pskov</v>
      </c>
      <c r="F745" s="15" t="s">
        <v>549</v>
      </c>
      <c r="G745" s="15"/>
      <c r="H745" s="15" t="s">
        <v>356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>
      <c r="A746" s="15" t="s">
        <v>552</v>
      </c>
      <c r="B746" s="15" t="s">
        <v>531</v>
      </c>
      <c r="C746" s="15" t="s">
        <v>596</v>
      </c>
      <c r="D746" s="15" t="s">
        <v>534</v>
      </c>
      <c r="E746" s="15" t="str">
        <f t="shared" si="20"/>
        <v>DDM NOR Grocery+SPT Spb Nov Pskov</v>
      </c>
      <c r="F746" s="15" t="s">
        <v>535</v>
      </c>
      <c r="G746" s="15"/>
      <c r="H746" s="15" t="s">
        <v>356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>
      <c r="A747" s="15" t="s">
        <v>553</v>
      </c>
      <c r="B747" s="15" t="s">
        <v>531</v>
      </c>
      <c r="C747" s="15" t="s">
        <v>596</v>
      </c>
      <c r="D747" s="15" t="s">
        <v>532</v>
      </c>
      <c r="E747" s="15" t="str">
        <f t="shared" si="20"/>
        <v>ASM NOR Vector Dendi</v>
      </c>
      <c r="F747" s="15" t="s">
        <v>533</v>
      </c>
      <c r="G747" s="15"/>
      <c r="H747" s="15" t="s">
        <v>428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>
      <c r="A748" s="15" t="s">
        <v>553</v>
      </c>
      <c r="B748" s="15" t="s">
        <v>531</v>
      </c>
      <c r="C748" s="15" t="s">
        <v>596</v>
      </c>
      <c r="D748" s="15" t="s">
        <v>532</v>
      </c>
      <c r="E748" s="15" t="str">
        <f t="shared" si="20"/>
        <v>ASM NOR Vector Dendi</v>
      </c>
      <c r="F748" s="15" t="s">
        <v>533</v>
      </c>
      <c r="G748" s="15"/>
      <c r="H748" s="15" t="s">
        <v>434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>
      <c r="A749" s="15" t="s">
        <v>554</v>
      </c>
      <c r="B749" s="15" t="s">
        <v>531</v>
      </c>
      <c r="C749" s="15" t="s">
        <v>596</v>
      </c>
      <c r="D749" s="15" t="s">
        <v>534</v>
      </c>
      <c r="E749" s="15" t="str">
        <f t="shared" si="20"/>
        <v>DDM NOR Grocery+SPT Spb Nov Pskov</v>
      </c>
      <c r="F749" s="15" t="s">
        <v>535</v>
      </c>
      <c r="G749" s="15"/>
      <c r="H749" s="15" t="s">
        <v>356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>
      <c r="A750" s="15" t="s">
        <v>551</v>
      </c>
      <c r="B750" s="15" t="s">
        <v>531</v>
      </c>
      <c r="C750" s="15" t="s">
        <v>596</v>
      </c>
      <c r="D750" s="15" t="s">
        <v>532</v>
      </c>
      <c r="E750" s="15" t="str">
        <f t="shared" si="20"/>
        <v>ASM NOR Vector Dendi</v>
      </c>
      <c r="F750" s="15" t="s">
        <v>537</v>
      </c>
      <c r="G750" s="15"/>
      <c r="H750" s="15" t="s">
        <v>431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>
      <c r="A751" s="15" t="s">
        <v>551</v>
      </c>
      <c r="B751" s="15" t="s">
        <v>531</v>
      </c>
      <c r="C751" s="15" t="s">
        <v>596</v>
      </c>
      <c r="D751" s="15" t="s">
        <v>534</v>
      </c>
      <c r="E751" s="15" t="str">
        <f t="shared" si="20"/>
        <v>DDM NOR Grocery+SPT Spb Nov Pskov</v>
      </c>
      <c r="F751" s="15" t="s">
        <v>549</v>
      </c>
      <c r="G751" s="15"/>
      <c r="H751" s="15" t="s">
        <v>356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>
      <c r="A752" s="15" t="s">
        <v>351</v>
      </c>
      <c r="B752" s="15" t="s">
        <v>531</v>
      </c>
      <c r="C752" s="15" t="s">
        <v>596</v>
      </c>
      <c r="D752" s="15" t="s">
        <v>534</v>
      </c>
      <c r="E752" s="15" t="str">
        <f t="shared" si="20"/>
        <v>DDM NOR Grocery+SPT Spb Nov Pskov</v>
      </c>
      <c r="F752" s="15" t="s">
        <v>535</v>
      </c>
      <c r="G752" s="15"/>
      <c r="H752" s="15" t="s">
        <v>356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>
      <c r="A753" s="15" t="s">
        <v>351</v>
      </c>
      <c r="B753" s="15" t="s">
        <v>531</v>
      </c>
      <c r="C753" s="15" t="s">
        <v>596</v>
      </c>
      <c r="D753" s="15" t="s">
        <v>534</v>
      </c>
      <c r="E753" s="15" t="str">
        <f t="shared" si="20"/>
        <v>DDM NOR Grocery+SPT Spb Nov Pskov</v>
      </c>
      <c r="F753" s="15" t="s">
        <v>545</v>
      </c>
      <c r="G753" s="15"/>
      <c r="H753" s="15" t="s">
        <v>356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>
      <c r="A754" s="15" t="s">
        <v>351</v>
      </c>
      <c r="B754" s="15" t="s">
        <v>531</v>
      </c>
      <c r="C754" s="15" t="s">
        <v>596</v>
      </c>
      <c r="D754" s="15" t="s">
        <v>534</v>
      </c>
      <c r="E754" s="15" t="str">
        <f t="shared" si="20"/>
        <v>DDM NOR Grocery+SPT Spb Nov Pskov</v>
      </c>
      <c r="F754" s="15" t="s">
        <v>549</v>
      </c>
      <c r="G754" s="15"/>
      <c r="H754" s="15" t="s">
        <v>356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>
      <c r="A755" s="15" t="s">
        <v>536</v>
      </c>
      <c r="B755" s="15" t="s">
        <v>531</v>
      </c>
      <c r="C755" s="15" t="s">
        <v>596</v>
      </c>
      <c r="D755" s="15" t="s">
        <v>532</v>
      </c>
      <c r="E755" s="15" t="str">
        <f t="shared" si="20"/>
        <v>ASM NOR Vector Dendi</v>
      </c>
      <c r="F755" s="15" t="s">
        <v>537</v>
      </c>
      <c r="G755" s="15"/>
      <c r="H755" s="15" t="s">
        <v>431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>
      <c r="A756" s="15" t="s">
        <v>550</v>
      </c>
      <c r="B756" s="15" t="s">
        <v>531</v>
      </c>
      <c r="C756" s="15" t="s">
        <v>596</v>
      </c>
      <c r="D756" s="15" t="s">
        <v>532</v>
      </c>
      <c r="E756" s="15" t="str">
        <f t="shared" si="20"/>
        <v>ASM NOR Vector Dendi</v>
      </c>
      <c r="F756" s="15" t="s">
        <v>540</v>
      </c>
      <c r="G756" s="15"/>
      <c r="H756" s="15" t="s">
        <v>431</v>
      </c>
      <c r="I756" s="15"/>
      <c r="J756" s="15"/>
      <c r="K756" s="15" t="s">
        <v>382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>
      <c r="A757" s="15" t="s">
        <v>550</v>
      </c>
      <c r="B757" s="15" t="s">
        <v>531</v>
      </c>
      <c r="C757" s="15" t="s">
        <v>596</v>
      </c>
      <c r="D757" s="15" t="s">
        <v>534</v>
      </c>
      <c r="E757" s="15" t="str">
        <f t="shared" si="20"/>
        <v>DDM NOR Grocery+SPT Spb Nov Pskov</v>
      </c>
      <c r="F757" s="15" t="s">
        <v>545</v>
      </c>
      <c r="G757" s="15"/>
      <c r="H757" s="15" t="s">
        <v>356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>
      <c r="A758" s="15" t="s">
        <v>422</v>
      </c>
      <c r="B758" s="15" t="s">
        <v>531</v>
      </c>
      <c r="C758" s="15" t="s">
        <v>596</v>
      </c>
      <c r="D758" s="15" t="s">
        <v>532</v>
      </c>
      <c r="E758" s="15" t="str">
        <f t="shared" si="20"/>
        <v>ASM NOR Vector Dendi</v>
      </c>
      <c r="F758" s="15" t="s">
        <v>533</v>
      </c>
      <c r="G758" s="15"/>
      <c r="H758" s="15" t="s">
        <v>434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3.15">
      <c r="A759" s="15" t="s">
        <v>555</v>
      </c>
      <c r="B759" s="15" t="s">
        <v>531</v>
      </c>
      <c r="C759" s="15" t="s">
        <v>596</v>
      </c>
      <c r="D759" s="15" t="s">
        <v>532</v>
      </c>
      <c r="E759" s="15" t="str">
        <f t="shared" si="20"/>
        <v>ASM NOR Vector Dendi</v>
      </c>
      <c r="F759" s="15" t="s">
        <v>533</v>
      </c>
      <c r="G759" s="15"/>
      <c r="H759" s="15" t="s">
        <v>434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>
      <c r="A760" s="15" t="s">
        <v>556</v>
      </c>
      <c r="B760" s="15" t="s">
        <v>531</v>
      </c>
      <c r="C760" s="15" t="s">
        <v>596</v>
      </c>
      <c r="D760" s="15" t="s">
        <v>532</v>
      </c>
      <c r="E760" s="15" t="str">
        <f t="shared" si="20"/>
        <v>ASM NOR Vector Dendi</v>
      </c>
      <c r="F760" s="15" t="s">
        <v>537</v>
      </c>
      <c r="G760" s="15"/>
      <c r="H760" s="15" t="s">
        <v>431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>
      <c r="A761" s="15" t="s">
        <v>556</v>
      </c>
      <c r="B761" s="15" t="s">
        <v>531</v>
      </c>
      <c r="C761" s="15" t="s">
        <v>596</v>
      </c>
      <c r="D761" s="15" t="s">
        <v>532</v>
      </c>
      <c r="E761" s="15" t="str">
        <f t="shared" si="20"/>
        <v>ASM NOR Vector Dendi</v>
      </c>
      <c r="F761" s="15" t="s">
        <v>540</v>
      </c>
      <c r="G761" s="15"/>
      <c r="H761" s="15" t="s">
        <v>431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>
      <c r="A762" s="15" t="s">
        <v>530</v>
      </c>
      <c r="B762" s="15" t="s">
        <v>531</v>
      </c>
      <c r="C762" s="15" t="s">
        <v>596</v>
      </c>
      <c r="D762" s="15" t="s">
        <v>557</v>
      </c>
      <c r="E762" s="15" t="str">
        <f t="shared" si="20"/>
        <v>TDM NOR Action</v>
      </c>
      <c r="F762" s="15" t="s">
        <v>558</v>
      </c>
      <c r="G762" s="15"/>
      <c r="H762" s="15"/>
      <c r="I762" s="15"/>
      <c r="J762" s="15"/>
      <c r="K762" s="15" t="s">
        <v>382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>
      <c r="A763" s="15" t="s">
        <v>539</v>
      </c>
      <c r="B763" s="15" t="s">
        <v>531</v>
      </c>
      <c r="C763" s="15" t="s">
        <v>596</v>
      </c>
      <c r="D763" s="15" t="s">
        <v>557</v>
      </c>
      <c r="E763" s="15" t="str">
        <f t="shared" si="20"/>
        <v>TDM NOR Action</v>
      </c>
      <c r="F763" s="15" t="s">
        <v>559</v>
      </c>
      <c r="G763" s="15"/>
      <c r="H763" s="15"/>
      <c r="I763" s="15"/>
      <c r="J763" s="15"/>
      <c r="K763" s="15" t="s">
        <v>382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>
      <c r="A764" s="15" t="s">
        <v>538</v>
      </c>
      <c r="B764" s="15" t="s">
        <v>531</v>
      </c>
      <c r="C764" s="15" t="s">
        <v>596</v>
      </c>
      <c r="D764" s="15" t="s">
        <v>557</v>
      </c>
      <c r="E764" s="15" t="str">
        <f t="shared" si="20"/>
        <v>TDM NOR Action</v>
      </c>
      <c r="F764" s="15" t="s">
        <v>558</v>
      </c>
      <c r="G764" s="15"/>
      <c r="H764" s="15"/>
      <c r="I764" s="15"/>
      <c r="J764" s="15"/>
      <c r="K764" s="15" t="s">
        <v>382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>
      <c r="A765" s="15" t="s">
        <v>547</v>
      </c>
      <c r="B765" s="15" t="s">
        <v>531</v>
      </c>
      <c r="C765" s="15" t="s">
        <v>596</v>
      </c>
      <c r="D765" s="15" t="s">
        <v>557</v>
      </c>
      <c r="E765" s="15" t="str">
        <f t="shared" si="20"/>
        <v>TDM NOR Action</v>
      </c>
      <c r="F765" s="15" t="s">
        <v>560</v>
      </c>
      <c r="G765" s="15"/>
      <c r="H765" s="15"/>
      <c r="I765" s="15"/>
      <c r="J765" s="15"/>
      <c r="K765" s="15" t="s">
        <v>382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>
      <c r="A766" s="15" t="s">
        <v>548</v>
      </c>
      <c r="B766" s="15" t="s">
        <v>531</v>
      </c>
      <c r="C766" s="15" t="s">
        <v>596</v>
      </c>
      <c r="D766" s="15" t="s">
        <v>561</v>
      </c>
      <c r="E766" s="15" t="str">
        <f t="shared" si="20"/>
        <v>TDM NOR Grocery</v>
      </c>
      <c r="F766" s="15" t="s">
        <v>562</v>
      </c>
      <c r="G766" s="15"/>
      <c r="H766" s="15"/>
      <c r="I766" s="15"/>
      <c r="J766" s="15"/>
      <c r="K766" s="15" t="s">
        <v>382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>
      <c r="A767" s="15" t="s">
        <v>548</v>
      </c>
      <c r="B767" s="15" t="s">
        <v>531</v>
      </c>
      <c r="C767" s="15" t="s">
        <v>596</v>
      </c>
      <c r="D767" s="15" t="s">
        <v>561</v>
      </c>
      <c r="E767" s="15" t="str">
        <f t="shared" si="20"/>
        <v>TDM NOR Grocery</v>
      </c>
      <c r="F767" s="15" t="s">
        <v>563</v>
      </c>
      <c r="G767" s="15"/>
      <c r="H767" s="15"/>
      <c r="I767" s="15"/>
      <c r="J767" s="15"/>
      <c r="K767" s="15" t="s">
        <v>382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>
      <c r="A768" s="15" t="s">
        <v>552</v>
      </c>
      <c r="B768" s="15" t="s">
        <v>531</v>
      </c>
      <c r="C768" s="15" t="s">
        <v>596</v>
      </c>
      <c r="D768" s="15" t="s">
        <v>557</v>
      </c>
      <c r="E768" s="15" t="str">
        <f t="shared" si="20"/>
        <v>TDM NOR Action</v>
      </c>
      <c r="F768" s="15" t="s">
        <v>558</v>
      </c>
      <c r="G768" s="15"/>
      <c r="H768" s="15"/>
      <c r="I768" s="15"/>
      <c r="J768" s="15"/>
      <c r="K768" s="15" t="s">
        <v>382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>
      <c r="A769" s="15" t="s">
        <v>552</v>
      </c>
      <c r="B769" s="15" t="s">
        <v>531</v>
      </c>
      <c r="C769" s="15" t="s">
        <v>596</v>
      </c>
      <c r="D769" s="15" t="s">
        <v>561</v>
      </c>
      <c r="E769" s="15" t="str">
        <f t="shared" si="20"/>
        <v>TDM NOR Grocery</v>
      </c>
      <c r="F769" s="15" t="s">
        <v>562</v>
      </c>
      <c r="G769" s="15"/>
      <c r="H769" s="15"/>
      <c r="I769" s="15"/>
      <c r="J769" s="15"/>
      <c r="K769" s="15" t="s">
        <v>382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>
      <c r="A770" s="15" t="s">
        <v>554</v>
      </c>
      <c r="B770" s="15" t="s">
        <v>531</v>
      </c>
      <c r="C770" s="15" t="s">
        <v>596</v>
      </c>
      <c r="D770" s="15" t="s">
        <v>561</v>
      </c>
      <c r="E770" s="15" t="str">
        <f t="shared" si="20"/>
        <v>TDM NOR Grocery</v>
      </c>
      <c r="F770" s="15" t="s">
        <v>563</v>
      </c>
      <c r="G770" s="15"/>
      <c r="H770" s="15"/>
      <c r="I770" s="15"/>
      <c r="J770" s="15"/>
      <c r="K770" s="15" t="s">
        <v>382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>
      <c r="A771" s="15" t="s">
        <v>551</v>
      </c>
      <c r="B771" s="15" t="s">
        <v>531</v>
      </c>
      <c r="C771" s="15" t="s">
        <v>596</v>
      </c>
      <c r="D771" s="15" t="s">
        <v>561</v>
      </c>
      <c r="E771" s="15" t="str">
        <f t="shared" si="20"/>
        <v>TDM NOR Grocery</v>
      </c>
      <c r="F771" s="15" t="s">
        <v>563</v>
      </c>
      <c r="G771" s="15"/>
      <c r="H771" s="15"/>
      <c r="I771" s="15"/>
      <c r="J771" s="15"/>
      <c r="K771" s="15" t="s">
        <v>382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>
      <c r="A772" s="15" t="s">
        <v>544</v>
      </c>
      <c r="B772" s="15" t="s">
        <v>531</v>
      </c>
      <c r="C772" s="15" t="s">
        <v>596</v>
      </c>
      <c r="D772" s="15" t="s">
        <v>557</v>
      </c>
      <c r="E772" s="15" t="str">
        <f t="shared" si="20"/>
        <v>TDM NOR Action</v>
      </c>
      <c r="F772" s="15" t="s">
        <v>559</v>
      </c>
      <c r="G772" s="15"/>
      <c r="H772" s="15"/>
      <c r="I772" s="15"/>
      <c r="J772" s="15"/>
      <c r="K772" s="15" t="s">
        <v>382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>
      <c r="A773" s="15" t="s">
        <v>546</v>
      </c>
      <c r="B773" s="15" t="s">
        <v>531</v>
      </c>
      <c r="C773" s="15" t="s">
        <v>596</v>
      </c>
      <c r="D773" s="15" t="s">
        <v>557</v>
      </c>
      <c r="E773" s="15" t="str">
        <f t="shared" si="20"/>
        <v>TDM NOR Action</v>
      </c>
      <c r="F773" s="15" t="s">
        <v>559</v>
      </c>
      <c r="G773" s="15"/>
      <c r="H773" s="15"/>
      <c r="I773" s="15"/>
      <c r="J773" s="15"/>
      <c r="K773" s="15" t="s">
        <v>382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>
      <c r="A774" s="15" t="s">
        <v>351</v>
      </c>
      <c r="B774" s="15" t="s">
        <v>531</v>
      </c>
      <c r="C774" s="15" t="s">
        <v>596</v>
      </c>
      <c r="D774" s="15" t="s">
        <v>561</v>
      </c>
      <c r="E774" s="15" t="str">
        <f t="shared" si="20"/>
        <v>TDM NOR Grocery</v>
      </c>
      <c r="F774" s="15" t="s">
        <v>562</v>
      </c>
      <c r="G774" s="15"/>
      <c r="H774" s="15"/>
      <c r="I774" s="15"/>
      <c r="J774" s="15"/>
      <c r="K774" s="15" t="s">
        <v>382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>
      <c r="A775" s="15" t="s">
        <v>536</v>
      </c>
      <c r="B775" s="15" t="s">
        <v>531</v>
      </c>
      <c r="C775" s="15" t="s">
        <v>596</v>
      </c>
      <c r="D775" s="15" t="s">
        <v>557</v>
      </c>
      <c r="E775" s="15" t="str">
        <f t="shared" si="20"/>
        <v>TDM NOR Action</v>
      </c>
      <c r="F775" s="15" t="s">
        <v>564</v>
      </c>
      <c r="G775" s="15"/>
      <c r="H775" s="15"/>
      <c r="I775" s="15"/>
      <c r="J775" s="15"/>
      <c r="K775" s="15" t="s">
        <v>382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>
      <c r="A776" s="15" t="s">
        <v>550</v>
      </c>
      <c r="B776" s="15" t="s">
        <v>531</v>
      </c>
      <c r="C776" s="15" t="s">
        <v>596</v>
      </c>
      <c r="D776" s="15" t="s">
        <v>557</v>
      </c>
      <c r="E776" s="15" t="str">
        <f t="shared" si="20"/>
        <v>TDM NOR Action</v>
      </c>
      <c r="F776" s="15" t="s">
        <v>564</v>
      </c>
      <c r="G776" s="15"/>
      <c r="H776" s="15"/>
      <c r="I776" s="15"/>
      <c r="J776" s="15"/>
      <c r="K776" s="15" t="s">
        <v>382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>
      <c r="A777" s="15" t="s">
        <v>556</v>
      </c>
      <c r="B777" s="15" t="s">
        <v>531</v>
      </c>
      <c r="C777" s="15" t="s">
        <v>596</v>
      </c>
      <c r="D777" s="15" t="s">
        <v>557</v>
      </c>
      <c r="E777" s="15" t="str">
        <f t="shared" si="20"/>
        <v>TDM NOR Action</v>
      </c>
      <c r="F777" s="15" t="s">
        <v>560</v>
      </c>
      <c r="G777" s="15"/>
      <c r="H777" s="15"/>
      <c r="I777" s="15"/>
      <c r="J777" s="15"/>
      <c r="K777" s="15" t="s">
        <v>382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>
      <c r="A778" s="15" t="s">
        <v>548</v>
      </c>
      <c r="B778" s="15" t="s">
        <v>531</v>
      </c>
      <c r="C778" s="15" t="s">
        <v>596</v>
      </c>
      <c r="D778" s="15" t="s">
        <v>561</v>
      </c>
      <c r="E778" s="15" t="str">
        <f t="shared" si="20"/>
        <v>TDM NOR Grocery</v>
      </c>
      <c r="F778" s="15" t="s">
        <v>565</v>
      </c>
      <c r="G778" s="15"/>
      <c r="H778" s="15"/>
      <c r="I778" s="15"/>
      <c r="J778" s="15"/>
      <c r="K778" s="15" t="s">
        <v>382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>
      <c r="A779" s="15" t="s">
        <v>351</v>
      </c>
      <c r="B779" s="15" t="s">
        <v>531</v>
      </c>
      <c r="C779" s="15" t="s">
        <v>596</v>
      </c>
      <c r="D779" s="15" t="s">
        <v>561</v>
      </c>
      <c r="E779" s="15" t="str">
        <f t="shared" si="20"/>
        <v>TDM NOR Grocery</v>
      </c>
      <c r="F779" s="15" t="s">
        <v>565</v>
      </c>
      <c r="G779" s="15"/>
      <c r="H779" s="15"/>
      <c r="I779" s="15"/>
      <c r="J779" s="15"/>
      <c r="K779" s="15" t="s">
        <v>382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>
      <c r="A780" s="15" t="s">
        <v>550</v>
      </c>
      <c r="B780" s="15" t="s">
        <v>531</v>
      </c>
      <c r="C780" s="15" t="s">
        <v>596</v>
      </c>
      <c r="D780" s="15" t="s">
        <v>557</v>
      </c>
      <c r="E780" s="15" t="str">
        <f t="shared" si="20"/>
        <v>TDM NOR Action</v>
      </c>
      <c r="F780" s="15" t="s">
        <v>560</v>
      </c>
      <c r="G780" s="15"/>
      <c r="H780" s="15"/>
      <c r="I780" s="15"/>
      <c r="J780" s="15"/>
      <c r="K780" s="15" t="s">
        <v>382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>
      <c r="A781" s="15" t="s">
        <v>351</v>
      </c>
      <c r="B781" s="15" t="s">
        <v>531</v>
      </c>
      <c r="C781" s="15" t="s">
        <v>596</v>
      </c>
      <c r="D781" s="15" t="s">
        <v>561</v>
      </c>
      <c r="E781" s="15" t="str">
        <f t="shared" si="20"/>
        <v>TDM NOR Grocery</v>
      </c>
      <c r="F781" s="15" t="s">
        <v>563</v>
      </c>
      <c r="G781" s="15"/>
      <c r="H781" s="15"/>
      <c r="I781" s="15"/>
      <c r="J781" s="15"/>
      <c r="K781" s="15" t="s">
        <v>382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>
      <c r="A782" s="15" t="s">
        <v>538</v>
      </c>
      <c r="B782" s="15" t="s">
        <v>531</v>
      </c>
      <c r="C782" s="15" t="s">
        <v>596</v>
      </c>
      <c r="D782" s="15" t="s">
        <v>557</v>
      </c>
      <c r="E782" s="15" t="str">
        <f t="shared" si="20"/>
        <v>TDM NOR Action</v>
      </c>
      <c r="F782" s="15" t="s">
        <v>564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>
      <c r="A783" s="15" t="s">
        <v>539</v>
      </c>
      <c r="B783" s="15" t="s">
        <v>531</v>
      </c>
      <c r="C783" s="15" t="s">
        <v>596</v>
      </c>
      <c r="D783" s="15" t="s">
        <v>532</v>
      </c>
      <c r="E783" s="15" t="str">
        <f t="shared" si="20"/>
        <v>ASM NOR Vector Dendi</v>
      </c>
      <c r="F783" s="15" t="s">
        <v>533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>
      <c r="A784" s="15" t="s">
        <v>556</v>
      </c>
      <c r="B784" s="15" t="s">
        <v>531</v>
      </c>
      <c r="C784" s="15" t="s">
        <v>596</v>
      </c>
      <c r="D784" s="15" t="s">
        <v>532</v>
      </c>
      <c r="E784" s="15" t="str">
        <f t="shared" si="20"/>
        <v>ASM NOR Vector Dendi</v>
      </c>
      <c r="F784" s="15" t="s">
        <v>533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>
      <c r="A785" s="15" t="s">
        <v>552</v>
      </c>
      <c r="B785" s="15" t="s">
        <v>531</v>
      </c>
      <c r="C785" s="15" t="s">
        <v>596</v>
      </c>
      <c r="D785" s="15" t="s">
        <v>534</v>
      </c>
      <c r="E785" s="15" t="str">
        <f t="shared" si="20"/>
        <v>DDM NOR Grocery+SPT Spb Nov Pskov</v>
      </c>
      <c r="F785" s="15" t="s">
        <v>549</v>
      </c>
      <c r="G785" s="15"/>
      <c r="H785" s="15" t="s">
        <v>356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>
      <c r="A786" s="15" t="s">
        <v>538</v>
      </c>
      <c r="B786" s="15" t="s">
        <v>531</v>
      </c>
      <c r="C786" s="15" t="s">
        <v>596</v>
      </c>
      <c r="D786" s="15" t="s">
        <v>557</v>
      </c>
      <c r="E786" s="15" t="str">
        <f t="shared" si="20"/>
        <v>TDM NOR Action</v>
      </c>
      <c r="F786" s="15" t="s">
        <v>560</v>
      </c>
      <c r="G786" s="15"/>
      <c r="H786" s="15"/>
      <c r="I786" s="15"/>
      <c r="J786" s="15"/>
      <c r="K786" s="15" t="s">
        <v>382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/>
  <cp:revision/>
  <dcterms:created xsi:type="dcterms:W3CDTF">2026-01-28T07:01:53Z</dcterms:created>
  <dcterms:modified xsi:type="dcterms:W3CDTF">2026-04-17T09:59:42Z</dcterms:modified>
  <cp:category/>
  <cp:contentStatus/>
</cp:coreProperties>
</file>