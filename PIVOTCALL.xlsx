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2A46156C-5BEA-40FC-A79D-209A2EA4B3CC}" xr6:coauthVersionLast="47" xr6:coauthVersionMax="47" xr10:uidLastSave="{00000000-0000-0000-0000-000000000000}"/>
  <bookViews>
    <workbookView xWindow="-96" yWindow="-96" windowWidth="30912" windowHeight="16752" tabRatio="836" activeTab="1" xr2:uid="{557A26C6-F21E-4F13-8F97-2AB80881C4B7}"/>
  </bookViews>
  <sheets>
    <sheet name="Belarus" sheetId="5" r:id="rId1"/>
    <sheet name="Распределение TSL" sheetId="16" r:id="rId2"/>
    <sheet name="North" sheetId="18" r:id="rId3"/>
    <sheet name="South" sheetId="4" r:id="rId4"/>
    <sheet name="Center" sheetId="6" r:id="rId5"/>
    <sheet name="PIVOT" sheetId="20" r:id="rId6"/>
    <sheet name="Moscow" sheetId="19" r:id="rId7"/>
    <sheet name="Far East" sheetId="7" r:id="rId8"/>
    <sheet name="Siberia" sheetId="2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4" hidden="1">Center!$A$3:$AN$268</definedName>
    <definedName name="_xlnm._FilterDatabase" localSheetId="7" hidden="1">'Far East'!$A$3:$AN$268</definedName>
    <definedName name="_xlnm._FilterDatabase" localSheetId="6" hidden="1">Moscow!$A$3:$AP$268</definedName>
    <definedName name="_xlnm._FilterDatabase" localSheetId="2" hidden="1">North!$A$3:$AQ$268</definedName>
    <definedName name="_xlnm._FilterDatabase" localSheetId="5" hidden="1">PIVOT!$A$1:$Q$786</definedName>
    <definedName name="_xlnm._FilterDatabase" localSheetId="15" hidden="1">'PIVOT NEW NORTH'!$A$1:$T$786</definedName>
    <definedName name="_xlnm._FilterDatabase" localSheetId="8" hidden="1">Siberia!$A$3:$AM$116</definedName>
    <definedName name="_xlnm._FilterDatabase" localSheetId="3" hidden="1">South!$A$3:$AM$268</definedName>
    <definedName name="_xlnm._FilterDatabase" localSheetId="1" hidden="1">'Распределение TSL'!$A$1:$O$242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45" i="16" l="1"/>
  <c r="O245" i="16"/>
  <c r="O244" i="16"/>
  <c r="N244" i="16"/>
  <c r="O243" i="16"/>
  <c r="N243" i="16"/>
  <c r="O242" i="16"/>
  <c r="N242" i="16"/>
  <c r="K92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6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3" i="16"/>
  <c r="O4" i="16"/>
  <c r="O2" i="16"/>
  <c r="N10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<sst xmlns="http://schemas.openxmlformats.org/spreadsheetml/2006/main" count="15471" uniqueCount="631">
  <si>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</si>
  <si>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</si>
  <si>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</si>
  <si>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</si>
  <si>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</si>
  <si>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</si>
  <si>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</si>
  <si>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</si>
  <si>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</si>
  <si>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</si>
  <si>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</si>
  <si>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</si>
  <si>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</si>
  <si>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</si>
  <si>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</si>
  <si>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</si>
  <si>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</si>
  <si>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</si>
  <si>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</si>
  <si>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</si>
  <si>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</si>
  <si>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</si>
  <si>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</si>
  <si>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</si>
  <si>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</si>
  <si>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</si>
  <si>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</si>
  <si>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</si>
  <si>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</si>
  <si>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</si>
  <si>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</si>
  <si>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</si>
  <si>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</si>
  <si>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</si>
  <si>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</si>
  <si>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</si>
  <si>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</si>
  <si>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</si>
  <si>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</si>
  <si>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</si>
  <si>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</si>
  <si>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</si>
  <si>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</si>
  <si>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</si>
  <si>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</si>
  <si>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</si>
  <si>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</si>
  <si>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</si>
  <si>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</si>
  <si>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</si>
  <si>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</si>
  <si>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</si>
  <si>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</si>
  <si>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</si>
  <si>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</si>
  <si>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</si>
  <si>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</si>
  <si>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</si>
  <si>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</si>
  <si>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</si>
  <si>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</si>
  <si>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</si>
  <si>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</si>
  <si>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</si>
  <si>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</si>
  <si>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</si>
  <si>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</si>
  <si>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</si>
  <si>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</si>
  <si>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</si>
  <si>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</si>
  <si>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</si>
  <si>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</si>
  <si>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</si>
  <si>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</si>
  <si>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</si>
  <si>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</si>
  <si>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</si>
  <si>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</si>
  <si>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</si>
  <si>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</si>
  <si>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</si>
  <si>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</si>
  <si>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</si>
  <si>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</si>
  <si>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</si>
  <si>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</si>
  <si>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</si>
  <si>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</si>
  <si>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</si>
  <si>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</si>
  <si>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</si>
  <si>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</si>
  <si>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</si>
  <si>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</si>
  <si>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</si>
  <si>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</si>
  <si>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</si>
  <si>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</si>
  <si>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</si>
  <si>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</si>
  <si>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</si>
  <si>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</si>
  <si>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</si>
  <si>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</si>
  <si>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</si>
  <si>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</si>
  <si>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</si>
  <si>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</si>
  <si>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</si>
  <si>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</si>
  <si>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</si>
  <si>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</si>
  <si>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</si>
  <si>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</si>
  <si>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</si>
  <si>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</si>
  <si>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</si>
  <si>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</si>
  <si>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</si>
  <si>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</si>
  <si>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</si>
  <si>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</si>
  <si>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</si>
  <si>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</si>
  <si>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</si>
  <si>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</si>
  <si>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</si>
  <si>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</si>
  <si>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</si>
  <si>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</si>
  <si>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</si>
  <si>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</si>
  <si>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</si>
  <si>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</si>
  <si>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</si>
  <si>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</si>
  <si>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</si>
  <si>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</si>
  <si>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</si>
  <si>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</si>
  <si>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</si>
  <si>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</si>
  <si>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</si>
  <si>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</si>
  <si>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</si>
  <si>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</si>
  <si>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</si>
  <si>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</si>
  <si>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</si>
  <si>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</si>
  <si>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</si>
  <si>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</si>
  <si>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</si>
  <si>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</si>
  <si>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</si>
  <si>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</si>
  <si>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</si>
  <si>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</si>
  <si>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</si>
  <si>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</si>
  <si>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</si>
  <si>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</si>
  <si>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</si>
  <si>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</si>
  <si>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</si>
  <si>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</si>
  <si>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</si>
  <si>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</si>
  <si>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</si>
  <si>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</si>
  <si>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</si>
  <si>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</si>
  <si>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</si>
  <si>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</si>
  <si>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</si>
  <si>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</si>
  <si>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</si>
  <si>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</si>
  <si>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</si>
  <si>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</si>
  <si>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</si>
  <si>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</si>
  <si>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</si>
  <si>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</si>
  <si>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</si>
  <si>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</si>
  <si>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</si>
  <si>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</si>
  <si>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</si>
  <si>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</si>
  <si>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</si>
  <si>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</si>
  <si>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</si>
  <si>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</si>
  <si>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</si>
  <si>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</si>
  <si>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</si>
  <si>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</si>
  <si>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</si>
  <si>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</si>
  <si>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</si>
  <si>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</si>
  <si>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</si>
  <si>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</si>
  <si>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</si>
  <si>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</si>
  <si>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</si>
  <si>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</si>
  <si>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</si>
  <si>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</si>
  <si>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</si>
  <si>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</si>
  <si>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</si>
  <si>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</si>
  <si>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</si>
  <si>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</si>
  <si>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</si>
  <si>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</si>
  <si>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</si>
  <si>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</si>
  <si>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</si>
  <si>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</si>
  <si>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</si>
  <si>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</si>
  <si>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</si>
  <si>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</si>
  <si>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</si>
  <si>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</si>
  <si>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</si>
  <si>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</si>
  <si>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</si>
  <si>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</si>
  <si>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</si>
  <si>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</si>
  <si>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</si>
  <si>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</si>
  <si>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</si>
  <si>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</si>
  <si>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</si>
  <si>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</si>
  <si>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</si>
  <si>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</si>
  <si>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</si>
  <si>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</si>
  <si>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</si>
  <si>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</si>
  <si>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</si>
  <si>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</si>
  <si>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</si>
  <si>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</si>
  <si>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</si>
  <si>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</si>
  <si>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</si>
  <si>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</si>
  <si>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</si>
  <si>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</si>
  <si>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</si>
  <si>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</si>
  <si>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</si>
  <si>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</si>
  <si>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</si>
  <si>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</si>
  <si>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</si>
  <si>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</si>
  <si>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</si>
  <si>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</si>
  <si>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</si>
  <si>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</si>
  <si>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</si>
  <si>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</si>
  <si>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</si>
  <si>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</si>
  <si>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</si>
  <si>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</si>
  <si>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</si>
  <si>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</si>
  <si>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</si>
  <si>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</si>
  <si>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</si>
  <si>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</si>
  <si>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</si>
  <si>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</si>
  <si>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</si>
  <si>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</si>
  <si>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</si>
  <si>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</si>
  <si>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</si>
  <si>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</si>
  <si>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</si>
  <si>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</si>
  <si>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</si>
  <si>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</si>
  <si>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</si>
  <si>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</si>
  <si>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</si>
  <si>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</si>
  <si>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</si>
  <si>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</si>
  <si>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</si>
  <si>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</si>
  <si>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</si>
  <si>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</si>
  <si>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</si>
  <si>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</si>
  <si>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</si>
  <si>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</si>
  <si>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</si>
  <si>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</si>
  <si>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</si>
  <si>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</si>
  <si>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</si>
  <si>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</si>
  <si>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</si>
  <si>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</si>
  <si>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</si>
  <si>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</si>
  <si>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</si>
  <si>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</si>
  <si>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</si>
  <si>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</si>
  <si>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</si>
  <si>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</si>
  <si>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</si>
  <si>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</si>
  <si>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</si>
  <si>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</si>
  <si>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</si>
  <si>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</si>
  <si>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</si>
  <si>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</si>
  <si>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</si>
  <si>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</si>
  <si>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</si>
  <si>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</si>
  <si>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</si>
  <si>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</si>
  <si>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</si>
  <si>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</si>
  <si>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</si>
  <si>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</si>
  <si>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</si>
  <si>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</si>
  <si>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</si>
  <si>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</si>
  <si>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</si>
  <si>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</si>
  <si>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</si>
  <si>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</si>
  <si>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</si>
  <si>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</si>
  <si>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</si>
  <si>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</si>
  <si>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</si>
  <si>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</si>
  <si>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</si>
  <si>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</si>
  <si>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</si>
  <si>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</si>
  <si>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</si>
  <si>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</si>
  <si>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</si>
  <si>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</si>
  <si>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</si>
  <si>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</si>
  <si>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</si>
  <si>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</si>
  <si>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</si>
  <si>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</si>
  <si>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</si>
  <si>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</si>
  <si>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</si>
  <si>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</si>
  <si>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</si>
  <si>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</si>
  <si>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</si>
  <si>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</si>
  <si>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</si>
  <si>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</si>
  <si>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</si>
  <si>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</si>
  <si>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</si>
  <si>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</si>
  <si>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</si>
  <si>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</si>
  <si>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</si>
  <si>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</si>
  <si>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</si>
  <si>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</si>
  <si>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</si>
  <si>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</si>
  <si>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</si>
  <si>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</si>
  <si>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</si>
  <si>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</si>
  <si>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</si>
  <si>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</si>
  <si>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</si>
  <si>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</si>
  <si>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</si>
  <si>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</si>
  <si>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</si>
  <si>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</si>
  <si>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</si>
  <si>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</si>
  <si>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</si>
  <si>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</si>
  <si>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</si>
  <si>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</si>
  <si>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</si>
  <si>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</si>
  <si>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</si>
  <si>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</si>
  <si>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</si>
  <si>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</si>
  <si>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</si>
  <si>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</si>
  <si>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</si>
  <si>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</si>
  <si>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</si>
  <si>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</si>
  <si>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</si>
  <si>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</si>
  <si>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</si>
  <si>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</si>
  <si>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</si>
  <si>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</si>
  <si>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</si>
  <si>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</si>
  <si>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</si>
  <si>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</si>
  <si>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</si>
  <si>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</si>
  <si>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</si>
  <si>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</si>
  <si>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</si>
  <si>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</si>
  <si>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</si>
  <si>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</si>
  <si>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</si>
  <si>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</si>
  <si>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</si>
  <si>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</si>
  <si>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</si>
  <si>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</si>
  <si>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</si>
  <si>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</si>
  <si>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</si>
  <si>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</si>
  <si>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</si>
  <si>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</si>
  <si>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</si>
  <si>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</si>
  <si>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</si>
  <si>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</si>
  <si>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</si>
  <si>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</si>
  <si>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</si>
  <si>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</si>
  <si>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</si>
  <si>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</si>
  <si>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</si>
  <si>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</si>
  <si>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</si>
  <si>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</si>
  <si>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</si>
  <si>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</si>
  <si>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</si>
  <si>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</si>
  <si>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</si>
  <si>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</si>
  <si>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</si>
  <si>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</si>
  <si>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</si>
  <si>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</si>
  <si>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</si>
  <si>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</si>
  <si>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</si>
  <si>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</si>
  <si>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</si>
  <si>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</si>
  <si>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</si>
  <si>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</si>
  <si>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</si>
  <si>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</si>
  <si>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</si>
  <si>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</si>
  <si>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</si>
  <si>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</si>
  <si>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</si>
  <si>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</si>
  <si>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</si>
  <si>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</si>
  <si>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</si>
  <si>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</si>
  <si>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</si>
  <si>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</si>
  <si>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</si>
  <si>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</si>
  <si>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</si>
  <si>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</si>
  <si>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</si>
  <si>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</si>
  <si>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</si>
  <si>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</si>
  <si>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</si>
  <si>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</si>
  <si>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</si>
  <si>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</si>
  <si>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</si>
  <si>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</si>
  <si>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</si>
  <si>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</si>
  <si>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</si>
  <si>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</si>
  <si>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</si>
  <si>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</si>
  <si>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</si>
  <si>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</si>
  <si>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</si>
  <si>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</si>
  <si>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</si>
  <si>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</si>
  <si>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</si>
  <si>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</si>
  <si>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</si>
  <si>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</si>
  <si>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</si>
  <si>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</si>
  <si>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</si>
  <si>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</si>
  <si>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</si>
  <si>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</si>
  <si>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</si>
  <si>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</si>
  <si>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</si>
  <si>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</si>
  <si>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</si>
  <si>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</si>
  <si>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</si>
  <si>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</si>
  <si>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</si>
  <si>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</si>
  <si>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</si>
  <si>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</si>
  <si>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</si>
  <si>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</si>
  <si>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</si>
  <si>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</si>
  <si>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</si>
  <si>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</si>
  <si>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</si>
  <si>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</si>
  <si>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</si>
  <si>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</si>
  <si>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</si>
  <si>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</si>
  <si>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</si>
  <si>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</si>
  <si>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</si>
  <si>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</si>
  <si>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</si>
  <si>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</si>
  <si>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</si>
  <si>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</si>
  <si>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</si>
  <si>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</si>
  <si>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</si>
  <si>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</si>
  <si>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</si>
  <si>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</si>
  <si>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</si>
  <si>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</si>
  <si>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</si>
  <si>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</si>
  <si>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</si>
  <si>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</si>
  <si>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</si>
  <si>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</si>
  <si>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</si>
  <si>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</si>
  <si>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</si>
  <si>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</si>
  <si>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</si>
  <si>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</si>
  <si>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</si>
  <si>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</si>
  <si>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</si>
  <si>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</si>
  <si>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</si>
  <si>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</si>
  <si>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</si>
  <si>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</si>
  <si>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</si>
  <si>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</si>
  <si>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</si>
  <si>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MOS N.Novgorod</t>
  </si>
  <si>
    <t>TSE NOR SPb South</t>
  </si>
  <si>
    <t>TSE NOR Len Obl</t>
  </si>
  <si>
    <t>TSE NOR  SPb  North- Murmansk</t>
  </si>
  <si>
    <t>TSE NOR  Kaliningrad SPT E-com SPAR</t>
  </si>
  <si>
    <t>TSE NOR Grocery+SPT Vologda</t>
  </si>
  <si>
    <t>KAE NOR NA Ivanovo Yaroslavl Kostroma</t>
  </si>
  <si>
    <t>TSE RFE Grocery+SPT Ussuriysk</t>
  </si>
  <si>
    <t>RAE RFE Grocery Khabarovsk</t>
  </si>
  <si>
    <t>TSE RFE Grocery+SPT Komsomolsk-on-Amur</t>
  </si>
  <si>
    <t>Head of Sales Region</t>
  </si>
  <si>
    <t>TSE RFE Grocery+SPT Chita</t>
  </si>
  <si>
    <t>RAE RFE SPT Irkutsk</t>
  </si>
  <si>
    <t>RAE RFE Grocery Irkutsk</t>
  </si>
  <si>
    <t>TSE CEN Kazan</t>
  </si>
  <si>
    <t>TSE CEN Ufa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</si>
  <si>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</si>
  <si>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</si>
  <si>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</si>
  <si>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</si>
  <si>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</si>
  <si>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TSE SIB Barnaul</t>
  </si>
  <si>
    <t>TSE SOU Rostov-On-Don 1</t>
  </si>
  <si>
    <t>TSE SOU Krasnodar 1</t>
  </si>
  <si>
    <t>TSE SOU Krasnodar 2</t>
  </si>
  <si>
    <t>TSE SOU Crimea 2</t>
  </si>
  <si>
    <t>Беларусь</t>
  </si>
  <si>
    <t>DDM Cen</t>
  </si>
  <si>
    <t>DDM MOS Sladkaya Zhizn</t>
  </si>
  <si>
    <t>TDM Senior Customer Development Manager</t>
  </si>
  <si>
    <t>DDM Belarus</t>
  </si>
  <si>
    <t>Skyline</t>
  </si>
  <si>
    <t>Channel</t>
  </si>
  <si>
    <t>ё</t>
  </si>
  <si>
    <t>Channel(!)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</si>
</sst>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3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3" fillId="18" borderId="15" xfId="0" applyFont="1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9" fillId="0" borderId="15" xfId="4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0" fillId="16" borderId="15" xfId="0" applyFont="1" applyFill="1" applyBorder="1" applyAlignment="1">
      <alignment horizontal="center" vertical="center" wrapText="1"/>
    </xf>
    <xf numFmtId="166" fontId="15" fillId="0" borderId="15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6" fillId="16" borderId="68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0" fillId="2" borderId="18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22" xfId="0" applyFill="1" applyBorder="1" applyAlignment="1">
      <alignment wrapText="1"/>
    </xf>
    <xf numFmtId="0" fontId="0" fillId="2" borderId="18" xfId="0" applyFill="1" applyBorder="1" applyAlignment="1">
      <alignment horizontal="center" wrapText="1"/>
    </xf>
    <xf numFmtId="165" fontId="0" fillId="2" borderId="15" xfId="0" applyNumberFormat="1" applyFill="1" applyBorder="1"/>
    <xf numFmtId="164" fontId="0" fillId="2" borderId="15" xfId="0" applyNumberFormat="1" applyFill="1" applyBorder="1"/>
    <xf numFmtId="0" fontId="0" fillId="2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2" borderId="15" xfId="0" applyFill="1" applyBorder="1" applyAlignment="1">
      <alignment horizontal="center" vertical="center"/>
    </xf>
  </cellXfs>
  <cellStyles count="9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D2" sqref="D2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182</v>
      </c>
      <c r="B1" s="43" t="s">
        <v>183</v>
      </c>
      <c r="F1" s="45"/>
      <c r="G1" s="45"/>
      <c r="I1" s="487" t="s">
        <v>184</v>
      </c>
      <c r="J1" s="488"/>
      <c r="K1" s="488"/>
      <c r="L1" s="488"/>
      <c r="M1" s="488"/>
      <c r="N1" s="488"/>
      <c r="O1" s="488"/>
      <c r="P1" s="488"/>
      <c r="Q1" s="488"/>
      <c r="R1" s="488"/>
      <c r="S1" s="489"/>
      <c r="T1" s="487" t="s">
        <v>185</v>
      </c>
      <c r="U1" s="488"/>
      <c r="V1" s="488"/>
      <c r="W1" s="489"/>
    </row>
    <row r="2" spans="1:23" s="46" customFormat="1" ht="59.45" customHeight="1" thickBot="1" x14ac:dyDescent="0.3">
      <c r="I2" s="47" t="s">
        <v>186</v>
      </c>
      <c r="J2" s="48" t="s">
        <v>187</v>
      </c>
      <c r="K2" s="46" t="s">
        <v>187</v>
      </c>
      <c r="L2" s="49" t="s">
        <v>187</v>
      </c>
      <c r="M2" s="46" t="s">
        <v>188</v>
      </c>
      <c r="N2" s="46" t="s">
        <v>188</v>
      </c>
      <c r="O2" s="46" t="s">
        <v>188</v>
      </c>
      <c r="P2" s="46" t="s">
        <v>188</v>
      </c>
      <c r="Q2" s="46" t="s">
        <v>188</v>
      </c>
      <c r="R2" s="46" t="s">
        <v>188</v>
      </c>
      <c r="S2" s="49" t="s">
        <v>188</v>
      </c>
      <c r="T2" s="490" t="s">
        <v>189</v>
      </c>
      <c r="U2" s="491"/>
      <c r="V2" s="491"/>
      <c r="W2" s="492"/>
    </row>
    <row r="3" spans="1:23" s="56" customFormat="1" ht="26.25" thickBot="1" x14ac:dyDescent="0.3">
      <c r="A3" s="50" t="s">
        <v>190</v>
      </c>
      <c r="B3" s="51" t="s">
        <v>191</v>
      </c>
      <c r="C3" s="51" t="s">
        <v>192</v>
      </c>
      <c r="D3" s="52" t="s">
        <v>193</v>
      </c>
      <c r="E3" s="50" t="s">
        <v>194</v>
      </c>
      <c r="F3" s="52" t="s">
        <v>195</v>
      </c>
      <c r="G3" s="53" t="s">
        <v>196</v>
      </c>
      <c r="H3" s="53" t="s">
        <v>197</v>
      </c>
      <c r="I3" s="50" t="s">
        <v>198</v>
      </c>
      <c r="J3" s="50" t="s">
        <v>199</v>
      </c>
      <c r="K3" s="51" t="s">
        <v>200</v>
      </c>
      <c r="L3" s="52" t="s">
        <v>201</v>
      </c>
      <c r="M3" s="51" t="s">
        <v>202</v>
      </c>
      <c r="N3" s="51" t="s">
        <v>203</v>
      </c>
      <c r="O3" s="51" t="s">
        <v>204</v>
      </c>
      <c r="P3" s="51" t="s">
        <v>205</v>
      </c>
      <c r="Q3" s="51" t="s">
        <v>206</v>
      </c>
      <c r="R3" s="51" t="s">
        <v>207</v>
      </c>
      <c r="S3" s="52" t="s">
        <v>208</v>
      </c>
      <c r="T3" s="50" t="s">
        <v>209</v>
      </c>
      <c r="U3" s="51" t="s">
        <v>210</v>
      </c>
      <c r="V3" s="54" t="s">
        <v>199</v>
      </c>
      <c r="W3" s="55" t="s">
        <v>200</v>
      </c>
    </row>
    <row r="4" spans="1:23" x14ac:dyDescent="0.2">
      <c r="A4" s="57" t="s">
        <v>211</v>
      </c>
      <c r="B4" s="58" t="s">
        <v>212</v>
      </c>
      <c r="C4" s="58" t="s">
        <v>213</v>
      </c>
      <c r="D4" s="59" t="s">
        <v>214</v>
      </c>
      <c r="E4" s="60"/>
      <c r="F4" s="60"/>
      <c r="G4" s="493">
        <v>2</v>
      </c>
      <c r="H4" s="493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215</v>
      </c>
      <c r="B5" s="65" t="s">
        <v>212</v>
      </c>
      <c r="C5" s="65" t="s">
        <v>213</v>
      </c>
      <c r="D5" s="66" t="s">
        <v>214</v>
      </c>
      <c r="G5" s="494"/>
      <c r="H5" s="494"/>
      <c r="I5" s="67">
        <v>13101834.389945012</v>
      </c>
      <c r="W5" s="68"/>
    </row>
    <row r="6" spans="1:23" x14ac:dyDescent="0.2">
      <c r="A6" s="64" t="s">
        <v>216</v>
      </c>
      <c r="B6" s="65" t="s">
        <v>212</v>
      </c>
      <c r="C6" s="65" t="s">
        <v>213</v>
      </c>
      <c r="D6" s="66" t="s">
        <v>214</v>
      </c>
      <c r="G6" s="494"/>
      <c r="H6" s="494"/>
      <c r="I6" s="67">
        <v>12765397.916910024</v>
      </c>
      <c r="W6" s="68"/>
    </row>
    <row r="7" spans="1:23" x14ac:dyDescent="0.2">
      <c r="A7" s="64" t="s">
        <v>217</v>
      </c>
      <c r="B7" s="65" t="s">
        <v>212</v>
      </c>
      <c r="C7" s="65" t="s">
        <v>213</v>
      </c>
      <c r="D7" s="66" t="s">
        <v>214</v>
      </c>
      <c r="G7" s="494"/>
      <c r="H7" s="494"/>
      <c r="I7" s="67">
        <v>9760270.0104750115</v>
      </c>
      <c r="W7" s="68"/>
    </row>
    <row r="8" spans="1:23" x14ac:dyDescent="0.2">
      <c r="A8" s="64" t="s">
        <v>218</v>
      </c>
      <c r="B8" s="65" t="s">
        <v>212</v>
      </c>
      <c r="C8" s="65" t="s">
        <v>213</v>
      </c>
      <c r="D8" s="66" t="s">
        <v>214</v>
      </c>
      <c r="G8" s="494"/>
      <c r="H8" s="494"/>
      <c r="I8" s="67">
        <v>14278538.622679975</v>
      </c>
      <c r="W8" s="68"/>
    </row>
    <row r="9" spans="1:23" x14ac:dyDescent="0.2">
      <c r="A9" s="64" t="s">
        <v>219</v>
      </c>
      <c r="B9" s="65" t="s">
        <v>212</v>
      </c>
      <c r="C9" s="65" t="s">
        <v>213</v>
      </c>
      <c r="D9" s="66" t="s">
        <v>214</v>
      </c>
      <c r="G9" s="494"/>
      <c r="H9" s="494"/>
      <c r="I9" s="67">
        <v>18179410.183660042</v>
      </c>
      <c r="W9" s="68"/>
    </row>
    <row r="10" spans="1:23" ht="13.5" thickBot="1" x14ac:dyDescent="0.25">
      <c r="A10" s="69" t="s">
        <v>220</v>
      </c>
      <c r="B10" s="70" t="s">
        <v>212</v>
      </c>
      <c r="C10" s="70" t="s">
        <v>213</v>
      </c>
      <c r="D10" s="71" t="s">
        <v>214</v>
      </c>
      <c r="E10" s="72"/>
      <c r="F10" s="72"/>
      <c r="G10" s="495"/>
      <c r="H10" s="495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211</v>
      </c>
      <c r="B11" s="58" t="s">
        <v>212</v>
      </c>
      <c r="C11" s="58" t="s">
        <v>213</v>
      </c>
      <c r="D11" s="58" t="s">
        <v>221</v>
      </c>
      <c r="E11" s="60"/>
      <c r="F11" s="60"/>
      <c r="G11" s="493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215</v>
      </c>
      <c r="B12" s="65" t="s">
        <v>212</v>
      </c>
      <c r="C12" s="65" t="s">
        <v>213</v>
      </c>
      <c r="D12" s="65" t="s">
        <v>221</v>
      </c>
      <c r="G12" s="494"/>
      <c r="I12" s="67"/>
      <c r="W12" s="68"/>
    </row>
    <row r="13" spans="1:23" x14ac:dyDescent="0.2">
      <c r="A13" s="64" t="s">
        <v>216</v>
      </c>
      <c r="B13" s="65" t="s">
        <v>212</v>
      </c>
      <c r="C13" s="65" t="s">
        <v>213</v>
      </c>
      <c r="D13" s="65" t="s">
        <v>221</v>
      </c>
      <c r="G13" s="494"/>
      <c r="I13" s="67"/>
      <c r="W13" s="68"/>
    </row>
    <row r="14" spans="1:23" x14ac:dyDescent="0.2">
      <c r="A14" s="64" t="s">
        <v>222</v>
      </c>
      <c r="B14" s="65" t="s">
        <v>212</v>
      </c>
      <c r="C14" s="65" t="s">
        <v>213</v>
      </c>
      <c r="D14" s="65" t="s">
        <v>221</v>
      </c>
      <c r="G14" s="494"/>
      <c r="I14" s="67"/>
      <c r="W14" s="68"/>
    </row>
    <row r="15" spans="1:23" x14ac:dyDescent="0.2">
      <c r="A15" s="64" t="s">
        <v>218</v>
      </c>
      <c r="B15" s="65" t="s">
        <v>212</v>
      </c>
      <c r="C15" s="65" t="s">
        <v>213</v>
      </c>
      <c r="D15" s="65" t="s">
        <v>221</v>
      </c>
      <c r="G15" s="494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219</v>
      </c>
      <c r="B16" s="65" t="s">
        <v>212</v>
      </c>
      <c r="C16" s="65" t="s">
        <v>213</v>
      </c>
      <c r="D16" s="65" t="s">
        <v>221</v>
      </c>
      <c r="G16" s="494"/>
      <c r="I16" s="67"/>
      <c r="T16" s="67"/>
      <c r="U16" s="67"/>
      <c r="V16" s="67"/>
      <c r="W16" s="68"/>
    </row>
    <row r="17" spans="1:23" ht="13.5" thickBot="1" x14ac:dyDescent="0.25">
      <c r="A17" s="69" t="s">
        <v>220</v>
      </c>
      <c r="B17" s="70" t="s">
        <v>212</v>
      </c>
      <c r="C17" s="70" t="s">
        <v>213</v>
      </c>
      <c r="D17" s="70" t="s">
        <v>221</v>
      </c>
      <c r="E17" s="72"/>
      <c r="F17" s="72"/>
      <c r="G17" s="495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211</v>
      </c>
      <c r="B18" s="58" t="s">
        <v>212</v>
      </c>
      <c r="C18" s="58" t="s">
        <v>213</v>
      </c>
      <c r="D18" s="58" t="s">
        <v>223</v>
      </c>
      <c r="E18" s="60"/>
      <c r="F18" s="60"/>
      <c r="G18" s="493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215</v>
      </c>
      <c r="B19" s="65" t="s">
        <v>212</v>
      </c>
      <c r="C19" s="65" t="s">
        <v>213</v>
      </c>
      <c r="D19" s="65" t="s">
        <v>223</v>
      </c>
      <c r="G19" s="494"/>
      <c r="T19" s="67"/>
      <c r="U19" s="67"/>
      <c r="V19" s="67"/>
      <c r="W19" s="68"/>
    </row>
    <row r="20" spans="1:23" x14ac:dyDescent="0.2">
      <c r="A20" s="64" t="s">
        <v>216</v>
      </c>
      <c r="B20" s="65" t="s">
        <v>212</v>
      </c>
      <c r="C20" s="65" t="s">
        <v>213</v>
      </c>
      <c r="D20" s="65" t="s">
        <v>223</v>
      </c>
      <c r="G20" s="494"/>
      <c r="T20" s="67"/>
      <c r="U20" s="67"/>
      <c r="V20" s="67"/>
      <c r="W20" s="68"/>
    </row>
    <row r="21" spans="1:23" x14ac:dyDescent="0.2">
      <c r="A21" s="64" t="s">
        <v>217</v>
      </c>
      <c r="B21" s="65" t="s">
        <v>212</v>
      </c>
      <c r="C21" s="65" t="s">
        <v>213</v>
      </c>
      <c r="D21" s="65" t="s">
        <v>223</v>
      </c>
      <c r="G21" s="494"/>
      <c r="T21" s="67"/>
      <c r="U21" s="67"/>
      <c r="V21" s="67"/>
      <c r="W21" s="68"/>
    </row>
    <row r="22" spans="1:23" x14ac:dyDescent="0.2">
      <c r="A22" s="64" t="s">
        <v>218</v>
      </c>
      <c r="B22" s="65" t="s">
        <v>212</v>
      </c>
      <c r="C22" s="65" t="s">
        <v>213</v>
      </c>
      <c r="D22" s="65" t="s">
        <v>223</v>
      </c>
      <c r="G22" s="494"/>
      <c r="T22" s="67">
        <v>10871466.066474997</v>
      </c>
      <c r="U22" s="67"/>
      <c r="V22" s="67"/>
      <c r="W22" s="68"/>
    </row>
    <row r="23" spans="1:23" x14ac:dyDescent="0.2">
      <c r="A23" s="64" t="s">
        <v>219</v>
      </c>
      <c r="B23" s="65" t="s">
        <v>212</v>
      </c>
      <c r="C23" s="65" t="s">
        <v>213</v>
      </c>
      <c r="D23" s="65" t="s">
        <v>223</v>
      </c>
      <c r="G23" s="494"/>
      <c r="W23" s="68"/>
    </row>
    <row r="24" spans="1:23" ht="13.5" thickBot="1" x14ac:dyDescent="0.25">
      <c r="A24" s="69" t="s">
        <v>220</v>
      </c>
      <c r="B24" s="70" t="s">
        <v>212</v>
      </c>
      <c r="C24" s="70" t="s">
        <v>213</v>
      </c>
      <c r="D24" s="70" t="s">
        <v>223</v>
      </c>
      <c r="E24" s="72"/>
      <c r="F24" s="72"/>
      <c r="G24" s="495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211</v>
      </c>
      <c r="B25" s="58" t="s">
        <v>212</v>
      </c>
      <c r="C25" s="58" t="s">
        <v>224</v>
      </c>
      <c r="D25" s="58" t="s">
        <v>224</v>
      </c>
      <c r="E25" s="60"/>
      <c r="F25" s="60"/>
      <c r="G25" s="493">
        <v>2</v>
      </c>
      <c r="H25" s="60"/>
      <c r="I25" s="60"/>
      <c r="J25" s="60"/>
      <c r="K25" s="110" t="s">
        <v>225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217</v>
      </c>
      <c r="B26" s="65" t="s">
        <v>212</v>
      </c>
      <c r="C26" s="65" t="s">
        <v>224</v>
      </c>
      <c r="D26" s="65" t="s">
        <v>224</v>
      </c>
      <c r="G26" s="494"/>
      <c r="K26" s="111" t="s">
        <v>226</v>
      </c>
      <c r="N26" s="80"/>
      <c r="W26" s="68"/>
    </row>
    <row r="27" spans="1:23" x14ac:dyDescent="0.2">
      <c r="A27" s="64" t="s">
        <v>215</v>
      </c>
      <c r="B27" s="65" t="s">
        <v>212</v>
      </c>
      <c r="C27" s="65" t="s">
        <v>224</v>
      </c>
      <c r="D27" s="65" t="s">
        <v>224</v>
      </c>
      <c r="G27" s="494"/>
      <c r="K27" s="111" t="s">
        <v>227</v>
      </c>
      <c r="N27" s="80"/>
      <c r="W27" s="68"/>
    </row>
    <row r="28" spans="1:23" x14ac:dyDescent="0.2">
      <c r="A28" s="64" t="s">
        <v>219</v>
      </c>
      <c r="B28" s="65" t="s">
        <v>212</v>
      </c>
      <c r="C28" s="65" t="s">
        <v>224</v>
      </c>
      <c r="D28" s="65" t="s">
        <v>224</v>
      </c>
      <c r="G28" s="494"/>
      <c r="K28" s="111" t="s">
        <v>228</v>
      </c>
      <c r="N28" s="80"/>
      <c r="W28" s="68"/>
    </row>
    <row r="29" spans="1:23" x14ac:dyDescent="0.2">
      <c r="A29" s="64" t="s">
        <v>218</v>
      </c>
      <c r="B29" s="65" t="s">
        <v>212</v>
      </c>
      <c r="C29" s="65" t="s">
        <v>224</v>
      </c>
      <c r="D29" s="65" t="s">
        <v>224</v>
      </c>
      <c r="G29" s="494"/>
      <c r="K29" s="111" t="s">
        <v>229</v>
      </c>
      <c r="N29" s="80"/>
      <c r="W29" s="68"/>
    </row>
    <row r="30" spans="1:23" x14ac:dyDescent="0.2">
      <c r="A30" s="64" t="s">
        <v>220</v>
      </c>
      <c r="B30" s="65" t="s">
        <v>212</v>
      </c>
      <c r="C30" s="65" t="s">
        <v>224</v>
      </c>
      <c r="D30" s="65" t="s">
        <v>224</v>
      </c>
      <c r="G30" s="494"/>
      <c r="K30" s="111" t="s">
        <v>230</v>
      </c>
      <c r="N30" s="80"/>
      <c r="W30" s="68"/>
    </row>
    <row r="31" spans="1:23" ht="13.5" thickBot="1" x14ac:dyDescent="0.25">
      <c r="A31" s="69" t="s">
        <v>216</v>
      </c>
      <c r="B31" s="70" t="s">
        <v>212</v>
      </c>
      <c r="C31" s="70" t="s">
        <v>224</v>
      </c>
      <c r="D31" s="70" t="s">
        <v>224</v>
      </c>
      <c r="G31" s="495"/>
      <c r="K31" s="111" t="s">
        <v>231</v>
      </c>
      <c r="N31" s="80"/>
      <c r="W31" s="68"/>
    </row>
    <row r="32" spans="1:23" x14ac:dyDescent="0.2">
      <c r="A32" s="57" t="s">
        <v>211</v>
      </c>
      <c r="B32" s="58" t="s">
        <v>212</v>
      </c>
      <c r="C32" s="58" t="s">
        <v>213</v>
      </c>
      <c r="D32" s="58" t="s">
        <v>232</v>
      </c>
      <c r="E32" s="60"/>
      <c r="F32" s="60"/>
      <c r="G32" s="493">
        <v>3</v>
      </c>
      <c r="H32" s="60"/>
      <c r="I32" s="60"/>
      <c r="J32" s="60" t="s">
        <v>233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217</v>
      </c>
      <c r="B33" s="65" t="s">
        <v>212</v>
      </c>
      <c r="C33" s="65" t="s">
        <v>213</v>
      </c>
      <c r="D33" s="65" t="s">
        <v>232</v>
      </c>
      <c r="G33" s="494"/>
      <c r="J33" s="63" t="s">
        <v>234</v>
      </c>
      <c r="K33" s="67"/>
      <c r="N33" s="67"/>
      <c r="W33" s="68"/>
    </row>
    <row r="34" spans="1:23" ht="14.45" customHeight="1" x14ac:dyDescent="0.2">
      <c r="A34" s="64" t="s">
        <v>215</v>
      </c>
      <c r="B34" s="65" t="s">
        <v>212</v>
      </c>
      <c r="C34" s="65" t="s">
        <v>213</v>
      </c>
      <c r="D34" s="65" t="s">
        <v>232</v>
      </c>
      <c r="G34" s="494"/>
      <c r="J34" s="63" t="s">
        <v>235</v>
      </c>
      <c r="K34" s="67"/>
      <c r="N34" s="67"/>
      <c r="W34" s="68"/>
    </row>
    <row r="35" spans="1:23" ht="14.45" customHeight="1" x14ac:dyDescent="0.2">
      <c r="A35" s="64" t="s">
        <v>219</v>
      </c>
      <c r="B35" s="65" t="s">
        <v>212</v>
      </c>
      <c r="C35" s="65" t="s">
        <v>213</v>
      </c>
      <c r="D35" s="65" t="s">
        <v>232</v>
      </c>
      <c r="G35" s="494"/>
      <c r="J35" s="63" t="s">
        <v>236</v>
      </c>
      <c r="K35" s="67"/>
      <c r="N35" s="67"/>
      <c r="W35" s="68"/>
    </row>
    <row r="36" spans="1:23" ht="14.45" customHeight="1" x14ac:dyDescent="0.2">
      <c r="A36" s="64" t="s">
        <v>218</v>
      </c>
      <c r="B36" s="65" t="s">
        <v>212</v>
      </c>
      <c r="C36" s="65" t="s">
        <v>213</v>
      </c>
      <c r="D36" s="65" t="s">
        <v>232</v>
      </c>
      <c r="G36" s="494"/>
      <c r="J36" s="63" t="s">
        <v>237</v>
      </c>
      <c r="K36" s="67"/>
      <c r="N36" s="67"/>
      <c r="W36" s="68"/>
    </row>
    <row r="37" spans="1:23" ht="14.45" customHeight="1" x14ac:dyDescent="0.2">
      <c r="A37" s="64" t="s">
        <v>220</v>
      </c>
      <c r="B37" s="65" t="s">
        <v>212</v>
      </c>
      <c r="C37" s="65" t="s">
        <v>213</v>
      </c>
      <c r="D37" s="65" t="s">
        <v>232</v>
      </c>
      <c r="G37" s="494"/>
      <c r="J37" s="63" t="s">
        <v>238</v>
      </c>
      <c r="K37" s="67"/>
      <c r="N37" s="67"/>
      <c r="W37" s="68"/>
    </row>
    <row r="38" spans="1:23" ht="15" customHeight="1" thickBot="1" x14ac:dyDescent="0.25">
      <c r="A38" s="69" t="s">
        <v>216</v>
      </c>
      <c r="B38" s="70" t="s">
        <v>212</v>
      </c>
      <c r="C38" s="70" t="s">
        <v>213</v>
      </c>
      <c r="D38" s="70" t="s">
        <v>232</v>
      </c>
      <c r="E38" s="72"/>
      <c r="F38" s="72"/>
      <c r="G38" s="495"/>
      <c r="H38" s="72"/>
      <c r="I38" s="72"/>
      <c r="J38" s="72" t="s">
        <v>239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211</v>
      </c>
      <c r="B40" s="82" t="s">
        <v>212</v>
      </c>
      <c r="C40" s="83" t="s">
        <v>240</v>
      </c>
      <c r="D40" s="84" t="s">
        <v>241</v>
      </c>
      <c r="E40" s="496">
        <v>1</v>
      </c>
      <c r="F40" s="498">
        <v>1</v>
      </c>
      <c r="G40" s="498">
        <f>3+6+5</f>
        <v>14</v>
      </c>
      <c r="H40" s="498">
        <v>1</v>
      </c>
      <c r="I40" s="60"/>
      <c r="J40" s="60"/>
      <c r="K40" s="60"/>
      <c r="L40" s="60"/>
      <c r="M40" s="85" t="s">
        <v>242</v>
      </c>
      <c r="N40" s="85" t="s">
        <v>243</v>
      </c>
      <c r="O40" s="85" t="s">
        <v>244</v>
      </c>
      <c r="P40" s="85" t="s">
        <v>245</v>
      </c>
      <c r="Q40" s="85" t="s">
        <v>246</v>
      </c>
      <c r="R40" s="85" t="s">
        <v>247</v>
      </c>
      <c r="S40" s="85" t="s">
        <v>248</v>
      </c>
      <c r="T40" s="86">
        <v>4949280.3224000009</v>
      </c>
      <c r="U40" s="87">
        <v>7525095.1177149983</v>
      </c>
      <c r="V40" s="88" t="s">
        <v>233</v>
      </c>
      <c r="W40" s="89" t="s">
        <v>225</v>
      </c>
    </row>
    <row r="41" spans="1:23" ht="14.25" x14ac:dyDescent="0.25">
      <c r="A41" s="90" t="s">
        <v>217</v>
      </c>
      <c r="B41" s="76" t="s">
        <v>212</v>
      </c>
      <c r="C41" s="77" t="s">
        <v>240</v>
      </c>
      <c r="D41" s="78" t="s">
        <v>241</v>
      </c>
      <c r="E41" s="497"/>
      <c r="F41" s="499"/>
      <c r="G41" s="499"/>
      <c r="H41" s="499"/>
      <c r="M41" s="92" t="s">
        <v>249</v>
      </c>
      <c r="N41" s="92" t="s">
        <v>250</v>
      </c>
      <c r="O41" s="92" t="s">
        <v>251</v>
      </c>
      <c r="P41" s="92" t="s">
        <v>252</v>
      </c>
      <c r="Q41" s="93"/>
      <c r="R41" s="92" t="s">
        <v>253</v>
      </c>
      <c r="S41" s="92" t="s">
        <v>254</v>
      </c>
      <c r="T41" s="94">
        <v>5107980.7902099984</v>
      </c>
      <c r="U41" s="95">
        <v>4652289.220265002</v>
      </c>
      <c r="V41" s="96" t="s">
        <v>234</v>
      </c>
      <c r="W41" s="97" t="s">
        <v>226</v>
      </c>
    </row>
    <row r="42" spans="1:23" ht="15" x14ac:dyDescent="0.25">
      <c r="A42" s="90" t="s">
        <v>215</v>
      </c>
      <c r="B42" s="76" t="s">
        <v>212</v>
      </c>
      <c r="C42" s="77" t="s">
        <v>240</v>
      </c>
      <c r="D42" s="78" t="s">
        <v>255</v>
      </c>
      <c r="E42" s="497">
        <v>1</v>
      </c>
      <c r="F42" s="499">
        <v>1</v>
      </c>
      <c r="G42" s="499">
        <f>3+7+5</f>
        <v>15</v>
      </c>
      <c r="H42" s="499">
        <v>1</v>
      </c>
      <c r="M42" s="98" t="s">
        <v>256</v>
      </c>
      <c r="N42" s="98" t="s">
        <v>257</v>
      </c>
      <c r="O42" s="98" t="s">
        <v>258</v>
      </c>
      <c r="P42" s="98" t="s">
        <v>259</v>
      </c>
      <c r="Q42" s="98" t="s">
        <v>260</v>
      </c>
      <c r="R42" s="98" t="s">
        <v>261</v>
      </c>
      <c r="S42" s="98" t="s">
        <v>262</v>
      </c>
      <c r="T42" s="94">
        <v>6873316.6727850009</v>
      </c>
      <c r="U42" s="94">
        <v>6228517.7171600079</v>
      </c>
      <c r="V42" s="99" t="s">
        <v>235</v>
      </c>
      <c r="W42" s="100" t="s">
        <v>227</v>
      </c>
    </row>
    <row r="43" spans="1:23" ht="15" x14ac:dyDescent="0.25">
      <c r="A43" s="90" t="s">
        <v>219</v>
      </c>
      <c r="B43" s="76" t="s">
        <v>212</v>
      </c>
      <c r="C43" s="77" t="s">
        <v>240</v>
      </c>
      <c r="D43" s="78" t="s">
        <v>255</v>
      </c>
      <c r="E43" s="497"/>
      <c r="F43" s="499"/>
      <c r="G43" s="499"/>
      <c r="H43" s="499"/>
      <c r="M43" s="98" t="s">
        <v>263</v>
      </c>
      <c r="N43" s="98" t="s">
        <v>264</v>
      </c>
      <c r="O43" s="98" t="s">
        <v>265</v>
      </c>
      <c r="P43" s="98" t="s">
        <v>266</v>
      </c>
      <c r="Q43" s="98" t="s">
        <v>267</v>
      </c>
      <c r="R43" s="98" t="s">
        <v>268</v>
      </c>
      <c r="S43" s="98" t="s">
        <v>269</v>
      </c>
      <c r="T43" s="94">
        <v>10034239.804695001</v>
      </c>
      <c r="U43" s="94">
        <v>8145170.3789650053</v>
      </c>
      <c r="V43" s="99" t="s">
        <v>236</v>
      </c>
      <c r="W43" s="100" t="s">
        <v>228</v>
      </c>
    </row>
    <row r="44" spans="1:23" ht="15" x14ac:dyDescent="0.25">
      <c r="A44" s="90" t="s">
        <v>218</v>
      </c>
      <c r="B44" s="76" t="s">
        <v>212</v>
      </c>
      <c r="C44" s="77" t="s">
        <v>240</v>
      </c>
      <c r="D44" s="78" t="s">
        <v>270</v>
      </c>
      <c r="E44" s="91">
        <v>1</v>
      </c>
      <c r="F44" s="91">
        <v>1</v>
      </c>
      <c r="G44" s="91">
        <f>8+5</f>
        <v>13</v>
      </c>
      <c r="H44" s="91"/>
      <c r="M44" s="92" t="s">
        <v>271</v>
      </c>
      <c r="N44" s="93"/>
      <c r="O44" s="92" t="s">
        <v>272</v>
      </c>
      <c r="P44" s="92" t="s">
        <v>273</v>
      </c>
      <c r="Q44" s="92" t="s">
        <v>274</v>
      </c>
      <c r="R44" s="92" t="s">
        <v>275</v>
      </c>
      <c r="S44" s="98" t="s">
        <v>276</v>
      </c>
      <c r="T44" s="94">
        <v>3407072.5562050003</v>
      </c>
      <c r="U44" s="94">
        <v>10871466.066474997</v>
      </c>
      <c r="V44" s="96" t="s">
        <v>237</v>
      </c>
      <c r="W44" s="97" t="s">
        <v>229</v>
      </c>
    </row>
    <row r="45" spans="1:23" ht="15" x14ac:dyDescent="0.25">
      <c r="A45" s="90" t="s">
        <v>220</v>
      </c>
      <c r="B45" s="76" t="s">
        <v>212</v>
      </c>
      <c r="C45" s="77" t="s">
        <v>240</v>
      </c>
      <c r="D45" s="78" t="s">
        <v>277</v>
      </c>
      <c r="E45" s="497">
        <v>1</v>
      </c>
      <c r="F45" s="499">
        <v>1</v>
      </c>
      <c r="G45" s="499">
        <f>6+7+5</f>
        <v>18</v>
      </c>
      <c r="H45" s="499">
        <v>1</v>
      </c>
      <c r="M45" s="98" t="s">
        <v>278</v>
      </c>
      <c r="N45" s="93"/>
      <c r="O45" s="98" t="s">
        <v>279</v>
      </c>
      <c r="P45" s="98" t="s">
        <v>280</v>
      </c>
      <c r="Q45" s="93"/>
      <c r="R45" s="98" t="s">
        <v>281</v>
      </c>
      <c r="S45" s="98" t="s">
        <v>282</v>
      </c>
      <c r="T45" s="94">
        <v>5311641.5904900022</v>
      </c>
      <c r="U45" s="94">
        <v>4915084.4348050067</v>
      </c>
      <c r="V45" s="99" t="s">
        <v>238</v>
      </c>
      <c r="W45" s="100" t="s">
        <v>230</v>
      </c>
    </row>
    <row r="46" spans="1:23" ht="15.75" thickBot="1" x14ac:dyDescent="0.3">
      <c r="A46" s="101" t="s">
        <v>216</v>
      </c>
      <c r="B46" s="102" t="s">
        <v>212</v>
      </c>
      <c r="C46" s="103" t="s">
        <v>240</v>
      </c>
      <c r="D46" s="104" t="s">
        <v>277</v>
      </c>
      <c r="E46" s="501"/>
      <c r="F46" s="500"/>
      <c r="G46" s="500"/>
      <c r="H46" s="500"/>
      <c r="I46" s="72"/>
      <c r="J46" s="72"/>
      <c r="K46" s="72"/>
      <c r="L46" s="72"/>
      <c r="M46" s="105" t="s">
        <v>283</v>
      </c>
      <c r="N46" s="105" t="s">
        <v>284</v>
      </c>
      <c r="O46" s="105" t="s">
        <v>285</v>
      </c>
      <c r="P46" s="105" t="s">
        <v>286</v>
      </c>
      <c r="Q46" s="106"/>
      <c r="R46" s="105" t="s">
        <v>287</v>
      </c>
      <c r="S46" s="105" t="s">
        <v>288</v>
      </c>
      <c r="T46" s="107">
        <v>4982754.1381299971</v>
      </c>
      <c r="U46" s="107">
        <v>7782643.7787800003</v>
      </c>
      <c r="V46" s="108" t="s">
        <v>239</v>
      </c>
      <c r="W46" s="109" t="s">
        <v>231</v>
      </c>
    </row>
  </sheetData>
  <mergeCells count="21">
    <mergeCell ref="E42:E43"/>
    <mergeCell ref="F42:F43"/>
    <mergeCell ref="G42:G43"/>
    <mergeCell ref="H42:H43"/>
    <mergeCell ref="H45:H46"/>
    <mergeCell ref="G45:G46"/>
    <mergeCell ref="F45:F46"/>
    <mergeCell ref="E45:E46"/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</mergeCells>
  <phoneticPr fontId="10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O282"/>
  <sheetViews>
    <sheetView tabSelected="1" zoomScale="70" zoomScaleNormal="70" workbookViewId="0">
      <selection activeCell="F252" sqref="F252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1.28515625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2" width="10.28515625" bestFit="1" customWidth="1"/>
    <col min="13" max="13" width="17.7109375" customWidth="1"/>
    <col min="14" max="14" width="12.28515625" bestFit="1" customWidth="1"/>
    <col min="15" max="15" width="12.5703125" bestFit="1" customWidth="1"/>
  </cols>
  <sheetData>
    <row r="1" spans="1:15" ht="30" x14ac:dyDescent="0.25">
      <c r="A1" s="461" t="s">
        <v>0</v>
      </c>
      <c r="B1" s="461" t="s">
        <v>1</v>
      </c>
      <c r="C1" s="461" t="s">
        <v>2</v>
      </c>
      <c r="D1" s="461" t="s">
        <v>3</v>
      </c>
      <c r="E1" s="461" t="s">
        <v>4</v>
      </c>
      <c r="F1" s="461" t="s">
        <v>5</v>
      </c>
      <c r="G1" s="461" t="s">
        <v>6</v>
      </c>
      <c r="H1" s="461" t="s">
        <v>628</v>
      </c>
      <c r="I1" s="337" t="s">
        <v>290</v>
      </c>
      <c r="J1" s="337" t="s">
        <v>294</v>
      </c>
      <c r="K1" s="337" t="s">
        <v>295</v>
      </c>
      <c r="L1" s="337" t="s">
        <v>296</v>
      </c>
      <c r="M1" s="337" t="s">
        <v>299</v>
      </c>
      <c r="N1" s="478" t="s">
        <v>627</v>
      </c>
      <c r="O1" s="482" t="s">
        <v>630</v>
      </c>
    </row>
    <row r="2" spans="1:15" hidden="1" x14ac:dyDescent="0.25">
      <c r="A2" s="462" t="s">
        <v>7</v>
      </c>
      <c r="B2" s="462" t="s">
        <v>8</v>
      </c>
      <c r="C2" s="462" t="s">
        <v>9</v>
      </c>
      <c r="D2" s="475" t="s">
        <v>624</v>
      </c>
      <c r="E2" s="462" t="s">
        <v>10</v>
      </c>
      <c r="F2" s="462" t="s">
        <v>327</v>
      </c>
      <c r="G2" s="462" t="s">
        <v>11</v>
      </c>
      <c r="H2" s="462" t="s">
        <v>291</v>
      </c>
      <c r="I2" s="462">
        <v>0</v>
      </c>
      <c r="J2" s="25">
        <v>2268781.3500000006</v>
      </c>
      <c r="K2" s="25">
        <v>136413.45000000112</v>
      </c>
      <c r="L2" s="462">
        <v>127215934.90000001</v>
      </c>
      <c r="M2" s="462">
        <v>0</v>
      </c>
      <c r="N2" s="462">
        <f>SUM(K2,L2)</f>
        <v>127352348.35000001</v>
      </c>
      <c r="O2" s="130">
        <f>SUM(I2:L2)</f>
        <v>129621129.7</v>
      </c>
    </row>
    <row r="3" spans="1:15" hidden="1" x14ac:dyDescent="0.25">
      <c r="A3" s="462" t="s">
        <v>7</v>
      </c>
      <c r="B3" s="462" t="s">
        <v>8</v>
      </c>
      <c r="C3" s="462" t="s">
        <v>9</v>
      </c>
      <c r="D3" s="475" t="s">
        <v>624</v>
      </c>
      <c r="E3" s="462" t="s">
        <v>12</v>
      </c>
      <c r="F3" s="476" t="s">
        <v>331</v>
      </c>
      <c r="G3" s="462" t="s">
        <v>11</v>
      </c>
      <c r="H3" s="462" t="s">
        <v>291</v>
      </c>
      <c r="I3" s="462">
        <v>0</v>
      </c>
      <c r="J3" s="462">
        <v>0</v>
      </c>
      <c r="K3" s="462">
        <v>1744006.16</v>
      </c>
      <c r="L3" s="462">
        <v>157217318.80000001</v>
      </c>
      <c r="M3" s="462">
        <v>0</v>
      </c>
      <c r="N3" s="462">
        <f t="shared" ref="N3:N66" si="0">SUM(K3,L3)</f>
        <v>158961324.96000001</v>
      </c>
      <c r="O3" s="130">
        <f t="shared" ref="O3:O66" si="1">SUM(I3:L3)</f>
        <v>158961324.96000001</v>
      </c>
    </row>
    <row r="4" spans="1:15" hidden="1" x14ac:dyDescent="0.25">
      <c r="A4" s="462" t="s">
        <v>7</v>
      </c>
      <c r="B4" s="462" t="s">
        <v>8</v>
      </c>
      <c r="C4" s="462" t="s">
        <v>13</v>
      </c>
      <c r="D4" s="476" t="s">
        <v>323</v>
      </c>
      <c r="E4" s="462" t="s">
        <v>14</v>
      </c>
      <c r="F4" s="476" t="s">
        <v>324</v>
      </c>
      <c r="G4" s="462" t="s">
        <v>15</v>
      </c>
      <c r="H4" s="462" t="s">
        <v>291</v>
      </c>
      <c r="I4" s="25">
        <v>75907049.919999987</v>
      </c>
      <c r="J4" s="462">
        <v>63612259.850000001</v>
      </c>
      <c r="K4" s="462">
        <v>5012032.3600000003</v>
      </c>
      <c r="L4" s="462">
        <v>315093042.80000001</v>
      </c>
      <c r="M4" s="462">
        <v>0</v>
      </c>
      <c r="N4" s="462">
        <f t="shared" si="0"/>
        <v>320105075.16000003</v>
      </c>
      <c r="O4" s="130">
        <f t="shared" si="1"/>
        <v>459624384.93000001</v>
      </c>
    </row>
    <row r="5" spans="1:15" hidden="1" x14ac:dyDescent="0.25">
      <c r="A5" s="462" t="s">
        <v>7</v>
      </c>
      <c r="B5" s="462" t="s">
        <v>8</v>
      </c>
      <c r="C5" s="462" t="s">
        <v>13</v>
      </c>
      <c r="D5" s="476" t="s">
        <v>323</v>
      </c>
      <c r="E5" s="462" t="s">
        <v>16</v>
      </c>
      <c r="F5" s="475" t="s">
        <v>329</v>
      </c>
      <c r="G5" s="462" t="s">
        <v>15</v>
      </c>
      <c r="H5" s="462" t="s">
        <v>291</v>
      </c>
      <c r="I5" s="25">
        <v>0</v>
      </c>
      <c r="J5" s="462">
        <v>43720409.619999997</v>
      </c>
      <c r="K5" s="462">
        <v>117420382.90000001</v>
      </c>
      <c r="L5" s="462">
        <v>245004504.69999999</v>
      </c>
      <c r="M5" s="25">
        <v>3208724.3721000003</v>
      </c>
      <c r="N5" s="462">
        <f t="shared" si="0"/>
        <v>362424887.60000002</v>
      </c>
      <c r="O5" s="130">
        <f t="shared" si="1"/>
        <v>406145297.22000003</v>
      </c>
    </row>
    <row r="6" spans="1:15" hidden="1" x14ac:dyDescent="0.25">
      <c r="A6" s="462" t="s">
        <v>7</v>
      </c>
      <c r="B6" s="462" t="s">
        <v>17</v>
      </c>
      <c r="C6" s="462" t="s">
        <v>9</v>
      </c>
      <c r="D6" s="475" t="s">
        <v>624</v>
      </c>
      <c r="E6" s="462" t="s">
        <v>10</v>
      </c>
      <c r="F6" s="476" t="s">
        <v>327</v>
      </c>
      <c r="G6" s="462" t="s">
        <v>11</v>
      </c>
      <c r="H6" s="462" t="s">
        <v>291</v>
      </c>
      <c r="I6" s="25">
        <v>19446886.789999954</v>
      </c>
      <c r="J6" s="462">
        <v>0</v>
      </c>
      <c r="K6" s="462">
        <v>0</v>
      </c>
      <c r="L6" s="462">
        <v>30801929.390000001</v>
      </c>
      <c r="M6" s="462">
        <v>0</v>
      </c>
      <c r="N6" s="462">
        <f t="shared" si="0"/>
        <v>30801929.390000001</v>
      </c>
      <c r="O6" s="130">
        <f t="shared" si="1"/>
        <v>50248816.179999955</v>
      </c>
    </row>
    <row r="7" spans="1:15" hidden="1" x14ac:dyDescent="0.25">
      <c r="A7" s="462" t="s">
        <v>7</v>
      </c>
      <c r="B7" s="462" t="s">
        <v>18</v>
      </c>
      <c r="C7" s="462" t="s">
        <v>9</v>
      </c>
      <c r="D7" s="475" t="s">
        <v>624</v>
      </c>
      <c r="E7" s="462" t="s">
        <v>19</v>
      </c>
      <c r="F7" s="476" t="s">
        <v>596</v>
      </c>
      <c r="G7" s="462" t="s">
        <v>11</v>
      </c>
      <c r="H7" s="462" t="s">
        <v>291</v>
      </c>
      <c r="I7" s="462">
        <v>0</v>
      </c>
      <c r="J7" s="462">
        <v>0</v>
      </c>
      <c r="K7" s="462">
        <v>0</v>
      </c>
      <c r="L7" s="462">
        <v>0</v>
      </c>
      <c r="M7" s="462">
        <v>0</v>
      </c>
      <c r="N7" s="462">
        <f t="shared" si="0"/>
        <v>0</v>
      </c>
      <c r="O7" s="130">
        <f t="shared" si="1"/>
        <v>0</v>
      </c>
    </row>
    <row r="8" spans="1:15" hidden="1" x14ac:dyDescent="0.25">
      <c r="A8" s="462" t="s">
        <v>7</v>
      </c>
      <c r="B8" s="462" t="s">
        <v>20</v>
      </c>
      <c r="C8" s="462" t="s">
        <v>9</v>
      </c>
      <c r="D8" s="475" t="s">
        <v>624</v>
      </c>
      <c r="E8" s="462" t="s">
        <v>10</v>
      </c>
      <c r="F8" s="476" t="s">
        <v>327</v>
      </c>
      <c r="G8" s="462" t="s">
        <v>11</v>
      </c>
      <c r="H8" s="462" t="s">
        <v>291</v>
      </c>
      <c r="I8" s="462"/>
      <c r="J8" s="462"/>
      <c r="K8" s="25">
        <v>50540.084999999999</v>
      </c>
      <c r="L8" s="462">
        <v>61625116.969999999</v>
      </c>
      <c r="M8" s="462"/>
      <c r="N8" s="462">
        <f t="shared" si="0"/>
        <v>61675657.055</v>
      </c>
      <c r="O8" s="130">
        <f t="shared" si="1"/>
        <v>61675657.055</v>
      </c>
    </row>
    <row r="9" spans="1:15" hidden="1" x14ac:dyDescent="0.25">
      <c r="A9" s="462" t="s">
        <v>7</v>
      </c>
      <c r="B9" s="462" t="s">
        <v>21</v>
      </c>
      <c r="C9" s="462" t="s">
        <v>9</v>
      </c>
      <c r="D9" s="475" t="s">
        <v>624</v>
      </c>
      <c r="E9" s="462" t="s">
        <v>19</v>
      </c>
      <c r="F9" s="476" t="s">
        <v>319</v>
      </c>
      <c r="G9" s="462" t="s">
        <v>11</v>
      </c>
      <c r="H9" s="462" t="s">
        <v>291</v>
      </c>
      <c r="I9" s="25">
        <v>26291849.469999973</v>
      </c>
      <c r="J9" s="25">
        <v>63562247.979999989</v>
      </c>
      <c r="K9" s="462">
        <v>302517.58</v>
      </c>
      <c r="L9" s="462">
        <v>79663895.409999996</v>
      </c>
      <c r="M9" s="25">
        <v>650000</v>
      </c>
      <c r="N9" s="462">
        <f t="shared" si="0"/>
        <v>79966412.989999995</v>
      </c>
      <c r="O9" s="130">
        <f t="shared" si="1"/>
        <v>169820510.43999994</v>
      </c>
    </row>
    <row r="10" spans="1:15" hidden="1" x14ac:dyDescent="0.25">
      <c r="A10" s="462" t="s">
        <v>7</v>
      </c>
      <c r="B10" s="534" t="s">
        <v>22</v>
      </c>
      <c r="C10" s="462" t="s">
        <v>9</v>
      </c>
      <c r="D10" s="475" t="s">
        <v>624</v>
      </c>
      <c r="E10" s="462" t="s">
        <v>19</v>
      </c>
      <c r="F10" s="476" t="s">
        <v>596</v>
      </c>
      <c r="G10" s="462" t="s">
        <v>11</v>
      </c>
      <c r="H10" s="462" t="s">
        <v>291</v>
      </c>
      <c r="I10" s="462">
        <v>5104759.79</v>
      </c>
      <c r="J10" s="462">
        <v>0</v>
      </c>
      <c r="K10" s="462">
        <v>0</v>
      </c>
      <c r="L10" s="462">
        <v>95272387.730000004</v>
      </c>
      <c r="M10" s="462">
        <v>0</v>
      </c>
      <c r="N10" s="462">
        <f t="shared" si="0"/>
        <v>95272387.730000004</v>
      </c>
      <c r="O10" s="130">
        <f t="shared" si="1"/>
        <v>100377147.52000001</v>
      </c>
    </row>
    <row r="11" spans="1:15" hidden="1" x14ac:dyDescent="0.25">
      <c r="A11" s="462" t="s">
        <v>7</v>
      </c>
      <c r="B11" s="462" t="s">
        <v>23</v>
      </c>
      <c r="C11" s="462" t="s">
        <v>9</v>
      </c>
      <c r="D11" s="475" t="s">
        <v>624</v>
      </c>
      <c r="E11" s="462" t="s">
        <v>24</v>
      </c>
      <c r="F11" s="476" t="s">
        <v>326</v>
      </c>
      <c r="G11" s="462" t="s">
        <v>11</v>
      </c>
      <c r="H11" s="462" t="s">
        <v>291</v>
      </c>
      <c r="I11" s="25">
        <v>11608457.909999993</v>
      </c>
      <c r="J11" s="462"/>
      <c r="K11" s="462"/>
      <c r="L11" s="462">
        <v>36962573.619999997</v>
      </c>
      <c r="M11" s="462"/>
      <c r="N11" s="462">
        <f t="shared" si="0"/>
        <v>36962573.619999997</v>
      </c>
      <c r="O11" s="130">
        <f t="shared" si="1"/>
        <v>48571031.529999986</v>
      </c>
    </row>
    <row r="12" spans="1:15" hidden="1" x14ac:dyDescent="0.25">
      <c r="A12" s="462" t="s">
        <v>7</v>
      </c>
      <c r="B12" s="462" t="s">
        <v>25</v>
      </c>
      <c r="C12" s="462" t="s">
        <v>9</v>
      </c>
      <c r="D12" s="475" t="s">
        <v>624</v>
      </c>
      <c r="E12" s="462" t="s">
        <v>24</v>
      </c>
      <c r="F12" s="476" t="s">
        <v>326</v>
      </c>
      <c r="G12" s="462" t="s">
        <v>11</v>
      </c>
      <c r="H12" s="462" t="s">
        <v>291</v>
      </c>
      <c r="I12" s="25">
        <v>25568610.759999935</v>
      </c>
      <c r="J12" s="462"/>
      <c r="K12" s="462">
        <v>67690512.140000001</v>
      </c>
      <c r="L12" s="462">
        <v>108627056.8</v>
      </c>
      <c r="M12" s="462"/>
      <c r="N12" s="462">
        <f t="shared" si="0"/>
        <v>176317568.94</v>
      </c>
      <c r="O12" s="130">
        <f t="shared" si="1"/>
        <v>201886179.69999993</v>
      </c>
    </row>
    <row r="13" spans="1:15" hidden="1" x14ac:dyDescent="0.25">
      <c r="A13" s="462" t="s">
        <v>7</v>
      </c>
      <c r="B13" s="462" t="s">
        <v>26</v>
      </c>
      <c r="C13" s="462" t="s">
        <v>9</v>
      </c>
      <c r="D13" s="475" t="s">
        <v>624</v>
      </c>
      <c r="E13" s="462" t="s">
        <v>24</v>
      </c>
      <c r="F13" s="476" t="s">
        <v>326</v>
      </c>
      <c r="G13" s="462" t="s">
        <v>11</v>
      </c>
      <c r="H13" s="462" t="s">
        <v>291</v>
      </c>
      <c r="I13" s="25">
        <v>11122562.409999976</v>
      </c>
      <c r="J13" s="25">
        <v>0</v>
      </c>
      <c r="K13" s="462">
        <v>0</v>
      </c>
      <c r="L13" s="25">
        <v>27831061.140000023</v>
      </c>
      <c r="M13" s="462">
        <v>0</v>
      </c>
      <c r="N13" s="462">
        <f t="shared" si="0"/>
        <v>27831061.140000023</v>
      </c>
      <c r="O13" s="130">
        <f t="shared" si="1"/>
        <v>38953623.549999997</v>
      </c>
    </row>
    <row r="14" spans="1:15" hidden="1" x14ac:dyDescent="0.25">
      <c r="A14" s="462" t="s">
        <v>7</v>
      </c>
      <c r="B14" s="462" t="s">
        <v>27</v>
      </c>
      <c r="C14" s="462" t="s">
        <v>9</v>
      </c>
      <c r="D14" s="475" t="s">
        <v>624</v>
      </c>
      <c r="E14" s="462" t="s">
        <v>24</v>
      </c>
      <c r="F14" s="476" t="s">
        <v>326</v>
      </c>
      <c r="G14" s="462" t="s">
        <v>11</v>
      </c>
      <c r="H14" s="462" t="s">
        <v>291</v>
      </c>
      <c r="I14" s="25">
        <v>5516975.6900000079</v>
      </c>
      <c r="J14" s="462"/>
      <c r="K14" s="462"/>
      <c r="L14" s="462">
        <v>18268200.890000001</v>
      </c>
      <c r="M14" s="462"/>
      <c r="N14" s="462">
        <f t="shared" si="0"/>
        <v>18268200.890000001</v>
      </c>
      <c r="O14" s="130">
        <f t="shared" si="1"/>
        <v>23785176.580000009</v>
      </c>
    </row>
    <row r="15" spans="1:15" hidden="1" x14ac:dyDescent="0.25">
      <c r="A15" s="462" t="s">
        <v>28</v>
      </c>
      <c r="B15" s="462" t="s">
        <v>29</v>
      </c>
      <c r="C15" s="462" t="s">
        <v>30</v>
      </c>
      <c r="D15" s="462" t="s">
        <v>529</v>
      </c>
      <c r="E15" s="462" t="s">
        <v>31</v>
      </c>
      <c r="F15" s="476" t="s">
        <v>544</v>
      </c>
      <c r="G15" s="462" t="s">
        <v>32</v>
      </c>
      <c r="H15" s="462" t="s">
        <v>291</v>
      </c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62">
        <f t="shared" si="0"/>
        <v>0</v>
      </c>
      <c r="O15" s="130">
        <f t="shared" si="1"/>
        <v>406648369.12000012</v>
      </c>
    </row>
    <row r="16" spans="1:15" hidden="1" x14ac:dyDescent="0.25">
      <c r="A16" s="462" t="s">
        <v>28</v>
      </c>
      <c r="B16" s="462" t="s">
        <v>29</v>
      </c>
      <c r="C16" s="462" t="s">
        <v>30</v>
      </c>
      <c r="D16" s="462" t="s">
        <v>529</v>
      </c>
      <c r="E16" s="462" t="s">
        <v>33</v>
      </c>
      <c r="F16" s="476" t="s">
        <v>598</v>
      </c>
      <c r="G16" s="462" t="s">
        <v>32</v>
      </c>
      <c r="H16" s="462" t="s">
        <v>291</v>
      </c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62">
        <f t="shared" si="0"/>
        <v>111759035.80000001</v>
      </c>
      <c r="O16" s="130">
        <f t="shared" si="1"/>
        <v>408452876.06999999</v>
      </c>
    </row>
    <row r="17" spans="1:15" hidden="1" x14ac:dyDescent="0.25">
      <c r="A17" s="462" t="s">
        <v>28</v>
      </c>
      <c r="B17" s="462" t="s">
        <v>29</v>
      </c>
      <c r="C17" s="462" t="s">
        <v>30</v>
      </c>
      <c r="D17" s="462" t="s">
        <v>529</v>
      </c>
      <c r="E17" s="462" t="s">
        <v>34</v>
      </c>
      <c r="F17" s="476" t="s">
        <v>599</v>
      </c>
      <c r="G17" s="462" t="s">
        <v>32</v>
      </c>
      <c r="H17" s="462" t="s">
        <v>291</v>
      </c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62">
        <f t="shared" si="0"/>
        <v>39325747.579999991</v>
      </c>
      <c r="O17" s="130">
        <f t="shared" si="1"/>
        <v>71719192.549999982</v>
      </c>
    </row>
    <row r="18" spans="1:15" hidden="1" x14ac:dyDescent="0.25">
      <c r="A18" s="462" t="s">
        <v>28</v>
      </c>
      <c r="B18" s="462" t="s">
        <v>35</v>
      </c>
      <c r="C18" s="462" t="s">
        <v>30</v>
      </c>
      <c r="D18" s="462" t="s">
        <v>529</v>
      </c>
      <c r="E18" s="462" t="s">
        <v>34</v>
      </c>
      <c r="F18" s="476" t="s">
        <v>599</v>
      </c>
      <c r="G18" s="462" t="s">
        <v>32</v>
      </c>
      <c r="H18" s="462" t="s">
        <v>291</v>
      </c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62">
        <f t="shared" si="0"/>
        <v>20448323.419999998</v>
      </c>
      <c r="O18" s="130">
        <f t="shared" si="1"/>
        <v>22596866.189999998</v>
      </c>
    </row>
    <row r="19" spans="1:15" hidden="1" x14ac:dyDescent="0.25">
      <c r="A19" s="462" t="s">
        <v>28</v>
      </c>
      <c r="B19" s="468" t="s">
        <v>36</v>
      </c>
      <c r="C19" s="462" t="s">
        <v>30</v>
      </c>
      <c r="D19" s="462" t="s">
        <v>529</v>
      </c>
      <c r="E19" s="462" t="s">
        <v>34</v>
      </c>
      <c r="F19" s="476" t="s">
        <v>599</v>
      </c>
      <c r="G19" s="462" t="s">
        <v>32</v>
      </c>
      <c r="H19" s="462" t="s">
        <v>291</v>
      </c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62">
        <f t="shared" si="0"/>
        <v>53570395.209999986</v>
      </c>
      <c r="O19" s="130">
        <f t="shared" si="1"/>
        <v>112266314.60000001</v>
      </c>
    </row>
    <row r="20" spans="1:15" hidden="1" x14ac:dyDescent="0.25">
      <c r="A20" s="462" t="s">
        <v>28</v>
      </c>
      <c r="B20" s="468" t="s">
        <v>37</v>
      </c>
      <c r="C20" s="462" t="s">
        <v>30</v>
      </c>
      <c r="D20" s="462" t="s">
        <v>529</v>
      </c>
      <c r="E20" s="462" t="s">
        <v>33</v>
      </c>
      <c r="F20" s="476" t="s">
        <v>598</v>
      </c>
      <c r="G20" s="462" t="s">
        <v>32</v>
      </c>
      <c r="H20" s="462" t="s">
        <v>291</v>
      </c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62">
        <f t="shared" si="0"/>
        <v>77310675.520000011</v>
      </c>
      <c r="O20" s="130">
        <f t="shared" si="1"/>
        <v>80953358.600000024</v>
      </c>
    </row>
    <row r="21" spans="1:15" hidden="1" x14ac:dyDescent="0.25">
      <c r="A21" s="462" t="s">
        <v>28</v>
      </c>
      <c r="B21" s="468" t="s">
        <v>38</v>
      </c>
      <c r="C21" s="462" t="s">
        <v>30</v>
      </c>
      <c r="D21" s="462" t="s">
        <v>529</v>
      </c>
      <c r="E21" s="462" t="s">
        <v>31</v>
      </c>
      <c r="F21" s="476" t="s">
        <v>597</v>
      </c>
      <c r="G21" s="462" t="s">
        <v>32</v>
      </c>
      <c r="H21" s="462" t="s">
        <v>291</v>
      </c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62">
        <f t="shared" si="0"/>
        <v>5772236.169999999</v>
      </c>
      <c r="O21" s="130">
        <f t="shared" si="1"/>
        <v>5772236.169999999</v>
      </c>
    </row>
    <row r="22" spans="1:15" hidden="1" x14ac:dyDescent="0.25">
      <c r="A22" s="462" t="s">
        <v>28</v>
      </c>
      <c r="B22" s="468" t="s">
        <v>39</v>
      </c>
      <c r="C22" s="462" t="s">
        <v>30</v>
      </c>
      <c r="D22" s="462" t="s">
        <v>529</v>
      </c>
      <c r="E22" s="462" t="s">
        <v>40</v>
      </c>
      <c r="F22" s="476" t="s">
        <v>600</v>
      </c>
      <c r="G22" s="462" t="s">
        <v>41</v>
      </c>
      <c r="H22" s="462" t="s">
        <v>291</v>
      </c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/>
      <c r="N22" s="462">
        <f t="shared" si="0"/>
        <v>483071109.13</v>
      </c>
      <c r="O22" s="130">
        <f t="shared" si="1"/>
        <v>1179266416.52</v>
      </c>
    </row>
    <row r="23" spans="1:15" hidden="1" x14ac:dyDescent="0.25">
      <c r="A23" s="462" t="s">
        <v>28</v>
      </c>
      <c r="B23" s="468" t="s">
        <v>42</v>
      </c>
      <c r="C23" s="462" t="s">
        <v>43</v>
      </c>
      <c r="D23" s="462" t="s">
        <v>44</v>
      </c>
      <c r="E23" s="462" t="s">
        <v>45</v>
      </c>
      <c r="F23" s="476" t="s">
        <v>528</v>
      </c>
      <c r="G23" s="462" t="s">
        <v>46</v>
      </c>
      <c r="H23" s="462" t="s">
        <v>291</v>
      </c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62">
        <f t="shared" si="0"/>
        <v>56459824.24000001</v>
      </c>
      <c r="O23" s="130">
        <f t="shared" si="1"/>
        <v>56957753.120000012</v>
      </c>
    </row>
    <row r="24" spans="1:15" hidden="1" x14ac:dyDescent="0.25">
      <c r="A24" s="462" t="s">
        <v>28</v>
      </c>
      <c r="B24" s="468" t="s">
        <v>47</v>
      </c>
      <c r="C24" s="462" t="s">
        <v>43</v>
      </c>
      <c r="D24" s="462" t="s">
        <v>44</v>
      </c>
      <c r="E24" s="462" t="s">
        <v>45</v>
      </c>
      <c r="F24" s="476" t="s">
        <v>601</v>
      </c>
      <c r="G24" s="462" t="s">
        <v>46</v>
      </c>
      <c r="H24" s="462" t="s">
        <v>291</v>
      </c>
      <c r="I24" s="462"/>
      <c r="J24" s="462"/>
      <c r="K24" s="25">
        <v>154394419.58000001</v>
      </c>
      <c r="L24" s="462">
        <v>5942144.0700000003</v>
      </c>
      <c r="M24" s="462"/>
      <c r="N24" s="462">
        <f t="shared" si="0"/>
        <v>160336563.65000001</v>
      </c>
      <c r="O24" s="130">
        <f t="shared" si="1"/>
        <v>160336563.65000001</v>
      </c>
    </row>
    <row r="25" spans="1:15" hidden="1" x14ac:dyDescent="0.25">
      <c r="A25" s="462" t="s">
        <v>28</v>
      </c>
      <c r="B25" s="468" t="s">
        <v>48</v>
      </c>
      <c r="C25" s="462" t="s">
        <v>43</v>
      </c>
      <c r="D25" s="462" t="s">
        <v>44</v>
      </c>
      <c r="E25" s="462" t="s">
        <v>45</v>
      </c>
      <c r="F25" s="476" t="s">
        <v>528</v>
      </c>
      <c r="G25" s="462" t="s">
        <v>49</v>
      </c>
      <c r="H25" s="462" t="s">
        <v>291</v>
      </c>
      <c r="I25" s="462">
        <v>265124740</v>
      </c>
      <c r="J25" s="25">
        <v>1833537.3800000001</v>
      </c>
      <c r="K25" s="25">
        <v>0</v>
      </c>
      <c r="L25" s="25">
        <v>270601609.64999998</v>
      </c>
      <c r="M25" s="462"/>
      <c r="N25" s="462">
        <f t="shared" si="0"/>
        <v>270601609.64999998</v>
      </c>
      <c r="O25" s="130">
        <f t="shared" si="1"/>
        <v>537559887.02999997</v>
      </c>
    </row>
    <row r="26" spans="1:15" hidden="1" x14ac:dyDescent="0.25">
      <c r="A26" s="462" t="s">
        <v>28</v>
      </c>
      <c r="B26" s="468" t="s">
        <v>50</v>
      </c>
      <c r="C26" s="462" t="s">
        <v>43</v>
      </c>
      <c r="D26" s="462" t="s">
        <v>44</v>
      </c>
      <c r="E26" s="462" t="s">
        <v>45</v>
      </c>
      <c r="F26" s="476" t="s">
        <v>528</v>
      </c>
      <c r="G26" s="462" t="s">
        <v>49</v>
      </c>
      <c r="H26" s="462" t="s">
        <v>291</v>
      </c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62">
        <f t="shared" si="0"/>
        <v>124811072.15000001</v>
      </c>
      <c r="O26" s="130">
        <f t="shared" si="1"/>
        <v>229073339.47000003</v>
      </c>
    </row>
    <row r="27" spans="1:15" hidden="1" x14ac:dyDescent="0.25">
      <c r="A27" s="462" t="s">
        <v>28</v>
      </c>
      <c r="B27" s="468" t="s">
        <v>51</v>
      </c>
      <c r="C27" s="462" t="s">
        <v>43</v>
      </c>
      <c r="D27" s="462" t="s">
        <v>44</v>
      </c>
      <c r="E27" s="462" t="s">
        <v>52</v>
      </c>
      <c r="F27" s="476" t="s">
        <v>532</v>
      </c>
      <c r="G27" s="462" t="s">
        <v>53</v>
      </c>
      <c r="H27" s="462" t="s">
        <v>291</v>
      </c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62">
        <f t="shared" si="0"/>
        <v>2267890.4699999997</v>
      </c>
      <c r="O27" s="130">
        <f t="shared" si="1"/>
        <v>2267890.4699999997</v>
      </c>
    </row>
    <row r="28" spans="1:15" hidden="1" x14ac:dyDescent="0.25">
      <c r="A28" s="462" t="s">
        <v>28</v>
      </c>
      <c r="B28" s="468" t="s">
        <v>54</v>
      </c>
      <c r="C28" s="462" t="s">
        <v>43</v>
      </c>
      <c r="D28" s="462" t="s">
        <v>44</v>
      </c>
      <c r="E28" s="462" t="s">
        <v>52</v>
      </c>
      <c r="F28" s="476" t="s">
        <v>532</v>
      </c>
      <c r="G28" s="462" t="s">
        <v>53</v>
      </c>
      <c r="H28" s="462" t="s">
        <v>291</v>
      </c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62">
        <f t="shared" si="0"/>
        <v>132750834.23999995</v>
      </c>
      <c r="O28" s="130">
        <f t="shared" si="1"/>
        <v>132750834.23999995</v>
      </c>
    </row>
    <row r="29" spans="1:15" hidden="1" x14ac:dyDescent="0.25">
      <c r="A29" s="462" t="s">
        <v>28</v>
      </c>
      <c r="B29" s="468" t="s">
        <v>55</v>
      </c>
      <c r="C29" s="462" t="s">
        <v>43</v>
      </c>
      <c r="D29" s="462" t="s">
        <v>44</v>
      </c>
      <c r="E29" s="462" t="s">
        <v>52</v>
      </c>
      <c r="F29" s="483" t="s">
        <v>602</v>
      </c>
      <c r="G29" s="462" t="s">
        <v>53</v>
      </c>
      <c r="H29" s="462" t="s">
        <v>291</v>
      </c>
      <c r="I29" s="462">
        <v>0</v>
      </c>
      <c r="J29" s="462">
        <v>0</v>
      </c>
      <c r="K29" s="462">
        <v>0</v>
      </c>
      <c r="L29" s="462">
        <v>2829.2</v>
      </c>
      <c r="M29" s="462">
        <v>0</v>
      </c>
      <c r="N29" s="462">
        <f t="shared" si="0"/>
        <v>2829.2</v>
      </c>
      <c r="O29" s="130">
        <f t="shared" si="1"/>
        <v>2829.2</v>
      </c>
    </row>
    <row r="30" spans="1:15" hidden="1" x14ac:dyDescent="0.25">
      <c r="A30" s="462" t="s">
        <v>28</v>
      </c>
      <c r="B30" s="468" t="s">
        <v>56</v>
      </c>
      <c r="C30" s="462" t="s">
        <v>43</v>
      </c>
      <c r="D30" s="462" t="s">
        <v>44</v>
      </c>
      <c r="E30" s="462" t="s">
        <v>57</v>
      </c>
      <c r="F30" s="476" t="s">
        <v>532</v>
      </c>
      <c r="G30" s="462" t="s">
        <v>53</v>
      </c>
      <c r="H30" s="462" t="s">
        <v>291</v>
      </c>
      <c r="I30" s="462">
        <v>0</v>
      </c>
      <c r="J30" s="462">
        <v>0</v>
      </c>
      <c r="K30" s="462">
        <v>0</v>
      </c>
      <c r="L30" s="25">
        <v>1899221.75</v>
      </c>
      <c r="M30" s="462">
        <v>0</v>
      </c>
      <c r="N30" s="462">
        <f t="shared" si="0"/>
        <v>1899221.75</v>
      </c>
      <c r="O30" s="130">
        <f t="shared" si="1"/>
        <v>1899221.75</v>
      </c>
    </row>
    <row r="31" spans="1:15" hidden="1" x14ac:dyDescent="0.25">
      <c r="A31" s="462" t="s">
        <v>28</v>
      </c>
      <c r="B31" s="468" t="s">
        <v>58</v>
      </c>
      <c r="C31" s="462" t="s">
        <v>43</v>
      </c>
      <c r="D31" s="462" t="s">
        <v>44</v>
      </c>
      <c r="E31" s="462" t="s">
        <v>57</v>
      </c>
      <c r="F31" s="476" t="s">
        <v>532</v>
      </c>
      <c r="G31" s="462" t="s">
        <v>53</v>
      </c>
      <c r="H31" s="462" t="s">
        <v>291</v>
      </c>
      <c r="I31" s="462">
        <v>0</v>
      </c>
      <c r="J31" s="462">
        <v>0</v>
      </c>
      <c r="K31" s="462">
        <v>291668161.5</v>
      </c>
      <c r="L31" s="462">
        <v>2982341.9</v>
      </c>
      <c r="M31" s="462">
        <v>0</v>
      </c>
      <c r="N31" s="462">
        <f t="shared" si="0"/>
        <v>294650503.39999998</v>
      </c>
      <c r="O31" s="130">
        <f t="shared" si="1"/>
        <v>294650503.39999998</v>
      </c>
    </row>
    <row r="32" spans="1:15" hidden="1" x14ac:dyDescent="0.25">
      <c r="A32" s="462" t="s">
        <v>59</v>
      </c>
      <c r="B32" s="468" t="s">
        <v>60</v>
      </c>
      <c r="C32" s="462" t="s">
        <v>61</v>
      </c>
      <c r="D32" s="462" t="s">
        <v>453</v>
      </c>
      <c r="E32" s="462" t="s">
        <v>62</v>
      </c>
      <c r="F32" s="462" t="s">
        <v>455</v>
      </c>
      <c r="G32" s="462" t="s">
        <v>63</v>
      </c>
      <c r="H32" s="462" t="s">
        <v>291</v>
      </c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62">
        <f t="shared" si="0"/>
        <v>202797740.11000001</v>
      </c>
      <c r="O32" s="130">
        <f t="shared" si="1"/>
        <v>203140073.63</v>
      </c>
    </row>
    <row r="33" spans="1:15" hidden="1" x14ac:dyDescent="0.25">
      <c r="A33" s="462" t="s">
        <v>59</v>
      </c>
      <c r="B33" s="468" t="s">
        <v>64</v>
      </c>
      <c r="C33" s="462" t="s">
        <v>61</v>
      </c>
      <c r="D33" s="462" t="s">
        <v>453</v>
      </c>
      <c r="E33" s="462" t="s">
        <v>62</v>
      </c>
      <c r="F33" s="462" t="s">
        <v>440</v>
      </c>
      <c r="G33" s="462" t="s">
        <v>63</v>
      </c>
      <c r="H33" s="462" t="s">
        <v>291</v>
      </c>
      <c r="I33" s="462">
        <v>0</v>
      </c>
      <c r="J33" s="462">
        <v>0</v>
      </c>
      <c r="K33" s="462">
        <v>0</v>
      </c>
      <c r="L33" s="462">
        <v>2125027.31</v>
      </c>
      <c r="M33" s="462">
        <v>0</v>
      </c>
      <c r="N33" s="462">
        <f t="shared" si="0"/>
        <v>2125027.31</v>
      </c>
      <c r="O33" s="130">
        <f t="shared" si="1"/>
        <v>2125027.31</v>
      </c>
    </row>
    <row r="34" spans="1:15" hidden="1" x14ac:dyDescent="0.25">
      <c r="A34" s="462" t="s">
        <v>59</v>
      </c>
      <c r="B34" s="468" t="s">
        <v>65</v>
      </c>
      <c r="C34" s="462" t="s">
        <v>61</v>
      </c>
      <c r="D34" s="462" t="s">
        <v>453</v>
      </c>
      <c r="E34" s="462" t="s">
        <v>62</v>
      </c>
      <c r="F34" s="462" t="s">
        <v>455</v>
      </c>
      <c r="G34" s="462" t="s">
        <v>63</v>
      </c>
      <c r="H34" s="462" t="s">
        <v>291</v>
      </c>
      <c r="I34" s="462">
        <v>0</v>
      </c>
      <c r="J34" s="25">
        <v>87513734.649999991</v>
      </c>
      <c r="K34" s="462">
        <v>0</v>
      </c>
      <c r="L34" s="462">
        <v>324337810</v>
      </c>
      <c r="M34" s="462">
        <v>0</v>
      </c>
      <c r="N34" s="462">
        <f t="shared" si="0"/>
        <v>324337810</v>
      </c>
      <c r="O34" s="130">
        <f t="shared" si="1"/>
        <v>411851544.64999998</v>
      </c>
    </row>
    <row r="35" spans="1:15" hidden="1" x14ac:dyDescent="0.25">
      <c r="A35" s="462" t="s">
        <v>59</v>
      </c>
      <c r="B35" s="468" t="s">
        <v>66</v>
      </c>
      <c r="C35" s="462" t="s">
        <v>61</v>
      </c>
      <c r="D35" s="462" t="s">
        <v>453</v>
      </c>
      <c r="E35" s="462" t="s">
        <v>67</v>
      </c>
      <c r="F35" s="476" t="s">
        <v>603</v>
      </c>
      <c r="G35" s="462" t="s">
        <v>63</v>
      </c>
      <c r="H35" s="462" t="s">
        <v>291</v>
      </c>
      <c r="I35" s="462">
        <v>0</v>
      </c>
      <c r="J35" s="462">
        <v>0</v>
      </c>
      <c r="K35" s="462">
        <v>0</v>
      </c>
      <c r="L35" s="462">
        <v>86628189.969999999</v>
      </c>
      <c r="M35" s="462">
        <v>0</v>
      </c>
      <c r="N35" s="462">
        <f t="shared" si="0"/>
        <v>86628189.969999999</v>
      </c>
      <c r="O35" s="130">
        <f t="shared" si="1"/>
        <v>86628189.969999999</v>
      </c>
    </row>
    <row r="36" spans="1:15" hidden="1" x14ac:dyDescent="0.25">
      <c r="A36" s="462" t="s">
        <v>59</v>
      </c>
      <c r="B36" s="468" t="s">
        <v>68</v>
      </c>
      <c r="C36" s="462" t="s">
        <v>61</v>
      </c>
      <c r="D36" s="462" t="s">
        <v>453</v>
      </c>
      <c r="E36" s="462" t="s">
        <v>69</v>
      </c>
      <c r="F36" s="476" t="s">
        <v>603</v>
      </c>
      <c r="G36" s="462" t="s">
        <v>70</v>
      </c>
      <c r="H36" s="462" t="s">
        <v>291</v>
      </c>
      <c r="I36" s="462">
        <v>0</v>
      </c>
      <c r="J36" s="462">
        <v>268379737</v>
      </c>
      <c r="K36" s="25">
        <v>1186505.8400000001</v>
      </c>
      <c r="L36" s="462">
        <v>406062009.19999999</v>
      </c>
      <c r="M36" s="25">
        <v>44026513.027900003</v>
      </c>
      <c r="N36" s="462">
        <f t="shared" si="0"/>
        <v>407248515.03999996</v>
      </c>
      <c r="O36" s="130">
        <f t="shared" si="1"/>
        <v>675628252.03999996</v>
      </c>
    </row>
    <row r="37" spans="1:15" hidden="1" x14ac:dyDescent="0.25">
      <c r="A37" s="462" t="s">
        <v>59</v>
      </c>
      <c r="B37" s="462" t="s">
        <v>68</v>
      </c>
      <c r="C37" s="462" t="s">
        <v>61</v>
      </c>
      <c r="D37" s="462" t="s">
        <v>453</v>
      </c>
      <c r="E37" s="462" t="s">
        <v>71</v>
      </c>
      <c r="F37" s="462" t="s">
        <v>457</v>
      </c>
      <c r="G37" s="462" t="s">
        <v>63</v>
      </c>
      <c r="H37" s="462" t="s">
        <v>291</v>
      </c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62">
        <f t="shared" si="0"/>
        <v>154283157.97999996</v>
      </c>
      <c r="O37" s="130">
        <f t="shared" si="1"/>
        <v>262459587.51999995</v>
      </c>
    </row>
    <row r="38" spans="1:15" hidden="1" x14ac:dyDescent="0.25">
      <c r="A38" s="462" t="s">
        <v>59</v>
      </c>
      <c r="B38" s="462" t="s">
        <v>68</v>
      </c>
      <c r="C38" s="462" t="s">
        <v>61</v>
      </c>
      <c r="D38" s="462" t="s">
        <v>453</v>
      </c>
      <c r="E38" s="462" t="s">
        <v>71</v>
      </c>
      <c r="F38" s="462" t="s">
        <v>457</v>
      </c>
      <c r="G38" s="462" t="s">
        <v>70</v>
      </c>
      <c r="H38" s="462" t="s">
        <v>291</v>
      </c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62">
        <f t="shared" si="0"/>
        <v>161329599.02000001</v>
      </c>
      <c r="O38" s="130">
        <f t="shared" si="1"/>
        <v>297641283.75999999</v>
      </c>
    </row>
    <row r="39" spans="1:15" hidden="1" x14ac:dyDescent="0.25">
      <c r="A39" s="462" t="s">
        <v>59</v>
      </c>
      <c r="B39" s="462" t="s">
        <v>68</v>
      </c>
      <c r="C39" s="462" t="s">
        <v>72</v>
      </c>
      <c r="D39" s="476" t="s">
        <v>606</v>
      </c>
      <c r="E39" s="462" t="s">
        <v>73</v>
      </c>
      <c r="F39" s="476" t="s">
        <v>456</v>
      </c>
      <c r="G39" s="462" t="s">
        <v>63</v>
      </c>
      <c r="H39" s="462" t="s">
        <v>291</v>
      </c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62">
        <f t="shared" si="0"/>
        <v>256260543.05999997</v>
      </c>
      <c r="O39" s="130">
        <f t="shared" si="1"/>
        <v>418548647.10000002</v>
      </c>
    </row>
    <row r="40" spans="1:15" hidden="1" x14ac:dyDescent="0.25">
      <c r="A40" s="462" t="s">
        <v>59</v>
      </c>
      <c r="B40" s="462" t="s">
        <v>68</v>
      </c>
      <c r="C40" s="462" t="s">
        <v>72</v>
      </c>
      <c r="D40" s="476" t="s">
        <v>606</v>
      </c>
      <c r="E40" s="462" t="s">
        <v>73</v>
      </c>
      <c r="F40" s="476" t="s">
        <v>456</v>
      </c>
      <c r="G40" s="462" t="s">
        <v>70</v>
      </c>
      <c r="H40" s="462" t="s">
        <v>291</v>
      </c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62">
        <f t="shared" si="0"/>
        <v>11787053.539999999</v>
      </c>
      <c r="O40" s="130">
        <f t="shared" si="1"/>
        <v>84294955.389999986</v>
      </c>
    </row>
    <row r="41" spans="1:15" hidden="1" x14ac:dyDescent="0.25">
      <c r="A41" s="462" t="s">
        <v>59</v>
      </c>
      <c r="B41" s="468" t="s">
        <v>74</v>
      </c>
      <c r="C41" s="462" t="s">
        <v>75</v>
      </c>
      <c r="D41" s="476" t="s">
        <v>439</v>
      </c>
      <c r="E41" s="462" t="s">
        <v>76</v>
      </c>
      <c r="F41" s="476" t="s">
        <v>440</v>
      </c>
      <c r="G41" s="462" t="s">
        <v>63</v>
      </c>
      <c r="H41" s="462" t="s">
        <v>291</v>
      </c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62">
        <f t="shared" si="0"/>
        <v>71722248.539999992</v>
      </c>
      <c r="O41" s="130">
        <f t="shared" si="1"/>
        <v>344389852.97000003</v>
      </c>
    </row>
    <row r="42" spans="1:15" hidden="1" x14ac:dyDescent="0.25">
      <c r="A42" s="462" t="s">
        <v>59</v>
      </c>
      <c r="B42" s="462" t="s">
        <v>74</v>
      </c>
      <c r="C42" s="462" t="s">
        <v>75</v>
      </c>
      <c r="D42" s="476" t="s">
        <v>439</v>
      </c>
      <c r="E42" s="462" t="s">
        <v>76</v>
      </c>
      <c r="F42" s="476" t="s">
        <v>440</v>
      </c>
      <c r="G42" s="462" t="s">
        <v>70</v>
      </c>
      <c r="H42" s="462" t="s">
        <v>291</v>
      </c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62">
        <f t="shared" si="0"/>
        <v>25022.84</v>
      </c>
      <c r="O42" s="130">
        <f t="shared" si="1"/>
        <v>25022.84</v>
      </c>
    </row>
    <row r="43" spans="1:15" hidden="1" x14ac:dyDescent="0.25">
      <c r="A43" s="462" t="s">
        <v>59</v>
      </c>
      <c r="B43" s="462" t="s">
        <v>74</v>
      </c>
      <c r="C43" s="462" t="s">
        <v>75</v>
      </c>
      <c r="D43" s="476" t="s">
        <v>439</v>
      </c>
      <c r="E43" s="462" t="s">
        <v>77</v>
      </c>
      <c r="F43" s="476" t="s">
        <v>605</v>
      </c>
      <c r="G43" s="462" t="s">
        <v>63</v>
      </c>
      <c r="H43" s="462" t="s">
        <v>291</v>
      </c>
      <c r="I43" s="462">
        <v>0</v>
      </c>
      <c r="J43" s="25">
        <v>180123255.57999998</v>
      </c>
      <c r="K43" s="462"/>
      <c r="L43" s="462">
        <v>105190044.59999999</v>
      </c>
      <c r="M43" s="25">
        <v>107753024.60259996</v>
      </c>
      <c r="N43" s="462">
        <f t="shared" si="0"/>
        <v>105190044.59999999</v>
      </c>
      <c r="O43" s="130">
        <f t="shared" si="1"/>
        <v>285313300.17999995</v>
      </c>
    </row>
    <row r="44" spans="1:15" hidden="1" x14ac:dyDescent="0.25">
      <c r="A44" s="462" t="s">
        <v>59</v>
      </c>
      <c r="B44" s="468" t="s">
        <v>78</v>
      </c>
      <c r="C44" s="462" t="s">
        <v>75</v>
      </c>
      <c r="D44" s="476" t="s">
        <v>439</v>
      </c>
      <c r="E44" s="462" t="s">
        <v>76</v>
      </c>
      <c r="F44" s="476" t="s">
        <v>604</v>
      </c>
      <c r="G44" s="462" t="s">
        <v>63</v>
      </c>
      <c r="H44" s="462" t="s">
        <v>291</v>
      </c>
      <c r="I44" s="462">
        <v>0</v>
      </c>
      <c r="J44" s="25">
        <v>34691444.800000004</v>
      </c>
      <c r="K44" s="462">
        <v>0</v>
      </c>
      <c r="L44" s="25">
        <v>1185678.5599999998</v>
      </c>
      <c r="M44" s="25">
        <v>650000</v>
      </c>
      <c r="N44" s="462">
        <f t="shared" si="0"/>
        <v>1185678.5599999998</v>
      </c>
      <c r="O44" s="130">
        <f t="shared" si="1"/>
        <v>35877123.360000007</v>
      </c>
    </row>
    <row r="45" spans="1:15" hidden="1" x14ac:dyDescent="0.25">
      <c r="A45" s="462" t="s">
        <v>59</v>
      </c>
      <c r="B45" s="468" t="s">
        <v>79</v>
      </c>
      <c r="C45" s="462" t="s">
        <v>75</v>
      </c>
      <c r="D45" s="476" t="s">
        <v>439</v>
      </c>
      <c r="E45" s="462" t="s">
        <v>80</v>
      </c>
      <c r="F45" s="476" t="s">
        <v>459</v>
      </c>
      <c r="G45" s="462"/>
      <c r="H45" s="462" t="s">
        <v>291</v>
      </c>
      <c r="I45" s="462">
        <v>0</v>
      </c>
      <c r="J45" s="462">
        <v>0</v>
      </c>
      <c r="K45" s="25">
        <v>99588543.879999995</v>
      </c>
      <c r="L45" s="462">
        <v>308520415.30000001</v>
      </c>
      <c r="M45" s="25">
        <v>650000</v>
      </c>
      <c r="N45" s="462">
        <f t="shared" si="0"/>
        <v>408108959.18000001</v>
      </c>
      <c r="O45" s="130">
        <f t="shared" si="1"/>
        <v>408108959.18000001</v>
      </c>
    </row>
    <row r="46" spans="1:15" hidden="1" x14ac:dyDescent="0.25">
      <c r="A46" s="462" t="s">
        <v>59</v>
      </c>
      <c r="B46" s="468" t="s">
        <v>81</v>
      </c>
      <c r="C46" s="462" t="s">
        <v>75</v>
      </c>
      <c r="D46" s="476" t="s">
        <v>439</v>
      </c>
      <c r="E46" s="462" t="s">
        <v>82</v>
      </c>
      <c r="F46" s="462" t="s">
        <v>441</v>
      </c>
      <c r="G46" s="462" t="s">
        <v>63</v>
      </c>
      <c r="H46" s="462" t="s">
        <v>291</v>
      </c>
      <c r="I46" s="462">
        <v>0</v>
      </c>
      <c r="J46" s="25">
        <v>153019583.42999998</v>
      </c>
      <c r="K46" s="25">
        <v>134970165.77000001</v>
      </c>
      <c r="L46" s="462">
        <v>333905249.39999998</v>
      </c>
      <c r="M46" s="25">
        <v>1989224.5970999999</v>
      </c>
      <c r="N46" s="462">
        <f t="shared" si="0"/>
        <v>468875415.16999996</v>
      </c>
      <c r="O46" s="130">
        <f t="shared" si="1"/>
        <v>621894998.5999999</v>
      </c>
    </row>
    <row r="47" spans="1:15" hidden="1" x14ac:dyDescent="0.25">
      <c r="A47" s="462" t="s">
        <v>59</v>
      </c>
      <c r="B47" s="468" t="s">
        <v>83</v>
      </c>
      <c r="C47" s="462" t="s">
        <v>84</v>
      </c>
      <c r="D47" s="476" t="s">
        <v>443</v>
      </c>
      <c r="E47" s="462" t="s">
        <v>85</v>
      </c>
      <c r="F47" s="476" t="s">
        <v>607</v>
      </c>
      <c r="G47" s="462" t="s">
        <v>86</v>
      </c>
      <c r="H47" s="462" t="s">
        <v>291</v>
      </c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62">
        <f t="shared" si="0"/>
        <v>411597648.50999975</v>
      </c>
      <c r="O47" s="130">
        <f t="shared" si="1"/>
        <v>533269079.00999975</v>
      </c>
    </row>
    <row r="48" spans="1:15" hidden="1" x14ac:dyDescent="0.25">
      <c r="A48" s="462" t="s">
        <v>59</v>
      </c>
      <c r="B48" s="468" t="s">
        <v>87</v>
      </c>
      <c r="C48" s="462" t="s">
        <v>84</v>
      </c>
      <c r="D48" s="476" t="s">
        <v>443</v>
      </c>
      <c r="E48" s="462" t="s">
        <v>88</v>
      </c>
      <c r="F48" s="476" t="s">
        <v>608</v>
      </c>
      <c r="G48" s="462" t="s">
        <v>86</v>
      </c>
      <c r="H48" s="462" t="s">
        <v>291</v>
      </c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62">
        <f t="shared" si="0"/>
        <v>142308337.16000003</v>
      </c>
      <c r="O48" s="130">
        <f t="shared" si="1"/>
        <v>165388967.83000004</v>
      </c>
    </row>
    <row r="49" spans="1:15" hidden="1" x14ac:dyDescent="0.25">
      <c r="A49" s="462" t="s">
        <v>59</v>
      </c>
      <c r="B49" s="462" t="s">
        <v>87</v>
      </c>
      <c r="C49" s="462" t="s">
        <v>84</v>
      </c>
      <c r="D49" s="476" t="s">
        <v>443</v>
      </c>
      <c r="E49" s="462" t="s">
        <v>89</v>
      </c>
      <c r="F49" s="476" t="s">
        <v>609</v>
      </c>
      <c r="G49" s="462" t="s">
        <v>86</v>
      </c>
      <c r="H49" s="462" t="s">
        <v>291</v>
      </c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62">
        <f t="shared" si="0"/>
        <v>247566319.05000004</v>
      </c>
      <c r="O49" s="130">
        <f t="shared" si="1"/>
        <v>253569555.02000004</v>
      </c>
    </row>
    <row r="50" spans="1:15" hidden="1" x14ac:dyDescent="0.25">
      <c r="A50" s="462" t="s">
        <v>59</v>
      </c>
      <c r="B50" s="468" t="s">
        <v>90</v>
      </c>
      <c r="C50" s="462" t="s">
        <v>84</v>
      </c>
      <c r="D50" s="476" t="s">
        <v>443</v>
      </c>
      <c r="E50" s="462" t="s">
        <v>88</v>
      </c>
      <c r="F50" s="476" t="s">
        <v>608</v>
      </c>
      <c r="G50" s="462" t="s">
        <v>86</v>
      </c>
      <c r="H50" s="462" t="s">
        <v>291</v>
      </c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62">
        <f t="shared" si="0"/>
        <v>163840591.85999998</v>
      </c>
      <c r="O50" s="130">
        <f t="shared" si="1"/>
        <v>268701170.76999992</v>
      </c>
    </row>
    <row r="51" spans="1:15" hidden="1" x14ac:dyDescent="0.25">
      <c r="A51" s="462" t="s">
        <v>59</v>
      </c>
      <c r="B51" s="462" t="s">
        <v>90</v>
      </c>
      <c r="C51" s="462" t="s">
        <v>84</v>
      </c>
      <c r="D51" s="476" t="s">
        <v>443</v>
      </c>
      <c r="E51" s="462" t="s">
        <v>89</v>
      </c>
      <c r="F51" s="476" t="s">
        <v>609</v>
      </c>
      <c r="G51" s="462" t="s">
        <v>86</v>
      </c>
      <c r="H51" s="462" t="s">
        <v>291</v>
      </c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62">
        <f t="shared" si="0"/>
        <v>84463646.539999992</v>
      </c>
      <c r="O51" s="130">
        <f t="shared" si="1"/>
        <v>286064552.18000007</v>
      </c>
    </row>
    <row r="52" spans="1:15" hidden="1" x14ac:dyDescent="0.25">
      <c r="A52" s="462" t="s">
        <v>59</v>
      </c>
      <c r="B52" s="462" t="s">
        <v>90</v>
      </c>
      <c r="C52" s="462" t="s">
        <v>84</v>
      </c>
      <c r="D52" s="476" t="s">
        <v>443</v>
      </c>
      <c r="E52" s="462" t="s">
        <v>91</v>
      </c>
      <c r="F52" s="476" t="s">
        <v>446</v>
      </c>
      <c r="G52" s="462" t="s">
        <v>86</v>
      </c>
      <c r="H52" s="462" t="s">
        <v>291</v>
      </c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62">
        <f t="shared" si="0"/>
        <v>328357289.98000002</v>
      </c>
      <c r="O52" s="130">
        <f t="shared" si="1"/>
        <v>769806174.39999986</v>
      </c>
    </row>
    <row r="53" spans="1:15" hidden="1" x14ac:dyDescent="0.25">
      <c r="A53" s="462" t="s">
        <v>92</v>
      </c>
      <c r="B53" s="477" t="s">
        <v>93</v>
      </c>
      <c r="C53" s="462" t="s">
        <v>94</v>
      </c>
      <c r="D53" s="476" t="s">
        <v>390</v>
      </c>
      <c r="E53" s="462" t="s">
        <v>95</v>
      </c>
      <c r="F53" s="476" t="s">
        <v>610</v>
      </c>
      <c r="G53" s="462" t="s">
        <v>96</v>
      </c>
      <c r="H53" s="462" t="s">
        <v>291</v>
      </c>
      <c r="I53" s="25">
        <v>0</v>
      </c>
      <c r="J53" s="25">
        <v>37867925.61999999</v>
      </c>
      <c r="K53" s="25">
        <v>48991654.930000298</v>
      </c>
      <c r="L53" s="25">
        <v>83731236.620000064</v>
      </c>
      <c r="M53" s="25">
        <v>0</v>
      </c>
      <c r="N53" s="462">
        <f t="shared" si="0"/>
        <v>132722891.55000037</v>
      </c>
      <c r="O53" s="130">
        <f t="shared" si="1"/>
        <v>170590817.17000034</v>
      </c>
    </row>
    <row r="54" spans="1:15" hidden="1" x14ac:dyDescent="0.25">
      <c r="A54" s="462" t="s">
        <v>92</v>
      </c>
      <c r="B54" s="462" t="s">
        <v>97</v>
      </c>
      <c r="C54" s="462" t="s">
        <v>94</v>
      </c>
      <c r="D54" s="476" t="s">
        <v>390</v>
      </c>
      <c r="E54" s="462" t="s">
        <v>98</v>
      </c>
      <c r="F54" s="476" t="s">
        <v>611</v>
      </c>
      <c r="G54" s="462" t="s">
        <v>99</v>
      </c>
      <c r="H54" s="462" t="s">
        <v>291</v>
      </c>
      <c r="I54" s="25">
        <v>0</v>
      </c>
      <c r="J54" s="25">
        <v>6797469.4299999997</v>
      </c>
      <c r="K54" s="25">
        <v>68919637.749999896</v>
      </c>
      <c r="L54" s="25">
        <v>60424031.840000011</v>
      </c>
      <c r="M54" s="25">
        <v>119395924.48810005</v>
      </c>
      <c r="N54" s="462">
        <f t="shared" si="0"/>
        <v>129343669.58999991</v>
      </c>
      <c r="O54" s="130">
        <f t="shared" si="1"/>
        <v>136141139.01999989</v>
      </c>
    </row>
    <row r="55" spans="1:15" hidden="1" x14ac:dyDescent="0.25">
      <c r="A55" s="462" t="s">
        <v>92</v>
      </c>
      <c r="B55" s="462" t="s">
        <v>100</v>
      </c>
      <c r="C55" s="462" t="s">
        <v>94</v>
      </c>
      <c r="D55" s="476" t="s">
        <v>390</v>
      </c>
      <c r="E55" s="462" t="s">
        <v>101</v>
      </c>
      <c r="F55" s="476" t="s">
        <v>409</v>
      </c>
      <c r="G55" s="462" t="s">
        <v>96</v>
      </c>
      <c r="H55" s="462" t="s">
        <v>291</v>
      </c>
      <c r="I55" s="25">
        <v>0</v>
      </c>
      <c r="J55" s="25">
        <v>0</v>
      </c>
      <c r="K55" s="25">
        <v>3709919.7600000007</v>
      </c>
      <c r="L55" s="25">
        <v>61572551.459999993</v>
      </c>
      <c r="M55" s="25">
        <v>6893112.2441999996</v>
      </c>
      <c r="N55" s="462">
        <f t="shared" si="0"/>
        <v>65282471.219999991</v>
      </c>
      <c r="O55" s="130">
        <f t="shared" si="1"/>
        <v>65282471.219999991</v>
      </c>
    </row>
    <row r="56" spans="1:15" hidden="1" x14ac:dyDescent="0.25">
      <c r="A56" s="462" t="s">
        <v>92</v>
      </c>
      <c r="B56" s="462" t="s">
        <v>102</v>
      </c>
      <c r="C56" s="462" t="s">
        <v>94</v>
      </c>
      <c r="D56" s="476" t="s">
        <v>390</v>
      </c>
      <c r="E56" s="462" t="s">
        <v>101</v>
      </c>
      <c r="F56" s="476" t="s">
        <v>409</v>
      </c>
      <c r="G56" s="462" t="s">
        <v>96</v>
      </c>
      <c r="H56" s="462" t="s">
        <v>291</v>
      </c>
      <c r="I56" s="25">
        <v>0</v>
      </c>
      <c r="J56" s="25">
        <v>17566407.939999998</v>
      </c>
      <c r="K56" s="25">
        <v>38383692.549999997</v>
      </c>
      <c r="L56" s="25">
        <v>155048074.95999986</v>
      </c>
      <c r="M56" s="25">
        <v>129383535.6268</v>
      </c>
      <c r="N56" s="462">
        <f t="shared" si="0"/>
        <v>193431767.50999987</v>
      </c>
      <c r="O56" s="130">
        <f t="shared" si="1"/>
        <v>210998175.44999987</v>
      </c>
    </row>
    <row r="57" spans="1:15" hidden="1" x14ac:dyDescent="0.25">
      <c r="A57" s="462" t="s">
        <v>92</v>
      </c>
      <c r="B57" s="462" t="s">
        <v>103</v>
      </c>
      <c r="C57" s="462" t="s">
        <v>94</v>
      </c>
      <c r="D57" s="476" t="s">
        <v>390</v>
      </c>
      <c r="E57" s="462" t="s">
        <v>104</v>
      </c>
      <c r="F57" s="476" t="s">
        <v>612</v>
      </c>
      <c r="G57" s="462" t="s">
        <v>96</v>
      </c>
      <c r="H57" s="462" t="s">
        <v>291</v>
      </c>
      <c r="I57" s="25">
        <v>0</v>
      </c>
      <c r="J57" s="25">
        <v>5248127.7100000009</v>
      </c>
      <c r="K57" s="25">
        <v>2517076.71</v>
      </c>
      <c r="L57" s="25">
        <v>101239778.97</v>
      </c>
      <c r="M57" s="25">
        <v>92206844.813199982</v>
      </c>
      <c r="N57" s="462">
        <f t="shared" si="0"/>
        <v>103756855.67999999</v>
      </c>
      <c r="O57" s="130">
        <f t="shared" si="1"/>
        <v>109004983.39</v>
      </c>
    </row>
    <row r="58" spans="1:15" hidden="1" x14ac:dyDescent="0.25">
      <c r="A58" s="462" t="s">
        <v>92</v>
      </c>
      <c r="B58" s="462" t="s">
        <v>105</v>
      </c>
      <c r="C58" s="462" t="s">
        <v>94</v>
      </c>
      <c r="D58" s="476" t="s">
        <v>390</v>
      </c>
      <c r="E58" s="462" t="s">
        <v>106</v>
      </c>
      <c r="F58" s="476" t="s">
        <v>613</v>
      </c>
      <c r="G58" s="462" t="s">
        <v>96</v>
      </c>
      <c r="H58" s="462" t="s">
        <v>291</v>
      </c>
      <c r="I58" s="25">
        <v>0</v>
      </c>
      <c r="J58" s="25">
        <v>11012437.9</v>
      </c>
      <c r="K58" s="25">
        <v>218337576.42999807</v>
      </c>
      <c r="L58" s="25">
        <v>101476809.00999995</v>
      </c>
      <c r="M58" s="25">
        <v>0</v>
      </c>
      <c r="N58" s="462">
        <f t="shared" si="0"/>
        <v>319814385.43999803</v>
      </c>
      <c r="O58" s="130">
        <f t="shared" si="1"/>
        <v>330826823.33999801</v>
      </c>
    </row>
    <row r="59" spans="1:15" hidden="1" x14ac:dyDescent="0.25">
      <c r="A59" s="462" t="s">
        <v>92</v>
      </c>
      <c r="B59" s="484" t="s">
        <v>107</v>
      </c>
      <c r="C59" s="484" t="s">
        <v>94</v>
      </c>
      <c r="D59" s="485" t="s">
        <v>390</v>
      </c>
      <c r="E59" s="484" t="s">
        <v>106</v>
      </c>
      <c r="F59" s="485" t="s">
        <v>613</v>
      </c>
      <c r="G59" s="484" t="s">
        <v>96</v>
      </c>
      <c r="H59" s="484" t="s">
        <v>292</v>
      </c>
      <c r="I59" s="484"/>
      <c r="J59" s="484"/>
      <c r="K59" s="484"/>
      <c r="L59" s="484"/>
      <c r="M59" s="484"/>
      <c r="N59" s="484">
        <f t="shared" si="0"/>
        <v>0</v>
      </c>
      <c r="O59" s="486">
        <f t="shared" si="1"/>
        <v>0</v>
      </c>
    </row>
    <row r="60" spans="1:15" hidden="1" x14ac:dyDescent="0.25">
      <c r="A60" s="462" t="s">
        <v>92</v>
      </c>
      <c r="B60" s="462" t="s">
        <v>108</v>
      </c>
      <c r="C60" s="462" t="s">
        <v>109</v>
      </c>
      <c r="D60" s="476" t="s">
        <v>390</v>
      </c>
      <c r="E60" s="462" t="s">
        <v>110</v>
      </c>
      <c r="F60" s="476" t="s">
        <v>614</v>
      </c>
      <c r="G60" s="462" t="s">
        <v>96</v>
      </c>
      <c r="H60" s="462" t="s">
        <v>291</v>
      </c>
      <c r="I60" s="25">
        <v>0</v>
      </c>
      <c r="J60" s="25">
        <v>14118688.039999999</v>
      </c>
      <c r="K60" s="25">
        <v>47082491.349999994</v>
      </c>
      <c r="L60" s="25">
        <v>21770737.020000003</v>
      </c>
      <c r="M60" s="25">
        <v>627491536.84229958</v>
      </c>
      <c r="N60" s="462">
        <f t="shared" si="0"/>
        <v>68853228.370000005</v>
      </c>
      <c r="O60" s="130">
        <f t="shared" si="1"/>
        <v>82971916.409999996</v>
      </c>
    </row>
    <row r="61" spans="1:15" hidden="1" x14ac:dyDescent="0.25">
      <c r="A61" s="462" t="s">
        <v>92</v>
      </c>
      <c r="B61" s="462" t="s">
        <v>111</v>
      </c>
      <c r="C61" s="462" t="s">
        <v>112</v>
      </c>
      <c r="D61" s="476" t="s">
        <v>390</v>
      </c>
      <c r="E61" s="462" t="s">
        <v>113</v>
      </c>
      <c r="F61" s="476" t="s">
        <v>615</v>
      </c>
      <c r="G61" s="462" t="s">
        <v>96</v>
      </c>
      <c r="H61" s="462" t="s">
        <v>291</v>
      </c>
      <c r="I61" s="25">
        <v>0</v>
      </c>
      <c r="J61" s="25">
        <v>273375212.92999798</v>
      </c>
      <c r="K61" s="25">
        <v>1308584.48</v>
      </c>
      <c r="L61" s="25">
        <v>27757720.270000011</v>
      </c>
      <c r="M61" s="25">
        <v>136896493.58840001</v>
      </c>
      <c r="N61" s="462">
        <f t="shared" si="0"/>
        <v>29066304.750000011</v>
      </c>
      <c r="O61" s="130">
        <f t="shared" si="1"/>
        <v>302441517.67999804</v>
      </c>
    </row>
    <row r="62" spans="1:15" hidden="1" x14ac:dyDescent="0.25">
      <c r="A62" s="462" t="s">
        <v>92</v>
      </c>
      <c r="B62" s="462" t="s">
        <v>114</v>
      </c>
      <c r="C62" s="462" t="s">
        <v>115</v>
      </c>
      <c r="D62" s="476" t="s">
        <v>623</v>
      </c>
      <c r="E62" s="462" t="s">
        <v>116</v>
      </c>
      <c r="F62" s="476" t="s">
        <v>616</v>
      </c>
      <c r="G62" s="462" t="s">
        <v>117</v>
      </c>
      <c r="H62" s="462" t="s">
        <v>291</v>
      </c>
      <c r="I62" s="25">
        <v>0</v>
      </c>
      <c r="J62" s="25">
        <v>8722385.4600000009</v>
      </c>
      <c r="K62" s="25">
        <v>656791.19999999995</v>
      </c>
      <c r="L62" s="25">
        <v>58926900.209999993</v>
      </c>
      <c r="M62" s="25">
        <v>601796653.87660027</v>
      </c>
      <c r="N62" s="462">
        <f t="shared" si="0"/>
        <v>59583691.409999996</v>
      </c>
      <c r="O62" s="130">
        <f t="shared" si="1"/>
        <v>68306076.86999999</v>
      </c>
    </row>
    <row r="63" spans="1:15" hidden="1" x14ac:dyDescent="0.25">
      <c r="A63" s="462" t="s">
        <v>92</v>
      </c>
      <c r="B63" s="462" t="s">
        <v>118</v>
      </c>
      <c r="C63" s="462" t="s">
        <v>115</v>
      </c>
      <c r="D63" s="476" t="s">
        <v>623</v>
      </c>
      <c r="E63" s="462" t="s">
        <v>119</v>
      </c>
      <c r="F63" s="476" t="s">
        <v>410</v>
      </c>
      <c r="G63" s="462" t="s">
        <v>117</v>
      </c>
      <c r="H63" s="462" t="s">
        <v>291</v>
      </c>
      <c r="I63" s="25">
        <v>0</v>
      </c>
      <c r="J63" s="25">
        <v>512675533.57000101</v>
      </c>
      <c r="K63" s="25">
        <v>3863402.85</v>
      </c>
      <c r="L63" s="25">
        <v>312364324.05999964</v>
      </c>
      <c r="M63" s="25">
        <v>0</v>
      </c>
      <c r="N63" s="462">
        <f t="shared" si="0"/>
        <v>316227726.90999967</v>
      </c>
      <c r="O63" s="130">
        <f t="shared" si="1"/>
        <v>828903260.48000073</v>
      </c>
    </row>
    <row r="64" spans="1:15" hidden="1" x14ac:dyDescent="0.25">
      <c r="A64" s="462" t="s">
        <v>92</v>
      </c>
      <c r="B64" s="462" t="s">
        <v>120</v>
      </c>
      <c r="C64" s="462" t="s">
        <v>115</v>
      </c>
      <c r="D64" s="476" t="s">
        <v>623</v>
      </c>
      <c r="E64" s="462" t="s">
        <v>121</v>
      </c>
      <c r="F64" s="462" t="s">
        <v>396</v>
      </c>
      <c r="G64" s="462" t="s">
        <v>117</v>
      </c>
      <c r="H64" s="462" t="s">
        <v>291</v>
      </c>
      <c r="I64" s="25">
        <v>0</v>
      </c>
      <c r="J64" s="25">
        <v>11696539.060000004</v>
      </c>
      <c r="K64" s="25">
        <v>0</v>
      </c>
      <c r="L64" s="25">
        <v>55325264.270000003</v>
      </c>
      <c r="M64" s="25">
        <v>748324785.27690029</v>
      </c>
      <c r="N64" s="462">
        <f t="shared" si="0"/>
        <v>55325264.270000003</v>
      </c>
      <c r="O64" s="130">
        <f t="shared" si="1"/>
        <v>67021803.330000006</v>
      </c>
    </row>
    <row r="65" spans="1:15" hidden="1" x14ac:dyDescent="0.25">
      <c r="A65" s="462" t="s">
        <v>122</v>
      </c>
      <c r="B65" s="462" t="s">
        <v>123</v>
      </c>
      <c r="C65" s="462" t="s">
        <v>124</v>
      </c>
      <c r="D65" s="476" t="s">
        <v>481</v>
      </c>
      <c r="E65" s="462" t="s">
        <v>125</v>
      </c>
      <c r="F65" s="476" t="s">
        <v>486</v>
      </c>
      <c r="G65" s="462" t="s">
        <v>126</v>
      </c>
      <c r="H65" s="462" t="s">
        <v>291</v>
      </c>
      <c r="I65" s="25">
        <v>0</v>
      </c>
      <c r="J65" s="25">
        <v>14587671.609999998</v>
      </c>
      <c r="K65" s="25">
        <v>84991549.110000074</v>
      </c>
      <c r="L65" s="25">
        <v>61231694.460000016</v>
      </c>
      <c r="M65" s="25">
        <v>0</v>
      </c>
      <c r="N65" s="462">
        <f t="shared" si="0"/>
        <v>146223243.57000008</v>
      </c>
      <c r="O65" s="130">
        <f t="shared" si="1"/>
        <v>160810915.1800001</v>
      </c>
    </row>
    <row r="66" spans="1:15" hidden="1" x14ac:dyDescent="0.25">
      <c r="A66" s="462" t="s">
        <v>122</v>
      </c>
      <c r="B66" s="462" t="s">
        <v>127</v>
      </c>
      <c r="C66" s="462" t="s">
        <v>124</v>
      </c>
      <c r="D66" s="476" t="s">
        <v>481</v>
      </c>
      <c r="E66" s="462" t="s">
        <v>128</v>
      </c>
      <c r="F66" s="462" t="s">
        <v>483</v>
      </c>
      <c r="G66" s="462" t="s">
        <v>129</v>
      </c>
      <c r="H66" s="462" t="s">
        <v>291</v>
      </c>
      <c r="I66" s="25">
        <v>0</v>
      </c>
      <c r="J66" s="25">
        <v>0</v>
      </c>
      <c r="K66" s="25">
        <v>0</v>
      </c>
      <c r="L66" s="25">
        <v>10775322.740000002</v>
      </c>
      <c r="M66" s="25">
        <v>0</v>
      </c>
      <c r="N66" s="462">
        <f t="shared" si="0"/>
        <v>10775322.740000002</v>
      </c>
      <c r="O66" s="130">
        <f t="shared" si="1"/>
        <v>10775322.740000002</v>
      </c>
    </row>
    <row r="67" spans="1:15" hidden="1" x14ac:dyDescent="0.25">
      <c r="A67" s="462" t="s">
        <v>122</v>
      </c>
      <c r="B67" s="462" t="s">
        <v>130</v>
      </c>
      <c r="C67" s="462" t="s">
        <v>124</v>
      </c>
      <c r="D67" s="476" t="s">
        <v>481</v>
      </c>
      <c r="E67" s="462" t="s">
        <v>131</v>
      </c>
      <c r="F67" s="476" t="s">
        <v>617</v>
      </c>
      <c r="G67" s="462" t="s">
        <v>129</v>
      </c>
      <c r="H67" s="462" t="s">
        <v>291</v>
      </c>
      <c r="I67" s="25">
        <v>0</v>
      </c>
      <c r="J67" s="25">
        <v>86102087.389999986</v>
      </c>
      <c r="K67" s="25">
        <v>2997710.13</v>
      </c>
      <c r="L67" s="25">
        <v>111635936.67000006</v>
      </c>
      <c r="M67" s="25">
        <v>0</v>
      </c>
      <c r="N67" s="462">
        <f t="shared" ref="N67:N130" si="2">SUM(K67,L67)</f>
        <v>114633646.80000006</v>
      </c>
      <c r="O67" s="130">
        <f t="shared" ref="O67:O130" si="3">SUM(I67:L67)</f>
        <v>200735734.19000006</v>
      </c>
    </row>
    <row r="68" spans="1:15" hidden="1" x14ac:dyDescent="0.25">
      <c r="A68" s="462" t="s">
        <v>122</v>
      </c>
      <c r="B68" s="462" t="s">
        <v>132</v>
      </c>
      <c r="C68" s="462" t="s">
        <v>124</v>
      </c>
      <c r="D68" s="476" t="s">
        <v>481</v>
      </c>
      <c r="E68" s="462" t="s">
        <v>131</v>
      </c>
      <c r="F68" s="476" t="s">
        <v>617</v>
      </c>
      <c r="G68" s="462" t="s">
        <v>129</v>
      </c>
      <c r="H68" s="462" t="s">
        <v>291</v>
      </c>
      <c r="I68" s="25">
        <v>0</v>
      </c>
      <c r="J68" s="25">
        <v>7559280.2800000003</v>
      </c>
      <c r="K68" s="25">
        <v>293180.96000000002</v>
      </c>
      <c r="L68" s="25">
        <v>6270010.7999999998</v>
      </c>
      <c r="M68" s="25">
        <v>0</v>
      </c>
      <c r="N68" s="462">
        <f t="shared" si="2"/>
        <v>6563191.7599999998</v>
      </c>
      <c r="O68" s="130">
        <f t="shared" si="3"/>
        <v>14122472.039999999</v>
      </c>
    </row>
    <row r="69" spans="1:15" hidden="1" x14ac:dyDescent="0.25">
      <c r="A69" s="462" t="s">
        <v>122</v>
      </c>
      <c r="B69" s="462" t="s">
        <v>133</v>
      </c>
      <c r="C69" s="462" t="s">
        <v>124</v>
      </c>
      <c r="D69" s="476" t="s">
        <v>481</v>
      </c>
      <c r="E69" s="462" t="s">
        <v>125</v>
      </c>
      <c r="F69" s="476" t="s">
        <v>486</v>
      </c>
      <c r="G69" s="462" t="s">
        <v>126</v>
      </c>
      <c r="H69" s="462" t="s">
        <v>291</v>
      </c>
      <c r="I69" s="25">
        <v>0</v>
      </c>
      <c r="J69" s="25">
        <v>6077749.5899999999</v>
      </c>
      <c r="K69" s="25">
        <v>982012.08</v>
      </c>
      <c r="L69" s="25">
        <v>47188551.959999993</v>
      </c>
      <c r="M69" s="25">
        <v>0</v>
      </c>
      <c r="N69" s="462">
        <f t="shared" si="2"/>
        <v>48170564.039999992</v>
      </c>
      <c r="O69" s="130">
        <f t="shared" si="3"/>
        <v>54248313.629999995</v>
      </c>
    </row>
    <row r="70" spans="1:15" hidden="1" x14ac:dyDescent="0.25">
      <c r="A70" s="462" t="s">
        <v>122</v>
      </c>
      <c r="B70" s="462" t="s">
        <v>134</v>
      </c>
      <c r="C70" s="462" t="s">
        <v>124</v>
      </c>
      <c r="D70" s="476" t="s">
        <v>481</v>
      </c>
      <c r="E70" s="462" t="s">
        <v>125</v>
      </c>
      <c r="F70" s="476" t="s">
        <v>486</v>
      </c>
      <c r="G70" s="462" t="s">
        <v>126</v>
      </c>
      <c r="H70" s="462" t="s">
        <v>291</v>
      </c>
      <c r="I70" s="25">
        <v>0</v>
      </c>
      <c r="J70" s="25">
        <v>0</v>
      </c>
      <c r="K70" s="25">
        <v>0</v>
      </c>
      <c r="L70" s="25">
        <v>5225326.0500000007</v>
      </c>
      <c r="M70" s="25">
        <v>0</v>
      </c>
      <c r="N70" s="462">
        <f t="shared" si="2"/>
        <v>5225326.0500000007</v>
      </c>
      <c r="O70" s="130">
        <f t="shared" si="3"/>
        <v>5225326.0500000007</v>
      </c>
    </row>
    <row r="71" spans="1:15" hidden="1" x14ac:dyDescent="0.25">
      <c r="A71" s="462" t="s">
        <v>122</v>
      </c>
      <c r="B71" s="484"/>
      <c r="C71" s="484"/>
      <c r="D71" s="485"/>
      <c r="E71" s="484"/>
      <c r="F71" s="476"/>
      <c r="G71" s="484"/>
      <c r="H71" s="484"/>
      <c r="I71" s="484"/>
      <c r="J71" s="484"/>
      <c r="K71" s="484"/>
      <c r="L71" s="484"/>
      <c r="M71" s="484"/>
      <c r="N71" s="484"/>
      <c r="O71" s="486"/>
    </row>
    <row r="72" spans="1:15" hidden="1" x14ac:dyDescent="0.25">
      <c r="A72" s="462" t="s">
        <v>122</v>
      </c>
      <c r="B72" s="462" t="s">
        <v>135</v>
      </c>
      <c r="C72" s="462" t="s">
        <v>124</v>
      </c>
      <c r="D72" s="476" t="s">
        <v>481</v>
      </c>
      <c r="E72" s="462" t="s">
        <v>136</v>
      </c>
      <c r="F72" s="476" t="s">
        <v>482</v>
      </c>
      <c r="G72" s="462" t="s">
        <v>137</v>
      </c>
      <c r="H72" s="462" t="s">
        <v>291</v>
      </c>
      <c r="I72" s="25">
        <v>0</v>
      </c>
      <c r="J72" s="25">
        <v>283457019.83000004</v>
      </c>
      <c r="K72" s="25">
        <v>14201168.000000009</v>
      </c>
      <c r="L72" s="25">
        <v>196318626.89000005</v>
      </c>
      <c r="M72" s="25">
        <v>0</v>
      </c>
      <c r="N72" s="462">
        <f t="shared" si="2"/>
        <v>210519794.89000005</v>
      </c>
      <c r="O72" s="130">
        <f t="shared" si="3"/>
        <v>493976814.72000009</v>
      </c>
    </row>
    <row r="73" spans="1:15" hidden="1" x14ac:dyDescent="0.25">
      <c r="A73" s="462" t="s">
        <v>122</v>
      </c>
      <c r="B73" s="462" t="s">
        <v>138</v>
      </c>
      <c r="C73" s="462" t="s">
        <v>124</v>
      </c>
      <c r="D73" s="476" t="s">
        <v>481</v>
      </c>
      <c r="E73" s="462" t="s">
        <v>136</v>
      </c>
      <c r="F73" s="476" t="s">
        <v>482</v>
      </c>
      <c r="G73" s="462" t="s">
        <v>137</v>
      </c>
      <c r="H73" s="462" t="s">
        <v>291</v>
      </c>
      <c r="I73" s="25">
        <v>0</v>
      </c>
      <c r="J73" s="25">
        <v>31451267.149999999</v>
      </c>
      <c r="K73" s="25">
        <v>1880603.23</v>
      </c>
      <c r="L73" s="25">
        <v>94654020.920000017</v>
      </c>
      <c r="M73" s="25">
        <v>0</v>
      </c>
      <c r="N73" s="462">
        <f t="shared" si="2"/>
        <v>96534624.150000021</v>
      </c>
      <c r="O73" s="130">
        <f t="shared" si="3"/>
        <v>127985891.30000001</v>
      </c>
    </row>
    <row r="74" spans="1:15" hidden="1" x14ac:dyDescent="0.25">
      <c r="A74" s="462" t="s">
        <v>122</v>
      </c>
      <c r="B74" s="462" t="s">
        <v>139</v>
      </c>
      <c r="C74" s="462" t="s">
        <v>124</v>
      </c>
      <c r="D74" s="476" t="s">
        <v>481</v>
      </c>
      <c r="E74" s="462" t="s">
        <v>136</v>
      </c>
      <c r="F74" s="476" t="s">
        <v>482</v>
      </c>
      <c r="G74" s="462" t="s">
        <v>137</v>
      </c>
      <c r="H74" s="462" t="s">
        <v>291</v>
      </c>
      <c r="I74" s="25">
        <v>0</v>
      </c>
      <c r="J74" s="25">
        <v>7522983.4700000007</v>
      </c>
      <c r="K74" s="25">
        <v>98786.069999999992</v>
      </c>
      <c r="L74" s="25">
        <v>9930056.3099999987</v>
      </c>
      <c r="M74" s="25">
        <v>0</v>
      </c>
      <c r="N74" s="462">
        <f t="shared" si="2"/>
        <v>10028842.379999999</v>
      </c>
      <c r="O74" s="130">
        <f t="shared" si="3"/>
        <v>17551825.850000001</v>
      </c>
    </row>
    <row r="75" spans="1:15" hidden="1" x14ac:dyDescent="0.25">
      <c r="A75" s="462" t="s">
        <v>140</v>
      </c>
      <c r="B75" s="462" t="s">
        <v>141</v>
      </c>
      <c r="C75" s="462" t="s">
        <v>142</v>
      </c>
      <c r="D75" s="476" t="s">
        <v>495</v>
      </c>
      <c r="E75" s="462" t="s">
        <v>143</v>
      </c>
      <c r="F75" s="476" t="s">
        <v>498</v>
      </c>
      <c r="G75" s="462" t="s">
        <v>144</v>
      </c>
      <c r="H75" s="462" t="s">
        <v>291</v>
      </c>
      <c r="I75" s="25">
        <v>0</v>
      </c>
      <c r="J75" s="25">
        <v>0</v>
      </c>
      <c r="K75" s="25">
        <v>0</v>
      </c>
      <c r="L75" s="25">
        <v>58509460.75</v>
      </c>
      <c r="M75" s="25">
        <v>0</v>
      </c>
      <c r="N75" s="462">
        <f t="shared" si="2"/>
        <v>58509460.75</v>
      </c>
      <c r="O75" s="130">
        <f t="shared" si="3"/>
        <v>58509460.75</v>
      </c>
    </row>
    <row r="76" spans="1:15" hidden="1" x14ac:dyDescent="0.25">
      <c r="A76" s="462" t="s">
        <v>140</v>
      </c>
      <c r="B76" s="462" t="s">
        <v>145</v>
      </c>
      <c r="C76" s="462" t="s">
        <v>142</v>
      </c>
      <c r="D76" s="476" t="s">
        <v>495</v>
      </c>
      <c r="E76" s="462" t="s">
        <v>143</v>
      </c>
      <c r="F76" s="476" t="s">
        <v>498</v>
      </c>
      <c r="G76" s="462" t="s">
        <v>144</v>
      </c>
      <c r="H76" s="462" t="s">
        <v>291</v>
      </c>
      <c r="I76" s="25">
        <v>0</v>
      </c>
      <c r="J76" s="25">
        <v>0</v>
      </c>
      <c r="K76" s="25">
        <v>0</v>
      </c>
      <c r="L76" s="25">
        <v>965432.04999999993</v>
      </c>
      <c r="M76" s="25">
        <v>0</v>
      </c>
      <c r="N76" s="462">
        <f t="shared" si="2"/>
        <v>965432.04999999993</v>
      </c>
      <c r="O76" s="130">
        <f t="shared" si="3"/>
        <v>965432.04999999993</v>
      </c>
    </row>
    <row r="77" spans="1:15" hidden="1" x14ac:dyDescent="0.25">
      <c r="A77" s="462" t="s">
        <v>140</v>
      </c>
      <c r="B77" s="462" t="s">
        <v>146</v>
      </c>
      <c r="C77" s="462" t="s">
        <v>142</v>
      </c>
      <c r="D77" s="476" t="s">
        <v>495</v>
      </c>
      <c r="E77" s="462" t="s">
        <v>143</v>
      </c>
      <c r="F77" s="476" t="s">
        <v>498</v>
      </c>
      <c r="G77" s="462" t="s">
        <v>144</v>
      </c>
      <c r="H77" s="462" t="s">
        <v>291</v>
      </c>
      <c r="I77" s="25">
        <v>0</v>
      </c>
      <c r="J77" s="25">
        <v>0</v>
      </c>
      <c r="K77" s="25">
        <v>0</v>
      </c>
      <c r="L77" s="25">
        <v>21807.65</v>
      </c>
      <c r="M77" s="25">
        <v>0</v>
      </c>
      <c r="N77" s="462">
        <f t="shared" si="2"/>
        <v>21807.65</v>
      </c>
      <c r="O77" s="130">
        <f t="shared" si="3"/>
        <v>21807.65</v>
      </c>
    </row>
    <row r="78" spans="1:15" hidden="1" x14ac:dyDescent="0.25">
      <c r="A78" s="462" t="s">
        <v>140</v>
      </c>
      <c r="B78" s="462" t="s">
        <v>147</v>
      </c>
      <c r="C78" s="462" t="s">
        <v>142</v>
      </c>
      <c r="D78" s="476" t="s">
        <v>495</v>
      </c>
      <c r="E78" s="462" t="s">
        <v>143</v>
      </c>
      <c r="F78" s="476" t="s">
        <v>498</v>
      </c>
      <c r="G78" s="462" t="s">
        <v>144</v>
      </c>
      <c r="H78" s="462" t="s">
        <v>291</v>
      </c>
      <c r="I78" s="25">
        <v>0</v>
      </c>
      <c r="J78" s="25">
        <v>0</v>
      </c>
      <c r="K78" s="25">
        <v>0</v>
      </c>
      <c r="L78" s="25">
        <v>1361356.9399999995</v>
      </c>
      <c r="M78" s="25">
        <v>0</v>
      </c>
      <c r="N78" s="462">
        <f t="shared" si="2"/>
        <v>1361356.9399999995</v>
      </c>
      <c r="O78" s="130">
        <f t="shared" si="3"/>
        <v>1361356.9399999995</v>
      </c>
    </row>
    <row r="79" spans="1:15" hidden="1" x14ac:dyDescent="0.25">
      <c r="A79" s="462" t="s">
        <v>140</v>
      </c>
      <c r="B79" s="462" t="s">
        <v>148</v>
      </c>
      <c r="C79" s="462" t="s">
        <v>142</v>
      </c>
      <c r="D79" s="476" t="s">
        <v>495</v>
      </c>
      <c r="E79" s="462" t="s">
        <v>143</v>
      </c>
      <c r="F79" s="476" t="s">
        <v>498</v>
      </c>
      <c r="G79" s="462" t="s">
        <v>96</v>
      </c>
      <c r="H79" s="462" t="s">
        <v>291</v>
      </c>
      <c r="I79" s="25">
        <v>0</v>
      </c>
      <c r="J79" s="25">
        <v>8536955.5500000007</v>
      </c>
      <c r="K79" s="25">
        <v>5757796.0499999989</v>
      </c>
      <c r="L79" s="25">
        <v>78761623.449999958</v>
      </c>
      <c r="M79" s="25">
        <v>0</v>
      </c>
      <c r="N79" s="462">
        <f t="shared" si="2"/>
        <v>84519419.499999955</v>
      </c>
      <c r="O79" s="130">
        <f t="shared" si="3"/>
        <v>93056375.049999952</v>
      </c>
    </row>
    <row r="80" spans="1:15" hidden="1" x14ac:dyDescent="0.25">
      <c r="A80" s="462" t="s">
        <v>140</v>
      </c>
      <c r="B80" s="462" t="s">
        <v>148</v>
      </c>
      <c r="C80" s="462" t="s">
        <v>142</v>
      </c>
      <c r="D80" s="476" t="s">
        <v>495</v>
      </c>
      <c r="E80" s="462" t="s">
        <v>149</v>
      </c>
      <c r="F80" s="476" t="s">
        <v>496</v>
      </c>
      <c r="G80" s="462" t="s">
        <v>96</v>
      </c>
      <c r="H80" s="462" t="s">
        <v>291</v>
      </c>
      <c r="I80" s="25">
        <v>0</v>
      </c>
      <c r="J80" s="25">
        <v>526862.52</v>
      </c>
      <c r="K80" s="25">
        <v>0</v>
      </c>
      <c r="L80" s="25">
        <v>1241115.1800000004</v>
      </c>
      <c r="M80" s="25">
        <v>0</v>
      </c>
      <c r="N80" s="462">
        <f t="shared" si="2"/>
        <v>1241115.1800000004</v>
      </c>
      <c r="O80" s="130">
        <f t="shared" si="3"/>
        <v>1767977.7000000004</v>
      </c>
    </row>
    <row r="81" spans="1:15" hidden="1" x14ac:dyDescent="0.25">
      <c r="A81" s="462" t="s">
        <v>140</v>
      </c>
      <c r="B81" s="462" t="s">
        <v>150</v>
      </c>
      <c r="C81" s="462" t="s">
        <v>142</v>
      </c>
      <c r="D81" s="476" t="s">
        <v>495</v>
      </c>
      <c r="E81" s="462" t="s">
        <v>149</v>
      </c>
      <c r="F81" s="476" t="s">
        <v>496</v>
      </c>
      <c r="G81" s="462" t="s">
        <v>144</v>
      </c>
      <c r="H81" s="462" t="s">
        <v>291</v>
      </c>
      <c r="I81" s="25">
        <v>0</v>
      </c>
      <c r="J81" s="25">
        <v>5013011.4000000013</v>
      </c>
      <c r="K81" s="25">
        <v>8840937.0700000059</v>
      </c>
      <c r="L81" s="25">
        <v>51865.83</v>
      </c>
      <c r="M81" s="25">
        <v>0</v>
      </c>
      <c r="N81" s="462">
        <f t="shared" si="2"/>
        <v>8892802.900000006</v>
      </c>
      <c r="O81" s="130">
        <f t="shared" si="3"/>
        <v>13905814.300000006</v>
      </c>
    </row>
    <row r="82" spans="1:15" hidden="1" x14ac:dyDescent="0.25">
      <c r="A82" s="462" t="s">
        <v>140</v>
      </c>
      <c r="B82" s="462" t="s">
        <v>151</v>
      </c>
      <c r="C82" s="462" t="s">
        <v>142</v>
      </c>
      <c r="D82" s="476" t="s">
        <v>495</v>
      </c>
      <c r="E82" s="462" t="s">
        <v>149</v>
      </c>
      <c r="F82" s="476" t="s">
        <v>496</v>
      </c>
      <c r="G82" s="462" t="s">
        <v>144</v>
      </c>
      <c r="H82" s="462" t="s">
        <v>291</v>
      </c>
      <c r="I82" s="25">
        <v>0</v>
      </c>
      <c r="J82" s="25">
        <v>4475652.3499999996</v>
      </c>
      <c r="K82" s="25">
        <v>2618541.3100000019</v>
      </c>
      <c r="L82" s="25">
        <v>0</v>
      </c>
      <c r="M82" s="25">
        <v>0</v>
      </c>
      <c r="N82" s="462">
        <f t="shared" si="2"/>
        <v>2618541.3100000019</v>
      </c>
      <c r="O82" s="130">
        <f t="shared" si="3"/>
        <v>7094193.660000002</v>
      </c>
    </row>
    <row r="83" spans="1:15" hidden="1" x14ac:dyDescent="0.25">
      <c r="A83" s="462" t="s">
        <v>140</v>
      </c>
      <c r="B83" s="462" t="s">
        <v>152</v>
      </c>
      <c r="C83" s="462" t="s">
        <v>142</v>
      </c>
      <c r="D83" s="476" t="s">
        <v>495</v>
      </c>
      <c r="E83" s="462" t="s">
        <v>153</v>
      </c>
      <c r="F83" s="476" t="s">
        <v>519</v>
      </c>
      <c r="G83" s="462" t="s">
        <v>96</v>
      </c>
      <c r="H83" s="462" t="s">
        <v>291</v>
      </c>
      <c r="I83" s="25">
        <v>0</v>
      </c>
      <c r="J83" s="25">
        <v>1620898.13</v>
      </c>
      <c r="K83" s="25">
        <v>124765002.74000025</v>
      </c>
      <c r="L83" s="25">
        <v>230945526.10000005</v>
      </c>
      <c r="M83" s="25">
        <v>1117306.8829000001</v>
      </c>
      <c r="N83" s="462">
        <f t="shared" si="2"/>
        <v>355710528.84000027</v>
      </c>
      <c r="O83" s="130">
        <f t="shared" si="3"/>
        <v>357331426.97000027</v>
      </c>
    </row>
    <row r="84" spans="1:15" hidden="1" x14ac:dyDescent="0.25">
      <c r="A84" s="462" t="s">
        <v>140</v>
      </c>
      <c r="B84" s="462" t="s">
        <v>154</v>
      </c>
      <c r="C84" s="462" t="s">
        <v>142</v>
      </c>
      <c r="D84" s="476" t="s">
        <v>495</v>
      </c>
      <c r="E84" s="462" t="s">
        <v>153</v>
      </c>
      <c r="F84" s="476" t="s">
        <v>519</v>
      </c>
      <c r="G84" s="462" t="s">
        <v>96</v>
      </c>
      <c r="H84" s="462" t="s">
        <v>291</v>
      </c>
      <c r="I84" s="25">
        <v>0</v>
      </c>
      <c r="J84" s="25">
        <v>5206415.1100000003</v>
      </c>
      <c r="K84" s="25">
        <v>19855977.530000001</v>
      </c>
      <c r="L84" s="25">
        <v>55258671.310000002</v>
      </c>
      <c r="M84" s="25">
        <v>0</v>
      </c>
      <c r="N84" s="462">
        <f t="shared" si="2"/>
        <v>75114648.840000004</v>
      </c>
      <c r="O84" s="130">
        <f t="shared" si="3"/>
        <v>80321063.950000003</v>
      </c>
    </row>
    <row r="85" spans="1:15" hidden="1" x14ac:dyDescent="0.25">
      <c r="A85" s="462" t="s">
        <v>140</v>
      </c>
      <c r="B85" s="462" t="s">
        <v>155</v>
      </c>
      <c r="C85" s="462" t="s">
        <v>142</v>
      </c>
      <c r="D85" s="476" t="s">
        <v>495</v>
      </c>
      <c r="E85" s="462" t="s">
        <v>153</v>
      </c>
      <c r="F85" s="476" t="s">
        <v>519</v>
      </c>
      <c r="G85" s="462" t="s">
        <v>96</v>
      </c>
      <c r="H85" s="462" t="s">
        <v>291</v>
      </c>
      <c r="I85" s="15">
        <v>0</v>
      </c>
      <c r="J85" s="15">
        <v>3727231.7300000004</v>
      </c>
      <c r="K85" s="15">
        <v>10856478.960000003</v>
      </c>
      <c r="L85" s="15">
        <v>50522859.790000044</v>
      </c>
      <c r="M85" s="15">
        <v>0</v>
      </c>
      <c r="N85" s="462">
        <f t="shared" si="2"/>
        <v>61379338.750000045</v>
      </c>
      <c r="O85" s="130">
        <f t="shared" si="3"/>
        <v>65106570.480000049</v>
      </c>
    </row>
    <row r="86" spans="1:15" hidden="1" x14ac:dyDescent="0.25">
      <c r="A86" s="462" t="s">
        <v>140</v>
      </c>
      <c r="B86" s="462" t="s">
        <v>156</v>
      </c>
      <c r="C86" s="462" t="s">
        <v>157</v>
      </c>
      <c r="D86" s="476" t="s">
        <v>503</v>
      </c>
      <c r="E86" s="462" t="s">
        <v>158</v>
      </c>
      <c r="F86" s="476" t="s">
        <v>618</v>
      </c>
      <c r="G86" s="462" t="s">
        <v>159</v>
      </c>
      <c r="H86" s="462" t="s">
        <v>291</v>
      </c>
      <c r="I86" s="25">
        <v>0</v>
      </c>
      <c r="J86" s="25">
        <v>109650428.40999998</v>
      </c>
      <c r="K86" s="25">
        <v>178509407.2299999</v>
      </c>
      <c r="L86" s="25">
        <v>134460850.65000001</v>
      </c>
      <c r="M86" s="25">
        <v>0</v>
      </c>
      <c r="N86" s="462">
        <f t="shared" si="2"/>
        <v>312970257.87999988</v>
      </c>
      <c r="O86" s="130">
        <f t="shared" si="3"/>
        <v>422620686.28999984</v>
      </c>
    </row>
    <row r="87" spans="1:15" hidden="1" x14ac:dyDescent="0.25">
      <c r="A87" s="462" t="s">
        <v>140</v>
      </c>
      <c r="B87" s="462" t="s">
        <v>160</v>
      </c>
      <c r="C87" s="462" t="s">
        <v>157</v>
      </c>
      <c r="D87" s="476" t="s">
        <v>503</v>
      </c>
      <c r="E87" s="462" t="s">
        <v>161</v>
      </c>
      <c r="F87" s="462" t="s">
        <v>520</v>
      </c>
      <c r="G87" s="462" t="s">
        <v>96</v>
      </c>
      <c r="H87" s="462" t="s">
        <v>291</v>
      </c>
      <c r="I87" s="25">
        <v>0</v>
      </c>
      <c r="J87" s="25">
        <v>10314526.239999991</v>
      </c>
      <c r="K87" s="25">
        <v>24605835.830000002</v>
      </c>
      <c r="L87" s="25">
        <v>109960896.36000003</v>
      </c>
      <c r="M87" s="25">
        <v>0</v>
      </c>
      <c r="N87" s="462">
        <f t="shared" si="2"/>
        <v>134566732.19000003</v>
      </c>
      <c r="O87" s="130">
        <f t="shared" si="3"/>
        <v>144881258.43000001</v>
      </c>
    </row>
    <row r="88" spans="1:15" hidden="1" x14ac:dyDescent="0.25">
      <c r="A88" s="462" t="s">
        <v>140</v>
      </c>
      <c r="B88" s="462" t="s">
        <v>162</v>
      </c>
      <c r="C88" s="462" t="s">
        <v>157</v>
      </c>
      <c r="D88" s="476" t="s">
        <v>503</v>
      </c>
      <c r="E88" s="462" t="s">
        <v>161</v>
      </c>
      <c r="F88" s="462" t="s">
        <v>520</v>
      </c>
      <c r="G88" s="462" t="s">
        <v>96</v>
      </c>
      <c r="H88" s="462" t="s">
        <v>291</v>
      </c>
      <c r="I88" s="25">
        <v>0</v>
      </c>
      <c r="J88" s="25">
        <v>0</v>
      </c>
      <c r="K88" s="25">
        <v>0</v>
      </c>
      <c r="L88" s="25">
        <v>14702241.270000007</v>
      </c>
      <c r="M88" s="25">
        <v>0</v>
      </c>
      <c r="N88" s="462">
        <f t="shared" si="2"/>
        <v>14702241.270000007</v>
      </c>
      <c r="O88" s="130">
        <f t="shared" si="3"/>
        <v>14702241.270000007</v>
      </c>
    </row>
    <row r="89" spans="1:15" hidden="1" x14ac:dyDescent="0.25">
      <c r="A89" s="462" t="s">
        <v>140</v>
      </c>
      <c r="B89" s="462" t="s">
        <v>163</v>
      </c>
      <c r="C89" s="462" t="s">
        <v>157</v>
      </c>
      <c r="D89" s="476" t="s">
        <v>503</v>
      </c>
      <c r="E89" s="462" t="s">
        <v>161</v>
      </c>
      <c r="F89" s="462" t="s">
        <v>520</v>
      </c>
      <c r="G89" s="462" t="s">
        <v>96</v>
      </c>
      <c r="H89" s="462" t="s">
        <v>291</v>
      </c>
      <c r="I89" s="25">
        <v>0</v>
      </c>
      <c r="J89" s="25">
        <v>0</v>
      </c>
      <c r="K89" s="25">
        <v>0</v>
      </c>
      <c r="L89" s="25">
        <v>24907468.829999991</v>
      </c>
      <c r="M89" s="25">
        <v>0</v>
      </c>
      <c r="N89" s="462">
        <f t="shared" si="2"/>
        <v>24907468.829999991</v>
      </c>
      <c r="O89" s="130">
        <f t="shared" si="3"/>
        <v>24907468.829999991</v>
      </c>
    </row>
    <row r="90" spans="1:15" hidden="1" x14ac:dyDescent="0.25">
      <c r="A90" s="462" t="s">
        <v>140</v>
      </c>
      <c r="B90" s="462" t="s">
        <v>164</v>
      </c>
      <c r="C90" s="462" t="s">
        <v>157</v>
      </c>
      <c r="D90" s="476" t="s">
        <v>503</v>
      </c>
      <c r="E90" s="462" t="s">
        <v>161</v>
      </c>
      <c r="F90" s="462" t="s">
        <v>520</v>
      </c>
      <c r="G90" s="462" t="s">
        <v>96</v>
      </c>
      <c r="H90" s="462" t="s">
        <v>291</v>
      </c>
      <c r="I90" s="25">
        <v>0</v>
      </c>
      <c r="J90" s="25">
        <v>0</v>
      </c>
      <c r="K90" s="25">
        <v>0</v>
      </c>
      <c r="L90" s="25">
        <v>30155136.449999988</v>
      </c>
      <c r="M90" s="25">
        <v>0</v>
      </c>
      <c r="N90" s="462">
        <f t="shared" si="2"/>
        <v>30155136.449999988</v>
      </c>
      <c r="O90" s="130">
        <f t="shared" si="3"/>
        <v>30155136.449999988</v>
      </c>
    </row>
    <row r="91" spans="1:15" hidden="1" x14ac:dyDescent="0.25">
      <c r="A91" s="462" t="s">
        <v>140</v>
      </c>
      <c r="B91" s="462" t="s">
        <v>165</v>
      </c>
      <c r="C91" s="462" t="s">
        <v>157</v>
      </c>
      <c r="D91" s="476" t="s">
        <v>503</v>
      </c>
      <c r="E91" s="462" t="s">
        <v>161</v>
      </c>
      <c r="F91" s="462" t="s">
        <v>504</v>
      </c>
      <c r="G91" s="462" t="s">
        <v>96</v>
      </c>
      <c r="H91" s="462" t="s">
        <v>291</v>
      </c>
      <c r="I91" s="25">
        <v>0</v>
      </c>
      <c r="J91" s="25">
        <v>0</v>
      </c>
      <c r="K91" s="25">
        <v>0</v>
      </c>
      <c r="L91" s="25">
        <v>335637.49</v>
      </c>
      <c r="M91" s="25">
        <v>0</v>
      </c>
      <c r="N91" s="462">
        <f t="shared" si="2"/>
        <v>335637.49</v>
      </c>
      <c r="O91" s="130">
        <f t="shared" si="3"/>
        <v>335637.49</v>
      </c>
    </row>
    <row r="92" spans="1:15" hidden="1" x14ac:dyDescent="0.25">
      <c r="A92" s="462" t="s">
        <v>140</v>
      </c>
      <c r="B92" s="484" t="s">
        <v>166</v>
      </c>
      <c r="C92" s="462" t="s">
        <v>142</v>
      </c>
      <c r="D92" s="31" t="s">
        <v>495</v>
      </c>
      <c r="E92" s="484" t="s">
        <v>161</v>
      </c>
      <c r="F92" s="36" t="s">
        <v>519</v>
      </c>
      <c r="G92" s="484" t="s">
        <v>96</v>
      </c>
      <c r="H92" s="484" t="s">
        <v>292</v>
      </c>
      <c r="I92" s="484"/>
      <c r="J92" s="484"/>
      <c r="K92" s="219">
        <f t="shared" ref="K92" si="4">SUM(U92:W92)</f>
        <v>0</v>
      </c>
      <c r="L92" s="484"/>
      <c r="M92" s="484"/>
      <c r="N92" s="484">
        <f t="shared" si="2"/>
        <v>0</v>
      </c>
      <c r="O92" s="486">
        <f t="shared" si="3"/>
        <v>0</v>
      </c>
    </row>
    <row r="93" spans="1:15" hidden="1" x14ac:dyDescent="0.25">
      <c r="A93" s="462" t="s">
        <v>140</v>
      </c>
      <c r="B93" s="462" t="s">
        <v>167</v>
      </c>
      <c r="C93" s="462" t="s">
        <v>168</v>
      </c>
      <c r="D93" s="476" t="s">
        <v>490</v>
      </c>
      <c r="E93" s="462" t="s">
        <v>169</v>
      </c>
      <c r="F93" s="476" t="s">
        <v>619</v>
      </c>
      <c r="G93" s="462" t="s">
        <v>170</v>
      </c>
      <c r="H93" s="462" t="s">
        <v>291</v>
      </c>
      <c r="I93" s="25">
        <v>0</v>
      </c>
      <c r="J93" s="25">
        <v>0</v>
      </c>
      <c r="K93" s="25">
        <v>0</v>
      </c>
      <c r="L93" s="25">
        <v>7100323.7600000007</v>
      </c>
      <c r="M93" s="25">
        <v>0</v>
      </c>
      <c r="N93" s="462">
        <f t="shared" si="2"/>
        <v>7100323.7600000007</v>
      </c>
      <c r="O93" s="130">
        <f t="shared" si="3"/>
        <v>7100323.7600000007</v>
      </c>
    </row>
    <row r="94" spans="1:15" hidden="1" x14ac:dyDescent="0.25">
      <c r="A94" s="462" t="s">
        <v>140</v>
      </c>
      <c r="B94" s="462" t="s">
        <v>171</v>
      </c>
      <c r="C94" s="462" t="s">
        <v>168</v>
      </c>
      <c r="D94" s="476" t="s">
        <v>490</v>
      </c>
      <c r="E94" s="462" t="s">
        <v>169</v>
      </c>
      <c r="F94" s="476" t="s">
        <v>619</v>
      </c>
      <c r="G94" s="462" t="s">
        <v>172</v>
      </c>
      <c r="H94" s="462" t="s">
        <v>291</v>
      </c>
      <c r="I94" s="25">
        <v>0</v>
      </c>
      <c r="J94" s="25">
        <v>0</v>
      </c>
      <c r="K94" s="25">
        <v>0</v>
      </c>
      <c r="L94" s="25">
        <v>169980065.36999968</v>
      </c>
      <c r="M94" s="25">
        <v>0</v>
      </c>
      <c r="N94" s="462">
        <f t="shared" si="2"/>
        <v>169980065.36999968</v>
      </c>
      <c r="O94" s="130">
        <f t="shared" si="3"/>
        <v>169980065.36999968</v>
      </c>
    </row>
    <row r="95" spans="1:15" hidden="1" x14ac:dyDescent="0.25">
      <c r="A95" s="462" t="s">
        <v>140</v>
      </c>
      <c r="B95" s="462" t="s">
        <v>173</v>
      </c>
      <c r="C95" s="462" t="s">
        <v>168</v>
      </c>
      <c r="D95" s="476" t="s">
        <v>490</v>
      </c>
      <c r="E95" s="462" t="s">
        <v>169</v>
      </c>
      <c r="F95" s="476" t="s">
        <v>619</v>
      </c>
      <c r="G95" s="462" t="s">
        <v>96</v>
      </c>
      <c r="H95" s="462" t="s">
        <v>291</v>
      </c>
      <c r="I95" s="25">
        <v>0</v>
      </c>
      <c r="J95" s="25">
        <v>16025621.889999999</v>
      </c>
      <c r="K95" s="25">
        <v>9900680.1600000001</v>
      </c>
      <c r="L95" s="25">
        <v>163356771.46999994</v>
      </c>
      <c r="M95" s="25">
        <v>663558106.29289997</v>
      </c>
      <c r="N95" s="462">
        <f t="shared" si="2"/>
        <v>173257451.62999994</v>
      </c>
      <c r="O95" s="130">
        <f t="shared" si="3"/>
        <v>189283073.51999992</v>
      </c>
    </row>
    <row r="96" spans="1:15" hidden="1" x14ac:dyDescent="0.25">
      <c r="A96" s="462" t="s">
        <v>140</v>
      </c>
      <c r="B96" s="462" t="s">
        <v>174</v>
      </c>
      <c r="C96" s="462" t="s">
        <v>168</v>
      </c>
      <c r="D96" s="476" t="s">
        <v>490</v>
      </c>
      <c r="E96" s="462" t="s">
        <v>169</v>
      </c>
      <c r="F96" s="476" t="s">
        <v>619</v>
      </c>
      <c r="G96" s="462" t="s">
        <v>96</v>
      </c>
      <c r="H96" s="462" t="s">
        <v>291</v>
      </c>
      <c r="I96" s="25">
        <v>0</v>
      </c>
      <c r="J96" s="25">
        <v>1673944.2999999998</v>
      </c>
      <c r="K96" s="25">
        <v>5644864.1600000011</v>
      </c>
      <c r="L96" s="25">
        <v>17962969.829999998</v>
      </c>
      <c r="M96" s="25">
        <v>147977785.23060003</v>
      </c>
      <c r="N96" s="462">
        <f t="shared" si="2"/>
        <v>23607833.989999998</v>
      </c>
      <c r="O96" s="130">
        <f t="shared" si="3"/>
        <v>25281778.289999999</v>
      </c>
    </row>
    <row r="97" spans="1:15" hidden="1" x14ac:dyDescent="0.25">
      <c r="A97" s="462" t="s">
        <v>140</v>
      </c>
      <c r="B97" s="462" t="s">
        <v>173</v>
      </c>
      <c r="C97" s="462" t="s">
        <v>168</v>
      </c>
      <c r="D97" s="476" t="s">
        <v>490</v>
      </c>
      <c r="E97" s="462" t="s">
        <v>175</v>
      </c>
      <c r="F97" s="476" t="s">
        <v>620</v>
      </c>
      <c r="G97" s="462" t="s">
        <v>96</v>
      </c>
      <c r="H97" s="462" t="s">
        <v>291</v>
      </c>
      <c r="I97" s="25">
        <v>0</v>
      </c>
      <c r="J97" s="25">
        <v>4270575.3600000003</v>
      </c>
      <c r="K97" s="25">
        <v>111221156.59</v>
      </c>
      <c r="L97" s="25">
        <v>637981612.9000001</v>
      </c>
      <c r="M97" s="25">
        <v>0</v>
      </c>
      <c r="N97" s="462">
        <f t="shared" si="2"/>
        <v>749202769.49000013</v>
      </c>
      <c r="O97" s="130">
        <f t="shared" si="3"/>
        <v>753473344.85000014</v>
      </c>
    </row>
    <row r="98" spans="1:15" hidden="1" x14ac:dyDescent="0.25">
      <c r="A98" s="462" t="s">
        <v>140</v>
      </c>
      <c r="B98" s="462" t="s">
        <v>176</v>
      </c>
      <c r="C98" s="462" t="s">
        <v>157</v>
      </c>
      <c r="D98" s="476" t="s">
        <v>503</v>
      </c>
      <c r="E98" s="462" t="s">
        <v>177</v>
      </c>
      <c r="F98" s="462" t="s">
        <v>505</v>
      </c>
      <c r="G98" s="462" t="s">
        <v>159</v>
      </c>
      <c r="H98" s="462" t="s">
        <v>291</v>
      </c>
      <c r="I98" s="25">
        <v>0</v>
      </c>
      <c r="J98" s="25">
        <v>0</v>
      </c>
      <c r="K98" s="25">
        <v>11059.08</v>
      </c>
      <c r="L98" s="25">
        <v>65360653.509999998</v>
      </c>
      <c r="M98" s="25">
        <v>577762884.74320006</v>
      </c>
      <c r="N98" s="462">
        <f t="shared" si="2"/>
        <v>65371712.589999996</v>
      </c>
      <c r="O98" s="130">
        <f t="shared" si="3"/>
        <v>65371712.589999996</v>
      </c>
    </row>
    <row r="99" spans="1:15" hidden="1" x14ac:dyDescent="0.25">
      <c r="A99" s="462" t="s">
        <v>140</v>
      </c>
      <c r="B99" s="462" t="s">
        <v>173</v>
      </c>
      <c r="C99" s="462" t="s">
        <v>168</v>
      </c>
      <c r="D99" s="476" t="s">
        <v>490</v>
      </c>
      <c r="E99" s="462" t="s">
        <v>178</v>
      </c>
      <c r="F99" s="476" t="s">
        <v>499</v>
      </c>
      <c r="G99" s="462" t="s">
        <v>179</v>
      </c>
      <c r="H99" s="462" t="s">
        <v>291</v>
      </c>
      <c r="I99" s="25">
        <v>0</v>
      </c>
      <c r="J99" s="25">
        <v>19610069.489999998</v>
      </c>
      <c r="K99" s="25">
        <v>0</v>
      </c>
      <c r="L99" s="25">
        <v>87453026.309999973</v>
      </c>
      <c r="M99" s="25">
        <v>0</v>
      </c>
      <c r="N99" s="462">
        <f t="shared" si="2"/>
        <v>87453026.309999973</v>
      </c>
      <c r="O99" s="130">
        <f t="shared" si="3"/>
        <v>107063095.79999997</v>
      </c>
    </row>
    <row r="100" spans="1:15" hidden="1" x14ac:dyDescent="0.25">
      <c r="A100" s="462" t="s">
        <v>140</v>
      </c>
      <c r="B100" s="462" t="s">
        <v>180</v>
      </c>
      <c r="C100" s="462" t="s">
        <v>168</v>
      </c>
      <c r="D100" s="476" t="s">
        <v>490</v>
      </c>
      <c r="E100" s="462" t="s">
        <v>178</v>
      </c>
      <c r="F100" s="476" t="s">
        <v>499</v>
      </c>
      <c r="G100" s="462" t="s">
        <v>179</v>
      </c>
      <c r="H100" s="462" t="s">
        <v>291</v>
      </c>
      <c r="I100" s="25">
        <v>0</v>
      </c>
      <c r="J100" s="25">
        <v>8664932.9100000001</v>
      </c>
      <c r="K100" s="25">
        <v>0</v>
      </c>
      <c r="L100" s="25">
        <v>176490389.13000005</v>
      </c>
      <c r="M100" s="25">
        <v>0</v>
      </c>
      <c r="N100" s="462">
        <f t="shared" si="2"/>
        <v>176490389.13000005</v>
      </c>
      <c r="O100" s="130">
        <f t="shared" si="3"/>
        <v>185155322.04000005</v>
      </c>
    </row>
    <row r="101" spans="1:15" hidden="1" x14ac:dyDescent="0.25">
      <c r="A101" s="462" t="s">
        <v>140</v>
      </c>
      <c r="B101" s="462" t="s">
        <v>180</v>
      </c>
      <c r="C101" s="462" t="s">
        <v>168</v>
      </c>
      <c r="D101" s="476" t="s">
        <v>490</v>
      </c>
      <c r="E101" s="462" t="s">
        <v>181</v>
      </c>
      <c r="F101" s="476" t="s">
        <v>621</v>
      </c>
      <c r="G101" s="462" t="s">
        <v>179</v>
      </c>
      <c r="H101" s="462" t="s">
        <v>291</v>
      </c>
      <c r="I101" s="25">
        <v>0</v>
      </c>
      <c r="J101" s="25">
        <v>140474182.20999998</v>
      </c>
      <c r="K101" s="25">
        <v>452439335.18000209</v>
      </c>
      <c r="L101" s="25">
        <v>0</v>
      </c>
      <c r="M101" s="25">
        <v>0</v>
      </c>
      <c r="N101" s="462">
        <f t="shared" si="2"/>
        <v>452439335.18000209</v>
      </c>
      <c r="O101" s="130">
        <f t="shared" si="3"/>
        <v>592913517.39000201</v>
      </c>
    </row>
    <row r="102" spans="1:15" hidden="1" x14ac:dyDescent="0.25">
      <c r="A102" s="471" t="s">
        <v>622</v>
      </c>
      <c r="B102" s="472" t="s">
        <v>211</v>
      </c>
      <c r="C102" s="472"/>
      <c r="D102" s="473" t="s">
        <v>626</v>
      </c>
      <c r="E102" s="474"/>
      <c r="F102" s="474" t="s">
        <v>241</v>
      </c>
      <c r="G102" s="471">
        <v>1</v>
      </c>
      <c r="H102" s="462" t="s">
        <v>291</v>
      </c>
      <c r="I102" s="462">
        <v>0</v>
      </c>
      <c r="J102" s="462">
        <v>0</v>
      </c>
      <c r="K102" s="479">
        <v>2172671.38</v>
      </c>
      <c r="L102" s="479">
        <v>960372.74</v>
      </c>
      <c r="M102" s="462">
        <v>0</v>
      </c>
      <c r="N102" s="481">
        <f>SUM(K102,L102)</f>
        <v>3133044.12</v>
      </c>
      <c r="O102" s="130">
        <f t="shared" si="3"/>
        <v>3133044.12</v>
      </c>
    </row>
    <row r="103" spans="1:15" hidden="1" x14ac:dyDescent="0.25">
      <c r="A103" s="462" t="s">
        <v>622</v>
      </c>
      <c r="B103" s="464" t="s">
        <v>217</v>
      </c>
      <c r="C103" s="464"/>
      <c r="D103" s="465" t="s">
        <v>626</v>
      </c>
      <c r="E103" s="466"/>
      <c r="F103" s="466" t="s">
        <v>241</v>
      </c>
      <c r="G103" s="462">
        <v>1</v>
      </c>
      <c r="H103" s="462" t="s">
        <v>291</v>
      </c>
      <c r="I103" s="462">
        <v>0</v>
      </c>
      <c r="J103" s="462">
        <v>0</v>
      </c>
      <c r="K103" s="479" t="s">
        <v>249</v>
      </c>
      <c r="L103" s="479">
        <v>1189328.21</v>
      </c>
      <c r="M103" s="462">
        <v>0</v>
      </c>
      <c r="N103" s="462">
        <f t="shared" si="2"/>
        <v>1189328.21</v>
      </c>
      <c r="O103" s="130">
        <f t="shared" si="3"/>
        <v>1189328.21</v>
      </c>
    </row>
    <row r="104" spans="1:15" hidden="1" x14ac:dyDescent="0.25">
      <c r="A104" s="462" t="s">
        <v>622</v>
      </c>
      <c r="B104" s="464" t="s">
        <v>215</v>
      </c>
      <c r="C104" s="464"/>
      <c r="D104" s="465" t="s">
        <v>626</v>
      </c>
      <c r="E104" s="466"/>
      <c r="F104" s="466" t="s">
        <v>255</v>
      </c>
      <c r="G104" s="462">
        <v>1</v>
      </c>
      <c r="H104" s="462" t="s">
        <v>291</v>
      </c>
      <c r="I104" s="462">
        <v>0</v>
      </c>
      <c r="J104" s="462">
        <v>0</v>
      </c>
      <c r="K104" s="480">
        <v>2035082.17</v>
      </c>
      <c r="L104" s="480">
        <v>774577.48</v>
      </c>
      <c r="M104" s="462">
        <v>0</v>
      </c>
      <c r="N104" s="462">
        <f t="shared" si="2"/>
        <v>2809659.65</v>
      </c>
      <c r="O104" s="130">
        <f t="shared" si="3"/>
        <v>2809659.65</v>
      </c>
    </row>
    <row r="105" spans="1:15" hidden="1" x14ac:dyDescent="0.25">
      <c r="A105" s="462" t="s">
        <v>622</v>
      </c>
      <c r="B105" s="464" t="s">
        <v>219</v>
      </c>
      <c r="C105" s="464"/>
      <c r="D105" s="465" t="s">
        <v>626</v>
      </c>
      <c r="E105" s="466"/>
      <c r="F105" s="466" t="s">
        <v>255</v>
      </c>
      <c r="G105" s="462">
        <v>1</v>
      </c>
      <c r="H105" s="462" t="s">
        <v>291</v>
      </c>
      <c r="I105" s="462">
        <v>0</v>
      </c>
      <c r="J105" s="462">
        <v>0</v>
      </c>
      <c r="K105" s="480">
        <v>4769337.6900000004</v>
      </c>
      <c r="L105" s="480">
        <v>773303.3</v>
      </c>
      <c r="M105" s="462">
        <v>0</v>
      </c>
      <c r="N105" s="462">
        <f t="shared" si="2"/>
        <v>5542640.9900000002</v>
      </c>
      <c r="O105" s="130">
        <f t="shared" si="3"/>
        <v>5542640.9900000002</v>
      </c>
    </row>
    <row r="106" spans="1:15" hidden="1" x14ac:dyDescent="0.25">
      <c r="A106" s="462" t="s">
        <v>622</v>
      </c>
      <c r="B106" s="464" t="s">
        <v>218</v>
      </c>
      <c r="C106" s="464"/>
      <c r="D106" s="465" t="s">
        <v>626</v>
      </c>
      <c r="E106" s="466"/>
      <c r="F106" s="466" t="s">
        <v>270</v>
      </c>
      <c r="G106" s="462">
        <v>1</v>
      </c>
      <c r="H106" s="462" t="s">
        <v>291</v>
      </c>
      <c r="I106" s="462">
        <v>0</v>
      </c>
      <c r="J106" s="462">
        <v>0</v>
      </c>
      <c r="K106" s="479">
        <v>3110571.02</v>
      </c>
      <c r="L106" s="479">
        <v>901550.38</v>
      </c>
      <c r="M106" s="462">
        <v>0</v>
      </c>
      <c r="N106" s="462">
        <f t="shared" si="2"/>
        <v>4012121.4</v>
      </c>
      <c r="O106" s="130">
        <f t="shared" si="3"/>
        <v>4012121.4</v>
      </c>
    </row>
    <row r="107" spans="1:15" hidden="1" x14ac:dyDescent="0.25">
      <c r="A107" s="462" t="s">
        <v>622</v>
      </c>
      <c r="B107" s="464" t="s">
        <v>220</v>
      </c>
      <c r="C107" s="464"/>
      <c r="D107" s="465" t="s">
        <v>626</v>
      </c>
      <c r="E107" s="466"/>
      <c r="F107" s="466" t="s">
        <v>277</v>
      </c>
      <c r="G107" s="462">
        <v>1</v>
      </c>
      <c r="H107" s="462" t="s">
        <v>291</v>
      </c>
      <c r="I107" s="462">
        <v>0</v>
      </c>
      <c r="J107" s="462">
        <v>0</v>
      </c>
      <c r="K107" s="480">
        <v>2707319.34</v>
      </c>
      <c r="L107" s="480">
        <v>1735992.47</v>
      </c>
      <c r="M107" s="462">
        <v>0</v>
      </c>
      <c r="N107" s="462">
        <f t="shared" si="2"/>
        <v>4443311.8099999996</v>
      </c>
      <c r="O107" s="130">
        <f t="shared" si="3"/>
        <v>4443311.8099999996</v>
      </c>
    </row>
    <row r="108" spans="1:15" hidden="1" x14ac:dyDescent="0.25">
      <c r="A108" s="462" t="s">
        <v>622</v>
      </c>
      <c r="B108" s="464" t="s">
        <v>216</v>
      </c>
      <c r="C108" s="464"/>
      <c r="D108" s="465" t="s">
        <v>626</v>
      </c>
      <c r="E108" s="466"/>
      <c r="F108" s="466" t="s">
        <v>277</v>
      </c>
      <c r="G108" s="462">
        <v>1</v>
      </c>
      <c r="H108" s="462" t="s">
        <v>291</v>
      </c>
      <c r="I108" s="462">
        <v>0</v>
      </c>
      <c r="J108" s="462">
        <v>0</v>
      </c>
      <c r="K108" s="480">
        <v>2082253.6</v>
      </c>
      <c r="L108" s="480">
        <v>1012585.14</v>
      </c>
      <c r="M108" s="462">
        <v>0</v>
      </c>
      <c r="N108" s="462">
        <f t="shared" si="2"/>
        <v>3094838.74</v>
      </c>
      <c r="O108" s="130">
        <f t="shared" si="3"/>
        <v>3094838.74</v>
      </c>
    </row>
    <row r="109" spans="1:15" hidden="1" x14ac:dyDescent="0.25">
      <c r="A109" s="462" t="s">
        <v>7</v>
      </c>
      <c r="B109" s="462" t="s">
        <v>8</v>
      </c>
      <c r="C109" s="25"/>
      <c r="D109" s="25" t="s">
        <v>362</v>
      </c>
      <c r="E109" s="25"/>
      <c r="F109" s="25" t="s">
        <v>369</v>
      </c>
      <c r="G109" s="462"/>
      <c r="H109" s="462" t="s">
        <v>292</v>
      </c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62">
        <f t="shared" si="2"/>
        <v>0</v>
      </c>
      <c r="O109" s="130">
        <f t="shared" si="3"/>
        <v>0</v>
      </c>
    </row>
    <row r="110" spans="1:15" hidden="1" x14ac:dyDescent="0.25">
      <c r="A110" s="462" t="s">
        <v>7</v>
      </c>
      <c r="B110" s="462" t="s">
        <v>8</v>
      </c>
      <c r="C110" s="25"/>
      <c r="D110" s="25" t="s">
        <v>362</v>
      </c>
      <c r="E110" s="25"/>
      <c r="F110" s="25" t="s">
        <v>370</v>
      </c>
      <c r="G110" s="462"/>
      <c r="H110" s="462" t="s">
        <v>292</v>
      </c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62">
        <f t="shared" si="2"/>
        <v>0</v>
      </c>
      <c r="O110" s="130">
        <f t="shared" si="3"/>
        <v>0</v>
      </c>
    </row>
    <row r="111" spans="1:15" hidden="1" x14ac:dyDescent="0.25">
      <c r="A111" s="462" t="s">
        <v>7</v>
      </c>
      <c r="B111" s="462" t="s">
        <v>8</v>
      </c>
      <c r="C111" s="25"/>
      <c r="D111" s="25" t="s">
        <v>362</v>
      </c>
      <c r="E111" s="25"/>
      <c r="F111" s="25" t="s">
        <v>371</v>
      </c>
      <c r="G111" s="462"/>
      <c r="H111" s="462" t="s">
        <v>292</v>
      </c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62">
        <f t="shared" si="2"/>
        <v>0</v>
      </c>
      <c r="O111" s="130">
        <f t="shared" si="3"/>
        <v>0</v>
      </c>
    </row>
    <row r="112" spans="1:15" hidden="1" x14ac:dyDescent="0.25">
      <c r="A112" s="462" t="s">
        <v>7</v>
      </c>
      <c r="B112" s="462" t="s">
        <v>8</v>
      </c>
      <c r="C112" s="25"/>
      <c r="D112" s="25" t="s">
        <v>364</v>
      </c>
      <c r="E112" s="25"/>
      <c r="F112" s="25" t="s">
        <v>372</v>
      </c>
      <c r="G112" s="462"/>
      <c r="H112" s="462" t="s">
        <v>292</v>
      </c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62">
        <f t="shared" si="2"/>
        <v>0</v>
      </c>
      <c r="O112" s="130">
        <f t="shared" si="3"/>
        <v>0</v>
      </c>
    </row>
    <row r="113" spans="1:15" hidden="1" x14ac:dyDescent="0.25">
      <c r="A113" s="462" t="s">
        <v>7</v>
      </c>
      <c r="B113" s="462" t="s">
        <v>8</v>
      </c>
      <c r="C113" s="25"/>
      <c r="D113" s="25" t="s">
        <v>364</v>
      </c>
      <c r="E113" s="25"/>
      <c r="F113" s="25" t="s">
        <v>373</v>
      </c>
      <c r="G113" s="462"/>
      <c r="H113" s="462" t="s">
        <v>292</v>
      </c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62">
        <f t="shared" si="2"/>
        <v>0</v>
      </c>
      <c r="O113" s="130">
        <f t="shared" si="3"/>
        <v>0</v>
      </c>
    </row>
    <row r="114" spans="1:15" hidden="1" x14ac:dyDescent="0.25">
      <c r="A114" s="462" t="s">
        <v>7</v>
      </c>
      <c r="B114" s="462" t="s">
        <v>8</v>
      </c>
      <c r="C114" s="25"/>
      <c r="D114" s="25" t="s">
        <v>362</v>
      </c>
      <c r="E114" s="25"/>
      <c r="F114" s="25" t="s">
        <v>369</v>
      </c>
      <c r="G114" s="462"/>
      <c r="H114" s="462" t="s">
        <v>292</v>
      </c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62">
        <f t="shared" si="2"/>
        <v>0</v>
      </c>
      <c r="O114" s="130">
        <f t="shared" si="3"/>
        <v>0</v>
      </c>
    </row>
    <row r="115" spans="1:15" hidden="1" x14ac:dyDescent="0.25">
      <c r="A115" s="462" t="s">
        <v>7</v>
      </c>
      <c r="B115" s="462" t="s">
        <v>8</v>
      </c>
      <c r="C115" s="25"/>
      <c r="D115" s="25" t="s">
        <v>362</v>
      </c>
      <c r="E115" s="25"/>
      <c r="F115" s="25" t="s">
        <v>370</v>
      </c>
      <c r="G115" s="462"/>
      <c r="H115" s="462" t="s">
        <v>292</v>
      </c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62">
        <f t="shared" si="2"/>
        <v>0</v>
      </c>
      <c r="O115" s="130">
        <f t="shared" si="3"/>
        <v>0</v>
      </c>
    </row>
    <row r="116" spans="1:15" hidden="1" x14ac:dyDescent="0.25">
      <c r="A116" s="462" t="s">
        <v>7</v>
      </c>
      <c r="B116" s="462" t="s">
        <v>8</v>
      </c>
      <c r="C116" s="25"/>
      <c r="D116" s="25" t="s">
        <v>362</v>
      </c>
      <c r="E116" s="25"/>
      <c r="F116" s="25" t="s">
        <v>371</v>
      </c>
      <c r="G116" s="462"/>
      <c r="H116" s="462" t="s">
        <v>292</v>
      </c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62">
        <f t="shared" si="2"/>
        <v>0</v>
      </c>
      <c r="O116" s="130">
        <f t="shared" si="3"/>
        <v>0</v>
      </c>
    </row>
    <row r="117" spans="1:15" hidden="1" x14ac:dyDescent="0.25">
      <c r="A117" s="462" t="s">
        <v>7</v>
      </c>
      <c r="B117" s="462" t="s">
        <v>8</v>
      </c>
      <c r="C117" s="25"/>
      <c r="D117" s="25" t="s">
        <v>364</v>
      </c>
      <c r="E117" s="25"/>
      <c r="F117" s="25" t="s">
        <v>372</v>
      </c>
      <c r="G117" s="462"/>
      <c r="H117" s="462" t="s">
        <v>292</v>
      </c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62">
        <f t="shared" si="2"/>
        <v>0</v>
      </c>
      <c r="O117" s="130">
        <f t="shared" si="3"/>
        <v>0</v>
      </c>
    </row>
    <row r="118" spans="1:15" hidden="1" x14ac:dyDescent="0.25">
      <c r="A118" s="462" t="s">
        <v>7</v>
      </c>
      <c r="B118" s="462" t="s">
        <v>8</v>
      </c>
      <c r="C118" s="25"/>
      <c r="D118" s="25" t="s">
        <v>364</v>
      </c>
      <c r="E118" s="25"/>
      <c r="F118" s="25" t="s">
        <v>373</v>
      </c>
      <c r="G118" s="462"/>
      <c r="H118" s="462" t="s">
        <v>292</v>
      </c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62">
        <f t="shared" si="2"/>
        <v>0</v>
      </c>
      <c r="O118" s="130">
        <f t="shared" si="3"/>
        <v>0</v>
      </c>
    </row>
    <row r="119" spans="1:15" hidden="1" x14ac:dyDescent="0.25">
      <c r="A119" s="462" t="s">
        <v>7</v>
      </c>
      <c r="B119" s="462" t="s">
        <v>8</v>
      </c>
      <c r="C119" s="25"/>
      <c r="D119" s="25" t="s">
        <v>364</v>
      </c>
      <c r="E119" s="25"/>
      <c r="F119" s="25" t="s">
        <v>381</v>
      </c>
      <c r="G119" s="462"/>
      <c r="H119" s="462" t="s">
        <v>292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62">
        <f t="shared" si="2"/>
        <v>0</v>
      </c>
      <c r="O119" s="130">
        <f t="shared" si="3"/>
        <v>0</v>
      </c>
    </row>
    <row r="120" spans="1:15" hidden="1" x14ac:dyDescent="0.25">
      <c r="A120" s="462" t="s">
        <v>28</v>
      </c>
      <c r="B120" s="25" t="s">
        <v>29</v>
      </c>
      <c r="C120" s="25"/>
      <c r="D120" s="25" t="s">
        <v>556</v>
      </c>
      <c r="E120" s="25"/>
      <c r="F120" s="25" t="s">
        <v>557</v>
      </c>
      <c r="G120" s="462"/>
      <c r="H120" s="462" t="s">
        <v>292</v>
      </c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62">
        <f t="shared" si="2"/>
        <v>0</v>
      </c>
      <c r="O120" s="130">
        <f t="shared" si="3"/>
        <v>0</v>
      </c>
    </row>
    <row r="121" spans="1:15" hidden="1" x14ac:dyDescent="0.25">
      <c r="A121" s="462" t="s">
        <v>28</v>
      </c>
      <c r="B121" s="25" t="s">
        <v>29</v>
      </c>
      <c r="C121" s="25"/>
      <c r="D121" s="25" t="s">
        <v>556</v>
      </c>
      <c r="E121" s="25"/>
      <c r="F121" s="25" t="s">
        <v>558</v>
      </c>
      <c r="G121" s="462"/>
      <c r="H121" s="462" t="s">
        <v>292</v>
      </c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62">
        <f t="shared" si="2"/>
        <v>0</v>
      </c>
      <c r="O121" s="130">
        <f t="shared" si="3"/>
        <v>0</v>
      </c>
    </row>
    <row r="122" spans="1:15" hidden="1" x14ac:dyDescent="0.25">
      <c r="A122" s="462" t="s">
        <v>28</v>
      </c>
      <c r="B122" s="25" t="s">
        <v>29</v>
      </c>
      <c r="C122" s="25"/>
      <c r="D122" s="25" t="s">
        <v>556</v>
      </c>
      <c r="E122" s="25"/>
      <c r="F122" s="25" t="s">
        <v>560</v>
      </c>
      <c r="G122" s="462"/>
      <c r="H122" s="462" t="s">
        <v>292</v>
      </c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62">
        <f t="shared" si="2"/>
        <v>0</v>
      </c>
      <c r="O122" s="130">
        <f t="shared" si="3"/>
        <v>0</v>
      </c>
    </row>
    <row r="123" spans="1:15" hidden="1" x14ac:dyDescent="0.25">
      <c r="A123" s="462" t="s">
        <v>28</v>
      </c>
      <c r="B123" s="25" t="s">
        <v>547</v>
      </c>
      <c r="C123" s="25"/>
      <c r="D123" s="25" t="s">
        <v>552</v>
      </c>
      <c r="E123" s="25"/>
      <c r="F123" s="25" t="s">
        <v>553</v>
      </c>
      <c r="G123" s="462"/>
      <c r="H123" s="462" t="s">
        <v>292</v>
      </c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62">
        <f t="shared" si="2"/>
        <v>0</v>
      </c>
      <c r="O123" s="130">
        <f t="shared" si="3"/>
        <v>0</v>
      </c>
    </row>
    <row r="124" spans="1:15" hidden="1" x14ac:dyDescent="0.25">
      <c r="A124" s="462" t="s">
        <v>28</v>
      </c>
      <c r="B124" s="25" t="s">
        <v>549</v>
      </c>
      <c r="C124" s="25"/>
      <c r="D124" s="25" t="s">
        <v>556</v>
      </c>
      <c r="E124" s="25"/>
      <c r="F124" s="25" t="s">
        <v>558</v>
      </c>
      <c r="G124" s="462"/>
      <c r="H124" s="462" t="s">
        <v>292</v>
      </c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62">
        <f t="shared" si="2"/>
        <v>0</v>
      </c>
      <c r="O124" s="130">
        <f t="shared" si="3"/>
        <v>0</v>
      </c>
    </row>
    <row r="125" spans="1:15" hidden="1" x14ac:dyDescent="0.25">
      <c r="A125" s="462" t="s">
        <v>28</v>
      </c>
      <c r="B125" s="25" t="s">
        <v>539</v>
      </c>
      <c r="C125" s="25"/>
      <c r="D125" s="25" t="s">
        <v>552</v>
      </c>
      <c r="E125" s="25"/>
      <c r="F125" s="25" t="s">
        <v>554</v>
      </c>
      <c r="G125" s="462"/>
      <c r="H125" s="462" t="s">
        <v>292</v>
      </c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62">
        <f t="shared" si="2"/>
        <v>0</v>
      </c>
      <c r="O125" s="130">
        <f t="shared" si="3"/>
        <v>0</v>
      </c>
    </row>
    <row r="126" spans="1:15" hidden="1" x14ac:dyDescent="0.25">
      <c r="A126" s="462" t="s">
        <v>28</v>
      </c>
      <c r="B126" s="25" t="s">
        <v>546</v>
      </c>
      <c r="C126" s="25"/>
      <c r="D126" s="25" t="s">
        <v>556</v>
      </c>
      <c r="E126" s="25"/>
      <c r="F126" s="25" t="s">
        <v>558</v>
      </c>
      <c r="G126" s="462"/>
      <c r="H126" s="462" t="s">
        <v>292</v>
      </c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62">
        <f t="shared" si="2"/>
        <v>0</v>
      </c>
      <c r="O126" s="130">
        <f t="shared" si="3"/>
        <v>0</v>
      </c>
    </row>
    <row r="127" spans="1:15" hidden="1" x14ac:dyDescent="0.25">
      <c r="A127" s="462" t="s">
        <v>28</v>
      </c>
      <c r="B127" s="25" t="s">
        <v>541</v>
      </c>
      <c r="C127" s="25"/>
      <c r="D127" s="25" t="s">
        <v>552</v>
      </c>
      <c r="E127" s="25"/>
      <c r="F127" s="25" t="s">
        <v>554</v>
      </c>
      <c r="G127" s="462"/>
      <c r="H127" s="462" t="s">
        <v>292</v>
      </c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62">
        <f t="shared" si="2"/>
        <v>0</v>
      </c>
      <c r="O127" s="130">
        <f t="shared" si="3"/>
        <v>0</v>
      </c>
    </row>
    <row r="128" spans="1:15" hidden="1" x14ac:dyDescent="0.25">
      <c r="A128" s="462" t="s">
        <v>28</v>
      </c>
      <c r="B128" s="25" t="s">
        <v>534</v>
      </c>
      <c r="C128" s="25"/>
      <c r="D128" s="25" t="s">
        <v>552</v>
      </c>
      <c r="E128" s="25"/>
      <c r="F128" s="25" t="s">
        <v>554</v>
      </c>
      <c r="G128" s="462"/>
      <c r="H128" s="462" t="s">
        <v>292</v>
      </c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62">
        <f t="shared" si="2"/>
        <v>0</v>
      </c>
      <c r="O128" s="130">
        <f t="shared" si="3"/>
        <v>0</v>
      </c>
    </row>
    <row r="129" spans="1:15" hidden="1" x14ac:dyDescent="0.25">
      <c r="A129" s="462" t="s">
        <v>28</v>
      </c>
      <c r="B129" s="25" t="s">
        <v>525</v>
      </c>
      <c r="C129" s="25"/>
      <c r="D129" s="25" t="s">
        <v>552</v>
      </c>
      <c r="E129" s="25"/>
      <c r="F129" s="25" t="s">
        <v>553</v>
      </c>
      <c r="G129" s="462"/>
      <c r="H129" s="462" t="s">
        <v>292</v>
      </c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62">
        <f t="shared" si="2"/>
        <v>0</v>
      </c>
      <c r="O129" s="130">
        <f t="shared" si="3"/>
        <v>0</v>
      </c>
    </row>
    <row r="130" spans="1:15" hidden="1" x14ac:dyDescent="0.25">
      <c r="A130" s="462" t="s">
        <v>28</v>
      </c>
      <c r="B130" s="25" t="s">
        <v>551</v>
      </c>
      <c r="C130" s="25"/>
      <c r="D130" s="25" t="s">
        <v>552</v>
      </c>
      <c r="E130" s="25"/>
      <c r="F130" s="25" t="s">
        <v>555</v>
      </c>
      <c r="G130" s="462"/>
      <c r="H130" s="462" t="s">
        <v>292</v>
      </c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62">
        <f t="shared" si="2"/>
        <v>0</v>
      </c>
      <c r="O130" s="130">
        <f t="shared" si="3"/>
        <v>0</v>
      </c>
    </row>
    <row r="131" spans="1:15" hidden="1" x14ac:dyDescent="0.25">
      <c r="A131" s="462" t="s">
        <v>28</v>
      </c>
      <c r="B131" s="25" t="s">
        <v>542</v>
      </c>
      <c r="C131" s="25"/>
      <c r="D131" s="25" t="s">
        <v>552</v>
      </c>
      <c r="E131" s="25"/>
      <c r="F131" s="25" t="s">
        <v>555</v>
      </c>
      <c r="G131" s="462"/>
      <c r="H131" s="462" t="s">
        <v>292</v>
      </c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62">
        <f t="shared" ref="N131:N194" si="5">SUM(K131,L131)</f>
        <v>0</v>
      </c>
      <c r="O131" s="130">
        <f t="shared" ref="O131:O194" si="6">SUM(I131:L131)</f>
        <v>0</v>
      </c>
    </row>
    <row r="132" spans="1:15" hidden="1" x14ac:dyDescent="0.25">
      <c r="A132" s="462" t="s">
        <v>28</v>
      </c>
      <c r="B132" s="25" t="s">
        <v>545</v>
      </c>
      <c r="C132" s="25"/>
      <c r="D132" s="25" t="s">
        <v>552</v>
      </c>
      <c r="E132" s="25"/>
      <c r="F132" s="25" t="s">
        <v>559</v>
      </c>
      <c r="G132" s="462"/>
      <c r="H132" s="462" t="s">
        <v>292</v>
      </c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62">
        <f t="shared" si="5"/>
        <v>0</v>
      </c>
      <c r="O132" s="130">
        <f t="shared" si="6"/>
        <v>0</v>
      </c>
    </row>
    <row r="133" spans="1:15" hidden="1" x14ac:dyDescent="0.25">
      <c r="A133" s="462" t="s">
        <v>28</v>
      </c>
      <c r="B133" s="25" t="s">
        <v>545</v>
      </c>
      <c r="C133" s="25"/>
      <c r="D133" s="25" t="s">
        <v>552</v>
      </c>
      <c r="E133" s="25"/>
      <c r="F133" s="25" t="s">
        <v>555</v>
      </c>
      <c r="G133" s="462"/>
      <c r="H133" s="462" t="s">
        <v>292</v>
      </c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462">
        <f t="shared" si="5"/>
        <v>0</v>
      </c>
      <c r="O133" s="130">
        <f t="shared" si="6"/>
        <v>0</v>
      </c>
    </row>
    <row r="134" spans="1:15" hidden="1" x14ac:dyDescent="0.25">
      <c r="A134" s="462" t="s">
        <v>28</v>
      </c>
      <c r="B134" s="25" t="s">
        <v>533</v>
      </c>
      <c r="C134" s="25"/>
      <c r="D134" s="25" t="s">
        <v>552</v>
      </c>
      <c r="E134" s="25"/>
      <c r="F134" s="25" t="s">
        <v>553</v>
      </c>
      <c r="G134" s="462"/>
      <c r="H134" s="462" t="s">
        <v>292</v>
      </c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462">
        <f t="shared" si="5"/>
        <v>0</v>
      </c>
      <c r="O134" s="130">
        <f t="shared" si="6"/>
        <v>0</v>
      </c>
    </row>
    <row r="135" spans="1:15" hidden="1" x14ac:dyDescent="0.25">
      <c r="A135" s="462" t="s">
        <v>28</v>
      </c>
      <c r="B135" s="25" t="s">
        <v>533</v>
      </c>
      <c r="C135" s="25"/>
      <c r="D135" s="25" t="s">
        <v>552</v>
      </c>
      <c r="E135" s="25"/>
      <c r="F135" s="25" t="s">
        <v>559</v>
      </c>
      <c r="G135" s="462"/>
      <c r="H135" s="462" t="s">
        <v>292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462">
        <f t="shared" si="5"/>
        <v>0</v>
      </c>
      <c r="O135" s="130">
        <f t="shared" si="6"/>
        <v>0</v>
      </c>
    </row>
    <row r="136" spans="1:15" hidden="1" x14ac:dyDescent="0.25">
      <c r="A136" s="462" t="s">
        <v>28</v>
      </c>
      <c r="B136" s="25" t="s">
        <v>533</v>
      </c>
      <c r="C136" s="25"/>
      <c r="D136" s="25" t="s">
        <v>552</v>
      </c>
      <c r="E136" s="25"/>
      <c r="F136" s="25" t="s">
        <v>555</v>
      </c>
      <c r="G136" s="462"/>
      <c r="H136" s="462" t="s">
        <v>292</v>
      </c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62">
        <f t="shared" si="5"/>
        <v>0</v>
      </c>
      <c r="O136" s="130">
        <f t="shared" si="6"/>
        <v>0</v>
      </c>
    </row>
    <row r="137" spans="1:15" hidden="1" x14ac:dyDescent="0.25">
      <c r="A137" s="462" t="s">
        <v>28</v>
      </c>
      <c r="B137" s="25" t="s">
        <v>531</v>
      </c>
      <c r="C137" s="25"/>
      <c r="D137" s="25" t="s">
        <v>552</v>
      </c>
      <c r="E137" s="25"/>
      <c r="F137" s="25" t="s">
        <v>559</v>
      </c>
      <c r="G137" s="462"/>
      <c r="H137" s="462" t="s">
        <v>292</v>
      </c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62">
        <f t="shared" si="5"/>
        <v>0</v>
      </c>
      <c r="O137" s="130">
        <f t="shared" si="6"/>
        <v>0</v>
      </c>
    </row>
    <row r="138" spans="1:15" hidden="1" x14ac:dyDescent="0.25">
      <c r="A138" s="462" t="s">
        <v>59</v>
      </c>
      <c r="B138" s="25" t="s">
        <v>431</v>
      </c>
      <c r="C138" s="25"/>
      <c r="D138" s="25" t="s">
        <v>453</v>
      </c>
      <c r="E138" s="25"/>
      <c r="F138" s="25" t="s">
        <v>461</v>
      </c>
      <c r="G138" s="462"/>
      <c r="H138" s="462" t="s">
        <v>292</v>
      </c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462">
        <f t="shared" si="5"/>
        <v>0</v>
      </c>
      <c r="O138" s="130">
        <f t="shared" si="6"/>
        <v>0</v>
      </c>
    </row>
    <row r="139" spans="1:15" hidden="1" x14ac:dyDescent="0.25">
      <c r="A139" s="462" t="s">
        <v>59</v>
      </c>
      <c r="B139" s="25" t="s">
        <v>74</v>
      </c>
      <c r="C139" s="25"/>
      <c r="D139" s="25" t="s">
        <v>453</v>
      </c>
      <c r="E139" s="25"/>
      <c r="F139" s="25" t="s">
        <v>461</v>
      </c>
      <c r="G139" s="462"/>
      <c r="H139" s="462" t="s">
        <v>292</v>
      </c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462">
        <f t="shared" si="5"/>
        <v>0</v>
      </c>
      <c r="O139" s="130">
        <f t="shared" si="6"/>
        <v>0</v>
      </c>
    </row>
    <row r="140" spans="1:15" hidden="1" x14ac:dyDescent="0.25">
      <c r="A140" s="462" t="s">
        <v>59</v>
      </c>
      <c r="B140" s="25" t="s">
        <v>78</v>
      </c>
      <c r="C140" s="25"/>
      <c r="D140" s="25" t="s">
        <v>453</v>
      </c>
      <c r="E140" s="25"/>
      <c r="F140" s="25" t="s">
        <v>461</v>
      </c>
      <c r="G140" s="462"/>
      <c r="H140" s="462" t="s">
        <v>292</v>
      </c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462">
        <f t="shared" si="5"/>
        <v>0</v>
      </c>
      <c r="O140" s="130">
        <f t="shared" si="6"/>
        <v>0</v>
      </c>
    </row>
    <row r="141" spans="1:15" x14ac:dyDescent="0.25">
      <c r="A141" s="462" t="s">
        <v>59</v>
      </c>
      <c r="B141" s="25" t="s">
        <v>458</v>
      </c>
      <c r="C141" s="25"/>
      <c r="D141" s="25" t="s">
        <v>453</v>
      </c>
      <c r="E141" s="25"/>
      <c r="F141" s="25" t="s">
        <v>461</v>
      </c>
      <c r="G141" s="15" t="s">
        <v>442</v>
      </c>
      <c r="H141" s="462" t="s">
        <v>292</v>
      </c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462">
        <f t="shared" si="5"/>
        <v>0</v>
      </c>
      <c r="O141" s="130">
        <f t="shared" si="6"/>
        <v>0</v>
      </c>
    </row>
    <row r="142" spans="1:15" hidden="1" x14ac:dyDescent="0.25">
      <c r="A142" s="462" t="s">
        <v>59</v>
      </c>
      <c r="B142" s="25" t="s">
        <v>81</v>
      </c>
      <c r="C142" s="25"/>
      <c r="D142" s="25" t="s">
        <v>453</v>
      </c>
      <c r="E142" s="25"/>
      <c r="F142" s="25" t="s">
        <v>461</v>
      </c>
      <c r="G142" s="462"/>
      <c r="H142" s="462" t="s">
        <v>292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462">
        <f t="shared" si="5"/>
        <v>0</v>
      </c>
      <c r="O142" s="130">
        <f t="shared" si="6"/>
        <v>0</v>
      </c>
    </row>
    <row r="143" spans="1:15" hidden="1" x14ac:dyDescent="0.25">
      <c r="A143" s="462" t="s">
        <v>59</v>
      </c>
      <c r="B143" s="25" t="s">
        <v>425</v>
      </c>
      <c r="C143" s="25"/>
      <c r="D143" s="25" t="s">
        <v>453</v>
      </c>
      <c r="E143" s="25"/>
      <c r="F143" s="25" t="s">
        <v>461</v>
      </c>
      <c r="G143" s="462"/>
      <c r="H143" s="462" t="s">
        <v>292</v>
      </c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462">
        <f t="shared" si="5"/>
        <v>0</v>
      </c>
      <c r="O143" s="130">
        <f t="shared" si="6"/>
        <v>0</v>
      </c>
    </row>
    <row r="144" spans="1:15" hidden="1" x14ac:dyDescent="0.25">
      <c r="A144" s="462" t="s">
        <v>59</v>
      </c>
      <c r="B144" s="25" t="s">
        <v>87</v>
      </c>
      <c r="C144" s="25"/>
      <c r="D144" s="25" t="s">
        <v>453</v>
      </c>
      <c r="E144" s="25"/>
      <c r="F144" s="25" t="s">
        <v>461</v>
      </c>
      <c r="G144" s="462"/>
      <c r="H144" s="462" t="s">
        <v>292</v>
      </c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462">
        <f t="shared" si="5"/>
        <v>0</v>
      </c>
      <c r="O144" s="130">
        <f t="shared" si="6"/>
        <v>0</v>
      </c>
    </row>
    <row r="145" spans="1:15" hidden="1" x14ac:dyDescent="0.25">
      <c r="A145" s="462" t="s">
        <v>59</v>
      </c>
      <c r="B145" s="25" t="s">
        <v>90</v>
      </c>
      <c r="C145" s="25"/>
      <c r="D145" s="25" t="s">
        <v>453</v>
      </c>
      <c r="E145" s="25"/>
      <c r="F145" s="25" t="s">
        <v>461</v>
      </c>
      <c r="G145" s="462"/>
      <c r="H145" s="462" t="s">
        <v>292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462">
        <f t="shared" si="5"/>
        <v>0</v>
      </c>
      <c r="O145" s="130">
        <f t="shared" si="6"/>
        <v>0</v>
      </c>
    </row>
    <row r="146" spans="1:15" hidden="1" x14ac:dyDescent="0.25">
      <c r="A146" s="462" t="s">
        <v>92</v>
      </c>
      <c r="B146" s="470" t="s">
        <v>93</v>
      </c>
      <c r="C146" s="25"/>
      <c r="D146" s="25" t="s">
        <v>399</v>
      </c>
      <c r="E146" s="25"/>
      <c r="F146" s="25" t="s">
        <v>400</v>
      </c>
      <c r="G146" s="462"/>
      <c r="H146" s="462" t="s">
        <v>292</v>
      </c>
      <c r="I146" s="25">
        <v>0</v>
      </c>
      <c r="J146" s="25">
        <v>0</v>
      </c>
      <c r="K146" s="25">
        <v>0</v>
      </c>
      <c r="L146" s="25">
        <v>0</v>
      </c>
      <c r="M146" s="25">
        <v>1259436385.0236988</v>
      </c>
      <c r="N146" s="462">
        <f t="shared" si="5"/>
        <v>0</v>
      </c>
      <c r="O146" s="130">
        <f t="shared" si="6"/>
        <v>0</v>
      </c>
    </row>
    <row r="147" spans="1:15" hidden="1" x14ac:dyDescent="0.25">
      <c r="A147" s="462" t="s">
        <v>92</v>
      </c>
      <c r="B147" s="25" t="s">
        <v>103</v>
      </c>
      <c r="C147" s="25"/>
      <c r="D147" s="25" t="s">
        <v>401</v>
      </c>
      <c r="E147" s="25"/>
      <c r="F147" s="25" t="s">
        <v>402</v>
      </c>
      <c r="G147" s="462"/>
      <c r="H147" s="462" t="s">
        <v>292</v>
      </c>
      <c r="I147" s="25">
        <v>0</v>
      </c>
      <c r="J147" s="25">
        <v>0</v>
      </c>
      <c r="K147" s="25">
        <v>0</v>
      </c>
      <c r="L147" s="25">
        <v>0</v>
      </c>
      <c r="M147" s="25">
        <v>1270221008.9855001</v>
      </c>
      <c r="N147" s="462">
        <f t="shared" si="5"/>
        <v>0</v>
      </c>
      <c r="O147" s="130">
        <f t="shared" si="6"/>
        <v>0</v>
      </c>
    </row>
    <row r="148" spans="1:15" hidden="1" x14ac:dyDescent="0.25">
      <c r="A148" s="462" t="s">
        <v>92</v>
      </c>
      <c r="B148" s="25" t="s">
        <v>118</v>
      </c>
      <c r="C148" s="25"/>
      <c r="D148" s="25" t="s">
        <v>401</v>
      </c>
      <c r="E148" s="25"/>
      <c r="F148" s="25" t="s">
        <v>403</v>
      </c>
      <c r="G148" s="462"/>
      <c r="H148" s="462" t="s">
        <v>292</v>
      </c>
      <c r="I148" s="25">
        <v>0</v>
      </c>
      <c r="J148" s="25">
        <v>0</v>
      </c>
      <c r="K148" s="25">
        <v>0</v>
      </c>
      <c r="L148" s="25">
        <v>0</v>
      </c>
      <c r="M148" s="25">
        <v>809693097.54320014</v>
      </c>
      <c r="N148" s="462">
        <f t="shared" si="5"/>
        <v>0</v>
      </c>
      <c r="O148" s="130">
        <f t="shared" si="6"/>
        <v>0</v>
      </c>
    </row>
    <row r="149" spans="1:15" hidden="1" x14ac:dyDescent="0.25">
      <c r="A149" s="462" t="s">
        <v>92</v>
      </c>
      <c r="B149" s="25" t="s">
        <v>118</v>
      </c>
      <c r="C149" s="25"/>
      <c r="D149" s="25" t="s">
        <v>401</v>
      </c>
      <c r="E149" s="25"/>
      <c r="F149" s="25" t="s">
        <v>404</v>
      </c>
      <c r="G149" s="462"/>
      <c r="H149" s="462" t="s">
        <v>292</v>
      </c>
      <c r="I149" s="25">
        <v>0</v>
      </c>
      <c r="J149" s="25">
        <v>0</v>
      </c>
      <c r="K149" s="25">
        <v>0</v>
      </c>
      <c r="L149" s="25">
        <v>0</v>
      </c>
      <c r="M149" s="25">
        <v>854540439.37340009</v>
      </c>
      <c r="N149" s="462">
        <f t="shared" si="5"/>
        <v>0</v>
      </c>
      <c r="O149" s="130">
        <f t="shared" si="6"/>
        <v>0</v>
      </c>
    </row>
    <row r="150" spans="1:15" hidden="1" x14ac:dyDescent="0.25">
      <c r="A150" s="462" t="s">
        <v>92</v>
      </c>
      <c r="B150" s="25" t="s">
        <v>102</v>
      </c>
      <c r="C150" s="25"/>
      <c r="D150" s="25" t="s">
        <v>401</v>
      </c>
      <c r="E150" s="25"/>
      <c r="F150" s="25" t="s">
        <v>405</v>
      </c>
      <c r="G150" s="462"/>
      <c r="H150" s="462" t="s">
        <v>292</v>
      </c>
      <c r="I150" s="25">
        <v>0</v>
      </c>
      <c r="J150" s="25">
        <v>0</v>
      </c>
      <c r="K150" s="25">
        <v>0</v>
      </c>
      <c r="L150" s="25">
        <v>0</v>
      </c>
      <c r="M150" s="25">
        <v>1106109946.8952</v>
      </c>
      <c r="N150" s="462">
        <f t="shared" si="5"/>
        <v>0</v>
      </c>
      <c r="O150" s="130">
        <f t="shared" si="6"/>
        <v>0</v>
      </c>
    </row>
    <row r="151" spans="1:15" hidden="1" x14ac:dyDescent="0.25">
      <c r="A151" s="462" t="s">
        <v>92</v>
      </c>
      <c r="B151" s="25" t="s">
        <v>385</v>
      </c>
      <c r="C151" s="25"/>
      <c r="D151" s="25" t="s">
        <v>401</v>
      </c>
      <c r="E151" s="25"/>
      <c r="F151" s="25" t="s">
        <v>405</v>
      </c>
      <c r="G151" s="462"/>
      <c r="H151" s="462" t="s">
        <v>292</v>
      </c>
      <c r="I151" s="25">
        <v>0</v>
      </c>
      <c r="J151" s="25">
        <v>0</v>
      </c>
      <c r="K151" s="25">
        <v>0</v>
      </c>
      <c r="L151" s="25">
        <v>0</v>
      </c>
      <c r="M151" s="25">
        <v>753558814.78799975</v>
      </c>
      <c r="N151" s="462">
        <f t="shared" si="5"/>
        <v>0</v>
      </c>
      <c r="O151" s="130">
        <f t="shared" si="6"/>
        <v>0</v>
      </c>
    </row>
    <row r="152" spans="1:15" hidden="1" x14ac:dyDescent="0.25">
      <c r="A152" s="462" t="s">
        <v>92</v>
      </c>
      <c r="B152" s="25" t="s">
        <v>105</v>
      </c>
      <c r="C152" s="25"/>
      <c r="D152" s="25" t="s">
        <v>399</v>
      </c>
      <c r="E152" s="25"/>
      <c r="F152" s="25" t="s">
        <v>406</v>
      </c>
      <c r="G152" s="462"/>
      <c r="H152" s="462" t="s">
        <v>292</v>
      </c>
      <c r="I152" s="25">
        <v>0</v>
      </c>
      <c r="J152" s="25">
        <v>0</v>
      </c>
      <c r="K152" s="25">
        <v>0</v>
      </c>
      <c r="L152" s="25">
        <v>0</v>
      </c>
      <c r="M152" s="25">
        <v>1635326902.4612002</v>
      </c>
      <c r="N152" s="462">
        <f t="shared" si="5"/>
        <v>0</v>
      </c>
      <c r="O152" s="130">
        <f t="shared" si="6"/>
        <v>0</v>
      </c>
    </row>
    <row r="153" spans="1:15" hidden="1" x14ac:dyDescent="0.25">
      <c r="A153" s="462" t="s">
        <v>92</v>
      </c>
      <c r="B153" s="25" t="s">
        <v>107</v>
      </c>
      <c r="C153" s="25"/>
      <c r="D153" s="25" t="s">
        <v>399</v>
      </c>
      <c r="E153" s="25"/>
      <c r="F153" s="25" t="s">
        <v>406</v>
      </c>
      <c r="G153" s="462"/>
      <c r="H153" s="462" t="s">
        <v>292</v>
      </c>
      <c r="I153" s="25">
        <v>0</v>
      </c>
      <c r="J153" s="25">
        <v>0</v>
      </c>
      <c r="K153" s="25">
        <v>0</v>
      </c>
      <c r="L153" s="25">
        <v>0</v>
      </c>
      <c r="M153" s="25">
        <v>473242568.68590033</v>
      </c>
      <c r="N153" s="462">
        <f t="shared" si="5"/>
        <v>0</v>
      </c>
      <c r="O153" s="130">
        <f t="shared" si="6"/>
        <v>0</v>
      </c>
    </row>
    <row r="154" spans="1:15" hidden="1" x14ac:dyDescent="0.25">
      <c r="A154" s="462" t="s">
        <v>92</v>
      </c>
      <c r="B154" s="25" t="s">
        <v>353</v>
      </c>
      <c r="C154" s="25"/>
      <c r="D154" s="25" t="s">
        <v>399</v>
      </c>
      <c r="E154" s="25"/>
      <c r="F154" s="25" t="s">
        <v>407</v>
      </c>
      <c r="G154" s="462"/>
      <c r="H154" s="462" t="s">
        <v>292</v>
      </c>
      <c r="I154" s="25">
        <v>0</v>
      </c>
      <c r="J154" s="25">
        <v>0</v>
      </c>
      <c r="K154" s="25">
        <v>0</v>
      </c>
      <c r="L154" s="25">
        <v>0</v>
      </c>
      <c r="M154" s="25">
        <v>911492076.11280048</v>
      </c>
      <c r="N154" s="462">
        <f t="shared" si="5"/>
        <v>0</v>
      </c>
      <c r="O154" s="130">
        <f t="shared" si="6"/>
        <v>0</v>
      </c>
    </row>
    <row r="155" spans="1:15" hidden="1" x14ac:dyDescent="0.25">
      <c r="A155" s="462" t="s">
        <v>122</v>
      </c>
      <c r="B155" s="470" t="s">
        <v>420</v>
      </c>
      <c r="C155" s="25"/>
      <c r="D155" s="25" t="s">
        <v>465</v>
      </c>
      <c r="E155" s="25"/>
      <c r="F155" s="25" t="s">
        <v>466</v>
      </c>
      <c r="G155" s="462"/>
      <c r="H155" s="462" t="s">
        <v>292</v>
      </c>
      <c r="I155" s="25">
        <v>0</v>
      </c>
      <c r="J155" s="25">
        <v>0</v>
      </c>
      <c r="K155" s="25">
        <v>0</v>
      </c>
      <c r="L155" s="25">
        <v>0</v>
      </c>
      <c r="M155" s="25">
        <v>16195212.219508626</v>
      </c>
      <c r="N155" s="462">
        <f t="shared" si="5"/>
        <v>0</v>
      </c>
      <c r="O155" s="130">
        <f t="shared" si="6"/>
        <v>0</v>
      </c>
    </row>
    <row r="156" spans="1:15" hidden="1" x14ac:dyDescent="0.25">
      <c r="A156" s="462" t="s">
        <v>122</v>
      </c>
      <c r="B156" s="470" t="s">
        <v>420</v>
      </c>
      <c r="C156" s="25"/>
      <c r="D156" s="25" t="s">
        <v>465</v>
      </c>
      <c r="E156" s="25"/>
      <c r="F156" s="25" t="s">
        <v>467</v>
      </c>
      <c r="G156" s="462"/>
      <c r="H156" s="462" t="s">
        <v>292</v>
      </c>
      <c r="I156" s="25">
        <v>0</v>
      </c>
      <c r="J156" s="25">
        <v>0</v>
      </c>
      <c r="K156" s="25">
        <v>0</v>
      </c>
      <c r="L156" s="25">
        <v>0</v>
      </c>
      <c r="M156" s="25">
        <v>13664666.418945458</v>
      </c>
      <c r="N156" s="462">
        <f t="shared" si="5"/>
        <v>0</v>
      </c>
      <c r="O156" s="130">
        <f t="shared" si="6"/>
        <v>0</v>
      </c>
    </row>
    <row r="157" spans="1:15" hidden="1" x14ac:dyDescent="0.25">
      <c r="A157" s="462" t="s">
        <v>122</v>
      </c>
      <c r="B157" s="470" t="s">
        <v>383</v>
      </c>
      <c r="C157" s="25"/>
      <c r="D157" s="25" t="s">
        <v>465</v>
      </c>
      <c r="E157" s="25"/>
      <c r="F157" s="25" t="s">
        <v>468</v>
      </c>
      <c r="G157" s="462"/>
      <c r="H157" s="462" t="s">
        <v>292</v>
      </c>
      <c r="I157" s="25">
        <v>0</v>
      </c>
      <c r="J157" s="25">
        <v>0</v>
      </c>
      <c r="K157" s="25">
        <v>0</v>
      </c>
      <c r="L157" s="25">
        <v>0</v>
      </c>
      <c r="M157" s="25">
        <v>174616680.01398039</v>
      </c>
      <c r="N157" s="462">
        <f t="shared" si="5"/>
        <v>0</v>
      </c>
      <c r="O157" s="130">
        <f t="shared" si="6"/>
        <v>0</v>
      </c>
    </row>
    <row r="158" spans="1:15" hidden="1" x14ac:dyDescent="0.25">
      <c r="A158" s="462" t="s">
        <v>122</v>
      </c>
      <c r="B158" s="470" t="s">
        <v>383</v>
      </c>
      <c r="C158" s="25"/>
      <c r="D158" s="25" t="s">
        <v>465</v>
      </c>
      <c r="E158" s="25"/>
      <c r="F158" s="25" t="s">
        <v>466</v>
      </c>
      <c r="G158" s="462"/>
      <c r="H158" s="462" t="s">
        <v>292</v>
      </c>
      <c r="I158" s="25">
        <v>0</v>
      </c>
      <c r="J158" s="25">
        <v>0</v>
      </c>
      <c r="K158" s="25">
        <v>0</v>
      </c>
      <c r="L158" s="25">
        <v>0</v>
      </c>
      <c r="M158" s="25">
        <v>144155161.36722988</v>
      </c>
      <c r="N158" s="462">
        <f t="shared" si="5"/>
        <v>0</v>
      </c>
      <c r="O158" s="130">
        <f t="shared" si="6"/>
        <v>0</v>
      </c>
    </row>
    <row r="159" spans="1:15" hidden="1" x14ac:dyDescent="0.25">
      <c r="A159" s="462" t="s">
        <v>122</v>
      </c>
      <c r="B159" s="470" t="s">
        <v>383</v>
      </c>
      <c r="C159" s="25"/>
      <c r="D159" s="25" t="s">
        <v>465</v>
      </c>
      <c r="E159" s="25"/>
      <c r="F159" s="25" t="s">
        <v>467</v>
      </c>
      <c r="G159" s="462"/>
      <c r="H159" s="462" t="s">
        <v>292</v>
      </c>
      <c r="I159" s="25">
        <v>0</v>
      </c>
      <c r="J159" s="25">
        <v>0</v>
      </c>
      <c r="K159" s="25">
        <v>0</v>
      </c>
      <c r="L159" s="25">
        <v>0</v>
      </c>
      <c r="M159" s="25">
        <v>214707919.45257866</v>
      </c>
      <c r="N159" s="462">
        <f t="shared" si="5"/>
        <v>0</v>
      </c>
      <c r="O159" s="130">
        <f t="shared" si="6"/>
        <v>0</v>
      </c>
    </row>
    <row r="160" spans="1:15" ht="30" hidden="1" x14ac:dyDescent="0.25">
      <c r="A160" s="462" t="s">
        <v>122</v>
      </c>
      <c r="B160" s="470" t="s">
        <v>344</v>
      </c>
      <c r="C160" s="25"/>
      <c r="D160" s="25" t="s">
        <v>465</v>
      </c>
      <c r="E160" s="25"/>
      <c r="F160" s="25" t="s">
        <v>468</v>
      </c>
      <c r="G160" s="462"/>
      <c r="H160" s="462" t="s">
        <v>292</v>
      </c>
      <c r="I160" s="25">
        <v>0</v>
      </c>
      <c r="J160" s="25">
        <v>0</v>
      </c>
      <c r="K160" s="25">
        <v>0</v>
      </c>
      <c r="L160" s="25">
        <v>0</v>
      </c>
      <c r="M160" s="25">
        <v>256886599.36924022</v>
      </c>
      <c r="N160" s="462">
        <f t="shared" si="5"/>
        <v>0</v>
      </c>
      <c r="O160" s="130">
        <f t="shared" si="6"/>
        <v>0</v>
      </c>
    </row>
    <row r="161" spans="1:15" ht="30" hidden="1" x14ac:dyDescent="0.25">
      <c r="A161" s="462" t="s">
        <v>122</v>
      </c>
      <c r="B161" s="470" t="s">
        <v>344</v>
      </c>
      <c r="C161" s="25"/>
      <c r="D161" s="25" t="s">
        <v>465</v>
      </c>
      <c r="E161" s="25"/>
      <c r="F161" s="25" t="s">
        <v>466</v>
      </c>
      <c r="G161" s="462"/>
      <c r="H161" s="462" t="s">
        <v>292</v>
      </c>
      <c r="I161" s="25">
        <v>0</v>
      </c>
      <c r="J161" s="25">
        <v>0</v>
      </c>
      <c r="K161" s="25">
        <v>0</v>
      </c>
      <c r="L161" s="25">
        <v>0</v>
      </c>
      <c r="M161" s="25">
        <v>364637232.31962079</v>
      </c>
      <c r="N161" s="462">
        <f t="shared" si="5"/>
        <v>0</v>
      </c>
      <c r="O161" s="130">
        <f t="shared" si="6"/>
        <v>0</v>
      </c>
    </row>
    <row r="162" spans="1:15" ht="30" hidden="1" x14ac:dyDescent="0.25">
      <c r="A162" s="462" t="s">
        <v>122</v>
      </c>
      <c r="B162" s="470" t="s">
        <v>344</v>
      </c>
      <c r="C162" s="25"/>
      <c r="D162" s="25" t="s">
        <v>465</v>
      </c>
      <c r="E162" s="25"/>
      <c r="F162" s="25" t="s">
        <v>467</v>
      </c>
      <c r="G162" s="462"/>
      <c r="H162" s="462" t="s">
        <v>292</v>
      </c>
      <c r="I162" s="25">
        <v>0</v>
      </c>
      <c r="J162" s="25">
        <v>0</v>
      </c>
      <c r="K162" s="25">
        <v>0</v>
      </c>
      <c r="L162" s="25">
        <v>0</v>
      </c>
      <c r="M162" s="25">
        <v>439291285.33328962</v>
      </c>
      <c r="N162" s="462">
        <f t="shared" si="5"/>
        <v>0</v>
      </c>
      <c r="O162" s="130">
        <f t="shared" si="6"/>
        <v>0</v>
      </c>
    </row>
    <row r="163" spans="1:15" hidden="1" x14ac:dyDescent="0.25">
      <c r="A163" s="462" t="s">
        <v>122</v>
      </c>
      <c r="B163" s="470" t="s">
        <v>135</v>
      </c>
      <c r="C163" s="25"/>
      <c r="D163" s="25" t="s">
        <v>465</v>
      </c>
      <c r="E163" s="25"/>
      <c r="F163" s="25" t="s">
        <v>468</v>
      </c>
      <c r="G163" s="462"/>
      <c r="H163" s="462" t="s">
        <v>292</v>
      </c>
      <c r="I163" s="25">
        <v>0</v>
      </c>
      <c r="J163" s="25">
        <v>0</v>
      </c>
      <c r="K163" s="25">
        <v>0</v>
      </c>
      <c r="L163" s="25">
        <v>0</v>
      </c>
      <c r="M163" s="25">
        <v>376762477.31162196</v>
      </c>
      <c r="N163" s="462">
        <f t="shared" si="5"/>
        <v>0</v>
      </c>
      <c r="O163" s="130">
        <f t="shared" si="6"/>
        <v>0</v>
      </c>
    </row>
    <row r="164" spans="1:15" hidden="1" x14ac:dyDescent="0.25">
      <c r="A164" s="462" t="s">
        <v>122</v>
      </c>
      <c r="B164" s="470" t="s">
        <v>135</v>
      </c>
      <c r="C164" s="25"/>
      <c r="D164" s="25" t="s">
        <v>465</v>
      </c>
      <c r="E164" s="25"/>
      <c r="F164" s="25" t="s">
        <v>466</v>
      </c>
      <c r="G164" s="462"/>
      <c r="H164" s="462" t="s">
        <v>292</v>
      </c>
      <c r="I164" s="25">
        <v>0</v>
      </c>
      <c r="J164" s="25">
        <v>0</v>
      </c>
      <c r="K164" s="25">
        <v>0</v>
      </c>
      <c r="L164" s="25">
        <v>0</v>
      </c>
      <c r="M164" s="25">
        <v>162136070.93284538</v>
      </c>
      <c r="N164" s="462">
        <f t="shared" si="5"/>
        <v>0</v>
      </c>
      <c r="O164" s="130">
        <f t="shared" si="6"/>
        <v>0</v>
      </c>
    </row>
    <row r="165" spans="1:15" hidden="1" x14ac:dyDescent="0.25">
      <c r="A165" s="462" t="s">
        <v>122</v>
      </c>
      <c r="B165" s="470" t="s">
        <v>135</v>
      </c>
      <c r="C165" s="25"/>
      <c r="D165" s="25" t="s">
        <v>465</v>
      </c>
      <c r="E165" s="25"/>
      <c r="F165" s="25" t="s">
        <v>467</v>
      </c>
      <c r="G165" s="462"/>
      <c r="H165" s="462" t="s">
        <v>292</v>
      </c>
      <c r="I165" s="25">
        <v>0</v>
      </c>
      <c r="J165" s="25">
        <v>0</v>
      </c>
      <c r="K165" s="25">
        <v>0</v>
      </c>
      <c r="L165" s="25">
        <v>0</v>
      </c>
      <c r="M165" s="25">
        <v>109997293.42112722</v>
      </c>
      <c r="N165" s="462">
        <f t="shared" si="5"/>
        <v>0</v>
      </c>
      <c r="O165" s="130">
        <f t="shared" si="6"/>
        <v>0</v>
      </c>
    </row>
    <row r="166" spans="1:15" hidden="1" x14ac:dyDescent="0.25">
      <c r="A166" s="462" t="s">
        <v>122</v>
      </c>
      <c r="B166" s="470" t="s">
        <v>127</v>
      </c>
      <c r="C166" s="25"/>
      <c r="D166" s="25" t="s">
        <v>465</v>
      </c>
      <c r="E166" s="25"/>
      <c r="F166" s="25" t="s">
        <v>468</v>
      </c>
      <c r="G166" s="462"/>
      <c r="H166" s="462" t="s">
        <v>292</v>
      </c>
      <c r="I166" s="25">
        <v>0</v>
      </c>
      <c r="J166" s="25">
        <v>0</v>
      </c>
      <c r="K166" s="25">
        <v>0</v>
      </c>
      <c r="L166" s="25">
        <v>0</v>
      </c>
      <c r="M166" s="25">
        <v>399355093.71045363</v>
      </c>
      <c r="N166" s="462">
        <f t="shared" si="5"/>
        <v>0</v>
      </c>
      <c r="O166" s="130">
        <f t="shared" si="6"/>
        <v>0</v>
      </c>
    </row>
    <row r="167" spans="1:15" hidden="1" x14ac:dyDescent="0.25">
      <c r="A167" s="462" t="s">
        <v>122</v>
      </c>
      <c r="B167" s="470" t="s">
        <v>127</v>
      </c>
      <c r="C167" s="25"/>
      <c r="D167" s="25" t="s">
        <v>465</v>
      </c>
      <c r="E167" s="25"/>
      <c r="F167" s="25" t="s">
        <v>466</v>
      </c>
      <c r="G167" s="462"/>
      <c r="H167" s="462" t="s">
        <v>292</v>
      </c>
      <c r="I167" s="25">
        <v>0</v>
      </c>
      <c r="J167" s="25">
        <v>0</v>
      </c>
      <c r="K167" s="25">
        <v>0</v>
      </c>
      <c r="L167" s="25">
        <v>0</v>
      </c>
      <c r="M167" s="25">
        <v>457684038.42423284</v>
      </c>
      <c r="N167" s="462">
        <f t="shared" si="5"/>
        <v>0</v>
      </c>
      <c r="O167" s="130">
        <f t="shared" si="6"/>
        <v>0</v>
      </c>
    </row>
    <row r="168" spans="1:15" hidden="1" x14ac:dyDescent="0.25">
      <c r="A168" s="462" t="s">
        <v>122</v>
      </c>
      <c r="B168" s="470" t="s">
        <v>127</v>
      </c>
      <c r="C168" s="25"/>
      <c r="D168" s="25" t="s">
        <v>465</v>
      </c>
      <c r="E168" s="25"/>
      <c r="F168" s="25" t="s">
        <v>467</v>
      </c>
      <c r="G168" s="462"/>
      <c r="H168" s="462" t="s">
        <v>292</v>
      </c>
      <c r="I168" s="25">
        <v>0</v>
      </c>
      <c r="J168" s="25">
        <v>0</v>
      </c>
      <c r="K168" s="25">
        <v>0</v>
      </c>
      <c r="L168" s="25">
        <v>0</v>
      </c>
      <c r="M168" s="25">
        <v>317998083.97826719</v>
      </c>
      <c r="N168" s="462">
        <f t="shared" si="5"/>
        <v>0</v>
      </c>
      <c r="O168" s="130">
        <f t="shared" si="6"/>
        <v>0</v>
      </c>
    </row>
    <row r="169" spans="1:15" hidden="1" x14ac:dyDescent="0.25">
      <c r="A169" s="462" t="s">
        <v>122</v>
      </c>
      <c r="B169" s="470" t="s">
        <v>123</v>
      </c>
      <c r="C169" s="25"/>
      <c r="D169" s="25" t="s">
        <v>465</v>
      </c>
      <c r="E169" s="25"/>
      <c r="F169" s="25" t="s">
        <v>468</v>
      </c>
      <c r="G169" s="462"/>
      <c r="H169" s="462" t="s">
        <v>292</v>
      </c>
      <c r="I169" s="25">
        <v>0</v>
      </c>
      <c r="J169" s="25">
        <v>0</v>
      </c>
      <c r="K169" s="25">
        <v>0</v>
      </c>
      <c r="L169" s="25">
        <v>0</v>
      </c>
      <c r="M169" s="25">
        <v>270622904.49078172</v>
      </c>
      <c r="N169" s="462">
        <f t="shared" si="5"/>
        <v>0</v>
      </c>
      <c r="O169" s="130">
        <f t="shared" si="6"/>
        <v>0</v>
      </c>
    </row>
    <row r="170" spans="1:15" hidden="1" x14ac:dyDescent="0.25">
      <c r="A170" s="462" t="s">
        <v>122</v>
      </c>
      <c r="B170" s="470" t="s">
        <v>123</v>
      </c>
      <c r="C170" s="25"/>
      <c r="D170" s="25" t="s">
        <v>465</v>
      </c>
      <c r="E170" s="25"/>
      <c r="F170" s="25" t="s">
        <v>466</v>
      </c>
      <c r="G170" s="462"/>
      <c r="H170" s="462" t="s">
        <v>292</v>
      </c>
      <c r="I170" s="25">
        <v>0</v>
      </c>
      <c r="J170" s="25">
        <v>0</v>
      </c>
      <c r="K170" s="25">
        <v>0</v>
      </c>
      <c r="L170" s="25">
        <v>0</v>
      </c>
      <c r="M170" s="25">
        <v>239646523.62898597</v>
      </c>
      <c r="N170" s="462">
        <f t="shared" si="5"/>
        <v>0</v>
      </c>
      <c r="O170" s="130">
        <f t="shared" si="6"/>
        <v>0</v>
      </c>
    </row>
    <row r="171" spans="1:15" hidden="1" x14ac:dyDescent="0.25">
      <c r="A171" s="462" t="s">
        <v>122</v>
      </c>
      <c r="B171" s="470" t="s">
        <v>123</v>
      </c>
      <c r="C171" s="25"/>
      <c r="D171" s="25" t="s">
        <v>465</v>
      </c>
      <c r="E171" s="25"/>
      <c r="F171" s="25" t="s">
        <v>467</v>
      </c>
      <c r="G171" s="462"/>
      <c r="H171" s="462" t="s">
        <v>292</v>
      </c>
      <c r="I171" s="25">
        <v>0</v>
      </c>
      <c r="J171" s="25">
        <v>0</v>
      </c>
      <c r="K171" s="25">
        <v>0</v>
      </c>
      <c r="L171" s="25">
        <v>0</v>
      </c>
      <c r="M171" s="25">
        <v>372755289.98508257</v>
      </c>
      <c r="N171" s="462">
        <f t="shared" si="5"/>
        <v>0</v>
      </c>
      <c r="O171" s="130">
        <f t="shared" si="6"/>
        <v>0</v>
      </c>
    </row>
    <row r="172" spans="1:15" hidden="1" x14ac:dyDescent="0.25">
      <c r="A172" s="462" t="s">
        <v>122</v>
      </c>
      <c r="B172" s="470" t="s">
        <v>133</v>
      </c>
      <c r="C172" s="25"/>
      <c r="D172" s="25" t="s">
        <v>465</v>
      </c>
      <c r="E172" s="25"/>
      <c r="F172" s="25" t="s">
        <v>468</v>
      </c>
      <c r="G172" s="462"/>
      <c r="H172" s="462" t="s">
        <v>292</v>
      </c>
      <c r="I172" s="25">
        <v>0</v>
      </c>
      <c r="J172" s="25">
        <v>0</v>
      </c>
      <c r="K172" s="25">
        <v>0</v>
      </c>
      <c r="L172" s="25">
        <v>0</v>
      </c>
      <c r="M172" s="25">
        <v>92070658.783025026</v>
      </c>
      <c r="N172" s="462">
        <f t="shared" si="5"/>
        <v>0</v>
      </c>
      <c r="O172" s="130">
        <f t="shared" si="6"/>
        <v>0</v>
      </c>
    </row>
    <row r="173" spans="1:15" hidden="1" x14ac:dyDescent="0.25">
      <c r="A173" s="462" t="s">
        <v>122</v>
      </c>
      <c r="B173" s="470" t="s">
        <v>133</v>
      </c>
      <c r="C173" s="25"/>
      <c r="D173" s="25" t="s">
        <v>465</v>
      </c>
      <c r="E173" s="25"/>
      <c r="F173" s="25" t="s">
        <v>466</v>
      </c>
      <c r="G173" s="462"/>
      <c r="H173" s="462" t="s">
        <v>292</v>
      </c>
      <c r="I173" s="25">
        <v>0</v>
      </c>
      <c r="J173" s="25">
        <v>0</v>
      </c>
      <c r="K173" s="25">
        <v>0</v>
      </c>
      <c r="L173" s="25">
        <v>0</v>
      </c>
      <c r="M173" s="25">
        <v>79420634.167939931</v>
      </c>
      <c r="N173" s="462">
        <f t="shared" si="5"/>
        <v>0</v>
      </c>
      <c r="O173" s="130">
        <f t="shared" si="6"/>
        <v>0</v>
      </c>
    </row>
    <row r="174" spans="1:15" hidden="1" x14ac:dyDescent="0.25">
      <c r="A174" s="462" t="s">
        <v>122</v>
      </c>
      <c r="B174" s="470" t="s">
        <v>133</v>
      </c>
      <c r="C174" s="25"/>
      <c r="D174" s="25" t="s">
        <v>465</v>
      </c>
      <c r="E174" s="25"/>
      <c r="F174" s="25" t="s">
        <v>467</v>
      </c>
      <c r="G174" s="462"/>
      <c r="H174" s="462" t="s">
        <v>292</v>
      </c>
      <c r="I174" s="25">
        <v>0</v>
      </c>
      <c r="J174" s="25">
        <v>0</v>
      </c>
      <c r="K174" s="25">
        <v>0</v>
      </c>
      <c r="L174" s="25">
        <v>0</v>
      </c>
      <c r="M174" s="25">
        <v>75843903.12156269</v>
      </c>
      <c r="N174" s="462">
        <f t="shared" si="5"/>
        <v>0</v>
      </c>
      <c r="O174" s="130">
        <f t="shared" si="6"/>
        <v>0</v>
      </c>
    </row>
    <row r="175" spans="1:15" hidden="1" x14ac:dyDescent="0.25">
      <c r="A175" s="462" t="s">
        <v>122</v>
      </c>
      <c r="B175" s="470" t="s">
        <v>139</v>
      </c>
      <c r="C175" s="25"/>
      <c r="D175" s="25" t="s">
        <v>465</v>
      </c>
      <c r="E175" s="25"/>
      <c r="F175" s="25" t="s">
        <v>466</v>
      </c>
      <c r="G175" s="462"/>
      <c r="H175" s="462" t="s">
        <v>292</v>
      </c>
      <c r="I175" s="25">
        <v>0</v>
      </c>
      <c r="J175" s="25">
        <v>0</v>
      </c>
      <c r="K175" s="25">
        <v>0</v>
      </c>
      <c r="L175" s="25">
        <v>0</v>
      </c>
      <c r="M175" s="25">
        <v>1647175.0264981817</v>
      </c>
      <c r="N175" s="462">
        <f t="shared" si="5"/>
        <v>0</v>
      </c>
      <c r="O175" s="130">
        <f t="shared" si="6"/>
        <v>0</v>
      </c>
    </row>
    <row r="176" spans="1:15" hidden="1" x14ac:dyDescent="0.25">
      <c r="A176" s="462" t="s">
        <v>122</v>
      </c>
      <c r="B176" s="470" t="s">
        <v>138</v>
      </c>
      <c r="C176" s="25"/>
      <c r="D176" s="25" t="s">
        <v>465</v>
      </c>
      <c r="E176" s="25"/>
      <c r="F176" s="25" t="s">
        <v>466</v>
      </c>
      <c r="G176" s="462"/>
      <c r="H176" s="462" t="s">
        <v>292</v>
      </c>
      <c r="I176" s="25">
        <v>0</v>
      </c>
      <c r="J176" s="25">
        <v>0</v>
      </c>
      <c r="K176" s="25">
        <v>0</v>
      </c>
      <c r="L176" s="25">
        <v>0</v>
      </c>
      <c r="M176" s="25">
        <v>58048939.991533652</v>
      </c>
      <c r="N176" s="462">
        <f t="shared" si="5"/>
        <v>0</v>
      </c>
      <c r="O176" s="130">
        <f t="shared" si="6"/>
        <v>0</v>
      </c>
    </row>
    <row r="177" spans="1:15" hidden="1" x14ac:dyDescent="0.25">
      <c r="A177" s="462" t="s">
        <v>122</v>
      </c>
      <c r="B177" s="470" t="s">
        <v>138</v>
      </c>
      <c r="C177" s="25"/>
      <c r="D177" s="25" t="s">
        <v>465</v>
      </c>
      <c r="E177" s="25"/>
      <c r="F177" s="25" t="s">
        <v>467</v>
      </c>
      <c r="G177" s="462"/>
      <c r="H177" s="462" t="s">
        <v>292</v>
      </c>
      <c r="I177" s="25">
        <v>0</v>
      </c>
      <c r="J177" s="25">
        <v>0</v>
      </c>
      <c r="K177" s="25">
        <v>0</v>
      </c>
      <c r="L177" s="25">
        <v>0</v>
      </c>
      <c r="M177" s="25">
        <v>20859020.983254999</v>
      </c>
      <c r="N177" s="462">
        <f t="shared" si="5"/>
        <v>0</v>
      </c>
      <c r="O177" s="130">
        <f t="shared" si="6"/>
        <v>0</v>
      </c>
    </row>
    <row r="178" spans="1:15" hidden="1" x14ac:dyDescent="0.25">
      <c r="A178" s="462" t="s">
        <v>122</v>
      </c>
      <c r="B178" s="470" t="s">
        <v>383</v>
      </c>
      <c r="C178" s="25"/>
      <c r="D178" s="25" t="s">
        <v>465</v>
      </c>
      <c r="E178" s="25"/>
      <c r="F178" s="25" t="s">
        <v>473</v>
      </c>
      <c r="G178" s="462"/>
      <c r="H178" s="462" t="s">
        <v>292</v>
      </c>
      <c r="I178" s="25">
        <v>0</v>
      </c>
      <c r="J178" s="25">
        <v>0</v>
      </c>
      <c r="K178" s="25">
        <v>0</v>
      </c>
      <c r="L178" s="25">
        <v>0</v>
      </c>
      <c r="M178" s="25">
        <v>116547393.0289679</v>
      </c>
      <c r="N178" s="462">
        <f t="shared" si="5"/>
        <v>0</v>
      </c>
      <c r="O178" s="130">
        <f t="shared" si="6"/>
        <v>0</v>
      </c>
    </row>
    <row r="179" spans="1:15" ht="30" hidden="1" x14ac:dyDescent="0.25">
      <c r="A179" s="462" t="s">
        <v>122</v>
      </c>
      <c r="B179" s="470" t="s">
        <v>344</v>
      </c>
      <c r="C179" s="25"/>
      <c r="D179" s="25" t="s">
        <v>465</v>
      </c>
      <c r="E179" s="25"/>
      <c r="F179" s="25" t="s">
        <v>473</v>
      </c>
      <c r="G179" s="462"/>
      <c r="H179" s="462" t="s">
        <v>292</v>
      </c>
      <c r="I179" s="25">
        <v>0</v>
      </c>
      <c r="J179" s="25">
        <v>0</v>
      </c>
      <c r="K179" s="25">
        <v>0</v>
      </c>
      <c r="L179" s="25">
        <v>0</v>
      </c>
      <c r="M179" s="25">
        <v>231806702.65685073</v>
      </c>
      <c r="N179" s="462">
        <f t="shared" si="5"/>
        <v>0</v>
      </c>
      <c r="O179" s="130">
        <f t="shared" si="6"/>
        <v>0</v>
      </c>
    </row>
    <row r="180" spans="1:15" hidden="1" x14ac:dyDescent="0.25">
      <c r="A180" s="462" t="s">
        <v>122</v>
      </c>
      <c r="B180" s="470" t="s">
        <v>135</v>
      </c>
      <c r="C180" s="25"/>
      <c r="D180" s="25" t="s">
        <v>465</v>
      </c>
      <c r="E180" s="25"/>
      <c r="F180" s="25" t="s">
        <v>473</v>
      </c>
      <c r="G180" s="462"/>
      <c r="H180" s="462" t="s">
        <v>292</v>
      </c>
      <c r="I180" s="25">
        <v>0</v>
      </c>
      <c r="J180" s="25">
        <v>0</v>
      </c>
      <c r="K180" s="25">
        <v>0</v>
      </c>
      <c r="L180" s="25">
        <v>0</v>
      </c>
      <c r="M180" s="25">
        <v>13861067.77554908</v>
      </c>
      <c r="N180" s="462">
        <f t="shared" si="5"/>
        <v>0</v>
      </c>
      <c r="O180" s="130">
        <f t="shared" si="6"/>
        <v>0</v>
      </c>
    </row>
    <row r="181" spans="1:15" hidden="1" x14ac:dyDescent="0.25">
      <c r="A181" s="462" t="s">
        <v>122</v>
      </c>
      <c r="B181" s="470" t="s">
        <v>127</v>
      </c>
      <c r="C181" s="25"/>
      <c r="D181" s="25" t="s">
        <v>465</v>
      </c>
      <c r="E181" s="25"/>
      <c r="F181" s="25" t="s">
        <v>473</v>
      </c>
      <c r="G181" s="462"/>
      <c r="H181" s="462" t="s">
        <v>292</v>
      </c>
      <c r="I181" s="25">
        <v>0</v>
      </c>
      <c r="J181" s="25">
        <v>0</v>
      </c>
      <c r="K181" s="25">
        <v>0</v>
      </c>
      <c r="L181" s="25">
        <v>0</v>
      </c>
      <c r="M181" s="25">
        <v>217785764.00050426</v>
      </c>
      <c r="N181" s="462">
        <f t="shared" si="5"/>
        <v>0</v>
      </c>
      <c r="O181" s="130">
        <f t="shared" si="6"/>
        <v>0</v>
      </c>
    </row>
    <row r="182" spans="1:15" hidden="1" x14ac:dyDescent="0.25">
      <c r="A182" s="462" t="s">
        <v>122</v>
      </c>
      <c r="B182" s="470" t="s">
        <v>123</v>
      </c>
      <c r="C182" s="25"/>
      <c r="D182" s="25" t="s">
        <v>465</v>
      </c>
      <c r="E182" s="25"/>
      <c r="F182" s="25" t="s">
        <v>473</v>
      </c>
      <c r="G182" s="462"/>
      <c r="H182" s="462" t="s">
        <v>292</v>
      </c>
      <c r="I182" s="25">
        <v>0</v>
      </c>
      <c r="J182" s="25">
        <v>0</v>
      </c>
      <c r="K182" s="25">
        <v>0</v>
      </c>
      <c r="L182" s="25">
        <v>0</v>
      </c>
      <c r="M182" s="25">
        <v>76132782.152658641</v>
      </c>
      <c r="N182" s="462">
        <f t="shared" si="5"/>
        <v>0</v>
      </c>
      <c r="O182" s="130">
        <f t="shared" si="6"/>
        <v>0</v>
      </c>
    </row>
    <row r="183" spans="1:15" hidden="1" x14ac:dyDescent="0.25">
      <c r="A183" s="462" t="s">
        <v>122</v>
      </c>
      <c r="B183" s="470" t="s">
        <v>133</v>
      </c>
      <c r="C183" s="25"/>
      <c r="D183" s="25" t="s">
        <v>465</v>
      </c>
      <c r="E183" s="25"/>
      <c r="F183" s="25" t="s">
        <v>473</v>
      </c>
      <c r="G183" s="462"/>
      <c r="H183" s="462" t="s">
        <v>292</v>
      </c>
      <c r="I183" s="25">
        <v>0</v>
      </c>
      <c r="J183" s="25">
        <v>0</v>
      </c>
      <c r="K183" s="25">
        <v>0</v>
      </c>
      <c r="L183" s="25">
        <v>0</v>
      </c>
      <c r="M183" s="25">
        <v>132744789.49687061</v>
      </c>
      <c r="N183" s="462">
        <f t="shared" si="5"/>
        <v>0</v>
      </c>
      <c r="O183" s="130">
        <f t="shared" si="6"/>
        <v>0</v>
      </c>
    </row>
    <row r="184" spans="1:15" hidden="1" x14ac:dyDescent="0.25">
      <c r="A184" s="462" t="s">
        <v>122</v>
      </c>
      <c r="B184" s="470" t="s">
        <v>383</v>
      </c>
      <c r="C184" s="25"/>
      <c r="D184" s="25" t="s">
        <v>465</v>
      </c>
      <c r="E184" s="25"/>
      <c r="F184" s="25" t="s">
        <v>473</v>
      </c>
      <c r="G184" s="462"/>
      <c r="H184" s="462" t="s">
        <v>292</v>
      </c>
      <c r="I184" s="25">
        <v>0</v>
      </c>
      <c r="J184" s="25">
        <v>0</v>
      </c>
      <c r="K184" s="25">
        <v>0</v>
      </c>
      <c r="L184" s="25">
        <v>0</v>
      </c>
      <c r="M184" s="25">
        <v>461572470.0557043</v>
      </c>
      <c r="N184" s="462">
        <f t="shared" si="5"/>
        <v>0</v>
      </c>
      <c r="O184" s="130">
        <f t="shared" si="6"/>
        <v>0</v>
      </c>
    </row>
    <row r="185" spans="1:15" ht="30" hidden="1" x14ac:dyDescent="0.25">
      <c r="A185" s="462" t="s">
        <v>122</v>
      </c>
      <c r="B185" s="470" t="s">
        <v>344</v>
      </c>
      <c r="C185" s="25"/>
      <c r="D185" s="25" t="s">
        <v>465</v>
      </c>
      <c r="E185" s="25"/>
      <c r="F185" s="25" t="s">
        <v>473</v>
      </c>
      <c r="G185" s="462"/>
      <c r="H185" s="462" t="s">
        <v>292</v>
      </c>
      <c r="I185" s="25">
        <v>0</v>
      </c>
      <c r="J185" s="25">
        <v>0</v>
      </c>
      <c r="K185" s="25">
        <v>0</v>
      </c>
      <c r="L185" s="25">
        <v>0</v>
      </c>
      <c r="M185" s="25">
        <v>368676205.98230016</v>
      </c>
      <c r="N185" s="462">
        <f t="shared" si="5"/>
        <v>0</v>
      </c>
      <c r="O185" s="130">
        <f t="shared" si="6"/>
        <v>0</v>
      </c>
    </row>
    <row r="186" spans="1:15" hidden="1" x14ac:dyDescent="0.25">
      <c r="A186" s="462" t="s">
        <v>122</v>
      </c>
      <c r="B186" s="470" t="s">
        <v>127</v>
      </c>
      <c r="C186" s="25"/>
      <c r="D186" s="25" t="s">
        <v>465</v>
      </c>
      <c r="E186" s="25"/>
      <c r="F186" s="25" t="s">
        <v>473</v>
      </c>
      <c r="G186" s="462"/>
      <c r="H186" s="462" t="s">
        <v>292</v>
      </c>
      <c r="I186" s="25">
        <v>0</v>
      </c>
      <c r="J186" s="25">
        <v>0</v>
      </c>
      <c r="K186" s="25">
        <v>0</v>
      </c>
      <c r="L186" s="25">
        <v>0</v>
      </c>
      <c r="M186" s="25">
        <v>256180909.35876647</v>
      </c>
      <c r="N186" s="462">
        <f t="shared" si="5"/>
        <v>0</v>
      </c>
      <c r="O186" s="130">
        <f t="shared" si="6"/>
        <v>0</v>
      </c>
    </row>
    <row r="187" spans="1:15" hidden="1" x14ac:dyDescent="0.25">
      <c r="A187" s="462" t="s">
        <v>122</v>
      </c>
      <c r="B187" s="470" t="s">
        <v>133</v>
      </c>
      <c r="C187" s="25"/>
      <c r="D187" s="25" t="s">
        <v>465</v>
      </c>
      <c r="E187" s="25"/>
      <c r="F187" s="25" t="s">
        <v>473</v>
      </c>
      <c r="G187" s="462"/>
      <c r="H187" s="462" t="s">
        <v>292</v>
      </c>
      <c r="I187" s="25">
        <v>0</v>
      </c>
      <c r="J187" s="25">
        <v>0</v>
      </c>
      <c r="K187" s="25">
        <v>0</v>
      </c>
      <c r="L187" s="25">
        <v>0</v>
      </c>
      <c r="M187" s="25">
        <v>68437168.244202793</v>
      </c>
      <c r="N187" s="462">
        <f t="shared" si="5"/>
        <v>0</v>
      </c>
      <c r="O187" s="130">
        <f t="shared" si="6"/>
        <v>0</v>
      </c>
    </row>
    <row r="188" spans="1:15" hidden="1" x14ac:dyDescent="0.25">
      <c r="A188" s="462" t="s">
        <v>122</v>
      </c>
      <c r="B188" s="470" t="s">
        <v>420</v>
      </c>
      <c r="C188" s="25"/>
      <c r="D188" s="25" t="s">
        <v>465</v>
      </c>
      <c r="E188" s="25"/>
      <c r="F188" s="25" t="s">
        <v>473</v>
      </c>
      <c r="G188" s="462"/>
      <c r="H188" s="462" t="s">
        <v>292</v>
      </c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462">
        <f t="shared" si="5"/>
        <v>0</v>
      </c>
      <c r="O188" s="130">
        <f t="shared" si="6"/>
        <v>0</v>
      </c>
    </row>
    <row r="189" spans="1:15" hidden="1" x14ac:dyDescent="0.25">
      <c r="A189" s="462" t="s">
        <v>122</v>
      </c>
      <c r="B189" s="470" t="s">
        <v>420</v>
      </c>
      <c r="C189" s="25"/>
      <c r="D189" s="25" t="s">
        <v>465</v>
      </c>
      <c r="E189" s="25"/>
      <c r="F189" s="25" t="s">
        <v>473</v>
      </c>
      <c r="G189" s="462"/>
      <c r="H189" s="462" t="s">
        <v>292</v>
      </c>
      <c r="I189" s="25">
        <v>0</v>
      </c>
      <c r="J189" s="25">
        <v>0</v>
      </c>
      <c r="K189" s="25">
        <v>0</v>
      </c>
      <c r="L189" s="25">
        <v>0</v>
      </c>
      <c r="M189" s="25">
        <v>13861067.775549101</v>
      </c>
      <c r="N189" s="462">
        <f t="shared" si="5"/>
        <v>0</v>
      </c>
      <c r="O189" s="130">
        <f t="shared" si="6"/>
        <v>0</v>
      </c>
    </row>
    <row r="190" spans="1:15" hidden="1" x14ac:dyDescent="0.25">
      <c r="A190" s="462" t="s">
        <v>122</v>
      </c>
      <c r="B190" s="470" t="s">
        <v>383</v>
      </c>
      <c r="C190" s="25"/>
      <c r="D190" s="25" t="s">
        <v>465</v>
      </c>
      <c r="E190" s="25"/>
      <c r="F190" s="25" t="s">
        <v>473</v>
      </c>
      <c r="G190" s="462"/>
      <c r="H190" s="462" t="s">
        <v>292</v>
      </c>
      <c r="I190" s="25">
        <v>0</v>
      </c>
      <c r="J190" s="25">
        <v>0</v>
      </c>
      <c r="K190" s="25">
        <v>0</v>
      </c>
      <c r="L190" s="25">
        <v>0</v>
      </c>
      <c r="M190" s="25">
        <v>27587077.313190907</v>
      </c>
      <c r="N190" s="462">
        <f t="shared" si="5"/>
        <v>0</v>
      </c>
      <c r="O190" s="130">
        <f t="shared" si="6"/>
        <v>0</v>
      </c>
    </row>
    <row r="191" spans="1:15" ht="30" hidden="1" x14ac:dyDescent="0.25">
      <c r="A191" s="462" t="s">
        <v>122</v>
      </c>
      <c r="B191" s="470" t="s">
        <v>344</v>
      </c>
      <c r="C191" s="25"/>
      <c r="D191" s="25" t="s">
        <v>465</v>
      </c>
      <c r="E191" s="25"/>
      <c r="F191" s="25" t="s">
        <v>473</v>
      </c>
      <c r="G191" s="462"/>
      <c r="H191" s="462" t="s">
        <v>292</v>
      </c>
      <c r="I191" s="25">
        <v>0</v>
      </c>
      <c r="J191" s="25">
        <v>0</v>
      </c>
      <c r="K191" s="25">
        <v>0</v>
      </c>
      <c r="L191" s="25">
        <v>0</v>
      </c>
      <c r="M191" s="25">
        <v>160342343.65884095</v>
      </c>
      <c r="N191" s="462">
        <f t="shared" si="5"/>
        <v>0</v>
      </c>
      <c r="O191" s="130">
        <f t="shared" si="6"/>
        <v>0</v>
      </c>
    </row>
    <row r="192" spans="1:15" hidden="1" x14ac:dyDescent="0.25">
      <c r="A192" s="462" t="s">
        <v>122</v>
      </c>
      <c r="B192" s="470" t="s">
        <v>135</v>
      </c>
      <c r="C192" s="25"/>
      <c r="D192" s="25" t="s">
        <v>465</v>
      </c>
      <c r="E192" s="25"/>
      <c r="F192" s="25" t="s">
        <v>473</v>
      </c>
      <c r="G192" s="462"/>
      <c r="H192" s="462" t="s">
        <v>292</v>
      </c>
      <c r="I192" s="25">
        <v>0</v>
      </c>
      <c r="J192" s="25">
        <v>0</v>
      </c>
      <c r="K192" s="25">
        <v>0</v>
      </c>
      <c r="L192" s="25">
        <v>0</v>
      </c>
      <c r="M192" s="25">
        <v>13861067.775549101</v>
      </c>
      <c r="N192" s="462">
        <f t="shared" si="5"/>
        <v>0</v>
      </c>
      <c r="O192" s="130">
        <f t="shared" si="6"/>
        <v>0</v>
      </c>
    </row>
    <row r="193" spans="1:15" hidden="1" x14ac:dyDescent="0.25">
      <c r="A193" s="462" t="s">
        <v>122</v>
      </c>
      <c r="B193" s="470" t="s">
        <v>127</v>
      </c>
      <c r="C193" s="25"/>
      <c r="D193" s="25" t="s">
        <v>465</v>
      </c>
      <c r="E193" s="25"/>
      <c r="F193" s="25" t="s">
        <v>473</v>
      </c>
      <c r="G193" s="462"/>
      <c r="H193" s="462" t="s">
        <v>292</v>
      </c>
      <c r="I193" s="25">
        <v>0</v>
      </c>
      <c r="J193" s="25">
        <v>0</v>
      </c>
      <c r="K193" s="25">
        <v>0</v>
      </c>
      <c r="L193" s="25">
        <v>0</v>
      </c>
      <c r="M193" s="25">
        <v>77923810.478209168</v>
      </c>
      <c r="N193" s="462">
        <f t="shared" si="5"/>
        <v>0</v>
      </c>
      <c r="O193" s="130">
        <f t="shared" si="6"/>
        <v>0</v>
      </c>
    </row>
    <row r="194" spans="1:15" hidden="1" x14ac:dyDescent="0.25">
      <c r="A194" s="462" t="s">
        <v>122</v>
      </c>
      <c r="B194" s="470" t="s">
        <v>123</v>
      </c>
      <c r="C194" s="25"/>
      <c r="D194" s="25" t="s">
        <v>465</v>
      </c>
      <c r="E194" s="25"/>
      <c r="F194" s="25" t="s">
        <v>473</v>
      </c>
      <c r="G194" s="462"/>
      <c r="H194" s="462" t="s">
        <v>292</v>
      </c>
      <c r="I194" s="25">
        <v>0</v>
      </c>
      <c r="J194" s="25">
        <v>0</v>
      </c>
      <c r="K194" s="25">
        <v>0</v>
      </c>
      <c r="L194" s="25">
        <v>0</v>
      </c>
      <c r="M194" s="25">
        <v>76132782.152658641</v>
      </c>
      <c r="N194" s="462">
        <f t="shared" si="5"/>
        <v>0</v>
      </c>
      <c r="O194" s="130">
        <f t="shared" si="6"/>
        <v>0</v>
      </c>
    </row>
    <row r="195" spans="1:15" hidden="1" x14ac:dyDescent="0.25">
      <c r="A195" s="462" t="s">
        <v>122</v>
      </c>
      <c r="B195" s="470" t="s">
        <v>133</v>
      </c>
      <c r="C195" s="25"/>
      <c r="D195" s="25" t="s">
        <v>465</v>
      </c>
      <c r="E195" s="25"/>
      <c r="F195" s="25" t="s">
        <v>473</v>
      </c>
      <c r="G195" s="462"/>
      <c r="H195" s="462" t="s">
        <v>292</v>
      </c>
      <c r="I195" s="25">
        <v>0</v>
      </c>
      <c r="J195" s="25">
        <v>0</v>
      </c>
      <c r="K195" s="25">
        <v>0</v>
      </c>
      <c r="L195" s="25">
        <v>0</v>
      </c>
      <c r="M195" s="25">
        <v>201181957.69999999</v>
      </c>
      <c r="N195" s="462">
        <f t="shared" ref="N195:N243" si="7">SUM(K195,L195)</f>
        <v>0</v>
      </c>
      <c r="O195" s="130">
        <f t="shared" ref="O195:O243" si="8">SUM(I195:L195)</f>
        <v>0</v>
      </c>
    </row>
    <row r="196" spans="1:15" hidden="1" x14ac:dyDescent="0.25">
      <c r="A196" s="462" t="s">
        <v>122</v>
      </c>
      <c r="B196" s="470" t="s">
        <v>135</v>
      </c>
      <c r="C196" s="25"/>
      <c r="D196" s="25" t="s">
        <v>465</v>
      </c>
      <c r="E196" s="25"/>
      <c r="F196" s="25" t="s">
        <v>473</v>
      </c>
      <c r="G196" s="462"/>
      <c r="H196" s="462" t="s">
        <v>292</v>
      </c>
      <c r="I196" s="25">
        <v>0</v>
      </c>
      <c r="J196" s="25">
        <v>0</v>
      </c>
      <c r="K196" s="25">
        <v>0</v>
      </c>
      <c r="L196" s="25">
        <v>0</v>
      </c>
      <c r="M196" s="25">
        <v>13861067.775549101</v>
      </c>
      <c r="N196" s="462">
        <f t="shared" si="7"/>
        <v>0</v>
      </c>
      <c r="O196" s="130">
        <f t="shared" si="8"/>
        <v>0</v>
      </c>
    </row>
    <row r="197" spans="1:15" hidden="1" x14ac:dyDescent="0.25">
      <c r="A197" s="462" t="s">
        <v>122</v>
      </c>
      <c r="B197" s="470" t="s">
        <v>138</v>
      </c>
      <c r="C197" s="25"/>
      <c r="D197" s="25" t="s">
        <v>465</v>
      </c>
      <c r="E197" s="25"/>
      <c r="F197" s="25" t="s">
        <v>473</v>
      </c>
      <c r="G197" s="462"/>
      <c r="H197" s="462" t="s">
        <v>292</v>
      </c>
      <c r="I197" s="25">
        <v>0</v>
      </c>
      <c r="J197" s="25">
        <v>0</v>
      </c>
      <c r="K197" s="25">
        <v>0</v>
      </c>
      <c r="L197" s="25">
        <v>0</v>
      </c>
      <c r="M197" s="25">
        <v>0</v>
      </c>
      <c r="N197" s="462">
        <f t="shared" si="7"/>
        <v>0</v>
      </c>
      <c r="O197" s="130">
        <f t="shared" si="8"/>
        <v>0</v>
      </c>
    </row>
    <row r="198" spans="1:15" hidden="1" x14ac:dyDescent="0.25">
      <c r="A198" s="462" t="s">
        <v>122</v>
      </c>
      <c r="B198" s="470" t="s">
        <v>135</v>
      </c>
      <c r="C198" s="25"/>
      <c r="D198" s="25" t="s">
        <v>465</v>
      </c>
      <c r="E198" s="25"/>
      <c r="F198" s="25" t="s">
        <v>473</v>
      </c>
      <c r="G198" s="462"/>
      <c r="H198" s="462" t="s">
        <v>292</v>
      </c>
      <c r="I198" s="25">
        <v>0</v>
      </c>
      <c r="J198" s="25">
        <v>0</v>
      </c>
      <c r="K198" s="25">
        <v>0</v>
      </c>
      <c r="L198" s="25">
        <v>0</v>
      </c>
      <c r="M198" s="25">
        <v>13861067.775549101</v>
      </c>
      <c r="N198" s="462">
        <f t="shared" si="7"/>
        <v>0</v>
      </c>
      <c r="O198" s="130">
        <f t="shared" si="8"/>
        <v>0</v>
      </c>
    </row>
    <row r="199" spans="1:15" hidden="1" x14ac:dyDescent="0.25">
      <c r="A199" s="462" t="s">
        <v>140</v>
      </c>
      <c r="B199" s="25" t="s">
        <v>174</v>
      </c>
      <c r="C199" s="25"/>
      <c r="D199" s="25" t="s">
        <v>507</v>
      </c>
      <c r="E199" s="25"/>
      <c r="F199" s="25" t="s">
        <v>508</v>
      </c>
      <c r="G199" s="462"/>
      <c r="H199" s="462" t="s">
        <v>292</v>
      </c>
      <c r="I199" s="25">
        <v>0</v>
      </c>
      <c r="J199" s="25">
        <v>0</v>
      </c>
      <c r="K199" s="25">
        <v>0</v>
      </c>
      <c r="L199" s="25">
        <v>0</v>
      </c>
      <c r="M199" s="25">
        <v>23887809.095800001</v>
      </c>
      <c r="N199" s="462">
        <f t="shared" si="7"/>
        <v>0</v>
      </c>
      <c r="O199" s="130">
        <f t="shared" si="8"/>
        <v>0</v>
      </c>
    </row>
    <row r="200" spans="1:15" hidden="1" x14ac:dyDescent="0.25">
      <c r="A200" s="462" t="s">
        <v>140</v>
      </c>
      <c r="B200" s="25" t="s">
        <v>166</v>
      </c>
      <c r="C200" s="25"/>
      <c r="D200" s="25" t="s">
        <v>509</v>
      </c>
      <c r="E200" s="25"/>
      <c r="F200" s="25" t="s">
        <v>510</v>
      </c>
      <c r="G200" s="462"/>
      <c r="H200" s="462" t="s">
        <v>292</v>
      </c>
      <c r="I200" s="25">
        <v>0</v>
      </c>
      <c r="J200" s="25">
        <v>0</v>
      </c>
      <c r="K200" s="25">
        <v>0</v>
      </c>
      <c r="L200" s="25">
        <v>0</v>
      </c>
      <c r="M200" s="25">
        <v>544184205.98619974</v>
      </c>
      <c r="N200" s="462">
        <f t="shared" si="7"/>
        <v>0</v>
      </c>
      <c r="O200" s="130">
        <f t="shared" si="8"/>
        <v>0</v>
      </c>
    </row>
    <row r="201" spans="1:15" hidden="1" x14ac:dyDescent="0.25">
      <c r="A201" s="462" t="s">
        <v>140</v>
      </c>
      <c r="B201" s="25" t="s">
        <v>341</v>
      </c>
      <c r="C201" s="25"/>
      <c r="D201" s="25" t="s">
        <v>509</v>
      </c>
      <c r="E201" s="25"/>
      <c r="F201" s="25" t="s">
        <v>511</v>
      </c>
      <c r="G201" s="462"/>
      <c r="H201" s="462" t="s">
        <v>292</v>
      </c>
      <c r="I201" s="25">
        <v>0</v>
      </c>
      <c r="J201" s="25">
        <v>0</v>
      </c>
      <c r="K201" s="25">
        <v>0</v>
      </c>
      <c r="L201" s="25">
        <v>0</v>
      </c>
      <c r="M201" s="25">
        <v>280737179.26800001</v>
      </c>
      <c r="N201" s="462">
        <f t="shared" si="7"/>
        <v>0</v>
      </c>
      <c r="O201" s="130">
        <f t="shared" si="8"/>
        <v>0</v>
      </c>
    </row>
    <row r="202" spans="1:15" hidden="1" x14ac:dyDescent="0.25">
      <c r="A202" s="462" t="s">
        <v>140</v>
      </c>
      <c r="B202" s="25" t="s">
        <v>141</v>
      </c>
      <c r="C202" s="25"/>
      <c r="D202" s="25" t="s">
        <v>509</v>
      </c>
      <c r="E202" s="25"/>
      <c r="F202" s="25" t="s">
        <v>511</v>
      </c>
      <c r="G202" s="462"/>
      <c r="H202" s="462" t="s">
        <v>292</v>
      </c>
      <c r="I202" s="25">
        <v>0</v>
      </c>
      <c r="J202" s="25">
        <v>0</v>
      </c>
      <c r="K202" s="25">
        <v>0</v>
      </c>
      <c r="L202" s="25">
        <v>0</v>
      </c>
      <c r="M202" s="25">
        <v>221090062.43870005</v>
      </c>
      <c r="N202" s="462">
        <f t="shared" si="7"/>
        <v>0</v>
      </c>
      <c r="O202" s="130">
        <f t="shared" si="8"/>
        <v>0</v>
      </c>
    </row>
    <row r="203" spans="1:15" hidden="1" x14ac:dyDescent="0.25">
      <c r="A203" s="462" t="s">
        <v>140</v>
      </c>
      <c r="B203" s="25" t="s">
        <v>155</v>
      </c>
      <c r="C203" s="25"/>
      <c r="D203" s="25" t="s">
        <v>509</v>
      </c>
      <c r="E203" s="25"/>
      <c r="F203" s="25" t="s">
        <v>510</v>
      </c>
      <c r="G203" s="462"/>
      <c r="H203" s="462" t="s">
        <v>292</v>
      </c>
      <c r="I203" s="25">
        <v>0</v>
      </c>
      <c r="J203" s="25">
        <v>0</v>
      </c>
      <c r="K203" s="25">
        <v>0</v>
      </c>
      <c r="L203" s="25">
        <v>0</v>
      </c>
      <c r="M203" s="25">
        <v>1131603727.040801</v>
      </c>
      <c r="N203" s="462">
        <f t="shared" si="7"/>
        <v>0</v>
      </c>
      <c r="O203" s="130">
        <f t="shared" si="8"/>
        <v>0</v>
      </c>
    </row>
    <row r="204" spans="1:15" hidden="1" x14ac:dyDescent="0.25">
      <c r="A204" s="462" t="s">
        <v>140</v>
      </c>
      <c r="B204" s="25" t="s">
        <v>148</v>
      </c>
      <c r="C204" s="25"/>
      <c r="D204" s="25" t="s">
        <v>509</v>
      </c>
      <c r="E204" s="25"/>
      <c r="F204" s="25" t="s">
        <v>511</v>
      </c>
      <c r="G204" s="462"/>
      <c r="H204" s="462" t="s">
        <v>292</v>
      </c>
      <c r="I204" s="25">
        <v>0</v>
      </c>
      <c r="J204" s="25">
        <v>0</v>
      </c>
      <c r="K204" s="25">
        <v>0</v>
      </c>
      <c r="L204" s="25">
        <v>0</v>
      </c>
      <c r="M204" s="25">
        <v>573647981.04380012</v>
      </c>
      <c r="N204" s="462">
        <f t="shared" si="7"/>
        <v>0</v>
      </c>
      <c r="O204" s="130">
        <f t="shared" si="8"/>
        <v>0</v>
      </c>
    </row>
    <row r="205" spans="1:15" hidden="1" x14ac:dyDescent="0.25">
      <c r="A205" s="462" t="s">
        <v>140</v>
      </c>
      <c r="B205" s="25" t="s">
        <v>512</v>
      </c>
      <c r="C205" s="25"/>
      <c r="D205" s="25" t="s">
        <v>507</v>
      </c>
      <c r="E205" s="25"/>
      <c r="F205" s="25" t="s">
        <v>513</v>
      </c>
      <c r="G205" s="462"/>
      <c r="H205" s="462" t="s">
        <v>292</v>
      </c>
      <c r="I205" s="25">
        <v>0</v>
      </c>
      <c r="J205" s="25">
        <v>0</v>
      </c>
      <c r="K205" s="25">
        <v>0</v>
      </c>
      <c r="L205" s="25">
        <v>0</v>
      </c>
      <c r="M205" s="25">
        <v>136655603.58450004</v>
      </c>
      <c r="N205" s="462">
        <f t="shared" si="7"/>
        <v>0</v>
      </c>
      <c r="O205" s="130">
        <f t="shared" si="8"/>
        <v>0</v>
      </c>
    </row>
    <row r="206" spans="1:15" hidden="1" x14ac:dyDescent="0.25">
      <c r="A206" s="462" t="s">
        <v>140</v>
      </c>
      <c r="B206" s="25" t="s">
        <v>165</v>
      </c>
      <c r="C206" s="25"/>
      <c r="D206" s="25" t="s">
        <v>509</v>
      </c>
      <c r="E206" s="25"/>
      <c r="F206" s="25" t="s">
        <v>510</v>
      </c>
      <c r="G206" s="462"/>
      <c r="H206" s="462" t="s">
        <v>292</v>
      </c>
      <c r="I206" s="25">
        <v>0</v>
      </c>
      <c r="J206" s="25">
        <v>0</v>
      </c>
      <c r="K206" s="25">
        <v>0</v>
      </c>
      <c r="L206" s="25">
        <v>0</v>
      </c>
      <c r="M206" s="25">
        <v>51890148.134499997</v>
      </c>
      <c r="N206" s="462">
        <f t="shared" si="7"/>
        <v>0</v>
      </c>
      <c r="O206" s="130">
        <f t="shared" si="8"/>
        <v>0</v>
      </c>
    </row>
    <row r="207" spans="1:15" hidden="1" x14ac:dyDescent="0.25">
      <c r="A207" s="462" t="s">
        <v>140</v>
      </c>
      <c r="B207" s="25" t="s">
        <v>514</v>
      </c>
      <c r="C207" s="25"/>
      <c r="D207" s="25" t="s">
        <v>507</v>
      </c>
      <c r="E207" s="25"/>
      <c r="F207" s="25" t="s">
        <v>513</v>
      </c>
      <c r="G207" s="462"/>
      <c r="H207" s="462" t="s">
        <v>292</v>
      </c>
      <c r="I207" s="25">
        <v>0</v>
      </c>
      <c r="J207" s="25">
        <v>0</v>
      </c>
      <c r="K207" s="25">
        <v>0</v>
      </c>
      <c r="L207" s="25">
        <v>0</v>
      </c>
      <c r="M207" s="25">
        <v>85552599.98739998</v>
      </c>
      <c r="N207" s="462">
        <f t="shared" si="7"/>
        <v>0</v>
      </c>
      <c r="O207" s="130">
        <f t="shared" si="8"/>
        <v>0</v>
      </c>
    </row>
    <row r="208" spans="1:15" hidden="1" x14ac:dyDescent="0.25">
      <c r="A208" s="462" t="s">
        <v>140</v>
      </c>
      <c r="B208" s="25" t="s">
        <v>173</v>
      </c>
      <c r="C208" s="25"/>
      <c r="D208" s="25" t="s">
        <v>507</v>
      </c>
      <c r="E208" s="25"/>
      <c r="F208" s="25" t="s">
        <v>508</v>
      </c>
      <c r="G208" s="462"/>
      <c r="H208" s="462" t="s">
        <v>292</v>
      </c>
      <c r="I208" s="25">
        <v>0</v>
      </c>
      <c r="J208" s="25">
        <v>0</v>
      </c>
      <c r="K208" s="25">
        <v>0</v>
      </c>
      <c r="L208" s="25">
        <v>0</v>
      </c>
      <c r="M208" s="25">
        <v>1938906834.9962986</v>
      </c>
      <c r="N208" s="462">
        <f t="shared" si="7"/>
        <v>0</v>
      </c>
      <c r="O208" s="130">
        <f t="shared" si="8"/>
        <v>0</v>
      </c>
    </row>
    <row r="209" spans="1:15" hidden="1" x14ac:dyDescent="0.25">
      <c r="A209" s="462" t="s">
        <v>140</v>
      </c>
      <c r="B209" s="25" t="s">
        <v>173</v>
      </c>
      <c r="C209" s="25"/>
      <c r="D209" s="25" t="s">
        <v>507</v>
      </c>
      <c r="E209" s="25"/>
      <c r="F209" s="25" t="s">
        <v>515</v>
      </c>
      <c r="G209" s="462"/>
      <c r="H209" s="462" t="s">
        <v>292</v>
      </c>
      <c r="I209" s="25">
        <v>0</v>
      </c>
      <c r="J209" s="25">
        <v>0</v>
      </c>
      <c r="K209" s="25">
        <v>0</v>
      </c>
      <c r="L209" s="25">
        <v>0</v>
      </c>
      <c r="M209" s="25">
        <v>105970379.57999998</v>
      </c>
      <c r="N209" s="462">
        <f t="shared" si="7"/>
        <v>0</v>
      </c>
      <c r="O209" s="130">
        <f t="shared" si="8"/>
        <v>0</v>
      </c>
    </row>
    <row r="210" spans="1:15" hidden="1" x14ac:dyDescent="0.25">
      <c r="A210" s="462" t="s">
        <v>140</v>
      </c>
      <c r="B210" s="25" t="s">
        <v>146</v>
      </c>
      <c r="C210" s="25"/>
      <c r="D210" s="25" t="s">
        <v>509</v>
      </c>
      <c r="E210" s="25"/>
      <c r="F210" s="25" t="s">
        <v>511</v>
      </c>
      <c r="G210" s="462"/>
      <c r="H210" s="462" t="s">
        <v>292</v>
      </c>
      <c r="I210" s="25">
        <v>0</v>
      </c>
      <c r="J210" s="25">
        <v>0</v>
      </c>
      <c r="K210" s="25">
        <v>0</v>
      </c>
      <c r="L210" s="25">
        <v>0</v>
      </c>
      <c r="M210" s="25">
        <v>242263446.25079992</v>
      </c>
      <c r="N210" s="462">
        <f t="shared" si="7"/>
        <v>0</v>
      </c>
      <c r="O210" s="130">
        <f t="shared" si="8"/>
        <v>0</v>
      </c>
    </row>
    <row r="211" spans="1:15" hidden="1" x14ac:dyDescent="0.25">
      <c r="A211" s="462" t="s">
        <v>140</v>
      </c>
      <c r="B211" s="25" t="s">
        <v>150</v>
      </c>
      <c r="C211" s="25"/>
      <c r="D211" s="25" t="s">
        <v>509</v>
      </c>
      <c r="E211" s="25"/>
      <c r="F211" s="25" t="s">
        <v>511</v>
      </c>
      <c r="G211" s="462"/>
      <c r="H211" s="462" t="s">
        <v>292</v>
      </c>
      <c r="I211" s="25">
        <v>0</v>
      </c>
      <c r="J211" s="25">
        <v>0</v>
      </c>
      <c r="K211" s="25">
        <v>0</v>
      </c>
      <c r="L211" s="25">
        <v>0</v>
      </c>
      <c r="M211" s="25">
        <v>362534982.53960001</v>
      </c>
      <c r="N211" s="462">
        <f t="shared" si="7"/>
        <v>0</v>
      </c>
      <c r="O211" s="130">
        <f t="shared" si="8"/>
        <v>0</v>
      </c>
    </row>
    <row r="212" spans="1:15" hidden="1" x14ac:dyDescent="0.25">
      <c r="A212" s="462" t="s">
        <v>140</v>
      </c>
      <c r="B212" s="25" t="s">
        <v>145</v>
      </c>
      <c r="C212" s="25"/>
      <c r="D212" s="25" t="s">
        <v>509</v>
      </c>
      <c r="E212" s="25"/>
      <c r="F212" s="25" t="s">
        <v>511</v>
      </c>
      <c r="G212" s="462"/>
      <c r="H212" s="462" t="s">
        <v>292</v>
      </c>
      <c r="I212" s="25">
        <v>0</v>
      </c>
      <c r="J212" s="25">
        <v>0</v>
      </c>
      <c r="K212" s="25">
        <v>0</v>
      </c>
      <c r="L212" s="25">
        <v>0</v>
      </c>
      <c r="M212" s="25">
        <v>181023400.17449993</v>
      </c>
      <c r="N212" s="462">
        <f t="shared" si="7"/>
        <v>0</v>
      </c>
      <c r="O212" s="130">
        <f t="shared" si="8"/>
        <v>0</v>
      </c>
    </row>
    <row r="213" spans="1:15" hidden="1" x14ac:dyDescent="0.25">
      <c r="A213" s="462" t="s">
        <v>140</v>
      </c>
      <c r="B213" s="25" t="s">
        <v>152</v>
      </c>
      <c r="C213" s="25"/>
      <c r="D213" s="25" t="s">
        <v>509</v>
      </c>
      <c r="E213" s="25"/>
      <c r="F213" s="25" t="s">
        <v>516</v>
      </c>
      <c r="G213" s="462"/>
      <c r="H213" s="462" t="s">
        <v>292</v>
      </c>
      <c r="I213" s="25">
        <v>0</v>
      </c>
      <c r="J213" s="25">
        <v>0</v>
      </c>
      <c r="K213" s="25">
        <v>0</v>
      </c>
      <c r="L213" s="25">
        <v>0</v>
      </c>
      <c r="M213" s="25">
        <v>381960960.90099984</v>
      </c>
      <c r="N213" s="462">
        <f t="shared" si="7"/>
        <v>0</v>
      </c>
      <c r="O213" s="130">
        <f t="shared" si="8"/>
        <v>0</v>
      </c>
    </row>
    <row r="214" spans="1:15" hidden="1" x14ac:dyDescent="0.25">
      <c r="A214" s="462" t="s">
        <v>140</v>
      </c>
      <c r="B214" s="25" t="s">
        <v>156</v>
      </c>
      <c r="C214" s="25"/>
      <c r="D214" s="25" t="s">
        <v>507</v>
      </c>
      <c r="E214" s="25"/>
      <c r="F214" s="25" t="s">
        <v>515</v>
      </c>
      <c r="G214" s="462"/>
      <c r="H214" s="462" t="s">
        <v>292</v>
      </c>
      <c r="I214" s="25">
        <v>0</v>
      </c>
      <c r="J214" s="25">
        <v>0</v>
      </c>
      <c r="K214" s="25">
        <v>0</v>
      </c>
      <c r="L214" s="25">
        <v>0</v>
      </c>
      <c r="M214" s="25">
        <v>2969791621.8204007</v>
      </c>
      <c r="N214" s="462">
        <f t="shared" si="7"/>
        <v>0</v>
      </c>
      <c r="O214" s="130">
        <f t="shared" si="8"/>
        <v>0</v>
      </c>
    </row>
    <row r="215" spans="1:15" hidden="1" x14ac:dyDescent="0.25">
      <c r="A215" s="462" t="s">
        <v>140</v>
      </c>
      <c r="B215" s="25" t="s">
        <v>154</v>
      </c>
      <c r="C215" s="25"/>
      <c r="D215" s="25" t="s">
        <v>509</v>
      </c>
      <c r="E215" s="25"/>
      <c r="F215" s="25" t="s">
        <v>516</v>
      </c>
      <c r="G215" s="462"/>
      <c r="H215" s="462" t="s">
        <v>292</v>
      </c>
      <c r="I215" s="25">
        <v>0</v>
      </c>
      <c r="J215" s="25">
        <v>0</v>
      </c>
      <c r="K215" s="25">
        <v>0</v>
      </c>
      <c r="L215" s="25">
        <v>0</v>
      </c>
      <c r="M215" s="25">
        <v>1050024310.0880005</v>
      </c>
      <c r="N215" s="462">
        <f t="shared" si="7"/>
        <v>0</v>
      </c>
      <c r="O215" s="130">
        <f t="shared" si="8"/>
        <v>0</v>
      </c>
    </row>
    <row r="216" spans="1:15" hidden="1" x14ac:dyDescent="0.25">
      <c r="A216" s="462" t="s">
        <v>140</v>
      </c>
      <c r="B216" s="25" t="s">
        <v>517</v>
      </c>
      <c r="C216" s="25"/>
      <c r="D216" s="25" t="s">
        <v>507</v>
      </c>
      <c r="E216" s="25"/>
      <c r="F216" s="25" t="s">
        <v>513</v>
      </c>
      <c r="G216" s="462"/>
      <c r="H216" s="462" t="s">
        <v>292</v>
      </c>
      <c r="I216" s="25">
        <v>0</v>
      </c>
      <c r="J216" s="25">
        <v>0</v>
      </c>
      <c r="K216" s="25">
        <v>0</v>
      </c>
      <c r="L216" s="25">
        <v>0</v>
      </c>
      <c r="M216" s="25">
        <v>195799301.25860009</v>
      </c>
      <c r="N216" s="462">
        <f t="shared" si="7"/>
        <v>0</v>
      </c>
      <c r="O216" s="130">
        <f t="shared" si="8"/>
        <v>0</v>
      </c>
    </row>
    <row r="217" spans="1:15" hidden="1" x14ac:dyDescent="0.25">
      <c r="A217" s="462" t="s">
        <v>140</v>
      </c>
      <c r="B217" s="25" t="s">
        <v>160</v>
      </c>
      <c r="C217" s="25"/>
      <c r="D217" s="25" t="s">
        <v>507</v>
      </c>
      <c r="E217" s="25"/>
      <c r="F217" s="25" t="s">
        <v>513</v>
      </c>
      <c r="G217" s="462"/>
      <c r="H217" s="462" t="s">
        <v>292</v>
      </c>
      <c r="I217" s="25">
        <v>0</v>
      </c>
      <c r="J217" s="25">
        <v>0</v>
      </c>
      <c r="K217" s="25">
        <v>0</v>
      </c>
      <c r="L217" s="25">
        <v>0</v>
      </c>
      <c r="M217" s="25">
        <v>1113203080.3724992</v>
      </c>
      <c r="N217" s="462">
        <f t="shared" si="7"/>
        <v>0</v>
      </c>
      <c r="O217" s="130">
        <f t="shared" si="8"/>
        <v>0</v>
      </c>
    </row>
    <row r="218" spans="1:15" hidden="1" x14ac:dyDescent="0.25">
      <c r="A218" s="462" t="s">
        <v>140</v>
      </c>
      <c r="B218" s="25" t="s">
        <v>151</v>
      </c>
      <c r="C218" s="25"/>
      <c r="D218" s="25" t="s">
        <v>509</v>
      </c>
      <c r="E218" s="25"/>
      <c r="F218" s="25" t="s">
        <v>511</v>
      </c>
      <c r="G218" s="462"/>
      <c r="H218" s="462" t="s">
        <v>292</v>
      </c>
      <c r="I218" s="25">
        <v>0</v>
      </c>
      <c r="J218" s="25">
        <v>0</v>
      </c>
      <c r="K218" s="25">
        <v>0</v>
      </c>
      <c r="L218" s="25">
        <v>0</v>
      </c>
      <c r="M218" s="25">
        <v>193982358.73899996</v>
      </c>
      <c r="N218" s="462">
        <f t="shared" si="7"/>
        <v>0</v>
      </c>
      <c r="O218" s="130">
        <f t="shared" si="8"/>
        <v>0</v>
      </c>
    </row>
    <row r="219" spans="1:15" hidden="1" x14ac:dyDescent="0.25">
      <c r="A219" s="462" t="s">
        <v>140</v>
      </c>
      <c r="B219" s="25" t="s">
        <v>341</v>
      </c>
      <c r="C219" s="25"/>
      <c r="D219" s="25" t="s">
        <v>509</v>
      </c>
      <c r="E219" s="25"/>
      <c r="F219" s="25" t="s">
        <v>518</v>
      </c>
      <c r="G219" s="462"/>
      <c r="H219" s="462" t="s">
        <v>292</v>
      </c>
      <c r="I219" s="25">
        <v>0</v>
      </c>
      <c r="J219" s="25">
        <v>0</v>
      </c>
      <c r="K219" s="25">
        <v>0</v>
      </c>
      <c r="L219" s="25">
        <v>0</v>
      </c>
      <c r="M219" s="25">
        <v>383589624.24380004</v>
      </c>
      <c r="N219" s="462">
        <f t="shared" si="7"/>
        <v>0</v>
      </c>
      <c r="O219" s="130">
        <f t="shared" si="8"/>
        <v>0</v>
      </c>
    </row>
    <row r="220" spans="1:15" hidden="1" x14ac:dyDescent="0.25">
      <c r="A220" s="462" t="s">
        <v>140</v>
      </c>
      <c r="B220" s="25" t="s">
        <v>141</v>
      </c>
      <c r="C220" s="25"/>
      <c r="D220" s="25" t="s">
        <v>509</v>
      </c>
      <c r="E220" s="25"/>
      <c r="F220" s="25" t="s">
        <v>518</v>
      </c>
      <c r="G220" s="462"/>
      <c r="H220" s="462" t="s">
        <v>292</v>
      </c>
      <c r="I220" s="25">
        <v>0</v>
      </c>
      <c r="J220" s="25">
        <v>0</v>
      </c>
      <c r="K220" s="25">
        <v>0</v>
      </c>
      <c r="L220" s="25">
        <v>0</v>
      </c>
      <c r="M220" s="25">
        <v>319467848.86250019</v>
      </c>
      <c r="N220" s="462">
        <f t="shared" si="7"/>
        <v>0</v>
      </c>
      <c r="O220" s="130">
        <f t="shared" si="8"/>
        <v>0</v>
      </c>
    </row>
    <row r="221" spans="1:15" hidden="1" x14ac:dyDescent="0.25">
      <c r="A221" s="462" t="s">
        <v>140</v>
      </c>
      <c r="B221" s="25" t="s">
        <v>148</v>
      </c>
      <c r="C221" s="25"/>
      <c r="D221" s="25" t="s">
        <v>509</v>
      </c>
      <c r="E221" s="25"/>
      <c r="F221" s="25" t="s">
        <v>518</v>
      </c>
      <c r="G221" s="462"/>
      <c r="H221" s="462" t="s">
        <v>292</v>
      </c>
      <c r="I221" s="25">
        <v>0</v>
      </c>
      <c r="J221" s="25">
        <v>0</v>
      </c>
      <c r="K221" s="25">
        <v>0</v>
      </c>
      <c r="L221" s="25">
        <v>0</v>
      </c>
      <c r="M221" s="25">
        <v>577722381.09299958</v>
      </c>
      <c r="N221" s="462">
        <f t="shared" si="7"/>
        <v>0</v>
      </c>
      <c r="O221" s="130">
        <f t="shared" si="8"/>
        <v>0</v>
      </c>
    </row>
    <row r="222" spans="1:15" hidden="1" x14ac:dyDescent="0.25">
      <c r="A222" s="462" t="s">
        <v>140</v>
      </c>
      <c r="B222" s="25" t="s">
        <v>173</v>
      </c>
      <c r="C222" s="25"/>
      <c r="D222" s="25" t="s">
        <v>509</v>
      </c>
      <c r="E222" s="25"/>
      <c r="F222" s="25" t="s">
        <v>510</v>
      </c>
      <c r="G222" s="462"/>
      <c r="H222" s="462" t="s">
        <v>292</v>
      </c>
      <c r="I222" s="25">
        <v>0</v>
      </c>
      <c r="J222" s="25">
        <v>0</v>
      </c>
      <c r="K222" s="25">
        <v>0</v>
      </c>
      <c r="L222" s="25">
        <v>0</v>
      </c>
      <c r="M222" s="25">
        <v>0</v>
      </c>
      <c r="N222" s="462">
        <f t="shared" si="7"/>
        <v>0</v>
      </c>
      <c r="O222" s="130">
        <f t="shared" si="8"/>
        <v>0</v>
      </c>
    </row>
    <row r="223" spans="1:15" hidden="1" x14ac:dyDescent="0.25">
      <c r="A223" s="462" t="s">
        <v>140</v>
      </c>
      <c r="B223" s="25" t="s">
        <v>146</v>
      </c>
      <c r="C223" s="25"/>
      <c r="D223" s="25" t="s">
        <v>509</v>
      </c>
      <c r="E223" s="25"/>
      <c r="F223" s="25" t="s">
        <v>518</v>
      </c>
      <c r="G223" s="462"/>
      <c r="H223" s="462" t="s">
        <v>292</v>
      </c>
      <c r="I223" s="25">
        <v>0</v>
      </c>
      <c r="J223" s="25">
        <v>0</v>
      </c>
      <c r="K223" s="25">
        <v>0</v>
      </c>
      <c r="L223" s="25">
        <v>0</v>
      </c>
      <c r="M223" s="25">
        <v>244595402.85570005</v>
      </c>
      <c r="N223" s="462">
        <f t="shared" si="7"/>
        <v>0</v>
      </c>
      <c r="O223" s="130">
        <f t="shared" si="8"/>
        <v>0</v>
      </c>
    </row>
    <row r="224" spans="1:15" hidden="1" x14ac:dyDescent="0.25">
      <c r="A224" s="462" t="s">
        <v>140</v>
      </c>
      <c r="B224" s="25" t="s">
        <v>150</v>
      </c>
      <c r="C224" s="25"/>
      <c r="D224" s="25" t="s">
        <v>509</v>
      </c>
      <c r="E224" s="25"/>
      <c r="F224" s="25" t="s">
        <v>518</v>
      </c>
      <c r="G224" s="462"/>
      <c r="H224" s="462" t="s">
        <v>292</v>
      </c>
      <c r="I224" s="25">
        <v>0</v>
      </c>
      <c r="J224" s="25">
        <v>0</v>
      </c>
      <c r="K224" s="25">
        <v>0</v>
      </c>
      <c r="L224" s="25">
        <v>0</v>
      </c>
      <c r="M224" s="25">
        <v>238600337.93050003</v>
      </c>
      <c r="N224" s="462">
        <f t="shared" si="7"/>
        <v>0</v>
      </c>
      <c r="O224" s="130">
        <f t="shared" si="8"/>
        <v>0</v>
      </c>
    </row>
    <row r="225" spans="1:15" hidden="1" x14ac:dyDescent="0.25">
      <c r="A225" s="462" t="s">
        <v>140</v>
      </c>
      <c r="B225" s="25" t="s">
        <v>145</v>
      </c>
      <c r="C225" s="25"/>
      <c r="D225" s="25" t="s">
        <v>509</v>
      </c>
      <c r="E225" s="25"/>
      <c r="F225" s="25" t="s">
        <v>518</v>
      </c>
      <c r="G225" s="462"/>
      <c r="H225" s="462" t="s">
        <v>292</v>
      </c>
      <c r="I225" s="25">
        <v>0</v>
      </c>
      <c r="J225" s="25">
        <v>0</v>
      </c>
      <c r="K225" s="25">
        <v>0</v>
      </c>
      <c r="L225" s="25">
        <v>0</v>
      </c>
      <c r="M225" s="25">
        <v>175410934.04640001</v>
      </c>
      <c r="N225" s="462">
        <f t="shared" si="7"/>
        <v>0</v>
      </c>
      <c r="O225" s="130">
        <f t="shared" si="8"/>
        <v>0</v>
      </c>
    </row>
    <row r="226" spans="1:15" hidden="1" x14ac:dyDescent="0.25">
      <c r="A226" s="462" t="s">
        <v>140</v>
      </c>
      <c r="B226" s="25" t="s">
        <v>154</v>
      </c>
      <c r="C226" s="25"/>
      <c r="D226" s="25" t="s">
        <v>509</v>
      </c>
      <c r="E226" s="25"/>
      <c r="F226" s="25" t="s">
        <v>510</v>
      </c>
      <c r="G226" s="462"/>
      <c r="H226" s="462" t="s">
        <v>292</v>
      </c>
      <c r="I226" s="25">
        <v>0</v>
      </c>
      <c r="J226" s="25">
        <v>0</v>
      </c>
      <c r="K226" s="25">
        <v>0</v>
      </c>
      <c r="L226" s="25">
        <v>0</v>
      </c>
      <c r="M226" s="25">
        <v>3357900</v>
      </c>
      <c r="N226" s="462">
        <f t="shared" si="7"/>
        <v>0</v>
      </c>
      <c r="O226" s="130">
        <f t="shared" si="8"/>
        <v>0</v>
      </c>
    </row>
    <row r="227" spans="1:15" hidden="1" x14ac:dyDescent="0.25">
      <c r="A227" s="462" t="s">
        <v>140</v>
      </c>
      <c r="B227" s="25" t="s">
        <v>151</v>
      </c>
      <c r="C227" s="25"/>
      <c r="D227" s="25" t="s">
        <v>509</v>
      </c>
      <c r="E227" s="25"/>
      <c r="F227" s="25" t="s">
        <v>516</v>
      </c>
      <c r="G227" s="462"/>
      <c r="H227" s="462" t="s">
        <v>292</v>
      </c>
      <c r="I227" s="25">
        <v>0</v>
      </c>
      <c r="J227" s="25">
        <v>0</v>
      </c>
      <c r="K227" s="25">
        <v>0</v>
      </c>
      <c r="L227" s="25">
        <v>0</v>
      </c>
      <c r="M227" s="25">
        <v>191982465.48129994</v>
      </c>
      <c r="N227" s="462">
        <f t="shared" si="7"/>
        <v>0</v>
      </c>
      <c r="O227" s="130">
        <f t="shared" si="8"/>
        <v>0</v>
      </c>
    </row>
    <row r="228" spans="1:15" hidden="1" x14ac:dyDescent="0.25">
      <c r="A228" s="462" t="s">
        <v>622</v>
      </c>
      <c r="B228" s="464" t="s">
        <v>211</v>
      </c>
      <c r="C228" s="464"/>
      <c r="D228" s="464" t="s">
        <v>625</v>
      </c>
      <c r="E228" s="464"/>
      <c r="F228" s="464" t="s">
        <v>221</v>
      </c>
      <c r="G228" s="462"/>
      <c r="H228" s="462" t="s">
        <v>292</v>
      </c>
      <c r="I228" s="25">
        <v>0</v>
      </c>
      <c r="J228" s="25">
        <v>0</v>
      </c>
      <c r="K228" s="25">
        <v>0</v>
      </c>
      <c r="L228" s="25">
        <v>0</v>
      </c>
      <c r="M228" s="25">
        <v>0</v>
      </c>
      <c r="N228" s="462">
        <f t="shared" si="7"/>
        <v>0</v>
      </c>
      <c r="O228" s="130">
        <f t="shared" si="8"/>
        <v>0</v>
      </c>
    </row>
    <row r="229" spans="1:15" hidden="1" x14ac:dyDescent="0.25">
      <c r="A229" s="462" t="s">
        <v>622</v>
      </c>
      <c r="B229" s="464" t="s">
        <v>215</v>
      </c>
      <c r="C229" s="464"/>
      <c r="D229" s="464" t="s">
        <v>625</v>
      </c>
      <c r="E229" s="464"/>
      <c r="F229" s="464" t="s">
        <v>221</v>
      </c>
      <c r="G229" s="462"/>
      <c r="H229" s="462" t="s">
        <v>292</v>
      </c>
      <c r="I229" s="25">
        <v>0</v>
      </c>
      <c r="J229" s="25">
        <v>0</v>
      </c>
      <c r="K229" s="25">
        <v>0</v>
      </c>
      <c r="L229" s="25">
        <v>0</v>
      </c>
      <c r="M229" s="25">
        <v>0</v>
      </c>
      <c r="N229" s="462">
        <f t="shared" si="7"/>
        <v>0</v>
      </c>
      <c r="O229" s="130">
        <f t="shared" si="8"/>
        <v>0</v>
      </c>
    </row>
    <row r="230" spans="1:15" hidden="1" x14ac:dyDescent="0.25">
      <c r="A230" s="462" t="s">
        <v>622</v>
      </c>
      <c r="B230" s="464" t="s">
        <v>216</v>
      </c>
      <c r="C230" s="464"/>
      <c r="D230" s="464" t="s">
        <v>625</v>
      </c>
      <c r="E230" s="464"/>
      <c r="F230" s="464" t="s">
        <v>221</v>
      </c>
      <c r="G230" s="462"/>
      <c r="H230" s="462" t="s">
        <v>292</v>
      </c>
      <c r="I230" s="25">
        <v>0</v>
      </c>
      <c r="J230" s="25">
        <v>0</v>
      </c>
      <c r="K230" s="25">
        <v>0</v>
      </c>
      <c r="L230" s="25">
        <v>0</v>
      </c>
      <c r="M230" s="25">
        <v>0</v>
      </c>
      <c r="N230" s="462">
        <f t="shared" si="7"/>
        <v>0</v>
      </c>
      <c r="O230" s="130">
        <f t="shared" si="8"/>
        <v>0</v>
      </c>
    </row>
    <row r="231" spans="1:15" hidden="1" x14ac:dyDescent="0.25">
      <c r="A231" s="462" t="s">
        <v>622</v>
      </c>
      <c r="B231" s="464" t="s">
        <v>222</v>
      </c>
      <c r="C231" s="464"/>
      <c r="D231" s="464" t="s">
        <v>625</v>
      </c>
      <c r="E231" s="464"/>
      <c r="F231" s="464" t="s">
        <v>221</v>
      </c>
      <c r="G231" s="462"/>
      <c r="H231" s="462" t="s">
        <v>292</v>
      </c>
      <c r="I231" s="25">
        <v>0</v>
      </c>
      <c r="J231" s="25">
        <v>0</v>
      </c>
      <c r="K231" s="25">
        <v>0</v>
      </c>
      <c r="L231" s="25">
        <v>0</v>
      </c>
      <c r="M231" s="25">
        <v>0</v>
      </c>
      <c r="N231" s="462">
        <f t="shared" si="7"/>
        <v>0</v>
      </c>
      <c r="O231" s="130">
        <f t="shared" si="8"/>
        <v>0</v>
      </c>
    </row>
    <row r="232" spans="1:15" hidden="1" x14ac:dyDescent="0.25">
      <c r="A232" s="462" t="s">
        <v>622</v>
      </c>
      <c r="B232" s="464" t="s">
        <v>218</v>
      </c>
      <c r="C232" s="464"/>
      <c r="D232" s="464" t="s">
        <v>625</v>
      </c>
      <c r="E232" s="464"/>
      <c r="F232" s="464" t="s">
        <v>221</v>
      </c>
      <c r="G232" s="462"/>
      <c r="H232" s="462" t="s">
        <v>292</v>
      </c>
      <c r="I232" s="25">
        <v>0</v>
      </c>
      <c r="J232" s="25">
        <v>0</v>
      </c>
      <c r="K232" s="25">
        <v>0</v>
      </c>
      <c r="L232" s="25">
        <v>0</v>
      </c>
      <c r="M232" s="25">
        <v>0</v>
      </c>
      <c r="N232" s="462">
        <f t="shared" si="7"/>
        <v>0</v>
      </c>
      <c r="O232" s="130">
        <f t="shared" si="8"/>
        <v>0</v>
      </c>
    </row>
    <row r="233" spans="1:15" hidden="1" x14ac:dyDescent="0.25">
      <c r="A233" s="462" t="s">
        <v>622</v>
      </c>
      <c r="B233" s="464" t="s">
        <v>219</v>
      </c>
      <c r="C233" s="464"/>
      <c r="D233" s="464" t="s">
        <v>625</v>
      </c>
      <c r="E233" s="464"/>
      <c r="F233" s="464" t="s">
        <v>221</v>
      </c>
      <c r="G233" s="462"/>
      <c r="H233" s="462" t="s">
        <v>292</v>
      </c>
      <c r="I233" s="25">
        <v>0</v>
      </c>
      <c r="J233" s="25">
        <v>0</v>
      </c>
      <c r="K233" s="25">
        <v>0</v>
      </c>
      <c r="L233" s="25">
        <v>0</v>
      </c>
      <c r="M233" s="25">
        <v>0</v>
      </c>
      <c r="N233" s="462">
        <f t="shared" si="7"/>
        <v>0</v>
      </c>
      <c r="O233" s="130">
        <f t="shared" si="8"/>
        <v>0</v>
      </c>
    </row>
    <row r="234" spans="1:15" hidden="1" x14ac:dyDescent="0.25">
      <c r="A234" s="462" t="s">
        <v>622</v>
      </c>
      <c r="B234" s="464" t="s">
        <v>220</v>
      </c>
      <c r="C234" s="464"/>
      <c r="D234" s="464" t="s">
        <v>625</v>
      </c>
      <c r="E234" s="464"/>
      <c r="F234" s="464" t="s">
        <v>221</v>
      </c>
      <c r="G234" s="462"/>
      <c r="H234" s="462" t="s">
        <v>292</v>
      </c>
      <c r="I234" s="25">
        <v>0</v>
      </c>
      <c r="J234" s="25">
        <v>0</v>
      </c>
      <c r="K234" s="25">
        <v>0</v>
      </c>
      <c r="L234" s="25">
        <v>0</v>
      </c>
      <c r="M234" s="25">
        <v>0</v>
      </c>
      <c r="N234" s="462">
        <f t="shared" si="7"/>
        <v>0</v>
      </c>
      <c r="O234" s="130">
        <f t="shared" si="8"/>
        <v>0</v>
      </c>
    </row>
    <row r="235" spans="1:15" hidden="1" x14ac:dyDescent="0.25">
      <c r="A235" s="462" t="s">
        <v>622</v>
      </c>
      <c r="B235" s="464" t="s">
        <v>211</v>
      </c>
      <c r="C235" s="464"/>
      <c r="D235" s="464" t="s">
        <v>625</v>
      </c>
      <c r="E235" s="464"/>
      <c r="F235" s="464" t="s">
        <v>223</v>
      </c>
      <c r="G235" s="462"/>
      <c r="H235" s="462" t="s">
        <v>292</v>
      </c>
      <c r="I235" s="25">
        <v>0</v>
      </c>
      <c r="J235" s="25">
        <v>0</v>
      </c>
      <c r="K235" s="25">
        <v>0</v>
      </c>
      <c r="L235" s="25">
        <v>0</v>
      </c>
      <c r="M235" s="25">
        <v>0</v>
      </c>
      <c r="N235" s="462">
        <f t="shared" si="7"/>
        <v>0</v>
      </c>
      <c r="O235" s="130">
        <f t="shared" si="8"/>
        <v>0</v>
      </c>
    </row>
    <row r="236" spans="1:15" hidden="1" x14ac:dyDescent="0.25">
      <c r="A236" s="462" t="s">
        <v>622</v>
      </c>
      <c r="B236" s="464" t="s">
        <v>215</v>
      </c>
      <c r="C236" s="464"/>
      <c r="D236" s="464" t="s">
        <v>625</v>
      </c>
      <c r="E236" s="464"/>
      <c r="F236" s="464" t="s">
        <v>223</v>
      </c>
      <c r="G236" s="462"/>
      <c r="H236" s="462" t="s">
        <v>292</v>
      </c>
      <c r="I236" s="25">
        <v>0</v>
      </c>
      <c r="J236" s="25">
        <v>0</v>
      </c>
      <c r="K236" s="25">
        <v>0</v>
      </c>
      <c r="L236" s="25">
        <v>0</v>
      </c>
      <c r="M236" s="25">
        <v>0</v>
      </c>
      <c r="N236" s="462">
        <f t="shared" si="7"/>
        <v>0</v>
      </c>
      <c r="O236" s="130">
        <f t="shared" si="8"/>
        <v>0</v>
      </c>
    </row>
    <row r="237" spans="1:15" hidden="1" x14ac:dyDescent="0.25">
      <c r="A237" s="462" t="s">
        <v>622</v>
      </c>
      <c r="B237" s="464" t="s">
        <v>216</v>
      </c>
      <c r="C237" s="464"/>
      <c r="D237" s="464" t="s">
        <v>625</v>
      </c>
      <c r="E237" s="464"/>
      <c r="F237" s="464" t="s">
        <v>223</v>
      </c>
      <c r="G237" s="462"/>
      <c r="H237" s="462" t="s">
        <v>292</v>
      </c>
      <c r="I237" s="25">
        <v>0</v>
      </c>
      <c r="J237" s="25">
        <v>0</v>
      </c>
      <c r="K237" s="25">
        <v>0</v>
      </c>
      <c r="L237" s="25">
        <v>0</v>
      </c>
      <c r="M237" s="25">
        <v>0</v>
      </c>
      <c r="N237" s="462">
        <f t="shared" si="7"/>
        <v>0</v>
      </c>
      <c r="O237" s="130">
        <f t="shared" si="8"/>
        <v>0</v>
      </c>
    </row>
    <row r="238" spans="1:15" hidden="1" x14ac:dyDescent="0.25">
      <c r="A238" s="462" t="s">
        <v>622</v>
      </c>
      <c r="B238" s="464" t="s">
        <v>217</v>
      </c>
      <c r="C238" s="464"/>
      <c r="D238" s="464" t="s">
        <v>625</v>
      </c>
      <c r="E238" s="464"/>
      <c r="F238" s="464" t="s">
        <v>223</v>
      </c>
      <c r="G238" s="462"/>
      <c r="H238" s="462" t="s">
        <v>292</v>
      </c>
      <c r="I238" s="25">
        <v>0</v>
      </c>
      <c r="J238" s="25">
        <v>0</v>
      </c>
      <c r="K238" s="25">
        <v>0</v>
      </c>
      <c r="L238" s="25">
        <v>0</v>
      </c>
      <c r="M238" s="25">
        <v>0</v>
      </c>
      <c r="N238" s="462">
        <f t="shared" si="7"/>
        <v>0</v>
      </c>
      <c r="O238" s="130">
        <f t="shared" si="8"/>
        <v>0</v>
      </c>
    </row>
    <row r="239" spans="1:15" hidden="1" x14ac:dyDescent="0.25">
      <c r="A239" s="462" t="s">
        <v>622</v>
      </c>
      <c r="B239" s="464" t="s">
        <v>218</v>
      </c>
      <c r="C239" s="464"/>
      <c r="D239" s="464" t="s">
        <v>625</v>
      </c>
      <c r="E239" s="464"/>
      <c r="F239" s="464" t="s">
        <v>223</v>
      </c>
      <c r="G239" s="462"/>
      <c r="H239" s="462" t="s">
        <v>292</v>
      </c>
      <c r="I239" s="25">
        <v>0</v>
      </c>
      <c r="J239" s="25">
        <v>0</v>
      </c>
      <c r="K239" s="25">
        <v>0</v>
      </c>
      <c r="L239" s="25">
        <v>0</v>
      </c>
      <c r="M239" s="25">
        <v>0</v>
      </c>
      <c r="N239" s="462">
        <f t="shared" si="7"/>
        <v>0</v>
      </c>
      <c r="O239" s="130">
        <f t="shared" si="8"/>
        <v>0</v>
      </c>
    </row>
    <row r="240" spans="1:15" hidden="1" x14ac:dyDescent="0.25">
      <c r="A240" s="462" t="s">
        <v>622</v>
      </c>
      <c r="B240" s="464" t="s">
        <v>219</v>
      </c>
      <c r="C240" s="464"/>
      <c r="D240" s="464" t="s">
        <v>625</v>
      </c>
      <c r="E240" s="464"/>
      <c r="F240" s="464" t="s">
        <v>223</v>
      </c>
      <c r="G240" s="462"/>
      <c r="H240" s="462" t="s">
        <v>292</v>
      </c>
      <c r="I240" s="25">
        <v>0</v>
      </c>
      <c r="J240" s="25">
        <v>0</v>
      </c>
      <c r="K240" s="25">
        <v>0</v>
      </c>
      <c r="L240" s="25">
        <v>0</v>
      </c>
      <c r="M240" s="25">
        <v>0</v>
      </c>
      <c r="N240" s="462">
        <f t="shared" si="7"/>
        <v>0</v>
      </c>
      <c r="O240" s="130">
        <f t="shared" si="8"/>
        <v>0</v>
      </c>
    </row>
    <row r="241" spans="1:15" hidden="1" x14ac:dyDescent="0.25">
      <c r="A241" s="462" t="s">
        <v>622</v>
      </c>
      <c r="B241" s="464" t="s">
        <v>220</v>
      </c>
      <c r="C241" s="464"/>
      <c r="D241" s="464" t="s">
        <v>625</v>
      </c>
      <c r="E241" s="464"/>
      <c r="F241" s="464" t="s">
        <v>223</v>
      </c>
      <c r="G241" s="462"/>
      <c r="H241" s="462" t="s">
        <v>292</v>
      </c>
      <c r="I241" s="25">
        <v>0</v>
      </c>
      <c r="J241" s="25">
        <v>0</v>
      </c>
      <c r="K241" s="25">
        <v>0</v>
      </c>
      <c r="L241" s="25">
        <v>0</v>
      </c>
      <c r="M241" s="25">
        <v>0</v>
      </c>
      <c r="N241" s="462">
        <f t="shared" si="7"/>
        <v>0</v>
      </c>
      <c r="O241" s="130">
        <f t="shared" si="8"/>
        <v>0</v>
      </c>
    </row>
    <row r="242" spans="1:15" hidden="1" x14ac:dyDescent="0.25">
      <c r="A242" s="462" t="s">
        <v>28</v>
      </c>
      <c r="B242" s="468" t="s">
        <v>39</v>
      </c>
      <c r="C242" s="462" t="s">
        <v>30</v>
      </c>
      <c r="D242" s="462" t="s">
        <v>529</v>
      </c>
      <c r="E242" s="462" t="s">
        <v>40</v>
      </c>
      <c r="F242" s="476" t="s">
        <v>600</v>
      </c>
      <c r="G242" s="462" t="s">
        <v>41</v>
      </c>
      <c r="H242" s="462" t="s">
        <v>292</v>
      </c>
      <c r="I242" s="25"/>
      <c r="J242" s="25"/>
      <c r="K242" s="25"/>
      <c r="L242" s="25"/>
      <c r="M242" s="25">
        <v>398605680.44700003</v>
      </c>
      <c r="N242" s="462">
        <f t="shared" si="7"/>
        <v>0</v>
      </c>
      <c r="O242" s="130">
        <f t="shared" si="8"/>
        <v>0</v>
      </c>
    </row>
    <row r="243" spans="1:15" x14ac:dyDescent="0.25">
      <c r="A243" s="462" t="s">
        <v>59</v>
      </c>
      <c r="B243" s="25" t="s">
        <v>458</v>
      </c>
      <c r="C243" s="25"/>
      <c r="D243" s="25" t="s">
        <v>453</v>
      </c>
      <c r="E243" s="25"/>
      <c r="F243" s="15" t="s">
        <v>459</v>
      </c>
      <c r="G243" s="15" t="s">
        <v>442</v>
      </c>
      <c r="H243" s="462" t="s">
        <v>291</v>
      </c>
      <c r="I243" s="15">
        <v>0</v>
      </c>
      <c r="J243" s="15">
        <v>0</v>
      </c>
      <c r="K243" s="15">
        <v>99588543.879999995</v>
      </c>
      <c r="L243" s="15">
        <v>304359569.74999988</v>
      </c>
      <c r="M243" s="15"/>
      <c r="N243" s="462">
        <f t="shared" si="7"/>
        <v>403948113.62999988</v>
      </c>
      <c r="O243" s="130">
        <f t="shared" si="8"/>
        <v>403948113.62999988</v>
      </c>
    </row>
    <row r="244" spans="1:15" x14ac:dyDescent="0.25">
      <c r="A244" s="462" t="s">
        <v>59</v>
      </c>
      <c r="B244" s="25" t="s">
        <v>458</v>
      </c>
      <c r="C244" s="25"/>
      <c r="D244" s="25" t="s">
        <v>453</v>
      </c>
      <c r="E244" s="25"/>
      <c r="F244" s="15" t="s">
        <v>459</v>
      </c>
      <c r="G244" s="15" t="s">
        <v>442</v>
      </c>
      <c r="H244" s="462" t="s">
        <v>292</v>
      </c>
      <c r="I244" s="15"/>
      <c r="J244" s="15"/>
      <c r="K244" s="15"/>
      <c r="L244" s="15"/>
      <c r="M244" s="15">
        <v>650000</v>
      </c>
      <c r="N244" s="462">
        <f t="shared" ref="N244" si="9">SUM(K244,L244)</f>
        <v>0</v>
      </c>
      <c r="O244" s="130">
        <f t="shared" ref="O244" si="10">SUM(I244:L244)</f>
        <v>0</v>
      </c>
    </row>
    <row r="245" spans="1:15" x14ac:dyDescent="0.25">
      <c r="A245" s="462" t="s">
        <v>59</v>
      </c>
      <c r="B245" s="25" t="s">
        <v>458</v>
      </c>
      <c r="C245" s="25"/>
      <c r="D245" s="25" t="s">
        <v>453</v>
      </c>
      <c r="E245" s="25"/>
      <c r="F245" s="15" t="s">
        <v>459</v>
      </c>
      <c r="G245" s="15" t="s">
        <v>450</v>
      </c>
      <c r="H245" s="462" t="s">
        <v>291</v>
      </c>
      <c r="I245" s="25">
        <v>0</v>
      </c>
      <c r="J245" s="25">
        <v>0</v>
      </c>
      <c r="K245" s="25">
        <v>0</v>
      </c>
      <c r="L245" s="25">
        <v>0</v>
      </c>
      <c r="M245" s="25">
        <v>0</v>
      </c>
      <c r="N245" s="462">
        <f t="shared" ref="N245" si="11">SUM(K245,L245)</f>
        <v>0</v>
      </c>
      <c r="O245" s="130">
        <f t="shared" ref="O245" si="12">SUM(I245:L245)</f>
        <v>0</v>
      </c>
    </row>
    <row r="248" spans="1:15" x14ac:dyDescent="0.25">
      <c r="I248" s="15"/>
      <c r="J248" s="15"/>
      <c r="K248" s="15"/>
      <c r="L248" s="15"/>
      <c r="M248" s="15"/>
    </row>
    <row r="249" spans="1:15" x14ac:dyDescent="0.25">
      <c r="I249" s="15"/>
      <c r="J249" s="15"/>
      <c r="K249" s="15"/>
      <c r="L249" s="15"/>
      <c r="M249" s="15"/>
    </row>
    <row r="250" spans="1:15" x14ac:dyDescent="0.25">
      <c r="I250" s="15"/>
      <c r="J250" s="15"/>
      <c r="K250" s="15"/>
      <c r="L250" s="15"/>
      <c r="M250" s="15"/>
    </row>
    <row r="251" spans="1:15" x14ac:dyDescent="0.25">
      <c r="I251" s="15"/>
      <c r="J251" s="15"/>
      <c r="K251" s="15"/>
      <c r="L251" s="15"/>
      <c r="M251" s="15"/>
    </row>
    <row r="252" spans="1:15" x14ac:dyDescent="0.25">
      <c r="I252" s="15"/>
      <c r="J252" s="15"/>
      <c r="K252" s="15"/>
      <c r="L252" s="15"/>
    </row>
    <row r="253" spans="1:15" x14ac:dyDescent="0.25">
      <c r="I253" s="15"/>
      <c r="J253" s="15"/>
      <c r="K253" s="15"/>
      <c r="L253" s="15"/>
    </row>
    <row r="254" spans="1:15" x14ac:dyDescent="0.25">
      <c r="I254" s="15"/>
      <c r="J254" s="15"/>
      <c r="K254" s="15"/>
      <c r="L254" s="15"/>
    </row>
    <row r="255" spans="1:15" x14ac:dyDescent="0.25">
      <c r="I255" s="15"/>
      <c r="J255" s="15"/>
      <c r="K255" s="15"/>
      <c r="L255" s="15"/>
    </row>
    <row r="256" spans="1:15" x14ac:dyDescent="0.25">
      <c r="I256" s="15"/>
      <c r="J256" s="15"/>
      <c r="K256" s="15"/>
      <c r="L256" s="15"/>
    </row>
    <row r="257" spans="9:12" x14ac:dyDescent="0.25">
      <c r="I257" s="15"/>
      <c r="J257" s="15"/>
      <c r="K257" s="15"/>
      <c r="L257" s="15"/>
    </row>
    <row r="258" spans="9:12" x14ac:dyDescent="0.25">
      <c r="I258" s="15"/>
      <c r="J258" s="15"/>
      <c r="K258" s="15"/>
      <c r="L258" s="15"/>
    </row>
    <row r="259" spans="9:12" x14ac:dyDescent="0.25">
      <c r="I259" s="15"/>
      <c r="J259" s="15"/>
      <c r="K259" s="15"/>
      <c r="L259" s="15"/>
    </row>
    <row r="260" spans="9:12" x14ac:dyDescent="0.25">
      <c r="I260" s="15"/>
      <c r="J260" s="15"/>
      <c r="K260" s="15"/>
      <c r="L260" s="15"/>
    </row>
    <row r="261" spans="9:12" x14ac:dyDescent="0.25">
      <c r="I261" s="15"/>
      <c r="J261" s="15"/>
      <c r="K261" s="15"/>
      <c r="L261" s="15"/>
    </row>
    <row r="262" spans="9:12" x14ac:dyDescent="0.25">
      <c r="I262" s="15"/>
      <c r="J262" s="15"/>
      <c r="K262" s="15"/>
      <c r="L262" s="15"/>
    </row>
    <row r="263" spans="9:12" x14ac:dyDescent="0.25">
      <c r="I263" s="15"/>
      <c r="J263" s="15"/>
      <c r="K263" s="15"/>
      <c r="L263" s="15"/>
    </row>
    <row r="264" spans="9:12" x14ac:dyDescent="0.25">
      <c r="I264" s="15"/>
      <c r="J264" s="15"/>
      <c r="K264" s="15"/>
      <c r="L264" s="15"/>
    </row>
    <row r="265" spans="9:12" x14ac:dyDescent="0.25">
      <c r="I265" s="15"/>
      <c r="J265" s="15"/>
      <c r="K265" s="15"/>
      <c r="L265" s="15"/>
    </row>
    <row r="266" spans="9:12" x14ac:dyDescent="0.25">
      <c r="I266" s="15"/>
      <c r="J266" s="15"/>
      <c r="K266" s="15"/>
      <c r="L266" s="15"/>
    </row>
    <row r="267" spans="9:12" x14ac:dyDescent="0.25">
      <c r="I267" s="15"/>
      <c r="J267" s="15"/>
      <c r="K267" s="15"/>
      <c r="L267" s="15"/>
    </row>
    <row r="268" spans="9:12" x14ac:dyDescent="0.25">
      <c r="I268" s="15"/>
      <c r="J268" s="15"/>
      <c r="K268" s="15"/>
      <c r="L268" s="15"/>
    </row>
    <row r="269" spans="9:12" x14ac:dyDescent="0.25">
      <c r="I269" s="15"/>
      <c r="J269" s="15"/>
      <c r="K269" s="15"/>
      <c r="L269" s="15"/>
    </row>
    <row r="270" spans="9:12" x14ac:dyDescent="0.25">
      <c r="I270" s="15"/>
      <c r="J270" s="15"/>
      <c r="K270" s="15"/>
      <c r="L270" s="15"/>
    </row>
    <row r="271" spans="9:12" x14ac:dyDescent="0.25">
      <c r="I271" s="15"/>
      <c r="J271" s="15"/>
      <c r="K271" s="15"/>
      <c r="L271" s="15"/>
    </row>
    <row r="272" spans="9:12" x14ac:dyDescent="0.25">
      <c r="I272" s="15"/>
      <c r="J272" s="15"/>
      <c r="K272" s="15"/>
      <c r="L272" s="15"/>
    </row>
    <row r="273" spans="9:12" x14ac:dyDescent="0.25">
      <c r="I273" s="15"/>
      <c r="J273" s="15"/>
      <c r="K273" s="15"/>
      <c r="L273" s="15"/>
    </row>
    <row r="274" spans="9:12" x14ac:dyDescent="0.25">
      <c r="I274" s="15"/>
      <c r="J274" s="15"/>
      <c r="K274" s="15"/>
      <c r="L274" s="15"/>
    </row>
    <row r="275" spans="9:12" x14ac:dyDescent="0.25">
      <c r="I275" s="15"/>
      <c r="J275" s="15"/>
      <c r="K275" s="15"/>
      <c r="L275" s="15"/>
    </row>
    <row r="276" spans="9:12" x14ac:dyDescent="0.25">
      <c r="I276" s="15"/>
      <c r="J276" s="15"/>
      <c r="K276" s="15"/>
      <c r="L276" s="15"/>
    </row>
    <row r="277" spans="9:12" x14ac:dyDescent="0.25">
      <c r="I277" s="15"/>
      <c r="J277" s="15"/>
      <c r="K277" s="15"/>
      <c r="L277" s="15"/>
    </row>
    <row r="278" spans="9:12" x14ac:dyDescent="0.25">
      <c r="I278" s="15"/>
      <c r="J278" s="15"/>
      <c r="K278" s="15"/>
      <c r="L278" s="15"/>
    </row>
    <row r="279" spans="9:12" x14ac:dyDescent="0.25">
      <c r="I279" s="15"/>
      <c r="J279" s="15"/>
      <c r="K279" s="15"/>
      <c r="L279" s="15"/>
    </row>
    <row r="280" spans="9:12" x14ac:dyDescent="0.25">
      <c r="I280" s="15"/>
      <c r="J280" s="15"/>
      <c r="K280" s="15"/>
      <c r="L280" s="15"/>
    </row>
    <row r="281" spans="9:12" x14ac:dyDescent="0.25">
      <c r="I281" s="15"/>
      <c r="J281" s="15"/>
      <c r="K281" s="15"/>
      <c r="L281" s="15"/>
    </row>
    <row r="282" spans="9:12" x14ac:dyDescent="0.25">
      <c r="I282" s="15"/>
      <c r="J282" s="15"/>
      <c r="K282" s="15"/>
      <c r="L282" s="15"/>
    </row>
  </sheetData>
  <autoFilter ref="A1:O242" xr:uid="{A4DB10FA-9AD6-4619-856C-AAD60922D00B}">
    <filterColumn colId="1">
      <filters>
        <filter val="Саха (Якутия)"/>
      </filters>
    </filterColumn>
  </autoFilter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 filterMode="1"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I11" sqref="I11:O11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182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24" t="s">
        <v>184</v>
      </c>
      <c r="W1" s="524"/>
      <c r="X1" s="524"/>
      <c r="Y1" s="524"/>
      <c r="Z1" s="524"/>
      <c r="AA1" s="524"/>
      <c r="AB1" s="524"/>
      <c r="AC1" s="524"/>
      <c r="AD1" s="524"/>
      <c r="AE1" s="524"/>
      <c r="AF1" s="524"/>
      <c r="AG1" s="516" t="s">
        <v>185</v>
      </c>
      <c r="AH1" s="516"/>
      <c r="AI1" s="516"/>
      <c r="AJ1" s="516"/>
      <c r="AK1" s="516"/>
      <c r="AL1" s="516"/>
      <c r="AM1" s="516"/>
      <c r="AN1" s="516"/>
      <c r="AO1" s="516"/>
      <c r="AP1" s="516"/>
      <c r="AQ1" s="516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290</v>
      </c>
      <c r="J2" s="502" t="s">
        <v>291</v>
      </c>
      <c r="K2" s="502"/>
      <c r="L2" s="502"/>
      <c r="M2" s="502" t="s">
        <v>292</v>
      </c>
      <c r="N2" s="502"/>
      <c r="O2" s="502"/>
      <c r="P2" s="502"/>
      <c r="Q2" s="503"/>
      <c r="R2" s="525" t="s">
        <v>186</v>
      </c>
      <c r="S2" s="525"/>
      <c r="T2" s="525"/>
      <c r="U2" s="525"/>
      <c r="V2" s="525"/>
      <c r="W2" s="525"/>
      <c r="X2" s="182" t="s">
        <v>187</v>
      </c>
      <c r="Y2" s="3" t="s">
        <v>187</v>
      </c>
      <c r="Z2" s="5" t="s">
        <v>187</v>
      </c>
      <c r="AA2" s="3" t="s">
        <v>188</v>
      </c>
      <c r="AB2" s="3" t="s">
        <v>188</v>
      </c>
      <c r="AC2" s="3" t="s">
        <v>188</v>
      </c>
      <c r="AD2" s="3" t="s">
        <v>188</v>
      </c>
      <c r="AE2" s="3" t="s">
        <v>188</v>
      </c>
      <c r="AF2" s="183" t="s">
        <v>188</v>
      </c>
      <c r="AG2" s="520" t="s">
        <v>189</v>
      </c>
      <c r="AH2" s="520"/>
      <c r="AI2" s="520"/>
      <c r="AJ2" s="520"/>
      <c r="AK2" s="520"/>
      <c r="AL2" s="520"/>
      <c r="AM2" s="520"/>
      <c r="AN2" s="520"/>
      <c r="AO2" s="520" t="s">
        <v>293</v>
      </c>
      <c r="AP2" s="520"/>
      <c r="AQ2" s="520"/>
    </row>
    <row r="3" spans="1:44" ht="45.6" customHeight="1" thickBot="1" x14ac:dyDescent="0.3">
      <c r="A3" s="10" t="s">
        <v>190</v>
      </c>
      <c r="B3" s="11" t="s">
        <v>191</v>
      </c>
      <c r="C3" s="11" t="s">
        <v>192</v>
      </c>
      <c r="D3" s="12" t="s">
        <v>193</v>
      </c>
      <c r="E3" s="10" t="s">
        <v>194</v>
      </c>
      <c r="F3" s="12" t="s">
        <v>195</v>
      </c>
      <c r="G3" s="17" t="s">
        <v>196</v>
      </c>
      <c r="H3" s="10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84" t="s">
        <v>523</v>
      </c>
      <c r="S3" s="185" t="s">
        <v>524</v>
      </c>
      <c r="T3" s="185" t="s">
        <v>334</v>
      </c>
      <c r="U3" s="185" t="s">
        <v>352</v>
      </c>
      <c r="V3" s="185" t="s">
        <v>302</v>
      </c>
      <c r="W3" s="186" t="s">
        <v>303</v>
      </c>
      <c r="X3" s="187" t="s">
        <v>304</v>
      </c>
      <c r="Y3" s="11" t="s">
        <v>305</v>
      </c>
      <c r="Z3" s="12" t="s">
        <v>201</v>
      </c>
      <c r="AA3" s="11" t="s">
        <v>202</v>
      </c>
      <c r="AB3" s="11" t="s">
        <v>204</v>
      </c>
      <c r="AC3" s="11" t="s">
        <v>205</v>
      </c>
      <c r="AD3" s="11" t="s">
        <v>206</v>
      </c>
      <c r="AE3" s="11" t="s">
        <v>207</v>
      </c>
      <c r="AF3" s="188" t="s">
        <v>208</v>
      </c>
      <c r="AG3" s="11" t="s">
        <v>306</v>
      </c>
      <c r="AH3" s="11" t="s">
        <v>307</v>
      </c>
      <c r="AI3" s="11" t="s">
        <v>308</v>
      </c>
      <c r="AJ3" s="189" t="s">
        <v>309</v>
      </c>
      <c r="AK3" s="11" t="s">
        <v>310</v>
      </c>
      <c r="AL3" s="10" t="s">
        <v>311</v>
      </c>
      <c r="AM3" s="10" t="s">
        <v>312</v>
      </c>
      <c r="AN3" s="12" t="s">
        <v>313</v>
      </c>
      <c r="AO3" s="10" t="s">
        <v>306</v>
      </c>
      <c r="AP3" s="11" t="s">
        <v>307</v>
      </c>
      <c r="AQ3" s="12" t="s">
        <v>314</v>
      </c>
      <c r="AR3" s="13"/>
    </row>
    <row r="4" spans="1:44" hidden="1" x14ac:dyDescent="0.25">
      <c r="A4" t="s">
        <v>525</v>
      </c>
      <c r="B4" t="s">
        <v>526</v>
      </c>
      <c r="C4" t="s">
        <v>527</v>
      </c>
      <c r="D4" t="s">
        <v>528</v>
      </c>
      <c r="E4" t="s">
        <v>423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hidden="1" x14ac:dyDescent="0.25">
      <c r="A5" t="s">
        <v>525</v>
      </c>
      <c r="B5" t="s">
        <v>526</v>
      </c>
      <c r="C5" t="s">
        <v>529</v>
      </c>
      <c r="D5" t="s">
        <v>530</v>
      </c>
      <c r="E5" t="s">
        <v>351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hidden="1" x14ac:dyDescent="0.25">
      <c r="A6" t="s">
        <v>531</v>
      </c>
      <c r="B6" t="s">
        <v>526</v>
      </c>
      <c r="C6" t="s">
        <v>527</v>
      </c>
      <c r="D6" t="s">
        <v>532</v>
      </c>
      <c r="E6" t="s">
        <v>426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hidden="1" x14ac:dyDescent="0.25">
      <c r="A7" t="s">
        <v>533</v>
      </c>
      <c r="B7" t="s">
        <v>526</v>
      </c>
      <c r="C7" t="s">
        <v>527</v>
      </c>
      <c r="D7" t="s">
        <v>532</v>
      </c>
      <c r="E7" t="s">
        <v>426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hidden="1" x14ac:dyDescent="0.25">
      <c r="A8" t="s">
        <v>534</v>
      </c>
      <c r="B8" t="s">
        <v>526</v>
      </c>
      <c r="C8" t="s">
        <v>527</v>
      </c>
      <c r="D8" t="s">
        <v>532</v>
      </c>
      <c r="E8" t="s">
        <v>426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hidden="1" x14ac:dyDescent="0.25">
      <c r="A9" t="s">
        <v>534</v>
      </c>
      <c r="B9" t="s">
        <v>526</v>
      </c>
      <c r="C9" t="s">
        <v>527</v>
      </c>
      <c r="D9" t="s">
        <v>528</v>
      </c>
      <c r="E9" t="s">
        <v>423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hidden="1" x14ac:dyDescent="0.25">
      <c r="A10" t="s">
        <v>533</v>
      </c>
      <c r="B10" t="s">
        <v>526</v>
      </c>
      <c r="C10" t="s">
        <v>527</v>
      </c>
      <c r="D10" t="s">
        <v>535</v>
      </c>
      <c r="E10" t="s">
        <v>426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x14ac:dyDescent="0.25">
      <c r="A11" t="s">
        <v>536</v>
      </c>
      <c r="B11" t="s">
        <v>526</v>
      </c>
      <c r="C11" t="s">
        <v>529</v>
      </c>
      <c r="D11" t="s">
        <v>537</v>
      </c>
      <c r="E11" t="s">
        <v>538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hidden="1" x14ac:dyDescent="0.25">
      <c r="A12" t="s">
        <v>539</v>
      </c>
      <c r="B12" t="s">
        <v>526</v>
      </c>
      <c r="C12" t="s">
        <v>529</v>
      </c>
      <c r="D12" t="s">
        <v>530</v>
      </c>
      <c r="E12" t="s">
        <v>351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hidden="1" x14ac:dyDescent="0.25">
      <c r="A13" t="s">
        <v>539</v>
      </c>
      <c r="B13" t="s">
        <v>526</v>
      </c>
      <c r="C13" t="s">
        <v>529</v>
      </c>
      <c r="D13" t="s">
        <v>540</v>
      </c>
      <c r="E13" t="s">
        <v>351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hidden="1" x14ac:dyDescent="0.25">
      <c r="A14" t="s">
        <v>541</v>
      </c>
      <c r="B14" t="s">
        <v>526</v>
      </c>
      <c r="C14" t="s">
        <v>527</v>
      </c>
      <c r="D14" t="s">
        <v>528</v>
      </c>
      <c r="E14" t="s">
        <v>429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hidden="1" x14ac:dyDescent="0.25">
      <c r="A15" t="s">
        <v>542</v>
      </c>
      <c r="B15" t="s">
        <v>526</v>
      </c>
      <c r="C15" t="s">
        <v>527</v>
      </c>
      <c r="D15" t="s">
        <v>532</v>
      </c>
      <c r="E15" t="s">
        <v>426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hidden="1" x14ac:dyDescent="0.25">
      <c r="A16" t="s">
        <v>542</v>
      </c>
      <c r="B16" t="s">
        <v>526</v>
      </c>
      <c r="C16" t="s">
        <v>527</v>
      </c>
      <c r="D16" t="s">
        <v>535</v>
      </c>
      <c r="E16" t="s">
        <v>426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hidden="1" x14ac:dyDescent="0.25">
      <c r="A17" t="s">
        <v>543</v>
      </c>
      <c r="B17" t="s">
        <v>526</v>
      </c>
      <c r="C17" t="s">
        <v>529</v>
      </c>
      <c r="D17" t="s">
        <v>530</v>
      </c>
      <c r="E17" t="s">
        <v>351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hidden="1" x14ac:dyDescent="0.25">
      <c r="A18" t="s">
        <v>543</v>
      </c>
      <c r="B18" t="s">
        <v>526</v>
      </c>
      <c r="C18" t="s">
        <v>529</v>
      </c>
      <c r="D18" t="s">
        <v>540</v>
      </c>
      <c r="E18" t="s">
        <v>351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hidden="1" x14ac:dyDescent="0.25">
      <c r="A19" t="s">
        <v>543</v>
      </c>
      <c r="B19" t="s">
        <v>526</v>
      </c>
      <c r="C19" t="s">
        <v>529</v>
      </c>
      <c r="D19" t="s">
        <v>544</v>
      </c>
      <c r="E19" t="s">
        <v>351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hidden="1" x14ac:dyDescent="0.25">
      <c r="A20" t="s">
        <v>545</v>
      </c>
      <c r="B20" t="s">
        <v>526</v>
      </c>
      <c r="C20" t="s">
        <v>527</v>
      </c>
      <c r="D20" t="s">
        <v>532</v>
      </c>
      <c r="E20" t="s">
        <v>426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hidden="1" x14ac:dyDescent="0.25">
      <c r="A21" t="s">
        <v>545</v>
      </c>
      <c r="B21" t="s">
        <v>526</v>
      </c>
      <c r="C21" t="s">
        <v>527</v>
      </c>
      <c r="D21" t="s">
        <v>535</v>
      </c>
      <c r="E21" t="s">
        <v>426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hidden="1" x14ac:dyDescent="0.25">
      <c r="A22" t="s">
        <v>545</v>
      </c>
      <c r="B22" t="s">
        <v>526</v>
      </c>
      <c r="C22" t="s">
        <v>529</v>
      </c>
      <c r="D22" t="s">
        <v>544</v>
      </c>
      <c r="E22" t="s">
        <v>351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hidden="1" x14ac:dyDescent="0.25">
      <c r="A23" t="s">
        <v>545</v>
      </c>
      <c r="B23" t="s">
        <v>526</v>
      </c>
      <c r="C23" t="s">
        <v>527</v>
      </c>
      <c r="D23" t="s">
        <v>532</v>
      </c>
      <c r="E23" t="s">
        <v>426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hidden="1" x14ac:dyDescent="0.25">
      <c r="A24" t="s">
        <v>545</v>
      </c>
      <c r="B24" t="s">
        <v>526</v>
      </c>
      <c r="C24" t="s">
        <v>527</v>
      </c>
      <c r="D24" t="s">
        <v>535</v>
      </c>
      <c r="E24" t="s">
        <v>426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hidden="1" x14ac:dyDescent="0.25">
      <c r="A25" t="s">
        <v>546</v>
      </c>
      <c r="B25" t="s">
        <v>526</v>
      </c>
      <c r="C25" t="s">
        <v>529</v>
      </c>
      <c r="D25" t="s">
        <v>530</v>
      </c>
      <c r="E25" t="s">
        <v>351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hidden="1" x14ac:dyDescent="0.25">
      <c r="A26" t="s">
        <v>546</v>
      </c>
      <c r="B26" t="s">
        <v>526</v>
      </c>
      <c r="C26" t="s">
        <v>529</v>
      </c>
      <c r="D26" t="s">
        <v>544</v>
      </c>
      <c r="E26" t="s">
        <v>351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hidden="1" x14ac:dyDescent="0.25">
      <c r="A27" t="s">
        <v>547</v>
      </c>
      <c r="B27" t="s">
        <v>526</v>
      </c>
      <c r="C27" t="s">
        <v>529</v>
      </c>
      <c r="D27" t="s">
        <v>530</v>
      </c>
      <c r="E27" t="s">
        <v>351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hidden="1" x14ac:dyDescent="0.25">
      <c r="A28" t="s">
        <v>548</v>
      </c>
      <c r="B28" t="s">
        <v>526</v>
      </c>
      <c r="C28" t="s">
        <v>527</v>
      </c>
      <c r="D28" t="s">
        <v>528</v>
      </c>
      <c r="E28" t="s">
        <v>423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hidden="1" x14ac:dyDescent="0.25">
      <c r="A29" t="s">
        <v>548</v>
      </c>
      <c r="B29" t="s">
        <v>526</v>
      </c>
      <c r="C29" t="s">
        <v>527</v>
      </c>
      <c r="D29" t="s">
        <v>528</v>
      </c>
      <c r="E29" t="s">
        <v>429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hidden="1" x14ac:dyDescent="0.25">
      <c r="A30" t="s">
        <v>549</v>
      </c>
      <c r="B30" t="s">
        <v>526</v>
      </c>
      <c r="C30" t="s">
        <v>529</v>
      </c>
      <c r="D30" t="s">
        <v>530</v>
      </c>
      <c r="E30" t="s">
        <v>351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hidden="1" x14ac:dyDescent="0.25">
      <c r="A31" t="s">
        <v>546</v>
      </c>
      <c r="B31" t="s">
        <v>526</v>
      </c>
      <c r="C31" t="s">
        <v>527</v>
      </c>
      <c r="D31" t="s">
        <v>532</v>
      </c>
      <c r="E31" t="s">
        <v>426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hidden="1" x14ac:dyDescent="0.25">
      <c r="A32" t="s">
        <v>546</v>
      </c>
      <c r="B32" t="s">
        <v>526</v>
      </c>
      <c r="C32" t="s">
        <v>529</v>
      </c>
      <c r="D32" t="s">
        <v>544</v>
      </c>
      <c r="E32" t="s">
        <v>351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hidden="1" x14ac:dyDescent="0.25">
      <c r="A33" t="s">
        <v>346</v>
      </c>
      <c r="B33" t="s">
        <v>526</v>
      </c>
      <c r="C33" t="s">
        <v>529</v>
      </c>
      <c r="D33" t="s">
        <v>530</v>
      </c>
      <c r="E33" t="s">
        <v>351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hidden="1" x14ac:dyDescent="0.25">
      <c r="A34" t="s">
        <v>346</v>
      </c>
      <c r="B34" t="s">
        <v>526</v>
      </c>
      <c r="C34" t="s">
        <v>529</v>
      </c>
      <c r="D34" t="s">
        <v>540</v>
      </c>
      <c r="E34" t="s">
        <v>351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hidden="1" x14ac:dyDescent="0.25">
      <c r="A35" t="s">
        <v>346</v>
      </c>
      <c r="B35" t="s">
        <v>526</v>
      </c>
      <c r="C35" t="s">
        <v>529</v>
      </c>
      <c r="D35" t="s">
        <v>544</v>
      </c>
      <c r="E35" t="s">
        <v>351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hidden="1" x14ac:dyDescent="0.25">
      <c r="A36" t="s">
        <v>531</v>
      </c>
      <c r="B36" t="s">
        <v>526</v>
      </c>
      <c r="C36" t="s">
        <v>527</v>
      </c>
      <c r="D36" t="s">
        <v>532</v>
      </c>
      <c r="E36" t="s">
        <v>426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hidden="1" x14ac:dyDescent="0.25">
      <c r="A37" t="s">
        <v>545</v>
      </c>
      <c r="B37" t="s">
        <v>526</v>
      </c>
      <c r="C37" t="s">
        <v>527</v>
      </c>
      <c r="D37" t="s">
        <v>535</v>
      </c>
      <c r="E37" t="s">
        <v>426</v>
      </c>
      <c r="F37"/>
      <c r="G37"/>
      <c r="H37" t="s">
        <v>377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hidden="1" x14ac:dyDescent="0.25">
      <c r="A38" t="s">
        <v>545</v>
      </c>
      <c r="B38" t="s">
        <v>526</v>
      </c>
      <c r="C38" t="s">
        <v>529</v>
      </c>
      <c r="D38" t="s">
        <v>540</v>
      </c>
      <c r="E38" t="s">
        <v>351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hidden="1" x14ac:dyDescent="0.25">
      <c r="A39" t="s">
        <v>417</v>
      </c>
      <c r="B39" t="s">
        <v>526</v>
      </c>
      <c r="C39" t="s">
        <v>527</v>
      </c>
      <c r="D39" t="s">
        <v>528</v>
      </c>
      <c r="E39" t="s">
        <v>429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hidden="1" x14ac:dyDescent="0.25">
      <c r="A40" t="s">
        <v>550</v>
      </c>
      <c r="B40" t="s">
        <v>526</v>
      </c>
      <c r="C40" t="s">
        <v>527</v>
      </c>
      <c r="D40" t="s">
        <v>528</v>
      </c>
      <c r="E40" t="s">
        <v>429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hidden="1" x14ac:dyDescent="0.25">
      <c r="A41" t="s">
        <v>551</v>
      </c>
      <c r="B41" t="s">
        <v>526</v>
      </c>
      <c r="C41" t="s">
        <v>527</v>
      </c>
      <c r="D41" t="s">
        <v>532</v>
      </c>
      <c r="E41" t="s">
        <v>426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hidden="1" x14ac:dyDescent="0.25">
      <c r="A42" t="s">
        <v>551</v>
      </c>
      <c r="B42" t="s">
        <v>526</v>
      </c>
      <c r="C42" t="s">
        <v>527</v>
      </c>
      <c r="D42" t="s">
        <v>535</v>
      </c>
      <c r="E42" t="s">
        <v>426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hidden="1" x14ac:dyDescent="0.25">
      <c r="A43" t="s">
        <v>525</v>
      </c>
      <c r="B43" t="s">
        <v>526</v>
      </c>
      <c r="C43" t="s">
        <v>552</v>
      </c>
      <c r="D43" t="s">
        <v>553</v>
      </c>
      <c r="H43" t="s">
        <v>377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hidden="1" x14ac:dyDescent="0.25">
      <c r="A44" t="s">
        <v>534</v>
      </c>
      <c r="B44" t="s">
        <v>526</v>
      </c>
      <c r="C44" t="s">
        <v>552</v>
      </c>
      <c r="D44" t="s">
        <v>554</v>
      </c>
      <c r="H44" t="s">
        <v>377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hidden="1" x14ac:dyDescent="0.25">
      <c r="A45" t="s">
        <v>533</v>
      </c>
      <c r="B45" t="s">
        <v>526</v>
      </c>
      <c r="C45" t="s">
        <v>552</v>
      </c>
      <c r="D45" t="s">
        <v>553</v>
      </c>
      <c r="H45" t="s">
        <v>377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hidden="1" x14ac:dyDescent="0.25">
      <c r="A46" t="s">
        <v>542</v>
      </c>
      <c r="B46" t="s">
        <v>526</v>
      </c>
      <c r="C46" t="s">
        <v>552</v>
      </c>
      <c r="D46" t="s">
        <v>555</v>
      </c>
      <c r="H46" t="s">
        <v>377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hidden="1" x14ac:dyDescent="0.25">
      <c r="A47" t="s">
        <v>543</v>
      </c>
      <c r="B47" t="s">
        <v>526</v>
      </c>
      <c r="C47" t="s">
        <v>556</v>
      </c>
      <c r="D47" t="s">
        <v>557</v>
      </c>
      <c r="H47" t="s">
        <v>377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hidden="1" x14ac:dyDescent="0.25">
      <c r="A48" t="s">
        <v>543</v>
      </c>
      <c r="B48" t="s">
        <v>526</v>
      </c>
      <c r="C48" t="s">
        <v>556</v>
      </c>
      <c r="D48" t="s">
        <v>558</v>
      </c>
      <c r="H48" t="s">
        <v>377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hidden="1" x14ac:dyDescent="0.25">
      <c r="A49" t="s">
        <v>547</v>
      </c>
      <c r="B49" t="s">
        <v>526</v>
      </c>
      <c r="C49" t="s">
        <v>552</v>
      </c>
      <c r="D49" t="s">
        <v>553</v>
      </c>
      <c r="H49" t="s">
        <v>377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hidden="1" x14ac:dyDescent="0.25">
      <c r="A50" t="s">
        <v>547</v>
      </c>
      <c r="B50" t="s">
        <v>526</v>
      </c>
      <c r="C50" t="s">
        <v>556</v>
      </c>
      <c r="D50" t="s">
        <v>557</v>
      </c>
      <c r="H50" t="s">
        <v>377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hidden="1" x14ac:dyDescent="0.25">
      <c r="A51" t="s">
        <v>549</v>
      </c>
      <c r="B51" t="s">
        <v>526</v>
      </c>
      <c r="C51" t="s">
        <v>556</v>
      </c>
      <c r="D51" t="s">
        <v>558</v>
      </c>
      <c r="H51" t="s">
        <v>377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hidden="1" x14ac:dyDescent="0.25">
      <c r="A52" t="s">
        <v>546</v>
      </c>
      <c r="B52" t="s">
        <v>526</v>
      </c>
      <c r="C52" t="s">
        <v>556</v>
      </c>
      <c r="D52" t="s">
        <v>558</v>
      </c>
      <c r="H52" t="s">
        <v>377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hidden="1" x14ac:dyDescent="0.25">
      <c r="A53" t="s">
        <v>539</v>
      </c>
      <c r="B53" t="s">
        <v>526</v>
      </c>
      <c r="C53" t="s">
        <v>552</v>
      </c>
      <c r="D53" t="s">
        <v>554</v>
      </c>
      <c r="H53" t="s">
        <v>377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hidden="1" x14ac:dyDescent="0.25">
      <c r="A54" t="s">
        <v>541</v>
      </c>
      <c r="B54" t="s">
        <v>526</v>
      </c>
      <c r="C54" t="s">
        <v>552</v>
      </c>
      <c r="D54" t="s">
        <v>554</v>
      </c>
      <c r="H54" t="s">
        <v>377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hidden="1" x14ac:dyDescent="0.25">
      <c r="A55" t="s">
        <v>346</v>
      </c>
      <c r="B55" t="s">
        <v>526</v>
      </c>
      <c r="C55" t="s">
        <v>556</v>
      </c>
      <c r="D55" t="s">
        <v>557</v>
      </c>
      <c r="H55" t="s">
        <v>377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hidden="1" x14ac:dyDescent="0.25">
      <c r="A56" t="s">
        <v>531</v>
      </c>
      <c r="B56" t="s">
        <v>526</v>
      </c>
      <c r="C56" t="s">
        <v>552</v>
      </c>
      <c r="D56" t="s">
        <v>559</v>
      </c>
      <c r="H56" t="s">
        <v>377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hidden="1" x14ac:dyDescent="0.25">
      <c r="A57" t="s">
        <v>545</v>
      </c>
      <c r="B57" t="s">
        <v>526</v>
      </c>
      <c r="C57" t="s">
        <v>552</v>
      </c>
      <c r="D57" t="s">
        <v>559</v>
      </c>
      <c r="H57" t="s">
        <v>377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hidden="1" x14ac:dyDescent="0.25">
      <c r="A58" t="s">
        <v>551</v>
      </c>
      <c r="B58" t="s">
        <v>526</v>
      </c>
      <c r="C58" t="s">
        <v>552</v>
      </c>
      <c r="D58" t="s">
        <v>555</v>
      </c>
      <c r="H58" t="s">
        <v>377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hidden="1" x14ac:dyDescent="0.25">
      <c r="A59" t="s">
        <v>543</v>
      </c>
      <c r="B59" t="s">
        <v>526</v>
      </c>
      <c r="C59" t="s">
        <v>556</v>
      </c>
      <c r="D59" t="s">
        <v>560</v>
      </c>
      <c r="H59" t="s">
        <v>377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hidden="1" x14ac:dyDescent="0.25">
      <c r="A60" t="s">
        <v>346</v>
      </c>
      <c r="B60" t="s">
        <v>526</v>
      </c>
      <c r="C60" t="s">
        <v>556</v>
      </c>
      <c r="D60" t="s">
        <v>560</v>
      </c>
      <c r="H60" t="s">
        <v>377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hidden="1" x14ac:dyDescent="0.25">
      <c r="A61" t="s">
        <v>545</v>
      </c>
      <c r="B61" t="s">
        <v>526</v>
      </c>
      <c r="C61" t="s">
        <v>552</v>
      </c>
      <c r="D61" t="s">
        <v>555</v>
      </c>
      <c r="H61" t="s">
        <v>377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hidden="1" x14ac:dyDescent="0.25">
      <c r="A62" t="s">
        <v>346</v>
      </c>
      <c r="B62" t="s">
        <v>526</v>
      </c>
      <c r="C62" t="s">
        <v>556</v>
      </c>
      <c r="D62" t="s">
        <v>558</v>
      </c>
      <c r="H62" t="s">
        <v>377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hidden="1" x14ac:dyDescent="0.25">
      <c r="A63" t="s">
        <v>533</v>
      </c>
      <c r="B63" t="s">
        <v>526</v>
      </c>
      <c r="C63" t="s">
        <v>552</v>
      </c>
      <c r="D63" t="s">
        <v>559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hidden="1" x14ac:dyDescent="0.25">
      <c r="A64" t="s">
        <v>534</v>
      </c>
      <c r="B64" t="s">
        <v>526</v>
      </c>
      <c r="C64" t="s">
        <v>527</v>
      </c>
      <c r="D64" t="s">
        <v>528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hidden="1" x14ac:dyDescent="0.25">
      <c r="A65" t="s">
        <v>551</v>
      </c>
      <c r="B65" t="s">
        <v>526</v>
      </c>
      <c r="C65" t="s">
        <v>527</v>
      </c>
      <c r="D65" t="s">
        <v>528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hidden="1" x14ac:dyDescent="0.25">
      <c r="A66" t="s">
        <v>547</v>
      </c>
      <c r="B66" t="s">
        <v>526</v>
      </c>
      <c r="C66" t="s">
        <v>529</v>
      </c>
      <c r="D66" t="s">
        <v>544</v>
      </c>
      <c r="E66" t="s">
        <v>351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hidden="1" x14ac:dyDescent="0.25">
      <c r="A67" s="201" t="s">
        <v>533</v>
      </c>
      <c r="B67" s="201" t="s">
        <v>526</v>
      </c>
      <c r="C67" s="201" t="s">
        <v>552</v>
      </c>
      <c r="D67" s="201" t="s">
        <v>555</v>
      </c>
      <c r="H67" t="s">
        <v>377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hidden="1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hidden="1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hidden="1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hidden="1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hidden="1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hidden="1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hidden="1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hidden="1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hidden="1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hidden="1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hidden="1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hidden="1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hidden="1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hidden="1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hidden="1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hidden="1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hidden="1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hidden="1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hidden="1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hidden="1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hidden="1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hidden="1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hidden="1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hidden="1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hidden="1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hidden="1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hidden="1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hidden="1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hidden="1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hidden="1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hidden="1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hidden="1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hidden="1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hidden="1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hidden="1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hidden="1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hidden="1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hidden="1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hidden="1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hidden="1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hidden="1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hidden="1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hidden="1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hidden="1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hidden="1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hidden="1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hidden="1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hidden="1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hidden="1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hidden="1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hidden="1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hidden="1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hidden="1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hidden="1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hidden="1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hidden="1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hidden="1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hidden="1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hidden="1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hidden="1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hidden="1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hidden="1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hidden="1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hidden="1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hidden="1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hidden="1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hidden="1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hidden="1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hidden="1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hidden="1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hidden="1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hidden="1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hidden="1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hidden="1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hidden="1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hidden="1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hidden="1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hidden="1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hidden="1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hidden="1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hidden="1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hidden="1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hidden="1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hidden="1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hidden="1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hidden="1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hidden="1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hidden="1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hidden="1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hidden="1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hidden="1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hidden="1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hidden="1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hidden="1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hidden="1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hidden="1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hidden="1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hidden="1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hidden="1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hidden="1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hidden="1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hidden="1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hidden="1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hidden="1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hidden="1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hidden="1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hidden="1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hidden="1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hidden="1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hidden="1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hidden="1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hidden="1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hidden="1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hidden="1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hidden="1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hidden="1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hidden="1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hidden="1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hidden="1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hidden="1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hidden="1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hidden="1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hidden="1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hidden="1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hidden="1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hidden="1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hidden="1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hidden="1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hidden="1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hidden="1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hidden="1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hidden="1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hidden="1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hidden="1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hidden="1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hidden="1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hidden="1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hidden="1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hidden="1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hidden="1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hidden="1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hidden="1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hidden="1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hidden="1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hidden="1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hidden="1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hidden="1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hidden="1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hidden="1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hidden="1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hidden="1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hidden="1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hidden="1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hidden="1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hidden="1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hidden="1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hidden="1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hidden="1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hidden="1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hidden="1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hidden="1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hidden="1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hidden="1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hidden="1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hidden="1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hidden="1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hidden="1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hidden="1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hidden="1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hidden="1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hidden="1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hidden="1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hidden="1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hidden="1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hidden="1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hidden="1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hidden="1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hidden="1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hidden="1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hidden="1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268" xr:uid="{F4E271B0-9BC6-43A9-829F-67EBEF38B757}">
    <filterColumn colId="0">
      <filters>
        <filter val="Калининградская область"/>
      </filters>
    </filterColumn>
  </autoFilter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 filterMode="1">
    <tabColor rgb="FF92D050"/>
  </sheetPr>
  <dimension ref="A1:AM269"/>
  <sheetViews>
    <sheetView topLeftCell="B1" zoomScale="85" zoomScaleNormal="85" workbookViewId="0">
      <selection activeCell="L272" sqref="L272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182</v>
      </c>
      <c r="I1" s="1"/>
      <c r="J1" s="1"/>
      <c r="K1" s="1"/>
      <c r="L1" s="1"/>
      <c r="M1" s="1"/>
      <c r="N1" s="1"/>
      <c r="O1" s="1"/>
      <c r="P1" s="1"/>
      <c r="Q1" s="1"/>
      <c r="R1" s="516" t="s">
        <v>184</v>
      </c>
      <c r="S1" s="516"/>
      <c r="T1" s="516"/>
      <c r="U1" s="516"/>
      <c r="V1" s="516"/>
      <c r="W1" s="516"/>
      <c r="X1" s="516"/>
      <c r="Y1" s="516"/>
      <c r="Z1" s="516"/>
      <c r="AA1" s="516"/>
      <c r="AB1" s="516"/>
      <c r="AC1" s="516" t="s">
        <v>185</v>
      </c>
      <c r="AD1" s="516"/>
      <c r="AE1" s="516"/>
      <c r="AF1" s="516"/>
      <c r="AG1" s="516"/>
      <c r="AH1" s="516"/>
      <c r="AI1" s="516"/>
      <c r="AJ1" s="516"/>
      <c r="AK1" s="516"/>
      <c r="AL1" s="516"/>
      <c r="AM1" s="516"/>
    </row>
    <row r="2" spans="1:39" s="3" customFormat="1" ht="59.45" customHeight="1" thickBot="1" x14ac:dyDescent="0.3">
      <c r="I2" s="13" t="s">
        <v>290</v>
      </c>
      <c r="J2" s="502" t="s">
        <v>291</v>
      </c>
      <c r="K2" s="502"/>
      <c r="L2" s="502"/>
      <c r="M2" s="502" t="s">
        <v>292</v>
      </c>
      <c r="N2" s="502"/>
      <c r="O2" s="502"/>
      <c r="P2" s="502"/>
      <c r="Q2" s="503"/>
      <c r="R2" s="520" t="s">
        <v>186</v>
      </c>
      <c r="S2" s="520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20" t="s">
        <v>189</v>
      </c>
      <c r="AD2" s="520"/>
      <c r="AE2" s="520"/>
      <c r="AF2" s="520"/>
      <c r="AG2" s="520"/>
      <c r="AH2" s="520"/>
      <c r="AI2" s="520"/>
      <c r="AJ2" s="520"/>
      <c r="AK2" s="520" t="s">
        <v>293</v>
      </c>
      <c r="AL2" s="520"/>
      <c r="AM2" s="520"/>
    </row>
    <row r="3" spans="1:39" s="13" customFormat="1" ht="45.75" thickBot="1" x14ac:dyDescent="0.3">
      <c r="A3" s="6" t="s">
        <v>190</v>
      </c>
      <c r="B3" s="7" t="s">
        <v>191</v>
      </c>
      <c r="C3" s="7" t="s">
        <v>192</v>
      </c>
      <c r="D3" s="8" t="s">
        <v>193</v>
      </c>
      <c r="E3" s="6" t="s">
        <v>194</v>
      </c>
      <c r="F3" s="8" t="s">
        <v>195</v>
      </c>
      <c r="G3" s="9" t="s">
        <v>196</v>
      </c>
      <c r="H3" s="9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6" t="s">
        <v>302</v>
      </c>
      <c r="S3" s="8" t="s">
        <v>303</v>
      </c>
      <c r="T3" s="10" t="s">
        <v>304</v>
      </c>
      <c r="U3" s="11" t="s">
        <v>305</v>
      </c>
      <c r="V3" s="12" t="s">
        <v>201</v>
      </c>
      <c r="W3" s="11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0" t="s">
        <v>311</v>
      </c>
      <c r="AI3" s="10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</row>
    <row r="4" spans="1:39" hidden="1" x14ac:dyDescent="0.25">
      <c r="A4" s="113" t="s">
        <v>167</v>
      </c>
      <c r="B4" s="34" t="s">
        <v>489</v>
      </c>
      <c r="C4" s="34" t="s">
        <v>490</v>
      </c>
      <c r="D4" s="36" t="s">
        <v>491</v>
      </c>
      <c r="E4" s="113" t="s">
        <v>492</v>
      </c>
      <c r="F4" s="37">
        <v>1</v>
      </c>
      <c r="G4" s="37"/>
      <c r="H4" s="31" t="s">
        <v>342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hidden="1" x14ac:dyDescent="0.25">
      <c r="A5" s="114" t="s">
        <v>493</v>
      </c>
      <c r="B5" s="31" t="s">
        <v>489</v>
      </c>
      <c r="C5" s="31" t="s">
        <v>490</v>
      </c>
      <c r="D5" s="36" t="s">
        <v>491</v>
      </c>
      <c r="E5" s="112" t="s">
        <v>492</v>
      </c>
      <c r="F5" s="32"/>
      <c r="G5" s="32"/>
      <c r="H5" s="31" t="s">
        <v>342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hidden="1" x14ac:dyDescent="0.25">
      <c r="A6" s="114" t="s">
        <v>171</v>
      </c>
      <c r="B6" s="31" t="s">
        <v>489</v>
      </c>
      <c r="C6" s="31" t="s">
        <v>490</v>
      </c>
      <c r="D6" s="36" t="s">
        <v>491</v>
      </c>
      <c r="E6" s="112" t="s">
        <v>494</v>
      </c>
      <c r="F6" s="32">
        <v>1</v>
      </c>
      <c r="G6" s="32"/>
      <c r="H6" s="31" t="s">
        <v>342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hidden="1" x14ac:dyDescent="0.25">
      <c r="A7" s="114" t="s">
        <v>341</v>
      </c>
      <c r="B7" s="31" t="s">
        <v>489</v>
      </c>
      <c r="C7" s="31" t="s">
        <v>495</v>
      </c>
      <c r="D7" s="36" t="s">
        <v>496</v>
      </c>
      <c r="E7" s="112" t="s">
        <v>497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hidden="1" x14ac:dyDescent="0.25">
      <c r="A8" s="114" t="s">
        <v>141</v>
      </c>
      <c r="B8" s="31" t="s">
        <v>489</v>
      </c>
      <c r="C8" s="31" t="s">
        <v>495</v>
      </c>
      <c r="D8" s="36" t="s">
        <v>496</v>
      </c>
      <c r="E8" s="112" t="s">
        <v>497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hidden="1" x14ac:dyDescent="0.25">
      <c r="A9" s="114" t="s">
        <v>148</v>
      </c>
      <c r="B9" s="31" t="s">
        <v>489</v>
      </c>
      <c r="C9" s="31" t="s">
        <v>495</v>
      </c>
      <c r="D9" s="36" t="s">
        <v>496</v>
      </c>
      <c r="E9" s="112" t="s">
        <v>497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hidden="1" x14ac:dyDescent="0.25">
      <c r="A10" s="114" t="s">
        <v>20</v>
      </c>
      <c r="B10" s="31" t="s">
        <v>489</v>
      </c>
      <c r="C10" s="31" t="s">
        <v>495</v>
      </c>
      <c r="D10" s="36" t="s">
        <v>496</v>
      </c>
      <c r="E10" s="112" t="s">
        <v>497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hidden="1" x14ac:dyDescent="0.25">
      <c r="A11" s="114" t="s">
        <v>146</v>
      </c>
      <c r="B11" s="31" t="s">
        <v>489</v>
      </c>
      <c r="C11" s="31" t="s">
        <v>495</v>
      </c>
      <c r="D11" s="36" t="s">
        <v>496</v>
      </c>
      <c r="E11" s="112" t="s">
        <v>497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hidden="1" x14ac:dyDescent="0.25">
      <c r="A12" s="114" t="s">
        <v>150</v>
      </c>
      <c r="B12" s="31" t="s">
        <v>489</v>
      </c>
      <c r="C12" s="31" t="s">
        <v>495</v>
      </c>
      <c r="D12" s="36" t="s">
        <v>496</v>
      </c>
      <c r="E12" s="112" t="s">
        <v>497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hidden="1" x14ac:dyDescent="0.25">
      <c r="A13" s="114" t="s">
        <v>145</v>
      </c>
      <c r="B13" s="31" t="s">
        <v>489</v>
      </c>
      <c r="C13" s="31" t="s">
        <v>495</v>
      </c>
      <c r="D13" s="36" t="s">
        <v>496</v>
      </c>
      <c r="E13" s="112" t="s">
        <v>497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hidden="1" x14ac:dyDescent="0.25">
      <c r="A14" s="114" t="s">
        <v>18</v>
      </c>
      <c r="B14" s="31" t="s">
        <v>489</v>
      </c>
      <c r="C14" s="31" t="s">
        <v>495</v>
      </c>
      <c r="D14" s="36" t="s">
        <v>496</v>
      </c>
      <c r="E14" s="112" t="s">
        <v>497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hidden="1" x14ac:dyDescent="0.25">
      <c r="A15" s="114" t="s">
        <v>58</v>
      </c>
      <c r="B15" s="31" t="s">
        <v>489</v>
      </c>
      <c r="C15" s="31" t="s">
        <v>495</v>
      </c>
      <c r="D15" s="36" t="s">
        <v>496</v>
      </c>
      <c r="E15" s="112" t="s">
        <v>497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hidden="1" x14ac:dyDescent="0.25">
      <c r="A16" s="114" t="s">
        <v>151</v>
      </c>
      <c r="B16" s="31" t="s">
        <v>489</v>
      </c>
      <c r="C16" s="31" t="s">
        <v>495</v>
      </c>
      <c r="D16" s="36" t="s">
        <v>496</v>
      </c>
      <c r="E16" s="112" t="s">
        <v>497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hidden="1" x14ac:dyDescent="0.25">
      <c r="A17" s="114" t="s">
        <v>17</v>
      </c>
      <c r="B17" s="31" t="s">
        <v>489</v>
      </c>
      <c r="C17" s="31" t="s">
        <v>495</v>
      </c>
      <c r="D17" s="36" t="s">
        <v>496</v>
      </c>
      <c r="E17" s="112" t="s">
        <v>497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hidden="1" x14ac:dyDescent="0.25">
      <c r="A18" s="114" t="s">
        <v>141</v>
      </c>
      <c r="B18" s="31" t="s">
        <v>489</v>
      </c>
      <c r="C18" s="31" t="s">
        <v>495</v>
      </c>
      <c r="D18" s="36" t="s">
        <v>498</v>
      </c>
      <c r="E18" s="112" t="s">
        <v>497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hidden="1" x14ac:dyDescent="0.25">
      <c r="A19" s="114" t="s">
        <v>145</v>
      </c>
      <c r="B19" s="31" t="s">
        <v>489</v>
      </c>
      <c r="C19" s="31" t="s">
        <v>495</v>
      </c>
      <c r="D19" s="36" t="s">
        <v>498</v>
      </c>
      <c r="E19" s="112" t="s">
        <v>497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hidden="1" x14ac:dyDescent="0.25">
      <c r="A20" s="114" t="s">
        <v>434</v>
      </c>
      <c r="B20" s="31" t="s">
        <v>489</v>
      </c>
      <c r="C20" s="31" t="s">
        <v>490</v>
      </c>
      <c r="D20" s="36" t="s">
        <v>499</v>
      </c>
      <c r="E20" s="112" t="s">
        <v>419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hidden="1" x14ac:dyDescent="0.25">
      <c r="A21" s="114" t="s">
        <v>173</v>
      </c>
      <c r="B21" s="31" t="s">
        <v>489</v>
      </c>
      <c r="C21" s="31" t="s">
        <v>490</v>
      </c>
      <c r="D21" s="36" t="s">
        <v>499</v>
      </c>
      <c r="E21" s="112" t="s">
        <v>419</v>
      </c>
      <c r="F21" s="32"/>
      <c r="G21" s="32"/>
      <c r="H21" s="31" t="s">
        <v>342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hidden="1" x14ac:dyDescent="0.25">
      <c r="A22" s="114" t="s">
        <v>180</v>
      </c>
      <c r="B22" s="31" t="s">
        <v>489</v>
      </c>
      <c r="C22" s="31" t="s">
        <v>490</v>
      </c>
      <c r="D22" s="36" t="s">
        <v>499</v>
      </c>
      <c r="E22" s="112" t="s">
        <v>419</v>
      </c>
      <c r="F22" s="32">
        <v>1</v>
      </c>
      <c r="G22" s="32"/>
      <c r="H22" s="31" t="s">
        <v>342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hidden="1" x14ac:dyDescent="0.25">
      <c r="A23" s="114" t="s">
        <v>500</v>
      </c>
      <c r="B23" s="31" t="s">
        <v>489</v>
      </c>
      <c r="C23" s="31" t="s">
        <v>490</v>
      </c>
      <c r="D23" s="36" t="s">
        <v>499</v>
      </c>
      <c r="E23" s="112" t="s">
        <v>419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hidden="1" x14ac:dyDescent="0.25">
      <c r="A24" s="114" t="s">
        <v>432</v>
      </c>
      <c r="B24" s="31" t="s">
        <v>489</v>
      </c>
      <c r="C24" s="31" t="s">
        <v>490</v>
      </c>
      <c r="D24" s="36" t="s">
        <v>499</v>
      </c>
      <c r="E24" s="112" t="s">
        <v>419</v>
      </c>
      <c r="F24" s="32"/>
      <c r="G24" s="32"/>
      <c r="H24" s="31" t="s">
        <v>342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hidden="1" x14ac:dyDescent="0.25">
      <c r="A25" s="114" t="s">
        <v>180</v>
      </c>
      <c r="B25" s="31" t="s">
        <v>489</v>
      </c>
      <c r="C25" s="31" t="s">
        <v>490</v>
      </c>
      <c r="D25" s="36" t="s">
        <v>501</v>
      </c>
      <c r="E25" s="112" t="s">
        <v>419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hidden="1" x14ac:dyDescent="0.25">
      <c r="A26" s="114" t="s">
        <v>432</v>
      </c>
      <c r="B26" s="31" t="s">
        <v>489</v>
      </c>
      <c r="C26" s="31" t="s">
        <v>490</v>
      </c>
      <c r="D26" s="36" t="s">
        <v>501</v>
      </c>
      <c r="E26" s="112" t="s">
        <v>419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hidden="1" x14ac:dyDescent="0.25">
      <c r="A27" s="114" t="s">
        <v>174</v>
      </c>
      <c r="B27" s="31" t="s">
        <v>489</v>
      </c>
      <c r="C27" s="31" t="s">
        <v>490</v>
      </c>
      <c r="D27" s="36" t="s">
        <v>502</v>
      </c>
      <c r="E27" s="112" t="s">
        <v>419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hidden="1" x14ac:dyDescent="0.25">
      <c r="A28" s="114" t="s">
        <v>434</v>
      </c>
      <c r="B28" s="31" t="s">
        <v>489</v>
      </c>
      <c r="C28" s="31" t="s">
        <v>503</v>
      </c>
      <c r="D28" s="36" t="s">
        <v>504</v>
      </c>
      <c r="E28" s="112" t="s">
        <v>354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hidden="1" x14ac:dyDescent="0.25">
      <c r="A29" s="114" t="s">
        <v>173</v>
      </c>
      <c r="B29" s="31" t="s">
        <v>489</v>
      </c>
      <c r="C29" s="31" t="s">
        <v>503</v>
      </c>
      <c r="D29" s="36" t="s">
        <v>504</v>
      </c>
      <c r="E29" s="112" t="s">
        <v>354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hidden="1" x14ac:dyDescent="0.25">
      <c r="A30" s="114" t="s">
        <v>156</v>
      </c>
      <c r="B30" s="31" t="s">
        <v>489</v>
      </c>
      <c r="C30" s="31" t="s">
        <v>503</v>
      </c>
      <c r="D30" s="36" t="s">
        <v>504</v>
      </c>
      <c r="E30" s="112" t="s">
        <v>354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hidden="1" x14ac:dyDescent="0.25">
      <c r="A31" s="114" t="s">
        <v>165</v>
      </c>
      <c r="B31" s="31" t="s">
        <v>489</v>
      </c>
      <c r="C31" s="31" t="s">
        <v>503</v>
      </c>
      <c r="D31" s="36" t="s">
        <v>504</v>
      </c>
      <c r="E31" s="112" t="s">
        <v>354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hidden="1" x14ac:dyDescent="0.25">
      <c r="A32" s="114" t="s">
        <v>173</v>
      </c>
      <c r="B32" s="31" t="s">
        <v>489</v>
      </c>
      <c r="C32" s="31" t="s">
        <v>503</v>
      </c>
      <c r="D32" s="36" t="s">
        <v>505</v>
      </c>
      <c r="E32" s="112" t="s">
        <v>354</v>
      </c>
      <c r="F32" s="32"/>
      <c r="G32" s="32"/>
      <c r="H32" s="31" t="s">
        <v>342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hidden="1" x14ac:dyDescent="0.25">
      <c r="A33" s="114" t="s">
        <v>506</v>
      </c>
      <c r="B33" s="31" t="s">
        <v>489</v>
      </c>
      <c r="C33" s="31" t="s">
        <v>503</v>
      </c>
      <c r="D33" s="36" t="s">
        <v>505</v>
      </c>
      <c r="E33" s="112" t="s">
        <v>354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hidden="1" x14ac:dyDescent="0.25">
      <c r="A34" s="114" t="s">
        <v>174</v>
      </c>
      <c r="B34" s="31" t="s">
        <v>489</v>
      </c>
      <c r="C34" s="31" t="s">
        <v>507</v>
      </c>
      <c r="D34" s="36" t="s">
        <v>508</v>
      </c>
      <c r="E34" s="112"/>
      <c r="F34" s="32"/>
      <c r="G34" s="32"/>
      <c r="H34" s="31" t="s">
        <v>342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hidden="1" x14ac:dyDescent="0.25">
      <c r="A35" s="114" t="s">
        <v>174</v>
      </c>
      <c r="B35" s="31" t="s">
        <v>489</v>
      </c>
      <c r="C35" s="31" t="s">
        <v>490</v>
      </c>
      <c r="D35" s="36" t="s">
        <v>491</v>
      </c>
      <c r="E35" s="112" t="s">
        <v>96</v>
      </c>
      <c r="F35" s="32"/>
      <c r="G35" s="32"/>
      <c r="H35" s="31" t="s">
        <v>342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hidden="1" x14ac:dyDescent="0.25">
      <c r="A36" s="114" t="s">
        <v>166</v>
      </c>
      <c r="B36" s="31" t="s">
        <v>489</v>
      </c>
      <c r="C36" s="31" t="s">
        <v>509</v>
      </c>
      <c r="D36" s="36" t="s">
        <v>510</v>
      </c>
      <c r="E36" s="112"/>
      <c r="F36" s="32"/>
      <c r="G36" s="32"/>
      <c r="H36" s="31" t="s">
        <v>342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hidden="1" x14ac:dyDescent="0.25">
      <c r="A37" s="114" t="s">
        <v>341</v>
      </c>
      <c r="B37" s="31" t="s">
        <v>489</v>
      </c>
      <c r="C37" s="31" t="s">
        <v>509</v>
      </c>
      <c r="D37" s="36" t="s">
        <v>511</v>
      </c>
      <c r="E37" s="112"/>
      <c r="F37" s="32"/>
      <c r="G37" s="32"/>
      <c r="H37" s="31" t="s">
        <v>342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hidden="1" x14ac:dyDescent="0.25">
      <c r="A38" s="114" t="s">
        <v>141</v>
      </c>
      <c r="B38" s="31" t="s">
        <v>489</v>
      </c>
      <c r="C38" s="31" t="s">
        <v>509</v>
      </c>
      <c r="D38" s="36" t="s">
        <v>511</v>
      </c>
      <c r="E38" s="112"/>
      <c r="F38" s="32"/>
      <c r="G38" s="32"/>
      <c r="H38" s="31" t="s">
        <v>342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x14ac:dyDescent="0.25">
      <c r="A39" s="114" t="s">
        <v>155</v>
      </c>
      <c r="B39" s="31" t="s">
        <v>489</v>
      </c>
      <c r="C39" s="31" t="s">
        <v>509</v>
      </c>
      <c r="D39" s="36" t="s">
        <v>510</v>
      </c>
      <c r="E39" s="112"/>
      <c r="F39" s="32"/>
      <c r="G39" s="32"/>
      <c r="H39" s="31" t="s">
        <v>342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hidden="1" x14ac:dyDescent="0.25">
      <c r="A40" s="114" t="s">
        <v>148</v>
      </c>
      <c r="B40" s="31" t="s">
        <v>489</v>
      </c>
      <c r="C40" s="31" t="s">
        <v>509</v>
      </c>
      <c r="D40" s="36" t="s">
        <v>511</v>
      </c>
      <c r="E40" s="112"/>
      <c r="F40" s="32"/>
      <c r="G40" s="32"/>
      <c r="H40" s="31" t="s">
        <v>342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hidden="1" x14ac:dyDescent="0.25">
      <c r="A41" s="114" t="s">
        <v>512</v>
      </c>
      <c r="B41" s="31" t="s">
        <v>489</v>
      </c>
      <c r="C41" s="31" t="s">
        <v>507</v>
      </c>
      <c r="D41" s="36" t="s">
        <v>513</v>
      </c>
      <c r="E41" s="112"/>
      <c r="F41" s="32"/>
      <c r="G41" s="32"/>
      <c r="H41" s="31" t="s">
        <v>342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hidden="1" x14ac:dyDescent="0.25">
      <c r="A42" s="114" t="s">
        <v>165</v>
      </c>
      <c r="B42" s="31" t="s">
        <v>489</v>
      </c>
      <c r="C42" s="31" t="s">
        <v>509</v>
      </c>
      <c r="D42" s="36" t="s">
        <v>510</v>
      </c>
      <c r="E42" s="112"/>
      <c r="F42" s="32"/>
      <c r="G42" s="32"/>
      <c r="H42" s="31" t="s">
        <v>342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hidden="1" x14ac:dyDescent="0.25">
      <c r="A43" s="114" t="s">
        <v>514</v>
      </c>
      <c r="B43" s="31" t="s">
        <v>489</v>
      </c>
      <c r="C43" s="31" t="s">
        <v>507</v>
      </c>
      <c r="D43" s="36" t="s">
        <v>513</v>
      </c>
      <c r="E43" s="112"/>
      <c r="F43" s="32"/>
      <c r="G43" s="32"/>
      <c r="H43" s="31" t="s">
        <v>342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hidden="1" x14ac:dyDescent="0.25">
      <c r="A44" s="114" t="s">
        <v>173</v>
      </c>
      <c r="B44" s="31" t="s">
        <v>489</v>
      </c>
      <c r="C44" s="31" t="s">
        <v>507</v>
      </c>
      <c r="D44" s="36" t="s">
        <v>508</v>
      </c>
      <c r="E44" s="112"/>
      <c r="F44" s="32"/>
      <c r="G44" s="32"/>
      <c r="H44" s="31" t="s">
        <v>342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hidden="1" x14ac:dyDescent="0.25">
      <c r="A45" s="114" t="s">
        <v>173</v>
      </c>
      <c r="B45" s="31" t="s">
        <v>489</v>
      </c>
      <c r="C45" s="31" t="s">
        <v>507</v>
      </c>
      <c r="D45" s="36" t="s">
        <v>515</v>
      </c>
      <c r="E45" s="112"/>
      <c r="F45" s="32"/>
      <c r="G45" s="32"/>
      <c r="H45" s="31" t="s">
        <v>342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hidden="1" x14ac:dyDescent="0.25">
      <c r="A46" s="114" t="s">
        <v>146</v>
      </c>
      <c r="B46" s="31" t="s">
        <v>489</v>
      </c>
      <c r="C46" s="31" t="s">
        <v>509</v>
      </c>
      <c r="D46" s="36" t="s">
        <v>511</v>
      </c>
      <c r="E46" s="112"/>
      <c r="F46" s="32"/>
      <c r="G46" s="32"/>
      <c r="H46" s="31" t="s">
        <v>342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hidden="1" x14ac:dyDescent="0.25">
      <c r="A47" s="114" t="s">
        <v>150</v>
      </c>
      <c r="B47" s="31" t="s">
        <v>489</v>
      </c>
      <c r="C47" s="31" t="s">
        <v>509</v>
      </c>
      <c r="D47" s="36" t="s">
        <v>511</v>
      </c>
      <c r="E47" s="112"/>
      <c r="F47" s="32"/>
      <c r="G47" s="32"/>
      <c r="H47" s="31" t="s">
        <v>342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hidden="1" x14ac:dyDescent="0.25">
      <c r="A48" s="114" t="s">
        <v>145</v>
      </c>
      <c r="B48" s="31" t="s">
        <v>489</v>
      </c>
      <c r="C48" s="31" t="s">
        <v>509</v>
      </c>
      <c r="D48" s="36" t="s">
        <v>511</v>
      </c>
      <c r="E48" s="112"/>
      <c r="F48" s="32"/>
      <c r="G48" s="32"/>
      <c r="H48" s="31" t="s">
        <v>342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hidden="1" x14ac:dyDescent="0.25">
      <c r="A49" s="114" t="s">
        <v>152</v>
      </c>
      <c r="B49" s="31" t="s">
        <v>489</v>
      </c>
      <c r="C49" s="31" t="s">
        <v>509</v>
      </c>
      <c r="D49" s="36" t="s">
        <v>516</v>
      </c>
      <c r="E49" s="112"/>
      <c r="F49" s="32"/>
      <c r="G49" s="32"/>
      <c r="H49" s="31" t="s">
        <v>342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hidden="1" x14ac:dyDescent="0.25">
      <c r="A50" s="114" t="s">
        <v>156</v>
      </c>
      <c r="B50" s="31" t="s">
        <v>489</v>
      </c>
      <c r="C50" s="31" t="s">
        <v>507</v>
      </c>
      <c r="D50" s="36" t="s">
        <v>515</v>
      </c>
      <c r="E50" s="112"/>
      <c r="F50" s="32"/>
      <c r="G50" s="32"/>
      <c r="H50" s="31" t="s">
        <v>342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hidden="1" x14ac:dyDescent="0.25">
      <c r="A51" s="114" t="s">
        <v>154</v>
      </c>
      <c r="B51" s="31" t="s">
        <v>489</v>
      </c>
      <c r="C51" s="31" t="s">
        <v>509</v>
      </c>
      <c r="D51" s="36" t="s">
        <v>516</v>
      </c>
      <c r="E51" s="112"/>
      <c r="F51" s="32"/>
      <c r="G51" s="32"/>
      <c r="H51" s="31" t="s">
        <v>342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hidden="1" x14ac:dyDescent="0.25">
      <c r="A52" s="114" t="s">
        <v>517</v>
      </c>
      <c r="B52" s="31" t="s">
        <v>489</v>
      </c>
      <c r="C52" s="31" t="s">
        <v>507</v>
      </c>
      <c r="D52" s="36" t="s">
        <v>513</v>
      </c>
      <c r="E52" s="112"/>
      <c r="F52" s="32"/>
      <c r="G52" s="32"/>
      <c r="H52" s="31" t="s">
        <v>342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hidden="1" x14ac:dyDescent="0.25">
      <c r="A53" s="114" t="s">
        <v>160</v>
      </c>
      <c r="B53" s="31" t="s">
        <v>489</v>
      </c>
      <c r="C53" s="31" t="s">
        <v>507</v>
      </c>
      <c r="D53" s="36" t="s">
        <v>513</v>
      </c>
      <c r="E53" s="112"/>
      <c r="F53" s="32"/>
      <c r="G53" s="32"/>
      <c r="H53" s="31" t="s">
        <v>342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hidden="1" x14ac:dyDescent="0.25">
      <c r="A54" s="114" t="s">
        <v>151</v>
      </c>
      <c r="B54" s="31" t="s">
        <v>489</v>
      </c>
      <c r="C54" s="31" t="s">
        <v>509</v>
      </c>
      <c r="D54" s="36" t="s">
        <v>511</v>
      </c>
      <c r="E54" s="112"/>
      <c r="F54" s="32"/>
      <c r="G54" s="32"/>
      <c r="H54" s="31" t="s">
        <v>342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hidden="1" x14ac:dyDescent="0.25">
      <c r="A55" s="114" t="s">
        <v>341</v>
      </c>
      <c r="B55" s="31" t="s">
        <v>489</v>
      </c>
      <c r="C55" s="31" t="s">
        <v>509</v>
      </c>
      <c r="D55" s="36" t="s">
        <v>518</v>
      </c>
      <c r="E55" s="112"/>
      <c r="F55" s="32"/>
      <c r="G55" s="32"/>
      <c r="H55" s="31" t="s">
        <v>342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hidden="1" x14ac:dyDescent="0.25">
      <c r="A56" s="114" t="s">
        <v>141</v>
      </c>
      <c r="B56" s="31" t="s">
        <v>489</v>
      </c>
      <c r="C56" s="31" t="s">
        <v>509</v>
      </c>
      <c r="D56" s="36" t="s">
        <v>518</v>
      </c>
      <c r="E56" s="112"/>
      <c r="F56" s="32"/>
      <c r="G56" s="32"/>
      <c r="H56" s="31" t="s">
        <v>342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hidden="1" x14ac:dyDescent="0.25">
      <c r="A57" s="114" t="s">
        <v>148</v>
      </c>
      <c r="B57" s="31" t="s">
        <v>489</v>
      </c>
      <c r="C57" s="31" t="s">
        <v>509</v>
      </c>
      <c r="D57" s="36" t="s">
        <v>518</v>
      </c>
      <c r="E57" s="112"/>
      <c r="F57" s="32"/>
      <c r="G57" s="32"/>
      <c r="H57" s="31" t="s">
        <v>342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hidden="1" x14ac:dyDescent="0.25">
      <c r="A58" s="114" t="s">
        <v>173</v>
      </c>
      <c r="B58" s="31" t="s">
        <v>489</v>
      </c>
      <c r="C58" s="31" t="s">
        <v>509</v>
      </c>
      <c r="D58" s="36" t="s">
        <v>510</v>
      </c>
      <c r="E58" s="112"/>
      <c r="F58" s="32"/>
      <c r="G58" s="32"/>
      <c r="H58" s="31" t="s">
        <v>342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hidden="1" x14ac:dyDescent="0.25">
      <c r="A59" s="114" t="s">
        <v>146</v>
      </c>
      <c r="B59" s="31" t="s">
        <v>489</v>
      </c>
      <c r="C59" s="31" t="s">
        <v>509</v>
      </c>
      <c r="D59" s="36" t="s">
        <v>518</v>
      </c>
      <c r="E59" s="112"/>
      <c r="F59" s="32"/>
      <c r="G59" s="32"/>
      <c r="H59" s="31" t="s">
        <v>342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hidden="1" x14ac:dyDescent="0.25">
      <c r="A60" s="114" t="s">
        <v>150</v>
      </c>
      <c r="B60" s="31" t="s">
        <v>489</v>
      </c>
      <c r="C60" s="31" t="s">
        <v>509</v>
      </c>
      <c r="D60" s="36" t="s">
        <v>518</v>
      </c>
      <c r="E60" s="112"/>
      <c r="F60" s="32"/>
      <c r="G60" s="32"/>
      <c r="H60" s="31" t="s">
        <v>342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hidden="1" x14ac:dyDescent="0.25">
      <c r="A61" s="114" t="s">
        <v>145</v>
      </c>
      <c r="B61" s="31" t="s">
        <v>489</v>
      </c>
      <c r="C61" s="31" t="s">
        <v>509</v>
      </c>
      <c r="D61" s="36" t="s">
        <v>518</v>
      </c>
      <c r="E61" s="112"/>
      <c r="F61" s="32"/>
      <c r="G61" s="32"/>
      <c r="H61" s="31" t="s">
        <v>342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hidden="1" x14ac:dyDescent="0.25">
      <c r="A62" s="114" t="s">
        <v>154</v>
      </c>
      <c r="B62" s="31" t="s">
        <v>489</v>
      </c>
      <c r="C62" s="31" t="s">
        <v>509</v>
      </c>
      <c r="D62" s="36" t="s">
        <v>510</v>
      </c>
      <c r="E62" s="112"/>
      <c r="F62" s="32"/>
      <c r="G62" s="32"/>
      <c r="H62" s="31" t="s">
        <v>342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hidden="1" x14ac:dyDescent="0.25">
      <c r="A63" s="114" t="s">
        <v>151</v>
      </c>
      <c r="B63" s="31" t="s">
        <v>489</v>
      </c>
      <c r="C63" s="31" t="s">
        <v>509</v>
      </c>
      <c r="D63" s="36" t="s">
        <v>516</v>
      </c>
      <c r="E63" s="112"/>
      <c r="F63" s="32"/>
      <c r="G63" s="32"/>
      <c r="H63" s="31" t="s">
        <v>342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hidden="1" x14ac:dyDescent="0.25">
      <c r="A64" s="114" t="s">
        <v>174</v>
      </c>
      <c r="B64" s="31" t="s">
        <v>489</v>
      </c>
      <c r="C64" s="31" t="s">
        <v>490</v>
      </c>
      <c r="D64" s="36" t="s">
        <v>502</v>
      </c>
      <c r="E64" s="112" t="s">
        <v>96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hidden="1" x14ac:dyDescent="0.25">
      <c r="A65" s="114" t="s">
        <v>341</v>
      </c>
      <c r="B65" s="31" t="s">
        <v>489</v>
      </c>
      <c r="C65" s="31" t="s">
        <v>495</v>
      </c>
      <c r="D65" s="36" t="s">
        <v>496</v>
      </c>
      <c r="E65" s="112" t="s">
        <v>96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hidden="1" x14ac:dyDescent="0.25">
      <c r="A66" s="114" t="s">
        <v>341</v>
      </c>
      <c r="B66" s="31" t="s">
        <v>489</v>
      </c>
      <c r="C66" s="31" t="s">
        <v>495</v>
      </c>
      <c r="D66" s="36" t="s">
        <v>498</v>
      </c>
      <c r="E66" s="112" t="s">
        <v>96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hidden="1" x14ac:dyDescent="0.25">
      <c r="A67" s="114" t="s">
        <v>141</v>
      </c>
      <c r="B67" s="31" t="s">
        <v>489</v>
      </c>
      <c r="C67" s="31" t="s">
        <v>495</v>
      </c>
      <c r="D67" s="36" t="s">
        <v>496</v>
      </c>
      <c r="E67" s="112" t="s">
        <v>96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hidden="1" x14ac:dyDescent="0.25">
      <c r="A68" s="114" t="s">
        <v>148</v>
      </c>
      <c r="B68" s="31" t="s">
        <v>489</v>
      </c>
      <c r="C68" s="31" t="s">
        <v>495</v>
      </c>
      <c r="D68" s="36" t="s">
        <v>496</v>
      </c>
      <c r="E68" s="112" t="s">
        <v>96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hidden="1" x14ac:dyDescent="0.25">
      <c r="A69" s="114" t="s">
        <v>148</v>
      </c>
      <c r="B69" s="31" t="s">
        <v>489</v>
      </c>
      <c r="C69" s="31" t="s">
        <v>495</v>
      </c>
      <c r="D69" s="36" t="s">
        <v>498</v>
      </c>
      <c r="E69" s="112" t="s">
        <v>96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hidden="1" x14ac:dyDescent="0.25">
      <c r="A70" s="114" t="s">
        <v>171</v>
      </c>
      <c r="B70" s="31" t="s">
        <v>489</v>
      </c>
      <c r="C70" s="31" t="s">
        <v>490</v>
      </c>
      <c r="D70" s="36" t="s">
        <v>491</v>
      </c>
      <c r="E70" s="112" t="s">
        <v>96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hidden="1" x14ac:dyDescent="0.25">
      <c r="A71" s="114" t="s">
        <v>434</v>
      </c>
      <c r="B71" s="31" t="s">
        <v>489</v>
      </c>
      <c r="C71" s="31" t="s">
        <v>490</v>
      </c>
      <c r="D71" s="36" t="s">
        <v>502</v>
      </c>
      <c r="E71" s="112" t="s">
        <v>96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hidden="1" x14ac:dyDescent="0.25">
      <c r="A72" s="114" t="s">
        <v>20</v>
      </c>
      <c r="B72" s="31" t="s">
        <v>489</v>
      </c>
      <c r="C72" s="31" t="s">
        <v>495</v>
      </c>
      <c r="D72" s="36" t="s">
        <v>496</v>
      </c>
      <c r="E72" s="112" t="s">
        <v>96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hidden="1" x14ac:dyDescent="0.25">
      <c r="A73" s="114" t="s">
        <v>173</v>
      </c>
      <c r="B73" s="31" t="s">
        <v>489</v>
      </c>
      <c r="C73" s="31" t="s">
        <v>490</v>
      </c>
      <c r="D73" s="36" t="s">
        <v>499</v>
      </c>
      <c r="E73" s="112" t="s">
        <v>96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hidden="1" x14ac:dyDescent="0.25">
      <c r="A74" s="114" t="s">
        <v>173</v>
      </c>
      <c r="B74" s="31" t="s">
        <v>489</v>
      </c>
      <c r="C74" s="31" t="s">
        <v>490</v>
      </c>
      <c r="D74" s="36" t="s">
        <v>502</v>
      </c>
      <c r="E74" s="112" t="s">
        <v>96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hidden="1" x14ac:dyDescent="0.25">
      <c r="A75" s="114" t="s">
        <v>173</v>
      </c>
      <c r="B75" s="31" t="s">
        <v>489</v>
      </c>
      <c r="C75" s="31" t="s">
        <v>503</v>
      </c>
      <c r="D75" s="36" t="s">
        <v>504</v>
      </c>
      <c r="E75" s="112" t="s">
        <v>96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hidden="1" x14ac:dyDescent="0.25">
      <c r="A76" s="114" t="s">
        <v>173</v>
      </c>
      <c r="B76" s="31" t="s">
        <v>489</v>
      </c>
      <c r="C76" s="31" t="s">
        <v>503</v>
      </c>
      <c r="D76" s="36" t="s">
        <v>505</v>
      </c>
      <c r="E76" s="112" t="s">
        <v>96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hidden="1" x14ac:dyDescent="0.25">
      <c r="A77" s="114" t="s">
        <v>173</v>
      </c>
      <c r="B77" s="31" t="s">
        <v>489</v>
      </c>
      <c r="C77" s="31" t="s">
        <v>490</v>
      </c>
      <c r="D77" s="36" t="s">
        <v>491</v>
      </c>
      <c r="E77" s="112" t="s">
        <v>96</v>
      </c>
      <c r="F77" s="32"/>
      <c r="G77" s="32"/>
      <c r="H77" s="31" t="s">
        <v>342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hidden="1" x14ac:dyDescent="0.25">
      <c r="A78" s="114" t="s">
        <v>180</v>
      </c>
      <c r="B78" s="31" t="s">
        <v>489</v>
      </c>
      <c r="C78" s="31" t="s">
        <v>490</v>
      </c>
      <c r="D78" s="36" t="s">
        <v>499</v>
      </c>
      <c r="E78" s="112" t="s">
        <v>96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hidden="1" x14ac:dyDescent="0.25">
      <c r="A79" s="114" t="s">
        <v>180</v>
      </c>
      <c r="B79" s="31" t="s">
        <v>489</v>
      </c>
      <c r="C79" s="31" t="s">
        <v>490</v>
      </c>
      <c r="D79" s="36" t="s">
        <v>502</v>
      </c>
      <c r="E79" s="112" t="s">
        <v>96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hidden="1" x14ac:dyDescent="0.25">
      <c r="A80" s="114" t="s">
        <v>146</v>
      </c>
      <c r="B80" s="31" t="s">
        <v>489</v>
      </c>
      <c r="C80" s="31" t="s">
        <v>495</v>
      </c>
      <c r="D80" s="36" t="s">
        <v>496</v>
      </c>
      <c r="E80" s="112" t="s">
        <v>96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hidden="1" x14ac:dyDescent="0.25">
      <c r="A81" s="114" t="s">
        <v>146</v>
      </c>
      <c r="B81" s="31" t="s">
        <v>489</v>
      </c>
      <c r="C81" s="31" t="s">
        <v>495</v>
      </c>
      <c r="D81" s="36" t="s">
        <v>498</v>
      </c>
      <c r="E81" s="112" t="s">
        <v>96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hidden="1" x14ac:dyDescent="0.25">
      <c r="A82" s="114" t="s">
        <v>150</v>
      </c>
      <c r="B82" s="31" t="s">
        <v>489</v>
      </c>
      <c r="C82" s="31" t="s">
        <v>495</v>
      </c>
      <c r="D82" s="36" t="s">
        <v>496</v>
      </c>
      <c r="E82" s="112" t="s">
        <v>96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hidden="1" x14ac:dyDescent="0.25">
      <c r="A83" s="114" t="s">
        <v>150</v>
      </c>
      <c r="B83" s="31" t="s">
        <v>489</v>
      </c>
      <c r="C83" s="31" t="s">
        <v>495</v>
      </c>
      <c r="D83" s="36" t="s">
        <v>498</v>
      </c>
      <c r="E83" s="112" t="s">
        <v>96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hidden="1" x14ac:dyDescent="0.25">
      <c r="A84" s="114" t="s">
        <v>500</v>
      </c>
      <c r="B84" s="31" t="s">
        <v>489</v>
      </c>
      <c r="C84" s="31" t="s">
        <v>490</v>
      </c>
      <c r="D84" s="36" t="s">
        <v>502</v>
      </c>
      <c r="E84" s="112" t="s">
        <v>96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hidden="1" x14ac:dyDescent="0.25">
      <c r="A85" s="114" t="s">
        <v>7</v>
      </c>
      <c r="B85" s="31" t="s">
        <v>489</v>
      </c>
      <c r="C85" s="31" t="s">
        <v>495</v>
      </c>
      <c r="D85" s="36" t="s">
        <v>496</v>
      </c>
      <c r="E85" s="112" t="s">
        <v>96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hidden="1" x14ac:dyDescent="0.25">
      <c r="A86" s="114" t="s">
        <v>145</v>
      </c>
      <c r="B86" s="31" t="s">
        <v>489</v>
      </c>
      <c r="C86" s="31" t="s">
        <v>495</v>
      </c>
      <c r="D86" s="36" t="s">
        <v>496</v>
      </c>
      <c r="E86" s="112" t="s">
        <v>96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hidden="1" x14ac:dyDescent="0.25">
      <c r="A87" s="114" t="s">
        <v>145</v>
      </c>
      <c r="B87" s="31" t="s">
        <v>489</v>
      </c>
      <c r="C87" s="31" t="s">
        <v>495</v>
      </c>
      <c r="D87" s="36" t="s">
        <v>498</v>
      </c>
      <c r="E87" s="112" t="s">
        <v>96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hidden="1" x14ac:dyDescent="0.25">
      <c r="A88" s="114" t="s">
        <v>156</v>
      </c>
      <c r="B88" s="31" t="s">
        <v>489</v>
      </c>
      <c r="C88" s="31" t="s">
        <v>490</v>
      </c>
      <c r="D88" s="36" t="s">
        <v>502</v>
      </c>
      <c r="E88" s="112" t="s">
        <v>96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hidden="1" x14ac:dyDescent="0.25">
      <c r="A89" s="114" t="s">
        <v>156</v>
      </c>
      <c r="B89" s="31" t="s">
        <v>489</v>
      </c>
      <c r="C89" s="31" t="s">
        <v>495</v>
      </c>
      <c r="D89" s="36" t="s">
        <v>519</v>
      </c>
      <c r="E89" s="112" t="s">
        <v>96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hidden="1" x14ac:dyDescent="0.25">
      <c r="A90" s="114" t="s">
        <v>156</v>
      </c>
      <c r="B90" s="31" t="s">
        <v>489</v>
      </c>
      <c r="C90" s="31" t="s">
        <v>503</v>
      </c>
      <c r="D90" s="36" t="s">
        <v>504</v>
      </c>
      <c r="E90" s="112" t="s">
        <v>96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hidden="1" x14ac:dyDescent="0.25">
      <c r="A91" s="114" t="s">
        <v>18</v>
      </c>
      <c r="B91" s="31"/>
      <c r="C91" s="31"/>
      <c r="D91" s="36" t="s">
        <v>319</v>
      </c>
      <c r="E91" s="112" t="s">
        <v>96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hidden="1" x14ac:dyDescent="0.25">
      <c r="A92" s="114" t="s">
        <v>432</v>
      </c>
      <c r="B92" s="31" t="s">
        <v>489</v>
      </c>
      <c r="C92" s="31" t="s">
        <v>490</v>
      </c>
      <c r="D92" s="36" t="s">
        <v>499</v>
      </c>
      <c r="E92" s="112" t="s">
        <v>96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hidden="1" x14ac:dyDescent="0.25">
      <c r="A93" s="114" t="s">
        <v>151</v>
      </c>
      <c r="B93" s="31" t="s">
        <v>489</v>
      </c>
      <c r="C93" s="31" t="s">
        <v>495</v>
      </c>
      <c r="D93" s="36" t="s">
        <v>496</v>
      </c>
      <c r="E93" s="112" t="s">
        <v>96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hidden="1" x14ac:dyDescent="0.25">
      <c r="A94" s="114" t="s">
        <v>151</v>
      </c>
      <c r="B94" s="31" t="s">
        <v>489</v>
      </c>
      <c r="C94" s="31" t="s">
        <v>495</v>
      </c>
      <c r="D94" s="36" t="s">
        <v>498</v>
      </c>
      <c r="E94" s="112" t="s">
        <v>96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hidden="1" x14ac:dyDescent="0.25">
      <c r="A95" s="114" t="s">
        <v>151</v>
      </c>
      <c r="B95" s="31" t="s">
        <v>489</v>
      </c>
      <c r="C95" s="31" t="s">
        <v>495</v>
      </c>
      <c r="D95" s="36" t="s">
        <v>519</v>
      </c>
      <c r="E95" s="112" t="s">
        <v>96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hidden="1" x14ac:dyDescent="0.25">
      <c r="A96" s="114" t="s">
        <v>17</v>
      </c>
      <c r="B96" s="31"/>
      <c r="C96" s="31"/>
      <c r="D96" s="36" t="s">
        <v>331</v>
      </c>
      <c r="E96" s="112" t="s">
        <v>96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hidden="1" x14ac:dyDescent="0.25">
      <c r="A97" s="114" t="s">
        <v>167</v>
      </c>
      <c r="B97" s="31" t="s">
        <v>489</v>
      </c>
      <c r="C97" s="31" t="s">
        <v>490</v>
      </c>
      <c r="D97" s="36" t="s">
        <v>491</v>
      </c>
      <c r="E97" s="112" t="s">
        <v>96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hidden="1" x14ac:dyDescent="0.25">
      <c r="A98" s="114" t="s">
        <v>154</v>
      </c>
      <c r="B98" s="31" t="s">
        <v>489</v>
      </c>
      <c r="C98" s="31" t="s">
        <v>495</v>
      </c>
      <c r="D98" s="36" t="s">
        <v>519</v>
      </c>
      <c r="E98" s="112" t="s">
        <v>96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hidden="1" x14ac:dyDescent="0.25">
      <c r="A99" s="114" t="s">
        <v>333</v>
      </c>
      <c r="B99" s="31" t="s">
        <v>489</v>
      </c>
      <c r="C99" s="31" t="s">
        <v>495</v>
      </c>
      <c r="D99" s="36" t="s">
        <v>496</v>
      </c>
      <c r="E99" s="112" t="s">
        <v>96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hidden="1" x14ac:dyDescent="0.25">
      <c r="A100" s="114" t="s">
        <v>152</v>
      </c>
      <c r="B100" s="31" t="s">
        <v>489</v>
      </c>
      <c r="C100" s="31" t="s">
        <v>490</v>
      </c>
      <c r="D100" s="36" t="s">
        <v>502</v>
      </c>
      <c r="E100" s="112" t="s">
        <v>96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hidden="1" x14ac:dyDescent="0.25">
      <c r="A101" s="114" t="s">
        <v>152</v>
      </c>
      <c r="B101" s="31" t="s">
        <v>489</v>
      </c>
      <c r="C101" s="31" t="s">
        <v>495</v>
      </c>
      <c r="D101" s="36" t="s">
        <v>519</v>
      </c>
      <c r="E101" s="112" t="s">
        <v>96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hidden="1" x14ac:dyDescent="0.25">
      <c r="A102" s="114" t="s">
        <v>107</v>
      </c>
      <c r="B102" s="31" t="s">
        <v>489</v>
      </c>
      <c r="C102" s="31" t="s">
        <v>495</v>
      </c>
      <c r="D102" s="36" t="s">
        <v>519</v>
      </c>
      <c r="E102" s="112" t="s">
        <v>96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hidden="1" x14ac:dyDescent="0.25">
      <c r="A103" s="114" t="s">
        <v>27</v>
      </c>
      <c r="B103" s="31" t="s">
        <v>489</v>
      </c>
      <c r="C103" s="31" t="s">
        <v>495</v>
      </c>
      <c r="D103" s="36" t="s">
        <v>519</v>
      </c>
      <c r="E103" s="112" t="s">
        <v>96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hidden="1" x14ac:dyDescent="0.25">
      <c r="A104" s="114" t="s">
        <v>105</v>
      </c>
      <c r="B104" s="31" t="s">
        <v>489</v>
      </c>
      <c r="C104" s="31" t="s">
        <v>495</v>
      </c>
      <c r="D104" s="36" t="s">
        <v>519</v>
      </c>
      <c r="E104" s="112" t="s">
        <v>96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hidden="1" x14ac:dyDescent="0.25">
      <c r="A105" s="114" t="s">
        <v>512</v>
      </c>
      <c r="B105" s="31" t="s">
        <v>489</v>
      </c>
      <c r="C105" s="31" t="s">
        <v>503</v>
      </c>
      <c r="D105" s="36" t="s">
        <v>520</v>
      </c>
      <c r="E105" s="112" t="s">
        <v>96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hidden="1" x14ac:dyDescent="0.25">
      <c r="A106" s="114" t="s">
        <v>517</v>
      </c>
      <c r="B106" s="31" t="s">
        <v>489</v>
      </c>
      <c r="C106" s="31" t="s">
        <v>503</v>
      </c>
      <c r="D106" s="36" t="s">
        <v>520</v>
      </c>
      <c r="E106" s="112" t="s">
        <v>96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hidden="1" x14ac:dyDescent="0.25">
      <c r="A107" s="114" t="s">
        <v>160</v>
      </c>
      <c r="B107" s="31" t="s">
        <v>489</v>
      </c>
      <c r="C107" s="31" t="s">
        <v>490</v>
      </c>
      <c r="D107" s="36" t="s">
        <v>502</v>
      </c>
      <c r="E107" s="112" t="s">
        <v>96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hidden="1" x14ac:dyDescent="0.25">
      <c r="A108" s="114" t="s">
        <v>160</v>
      </c>
      <c r="B108" s="31" t="s">
        <v>489</v>
      </c>
      <c r="C108" s="31" t="s">
        <v>503</v>
      </c>
      <c r="D108" s="36" t="s">
        <v>520</v>
      </c>
      <c r="E108" s="112" t="s">
        <v>96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hidden="1" x14ac:dyDescent="0.25">
      <c r="A109" s="114" t="s">
        <v>514</v>
      </c>
      <c r="B109" s="31" t="s">
        <v>489</v>
      </c>
      <c r="C109" s="31" t="s">
        <v>503</v>
      </c>
      <c r="D109" s="36" t="s">
        <v>520</v>
      </c>
      <c r="E109" s="112" t="s">
        <v>96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hidden="1" x14ac:dyDescent="0.25">
      <c r="A110" s="114" t="s">
        <v>165</v>
      </c>
      <c r="B110" s="31" t="s">
        <v>489</v>
      </c>
      <c r="C110" s="31" t="s">
        <v>495</v>
      </c>
      <c r="D110" s="36" t="s">
        <v>519</v>
      </c>
      <c r="E110" s="112" t="s">
        <v>96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hidden="1" x14ac:dyDescent="0.25">
      <c r="A111" s="114" t="s">
        <v>22</v>
      </c>
      <c r="B111" s="31"/>
      <c r="C111" s="31"/>
      <c r="D111" s="36" t="s">
        <v>319</v>
      </c>
      <c r="E111" s="112" t="s">
        <v>96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x14ac:dyDescent="0.25">
      <c r="A112" s="114" t="s">
        <v>155</v>
      </c>
      <c r="B112" s="31" t="s">
        <v>489</v>
      </c>
      <c r="C112" s="31" t="s">
        <v>495</v>
      </c>
      <c r="D112" s="36" t="s">
        <v>519</v>
      </c>
      <c r="E112" s="112" t="s">
        <v>96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hidden="1" x14ac:dyDescent="0.25">
      <c r="A113" s="114" t="s">
        <v>166</v>
      </c>
      <c r="B113" s="31" t="s">
        <v>489</v>
      </c>
      <c r="C113" s="526" t="s">
        <v>495</v>
      </c>
      <c r="D113" s="527" t="s">
        <v>519</v>
      </c>
      <c r="E113" s="528" t="s">
        <v>96</v>
      </c>
      <c r="F113" s="529"/>
      <c r="G113" s="529"/>
      <c r="H113" s="526"/>
      <c r="I113" s="530">
        <f t="shared" si="8"/>
        <v>0</v>
      </c>
      <c r="J113" s="530">
        <f t="shared" si="9"/>
        <v>1669261.73</v>
      </c>
      <c r="K113" s="530">
        <f t="shared" si="10"/>
        <v>1934370.9699999997</v>
      </c>
      <c r="L113" s="531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hidden="1" x14ac:dyDescent="0.25">
      <c r="A114" s="114" t="s">
        <v>435</v>
      </c>
      <c r="B114" s="31" t="s">
        <v>489</v>
      </c>
      <c r="C114" s="31" t="s">
        <v>490</v>
      </c>
      <c r="D114" s="36" t="s">
        <v>502</v>
      </c>
      <c r="E114" s="112" t="s">
        <v>96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hidden="1" x14ac:dyDescent="0.25">
      <c r="A115" s="114" t="s">
        <v>521</v>
      </c>
      <c r="B115" s="31" t="s">
        <v>489</v>
      </c>
      <c r="C115" s="31" t="s">
        <v>490</v>
      </c>
      <c r="D115" s="36" t="s">
        <v>502</v>
      </c>
      <c r="E115" s="112" t="s">
        <v>96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hidden="1" x14ac:dyDescent="0.25">
      <c r="A116" s="114" t="s">
        <v>18</v>
      </c>
      <c r="B116" s="31"/>
      <c r="C116" s="31"/>
      <c r="D116" s="36" t="s">
        <v>319</v>
      </c>
      <c r="E116" s="112" t="s">
        <v>96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hidden="1" x14ac:dyDescent="0.25">
      <c r="A117" s="114" t="s">
        <v>17</v>
      </c>
      <c r="B117" s="31"/>
      <c r="C117" s="31"/>
      <c r="D117" s="36" t="s">
        <v>522</v>
      </c>
      <c r="E117" s="112" t="s">
        <v>96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hidden="1" x14ac:dyDescent="0.25">
      <c r="A118" s="114" t="s">
        <v>20</v>
      </c>
      <c r="B118" s="31"/>
      <c r="C118" s="31"/>
      <c r="D118" s="36" t="s">
        <v>324</v>
      </c>
      <c r="E118" s="112" t="s">
        <v>96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hidden="1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hidden="1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hidden="1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hidden="1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hidden="1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hidden="1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hidden="1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hidden="1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hidden="1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hidden="1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hidden="1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hidden="1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hidden="1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hidden="1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hidden="1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hidden="1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hidden="1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hidden="1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hidden="1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hidden="1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hidden="1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hidden="1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hidden="1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hidden="1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hidden="1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hidden="1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hidden="1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hidden="1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hidden="1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hidden="1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hidden="1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hidden="1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hidden="1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hidden="1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hidden="1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hidden="1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hidden="1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hidden="1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hidden="1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hidden="1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hidden="1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hidden="1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hidden="1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hidden="1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hidden="1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hidden="1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hidden="1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hidden="1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hidden="1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hidden="1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hidden="1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hidden="1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hidden="1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hidden="1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hidden="1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hidden="1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hidden="1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hidden="1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hidden="1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hidden="1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hidden="1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hidden="1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hidden="1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hidden="1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hidden="1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hidden="1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hidden="1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hidden="1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hidden="1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hidden="1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hidden="1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hidden="1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hidden="1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hidden="1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hidden="1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hidden="1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hidden="1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hidden="1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hidden="1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hidden="1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hidden="1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hidden="1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hidden="1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hidden="1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hidden="1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hidden="1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hidden="1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hidden="1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hidden="1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hidden="1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hidden="1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hidden="1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hidden="1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hidden="1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hidden="1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hidden="1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hidden="1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hidden="1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hidden="1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hidden="1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hidden="1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hidden="1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hidden="1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hidden="1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hidden="1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hidden="1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hidden="1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hidden="1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hidden="1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hidden="1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hidden="1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hidden="1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hidden="1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hidden="1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hidden="1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hidden="1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hidden="1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hidden="1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hidden="1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hidden="1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hidden="1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hidden="1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hidden="1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hidden="1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hidden="1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hidden="1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3:17" hidden="1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3:17" hidden="1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3:17" hidden="1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3:17" hidden="1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3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3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3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3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3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3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3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3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  <row r="269" spans="3:17" x14ac:dyDescent="0.25">
      <c r="C269" s="532"/>
      <c r="D269" s="532"/>
      <c r="E269" s="532"/>
      <c r="F269" s="533"/>
      <c r="G269" s="533"/>
      <c r="H269" s="532"/>
      <c r="I269" s="319"/>
      <c r="J269" s="319"/>
      <c r="K269" s="319"/>
      <c r="L269" s="319"/>
    </row>
  </sheetData>
  <autoFilter ref="A3:AM268" xr:uid="{1CEDA5EC-B68E-4623-A1FB-A5A8DEC1FA6B}">
    <filterColumn colId="0">
      <filters>
        <filter val="Волгоградска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zoomScale="93" zoomScaleNormal="60" workbookViewId="0">
      <selection activeCell="C9" sqref="C9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54" t="s">
        <v>182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16" t="s">
        <v>184</v>
      </c>
      <c r="S1" s="517"/>
      <c r="T1" s="517"/>
      <c r="U1" s="517"/>
      <c r="V1" s="517"/>
      <c r="W1" s="517"/>
      <c r="X1" s="517"/>
      <c r="Y1" s="517"/>
      <c r="Z1" s="517"/>
      <c r="AA1" s="517"/>
      <c r="AB1" s="518"/>
      <c r="AC1" s="516" t="s">
        <v>185</v>
      </c>
      <c r="AD1" s="517"/>
      <c r="AE1" s="517"/>
      <c r="AF1" s="517"/>
      <c r="AG1" s="517"/>
      <c r="AH1" s="517"/>
      <c r="AI1" s="517"/>
      <c r="AJ1" s="517"/>
      <c r="AK1" s="517"/>
      <c r="AL1" s="517"/>
      <c r="AM1" s="518"/>
    </row>
    <row r="2" spans="1:40" ht="45.75" thickBot="1" x14ac:dyDescent="0.3">
      <c r="A2" s="455"/>
      <c r="B2" s="3"/>
      <c r="C2" s="3"/>
      <c r="D2" s="3"/>
      <c r="E2" s="3"/>
      <c r="F2" s="3"/>
      <c r="G2" s="3"/>
      <c r="H2" s="3"/>
      <c r="I2" s="13" t="s">
        <v>290</v>
      </c>
      <c r="J2" s="502" t="s">
        <v>291</v>
      </c>
      <c r="K2" s="502"/>
      <c r="L2" s="502"/>
      <c r="M2" s="502" t="s">
        <v>292</v>
      </c>
      <c r="N2" s="502"/>
      <c r="O2" s="502"/>
      <c r="P2" s="502"/>
      <c r="Q2" s="503"/>
      <c r="R2" s="520" t="s">
        <v>186</v>
      </c>
      <c r="S2" s="521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20" t="s">
        <v>189</v>
      </c>
      <c r="AD2" s="522"/>
      <c r="AE2" s="522"/>
      <c r="AF2" s="522"/>
      <c r="AG2" s="522"/>
      <c r="AH2" s="522"/>
      <c r="AI2" s="522"/>
      <c r="AJ2" s="521"/>
      <c r="AK2" s="520" t="s">
        <v>293</v>
      </c>
      <c r="AL2" s="522"/>
      <c r="AM2" s="521"/>
    </row>
    <row r="3" spans="1:40" ht="60" x14ac:dyDescent="0.25">
      <c r="A3" s="456" t="s">
        <v>190</v>
      </c>
      <c r="B3" s="205" t="s">
        <v>191</v>
      </c>
      <c r="C3" s="205" t="s">
        <v>192</v>
      </c>
      <c r="D3" s="206" t="s">
        <v>193</v>
      </c>
      <c r="E3" s="207" t="s">
        <v>194</v>
      </c>
      <c r="F3" s="206" t="s">
        <v>195</v>
      </c>
      <c r="G3" s="208" t="s">
        <v>196</v>
      </c>
      <c r="H3" s="209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210" t="s">
        <v>302</v>
      </c>
      <c r="S3" s="206" t="s">
        <v>303</v>
      </c>
      <c r="T3" s="210" t="s">
        <v>304</v>
      </c>
      <c r="U3" s="205" t="s">
        <v>305</v>
      </c>
      <c r="V3" s="206" t="s">
        <v>201</v>
      </c>
      <c r="W3" s="205" t="s">
        <v>202</v>
      </c>
      <c r="X3" s="205" t="s">
        <v>204</v>
      </c>
      <c r="Y3" s="205" t="s">
        <v>205</v>
      </c>
      <c r="Z3" s="205" t="s">
        <v>206</v>
      </c>
      <c r="AA3" s="205" t="s">
        <v>207</v>
      </c>
      <c r="AB3" s="206" t="s">
        <v>208</v>
      </c>
      <c r="AC3" s="210" t="s">
        <v>306</v>
      </c>
      <c r="AD3" s="205" t="s">
        <v>307</v>
      </c>
      <c r="AE3" s="205" t="s">
        <v>308</v>
      </c>
      <c r="AF3" s="205" t="s">
        <v>309</v>
      </c>
      <c r="AG3" s="211" t="s">
        <v>310</v>
      </c>
      <c r="AH3" s="212" t="s">
        <v>311</v>
      </c>
      <c r="AI3" s="212" t="s">
        <v>312</v>
      </c>
      <c r="AJ3" s="213" t="s">
        <v>313</v>
      </c>
      <c r="AK3" s="212" t="s">
        <v>306</v>
      </c>
      <c r="AL3" s="211" t="s">
        <v>307</v>
      </c>
      <c r="AM3" s="213" t="s">
        <v>314</v>
      </c>
      <c r="AN3" s="214" t="s">
        <v>334</v>
      </c>
    </row>
    <row r="4" spans="1:40" hidden="1" x14ac:dyDescent="0.25">
      <c r="A4" s="457" t="s">
        <v>111</v>
      </c>
      <c r="B4" s="131" t="s">
        <v>386</v>
      </c>
      <c r="C4" s="131" t="s">
        <v>387</v>
      </c>
      <c r="D4" s="131" t="s">
        <v>388</v>
      </c>
      <c r="E4" s="131" t="s">
        <v>389</v>
      </c>
      <c r="F4" s="216">
        <v>1</v>
      </c>
      <c r="G4" s="216">
        <v>1</v>
      </c>
      <c r="H4" s="131" t="s">
        <v>343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25">
      <c r="A5" s="457" t="s">
        <v>108</v>
      </c>
      <c r="B5" s="131" t="s">
        <v>386</v>
      </c>
      <c r="C5" s="131" t="s">
        <v>390</v>
      </c>
      <c r="D5" s="131" t="s">
        <v>391</v>
      </c>
      <c r="E5" s="131" t="s">
        <v>389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25">
      <c r="A6" s="457" t="s">
        <v>350</v>
      </c>
      <c r="B6" s="131" t="s">
        <v>386</v>
      </c>
      <c r="C6" s="131" t="s">
        <v>390</v>
      </c>
      <c r="D6" s="131" t="s">
        <v>392</v>
      </c>
      <c r="E6" s="131" t="s">
        <v>389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25">
      <c r="A7" s="457" t="s">
        <v>108</v>
      </c>
      <c r="B7" s="131" t="s">
        <v>386</v>
      </c>
      <c r="C7" s="131" t="s">
        <v>390</v>
      </c>
      <c r="D7" s="131" t="s">
        <v>393</v>
      </c>
      <c r="E7" s="131" t="s">
        <v>394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25">
      <c r="A8" s="457" t="s">
        <v>120</v>
      </c>
      <c r="B8" s="131" t="s">
        <v>386</v>
      </c>
      <c r="C8" s="131" t="s">
        <v>395</v>
      </c>
      <c r="D8" s="131" t="s">
        <v>396</v>
      </c>
      <c r="E8" s="131" t="s">
        <v>397</v>
      </c>
      <c r="F8" s="216">
        <v>1</v>
      </c>
      <c r="G8" s="216">
        <v>1</v>
      </c>
      <c r="H8" s="131" t="s">
        <v>343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x14ac:dyDescent="0.25">
      <c r="A9" s="457" t="s">
        <v>107</v>
      </c>
      <c r="B9" s="131" t="s">
        <v>386</v>
      </c>
      <c r="C9" s="131" t="s">
        <v>387</v>
      </c>
      <c r="D9" s="131" t="s">
        <v>398</v>
      </c>
      <c r="E9" s="131" t="s">
        <v>389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hidden="1" x14ac:dyDescent="0.25">
      <c r="A10" s="457" t="s">
        <v>350</v>
      </c>
      <c r="B10" s="131" t="s">
        <v>386</v>
      </c>
      <c r="C10" s="131" t="s">
        <v>399</v>
      </c>
      <c r="D10" s="131" t="s">
        <v>400</v>
      </c>
      <c r="E10" s="131"/>
      <c r="F10" s="216"/>
      <c r="G10" s="216"/>
      <c r="H10" s="131" t="s">
        <v>343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hidden="1" x14ac:dyDescent="0.25">
      <c r="A11" s="457" t="s">
        <v>93</v>
      </c>
      <c r="B11" s="131" t="s">
        <v>386</v>
      </c>
      <c r="C11" s="131" t="s">
        <v>399</v>
      </c>
      <c r="D11" s="131" t="s">
        <v>400</v>
      </c>
      <c r="E11" s="131"/>
      <c r="F11" s="216"/>
      <c r="G11" s="216"/>
      <c r="H11" s="131" t="s">
        <v>343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hidden="1" x14ac:dyDescent="0.25">
      <c r="A12" s="457" t="s">
        <v>103</v>
      </c>
      <c r="B12" s="131" t="s">
        <v>386</v>
      </c>
      <c r="C12" s="131" t="s">
        <v>401</v>
      </c>
      <c r="D12" s="131" t="s">
        <v>402</v>
      </c>
      <c r="E12" s="131"/>
      <c r="F12" s="216"/>
      <c r="G12" s="216"/>
      <c r="H12" s="131" t="s">
        <v>343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hidden="1" x14ac:dyDescent="0.25">
      <c r="A13" s="457" t="s">
        <v>118</v>
      </c>
      <c r="B13" s="131" t="s">
        <v>386</v>
      </c>
      <c r="C13" s="131" t="s">
        <v>401</v>
      </c>
      <c r="D13" s="131" t="s">
        <v>403</v>
      </c>
      <c r="E13" s="131"/>
      <c r="F13" s="216"/>
      <c r="G13" s="216"/>
      <c r="H13" s="131" t="s">
        <v>343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hidden="1" x14ac:dyDescent="0.25">
      <c r="A14" s="457" t="s">
        <v>118</v>
      </c>
      <c r="B14" s="131" t="s">
        <v>386</v>
      </c>
      <c r="C14" s="131" t="s">
        <v>401</v>
      </c>
      <c r="D14" s="131" t="s">
        <v>404</v>
      </c>
      <c r="E14" s="131"/>
      <c r="F14" s="216"/>
      <c r="G14" s="216"/>
      <c r="H14" s="131" t="s">
        <v>343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hidden="1" x14ac:dyDescent="0.25">
      <c r="A15" s="457" t="s">
        <v>102</v>
      </c>
      <c r="B15" s="131" t="s">
        <v>386</v>
      </c>
      <c r="C15" s="131" t="s">
        <v>401</v>
      </c>
      <c r="D15" s="131" t="s">
        <v>405</v>
      </c>
      <c r="E15" s="131"/>
      <c r="F15" s="216"/>
      <c r="G15" s="216"/>
      <c r="H15" s="131" t="s">
        <v>343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hidden="1" x14ac:dyDescent="0.25">
      <c r="A16" s="457" t="s">
        <v>385</v>
      </c>
      <c r="B16" s="131" t="s">
        <v>386</v>
      </c>
      <c r="C16" s="131" t="s">
        <v>401</v>
      </c>
      <c r="D16" s="131" t="s">
        <v>405</v>
      </c>
      <c r="E16" s="131"/>
      <c r="F16" s="216"/>
      <c r="G16" s="216"/>
      <c r="H16" s="131" t="s">
        <v>343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hidden="1" x14ac:dyDescent="0.25">
      <c r="A17" s="457" t="s">
        <v>105</v>
      </c>
      <c r="B17" s="131" t="s">
        <v>386</v>
      </c>
      <c r="C17" s="131" t="s">
        <v>399</v>
      </c>
      <c r="D17" s="131" t="s">
        <v>406</v>
      </c>
      <c r="E17" s="131"/>
      <c r="F17" s="216"/>
      <c r="G17" s="216"/>
      <c r="H17" s="131" t="s">
        <v>343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57" t="s">
        <v>107</v>
      </c>
      <c r="B18" s="131" t="s">
        <v>386</v>
      </c>
      <c r="C18" s="131" t="s">
        <v>399</v>
      </c>
      <c r="D18" s="131" t="s">
        <v>406</v>
      </c>
      <c r="E18" s="131"/>
      <c r="F18" s="216"/>
      <c r="G18" s="216"/>
      <c r="H18" s="131" t="s">
        <v>343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hidden="1" x14ac:dyDescent="0.25">
      <c r="A19" s="457" t="s">
        <v>353</v>
      </c>
      <c r="B19" s="131" t="s">
        <v>386</v>
      </c>
      <c r="C19" s="131" t="s">
        <v>399</v>
      </c>
      <c r="D19" s="131" t="s">
        <v>407</v>
      </c>
      <c r="E19" s="131"/>
      <c r="F19" s="216"/>
      <c r="G19" s="216"/>
      <c r="H19" s="457" t="s">
        <v>377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hidden="1" x14ac:dyDescent="0.25">
      <c r="A20" s="457" t="s">
        <v>108</v>
      </c>
      <c r="B20" s="131" t="s">
        <v>386</v>
      </c>
      <c r="C20" s="131" t="s">
        <v>399</v>
      </c>
      <c r="D20" s="131" t="s">
        <v>408</v>
      </c>
      <c r="E20" s="131" t="s">
        <v>389</v>
      </c>
      <c r="F20" s="216">
        <v>1</v>
      </c>
      <c r="G20" s="216"/>
      <c r="H20" s="131" t="s">
        <v>343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25">
      <c r="A21" s="457" t="s">
        <v>353</v>
      </c>
      <c r="B21" s="131" t="s">
        <v>386</v>
      </c>
      <c r="C21" s="131" t="s">
        <v>390</v>
      </c>
      <c r="D21" s="131" t="s">
        <v>393</v>
      </c>
      <c r="E21" s="131" t="s">
        <v>394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25">
      <c r="A22" s="457" t="s">
        <v>102</v>
      </c>
      <c r="B22" s="131" t="s">
        <v>386</v>
      </c>
      <c r="C22" s="131" t="s">
        <v>390</v>
      </c>
      <c r="D22" s="131" t="s">
        <v>409</v>
      </c>
      <c r="E22" s="131" t="s">
        <v>389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25">
      <c r="A23" s="457" t="s">
        <v>102</v>
      </c>
      <c r="B23" s="131" t="s">
        <v>386</v>
      </c>
      <c r="C23" s="131" t="s">
        <v>395</v>
      </c>
      <c r="D23" s="131" t="s">
        <v>410</v>
      </c>
      <c r="E23" s="131" t="s">
        <v>360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25">
      <c r="A24" s="457" t="s">
        <v>105</v>
      </c>
      <c r="B24" s="131" t="s">
        <v>386</v>
      </c>
      <c r="C24" s="131" t="s">
        <v>390</v>
      </c>
      <c r="D24" s="131" t="s">
        <v>391</v>
      </c>
      <c r="E24" s="131" t="s">
        <v>389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25">
      <c r="A25" s="457" t="s">
        <v>105</v>
      </c>
      <c r="B25" s="131" t="s">
        <v>386</v>
      </c>
      <c r="C25" s="131" t="s">
        <v>390</v>
      </c>
      <c r="D25" s="131" t="s">
        <v>393</v>
      </c>
      <c r="E25" s="131" t="s">
        <v>394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25">
      <c r="A26" s="457" t="s">
        <v>118</v>
      </c>
      <c r="B26" s="131" t="s">
        <v>386</v>
      </c>
      <c r="C26" s="131" t="s">
        <v>387</v>
      </c>
      <c r="D26" s="131" t="s">
        <v>411</v>
      </c>
      <c r="E26" s="131" t="s">
        <v>360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25">
      <c r="A27" s="457" t="s">
        <v>118</v>
      </c>
      <c r="B27" s="131" t="s">
        <v>386</v>
      </c>
      <c r="C27" s="131" t="s">
        <v>387</v>
      </c>
      <c r="D27" s="131" t="s">
        <v>412</v>
      </c>
      <c r="E27" s="131" t="s">
        <v>360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25">
      <c r="A28" s="457" t="s">
        <v>118</v>
      </c>
      <c r="B28" s="131" t="s">
        <v>386</v>
      </c>
      <c r="C28" s="131" t="s">
        <v>395</v>
      </c>
      <c r="D28" s="131" t="s">
        <v>410</v>
      </c>
      <c r="E28" s="131" t="s">
        <v>360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25">
      <c r="A29" s="457" t="s">
        <v>118</v>
      </c>
      <c r="B29" s="131" t="s">
        <v>386</v>
      </c>
      <c r="C29" s="131" t="s">
        <v>390</v>
      </c>
      <c r="D29" s="131" t="s">
        <v>409</v>
      </c>
      <c r="E29" s="131" t="s">
        <v>389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25">
      <c r="A30" s="457" t="s">
        <v>118</v>
      </c>
      <c r="B30" s="131" t="s">
        <v>386</v>
      </c>
      <c r="C30" s="131" t="s">
        <v>395</v>
      </c>
      <c r="D30" s="131" t="s">
        <v>396</v>
      </c>
      <c r="E30" s="131" t="s">
        <v>397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25">
      <c r="A31" s="457" t="s">
        <v>93</v>
      </c>
      <c r="B31" s="131" t="s">
        <v>386</v>
      </c>
      <c r="C31" s="131" t="s">
        <v>390</v>
      </c>
      <c r="D31" s="131" t="s">
        <v>409</v>
      </c>
      <c r="E31" s="131" t="s">
        <v>389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25">
      <c r="A32" s="457" t="s">
        <v>93</v>
      </c>
      <c r="B32" s="131" t="s">
        <v>386</v>
      </c>
      <c r="C32" s="131" t="s">
        <v>390</v>
      </c>
      <c r="D32" s="131" t="s">
        <v>392</v>
      </c>
      <c r="E32" s="131" t="s">
        <v>389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25">
      <c r="A33" s="458" t="s">
        <v>133</v>
      </c>
      <c r="B33" s="131" t="s">
        <v>386</v>
      </c>
      <c r="C33" s="131" t="s">
        <v>395</v>
      </c>
      <c r="D33" s="131" t="s">
        <v>413</v>
      </c>
      <c r="E33" s="131" t="s">
        <v>397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25">
      <c r="A34" s="457" t="s">
        <v>120</v>
      </c>
      <c r="B34" s="131" t="s">
        <v>386</v>
      </c>
      <c r="C34" s="131" t="s">
        <v>395</v>
      </c>
      <c r="D34" s="131" t="s">
        <v>410</v>
      </c>
      <c r="E34" s="131" t="s">
        <v>360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25">
      <c r="A35" s="457" t="s">
        <v>120</v>
      </c>
      <c r="B35" s="131" t="s">
        <v>386</v>
      </c>
      <c r="C35" s="131" t="s">
        <v>387</v>
      </c>
      <c r="D35" s="131" t="s">
        <v>388</v>
      </c>
      <c r="E35" s="131" t="s">
        <v>389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25">
      <c r="A36" s="457" t="s">
        <v>385</v>
      </c>
      <c r="B36" s="131" t="s">
        <v>386</v>
      </c>
      <c r="C36" s="131" t="s">
        <v>390</v>
      </c>
      <c r="D36" s="131" t="s">
        <v>409</v>
      </c>
      <c r="E36" s="131" t="s">
        <v>389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25">
      <c r="A37" s="457" t="s">
        <v>385</v>
      </c>
      <c r="B37" s="131" t="s">
        <v>386</v>
      </c>
      <c r="C37" s="131" t="s">
        <v>390</v>
      </c>
      <c r="D37" s="131" t="s">
        <v>393</v>
      </c>
      <c r="E37" s="131" t="s">
        <v>394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25">
      <c r="A38" s="457" t="s">
        <v>347</v>
      </c>
      <c r="B38" s="131" t="s">
        <v>386</v>
      </c>
      <c r="C38" s="131" t="s">
        <v>395</v>
      </c>
      <c r="D38" s="131" t="s">
        <v>413</v>
      </c>
      <c r="E38" s="131" t="s">
        <v>397</v>
      </c>
      <c r="F38" s="216">
        <v>1</v>
      </c>
      <c r="G38" s="216">
        <v>1</v>
      </c>
      <c r="H38" s="131" t="s">
        <v>343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25">
      <c r="A39" s="457" t="s">
        <v>103</v>
      </c>
      <c r="B39" s="131" t="s">
        <v>386</v>
      </c>
      <c r="C39" s="131" t="s">
        <v>387</v>
      </c>
      <c r="D39" s="131" t="s">
        <v>411</v>
      </c>
      <c r="E39" s="131" t="s">
        <v>360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25">
      <c r="A40" s="457" t="s">
        <v>103</v>
      </c>
      <c r="B40" s="131" t="s">
        <v>386</v>
      </c>
      <c r="C40" s="131" t="s">
        <v>390</v>
      </c>
      <c r="D40" s="131" t="s">
        <v>414</v>
      </c>
      <c r="E40" s="131" t="s">
        <v>389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415</v>
      </c>
      <c r="AB40" s="218" t="s">
        <v>416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25">
      <c r="A41" s="457" t="s">
        <v>103</v>
      </c>
      <c r="B41" s="131" t="s">
        <v>386</v>
      </c>
      <c r="C41" s="131" t="s">
        <v>395</v>
      </c>
      <c r="D41" s="131" t="s">
        <v>410</v>
      </c>
      <c r="E41" s="131" t="s">
        <v>360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25">
      <c r="A42" s="457" t="s">
        <v>103</v>
      </c>
      <c r="B42" s="131" t="s">
        <v>386</v>
      </c>
      <c r="C42" s="131" t="s">
        <v>390</v>
      </c>
      <c r="D42" s="131" t="s">
        <v>393</v>
      </c>
      <c r="E42" s="131" t="s">
        <v>394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25">
      <c r="A43" s="457" t="s">
        <v>417</v>
      </c>
      <c r="B43" s="131" t="s">
        <v>386</v>
      </c>
      <c r="C43" s="131" t="s">
        <v>395</v>
      </c>
      <c r="D43" s="131" t="s">
        <v>413</v>
      </c>
      <c r="E43" s="131" t="s">
        <v>397</v>
      </c>
      <c r="F43" s="216"/>
      <c r="G43" s="216">
        <v>1</v>
      </c>
      <c r="H43" s="131" t="s">
        <v>343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25">
      <c r="A44" s="457" t="s">
        <v>418</v>
      </c>
      <c r="B44" s="224" t="s">
        <v>386</v>
      </c>
      <c r="C44" s="224" t="s">
        <v>387</v>
      </c>
      <c r="D44" s="131" t="s">
        <v>412</v>
      </c>
      <c r="E44" s="131" t="s">
        <v>419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25">
      <c r="A45" s="457" t="s">
        <v>418</v>
      </c>
      <c r="B45" s="224" t="s">
        <v>386</v>
      </c>
      <c r="C45" s="224" t="s">
        <v>387</v>
      </c>
      <c r="D45" s="131" t="s">
        <v>412</v>
      </c>
      <c r="E45" s="131" t="s">
        <v>355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25">
      <c r="A46" s="457" t="s">
        <v>418</v>
      </c>
      <c r="B46" s="224" t="s">
        <v>386</v>
      </c>
      <c r="C46" s="224" t="s">
        <v>387</v>
      </c>
      <c r="D46" s="131" t="s">
        <v>412</v>
      </c>
      <c r="E46" s="131" t="s">
        <v>389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25">
      <c r="A47" s="457" t="s">
        <v>418</v>
      </c>
      <c r="B47" s="224" t="s">
        <v>386</v>
      </c>
      <c r="C47" s="224" t="s">
        <v>387</v>
      </c>
      <c r="D47" s="131" t="s">
        <v>412</v>
      </c>
      <c r="E47" s="131" t="s">
        <v>389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25">
      <c r="A48" s="457" t="s">
        <v>174</v>
      </c>
      <c r="B48" s="224" t="s">
        <v>386</v>
      </c>
      <c r="C48" s="224" t="s">
        <v>387</v>
      </c>
      <c r="D48" s="131" t="s">
        <v>412</v>
      </c>
      <c r="E48" s="131" t="s">
        <v>419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25">
      <c r="A49" s="457" t="s">
        <v>174</v>
      </c>
      <c r="B49" s="224" t="s">
        <v>386</v>
      </c>
      <c r="C49" s="224" t="s">
        <v>387</v>
      </c>
      <c r="D49" s="131" t="s">
        <v>412</v>
      </c>
      <c r="E49" s="131" t="s">
        <v>389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25">
      <c r="A50" s="457" t="s">
        <v>420</v>
      </c>
      <c r="B50" s="224" t="s">
        <v>386</v>
      </c>
      <c r="C50" s="224" t="s">
        <v>387</v>
      </c>
      <c r="D50" s="131" t="s">
        <v>412</v>
      </c>
      <c r="E50" s="131" t="s">
        <v>355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25">
      <c r="A51" s="457" t="s">
        <v>420</v>
      </c>
      <c r="B51" s="224" t="s">
        <v>386</v>
      </c>
      <c r="C51" s="224" t="s">
        <v>387</v>
      </c>
      <c r="D51" s="131" t="s">
        <v>412</v>
      </c>
      <c r="E51" s="131" t="s">
        <v>389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25">
      <c r="A52" s="457" t="s">
        <v>383</v>
      </c>
      <c r="B52" s="224" t="s">
        <v>386</v>
      </c>
      <c r="C52" s="224" t="s">
        <v>387</v>
      </c>
      <c r="D52" s="131" t="s">
        <v>412</v>
      </c>
      <c r="E52" s="131" t="s">
        <v>355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25">
      <c r="A53" s="457" t="s">
        <v>383</v>
      </c>
      <c r="B53" s="224" t="s">
        <v>386</v>
      </c>
      <c r="C53" s="224" t="s">
        <v>387</v>
      </c>
      <c r="D53" s="131" t="s">
        <v>412</v>
      </c>
      <c r="E53" s="131" t="s">
        <v>389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25">
      <c r="A54" s="457" t="s">
        <v>81</v>
      </c>
      <c r="B54" s="224" t="s">
        <v>386</v>
      </c>
      <c r="C54" s="224" t="s">
        <v>387</v>
      </c>
      <c r="D54" s="131" t="s">
        <v>412</v>
      </c>
      <c r="E54" s="131" t="s">
        <v>421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25">
      <c r="A55" s="457" t="s">
        <v>50</v>
      </c>
      <c r="B55" s="224" t="s">
        <v>386</v>
      </c>
      <c r="C55" s="224" t="s">
        <v>387</v>
      </c>
      <c r="D55" s="131" t="s">
        <v>412</v>
      </c>
      <c r="E55" s="131" t="s">
        <v>422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25">
      <c r="A56" s="457" t="s">
        <v>50</v>
      </c>
      <c r="B56" s="224" t="s">
        <v>386</v>
      </c>
      <c r="C56" s="224" t="s">
        <v>387</v>
      </c>
      <c r="D56" s="131" t="s">
        <v>412</v>
      </c>
      <c r="E56" s="131" t="s">
        <v>423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25">
      <c r="A57" s="457" t="s">
        <v>166</v>
      </c>
      <c r="B57" s="224" t="s">
        <v>386</v>
      </c>
      <c r="C57" s="224" t="s">
        <v>387</v>
      </c>
      <c r="D57" s="131" t="s">
        <v>412</v>
      </c>
      <c r="E57" s="131" t="s">
        <v>389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25">
      <c r="A58" s="457" t="s">
        <v>353</v>
      </c>
      <c r="B58" s="224" t="s">
        <v>386</v>
      </c>
      <c r="C58" s="224" t="s">
        <v>387</v>
      </c>
      <c r="D58" s="131" t="s">
        <v>412</v>
      </c>
      <c r="E58" s="131" t="s">
        <v>394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25">
      <c r="A59" s="457" t="s">
        <v>341</v>
      </c>
      <c r="B59" s="224" t="s">
        <v>386</v>
      </c>
      <c r="C59" s="224" t="s">
        <v>387</v>
      </c>
      <c r="D59" s="131" t="s">
        <v>412</v>
      </c>
      <c r="E59" s="131" t="s">
        <v>389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25">
      <c r="A60" s="457" t="s">
        <v>141</v>
      </c>
      <c r="B60" s="224" t="s">
        <v>386</v>
      </c>
      <c r="C60" s="224" t="s">
        <v>387</v>
      </c>
      <c r="D60" s="131" t="s">
        <v>412</v>
      </c>
      <c r="E60" s="131" t="s">
        <v>389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25">
      <c r="A61" s="457" t="s">
        <v>87</v>
      </c>
      <c r="B61" s="224" t="s">
        <v>386</v>
      </c>
      <c r="C61" s="224" t="s">
        <v>387</v>
      </c>
      <c r="D61" s="131" t="s">
        <v>412</v>
      </c>
      <c r="E61" s="131" t="s">
        <v>424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25">
      <c r="A62" s="457" t="s">
        <v>155</v>
      </c>
      <c r="B62" s="224" t="s">
        <v>386</v>
      </c>
      <c r="C62" s="224" t="s">
        <v>387</v>
      </c>
      <c r="D62" s="131" t="s">
        <v>412</v>
      </c>
      <c r="E62" s="131" t="s">
        <v>389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25">
      <c r="A63" s="457" t="s">
        <v>48</v>
      </c>
      <c r="B63" s="224" t="s">
        <v>386</v>
      </c>
      <c r="C63" s="224" t="s">
        <v>387</v>
      </c>
      <c r="D63" s="131" t="s">
        <v>412</v>
      </c>
      <c r="E63" s="131" t="s">
        <v>422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25">
      <c r="A64" s="457" t="s">
        <v>48</v>
      </c>
      <c r="B64" s="224" t="s">
        <v>386</v>
      </c>
      <c r="C64" s="224" t="s">
        <v>387</v>
      </c>
      <c r="D64" s="131" t="s">
        <v>412</v>
      </c>
      <c r="E64" s="131" t="s">
        <v>423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25">
      <c r="A65" s="457" t="s">
        <v>148</v>
      </c>
      <c r="B65" s="224" t="s">
        <v>386</v>
      </c>
      <c r="C65" s="224" t="s">
        <v>387</v>
      </c>
      <c r="D65" s="131" t="s">
        <v>412</v>
      </c>
      <c r="E65" s="131" t="s">
        <v>389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25">
      <c r="A66" s="457" t="s">
        <v>425</v>
      </c>
      <c r="B66" s="224" t="s">
        <v>386</v>
      </c>
      <c r="C66" s="224" t="s">
        <v>387</v>
      </c>
      <c r="D66" s="131" t="s">
        <v>412</v>
      </c>
      <c r="E66" s="131" t="s">
        <v>424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25">
      <c r="A67" s="457" t="s">
        <v>56</v>
      </c>
      <c r="B67" s="224" t="s">
        <v>386</v>
      </c>
      <c r="C67" s="224" t="s">
        <v>387</v>
      </c>
      <c r="D67" s="131" t="s">
        <v>412</v>
      </c>
      <c r="E67" s="131" t="s">
        <v>426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25">
      <c r="A68" s="457" t="s">
        <v>90</v>
      </c>
      <c r="B68" s="224" t="s">
        <v>386</v>
      </c>
      <c r="C68" s="224" t="s">
        <v>387</v>
      </c>
      <c r="D68" s="131" t="s">
        <v>412</v>
      </c>
      <c r="E68" s="131" t="s">
        <v>424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25">
      <c r="A69" s="457" t="s">
        <v>20</v>
      </c>
      <c r="B69" s="224" t="s">
        <v>386</v>
      </c>
      <c r="C69" s="224" t="s">
        <v>387</v>
      </c>
      <c r="D69" s="131" t="s">
        <v>412</v>
      </c>
      <c r="E69" s="131" t="s">
        <v>389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25">
      <c r="A70" s="457" t="s">
        <v>427</v>
      </c>
      <c r="B70" s="224" t="s">
        <v>386</v>
      </c>
      <c r="C70" s="224" t="s">
        <v>387</v>
      </c>
      <c r="D70" s="131" t="s">
        <v>412</v>
      </c>
      <c r="E70" s="131" t="s">
        <v>421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25">
      <c r="A71" s="457" t="s">
        <v>37</v>
      </c>
      <c r="B71" s="224" t="s">
        <v>386</v>
      </c>
      <c r="C71" s="224" t="s">
        <v>387</v>
      </c>
      <c r="D71" s="131" t="s">
        <v>412</v>
      </c>
      <c r="E71" s="131" t="s">
        <v>351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25">
      <c r="A72" s="457" t="s">
        <v>344</v>
      </c>
      <c r="B72" s="224" t="s">
        <v>386</v>
      </c>
      <c r="C72" s="224" t="s">
        <v>387</v>
      </c>
      <c r="D72" s="131" t="s">
        <v>412</v>
      </c>
      <c r="E72" s="131" t="s">
        <v>428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25">
      <c r="A73" s="457" t="s">
        <v>25</v>
      </c>
      <c r="B73" s="224" t="s">
        <v>386</v>
      </c>
      <c r="C73" s="224" t="s">
        <v>387</v>
      </c>
      <c r="D73" s="131" t="s">
        <v>412</v>
      </c>
      <c r="E73" s="131" t="s">
        <v>389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25">
      <c r="A74" s="457" t="s">
        <v>42</v>
      </c>
      <c r="B74" s="224" t="s">
        <v>386</v>
      </c>
      <c r="C74" s="224" t="s">
        <v>387</v>
      </c>
      <c r="D74" s="131" t="s">
        <v>412</v>
      </c>
      <c r="E74" s="131" t="s">
        <v>429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25">
      <c r="A75" s="457" t="s">
        <v>54</v>
      </c>
      <c r="B75" s="224" t="s">
        <v>386</v>
      </c>
      <c r="C75" s="224" t="s">
        <v>387</v>
      </c>
      <c r="D75" s="131" t="s">
        <v>412</v>
      </c>
      <c r="E75" s="131" t="s">
        <v>426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25">
      <c r="A76" s="457" t="s">
        <v>173</v>
      </c>
      <c r="B76" s="224" t="s">
        <v>386</v>
      </c>
      <c r="C76" s="224" t="s">
        <v>387</v>
      </c>
      <c r="D76" s="131" t="s">
        <v>412</v>
      </c>
      <c r="E76" s="131" t="s">
        <v>419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25">
      <c r="A77" s="457" t="s">
        <v>173</v>
      </c>
      <c r="B77" s="224" t="s">
        <v>386</v>
      </c>
      <c r="C77" s="224" t="s">
        <v>387</v>
      </c>
      <c r="D77" s="131" t="s">
        <v>412</v>
      </c>
      <c r="E77" s="131" t="s">
        <v>389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25">
      <c r="A78" s="457" t="s">
        <v>180</v>
      </c>
      <c r="B78" s="224" t="s">
        <v>386</v>
      </c>
      <c r="C78" s="224" t="s">
        <v>387</v>
      </c>
      <c r="D78" s="131" t="s">
        <v>412</v>
      </c>
      <c r="E78" s="131" t="s">
        <v>419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25">
      <c r="A79" s="457" t="s">
        <v>111</v>
      </c>
      <c r="B79" s="224" t="s">
        <v>386</v>
      </c>
      <c r="C79" s="224" t="s">
        <v>387</v>
      </c>
      <c r="D79" s="131" t="s">
        <v>412</v>
      </c>
      <c r="E79" s="131" t="s">
        <v>360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25">
      <c r="A80" s="457" t="s">
        <v>345</v>
      </c>
      <c r="B80" s="224" t="s">
        <v>386</v>
      </c>
      <c r="C80" s="224" t="s">
        <v>387</v>
      </c>
      <c r="D80" s="131" t="s">
        <v>412</v>
      </c>
      <c r="E80" s="131" t="s">
        <v>351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25">
      <c r="A81" s="457" t="s">
        <v>150</v>
      </c>
      <c r="B81" s="224" t="s">
        <v>386</v>
      </c>
      <c r="C81" s="224" t="s">
        <v>387</v>
      </c>
      <c r="D81" s="131" t="s">
        <v>412</v>
      </c>
      <c r="E81" s="131" t="s">
        <v>389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25">
      <c r="A82" s="457" t="s">
        <v>333</v>
      </c>
      <c r="B82" s="224" t="s">
        <v>386</v>
      </c>
      <c r="C82" s="224" t="s">
        <v>387</v>
      </c>
      <c r="D82" s="131" t="s">
        <v>412</v>
      </c>
      <c r="E82" s="131" t="s">
        <v>389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25">
      <c r="A83" s="457" t="s">
        <v>35</v>
      </c>
      <c r="B83" s="224" t="s">
        <v>386</v>
      </c>
      <c r="C83" s="224" t="s">
        <v>387</v>
      </c>
      <c r="D83" s="131" t="s">
        <v>412</v>
      </c>
      <c r="E83" s="131" t="s">
        <v>351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25">
      <c r="A84" s="457" t="s">
        <v>36</v>
      </c>
      <c r="B84" s="224" t="s">
        <v>386</v>
      </c>
      <c r="C84" s="224" t="s">
        <v>387</v>
      </c>
      <c r="D84" s="131" t="s">
        <v>412</v>
      </c>
      <c r="E84" s="131" t="s">
        <v>351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25">
      <c r="A85" s="457" t="s">
        <v>127</v>
      </c>
      <c r="B85" s="224" t="s">
        <v>386</v>
      </c>
      <c r="C85" s="224" t="s">
        <v>387</v>
      </c>
      <c r="D85" s="131" t="s">
        <v>412</v>
      </c>
      <c r="E85" s="131" t="s">
        <v>355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25">
      <c r="A86" s="457" t="s">
        <v>127</v>
      </c>
      <c r="B86" s="224" t="s">
        <v>386</v>
      </c>
      <c r="C86" s="224" t="s">
        <v>387</v>
      </c>
      <c r="D86" s="131" t="s">
        <v>412</v>
      </c>
      <c r="E86" s="131" t="s">
        <v>389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25">
      <c r="A87" s="457" t="s">
        <v>123</v>
      </c>
      <c r="B87" s="224" t="s">
        <v>386</v>
      </c>
      <c r="C87" s="224" t="s">
        <v>387</v>
      </c>
      <c r="D87" s="131" t="s">
        <v>412</v>
      </c>
      <c r="E87" s="131" t="s">
        <v>430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25">
      <c r="A88" s="457" t="s">
        <v>108</v>
      </c>
      <c r="B88" s="224" t="s">
        <v>386</v>
      </c>
      <c r="C88" s="224" t="s">
        <v>387</v>
      </c>
      <c r="D88" s="131" t="s">
        <v>412</v>
      </c>
      <c r="E88" s="131" t="s">
        <v>389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25">
      <c r="A89" s="457" t="s">
        <v>145</v>
      </c>
      <c r="B89" s="224" t="s">
        <v>386</v>
      </c>
      <c r="C89" s="224" t="s">
        <v>387</v>
      </c>
      <c r="D89" s="131" t="s">
        <v>412</v>
      </c>
      <c r="E89" s="131" t="s">
        <v>389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25">
      <c r="A90" s="457" t="s">
        <v>152</v>
      </c>
      <c r="B90" s="224" t="s">
        <v>386</v>
      </c>
      <c r="C90" s="224" t="s">
        <v>387</v>
      </c>
      <c r="D90" s="131" t="s">
        <v>412</v>
      </c>
      <c r="E90" s="131" t="s">
        <v>389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25">
      <c r="A91" s="457" t="s">
        <v>102</v>
      </c>
      <c r="B91" s="224" t="s">
        <v>386</v>
      </c>
      <c r="C91" s="224" t="s">
        <v>387</v>
      </c>
      <c r="D91" s="131" t="s">
        <v>412</v>
      </c>
      <c r="E91" s="131" t="s">
        <v>360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25">
      <c r="A92" s="457" t="s">
        <v>431</v>
      </c>
      <c r="B92" s="224" t="s">
        <v>386</v>
      </c>
      <c r="C92" s="224" t="s">
        <v>387</v>
      </c>
      <c r="D92" s="131" t="s">
        <v>412</v>
      </c>
      <c r="E92" s="131" t="s">
        <v>421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25">
      <c r="A93" s="457" t="s">
        <v>38</v>
      </c>
      <c r="B93" s="224" t="s">
        <v>386</v>
      </c>
      <c r="C93" s="224" t="s">
        <v>387</v>
      </c>
      <c r="D93" s="131" t="s">
        <v>412</v>
      </c>
      <c r="E93" s="131" t="s">
        <v>351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25">
      <c r="A94" s="457" t="s">
        <v>156</v>
      </c>
      <c r="B94" s="224" t="s">
        <v>386</v>
      </c>
      <c r="C94" s="224" t="s">
        <v>387</v>
      </c>
      <c r="D94" s="131" t="s">
        <v>412</v>
      </c>
      <c r="E94" s="131" t="s">
        <v>354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25">
      <c r="A95" s="457" t="s">
        <v>18</v>
      </c>
      <c r="B95" s="224" t="s">
        <v>386</v>
      </c>
      <c r="C95" s="224" t="s">
        <v>387</v>
      </c>
      <c r="D95" s="131" t="s">
        <v>412</v>
      </c>
      <c r="E95" s="131" t="s">
        <v>389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25">
      <c r="A96" s="457" t="s">
        <v>105</v>
      </c>
      <c r="B96" s="224" t="s">
        <v>386</v>
      </c>
      <c r="C96" s="224" t="s">
        <v>387</v>
      </c>
      <c r="D96" s="131" t="s">
        <v>412</v>
      </c>
      <c r="E96" s="131" t="s">
        <v>389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25">
      <c r="A97" s="457" t="s">
        <v>346</v>
      </c>
      <c r="B97" s="224" t="s">
        <v>386</v>
      </c>
      <c r="C97" s="224" t="s">
        <v>387</v>
      </c>
      <c r="D97" s="131" t="s">
        <v>412</v>
      </c>
      <c r="E97" s="131" t="s">
        <v>351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25">
      <c r="A98" s="457" t="s">
        <v>154</v>
      </c>
      <c r="B98" s="224" t="s">
        <v>386</v>
      </c>
      <c r="C98" s="224" t="s">
        <v>387</v>
      </c>
      <c r="D98" s="131" t="s">
        <v>412</v>
      </c>
      <c r="E98" s="131" t="s">
        <v>389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25">
      <c r="A99" s="457" t="s">
        <v>65</v>
      </c>
      <c r="B99" s="224" t="s">
        <v>386</v>
      </c>
      <c r="C99" s="224" t="s">
        <v>387</v>
      </c>
      <c r="D99" s="131" t="s">
        <v>412</v>
      </c>
      <c r="E99" s="131" t="s">
        <v>421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25">
      <c r="A100" s="457" t="s">
        <v>432</v>
      </c>
      <c r="B100" s="224" t="s">
        <v>386</v>
      </c>
      <c r="C100" s="224" t="s">
        <v>387</v>
      </c>
      <c r="D100" s="131" t="s">
        <v>412</v>
      </c>
      <c r="E100" s="131" t="s">
        <v>419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25">
      <c r="A101" s="457" t="s">
        <v>160</v>
      </c>
      <c r="B101" s="224" t="s">
        <v>386</v>
      </c>
      <c r="C101" s="224" t="s">
        <v>387</v>
      </c>
      <c r="D101" s="131" t="s">
        <v>412</v>
      </c>
      <c r="E101" s="131" t="s">
        <v>389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25">
      <c r="A102" s="457" t="s">
        <v>151</v>
      </c>
      <c r="B102" s="224" t="s">
        <v>386</v>
      </c>
      <c r="C102" s="224" t="s">
        <v>387</v>
      </c>
      <c r="D102" s="131" t="s">
        <v>412</v>
      </c>
      <c r="E102" s="131" t="s">
        <v>389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25">
      <c r="A103" s="457" t="s">
        <v>93</v>
      </c>
      <c r="B103" s="224" t="s">
        <v>386</v>
      </c>
      <c r="C103" s="224" t="s">
        <v>387</v>
      </c>
      <c r="D103" s="131" t="s">
        <v>412</v>
      </c>
      <c r="E103" s="131" t="s">
        <v>389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25">
      <c r="A104" s="457" t="s">
        <v>55</v>
      </c>
      <c r="B104" s="224" t="s">
        <v>386</v>
      </c>
      <c r="C104" s="224" t="s">
        <v>387</v>
      </c>
      <c r="D104" s="131" t="s">
        <v>412</v>
      </c>
      <c r="E104" s="131" t="s">
        <v>426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25">
      <c r="A105" s="457" t="s">
        <v>133</v>
      </c>
      <c r="B105" s="224" t="s">
        <v>386</v>
      </c>
      <c r="C105" s="224" t="s">
        <v>387</v>
      </c>
      <c r="D105" s="131" t="s">
        <v>412</v>
      </c>
      <c r="E105" s="131" t="s">
        <v>428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25">
      <c r="A106" s="457" t="s">
        <v>17</v>
      </c>
      <c r="B106" s="224" t="s">
        <v>386</v>
      </c>
      <c r="C106" s="224" t="s">
        <v>387</v>
      </c>
      <c r="D106" s="131" t="s">
        <v>412</v>
      </c>
      <c r="E106" s="131" t="s">
        <v>389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25">
      <c r="A107" s="457" t="s">
        <v>120</v>
      </c>
      <c r="B107" s="224" t="s">
        <v>386</v>
      </c>
      <c r="C107" s="224" t="s">
        <v>387</v>
      </c>
      <c r="D107" s="131" t="s">
        <v>412</v>
      </c>
      <c r="E107" s="131" t="s">
        <v>360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25">
      <c r="A108" s="457" t="s">
        <v>385</v>
      </c>
      <c r="B108" s="224" t="s">
        <v>386</v>
      </c>
      <c r="C108" s="224" t="s">
        <v>387</v>
      </c>
      <c r="D108" s="131" t="s">
        <v>412</v>
      </c>
      <c r="E108" s="131" t="s">
        <v>389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25">
      <c r="A109" s="457" t="s">
        <v>103</v>
      </c>
      <c r="B109" s="224" t="s">
        <v>386</v>
      </c>
      <c r="C109" s="224" t="s">
        <v>387</v>
      </c>
      <c r="D109" s="131" t="s">
        <v>412</v>
      </c>
      <c r="E109" s="131" t="s">
        <v>360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25">
      <c r="A110" s="457" t="s">
        <v>336</v>
      </c>
      <c r="B110" s="224" t="s">
        <v>386</v>
      </c>
      <c r="C110" s="224" t="s">
        <v>387</v>
      </c>
      <c r="D110" s="131" t="s">
        <v>412</v>
      </c>
      <c r="E110" s="131" t="s">
        <v>389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25">
      <c r="A111" s="457" t="s">
        <v>417</v>
      </c>
      <c r="B111" s="224" t="s">
        <v>386</v>
      </c>
      <c r="C111" s="224" t="s">
        <v>387</v>
      </c>
      <c r="D111" s="131" t="s">
        <v>412</v>
      </c>
      <c r="E111" s="131" t="s">
        <v>360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25">
      <c r="A112" s="457" t="s">
        <v>51</v>
      </c>
      <c r="B112" s="224" t="s">
        <v>386</v>
      </c>
      <c r="C112" s="224" t="s">
        <v>387</v>
      </c>
      <c r="D112" s="131" t="s">
        <v>412</v>
      </c>
      <c r="E112" s="131" t="s">
        <v>426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25">
      <c r="A113" s="457" t="s">
        <v>433</v>
      </c>
      <c r="B113" s="224" t="s">
        <v>386</v>
      </c>
      <c r="C113" s="224" t="s">
        <v>387</v>
      </c>
      <c r="D113" s="131" t="s">
        <v>398</v>
      </c>
      <c r="E113" s="131" t="s">
        <v>389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25">
      <c r="A114" s="457"/>
      <c r="B114" s="224" t="s">
        <v>386</v>
      </c>
      <c r="C114" s="224" t="s">
        <v>387</v>
      </c>
      <c r="D114" s="131" t="s">
        <v>398</v>
      </c>
      <c r="E114" s="131" t="s">
        <v>389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25">
      <c r="A115" s="457" t="s">
        <v>174</v>
      </c>
      <c r="B115" s="224" t="s">
        <v>386</v>
      </c>
      <c r="C115" s="224" t="s">
        <v>387</v>
      </c>
      <c r="D115" s="131" t="s">
        <v>398</v>
      </c>
      <c r="E115" s="131" t="s">
        <v>389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25">
      <c r="A116" s="457" t="s">
        <v>166</v>
      </c>
      <c r="B116" s="224" t="s">
        <v>386</v>
      </c>
      <c r="C116" s="224" t="s">
        <v>387</v>
      </c>
      <c r="D116" s="131" t="s">
        <v>398</v>
      </c>
      <c r="E116" s="131" t="s">
        <v>389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25">
      <c r="A117" s="457" t="s">
        <v>353</v>
      </c>
      <c r="B117" s="224" t="s">
        <v>386</v>
      </c>
      <c r="C117" s="224" t="s">
        <v>387</v>
      </c>
      <c r="D117" s="131" t="s">
        <v>398</v>
      </c>
      <c r="E117" s="131" t="s">
        <v>389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25">
      <c r="A118" s="457" t="s">
        <v>341</v>
      </c>
      <c r="B118" s="224" t="s">
        <v>386</v>
      </c>
      <c r="C118" s="224" t="s">
        <v>387</v>
      </c>
      <c r="D118" s="131" t="s">
        <v>398</v>
      </c>
      <c r="E118" s="131" t="s">
        <v>389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25">
      <c r="A119" s="457" t="s">
        <v>141</v>
      </c>
      <c r="B119" s="224" t="s">
        <v>386</v>
      </c>
      <c r="C119" s="224" t="s">
        <v>387</v>
      </c>
      <c r="D119" s="131" t="s">
        <v>398</v>
      </c>
      <c r="E119" s="131" t="s">
        <v>389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25">
      <c r="A120" s="457" t="s">
        <v>22</v>
      </c>
      <c r="B120" s="224" t="s">
        <v>386</v>
      </c>
      <c r="C120" s="224" t="s">
        <v>387</v>
      </c>
      <c r="D120" s="131" t="s">
        <v>398</v>
      </c>
      <c r="E120" s="131" t="s">
        <v>389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25">
      <c r="A121" s="457" t="s">
        <v>155</v>
      </c>
      <c r="B121" s="224" t="s">
        <v>386</v>
      </c>
      <c r="C121" s="224" t="s">
        <v>387</v>
      </c>
      <c r="D121" s="131" t="s">
        <v>398</v>
      </c>
      <c r="E121" s="131" t="s">
        <v>389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25">
      <c r="A122" s="457" t="s">
        <v>148</v>
      </c>
      <c r="B122" s="224" t="s">
        <v>386</v>
      </c>
      <c r="C122" s="224" t="s">
        <v>387</v>
      </c>
      <c r="D122" s="131" t="s">
        <v>398</v>
      </c>
      <c r="E122" s="131" t="s">
        <v>389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25">
      <c r="A123" s="457" t="s">
        <v>434</v>
      </c>
      <c r="B123" s="224" t="s">
        <v>386</v>
      </c>
      <c r="C123" s="224" t="s">
        <v>387</v>
      </c>
      <c r="D123" s="131" t="s">
        <v>398</v>
      </c>
      <c r="E123" s="131" t="s">
        <v>389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25">
      <c r="A124" s="457" t="s">
        <v>20</v>
      </c>
      <c r="B124" s="224" t="s">
        <v>386</v>
      </c>
      <c r="C124" s="224" t="s">
        <v>387</v>
      </c>
      <c r="D124" s="131" t="s">
        <v>398</v>
      </c>
      <c r="E124" s="131" t="s">
        <v>389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25">
      <c r="A125" s="457" t="s">
        <v>25</v>
      </c>
      <c r="B125" s="224" t="s">
        <v>386</v>
      </c>
      <c r="C125" s="224" t="s">
        <v>387</v>
      </c>
      <c r="D125" s="131" t="s">
        <v>398</v>
      </c>
      <c r="E125" s="131" t="s">
        <v>389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25">
      <c r="A126" s="457" t="s">
        <v>173</v>
      </c>
      <c r="B126" s="224" t="s">
        <v>386</v>
      </c>
      <c r="C126" s="224" t="s">
        <v>387</v>
      </c>
      <c r="D126" s="131" t="s">
        <v>398</v>
      </c>
      <c r="E126" s="131" t="s">
        <v>389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25">
      <c r="A127" s="457" t="s">
        <v>180</v>
      </c>
      <c r="B127" s="224" t="s">
        <v>386</v>
      </c>
      <c r="C127" s="224" t="s">
        <v>387</v>
      </c>
      <c r="D127" s="131" t="s">
        <v>398</v>
      </c>
      <c r="E127" s="131" t="s">
        <v>389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25">
      <c r="A128" s="457" t="s">
        <v>146</v>
      </c>
      <c r="B128" s="224" t="s">
        <v>386</v>
      </c>
      <c r="C128" s="224" t="s">
        <v>387</v>
      </c>
      <c r="D128" s="131" t="s">
        <v>398</v>
      </c>
      <c r="E128" s="131" t="s">
        <v>389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25">
      <c r="A129" s="457" t="s">
        <v>150</v>
      </c>
      <c r="B129" s="224" t="s">
        <v>386</v>
      </c>
      <c r="C129" s="224" t="s">
        <v>387</v>
      </c>
      <c r="D129" s="131" t="s">
        <v>398</v>
      </c>
      <c r="E129" s="131" t="s">
        <v>389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25">
      <c r="A130" s="457" t="s">
        <v>350</v>
      </c>
      <c r="B130" s="224" t="s">
        <v>386</v>
      </c>
      <c r="C130" s="224" t="s">
        <v>387</v>
      </c>
      <c r="D130" s="131" t="s">
        <v>398</v>
      </c>
      <c r="E130" s="131" t="s">
        <v>389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25">
      <c r="A131" s="457" t="s">
        <v>27</v>
      </c>
      <c r="B131" s="224" t="s">
        <v>386</v>
      </c>
      <c r="C131" s="224" t="s">
        <v>387</v>
      </c>
      <c r="D131" s="131" t="s">
        <v>398</v>
      </c>
      <c r="E131" s="131" t="s">
        <v>389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25">
      <c r="A132" s="457" t="s">
        <v>7</v>
      </c>
      <c r="B132" s="224" t="s">
        <v>386</v>
      </c>
      <c r="C132" s="224" t="s">
        <v>387</v>
      </c>
      <c r="D132" s="131" t="s">
        <v>398</v>
      </c>
      <c r="E132" s="131" t="s">
        <v>389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25">
      <c r="A133" s="457" t="s">
        <v>333</v>
      </c>
      <c r="B133" s="224" t="s">
        <v>386</v>
      </c>
      <c r="C133" s="224" t="s">
        <v>387</v>
      </c>
      <c r="D133" s="131" t="s">
        <v>398</v>
      </c>
      <c r="E133" s="131" t="s">
        <v>389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25">
      <c r="A134" s="457" t="s">
        <v>21</v>
      </c>
      <c r="B134" s="224" t="s">
        <v>386</v>
      </c>
      <c r="C134" s="224" t="s">
        <v>387</v>
      </c>
      <c r="D134" s="131" t="s">
        <v>398</v>
      </c>
      <c r="E134" s="131" t="s">
        <v>389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25">
      <c r="A135" s="457" t="s">
        <v>108</v>
      </c>
      <c r="B135" s="224" t="s">
        <v>386</v>
      </c>
      <c r="C135" s="224" t="s">
        <v>387</v>
      </c>
      <c r="D135" s="131" t="s">
        <v>398</v>
      </c>
      <c r="E135" s="131" t="s">
        <v>389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25">
      <c r="A136" s="457" t="s">
        <v>145</v>
      </c>
      <c r="B136" s="224" t="s">
        <v>386</v>
      </c>
      <c r="C136" s="224" t="s">
        <v>387</v>
      </c>
      <c r="D136" s="131" t="s">
        <v>398</v>
      </c>
      <c r="E136" s="131" t="s">
        <v>389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25">
      <c r="A137" s="457" t="s">
        <v>152</v>
      </c>
      <c r="B137" s="224" t="s">
        <v>386</v>
      </c>
      <c r="C137" s="224" t="s">
        <v>387</v>
      </c>
      <c r="D137" s="131" t="s">
        <v>398</v>
      </c>
      <c r="E137" s="131" t="s">
        <v>389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25">
      <c r="A138" s="457" t="s">
        <v>152</v>
      </c>
      <c r="B138" s="224" t="s">
        <v>386</v>
      </c>
      <c r="C138" s="224" t="s">
        <v>387</v>
      </c>
      <c r="D138" s="131" t="s">
        <v>398</v>
      </c>
      <c r="E138" s="131" t="s">
        <v>389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25">
      <c r="A139" s="457" t="s">
        <v>102</v>
      </c>
      <c r="B139" s="224" t="s">
        <v>386</v>
      </c>
      <c r="C139" s="224" t="s">
        <v>387</v>
      </c>
      <c r="D139" s="131" t="s">
        <v>398</v>
      </c>
      <c r="E139" s="131" t="s">
        <v>389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25">
      <c r="A140" s="457" t="s">
        <v>156</v>
      </c>
      <c r="B140" s="224" t="s">
        <v>386</v>
      </c>
      <c r="C140" s="224" t="s">
        <v>387</v>
      </c>
      <c r="D140" s="131" t="s">
        <v>398</v>
      </c>
      <c r="E140" s="131" t="s">
        <v>389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25">
      <c r="A141" s="457" t="s">
        <v>18</v>
      </c>
      <c r="B141" s="224" t="s">
        <v>386</v>
      </c>
      <c r="C141" s="224" t="s">
        <v>387</v>
      </c>
      <c r="D141" s="131" t="s">
        <v>398</v>
      </c>
      <c r="E141" s="131" t="s">
        <v>389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25">
      <c r="A142" s="457" t="s">
        <v>105</v>
      </c>
      <c r="B142" s="224" t="s">
        <v>386</v>
      </c>
      <c r="C142" s="224" t="s">
        <v>387</v>
      </c>
      <c r="D142" s="131" t="s">
        <v>398</v>
      </c>
      <c r="E142" s="131" t="s">
        <v>389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25">
      <c r="A143" s="457" t="s">
        <v>154</v>
      </c>
      <c r="B143" s="224" t="s">
        <v>386</v>
      </c>
      <c r="C143" s="224" t="s">
        <v>387</v>
      </c>
      <c r="D143" s="131" t="s">
        <v>398</v>
      </c>
      <c r="E143" s="131" t="s">
        <v>389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25">
      <c r="A144" s="457" t="s">
        <v>432</v>
      </c>
      <c r="B144" s="224" t="s">
        <v>386</v>
      </c>
      <c r="C144" s="224" t="s">
        <v>387</v>
      </c>
      <c r="D144" s="131" t="s">
        <v>398</v>
      </c>
      <c r="E144" s="131" t="s">
        <v>389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25">
      <c r="A145" s="457" t="s">
        <v>160</v>
      </c>
      <c r="B145" s="224" t="s">
        <v>386</v>
      </c>
      <c r="C145" s="224" t="s">
        <v>387</v>
      </c>
      <c r="D145" s="131" t="s">
        <v>398</v>
      </c>
      <c r="E145" s="131" t="s">
        <v>389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25">
      <c r="A146" s="457" t="s">
        <v>151</v>
      </c>
      <c r="B146" s="224" t="s">
        <v>386</v>
      </c>
      <c r="C146" s="224" t="s">
        <v>387</v>
      </c>
      <c r="D146" s="131" t="s">
        <v>398</v>
      </c>
      <c r="E146" s="131" t="s">
        <v>389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25">
      <c r="A147" s="457" t="s">
        <v>93</v>
      </c>
      <c r="B147" s="224" t="s">
        <v>386</v>
      </c>
      <c r="C147" s="224" t="s">
        <v>387</v>
      </c>
      <c r="D147" s="131" t="s">
        <v>398</v>
      </c>
      <c r="E147" s="131" t="s">
        <v>389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25">
      <c r="A148" s="457" t="s">
        <v>17</v>
      </c>
      <c r="B148" s="224" t="s">
        <v>386</v>
      </c>
      <c r="C148" s="224" t="s">
        <v>387</v>
      </c>
      <c r="D148" s="131" t="s">
        <v>398</v>
      </c>
      <c r="E148" s="131" t="s">
        <v>389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25">
      <c r="A149" s="457" t="s">
        <v>435</v>
      </c>
      <c r="B149" s="224" t="s">
        <v>386</v>
      </c>
      <c r="C149" s="224" t="s">
        <v>387</v>
      </c>
      <c r="D149" s="131" t="s">
        <v>398</v>
      </c>
      <c r="E149" s="131" t="s">
        <v>389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25">
      <c r="A150" s="457" t="s">
        <v>336</v>
      </c>
      <c r="B150" s="224" t="s">
        <v>386</v>
      </c>
      <c r="C150" s="224" t="s">
        <v>387</v>
      </c>
      <c r="D150" s="131" t="s">
        <v>398</v>
      </c>
      <c r="E150" s="131" t="s">
        <v>389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25">
      <c r="A151" s="457" t="s">
        <v>420</v>
      </c>
      <c r="B151" s="131" t="s">
        <v>386</v>
      </c>
      <c r="C151" s="131" t="s">
        <v>387</v>
      </c>
      <c r="D151" s="131" t="s">
        <v>436</v>
      </c>
      <c r="E151" s="131" t="s">
        <v>360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25">
      <c r="A152" s="457" t="s">
        <v>383</v>
      </c>
      <c r="B152" s="131" t="s">
        <v>386</v>
      </c>
      <c r="C152" s="131" t="s">
        <v>387</v>
      </c>
      <c r="D152" s="131" t="s">
        <v>436</v>
      </c>
      <c r="E152" s="131" t="s">
        <v>360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25">
      <c r="A153" s="457" t="s">
        <v>353</v>
      </c>
      <c r="B153" s="131" t="s">
        <v>386</v>
      </c>
      <c r="C153" s="131" t="s">
        <v>387</v>
      </c>
      <c r="D153" s="131" t="s">
        <v>436</v>
      </c>
      <c r="E153" s="131" t="s">
        <v>360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25">
      <c r="A154" s="457" t="s">
        <v>155</v>
      </c>
      <c r="B154" s="131" t="s">
        <v>386</v>
      </c>
      <c r="C154" s="131" t="s">
        <v>387</v>
      </c>
      <c r="D154" s="131" t="s">
        <v>436</v>
      </c>
      <c r="E154" s="131" t="s">
        <v>360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25">
      <c r="A155" s="457" t="s">
        <v>90</v>
      </c>
      <c r="B155" s="131" t="s">
        <v>386</v>
      </c>
      <c r="C155" s="131" t="s">
        <v>387</v>
      </c>
      <c r="D155" s="131" t="s">
        <v>436</v>
      </c>
      <c r="E155" s="131" t="s">
        <v>360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25">
      <c r="A156" s="457" t="s">
        <v>344</v>
      </c>
      <c r="B156" s="131" t="s">
        <v>386</v>
      </c>
      <c r="C156" s="131" t="s">
        <v>387</v>
      </c>
      <c r="D156" s="131" t="s">
        <v>436</v>
      </c>
      <c r="E156" s="131" t="s">
        <v>360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25">
      <c r="A157" s="457" t="s">
        <v>42</v>
      </c>
      <c r="B157" s="131" t="s">
        <v>386</v>
      </c>
      <c r="C157" s="131" t="s">
        <v>387</v>
      </c>
      <c r="D157" s="131" t="s">
        <v>436</v>
      </c>
      <c r="E157" s="131" t="s">
        <v>360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25">
      <c r="A158" s="457" t="s">
        <v>173</v>
      </c>
      <c r="B158" s="131" t="s">
        <v>386</v>
      </c>
      <c r="C158" s="131" t="s">
        <v>387</v>
      </c>
      <c r="D158" s="131" t="s">
        <v>436</v>
      </c>
      <c r="E158" s="131" t="s">
        <v>360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25">
      <c r="A159" s="457" t="s">
        <v>135</v>
      </c>
      <c r="B159" s="131" t="s">
        <v>386</v>
      </c>
      <c r="C159" s="131" t="s">
        <v>387</v>
      </c>
      <c r="D159" s="131" t="s">
        <v>436</v>
      </c>
      <c r="E159" s="131" t="s">
        <v>360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25">
      <c r="A160" s="457" t="s">
        <v>111</v>
      </c>
      <c r="B160" s="131" t="s">
        <v>386</v>
      </c>
      <c r="C160" s="131" t="s">
        <v>387</v>
      </c>
      <c r="D160" s="131" t="s">
        <v>436</v>
      </c>
      <c r="E160" s="131" t="s">
        <v>360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25">
      <c r="A161" s="457" t="s">
        <v>345</v>
      </c>
      <c r="B161" s="131" t="s">
        <v>386</v>
      </c>
      <c r="C161" s="131" t="s">
        <v>387</v>
      </c>
      <c r="D161" s="131" t="s">
        <v>436</v>
      </c>
      <c r="E161" s="131" t="s">
        <v>360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25">
      <c r="A162" s="457" t="s">
        <v>333</v>
      </c>
      <c r="B162" s="131" t="s">
        <v>386</v>
      </c>
      <c r="C162" s="131" t="s">
        <v>387</v>
      </c>
      <c r="D162" s="131" t="s">
        <v>436</v>
      </c>
      <c r="E162" s="131" t="s">
        <v>360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25">
      <c r="A163" s="457" t="s">
        <v>127</v>
      </c>
      <c r="B163" s="131" t="s">
        <v>386</v>
      </c>
      <c r="C163" s="131" t="s">
        <v>387</v>
      </c>
      <c r="D163" s="131" t="s">
        <v>436</v>
      </c>
      <c r="E163" s="131" t="s">
        <v>360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25">
      <c r="A164" s="457" t="s">
        <v>123</v>
      </c>
      <c r="B164" s="131" t="s">
        <v>386</v>
      </c>
      <c r="C164" s="131" t="s">
        <v>387</v>
      </c>
      <c r="D164" s="131" t="s">
        <v>436</v>
      </c>
      <c r="E164" s="131" t="s">
        <v>360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25">
      <c r="A165" s="457" t="s">
        <v>102</v>
      </c>
      <c r="B165" s="131" t="s">
        <v>386</v>
      </c>
      <c r="C165" s="131" t="s">
        <v>387</v>
      </c>
      <c r="D165" s="131" t="s">
        <v>436</v>
      </c>
      <c r="E165" s="131" t="s">
        <v>360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25">
      <c r="A166" s="457" t="s">
        <v>156</v>
      </c>
      <c r="B166" s="131" t="s">
        <v>386</v>
      </c>
      <c r="C166" s="131" t="s">
        <v>387</v>
      </c>
      <c r="D166" s="131" t="s">
        <v>436</v>
      </c>
      <c r="E166" s="131" t="s">
        <v>360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25">
      <c r="A167" s="457" t="s">
        <v>346</v>
      </c>
      <c r="B167" s="131" t="s">
        <v>386</v>
      </c>
      <c r="C167" s="131" t="s">
        <v>387</v>
      </c>
      <c r="D167" s="131" t="s">
        <v>436</v>
      </c>
      <c r="E167" s="131" t="s">
        <v>360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25">
      <c r="A168" s="457" t="s">
        <v>118</v>
      </c>
      <c r="B168" s="131" t="s">
        <v>386</v>
      </c>
      <c r="C168" s="131" t="s">
        <v>387</v>
      </c>
      <c r="D168" s="131" t="s">
        <v>436</v>
      </c>
      <c r="E168" s="131" t="s">
        <v>360</v>
      </c>
      <c r="F168" s="216">
        <v>1</v>
      </c>
      <c r="G168" s="216">
        <v>1</v>
      </c>
      <c r="H168" s="131" t="s">
        <v>343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25">
      <c r="A169" s="457" t="s">
        <v>160</v>
      </c>
      <c r="B169" s="131" t="s">
        <v>386</v>
      </c>
      <c r="C169" s="131" t="s">
        <v>387</v>
      </c>
      <c r="D169" s="131" t="s">
        <v>436</v>
      </c>
      <c r="E169" s="131" t="s">
        <v>360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25">
      <c r="A170" s="457" t="s">
        <v>93</v>
      </c>
      <c r="B170" s="131" t="s">
        <v>386</v>
      </c>
      <c r="C170" s="131" t="s">
        <v>387</v>
      </c>
      <c r="D170" s="131" t="s">
        <v>436</v>
      </c>
      <c r="E170" s="131" t="s">
        <v>360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25">
      <c r="A171" s="457" t="s">
        <v>55</v>
      </c>
      <c r="B171" s="131" t="s">
        <v>386</v>
      </c>
      <c r="C171" s="131" t="s">
        <v>387</v>
      </c>
      <c r="D171" s="131" t="s">
        <v>436</v>
      </c>
      <c r="E171" s="131" t="s">
        <v>360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25">
      <c r="A172" s="457" t="s">
        <v>133</v>
      </c>
      <c r="B172" s="131" t="s">
        <v>386</v>
      </c>
      <c r="C172" s="131" t="s">
        <v>387</v>
      </c>
      <c r="D172" s="131" t="s">
        <v>436</v>
      </c>
      <c r="E172" s="131" t="s">
        <v>360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25">
      <c r="A173" s="457" t="s">
        <v>120</v>
      </c>
      <c r="B173" s="131" t="s">
        <v>386</v>
      </c>
      <c r="C173" s="131" t="s">
        <v>387</v>
      </c>
      <c r="D173" s="131" t="s">
        <v>436</v>
      </c>
      <c r="E173" s="131" t="s">
        <v>360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25">
      <c r="A174" s="457" t="s">
        <v>385</v>
      </c>
      <c r="B174" s="131" t="s">
        <v>386</v>
      </c>
      <c r="C174" s="131" t="s">
        <v>387</v>
      </c>
      <c r="D174" s="131" t="s">
        <v>436</v>
      </c>
      <c r="E174" s="131" t="s">
        <v>360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25">
      <c r="A175" s="457" t="s">
        <v>347</v>
      </c>
      <c r="B175" s="131" t="s">
        <v>386</v>
      </c>
      <c r="C175" s="131" t="s">
        <v>387</v>
      </c>
      <c r="D175" s="131" t="s">
        <v>436</v>
      </c>
      <c r="E175" s="131" t="s">
        <v>360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25">
      <c r="A176" s="457" t="s">
        <v>103</v>
      </c>
      <c r="B176" s="131" t="s">
        <v>386</v>
      </c>
      <c r="C176" s="131" t="s">
        <v>387</v>
      </c>
      <c r="D176" s="131" t="s">
        <v>436</v>
      </c>
      <c r="E176" s="131" t="s">
        <v>360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25">
      <c r="A177" s="457" t="s">
        <v>417</v>
      </c>
      <c r="B177" s="131" t="s">
        <v>386</v>
      </c>
      <c r="C177" s="131" t="s">
        <v>387</v>
      </c>
      <c r="D177" s="131" t="s">
        <v>436</v>
      </c>
      <c r="E177" s="131" t="s">
        <v>360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25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25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25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25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25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25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25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25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25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25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25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25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25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25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25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0">
      <filters>
        <filter val="Ульяновска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816"/>
  <sheetViews>
    <sheetView zoomScale="83" zoomScaleNormal="100" workbookViewId="0">
      <selection activeCell="O462" activeCellId="1" sqref="I462:L462 O46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30" x14ac:dyDescent="0.25">
      <c r="A1" s="231" t="s">
        <v>190</v>
      </c>
      <c r="B1" s="231" t="s">
        <v>191</v>
      </c>
      <c r="C1" s="231" t="s">
        <v>192</v>
      </c>
      <c r="D1" s="231" t="s">
        <v>193</v>
      </c>
      <c r="E1" s="231" t="s">
        <v>194</v>
      </c>
      <c r="F1" s="231" t="s">
        <v>195</v>
      </c>
      <c r="G1" s="231" t="s">
        <v>196</v>
      </c>
      <c r="H1" s="231" t="s">
        <v>197</v>
      </c>
      <c r="I1" s="337" t="s">
        <v>290</v>
      </c>
      <c r="J1" s="337" t="s">
        <v>294</v>
      </c>
      <c r="K1" s="337" t="s">
        <v>295</v>
      </c>
      <c r="L1" s="337" t="s">
        <v>296</v>
      </c>
      <c r="M1" s="231" t="s">
        <v>297</v>
      </c>
      <c r="N1" s="231" t="s">
        <v>298</v>
      </c>
      <c r="O1" s="337" t="s">
        <v>299</v>
      </c>
      <c r="P1" s="231" t="s">
        <v>300</v>
      </c>
      <c r="Q1" s="231" t="s">
        <v>301</v>
      </c>
    </row>
    <row r="2" spans="1:17" hidden="1" x14ac:dyDescent="0.25">
      <c r="A2" s="15" t="s">
        <v>22</v>
      </c>
      <c r="B2" s="15" t="s">
        <v>561</v>
      </c>
      <c r="C2" s="15" t="s">
        <v>318</v>
      </c>
      <c r="D2" s="15" t="s">
        <v>319</v>
      </c>
      <c r="E2" s="15" t="s">
        <v>320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hidden="1" x14ac:dyDescent="0.25">
      <c r="A3" s="15" t="s">
        <v>22</v>
      </c>
      <c r="B3" s="15" t="s">
        <v>561</v>
      </c>
      <c r="C3" s="15" t="s">
        <v>318</v>
      </c>
      <c r="D3" s="15" t="s">
        <v>319</v>
      </c>
      <c r="E3" s="15" t="s">
        <v>322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25">
      <c r="A4" s="15" t="s">
        <v>22</v>
      </c>
      <c r="B4" s="15" t="s">
        <v>561</v>
      </c>
      <c r="C4" s="15" t="s">
        <v>323</v>
      </c>
      <c r="D4" s="15" t="s">
        <v>324</v>
      </c>
      <c r="E4" s="15" t="s">
        <v>325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25">
      <c r="A5" s="15" t="s">
        <v>22</v>
      </c>
      <c r="B5" s="15" t="s">
        <v>561</v>
      </c>
      <c r="C5" s="15" t="s">
        <v>318</v>
      </c>
      <c r="D5" s="15" t="s">
        <v>319</v>
      </c>
      <c r="E5" s="15" t="s">
        <v>320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25">
      <c r="A6" s="15" t="s">
        <v>22</v>
      </c>
      <c r="B6" s="15" t="s">
        <v>561</v>
      </c>
      <c r="C6" s="15" t="s">
        <v>318</v>
      </c>
      <c r="D6" s="15" t="s">
        <v>326</v>
      </c>
      <c r="E6" s="15" t="s">
        <v>320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25">
      <c r="A7" s="15" t="s">
        <v>20</v>
      </c>
      <c r="B7" s="15" t="s">
        <v>561</v>
      </c>
      <c r="C7" s="15" t="s">
        <v>323</v>
      </c>
      <c r="D7" s="15" t="s">
        <v>324</v>
      </c>
      <c r="E7" s="15" t="s">
        <v>325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25">
      <c r="A8" s="15" t="s">
        <v>20</v>
      </c>
      <c r="B8" s="15" t="s">
        <v>561</v>
      </c>
      <c r="C8" s="15" t="s">
        <v>323</v>
      </c>
      <c r="D8" s="15" t="s">
        <v>324</v>
      </c>
      <c r="E8" s="15" t="s">
        <v>325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25">
      <c r="A9" s="15" t="s">
        <v>20</v>
      </c>
      <c r="B9" s="15" t="s">
        <v>561</v>
      </c>
      <c r="C9" s="15" t="s">
        <v>318</v>
      </c>
      <c r="D9" s="15" t="s">
        <v>327</v>
      </c>
      <c r="E9" s="15" t="s">
        <v>320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hidden="1" x14ac:dyDescent="0.25">
      <c r="A10" s="15" t="s">
        <v>20</v>
      </c>
      <c r="B10" s="15" t="s">
        <v>561</v>
      </c>
      <c r="C10" s="15" t="s">
        <v>318</v>
      </c>
      <c r="D10" s="15" t="s">
        <v>327</v>
      </c>
      <c r="E10" s="15" t="s">
        <v>322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25">
      <c r="A11" s="15" t="s">
        <v>20</v>
      </c>
      <c r="B11" s="15" t="s">
        <v>561</v>
      </c>
      <c r="C11" s="15" t="s">
        <v>323</v>
      </c>
      <c r="D11" s="15" t="s">
        <v>324</v>
      </c>
      <c r="E11" s="15" t="s">
        <v>325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25">
      <c r="A12" s="15" t="s">
        <v>20</v>
      </c>
      <c r="B12" s="15" t="s">
        <v>561</v>
      </c>
      <c r="C12" s="15" t="s">
        <v>323</v>
      </c>
      <c r="D12" s="15" t="s">
        <v>329</v>
      </c>
      <c r="E12" s="15" t="s">
        <v>330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25">
      <c r="A13" s="15" t="s">
        <v>20</v>
      </c>
      <c r="B13" s="15" t="s">
        <v>561</v>
      </c>
      <c r="C13" s="15" t="s">
        <v>318</v>
      </c>
      <c r="D13" s="15" t="s">
        <v>331</v>
      </c>
      <c r="E13" s="15" t="s">
        <v>320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hidden="1" x14ac:dyDescent="0.25">
      <c r="A14" s="15" t="s">
        <v>20</v>
      </c>
      <c r="B14" s="15" t="s">
        <v>561</v>
      </c>
      <c r="C14" s="15" t="s">
        <v>318</v>
      </c>
      <c r="D14" s="15" t="s">
        <v>331</v>
      </c>
      <c r="E14" s="15" t="s">
        <v>322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hidden="1" x14ac:dyDescent="0.25">
      <c r="A15" s="15" t="s">
        <v>20</v>
      </c>
      <c r="B15" s="15" t="s">
        <v>561</v>
      </c>
      <c r="C15" s="15" t="s">
        <v>318</v>
      </c>
      <c r="D15" s="15" t="s">
        <v>327</v>
      </c>
      <c r="E15" s="15" t="s">
        <v>322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hidden="1" x14ac:dyDescent="0.25">
      <c r="A16" s="15" t="s">
        <v>20</v>
      </c>
      <c r="B16" s="15" t="s">
        <v>561</v>
      </c>
      <c r="C16" s="15" t="s">
        <v>318</v>
      </c>
      <c r="D16" s="15" t="s">
        <v>331</v>
      </c>
      <c r="E16" s="15" t="s">
        <v>322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hidden="1" x14ac:dyDescent="0.25">
      <c r="A17" s="15" t="s">
        <v>25</v>
      </c>
      <c r="B17" s="15" t="s">
        <v>561</v>
      </c>
      <c r="C17" s="15" t="s">
        <v>318</v>
      </c>
      <c r="D17" s="15" t="s">
        <v>326</v>
      </c>
      <c r="E17" s="15" t="s">
        <v>320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hidden="1" x14ac:dyDescent="0.25">
      <c r="A18" s="15" t="s">
        <v>25</v>
      </c>
      <c r="B18" s="15" t="s">
        <v>561</v>
      </c>
      <c r="C18" s="15" t="s">
        <v>318</v>
      </c>
      <c r="D18" s="15" t="s">
        <v>319</v>
      </c>
      <c r="E18" s="15" t="s">
        <v>320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hidden="1" x14ac:dyDescent="0.25">
      <c r="A19" s="15" t="s">
        <v>25</v>
      </c>
      <c r="B19" s="15" t="s">
        <v>561</v>
      </c>
      <c r="C19" s="15" t="s">
        <v>318</v>
      </c>
      <c r="D19" s="15" t="s">
        <v>326</v>
      </c>
      <c r="E19" s="15" t="s">
        <v>320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25">
      <c r="A20" s="15" t="s">
        <v>27</v>
      </c>
      <c r="B20" s="15" t="s">
        <v>561</v>
      </c>
      <c r="C20" s="15" t="s">
        <v>323</v>
      </c>
      <c r="D20" s="15" t="s">
        <v>324</v>
      </c>
      <c r="E20" s="15" t="s">
        <v>325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25">
      <c r="A21" s="15" t="s">
        <v>27</v>
      </c>
      <c r="B21" s="15" t="s">
        <v>561</v>
      </c>
      <c r="C21" s="15" t="s">
        <v>318</v>
      </c>
      <c r="D21" s="15" t="s">
        <v>326</v>
      </c>
      <c r="E21" s="15" t="s">
        <v>320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25">
      <c r="A22" s="15" t="s">
        <v>27</v>
      </c>
      <c r="B22" s="15" t="s">
        <v>561</v>
      </c>
      <c r="C22" s="15" t="s">
        <v>323</v>
      </c>
      <c r="D22" s="15" t="s">
        <v>324</v>
      </c>
      <c r="E22" s="15" t="s">
        <v>325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25">
      <c r="A23" s="15" t="s">
        <v>27</v>
      </c>
      <c r="B23" s="15" t="s">
        <v>561</v>
      </c>
      <c r="C23" s="15" t="s">
        <v>318</v>
      </c>
      <c r="D23" s="15" t="s">
        <v>319</v>
      </c>
      <c r="E23" s="15" t="s">
        <v>320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25">
      <c r="A24" s="15" t="s">
        <v>27</v>
      </c>
      <c r="B24" s="15" t="s">
        <v>561</v>
      </c>
      <c r="C24" s="15" t="s">
        <v>318</v>
      </c>
      <c r="D24" s="15" t="s">
        <v>326</v>
      </c>
      <c r="E24" s="15" t="s">
        <v>320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25">
      <c r="A25" s="15" t="s">
        <v>7</v>
      </c>
      <c r="B25" s="15" t="s">
        <v>561</v>
      </c>
      <c r="C25" s="15" t="s">
        <v>323</v>
      </c>
      <c r="D25" s="15" t="s">
        <v>324</v>
      </c>
      <c r="E25" s="15" t="s">
        <v>325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25">
      <c r="A26" s="15" t="s">
        <v>7</v>
      </c>
      <c r="B26" s="15" t="s">
        <v>561</v>
      </c>
      <c r="C26" s="15" t="s">
        <v>323</v>
      </c>
      <c r="D26" s="15" t="s">
        <v>324</v>
      </c>
      <c r="E26" s="15" t="s">
        <v>325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25">
      <c r="A27" s="15" t="s">
        <v>7</v>
      </c>
      <c r="B27" s="15" t="s">
        <v>561</v>
      </c>
      <c r="C27" s="15" t="s">
        <v>323</v>
      </c>
      <c r="D27" s="15" t="s">
        <v>329</v>
      </c>
      <c r="E27" s="15" t="s">
        <v>330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25">
      <c r="A28" s="15" t="s">
        <v>7</v>
      </c>
      <c r="B28" s="15" t="s">
        <v>561</v>
      </c>
      <c r="C28" s="15" t="s">
        <v>323</v>
      </c>
      <c r="D28" s="15" t="s">
        <v>324</v>
      </c>
      <c r="E28" s="15" t="s">
        <v>325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25">
      <c r="A29" s="15" t="s">
        <v>7</v>
      </c>
      <c r="B29" s="15" t="s">
        <v>561</v>
      </c>
      <c r="C29" s="15" t="s">
        <v>323</v>
      </c>
      <c r="D29" s="15" t="s">
        <v>324</v>
      </c>
      <c r="E29" s="15" t="s">
        <v>325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hidden="1" x14ac:dyDescent="0.25">
      <c r="A30" s="15" t="s">
        <v>7</v>
      </c>
      <c r="B30" s="15" t="s">
        <v>561</v>
      </c>
      <c r="C30" s="15" t="s">
        <v>323</v>
      </c>
      <c r="D30" s="15" t="s">
        <v>324</v>
      </c>
      <c r="E30" s="15" t="s">
        <v>322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25">
      <c r="A31" s="15" t="s">
        <v>7</v>
      </c>
      <c r="B31" s="15" t="s">
        <v>561</v>
      </c>
      <c r="C31" s="15" t="s">
        <v>323</v>
      </c>
      <c r="D31" s="15" t="s">
        <v>324</v>
      </c>
      <c r="E31" s="15" t="s">
        <v>325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25">
      <c r="A32" s="15" t="s">
        <v>7</v>
      </c>
      <c r="B32" s="15" t="s">
        <v>561</v>
      </c>
      <c r="C32" s="15" t="s">
        <v>323</v>
      </c>
      <c r="D32" s="15" t="s">
        <v>329</v>
      </c>
      <c r="E32" s="15" t="s">
        <v>330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25">
      <c r="A33" s="15" t="s">
        <v>7</v>
      </c>
      <c r="B33" s="15" t="s">
        <v>561</v>
      </c>
      <c r="C33" s="15" t="s">
        <v>323</v>
      </c>
      <c r="D33" s="15" t="s">
        <v>329</v>
      </c>
      <c r="E33" s="15" t="s">
        <v>330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25">
      <c r="A34" s="15" t="s">
        <v>7</v>
      </c>
      <c r="B34" s="15" t="s">
        <v>561</v>
      </c>
      <c r="C34" s="15" t="s">
        <v>323</v>
      </c>
      <c r="D34" s="15" t="s">
        <v>324</v>
      </c>
      <c r="E34" s="15" t="s">
        <v>325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25">
      <c r="A35" s="15" t="s">
        <v>7</v>
      </c>
      <c r="B35" s="15" t="s">
        <v>561</v>
      </c>
      <c r="C35" s="15" t="s">
        <v>323</v>
      </c>
      <c r="D35" s="15" t="s">
        <v>324</v>
      </c>
      <c r="E35" s="15" t="s">
        <v>325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25">
      <c r="A36" s="15" t="s">
        <v>7</v>
      </c>
      <c r="B36" s="15" t="s">
        <v>561</v>
      </c>
      <c r="C36" s="15" t="s">
        <v>323</v>
      </c>
      <c r="D36" s="15" t="s">
        <v>324</v>
      </c>
      <c r="E36" s="15" t="s">
        <v>325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hidden="1" x14ac:dyDescent="0.25">
      <c r="A37" s="15" t="s">
        <v>7</v>
      </c>
      <c r="B37" s="15" t="s">
        <v>561</v>
      </c>
      <c r="C37" s="15" t="s">
        <v>318</v>
      </c>
      <c r="D37" s="15" t="s">
        <v>327</v>
      </c>
      <c r="E37" s="15" t="s">
        <v>322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25">
      <c r="A38" s="15" t="s">
        <v>7</v>
      </c>
      <c r="B38" s="15" t="s">
        <v>561</v>
      </c>
      <c r="C38" s="15" t="s">
        <v>323</v>
      </c>
      <c r="D38" s="15" t="s">
        <v>324</v>
      </c>
      <c r="E38" s="15" t="s">
        <v>325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25">
      <c r="A39" s="15" t="s">
        <v>7</v>
      </c>
      <c r="B39" s="15" t="s">
        <v>561</v>
      </c>
      <c r="C39" s="15" t="s">
        <v>323</v>
      </c>
      <c r="D39" s="15" t="s">
        <v>329</v>
      </c>
      <c r="E39" s="15" t="s">
        <v>330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hidden="1" x14ac:dyDescent="0.25">
      <c r="A40" s="15" t="s">
        <v>7</v>
      </c>
      <c r="B40" s="15" t="s">
        <v>561</v>
      </c>
      <c r="C40" s="15" t="s">
        <v>318</v>
      </c>
      <c r="D40" s="15" t="s">
        <v>327</v>
      </c>
      <c r="E40" s="15" t="s">
        <v>322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hidden="1" x14ac:dyDescent="0.25">
      <c r="A41" s="15" t="s">
        <v>7</v>
      </c>
      <c r="B41" s="15" t="s">
        <v>561</v>
      </c>
      <c r="C41" s="15" t="s">
        <v>318</v>
      </c>
      <c r="D41" s="15" t="s">
        <v>331</v>
      </c>
      <c r="E41" s="15" t="s">
        <v>322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25">
      <c r="A42" s="15" t="s">
        <v>7</v>
      </c>
      <c r="B42" s="15" t="s">
        <v>561</v>
      </c>
      <c r="C42" s="15" t="s">
        <v>323</v>
      </c>
      <c r="D42" s="15" t="s">
        <v>324</v>
      </c>
      <c r="E42" s="15" t="s">
        <v>325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25">
      <c r="A43" s="15" t="s">
        <v>7</v>
      </c>
      <c r="B43" s="15" t="s">
        <v>561</v>
      </c>
      <c r="C43" s="15" t="s">
        <v>323</v>
      </c>
      <c r="D43" s="15" t="s">
        <v>324</v>
      </c>
      <c r="E43" s="15" t="s">
        <v>325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25">
      <c r="A44" s="15" t="s">
        <v>7</v>
      </c>
      <c r="B44" s="15" t="s">
        <v>561</v>
      </c>
      <c r="C44" s="15" t="s">
        <v>323</v>
      </c>
      <c r="D44" s="15" t="s">
        <v>329</v>
      </c>
      <c r="E44" s="15" t="s">
        <v>330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25">
      <c r="A45" s="15" t="s">
        <v>7</v>
      </c>
      <c r="B45" s="15" t="s">
        <v>561</v>
      </c>
      <c r="C45" s="15" t="s">
        <v>323</v>
      </c>
      <c r="D45" s="15" t="s">
        <v>324</v>
      </c>
      <c r="E45" s="15" t="s">
        <v>325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25">
      <c r="A46" s="15" t="s">
        <v>333</v>
      </c>
      <c r="B46" s="15" t="s">
        <v>561</v>
      </c>
      <c r="C46" s="15" t="s">
        <v>323</v>
      </c>
      <c r="D46" s="15" t="s">
        <v>324</v>
      </c>
      <c r="E46" s="15" t="s">
        <v>325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hidden="1" x14ac:dyDescent="0.25">
      <c r="A47" s="15" t="s">
        <v>333</v>
      </c>
      <c r="B47" s="15" t="s">
        <v>561</v>
      </c>
      <c r="C47" s="15" t="s">
        <v>323</v>
      </c>
      <c r="D47" s="15" t="s">
        <v>329</v>
      </c>
      <c r="E47" s="15" t="s">
        <v>322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25">
      <c r="A48" s="15" t="s">
        <v>333</v>
      </c>
      <c r="B48" s="15" t="s">
        <v>561</v>
      </c>
      <c r="C48" s="15" t="s">
        <v>323</v>
      </c>
      <c r="D48" s="15" t="s">
        <v>324</v>
      </c>
      <c r="E48" s="15" t="s">
        <v>325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25">
      <c r="A49" s="15" t="s">
        <v>333</v>
      </c>
      <c r="B49" s="15" t="s">
        <v>561</v>
      </c>
      <c r="C49" s="15" t="s">
        <v>323</v>
      </c>
      <c r="D49" s="15" t="s">
        <v>329</v>
      </c>
      <c r="E49" s="15" t="s">
        <v>330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25">
      <c r="A50" s="15" t="s">
        <v>333</v>
      </c>
      <c r="B50" s="15" t="s">
        <v>561</v>
      </c>
      <c r="C50" s="15" t="s">
        <v>323</v>
      </c>
      <c r="D50" s="15" t="s">
        <v>324</v>
      </c>
      <c r="E50" s="15" t="s">
        <v>325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hidden="1" x14ac:dyDescent="0.25">
      <c r="A51" s="15" t="s">
        <v>333</v>
      </c>
      <c r="B51" s="15" t="s">
        <v>561</v>
      </c>
      <c r="C51" s="15" t="s">
        <v>318</v>
      </c>
      <c r="D51" s="15" t="s">
        <v>331</v>
      </c>
      <c r="E51" s="15" t="s">
        <v>322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25">
      <c r="A52" s="15" t="s">
        <v>333</v>
      </c>
      <c r="B52" s="15" t="s">
        <v>561</v>
      </c>
      <c r="C52" s="15" t="s">
        <v>323</v>
      </c>
      <c r="D52" s="15" t="s">
        <v>324</v>
      </c>
      <c r="E52" s="15" t="s">
        <v>325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25">
      <c r="A53" s="15" t="s">
        <v>333</v>
      </c>
      <c r="B53" s="15" t="s">
        <v>561</v>
      </c>
      <c r="C53" s="15" t="s">
        <v>323</v>
      </c>
      <c r="D53" s="15" t="s">
        <v>324</v>
      </c>
      <c r="E53" s="15" t="s">
        <v>325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hidden="1" x14ac:dyDescent="0.25">
      <c r="A54" s="15" t="s">
        <v>333</v>
      </c>
      <c r="B54" s="15" t="s">
        <v>561</v>
      </c>
      <c r="C54" s="15" t="s">
        <v>323</v>
      </c>
      <c r="D54" s="15" t="s">
        <v>324</v>
      </c>
      <c r="E54" s="15" t="s">
        <v>322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25">
      <c r="A55" s="15" t="s">
        <v>333</v>
      </c>
      <c r="B55" s="15" t="s">
        <v>561</v>
      </c>
      <c r="C55" s="15" t="s">
        <v>323</v>
      </c>
      <c r="D55" s="15" t="s">
        <v>324</v>
      </c>
      <c r="E55" s="15" t="s">
        <v>325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25">
      <c r="A56" s="15" t="s">
        <v>333</v>
      </c>
      <c r="B56" s="15" t="s">
        <v>561</v>
      </c>
      <c r="C56" s="15" t="s">
        <v>323</v>
      </c>
      <c r="D56" s="15" t="s">
        <v>329</v>
      </c>
      <c r="E56" s="15" t="s">
        <v>330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25">
      <c r="A57" s="15" t="s">
        <v>333</v>
      </c>
      <c r="B57" s="15" t="s">
        <v>561</v>
      </c>
      <c r="C57" s="15" t="s">
        <v>323</v>
      </c>
      <c r="D57" s="15" t="s">
        <v>329</v>
      </c>
      <c r="E57" s="15" t="s">
        <v>330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25">
      <c r="A58" s="15" t="s">
        <v>333</v>
      </c>
      <c r="B58" s="15" t="s">
        <v>561</v>
      </c>
      <c r="C58" s="15" t="s">
        <v>323</v>
      </c>
      <c r="D58" s="15" t="s">
        <v>324</v>
      </c>
      <c r="E58" s="15" t="s">
        <v>325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25">
      <c r="A59" s="15" t="s">
        <v>333</v>
      </c>
      <c r="B59" s="15" t="s">
        <v>561</v>
      </c>
      <c r="C59" s="15" t="s">
        <v>323</v>
      </c>
      <c r="D59" s="15" t="s">
        <v>324</v>
      </c>
      <c r="E59" s="15" t="s">
        <v>325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25">
      <c r="A60" s="15" t="s">
        <v>333</v>
      </c>
      <c r="B60" s="15" t="s">
        <v>561</v>
      </c>
      <c r="C60" s="15" t="s">
        <v>323</v>
      </c>
      <c r="D60" s="15" t="s">
        <v>324</v>
      </c>
      <c r="E60" s="15" t="s">
        <v>325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hidden="1" x14ac:dyDescent="0.25">
      <c r="A61" s="15" t="s">
        <v>333</v>
      </c>
      <c r="B61" s="15" t="s">
        <v>561</v>
      </c>
      <c r="C61" s="15" t="s">
        <v>318</v>
      </c>
      <c r="D61" s="15" t="s">
        <v>331</v>
      </c>
      <c r="E61" s="15" t="s">
        <v>322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25">
      <c r="A62" s="15" t="s">
        <v>333</v>
      </c>
      <c r="B62" s="15" t="s">
        <v>561</v>
      </c>
      <c r="C62" s="15" t="s">
        <v>323</v>
      </c>
      <c r="D62" s="15" t="s">
        <v>324</v>
      </c>
      <c r="E62" s="15" t="s">
        <v>325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25">
      <c r="A63" s="15" t="s">
        <v>333</v>
      </c>
      <c r="B63" s="15" t="s">
        <v>561</v>
      </c>
      <c r="C63" s="15" t="s">
        <v>323</v>
      </c>
      <c r="D63" s="15" t="s">
        <v>329</v>
      </c>
      <c r="E63" s="15" t="s">
        <v>330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25">
      <c r="A64" s="15" t="s">
        <v>333</v>
      </c>
      <c r="B64" s="15" t="s">
        <v>561</v>
      </c>
      <c r="C64" s="15" t="s">
        <v>323</v>
      </c>
      <c r="D64" s="15" t="s">
        <v>324</v>
      </c>
      <c r="E64" s="15" t="s">
        <v>325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hidden="1" x14ac:dyDescent="0.25">
      <c r="A65" s="15" t="s">
        <v>333</v>
      </c>
      <c r="B65" s="15" t="s">
        <v>561</v>
      </c>
      <c r="C65" s="15" t="s">
        <v>318</v>
      </c>
      <c r="D65" s="15" t="s">
        <v>327</v>
      </c>
      <c r="E65" s="15" t="s">
        <v>322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25">
      <c r="A66" s="15" t="s">
        <v>333</v>
      </c>
      <c r="B66" s="15" t="s">
        <v>561</v>
      </c>
      <c r="C66" s="15" t="s">
        <v>323</v>
      </c>
      <c r="D66" s="15" t="s">
        <v>324</v>
      </c>
      <c r="E66" s="15" t="s">
        <v>325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25">
      <c r="A67" s="15" t="s">
        <v>333</v>
      </c>
      <c r="B67" s="15" t="s">
        <v>561</v>
      </c>
      <c r="C67" s="15" t="s">
        <v>323</v>
      </c>
      <c r="D67" s="15" t="s">
        <v>329</v>
      </c>
      <c r="E67" s="15" t="s">
        <v>330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25">
      <c r="A68" s="15" t="s">
        <v>333</v>
      </c>
      <c r="B68" s="15" t="s">
        <v>561</v>
      </c>
      <c r="C68" s="15" t="s">
        <v>318</v>
      </c>
      <c r="D68" s="15" t="s">
        <v>326</v>
      </c>
      <c r="E68" s="15" t="s">
        <v>320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25">
      <c r="A69" s="15" t="s">
        <v>333</v>
      </c>
      <c r="B69" s="15" t="s">
        <v>561</v>
      </c>
      <c r="C69" s="15" t="s">
        <v>323</v>
      </c>
      <c r="D69" s="15" t="s">
        <v>324</v>
      </c>
      <c r="E69" s="15" t="s">
        <v>325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25">
      <c r="A70" s="15" t="s">
        <v>333</v>
      </c>
      <c r="B70" s="15" t="s">
        <v>561</v>
      </c>
      <c r="C70" s="15" t="s">
        <v>318</v>
      </c>
      <c r="D70" s="15" t="s">
        <v>319</v>
      </c>
      <c r="E70" s="15" t="s">
        <v>320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25">
      <c r="A71" s="15" t="s">
        <v>333</v>
      </c>
      <c r="B71" s="15" t="s">
        <v>561</v>
      </c>
      <c r="C71" s="15" t="s">
        <v>323</v>
      </c>
      <c r="D71" s="15" t="s">
        <v>324</v>
      </c>
      <c r="E71" s="15" t="s">
        <v>325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25">
      <c r="A72" s="15" t="s">
        <v>333</v>
      </c>
      <c r="B72" s="15" t="s">
        <v>561</v>
      </c>
      <c r="C72" s="15" t="s">
        <v>323</v>
      </c>
      <c r="D72" s="15" t="s">
        <v>329</v>
      </c>
      <c r="E72" s="15" t="s">
        <v>330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hidden="1" x14ac:dyDescent="0.25">
      <c r="A73" s="15" t="s">
        <v>333</v>
      </c>
      <c r="B73" s="15" t="s">
        <v>561</v>
      </c>
      <c r="C73" s="15" t="s">
        <v>318</v>
      </c>
      <c r="D73" s="15" t="s">
        <v>327</v>
      </c>
      <c r="E73" s="15" t="s">
        <v>322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hidden="1" x14ac:dyDescent="0.25">
      <c r="A74" s="15" t="s">
        <v>333</v>
      </c>
      <c r="B74" s="15" t="s">
        <v>561</v>
      </c>
      <c r="C74" s="15" t="s">
        <v>318</v>
      </c>
      <c r="D74" s="15" t="s">
        <v>331</v>
      </c>
      <c r="E74" s="15" t="s">
        <v>322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25">
      <c r="A75" s="15" t="s">
        <v>333</v>
      </c>
      <c r="B75" s="15" t="s">
        <v>561</v>
      </c>
      <c r="C75" s="15" t="s">
        <v>318</v>
      </c>
      <c r="D75" s="15" t="s">
        <v>319</v>
      </c>
      <c r="E75" s="15" t="s">
        <v>320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25">
      <c r="A76" s="15" t="s">
        <v>333</v>
      </c>
      <c r="B76" s="15" t="s">
        <v>561</v>
      </c>
      <c r="C76" s="15" t="s">
        <v>318</v>
      </c>
      <c r="D76" s="15" t="s">
        <v>326</v>
      </c>
      <c r="E76" s="15" t="s">
        <v>320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25">
      <c r="A77" s="15" t="s">
        <v>333</v>
      </c>
      <c r="B77" s="15" t="s">
        <v>561</v>
      </c>
      <c r="C77" s="15" t="s">
        <v>323</v>
      </c>
      <c r="D77" s="15" t="s">
        <v>324</v>
      </c>
      <c r="E77" s="15" t="s">
        <v>325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25">
      <c r="A78" s="15" t="s">
        <v>333</v>
      </c>
      <c r="B78" s="15" t="s">
        <v>561</v>
      </c>
      <c r="C78" s="15" t="s">
        <v>323</v>
      </c>
      <c r="D78" s="15" t="s">
        <v>324</v>
      </c>
      <c r="E78" s="15" t="s">
        <v>325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hidden="1" x14ac:dyDescent="0.25">
      <c r="A79" s="15" t="s">
        <v>333</v>
      </c>
      <c r="B79" s="15" t="s">
        <v>561</v>
      </c>
      <c r="C79" s="15" t="s">
        <v>318</v>
      </c>
      <c r="D79" s="15" t="s">
        <v>327</v>
      </c>
      <c r="E79" s="15" t="s">
        <v>322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25">
      <c r="A80" s="15" t="s">
        <v>333</v>
      </c>
      <c r="B80" s="15" t="s">
        <v>561</v>
      </c>
      <c r="C80" s="15" t="s">
        <v>323</v>
      </c>
      <c r="D80" s="15" t="s">
        <v>324</v>
      </c>
      <c r="E80" s="15" t="s">
        <v>325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25">
      <c r="A81" s="15" t="s">
        <v>333</v>
      </c>
      <c r="B81" s="15" t="s">
        <v>561</v>
      </c>
      <c r="C81" s="15" t="s">
        <v>323</v>
      </c>
      <c r="D81" s="15" t="s">
        <v>324</v>
      </c>
      <c r="E81" s="15" t="s">
        <v>325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25">
      <c r="A82" s="15" t="s">
        <v>333</v>
      </c>
      <c r="B82" s="15" t="s">
        <v>561</v>
      </c>
      <c r="C82" s="15" t="s">
        <v>323</v>
      </c>
      <c r="D82" s="15" t="s">
        <v>324</v>
      </c>
      <c r="E82" s="15" t="s">
        <v>325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25">
      <c r="A83" s="15" t="s">
        <v>333</v>
      </c>
      <c r="B83" s="15" t="s">
        <v>561</v>
      </c>
      <c r="C83" s="15" t="s">
        <v>323</v>
      </c>
      <c r="D83" s="15" t="s">
        <v>324</v>
      </c>
      <c r="E83" s="15" t="s">
        <v>325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25">
      <c r="A84" s="15" t="s">
        <v>21</v>
      </c>
      <c r="B84" s="15" t="s">
        <v>561</v>
      </c>
      <c r="C84" s="15" t="s">
        <v>323</v>
      </c>
      <c r="D84" s="15" t="s">
        <v>324</v>
      </c>
      <c r="E84" s="15" t="s">
        <v>325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25">
      <c r="A85" s="15" t="s">
        <v>21</v>
      </c>
      <c r="B85" s="15" t="s">
        <v>561</v>
      </c>
      <c r="C85" s="15" t="s">
        <v>318</v>
      </c>
      <c r="D85" s="15" t="s">
        <v>319</v>
      </c>
      <c r="E85" s="15" t="s">
        <v>320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25">
      <c r="A86" s="15" t="s">
        <v>21</v>
      </c>
      <c r="B86" s="15" t="s">
        <v>561</v>
      </c>
      <c r="C86" s="15" t="s">
        <v>323</v>
      </c>
      <c r="D86" s="15" t="s">
        <v>324</v>
      </c>
      <c r="E86" s="15" t="s">
        <v>325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25">
      <c r="A87" s="15" t="s">
        <v>21</v>
      </c>
      <c r="B87" s="15" t="s">
        <v>561</v>
      </c>
      <c r="C87" s="15" t="s">
        <v>318</v>
      </c>
      <c r="D87" s="15" t="s">
        <v>319</v>
      </c>
      <c r="E87" s="15" t="s">
        <v>320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25">
      <c r="A88" s="15" t="s">
        <v>21</v>
      </c>
      <c r="B88" s="15" t="s">
        <v>561</v>
      </c>
      <c r="C88" s="15" t="s">
        <v>318</v>
      </c>
      <c r="D88" s="15" t="s">
        <v>326</v>
      </c>
      <c r="E88" s="15" t="s">
        <v>320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25">
      <c r="A89" s="15" t="s">
        <v>21</v>
      </c>
      <c r="B89" s="15" t="s">
        <v>561</v>
      </c>
      <c r="C89" s="15" t="s">
        <v>318</v>
      </c>
      <c r="D89" s="15" t="s">
        <v>319</v>
      </c>
      <c r="E89" s="15" t="s">
        <v>320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25">
      <c r="A90" s="15" t="s">
        <v>21</v>
      </c>
      <c r="B90" s="15" t="s">
        <v>561</v>
      </c>
      <c r="C90" s="15" t="s">
        <v>323</v>
      </c>
      <c r="D90" s="15" t="s">
        <v>324</v>
      </c>
      <c r="E90" s="15" t="s">
        <v>325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25">
      <c r="A91" s="15" t="s">
        <v>17</v>
      </c>
      <c r="B91" s="15" t="s">
        <v>561</v>
      </c>
      <c r="C91" s="15" t="s">
        <v>323</v>
      </c>
      <c r="D91" s="15" t="s">
        <v>324</v>
      </c>
      <c r="E91" s="15" t="s">
        <v>325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hidden="1" x14ac:dyDescent="0.25">
      <c r="A92" s="15" t="s">
        <v>17</v>
      </c>
      <c r="B92" s="15" t="s">
        <v>561</v>
      </c>
      <c r="C92" s="15" t="s">
        <v>318</v>
      </c>
      <c r="D92" s="15" t="s">
        <v>331</v>
      </c>
      <c r="E92" s="15" t="s">
        <v>322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25">
      <c r="A93" s="15" t="s">
        <v>17</v>
      </c>
      <c r="B93" s="15" t="s">
        <v>561</v>
      </c>
      <c r="C93" s="15" t="s">
        <v>323</v>
      </c>
      <c r="D93" s="15" t="s">
        <v>324</v>
      </c>
      <c r="E93" s="15" t="s">
        <v>325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25">
      <c r="A94" s="15" t="s">
        <v>17</v>
      </c>
      <c r="B94" s="15" t="s">
        <v>561</v>
      </c>
      <c r="C94" s="15" t="s">
        <v>323</v>
      </c>
      <c r="D94" s="15" t="s">
        <v>329</v>
      </c>
      <c r="E94" s="15" t="s">
        <v>330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hidden="1" x14ac:dyDescent="0.25">
      <c r="A95" s="15" t="s">
        <v>17</v>
      </c>
      <c r="B95" s="15" t="s">
        <v>561</v>
      </c>
      <c r="C95" s="15" t="s">
        <v>318</v>
      </c>
      <c r="D95" s="15" t="s">
        <v>327</v>
      </c>
      <c r="E95" s="15" t="s">
        <v>322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hidden="1" x14ac:dyDescent="0.25">
      <c r="A96" s="15" t="s">
        <v>17</v>
      </c>
      <c r="B96" s="15" t="s">
        <v>561</v>
      </c>
      <c r="C96" s="15" t="s">
        <v>318</v>
      </c>
      <c r="D96" s="15" t="s">
        <v>331</v>
      </c>
      <c r="E96" s="15" t="s">
        <v>322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25">
      <c r="A97" s="15" t="s">
        <v>336</v>
      </c>
      <c r="B97" s="15" t="s">
        <v>561</v>
      </c>
      <c r="C97" s="15" t="s">
        <v>318</v>
      </c>
      <c r="D97" s="15" t="s">
        <v>326</v>
      </c>
      <c r="E97" s="15" t="s">
        <v>320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25">
      <c r="A98" s="15" t="s">
        <v>336</v>
      </c>
      <c r="B98" s="15" t="s">
        <v>561</v>
      </c>
      <c r="C98" s="15" t="s">
        <v>318</v>
      </c>
      <c r="D98" s="15" t="s">
        <v>319</v>
      </c>
      <c r="E98" s="15" t="s">
        <v>320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25">
      <c r="A99" s="15" t="s">
        <v>336</v>
      </c>
      <c r="B99" s="15" t="s">
        <v>561</v>
      </c>
      <c r="C99" s="15" t="s">
        <v>318</v>
      </c>
      <c r="D99" s="15" t="s">
        <v>326</v>
      </c>
      <c r="E99" s="15" t="s">
        <v>320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25">
      <c r="A100" s="15" t="s">
        <v>174</v>
      </c>
      <c r="B100" s="15" t="s">
        <v>561</v>
      </c>
      <c r="C100" s="15" t="s">
        <v>337</v>
      </c>
      <c r="D100" s="15" t="s">
        <v>338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25">
      <c r="A101" s="15" t="s">
        <v>50</v>
      </c>
      <c r="B101" s="15" t="s">
        <v>561</v>
      </c>
      <c r="C101" s="15" t="s">
        <v>337</v>
      </c>
      <c r="D101" s="15" t="s">
        <v>338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hidden="1" x14ac:dyDescent="0.25">
      <c r="A102" s="15" t="s">
        <v>166</v>
      </c>
      <c r="B102" s="15" t="s">
        <v>561</v>
      </c>
      <c r="C102" s="15" t="s">
        <v>337</v>
      </c>
      <c r="D102" s="15" t="s">
        <v>338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25">
      <c r="A103" s="15" t="s">
        <v>341</v>
      </c>
      <c r="B103" s="15" t="s">
        <v>561</v>
      </c>
      <c r="C103" s="15" t="s">
        <v>337</v>
      </c>
      <c r="D103" s="15" t="s">
        <v>338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25">
      <c r="A104" s="15" t="s">
        <v>22</v>
      </c>
      <c r="B104" s="15" t="s">
        <v>561</v>
      </c>
      <c r="C104" s="15" t="s">
        <v>337</v>
      </c>
      <c r="D104" s="15" t="s">
        <v>338</v>
      </c>
      <c r="E104" s="15"/>
      <c r="F104" s="15"/>
      <c r="G104" s="15"/>
      <c r="H104" s="15" t="s">
        <v>342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25">
      <c r="A105" s="15" t="s">
        <v>155</v>
      </c>
      <c r="B105" s="15" t="s">
        <v>561</v>
      </c>
      <c r="C105" s="15" t="s">
        <v>337</v>
      </c>
      <c r="D105" s="15" t="s">
        <v>338</v>
      </c>
      <c r="E105" s="15"/>
      <c r="F105" s="15"/>
      <c r="G105" s="15"/>
      <c r="H105" s="15" t="s">
        <v>342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25">
      <c r="A106" s="15" t="s">
        <v>48</v>
      </c>
      <c r="B106" s="15" t="s">
        <v>561</v>
      </c>
      <c r="C106" s="15" t="s">
        <v>337</v>
      </c>
      <c r="D106" s="15" t="s">
        <v>338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25">
      <c r="A107" s="15" t="s">
        <v>148</v>
      </c>
      <c r="B107" s="15" t="s">
        <v>561</v>
      </c>
      <c r="C107" s="15" t="s">
        <v>337</v>
      </c>
      <c r="D107" s="15" t="s">
        <v>338</v>
      </c>
      <c r="E107" s="15"/>
      <c r="F107" s="15"/>
      <c r="G107" s="15"/>
      <c r="H107" s="15" t="s">
        <v>342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25">
      <c r="A108" s="15" t="s">
        <v>56</v>
      </c>
      <c r="B108" s="15" t="s">
        <v>561</v>
      </c>
      <c r="C108" s="15" t="s">
        <v>337</v>
      </c>
      <c r="D108" s="15" t="s">
        <v>338</v>
      </c>
      <c r="E108" s="15"/>
      <c r="F108" s="15"/>
      <c r="G108" s="15"/>
      <c r="H108" s="15" t="s">
        <v>342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25">
      <c r="A109" s="15" t="s">
        <v>20</v>
      </c>
      <c r="B109" s="15" t="s">
        <v>561</v>
      </c>
      <c r="C109" s="15" t="s">
        <v>337</v>
      </c>
      <c r="D109" s="15" t="s">
        <v>338</v>
      </c>
      <c r="E109" s="15"/>
      <c r="F109" s="15"/>
      <c r="G109" s="15"/>
      <c r="H109" s="15" t="s">
        <v>343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25">
      <c r="A110" s="15" t="s">
        <v>344</v>
      </c>
      <c r="B110" s="15" t="s">
        <v>561</v>
      </c>
      <c r="C110" s="15" t="s">
        <v>337</v>
      </c>
      <c r="D110" s="15" t="s">
        <v>338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25">
      <c r="A111" s="15" t="s">
        <v>54</v>
      </c>
      <c r="B111" s="15" t="s">
        <v>561</v>
      </c>
      <c r="C111" s="15" t="s">
        <v>337</v>
      </c>
      <c r="D111" s="15" t="s">
        <v>338</v>
      </c>
      <c r="E111" s="15"/>
      <c r="F111" s="15"/>
      <c r="G111" s="15"/>
      <c r="H111" s="15" t="s">
        <v>342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25">
      <c r="A112" s="15" t="s">
        <v>173</v>
      </c>
      <c r="B112" s="15" t="s">
        <v>561</v>
      </c>
      <c r="C112" s="15" t="s">
        <v>337</v>
      </c>
      <c r="D112" s="15" t="s">
        <v>338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25">
      <c r="A113" s="15" t="s">
        <v>146</v>
      </c>
      <c r="B113" s="15" t="s">
        <v>561</v>
      </c>
      <c r="C113" s="15" t="s">
        <v>337</v>
      </c>
      <c r="D113" s="15" t="s">
        <v>338</v>
      </c>
      <c r="E113" s="15"/>
      <c r="F113" s="15"/>
      <c r="G113" s="15"/>
      <c r="H113" s="15" t="s">
        <v>342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25">
      <c r="A114" s="15" t="s">
        <v>345</v>
      </c>
      <c r="B114" s="15" t="s">
        <v>561</v>
      </c>
      <c r="C114" s="15" t="s">
        <v>337</v>
      </c>
      <c r="D114" s="15" t="s">
        <v>338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25">
      <c r="A115" s="15" t="s">
        <v>150</v>
      </c>
      <c r="B115" s="15" t="s">
        <v>561</v>
      </c>
      <c r="C115" s="15" t="s">
        <v>337</v>
      </c>
      <c r="D115" s="15" t="s">
        <v>338</v>
      </c>
      <c r="E115" s="15"/>
      <c r="F115" s="15"/>
      <c r="G115" s="15"/>
      <c r="H115" s="15" t="s">
        <v>342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25">
      <c r="A116" s="15" t="s">
        <v>7</v>
      </c>
      <c r="B116" s="15" t="s">
        <v>561</v>
      </c>
      <c r="C116" s="15" t="s">
        <v>337</v>
      </c>
      <c r="D116" s="15" t="s">
        <v>338</v>
      </c>
      <c r="E116" s="15"/>
      <c r="F116" s="15"/>
      <c r="G116" s="15">
        <v>1</v>
      </c>
      <c r="H116" s="15" t="s">
        <v>343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25">
      <c r="A117" s="15" t="s">
        <v>333</v>
      </c>
      <c r="B117" s="15" t="s">
        <v>561</v>
      </c>
      <c r="C117" s="15" t="s">
        <v>337</v>
      </c>
      <c r="D117" s="15" t="s">
        <v>338</v>
      </c>
      <c r="E117" s="15"/>
      <c r="F117" s="15"/>
      <c r="G117" s="15"/>
      <c r="H117" s="15" t="s">
        <v>343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25">
      <c r="A118" s="15" t="s">
        <v>35</v>
      </c>
      <c r="B118" s="15" t="s">
        <v>561</v>
      </c>
      <c r="C118" s="15" t="s">
        <v>337</v>
      </c>
      <c r="D118" s="15" t="s">
        <v>338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25">
      <c r="A119" s="15" t="s">
        <v>21</v>
      </c>
      <c r="B119" s="15" t="s">
        <v>561</v>
      </c>
      <c r="C119" s="15" t="s">
        <v>337</v>
      </c>
      <c r="D119" s="15" t="s">
        <v>338</v>
      </c>
      <c r="E119" s="15"/>
      <c r="F119" s="15"/>
      <c r="G119" s="15"/>
      <c r="H119" s="15" t="s">
        <v>342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25">
      <c r="A120" s="15" t="s">
        <v>123</v>
      </c>
      <c r="B120" s="15" t="s">
        <v>561</v>
      </c>
      <c r="C120" s="15" t="s">
        <v>337</v>
      </c>
      <c r="D120" s="15" t="s">
        <v>338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25">
      <c r="A121" s="15" t="s">
        <v>145</v>
      </c>
      <c r="B121" s="15" t="s">
        <v>561</v>
      </c>
      <c r="C121" s="15" t="s">
        <v>337</v>
      </c>
      <c r="D121" s="15" t="s">
        <v>338</v>
      </c>
      <c r="E121" s="15"/>
      <c r="F121" s="15"/>
      <c r="G121" s="15"/>
      <c r="H121" s="15" t="s">
        <v>342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25">
      <c r="A122" s="15" t="s">
        <v>102</v>
      </c>
      <c r="B122" s="15" t="s">
        <v>561</v>
      </c>
      <c r="C122" s="15" t="s">
        <v>337</v>
      </c>
      <c r="D122" s="15" t="s">
        <v>338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25">
      <c r="A123" s="15" t="s">
        <v>38</v>
      </c>
      <c r="B123" s="15" t="s">
        <v>561</v>
      </c>
      <c r="C123" s="15" t="s">
        <v>337</v>
      </c>
      <c r="D123" s="15" t="s">
        <v>338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25">
      <c r="A124" s="15" t="s">
        <v>156</v>
      </c>
      <c r="B124" s="15" t="s">
        <v>561</v>
      </c>
      <c r="C124" s="15" t="s">
        <v>337</v>
      </c>
      <c r="D124" s="15" t="s">
        <v>338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25">
      <c r="A125" s="15" t="s">
        <v>18</v>
      </c>
      <c r="B125" s="15" t="s">
        <v>561</v>
      </c>
      <c r="C125" s="15" t="s">
        <v>337</v>
      </c>
      <c r="D125" s="15" t="s">
        <v>338</v>
      </c>
      <c r="E125" s="15"/>
      <c r="F125" s="15"/>
      <c r="G125" s="15"/>
      <c r="H125" s="15" t="s">
        <v>343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25">
      <c r="A126" s="15" t="s">
        <v>105</v>
      </c>
      <c r="B126" s="15" t="s">
        <v>561</v>
      </c>
      <c r="C126" s="15" t="s">
        <v>337</v>
      </c>
      <c r="D126" s="15" t="s">
        <v>338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25">
      <c r="A127" s="15" t="s">
        <v>346</v>
      </c>
      <c r="B127" s="15" t="s">
        <v>561</v>
      </c>
      <c r="C127" s="15" t="s">
        <v>337</v>
      </c>
      <c r="D127" s="15" t="s">
        <v>338</v>
      </c>
      <c r="E127" s="15"/>
      <c r="F127" s="15"/>
      <c r="G127" s="15"/>
      <c r="H127" s="15" t="s">
        <v>342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25">
      <c r="A128" s="15" t="s">
        <v>154</v>
      </c>
      <c r="B128" s="15" t="s">
        <v>561</v>
      </c>
      <c r="C128" s="15" t="s">
        <v>337</v>
      </c>
      <c r="D128" s="15" t="s">
        <v>338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25">
      <c r="A129" s="15" t="s">
        <v>118</v>
      </c>
      <c r="B129" s="15" t="s">
        <v>561</v>
      </c>
      <c r="C129" s="15" t="s">
        <v>337</v>
      </c>
      <c r="D129" s="15" t="s">
        <v>338</v>
      </c>
      <c r="E129" s="15"/>
      <c r="F129" s="15"/>
      <c r="G129" s="15"/>
      <c r="H129" s="15" t="s">
        <v>343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25">
      <c r="A130" s="15" t="s">
        <v>151</v>
      </c>
      <c r="B130" s="15" t="s">
        <v>561</v>
      </c>
      <c r="C130" s="15" t="s">
        <v>337</v>
      </c>
      <c r="D130" s="15" t="s">
        <v>338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25">
      <c r="A131" s="15" t="s">
        <v>93</v>
      </c>
      <c r="B131" s="15" t="s">
        <v>561</v>
      </c>
      <c r="C131" s="15" t="s">
        <v>337</v>
      </c>
      <c r="D131" s="15" t="s">
        <v>338</v>
      </c>
      <c r="E131" s="15"/>
      <c r="F131" s="15"/>
      <c r="G131" s="15"/>
      <c r="H131" s="15" t="s">
        <v>343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25">
      <c r="A132" s="15" t="s">
        <v>55</v>
      </c>
      <c r="B132" s="15" t="s">
        <v>561</v>
      </c>
      <c r="C132" s="15" t="s">
        <v>337</v>
      </c>
      <c r="D132" s="15" t="s">
        <v>338</v>
      </c>
      <c r="E132" s="15"/>
      <c r="F132" s="15"/>
      <c r="G132" s="15"/>
      <c r="H132" s="15" t="s">
        <v>342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25">
      <c r="A133" s="15" t="s">
        <v>17</v>
      </c>
      <c r="B133" s="15" t="s">
        <v>561</v>
      </c>
      <c r="C133" s="15" t="s">
        <v>337</v>
      </c>
      <c r="D133" s="15" t="s">
        <v>338</v>
      </c>
      <c r="E133" s="15"/>
      <c r="F133" s="15"/>
      <c r="G133" s="15"/>
      <c r="H133" s="15" t="s">
        <v>343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25">
      <c r="A134" s="15" t="s">
        <v>120</v>
      </c>
      <c r="B134" s="15" t="s">
        <v>561</v>
      </c>
      <c r="C134" s="15" t="s">
        <v>337</v>
      </c>
      <c r="D134" s="15" t="s">
        <v>338</v>
      </c>
      <c r="E134" s="15"/>
      <c r="F134" s="15"/>
      <c r="G134" s="15"/>
      <c r="H134" s="15" t="s">
        <v>343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hidden="1" x14ac:dyDescent="0.25">
      <c r="A135" s="15" t="s">
        <v>107</v>
      </c>
      <c r="B135" s="15" t="s">
        <v>561</v>
      </c>
      <c r="C135" s="15" t="s">
        <v>337</v>
      </c>
      <c r="D135" s="15" t="s">
        <v>338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hidden="1" x14ac:dyDescent="0.25">
      <c r="A136" s="15" t="s">
        <v>347</v>
      </c>
      <c r="B136" s="15" t="s">
        <v>561</v>
      </c>
      <c r="C136" s="15" t="s">
        <v>337</v>
      </c>
      <c r="D136" s="15" t="s">
        <v>338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25">
      <c r="A137" s="15" t="s">
        <v>103</v>
      </c>
      <c r="B137" s="15" t="s">
        <v>561</v>
      </c>
      <c r="C137" s="15" t="s">
        <v>337</v>
      </c>
      <c r="D137" s="15" t="s">
        <v>338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25">
      <c r="A138" s="15" t="s">
        <v>51</v>
      </c>
      <c r="B138" s="15" t="s">
        <v>561</v>
      </c>
      <c r="C138" s="15" t="s">
        <v>337</v>
      </c>
      <c r="D138" s="15" t="s">
        <v>338</v>
      </c>
      <c r="E138" s="15"/>
      <c r="F138" s="15"/>
      <c r="G138" s="15"/>
      <c r="H138" s="15" t="s">
        <v>342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25">
      <c r="A139" s="15" t="s">
        <v>21</v>
      </c>
      <c r="B139" s="15" t="s">
        <v>561</v>
      </c>
      <c r="C139" s="15" t="s">
        <v>337</v>
      </c>
      <c r="D139" s="15" t="s">
        <v>348</v>
      </c>
      <c r="E139" s="15" t="s">
        <v>320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25">
      <c r="A140" s="15" t="s">
        <v>22</v>
      </c>
      <c r="B140" s="15" t="s">
        <v>561</v>
      </c>
      <c r="C140" s="15" t="s">
        <v>337</v>
      </c>
      <c r="D140" s="15" t="s">
        <v>348</v>
      </c>
      <c r="E140" s="15" t="s">
        <v>320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25">
      <c r="A141" s="15" t="s">
        <v>56</v>
      </c>
      <c r="B141" s="15" t="s">
        <v>561</v>
      </c>
      <c r="C141" s="15" t="s">
        <v>337</v>
      </c>
      <c r="D141" s="15" t="s">
        <v>348</v>
      </c>
      <c r="E141" s="15" t="s">
        <v>320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hidden="1" x14ac:dyDescent="0.25">
      <c r="A142" s="15" t="s">
        <v>25</v>
      </c>
      <c r="B142" s="15" t="s">
        <v>561</v>
      </c>
      <c r="C142" s="15" t="s">
        <v>337</v>
      </c>
      <c r="D142" s="15" t="s">
        <v>348</v>
      </c>
      <c r="E142" s="15" t="s">
        <v>320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25">
      <c r="A143" s="15" t="s">
        <v>54</v>
      </c>
      <c r="B143" s="15" t="s">
        <v>561</v>
      </c>
      <c r="C143" s="15" t="s">
        <v>337</v>
      </c>
      <c r="D143" s="15" t="s">
        <v>348</v>
      </c>
      <c r="E143" s="15" t="s">
        <v>320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25">
      <c r="A144" s="15" t="s">
        <v>350</v>
      </c>
      <c r="B144" s="15" t="s">
        <v>561</v>
      </c>
      <c r="C144" s="15" t="s">
        <v>337</v>
      </c>
      <c r="D144" s="15" t="s">
        <v>348</v>
      </c>
      <c r="E144" s="15" t="s">
        <v>320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25">
      <c r="A145" s="15" t="s">
        <v>27</v>
      </c>
      <c r="B145" s="15" t="s">
        <v>561</v>
      </c>
      <c r="C145" s="15" t="s">
        <v>337</v>
      </c>
      <c r="D145" s="15" t="s">
        <v>348</v>
      </c>
      <c r="E145" s="15" t="s">
        <v>320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25">
      <c r="A146" s="15" t="s">
        <v>21</v>
      </c>
      <c r="B146" s="15" t="s">
        <v>561</v>
      </c>
      <c r="C146" s="15" t="s">
        <v>337</v>
      </c>
      <c r="D146" s="15" t="s">
        <v>348</v>
      </c>
      <c r="E146" s="15" t="s">
        <v>320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25">
      <c r="A147" s="15" t="s">
        <v>152</v>
      </c>
      <c r="B147" s="15" t="s">
        <v>561</v>
      </c>
      <c r="C147" s="15" t="s">
        <v>337</v>
      </c>
      <c r="D147" s="15" t="s">
        <v>348</v>
      </c>
      <c r="E147" s="15" t="s">
        <v>320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25">
      <c r="A148" s="15" t="s">
        <v>18</v>
      </c>
      <c r="B148" s="15" t="s">
        <v>561</v>
      </c>
      <c r="C148" s="15" t="s">
        <v>337</v>
      </c>
      <c r="D148" s="15" t="s">
        <v>348</v>
      </c>
      <c r="E148" s="15" t="s">
        <v>320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25">
      <c r="A149" s="15" t="s">
        <v>93</v>
      </c>
      <c r="B149" s="15" t="s">
        <v>561</v>
      </c>
      <c r="C149" s="15" t="s">
        <v>337</v>
      </c>
      <c r="D149" s="15" t="s">
        <v>348</v>
      </c>
      <c r="E149" s="15" t="s">
        <v>320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25">
      <c r="A150" s="15" t="s">
        <v>336</v>
      </c>
      <c r="B150" s="15" t="s">
        <v>561</v>
      </c>
      <c r="C150" s="15" t="s">
        <v>337</v>
      </c>
      <c r="D150" s="15" t="s">
        <v>348</v>
      </c>
      <c r="E150" s="15" t="s">
        <v>320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25">
      <c r="A151" s="15" t="s">
        <v>51</v>
      </c>
      <c r="B151" s="15" t="s">
        <v>561</v>
      </c>
      <c r="C151" s="15" t="s">
        <v>337</v>
      </c>
      <c r="D151" s="15" t="s">
        <v>348</v>
      </c>
      <c r="E151" s="15" t="s">
        <v>320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hidden="1" x14ac:dyDescent="0.25">
      <c r="A152" s="15" t="s">
        <v>21</v>
      </c>
      <c r="B152" s="15" t="s">
        <v>561</v>
      </c>
      <c r="C152" s="15" t="s">
        <v>337</v>
      </c>
      <c r="D152" s="15" t="s">
        <v>348</v>
      </c>
      <c r="E152" s="15" t="s">
        <v>322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hidden="1" x14ac:dyDescent="0.25">
      <c r="A153" s="15" t="s">
        <v>22</v>
      </c>
      <c r="B153" s="15" t="s">
        <v>561</v>
      </c>
      <c r="C153" s="15" t="s">
        <v>337</v>
      </c>
      <c r="D153" s="15" t="s">
        <v>348</v>
      </c>
      <c r="E153" s="15" t="s">
        <v>322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hidden="1" x14ac:dyDescent="0.25">
      <c r="A154" s="15" t="s">
        <v>20</v>
      </c>
      <c r="B154" s="15" t="s">
        <v>561</v>
      </c>
      <c r="C154" s="15" t="s">
        <v>337</v>
      </c>
      <c r="D154" s="15" t="s">
        <v>348</v>
      </c>
      <c r="E154" s="15" t="s">
        <v>322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hidden="1" x14ac:dyDescent="0.25">
      <c r="A155" s="15" t="s">
        <v>345</v>
      </c>
      <c r="B155" s="15" t="s">
        <v>561</v>
      </c>
      <c r="C155" s="15" t="s">
        <v>337</v>
      </c>
      <c r="D155" s="15" t="s">
        <v>348</v>
      </c>
      <c r="E155" s="15" t="s">
        <v>322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hidden="1" x14ac:dyDescent="0.25">
      <c r="A156" s="15" t="s">
        <v>7</v>
      </c>
      <c r="B156" s="15" t="s">
        <v>561</v>
      </c>
      <c r="C156" s="15" t="s">
        <v>337</v>
      </c>
      <c r="D156" s="15" t="s">
        <v>348</v>
      </c>
      <c r="E156" s="15" t="s">
        <v>322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hidden="1" x14ac:dyDescent="0.25">
      <c r="A157" s="15" t="s">
        <v>333</v>
      </c>
      <c r="B157" s="15" t="s">
        <v>561</v>
      </c>
      <c r="C157" s="15" t="s">
        <v>337</v>
      </c>
      <c r="D157" s="15" t="s">
        <v>348</v>
      </c>
      <c r="E157" s="15" t="s">
        <v>322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hidden="1" x14ac:dyDescent="0.25">
      <c r="A158" s="15" t="s">
        <v>346</v>
      </c>
      <c r="B158" s="15" t="s">
        <v>561</v>
      </c>
      <c r="C158" s="15" t="s">
        <v>337</v>
      </c>
      <c r="D158" s="15" t="s">
        <v>348</v>
      </c>
      <c r="E158" s="15" t="s">
        <v>322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hidden="1" x14ac:dyDescent="0.25">
      <c r="A159" s="15" t="s">
        <v>55</v>
      </c>
      <c r="B159" s="15" t="s">
        <v>561</v>
      </c>
      <c r="C159" s="15" t="s">
        <v>337</v>
      </c>
      <c r="D159" s="15" t="s">
        <v>348</v>
      </c>
      <c r="E159" s="15" t="s">
        <v>322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hidden="1" x14ac:dyDescent="0.25">
      <c r="A160" s="15" t="s">
        <v>51</v>
      </c>
      <c r="B160" s="15" t="s">
        <v>561</v>
      </c>
      <c r="C160" s="15" t="s">
        <v>337</v>
      </c>
      <c r="D160" s="15" t="s">
        <v>348</v>
      </c>
      <c r="E160" s="15" t="s">
        <v>322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25">
      <c r="A161" s="15" t="s">
        <v>345</v>
      </c>
      <c r="B161" s="15" t="s">
        <v>561</v>
      </c>
      <c r="C161" s="15" t="s">
        <v>318</v>
      </c>
      <c r="D161" s="15" t="s">
        <v>319</v>
      </c>
      <c r="E161" s="15" t="s">
        <v>351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25">
      <c r="A162" s="15" t="s">
        <v>35</v>
      </c>
      <c r="B162" s="15" t="s">
        <v>561</v>
      </c>
      <c r="C162" s="15" t="s">
        <v>318</v>
      </c>
      <c r="D162" s="15" t="s">
        <v>319</v>
      </c>
      <c r="E162" s="15" t="s">
        <v>351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25">
      <c r="A163" s="15" t="s">
        <v>346</v>
      </c>
      <c r="B163" s="15" t="s">
        <v>561</v>
      </c>
      <c r="C163" s="15" t="s">
        <v>318</v>
      </c>
      <c r="D163" s="15" t="s">
        <v>319</v>
      </c>
      <c r="E163" s="15" t="s">
        <v>351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25">
      <c r="A164" s="15" t="s">
        <v>353</v>
      </c>
      <c r="B164" s="15" t="s">
        <v>561</v>
      </c>
      <c r="C164" s="15" t="s">
        <v>318</v>
      </c>
      <c r="D164" s="15" t="s">
        <v>319</v>
      </c>
      <c r="E164" s="15" t="s">
        <v>325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25">
      <c r="A165" s="15" t="s">
        <v>22</v>
      </c>
      <c r="B165" s="15" t="s">
        <v>561</v>
      </c>
      <c r="C165" s="15" t="s">
        <v>318</v>
      </c>
      <c r="D165" s="15" t="s">
        <v>319</v>
      </c>
      <c r="E165" s="15" t="s">
        <v>325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25">
      <c r="A166" s="15" t="s">
        <v>148</v>
      </c>
      <c r="B166" s="15" t="s">
        <v>561</v>
      </c>
      <c r="C166" s="15" t="s">
        <v>318</v>
      </c>
      <c r="D166" s="15" t="s">
        <v>319</v>
      </c>
      <c r="E166" s="15" t="s">
        <v>325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25">
      <c r="A167" s="15" t="s">
        <v>7</v>
      </c>
      <c r="B167" s="15" t="s">
        <v>561</v>
      </c>
      <c r="C167" s="15" t="s">
        <v>318</v>
      </c>
      <c r="D167" s="15" t="s">
        <v>319</v>
      </c>
      <c r="E167" s="15" t="s">
        <v>325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25">
      <c r="A168" s="15" t="s">
        <v>333</v>
      </c>
      <c r="B168" s="15" t="s">
        <v>561</v>
      </c>
      <c r="C168" s="15" t="s">
        <v>318</v>
      </c>
      <c r="D168" s="15" t="s">
        <v>319</v>
      </c>
      <c r="E168" s="15" t="s">
        <v>325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25">
      <c r="A169" s="15" t="s">
        <v>127</v>
      </c>
      <c r="B169" s="15" t="s">
        <v>561</v>
      </c>
      <c r="C169" s="15" t="s">
        <v>318</v>
      </c>
      <c r="D169" s="15" t="s">
        <v>319</v>
      </c>
      <c r="E169" s="15" t="s">
        <v>325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25">
      <c r="A170" s="15" t="s">
        <v>102</v>
      </c>
      <c r="B170" s="15" t="s">
        <v>561</v>
      </c>
      <c r="C170" s="15" t="s">
        <v>318</v>
      </c>
      <c r="D170" s="15" t="s">
        <v>319</v>
      </c>
      <c r="E170" s="15" t="s">
        <v>325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25">
      <c r="A171" s="15" t="s">
        <v>105</v>
      </c>
      <c r="B171" s="15" t="s">
        <v>561</v>
      </c>
      <c r="C171" s="15" t="s">
        <v>318</v>
      </c>
      <c r="D171" s="15" t="s">
        <v>319</v>
      </c>
      <c r="E171" s="15" t="s">
        <v>325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25">
      <c r="A172" s="15" t="s">
        <v>154</v>
      </c>
      <c r="B172" s="15" t="s">
        <v>561</v>
      </c>
      <c r="C172" s="15" t="s">
        <v>318</v>
      </c>
      <c r="D172" s="15" t="s">
        <v>319</v>
      </c>
      <c r="E172" s="15" t="s">
        <v>325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25">
      <c r="A173" s="15" t="s">
        <v>118</v>
      </c>
      <c r="B173" s="15" t="s">
        <v>561</v>
      </c>
      <c r="C173" s="15" t="s">
        <v>318</v>
      </c>
      <c r="D173" s="15" t="s">
        <v>319</v>
      </c>
      <c r="E173" s="15" t="s">
        <v>325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25">
      <c r="A174" s="15" t="s">
        <v>156</v>
      </c>
      <c r="B174" s="15" t="s">
        <v>561</v>
      </c>
      <c r="C174" s="15" t="s">
        <v>318</v>
      </c>
      <c r="D174" s="15" t="s">
        <v>319</v>
      </c>
      <c r="E174" s="15" t="s">
        <v>354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25">
      <c r="A175" s="15" t="s">
        <v>127</v>
      </c>
      <c r="B175" s="15" t="s">
        <v>561</v>
      </c>
      <c r="C175" s="15" t="s">
        <v>318</v>
      </c>
      <c r="D175" s="15" t="s">
        <v>319</v>
      </c>
      <c r="E175" s="15" t="s">
        <v>355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25">
      <c r="A176" s="15" t="s">
        <v>22</v>
      </c>
      <c r="B176" s="15" t="s">
        <v>561</v>
      </c>
      <c r="C176" s="15" t="s">
        <v>318</v>
      </c>
      <c r="D176" s="15" t="s">
        <v>319</v>
      </c>
      <c r="E176" s="15" t="s">
        <v>320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25">
      <c r="A177" s="15" t="s">
        <v>21</v>
      </c>
      <c r="B177" s="15" t="s">
        <v>561</v>
      </c>
      <c r="C177" s="15" t="s">
        <v>318</v>
      </c>
      <c r="D177" s="15" t="s">
        <v>319</v>
      </c>
      <c r="E177" s="15" t="s">
        <v>320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25">
      <c r="A178" s="15" t="s">
        <v>93</v>
      </c>
      <c r="B178" s="15" t="s">
        <v>561</v>
      </c>
      <c r="C178" s="15" t="s">
        <v>318</v>
      </c>
      <c r="D178" s="15" t="s">
        <v>319</v>
      </c>
      <c r="E178" s="15" t="s">
        <v>320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hidden="1" x14ac:dyDescent="0.25">
      <c r="A179" s="15" t="s">
        <v>7</v>
      </c>
      <c r="B179" s="15" t="s">
        <v>561</v>
      </c>
      <c r="C179" s="15" t="s">
        <v>318</v>
      </c>
      <c r="D179" s="15" t="s">
        <v>319</v>
      </c>
      <c r="E179" s="15" t="s">
        <v>322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hidden="1" x14ac:dyDescent="0.25">
      <c r="A180" s="15" t="s">
        <v>333</v>
      </c>
      <c r="B180" s="15" t="s">
        <v>561</v>
      </c>
      <c r="C180" s="15" t="s">
        <v>318</v>
      </c>
      <c r="D180" s="15" t="s">
        <v>319</v>
      </c>
      <c r="E180" s="15" t="s">
        <v>322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25">
      <c r="A181" s="15" t="s">
        <v>148</v>
      </c>
      <c r="B181" s="15" t="s">
        <v>561</v>
      </c>
      <c r="C181" s="15" t="s">
        <v>318</v>
      </c>
      <c r="D181" s="15" t="s">
        <v>319</v>
      </c>
      <c r="E181" s="15" t="s">
        <v>356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25">
      <c r="A182" s="15" t="s">
        <v>173</v>
      </c>
      <c r="B182" s="15" t="s">
        <v>561</v>
      </c>
      <c r="C182" s="15" t="s">
        <v>318</v>
      </c>
      <c r="D182" s="15" t="s">
        <v>319</v>
      </c>
      <c r="E182" s="15" t="s">
        <v>356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25">
      <c r="A183" s="15" t="s">
        <v>156</v>
      </c>
      <c r="B183" s="15" t="s">
        <v>561</v>
      </c>
      <c r="C183" s="15" t="s">
        <v>318</v>
      </c>
      <c r="D183" s="15" t="s">
        <v>319</v>
      </c>
      <c r="E183" s="15" t="s">
        <v>356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25">
      <c r="A184" s="15" t="s">
        <v>154</v>
      </c>
      <c r="B184" s="15" t="s">
        <v>561</v>
      </c>
      <c r="C184" s="15" t="s">
        <v>318</v>
      </c>
      <c r="D184" s="15" t="s">
        <v>319</v>
      </c>
      <c r="E184" s="15" t="s">
        <v>356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25">
      <c r="A185" s="15" t="s">
        <v>160</v>
      </c>
      <c r="B185" s="15" t="s">
        <v>561</v>
      </c>
      <c r="C185" s="15" t="s">
        <v>318</v>
      </c>
      <c r="D185" s="15" t="s">
        <v>319</v>
      </c>
      <c r="E185" s="15" t="s">
        <v>356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25">
      <c r="A186" s="15" t="s">
        <v>127</v>
      </c>
      <c r="B186" s="15" t="s">
        <v>561</v>
      </c>
      <c r="C186" s="15" t="s">
        <v>318</v>
      </c>
      <c r="D186" s="15" t="s">
        <v>319</v>
      </c>
      <c r="E186" s="15" t="s">
        <v>357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25">
      <c r="A187" s="15" t="s">
        <v>102</v>
      </c>
      <c r="B187" s="15" t="s">
        <v>561</v>
      </c>
      <c r="C187" s="15" t="s">
        <v>318</v>
      </c>
      <c r="D187" s="15" t="s">
        <v>319</v>
      </c>
      <c r="E187" s="15" t="s">
        <v>358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25">
      <c r="A188" s="15" t="s">
        <v>103</v>
      </c>
      <c r="B188" s="15" t="s">
        <v>561</v>
      </c>
      <c r="C188" s="15" t="s">
        <v>318</v>
      </c>
      <c r="D188" s="15" t="s">
        <v>319</v>
      </c>
      <c r="E188" s="15" t="s">
        <v>358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25">
      <c r="A189" s="15" t="s">
        <v>105</v>
      </c>
      <c r="B189" s="15" t="s">
        <v>561</v>
      </c>
      <c r="C189" s="15" t="s">
        <v>318</v>
      </c>
      <c r="D189" s="15" t="s">
        <v>319</v>
      </c>
      <c r="E189" s="15" t="s">
        <v>359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25">
      <c r="A190" s="15" t="s">
        <v>118</v>
      </c>
      <c r="B190" s="15" t="s">
        <v>561</v>
      </c>
      <c r="C190" s="15" t="s">
        <v>318</v>
      </c>
      <c r="D190" s="15" t="s">
        <v>319</v>
      </c>
      <c r="E190" s="15" t="s">
        <v>360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25">
      <c r="A191" s="15" t="s">
        <v>341</v>
      </c>
      <c r="B191" s="15" t="s">
        <v>561</v>
      </c>
      <c r="C191" s="15" t="s">
        <v>337</v>
      </c>
      <c r="D191" s="15" t="s">
        <v>338</v>
      </c>
      <c r="E191" s="15" t="s">
        <v>325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25">
      <c r="A192" s="15" t="s">
        <v>7</v>
      </c>
      <c r="B192" s="15" t="s">
        <v>561</v>
      </c>
      <c r="C192" s="15" t="s">
        <v>337</v>
      </c>
      <c r="D192" s="15" t="s">
        <v>338</v>
      </c>
      <c r="E192" s="15" t="s">
        <v>325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25">
      <c r="A193" s="15" t="s">
        <v>333</v>
      </c>
      <c r="B193" s="15" t="s">
        <v>561</v>
      </c>
      <c r="C193" s="15" t="s">
        <v>337</v>
      </c>
      <c r="D193" s="15" t="s">
        <v>338</v>
      </c>
      <c r="E193" s="15" t="s">
        <v>325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25">
      <c r="A194" s="15" t="s">
        <v>105</v>
      </c>
      <c r="B194" s="15" t="s">
        <v>561</v>
      </c>
      <c r="C194" s="15" t="s">
        <v>337</v>
      </c>
      <c r="D194" s="15" t="s">
        <v>338</v>
      </c>
      <c r="E194" s="15" t="s">
        <v>325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25">
      <c r="A195" s="15" t="s">
        <v>346</v>
      </c>
      <c r="B195" s="15" t="s">
        <v>561</v>
      </c>
      <c r="C195" s="15" t="s">
        <v>337</v>
      </c>
      <c r="D195" s="15" t="s">
        <v>338</v>
      </c>
      <c r="E195" s="15" t="s">
        <v>325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25">
      <c r="A196" s="467" t="s">
        <v>22</v>
      </c>
      <c r="B196" s="467" t="s">
        <v>561</v>
      </c>
      <c r="C196" s="467" t="s">
        <v>362</v>
      </c>
      <c r="D196" s="467" t="s">
        <v>363</v>
      </c>
      <c r="E196" s="15"/>
      <c r="F196" s="15"/>
      <c r="G196" s="15"/>
      <c r="H196" s="15" t="s">
        <v>342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25">
      <c r="A197" s="15" t="s">
        <v>20</v>
      </c>
      <c r="B197" s="15" t="s">
        <v>561</v>
      </c>
      <c r="C197" s="15" t="s">
        <v>364</v>
      </c>
      <c r="D197" s="15" t="s">
        <v>365</v>
      </c>
      <c r="E197" s="15"/>
      <c r="F197" s="15"/>
      <c r="G197" s="15"/>
      <c r="H197" s="15" t="s">
        <v>343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hidden="1" x14ac:dyDescent="0.25">
      <c r="A198" s="15" t="s">
        <v>25</v>
      </c>
      <c r="B198" s="15" t="s">
        <v>561</v>
      </c>
      <c r="C198" s="15" t="s">
        <v>362</v>
      </c>
      <c r="D198" s="15" t="s">
        <v>363</v>
      </c>
      <c r="E198" s="15"/>
      <c r="F198" s="15"/>
      <c r="G198" s="15"/>
      <c r="H198" s="15" t="s">
        <v>342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25">
      <c r="A199" s="15" t="s">
        <v>350</v>
      </c>
      <c r="B199" s="15" t="s">
        <v>561</v>
      </c>
      <c r="C199" s="15" t="s">
        <v>362</v>
      </c>
      <c r="D199" s="15" t="s">
        <v>366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25">
      <c r="A200" s="15" t="s">
        <v>27</v>
      </c>
      <c r="B200" s="15" t="s">
        <v>561</v>
      </c>
      <c r="C200" s="15" t="s">
        <v>362</v>
      </c>
      <c r="D200" s="15" t="s">
        <v>363</v>
      </c>
      <c r="E200" s="15"/>
      <c r="F200" s="15"/>
      <c r="G200" s="15"/>
      <c r="H200" s="15" t="s">
        <v>368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hidden="1" x14ac:dyDescent="0.25">
      <c r="A201" s="15" t="s">
        <v>7</v>
      </c>
      <c r="B201" s="15" t="s">
        <v>561</v>
      </c>
      <c r="C201" s="15" t="s">
        <v>362</v>
      </c>
      <c r="D201" s="15" t="s">
        <v>369</v>
      </c>
      <c r="E201" s="15"/>
      <c r="F201" s="15"/>
      <c r="G201" s="15"/>
      <c r="H201" s="15" t="s">
        <v>342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hidden="1" x14ac:dyDescent="0.25">
      <c r="A202" s="15" t="s">
        <v>7</v>
      </c>
      <c r="B202" s="15" t="s">
        <v>561</v>
      </c>
      <c r="C202" s="15" t="s">
        <v>362</v>
      </c>
      <c r="D202" s="15" t="s">
        <v>370</v>
      </c>
      <c r="E202" s="15"/>
      <c r="F202" s="15"/>
      <c r="G202" s="15"/>
      <c r="H202" s="15" t="s">
        <v>342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25">
      <c r="A203" s="15" t="s">
        <v>7</v>
      </c>
      <c r="B203" s="15" t="s">
        <v>561</v>
      </c>
      <c r="C203" s="15" t="s">
        <v>362</v>
      </c>
      <c r="D203" s="15" t="s">
        <v>371</v>
      </c>
      <c r="E203" s="15"/>
      <c r="F203" s="15"/>
      <c r="G203" s="15"/>
      <c r="H203" s="15" t="s">
        <v>342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25">
      <c r="A204" s="15" t="s">
        <v>7</v>
      </c>
      <c r="B204" s="15" t="s">
        <v>561</v>
      </c>
      <c r="C204" s="15" t="s">
        <v>364</v>
      </c>
      <c r="D204" s="15" t="s">
        <v>372</v>
      </c>
      <c r="E204" s="15"/>
      <c r="F204" s="15"/>
      <c r="G204" s="15"/>
      <c r="H204" s="15" t="s">
        <v>343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25">
      <c r="A205" s="15" t="s">
        <v>7</v>
      </c>
      <c r="B205" s="15" t="s">
        <v>561</v>
      </c>
      <c r="C205" s="15" t="s">
        <v>364</v>
      </c>
      <c r="D205" s="15" t="s">
        <v>373</v>
      </c>
      <c r="E205" s="15"/>
      <c r="F205" s="15"/>
      <c r="G205" s="15"/>
      <c r="H205" s="15" t="s">
        <v>343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hidden="1" x14ac:dyDescent="0.25">
      <c r="A206" s="15" t="s">
        <v>333</v>
      </c>
      <c r="B206" s="15" t="s">
        <v>561</v>
      </c>
      <c r="C206" s="15" t="s">
        <v>362</v>
      </c>
      <c r="D206" s="15" t="s">
        <v>369</v>
      </c>
      <c r="E206" s="15"/>
      <c r="F206" s="15"/>
      <c r="G206" s="15"/>
      <c r="H206" s="15" t="s">
        <v>342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hidden="1" x14ac:dyDescent="0.25">
      <c r="A207" s="15" t="s">
        <v>333</v>
      </c>
      <c r="B207" s="15" t="s">
        <v>561</v>
      </c>
      <c r="C207" s="15" t="s">
        <v>362</v>
      </c>
      <c r="D207" s="15" t="s">
        <v>370</v>
      </c>
      <c r="E207" s="15"/>
      <c r="F207" s="15"/>
      <c r="G207" s="15"/>
      <c r="H207" s="15" t="s">
        <v>342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25">
      <c r="A208" s="15" t="s">
        <v>333</v>
      </c>
      <c r="B208" s="15" t="s">
        <v>561</v>
      </c>
      <c r="C208" s="15" t="s">
        <v>362</v>
      </c>
      <c r="D208" s="15" t="s">
        <v>371</v>
      </c>
      <c r="E208" s="15"/>
      <c r="F208" s="15"/>
      <c r="G208" s="15"/>
      <c r="H208" s="15" t="s">
        <v>342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25">
      <c r="A209" s="15" t="s">
        <v>333</v>
      </c>
      <c r="B209" s="15" t="s">
        <v>561</v>
      </c>
      <c r="C209" s="15" t="s">
        <v>364</v>
      </c>
      <c r="D209" s="15" t="s">
        <v>372</v>
      </c>
      <c r="E209" s="15"/>
      <c r="F209" s="15"/>
      <c r="G209" s="15"/>
      <c r="H209" s="15" t="s">
        <v>343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25">
      <c r="A210" s="15" t="s">
        <v>333</v>
      </c>
      <c r="B210" s="15" t="s">
        <v>561</v>
      </c>
      <c r="C210" s="15" t="s">
        <v>364</v>
      </c>
      <c r="D210" s="15" t="s">
        <v>373</v>
      </c>
      <c r="E210" s="15"/>
      <c r="F210" s="15"/>
      <c r="G210" s="15"/>
      <c r="H210" s="15" t="s">
        <v>343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25">
      <c r="A211" s="15" t="s">
        <v>21</v>
      </c>
      <c r="B211" s="15" t="s">
        <v>561</v>
      </c>
      <c r="C211" s="15" t="s">
        <v>362</v>
      </c>
      <c r="D211" s="15" t="s">
        <v>363</v>
      </c>
      <c r="E211" s="15"/>
      <c r="F211" s="15"/>
      <c r="G211" s="15"/>
      <c r="H211" s="15" t="s">
        <v>342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25">
      <c r="A212" s="15" t="s">
        <v>21</v>
      </c>
      <c r="B212" s="15" t="s">
        <v>561</v>
      </c>
      <c r="C212" s="15" t="s">
        <v>362</v>
      </c>
      <c r="D212" s="15" t="s">
        <v>366</v>
      </c>
      <c r="E212" s="15"/>
      <c r="F212" s="15"/>
      <c r="G212" s="15"/>
      <c r="H212" s="15" t="s">
        <v>342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25">
      <c r="A213" s="15" t="s">
        <v>18</v>
      </c>
      <c r="B213" s="15" t="s">
        <v>561</v>
      </c>
      <c r="C213" s="15" t="s">
        <v>364</v>
      </c>
      <c r="D213" s="15" t="s">
        <v>365</v>
      </c>
      <c r="E213" s="15"/>
      <c r="F213" s="15"/>
      <c r="G213" s="15"/>
      <c r="H213" s="15" t="s">
        <v>343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25">
      <c r="A214" s="15" t="s">
        <v>17</v>
      </c>
      <c r="B214" s="15" t="s">
        <v>561</v>
      </c>
      <c r="C214" s="15" t="s">
        <v>364</v>
      </c>
      <c r="D214" s="15" t="s">
        <v>365</v>
      </c>
      <c r="E214" s="15"/>
      <c r="F214" s="15"/>
      <c r="G214" s="15"/>
      <c r="H214" s="15" t="s">
        <v>343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25">
      <c r="A215" s="15" t="s">
        <v>336</v>
      </c>
      <c r="B215" s="15" t="s">
        <v>561</v>
      </c>
      <c r="C215" s="15" t="s">
        <v>362</v>
      </c>
      <c r="D215" s="15" t="s">
        <v>366</v>
      </c>
      <c r="E215" s="15"/>
      <c r="F215" s="15"/>
      <c r="G215" s="15"/>
      <c r="H215" s="15" t="s">
        <v>342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hidden="1" x14ac:dyDescent="0.25">
      <c r="A216" s="15" t="s">
        <v>333</v>
      </c>
      <c r="B216" s="15" t="s">
        <v>561</v>
      </c>
      <c r="C216" s="15" t="s">
        <v>337</v>
      </c>
      <c r="D216" s="15" t="s">
        <v>374</v>
      </c>
      <c r="E216" s="15"/>
      <c r="F216" s="15"/>
      <c r="G216" s="15"/>
      <c r="H216" s="15" t="s">
        <v>375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25">
      <c r="A217" s="15" t="s">
        <v>22</v>
      </c>
      <c r="B217" s="15" t="s">
        <v>561</v>
      </c>
      <c r="C217" s="15" t="s">
        <v>337</v>
      </c>
      <c r="D217" s="15" t="s">
        <v>374</v>
      </c>
      <c r="E217" s="15"/>
      <c r="F217" s="15"/>
      <c r="G217" s="15"/>
      <c r="H217" s="15" t="s">
        <v>377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25">
      <c r="A218" s="15" t="s">
        <v>20</v>
      </c>
      <c r="B218" s="15" t="s">
        <v>561</v>
      </c>
      <c r="C218" s="15" t="s">
        <v>337</v>
      </c>
      <c r="D218" s="15" t="s">
        <v>374</v>
      </c>
      <c r="E218" s="15"/>
      <c r="F218" s="15"/>
      <c r="G218" s="15"/>
      <c r="H218" s="15" t="s">
        <v>343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25">
      <c r="A219" s="15" t="s">
        <v>345</v>
      </c>
      <c r="B219" s="15" t="s">
        <v>561</v>
      </c>
      <c r="C219" s="15" t="s">
        <v>337</v>
      </c>
      <c r="D219" s="15" t="s">
        <v>374</v>
      </c>
      <c r="E219" s="15"/>
      <c r="F219" s="15"/>
      <c r="G219" s="15"/>
      <c r="H219" s="15" t="s">
        <v>377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hidden="1" x14ac:dyDescent="0.25">
      <c r="A220" s="15" t="s">
        <v>7</v>
      </c>
      <c r="B220" s="15" t="s">
        <v>561</v>
      </c>
      <c r="C220" s="15" t="s">
        <v>337</v>
      </c>
      <c r="D220" s="15" t="s">
        <v>374</v>
      </c>
      <c r="E220" s="15"/>
      <c r="F220" s="15"/>
      <c r="G220" s="15">
        <v>1</v>
      </c>
      <c r="H220" s="15" t="s">
        <v>375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hidden="1" x14ac:dyDescent="0.25">
      <c r="A221" s="15" t="s">
        <v>333</v>
      </c>
      <c r="B221" s="15" t="s">
        <v>561</v>
      </c>
      <c r="C221" s="15" t="s">
        <v>337</v>
      </c>
      <c r="D221" s="15" t="s">
        <v>374</v>
      </c>
      <c r="E221" s="15"/>
      <c r="F221" s="15"/>
      <c r="G221" s="15"/>
      <c r="H221" s="15" t="s">
        <v>375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25">
      <c r="A222" s="15" t="s">
        <v>36</v>
      </c>
      <c r="B222" s="15" t="s">
        <v>561</v>
      </c>
      <c r="C222" s="15" t="s">
        <v>337</v>
      </c>
      <c r="D222" s="15" t="s">
        <v>374</v>
      </c>
      <c r="E222" s="15"/>
      <c r="F222" s="15"/>
      <c r="G222" s="15"/>
      <c r="H222" s="15" t="s">
        <v>377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25">
      <c r="A223" s="15" t="s">
        <v>346</v>
      </c>
      <c r="B223" s="15" t="s">
        <v>561</v>
      </c>
      <c r="C223" s="15" t="s">
        <v>337</v>
      </c>
      <c r="D223" s="15" t="s">
        <v>374</v>
      </c>
      <c r="E223" s="15"/>
      <c r="F223" s="15"/>
      <c r="G223" s="15"/>
      <c r="H223" s="15" t="s">
        <v>377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25">
      <c r="A224" s="15" t="s">
        <v>118</v>
      </c>
      <c r="B224" s="15" t="s">
        <v>561</v>
      </c>
      <c r="C224" s="15" t="s">
        <v>337</v>
      </c>
      <c r="D224" s="15" t="s">
        <v>374</v>
      </c>
      <c r="E224" s="15"/>
      <c r="F224" s="15"/>
      <c r="G224" s="15"/>
      <c r="H224" s="15" t="s">
        <v>343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25">
      <c r="A225" s="15" t="s">
        <v>93</v>
      </c>
      <c r="B225" s="15" t="s">
        <v>561</v>
      </c>
      <c r="C225" s="15" t="s">
        <v>337</v>
      </c>
      <c r="D225" s="15" t="s">
        <v>374</v>
      </c>
      <c r="E225" s="15"/>
      <c r="F225" s="15"/>
      <c r="G225" s="15"/>
      <c r="H225" s="15" t="s">
        <v>343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25">
      <c r="A226" s="15" t="s">
        <v>55</v>
      </c>
      <c r="B226" s="15" t="s">
        <v>561</v>
      </c>
      <c r="C226" s="15" t="s">
        <v>337</v>
      </c>
      <c r="D226" s="15" t="s">
        <v>374</v>
      </c>
      <c r="E226" s="15"/>
      <c r="F226" s="15"/>
      <c r="G226" s="15"/>
      <c r="H226" s="15" t="s">
        <v>377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25">
      <c r="A227" s="15" t="s">
        <v>17</v>
      </c>
      <c r="B227" s="15" t="s">
        <v>561</v>
      </c>
      <c r="C227" s="15" t="s">
        <v>337</v>
      </c>
      <c r="D227" s="15" t="s">
        <v>374</v>
      </c>
      <c r="E227" s="15"/>
      <c r="F227" s="15"/>
      <c r="G227" s="15"/>
      <c r="H227" s="15" t="s">
        <v>343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25">
      <c r="A228" s="15" t="s">
        <v>51</v>
      </c>
      <c r="B228" s="15" t="s">
        <v>561</v>
      </c>
      <c r="C228" s="15" t="s">
        <v>337</v>
      </c>
      <c r="D228" s="15" t="s">
        <v>374</v>
      </c>
      <c r="E228" s="15"/>
      <c r="F228" s="15"/>
      <c r="G228" s="15"/>
      <c r="H228" s="15" t="s">
        <v>377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25">
      <c r="A229" s="15" t="s">
        <v>7</v>
      </c>
      <c r="B229" s="15" t="s">
        <v>561</v>
      </c>
      <c r="C229" s="15" t="s">
        <v>323</v>
      </c>
      <c r="D229" s="15" t="s">
        <v>324</v>
      </c>
      <c r="E229" s="15"/>
      <c r="F229" s="15"/>
      <c r="G229" s="15">
        <v>1</v>
      </c>
      <c r="H229" s="15" t="s">
        <v>379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25">
      <c r="A230" s="15" t="s">
        <v>380</v>
      </c>
      <c r="B230" s="15" t="s">
        <v>561</v>
      </c>
      <c r="C230" s="15" t="s">
        <v>318</v>
      </c>
      <c r="D230" s="15" t="s">
        <v>326</v>
      </c>
      <c r="E230" s="15" t="s">
        <v>320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hidden="1" x14ac:dyDescent="0.25">
      <c r="A231" s="15" t="s">
        <v>21</v>
      </c>
      <c r="B231" s="15" t="s">
        <v>561</v>
      </c>
      <c r="C231" s="15" t="s">
        <v>318</v>
      </c>
      <c r="D231" s="15" t="s">
        <v>331</v>
      </c>
      <c r="E231" s="15" t="s">
        <v>322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25">
      <c r="A232" s="15" t="s">
        <v>333</v>
      </c>
      <c r="B232" s="15" t="s">
        <v>561</v>
      </c>
      <c r="C232" s="15" t="s">
        <v>364</v>
      </c>
      <c r="D232" s="15" t="s">
        <v>381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25">
      <c r="A233" s="15" t="s">
        <v>383</v>
      </c>
      <c r="B233" s="15" t="s">
        <v>561</v>
      </c>
      <c r="C233" s="15" t="s">
        <v>318</v>
      </c>
      <c r="D233" s="15" t="s">
        <v>326</v>
      </c>
      <c r="E233" s="15" t="s">
        <v>320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25">
      <c r="A234" s="15" t="s">
        <v>353</v>
      </c>
      <c r="B234" s="15" t="s">
        <v>561</v>
      </c>
      <c r="C234" s="15" t="s">
        <v>318</v>
      </c>
      <c r="D234" s="15" t="s">
        <v>326</v>
      </c>
      <c r="E234" s="15" t="s">
        <v>320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25">
      <c r="A235" s="15" t="s">
        <v>22</v>
      </c>
      <c r="B235" s="15" t="s">
        <v>561</v>
      </c>
      <c r="C235" s="15" t="s">
        <v>318</v>
      </c>
      <c r="D235" s="15" t="s">
        <v>326</v>
      </c>
      <c r="E235" s="15" t="s">
        <v>320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25">
      <c r="A236" s="15" t="s">
        <v>56</v>
      </c>
      <c r="B236" s="15" t="s">
        <v>561</v>
      </c>
      <c r="C236" s="15" t="s">
        <v>318</v>
      </c>
      <c r="D236" s="15" t="s">
        <v>326</v>
      </c>
      <c r="E236" s="15" t="s">
        <v>320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25">
      <c r="A237" s="15" t="s">
        <v>90</v>
      </c>
      <c r="B237" s="15" t="s">
        <v>561</v>
      </c>
      <c r="C237" s="15" t="s">
        <v>318</v>
      </c>
      <c r="D237" s="15" t="s">
        <v>326</v>
      </c>
      <c r="E237" s="15" t="s">
        <v>320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25">
      <c r="A238" s="15" t="s">
        <v>20</v>
      </c>
      <c r="B238" s="15" t="s">
        <v>561</v>
      </c>
      <c r="C238" s="15" t="s">
        <v>318</v>
      </c>
      <c r="D238" s="15" t="s">
        <v>326</v>
      </c>
      <c r="E238" s="15" t="s">
        <v>320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hidden="1" x14ac:dyDescent="0.25">
      <c r="A239" s="15" t="s">
        <v>20</v>
      </c>
      <c r="B239" s="15" t="s">
        <v>561</v>
      </c>
      <c r="C239" s="15" t="s">
        <v>318</v>
      </c>
      <c r="D239" s="15" t="s">
        <v>326</v>
      </c>
      <c r="E239" s="15" t="s">
        <v>322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hidden="1" x14ac:dyDescent="0.25">
      <c r="A240" s="15" t="s">
        <v>25</v>
      </c>
      <c r="B240" s="15" t="s">
        <v>561</v>
      </c>
      <c r="C240" s="15" t="s">
        <v>318</v>
      </c>
      <c r="D240" s="15" t="s">
        <v>326</v>
      </c>
      <c r="E240" s="15" t="s">
        <v>320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25">
      <c r="A241" s="15" t="s">
        <v>54</v>
      </c>
      <c r="B241" s="15" t="s">
        <v>561</v>
      </c>
      <c r="C241" s="15" t="s">
        <v>318</v>
      </c>
      <c r="D241" s="15" t="s">
        <v>326</v>
      </c>
      <c r="E241" s="15" t="s">
        <v>320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25">
      <c r="A242" s="15" t="s">
        <v>350</v>
      </c>
      <c r="B242" s="15" t="s">
        <v>561</v>
      </c>
      <c r="C242" s="15" t="s">
        <v>318</v>
      </c>
      <c r="D242" s="15" t="s">
        <v>326</v>
      </c>
      <c r="E242" s="15" t="s">
        <v>320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25">
      <c r="A243" s="15" t="s">
        <v>27</v>
      </c>
      <c r="B243" s="15" t="s">
        <v>561</v>
      </c>
      <c r="C243" s="15" t="s">
        <v>318</v>
      </c>
      <c r="D243" s="15" t="s">
        <v>326</v>
      </c>
      <c r="E243" s="15" t="s">
        <v>320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25">
      <c r="A244" s="15" t="s">
        <v>7</v>
      </c>
      <c r="B244" s="15" t="s">
        <v>561</v>
      </c>
      <c r="C244" s="15" t="s">
        <v>318</v>
      </c>
      <c r="D244" s="15" t="s">
        <v>326</v>
      </c>
      <c r="E244" s="15" t="s">
        <v>320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hidden="1" x14ac:dyDescent="0.25">
      <c r="A245" s="15" t="s">
        <v>7</v>
      </c>
      <c r="B245" s="15" t="s">
        <v>561</v>
      </c>
      <c r="C245" s="15" t="s">
        <v>318</v>
      </c>
      <c r="D245" s="15" t="s">
        <v>326</v>
      </c>
      <c r="E245" s="15" t="s">
        <v>322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hidden="1" x14ac:dyDescent="0.25">
      <c r="A246" s="15" t="s">
        <v>333</v>
      </c>
      <c r="B246" s="15" t="s">
        <v>561</v>
      </c>
      <c r="C246" s="15" t="s">
        <v>318</v>
      </c>
      <c r="D246" s="15" t="s">
        <v>326</v>
      </c>
      <c r="E246" s="15" t="s">
        <v>322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25">
      <c r="A247" s="15" t="s">
        <v>21</v>
      </c>
      <c r="B247" s="15" t="s">
        <v>561</v>
      </c>
      <c r="C247" s="15" t="s">
        <v>318</v>
      </c>
      <c r="D247" s="15" t="s">
        <v>326</v>
      </c>
      <c r="E247" s="15" t="s">
        <v>320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25">
      <c r="A248" s="15" t="s">
        <v>152</v>
      </c>
      <c r="B248" s="15" t="s">
        <v>561</v>
      </c>
      <c r="C248" s="15" t="s">
        <v>318</v>
      </c>
      <c r="D248" s="15" t="s">
        <v>326</v>
      </c>
      <c r="E248" s="15" t="s">
        <v>320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25">
      <c r="A249" s="15" t="s">
        <v>18</v>
      </c>
      <c r="B249" s="15" t="s">
        <v>561</v>
      </c>
      <c r="C249" s="15" t="s">
        <v>318</v>
      </c>
      <c r="D249" s="15" t="s">
        <v>326</v>
      </c>
      <c r="E249" s="15" t="s">
        <v>320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25">
      <c r="A250" s="15" t="s">
        <v>105</v>
      </c>
      <c r="B250" s="15" t="s">
        <v>561</v>
      </c>
      <c r="C250" s="15" t="s">
        <v>318</v>
      </c>
      <c r="D250" s="15" t="s">
        <v>326</v>
      </c>
      <c r="E250" s="15" t="s">
        <v>320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25">
      <c r="A251" s="15" t="s">
        <v>93</v>
      </c>
      <c r="B251" s="15" t="s">
        <v>561</v>
      </c>
      <c r="C251" s="15" t="s">
        <v>318</v>
      </c>
      <c r="D251" s="15" t="s">
        <v>326</v>
      </c>
      <c r="E251" s="15" t="s">
        <v>320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hidden="1" x14ac:dyDescent="0.25">
      <c r="A252" s="15" t="s">
        <v>55</v>
      </c>
      <c r="B252" s="15" t="s">
        <v>561</v>
      </c>
      <c r="C252" s="15" t="s">
        <v>318</v>
      </c>
      <c r="D252" s="15" t="s">
        <v>326</v>
      </c>
      <c r="E252" s="15" t="s">
        <v>322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hidden="1" x14ac:dyDescent="0.25">
      <c r="A253" s="15" t="s">
        <v>17</v>
      </c>
      <c r="B253" s="15" t="s">
        <v>561</v>
      </c>
      <c r="C253" s="15" t="s">
        <v>318</v>
      </c>
      <c r="D253" s="15" t="s">
        <v>326</v>
      </c>
      <c r="E253" s="15" t="s">
        <v>322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25">
      <c r="A254" s="15" t="s">
        <v>385</v>
      </c>
      <c r="B254" s="15" t="s">
        <v>561</v>
      </c>
      <c r="C254" s="15" t="s">
        <v>318</v>
      </c>
      <c r="D254" s="15" t="s">
        <v>326</v>
      </c>
      <c r="E254" s="15" t="s">
        <v>320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hidden="1" x14ac:dyDescent="0.25">
      <c r="A255" s="15" t="s">
        <v>107</v>
      </c>
      <c r="B255" s="15" t="s">
        <v>561</v>
      </c>
      <c r="C255" s="15" t="s">
        <v>318</v>
      </c>
      <c r="D255" s="15" t="s">
        <v>326</v>
      </c>
      <c r="E255" s="15" t="s">
        <v>320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25">
      <c r="A256" s="15" t="s">
        <v>336</v>
      </c>
      <c r="B256" s="15" t="s">
        <v>561</v>
      </c>
      <c r="C256" s="15" t="s">
        <v>318</v>
      </c>
      <c r="D256" s="15" t="s">
        <v>326</v>
      </c>
      <c r="E256" s="15" t="s">
        <v>320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25">
      <c r="A257" s="15" t="s">
        <v>51</v>
      </c>
      <c r="B257" s="15" t="s">
        <v>561</v>
      </c>
      <c r="C257" s="15" t="s">
        <v>318</v>
      </c>
      <c r="D257" s="15" t="s">
        <v>326</v>
      </c>
      <c r="E257" s="15" t="s">
        <v>320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hidden="1" x14ac:dyDescent="0.25">
      <c r="A258" s="15" t="s">
        <v>51</v>
      </c>
      <c r="B258" s="15" t="s">
        <v>561</v>
      </c>
      <c r="C258" s="15" t="s">
        <v>318</v>
      </c>
      <c r="D258" s="15" t="s">
        <v>326</v>
      </c>
      <c r="E258" s="15" t="s">
        <v>322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25">
      <c r="A259" s="15" t="s">
        <v>18</v>
      </c>
      <c r="B259" s="15" t="s">
        <v>561</v>
      </c>
      <c r="C259" s="15" t="s">
        <v>318</v>
      </c>
      <c r="D259" s="15" t="s">
        <v>319</v>
      </c>
      <c r="E259" s="15" t="s">
        <v>320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hidden="1" x14ac:dyDescent="0.25">
      <c r="A260" s="15" t="s">
        <v>111</v>
      </c>
      <c r="B260" s="15" t="s">
        <v>386</v>
      </c>
      <c r="C260" s="15" t="s">
        <v>387</v>
      </c>
      <c r="D260" s="15" t="s">
        <v>388</v>
      </c>
      <c r="E260" s="15" t="s">
        <v>389</v>
      </c>
      <c r="F260" s="15">
        <v>1</v>
      </c>
      <c r="G260" s="15">
        <v>1</v>
      </c>
      <c r="H260" s="15" t="s">
        <v>343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25">
      <c r="A261" s="15" t="s">
        <v>108</v>
      </c>
      <c r="B261" s="15" t="s">
        <v>386</v>
      </c>
      <c r="C261" s="15" t="s">
        <v>390</v>
      </c>
      <c r="D261" s="15" t="s">
        <v>391</v>
      </c>
      <c r="E261" s="15" t="s">
        <v>389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25">
      <c r="A262" s="15" t="s">
        <v>350</v>
      </c>
      <c r="B262" s="15" t="s">
        <v>386</v>
      </c>
      <c r="C262" s="15" t="s">
        <v>390</v>
      </c>
      <c r="D262" s="15" t="s">
        <v>392</v>
      </c>
      <c r="E262" s="15" t="s">
        <v>389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25">
      <c r="A263" s="15" t="s">
        <v>108</v>
      </c>
      <c r="B263" s="15" t="s">
        <v>386</v>
      </c>
      <c r="C263" s="15" t="s">
        <v>390</v>
      </c>
      <c r="D263" s="15" t="s">
        <v>393</v>
      </c>
      <c r="E263" s="15" t="s">
        <v>394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25">
      <c r="A264" s="15" t="s">
        <v>120</v>
      </c>
      <c r="B264" s="15" t="s">
        <v>386</v>
      </c>
      <c r="C264" s="15" t="s">
        <v>395</v>
      </c>
      <c r="D264" s="15" t="s">
        <v>396</v>
      </c>
      <c r="E264" s="15" t="s">
        <v>397</v>
      </c>
      <c r="F264" s="15">
        <v>1</v>
      </c>
      <c r="G264" s="15">
        <v>1</v>
      </c>
      <c r="H264" s="15" t="s">
        <v>343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hidden="1" x14ac:dyDescent="0.25">
      <c r="A265" s="15" t="s">
        <v>107</v>
      </c>
      <c r="B265" s="15" t="s">
        <v>386</v>
      </c>
      <c r="C265" s="15" t="s">
        <v>387</v>
      </c>
      <c r="D265" s="15" t="s">
        <v>398</v>
      </c>
      <c r="E265" s="15" t="s">
        <v>389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25">
      <c r="A266" s="15" t="s">
        <v>350</v>
      </c>
      <c r="B266" s="15" t="s">
        <v>386</v>
      </c>
      <c r="C266" s="15" t="s">
        <v>399</v>
      </c>
      <c r="D266" s="15" t="s">
        <v>400</v>
      </c>
      <c r="E266" s="15"/>
      <c r="F266" s="15"/>
      <c r="G266" s="15"/>
      <c r="H266" s="15" t="s">
        <v>343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25">
      <c r="A267" s="15" t="s">
        <v>93</v>
      </c>
      <c r="B267" s="15" t="s">
        <v>386</v>
      </c>
      <c r="C267" s="15" t="s">
        <v>399</v>
      </c>
      <c r="D267" s="15" t="s">
        <v>400</v>
      </c>
      <c r="E267" s="15"/>
      <c r="F267" s="15"/>
      <c r="G267" s="15"/>
      <c r="H267" s="15" t="s">
        <v>343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25">
      <c r="A268" s="15" t="s">
        <v>103</v>
      </c>
      <c r="B268" s="15" t="s">
        <v>386</v>
      </c>
      <c r="C268" s="15" t="s">
        <v>401</v>
      </c>
      <c r="D268" s="15" t="s">
        <v>402</v>
      </c>
      <c r="E268" s="15"/>
      <c r="F268" s="15"/>
      <c r="G268" s="15"/>
      <c r="H268" s="15" t="s">
        <v>343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25">
      <c r="A269" s="15" t="s">
        <v>118</v>
      </c>
      <c r="B269" s="15" t="s">
        <v>386</v>
      </c>
      <c r="C269" s="15" t="s">
        <v>401</v>
      </c>
      <c r="D269" s="15" t="s">
        <v>403</v>
      </c>
      <c r="E269" s="15"/>
      <c r="F269" s="15"/>
      <c r="G269" s="15"/>
      <c r="H269" s="15" t="s">
        <v>343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25">
      <c r="A270" s="15" t="s">
        <v>118</v>
      </c>
      <c r="B270" s="15" t="s">
        <v>386</v>
      </c>
      <c r="C270" s="15" t="s">
        <v>401</v>
      </c>
      <c r="D270" s="15" t="s">
        <v>404</v>
      </c>
      <c r="E270" s="15"/>
      <c r="F270" s="15"/>
      <c r="G270" s="15"/>
      <c r="H270" s="15" t="s">
        <v>343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25">
      <c r="A271" s="15" t="s">
        <v>102</v>
      </c>
      <c r="B271" s="15" t="s">
        <v>386</v>
      </c>
      <c r="C271" s="15" t="s">
        <v>401</v>
      </c>
      <c r="D271" s="15" t="s">
        <v>405</v>
      </c>
      <c r="E271" s="15"/>
      <c r="F271" s="15"/>
      <c r="G271" s="15"/>
      <c r="H271" s="15" t="s">
        <v>343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25">
      <c r="A272" s="15" t="s">
        <v>385</v>
      </c>
      <c r="B272" s="15" t="s">
        <v>386</v>
      </c>
      <c r="C272" s="15" t="s">
        <v>401</v>
      </c>
      <c r="D272" s="15" t="s">
        <v>405</v>
      </c>
      <c r="E272" s="15"/>
      <c r="F272" s="15"/>
      <c r="G272" s="15"/>
      <c r="H272" s="15" t="s">
        <v>343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25">
      <c r="A273" s="15" t="s">
        <v>105</v>
      </c>
      <c r="B273" s="15" t="s">
        <v>386</v>
      </c>
      <c r="C273" s="15" t="s">
        <v>399</v>
      </c>
      <c r="D273" s="15" t="s">
        <v>406</v>
      </c>
      <c r="E273" s="15"/>
      <c r="F273" s="15"/>
      <c r="G273" s="15"/>
      <c r="H273" s="15" t="s">
        <v>343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hidden="1" x14ac:dyDescent="0.25">
      <c r="A274" s="15" t="s">
        <v>107</v>
      </c>
      <c r="B274" s="15" t="s">
        <v>386</v>
      </c>
      <c r="C274" s="15" t="s">
        <v>399</v>
      </c>
      <c r="D274" s="15" t="s">
        <v>406</v>
      </c>
      <c r="E274" s="15"/>
      <c r="F274" s="15"/>
      <c r="G274" s="15"/>
      <c r="H274" s="15" t="s">
        <v>343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25">
      <c r="A275" s="15" t="s">
        <v>353</v>
      </c>
      <c r="B275" s="15" t="s">
        <v>386</v>
      </c>
      <c r="C275" s="15" t="s">
        <v>399</v>
      </c>
      <c r="D275" s="15" t="s">
        <v>407</v>
      </c>
      <c r="E275" s="15"/>
      <c r="F275" s="15"/>
      <c r="G275" s="15"/>
      <c r="H275" s="15" t="s">
        <v>377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25">
      <c r="A276" s="15" t="s">
        <v>108</v>
      </c>
      <c r="B276" s="15" t="s">
        <v>386</v>
      </c>
      <c r="C276" s="15" t="s">
        <v>399</v>
      </c>
      <c r="D276" s="15" t="s">
        <v>408</v>
      </c>
      <c r="E276" s="15" t="s">
        <v>389</v>
      </c>
      <c r="F276" s="15">
        <v>1</v>
      </c>
      <c r="G276" s="15"/>
      <c r="H276" s="15" t="s">
        <v>343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25">
      <c r="A277" s="15" t="s">
        <v>353</v>
      </c>
      <c r="B277" s="15" t="s">
        <v>386</v>
      </c>
      <c r="C277" s="15" t="s">
        <v>390</v>
      </c>
      <c r="D277" s="15" t="s">
        <v>393</v>
      </c>
      <c r="E277" s="15" t="s">
        <v>394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25">
      <c r="A278" s="15" t="s">
        <v>102</v>
      </c>
      <c r="B278" s="15" t="s">
        <v>386</v>
      </c>
      <c r="C278" s="15" t="s">
        <v>390</v>
      </c>
      <c r="D278" s="15" t="s">
        <v>409</v>
      </c>
      <c r="E278" s="15" t="s">
        <v>389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25">
      <c r="A279" s="15" t="s">
        <v>102</v>
      </c>
      <c r="B279" s="15" t="s">
        <v>386</v>
      </c>
      <c r="C279" s="15" t="s">
        <v>395</v>
      </c>
      <c r="D279" s="15" t="s">
        <v>410</v>
      </c>
      <c r="E279" s="15" t="s">
        <v>360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25">
      <c r="A280" s="15" t="s">
        <v>105</v>
      </c>
      <c r="B280" s="15" t="s">
        <v>386</v>
      </c>
      <c r="C280" s="15" t="s">
        <v>390</v>
      </c>
      <c r="D280" s="15" t="s">
        <v>391</v>
      </c>
      <c r="E280" s="15" t="s">
        <v>389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629</v>
      </c>
      <c r="P280" s="15">
        <v>0</v>
      </c>
      <c r="Q280" s="15">
        <v>6582960</v>
      </c>
    </row>
    <row r="281" spans="1:17" hidden="1" x14ac:dyDescent="0.25">
      <c r="A281" s="15" t="s">
        <v>105</v>
      </c>
      <c r="B281" s="15" t="s">
        <v>386</v>
      </c>
      <c r="C281" s="15" t="s">
        <v>390</v>
      </c>
      <c r="D281" s="15" t="s">
        <v>393</v>
      </c>
      <c r="E281" s="15" t="s">
        <v>394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hidden="1" x14ac:dyDescent="0.25">
      <c r="A282" s="15" t="s">
        <v>118</v>
      </c>
      <c r="B282" s="15" t="s">
        <v>386</v>
      </c>
      <c r="C282" s="15" t="s">
        <v>387</v>
      </c>
      <c r="D282" s="15" t="s">
        <v>411</v>
      </c>
      <c r="E282" s="15" t="s">
        <v>360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hidden="1" x14ac:dyDescent="0.25">
      <c r="A283" s="15" t="s">
        <v>118</v>
      </c>
      <c r="B283" s="15" t="s">
        <v>386</v>
      </c>
      <c r="C283" s="15" t="s">
        <v>387</v>
      </c>
      <c r="D283" s="15" t="s">
        <v>412</v>
      </c>
      <c r="E283" s="15" t="s">
        <v>360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25">
      <c r="A284" s="15" t="s">
        <v>118</v>
      </c>
      <c r="B284" s="15" t="s">
        <v>386</v>
      </c>
      <c r="C284" s="15" t="s">
        <v>395</v>
      </c>
      <c r="D284" s="15" t="s">
        <v>410</v>
      </c>
      <c r="E284" s="15" t="s">
        <v>360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25">
      <c r="A285" s="15" t="s">
        <v>118</v>
      </c>
      <c r="B285" s="15" t="s">
        <v>386</v>
      </c>
      <c r="C285" s="15" t="s">
        <v>390</v>
      </c>
      <c r="D285" s="15" t="s">
        <v>409</v>
      </c>
      <c r="E285" s="15" t="s">
        <v>389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25">
      <c r="A286" s="15" t="s">
        <v>118</v>
      </c>
      <c r="B286" s="15" t="s">
        <v>386</v>
      </c>
      <c r="C286" s="15" t="s">
        <v>395</v>
      </c>
      <c r="D286" s="15" t="s">
        <v>396</v>
      </c>
      <c r="E286" s="15" t="s">
        <v>397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25">
      <c r="A287" s="15" t="s">
        <v>93</v>
      </c>
      <c r="B287" s="15" t="s">
        <v>386</v>
      </c>
      <c r="C287" s="15" t="s">
        <v>390</v>
      </c>
      <c r="D287" s="15" t="s">
        <v>409</v>
      </c>
      <c r="E287" s="15" t="s">
        <v>389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25">
      <c r="A288" s="15" t="s">
        <v>93</v>
      </c>
      <c r="B288" s="15" t="s">
        <v>386</v>
      </c>
      <c r="C288" s="15" t="s">
        <v>390</v>
      </c>
      <c r="D288" s="15" t="s">
        <v>392</v>
      </c>
      <c r="E288" s="15" t="s">
        <v>389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25">
      <c r="A289" s="15" t="s">
        <v>133</v>
      </c>
      <c r="B289" s="15" t="s">
        <v>386</v>
      </c>
      <c r="C289" s="15" t="s">
        <v>395</v>
      </c>
      <c r="D289" s="15" t="s">
        <v>413</v>
      </c>
      <c r="E289" s="15" t="s">
        <v>397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25">
      <c r="A290" s="15" t="s">
        <v>120</v>
      </c>
      <c r="B290" s="15" t="s">
        <v>386</v>
      </c>
      <c r="C290" s="15" t="s">
        <v>395</v>
      </c>
      <c r="D290" s="15" t="s">
        <v>410</v>
      </c>
      <c r="E290" s="15" t="s">
        <v>360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hidden="1" x14ac:dyDescent="0.25">
      <c r="A291" s="15" t="s">
        <v>120</v>
      </c>
      <c r="B291" s="15" t="s">
        <v>386</v>
      </c>
      <c r="C291" s="15" t="s">
        <v>387</v>
      </c>
      <c r="D291" s="15" t="s">
        <v>388</v>
      </c>
      <c r="E291" s="15" t="s">
        <v>389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25">
      <c r="A292" s="15" t="s">
        <v>385</v>
      </c>
      <c r="B292" s="15" t="s">
        <v>386</v>
      </c>
      <c r="C292" s="15" t="s">
        <v>390</v>
      </c>
      <c r="D292" s="15" t="s">
        <v>409</v>
      </c>
      <c r="E292" s="15" t="s">
        <v>389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25">
      <c r="A293" s="15" t="s">
        <v>385</v>
      </c>
      <c r="B293" s="15" t="s">
        <v>386</v>
      </c>
      <c r="C293" s="15" t="s">
        <v>390</v>
      </c>
      <c r="D293" s="15" t="s">
        <v>393</v>
      </c>
      <c r="E293" s="15" t="s">
        <v>394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hidden="1" x14ac:dyDescent="0.25">
      <c r="A294" s="15" t="s">
        <v>347</v>
      </c>
      <c r="B294" s="15" t="s">
        <v>386</v>
      </c>
      <c r="C294" s="15" t="s">
        <v>395</v>
      </c>
      <c r="D294" s="15" t="s">
        <v>413</v>
      </c>
      <c r="E294" s="15" t="s">
        <v>397</v>
      </c>
      <c r="F294" s="15">
        <v>1</v>
      </c>
      <c r="G294" s="15">
        <v>1</v>
      </c>
      <c r="H294" s="15" t="s">
        <v>343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hidden="1" x14ac:dyDescent="0.25">
      <c r="A295" s="15" t="s">
        <v>103</v>
      </c>
      <c r="B295" s="15" t="s">
        <v>386</v>
      </c>
      <c r="C295" s="15" t="s">
        <v>387</v>
      </c>
      <c r="D295" s="15" t="s">
        <v>411</v>
      </c>
      <c r="E295" s="15" t="s">
        <v>360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25">
      <c r="A296" s="15" t="s">
        <v>103</v>
      </c>
      <c r="B296" s="15" t="s">
        <v>386</v>
      </c>
      <c r="C296" s="15" t="s">
        <v>390</v>
      </c>
      <c r="D296" s="15" t="s">
        <v>414</v>
      </c>
      <c r="E296" s="15" t="s">
        <v>389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25">
      <c r="A297" s="15" t="s">
        <v>103</v>
      </c>
      <c r="B297" s="15" t="s">
        <v>386</v>
      </c>
      <c r="C297" s="15" t="s">
        <v>395</v>
      </c>
      <c r="D297" s="15" t="s">
        <v>410</v>
      </c>
      <c r="E297" s="15" t="s">
        <v>360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25">
      <c r="A298" s="15" t="s">
        <v>103</v>
      </c>
      <c r="B298" s="15" t="s">
        <v>386</v>
      </c>
      <c r="C298" s="15" t="s">
        <v>390</v>
      </c>
      <c r="D298" s="15" t="s">
        <v>393</v>
      </c>
      <c r="E298" s="15" t="s">
        <v>394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25">
      <c r="A299" s="15" t="s">
        <v>417</v>
      </c>
      <c r="B299" s="15" t="s">
        <v>386</v>
      </c>
      <c r="C299" s="15" t="s">
        <v>395</v>
      </c>
      <c r="D299" s="15" t="s">
        <v>413</v>
      </c>
      <c r="E299" s="15" t="s">
        <v>397</v>
      </c>
      <c r="F299" s="15"/>
      <c r="G299" s="15">
        <v>1</v>
      </c>
      <c r="H299" s="15" t="s">
        <v>343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hidden="1" x14ac:dyDescent="0.25">
      <c r="A300" s="15" t="s">
        <v>174</v>
      </c>
      <c r="B300" s="15" t="s">
        <v>386</v>
      </c>
      <c r="C300" s="15" t="s">
        <v>387</v>
      </c>
      <c r="D300" s="15" t="s">
        <v>412</v>
      </c>
      <c r="E300" s="15" t="s">
        <v>419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hidden="1" x14ac:dyDescent="0.25">
      <c r="A301" s="15" t="s">
        <v>420</v>
      </c>
      <c r="B301" s="15" t="s">
        <v>386</v>
      </c>
      <c r="C301" s="15" t="s">
        <v>387</v>
      </c>
      <c r="D301" s="15" t="s">
        <v>412</v>
      </c>
      <c r="E301" s="15" t="s">
        <v>355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hidden="1" x14ac:dyDescent="0.25">
      <c r="A302" s="15" t="s">
        <v>105</v>
      </c>
      <c r="B302" s="15" t="s">
        <v>386</v>
      </c>
      <c r="C302" s="15" t="s">
        <v>387</v>
      </c>
      <c r="D302" s="15" t="s">
        <v>412</v>
      </c>
      <c r="E302" s="15" t="s">
        <v>389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hidden="1" x14ac:dyDescent="0.25">
      <c r="A303" s="15" t="s">
        <v>105</v>
      </c>
      <c r="B303" s="15" t="s">
        <v>386</v>
      </c>
      <c r="C303" s="15" t="s">
        <v>387</v>
      </c>
      <c r="D303" s="15" t="s">
        <v>412</v>
      </c>
      <c r="E303" s="15" t="s">
        <v>389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hidden="1" x14ac:dyDescent="0.25">
      <c r="A304" s="15" t="s">
        <v>174</v>
      </c>
      <c r="B304" s="15" t="s">
        <v>386</v>
      </c>
      <c r="C304" s="15" t="s">
        <v>387</v>
      </c>
      <c r="D304" s="15" t="s">
        <v>412</v>
      </c>
      <c r="E304" s="15" t="s">
        <v>419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hidden="1" x14ac:dyDescent="0.25">
      <c r="A305" s="15" t="s">
        <v>174</v>
      </c>
      <c r="B305" s="15" t="s">
        <v>386</v>
      </c>
      <c r="C305" s="15" t="s">
        <v>387</v>
      </c>
      <c r="D305" s="15" t="s">
        <v>412</v>
      </c>
      <c r="E305" s="15" t="s">
        <v>389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hidden="1" x14ac:dyDescent="0.25">
      <c r="A306" s="15" t="s">
        <v>420</v>
      </c>
      <c r="B306" s="15" t="s">
        <v>386</v>
      </c>
      <c r="C306" s="15" t="s">
        <v>387</v>
      </c>
      <c r="D306" s="15" t="s">
        <v>412</v>
      </c>
      <c r="E306" s="15" t="s">
        <v>355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hidden="1" x14ac:dyDescent="0.25">
      <c r="A307" s="15" t="s">
        <v>420</v>
      </c>
      <c r="B307" s="15" t="s">
        <v>386</v>
      </c>
      <c r="C307" s="15" t="s">
        <v>387</v>
      </c>
      <c r="D307" s="15" t="s">
        <v>412</v>
      </c>
      <c r="E307" s="15" t="s">
        <v>389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hidden="1" x14ac:dyDescent="0.25">
      <c r="A308" s="15" t="s">
        <v>383</v>
      </c>
      <c r="B308" s="15" t="s">
        <v>386</v>
      </c>
      <c r="C308" s="15" t="s">
        <v>387</v>
      </c>
      <c r="D308" s="15" t="s">
        <v>412</v>
      </c>
      <c r="E308" s="15" t="s">
        <v>355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hidden="1" x14ac:dyDescent="0.25">
      <c r="A309" s="15" t="s">
        <v>383</v>
      </c>
      <c r="B309" s="15" t="s">
        <v>386</v>
      </c>
      <c r="C309" s="15" t="s">
        <v>387</v>
      </c>
      <c r="D309" s="15" t="s">
        <v>412</v>
      </c>
      <c r="E309" s="15" t="s">
        <v>389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hidden="1" x14ac:dyDescent="0.25">
      <c r="A310" s="15" t="s">
        <v>81</v>
      </c>
      <c r="B310" s="15" t="s">
        <v>386</v>
      </c>
      <c r="C310" s="15" t="s">
        <v>387</v>
      </c>
      <c r="D310" s="15" t="s">
        <v>412</v>
      </c>
      <c r="E310" s="15" t="s">
        <v>421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hidden="1" x14ac:dyDescent="0.25">
      <c r="A311" s="15" t="s">
        <v>50</v>
      </c>
      <c r="B311" s="15" t="s">
        <v>386</v>
      </c>
      <c r="C311" s="15" t="s">
        <v>387</v>
      </c>
      <c r="D311" s="15" t="s">
        <v>412</v>
      </c>
      <c r="E311" s="15" t="s">
        <v>422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hidden="1" x14ac:dyDescent="0.25">
      <c r="A312" s="15" t="s">
        <v>50</v>
      </c>
      <c r="B312" s="15" t="s">
        <v>386</v>
      </c>
      <c r="C312" s="15" t="s">
        <v>387</v>
      </c>
      <c r="D312" s="15" t="s">
        <v>412</v>
      </c>
      <c r="E312" s="15" t="s">
        <v>423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hidden="1" x14ac:dyDescent="0.25">
      <c r="A313" s="15" t="s">
        <v>166</v>
      </c>
      <c r="B313" s="15" t="s">
        <v>386</v>
      </c>
      <c r="C313" s="15" t="s">
        <v>387</v>
      </c>
      <c r="D313" s="15" t="s">
        <v>412</v>
      </c>
      <c r="E313" s="15" t="s">
        <v>389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hidden="1" x14ac:dyDescent="0.25">
      <c r="A314" s="15" t="s">
        <v>353</v>
      </c>
      <c r="B314" s="15" t="s">
        <v>386</v>
      </c>
      <c r="C314" s="15" t="s">
        <v>387</v>
      </c>
      <c r="D314" s="15" t="s">
        <v>412</v>
      </c>
      <c r="E314" s="15" t="s">
        <v>394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hidden="1" x14ac:dyDescent="0.25">
      <c r="A315" s="15" t="s">
        <v>341</v>
      </c>
      <c r="B315" s="15" t="s">
        <v>386</v>
      </c>
      <c r="C315" s="15" t="s">
        <v>387</v>
      </c>
      <c r="D315" s="15" t="s">
        <v>412</v>
      </c>
      <c r="E315" s="15" t="s">
        <v>389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hidden="1" x14ac:dyDescent="0.25">
      <c r="A316" s="15" t="s">
        <v>141</v>
      </c>
      <c r="B316" s="15" t="s">
        <v>386</v>
      </c>
      <c r="C316" s="15" t="s">
        <v>387</v>
      </c>
      <c r="D316" s="15" t="s">
        <v>412</v>
      </c>
      <c r="E316" s="15" t="s">
        <v>389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hidden="1" x14ac:dyDescent="0.25">
      <c r="A317" s="15" t="s">
        <v>87</v>
      </c>
      <c r="B317" s="15" t="s">
        <v>386</v>
      </c>
      <c r="C317" s="15" t="s">
        <v>387</v>
      </c>
      <c r="D317" s="15" t="s">
        <v>412</v>
      </c>
      <c r="E317" s="15" t="s">
        <v>424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hidden="1" x14ac:dyDescent="0.25">
      <c r="A318" s="15" t="s">
        <v>155</v>
      </c>
      <c r="B318" s="15" t="s">
        <v>386</v>
      </c>
      <c r="C318" s="15" t="s">
        <v>387</v>
      </c>
      <c r="D318" s="15" t="s">
        <v>412</v>
      </c>
      <c r="E318" s="15" t="s">
        <v>389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hidden="1" x14ac:dyDescent="0.25">
      <c r="A319" s="15" t="s">
        <v>48</v>
      </c>
      <c r="B319" s="15" t="s">
        <v>386</v>
      </c>
      <c r="C319" s="15" t="s">
        <v>387</v>
      </c>
      <c r="D319" s="15" t="s">
        <v>412</v>
      </c>
      <c r="E319" s="15" t="s">
        <v>422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hidden="1" x14ac:dyDescent="0.25">
      <c r="A320" s="15" t="s">
        <v>48</v>
      </c>
      <c r="B320" s="15" t="s">
        <v>386</v>
      </c>
      <c r="C320" s="15" t="s">
        <v>387</v>
      </c>
      <c r="D320" s="15" t="s">
        <v>412</v>
      </c>
      <c r="E320" s="15" t="s">
        <v>423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hidden="1" x14ac:dyDescent="0.25">
      <c r="A321" s="15" t="s">
        <v>148</v>
      </c>
      <c r="B321" s="15" t="s">
        <v>386</v>
      </c>
      <c r="C321" s="15" t="s">
        <v>387</v>
      </c>
      <c r="D321" s="15" t="s">
        <v>412</v>
      </c>
      <c r="E321" s="15" t="s">
        <v>389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hidden="1" x14ac:dyDescent="0.25">
      <c r="A322" s="15" t="s">
        <v>425</v>
      </c>
      <c r="B322" s="15" t="s">
        <v>386</v>
      </c>
      <c r="C322" s="15" t="s">
        <v>387</v>
      </c>
      <c r="D322" s="15" t="s">
        <v>412</v>
      </c>
      <c r="E322" s="15" t="s">
        <v>424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hidden="1" x14ac:dyDescent="0.25">
      <c r="A323" s="15" t="s">
        <v>56</v>
      </c>
      <c r="B323" s="15" t="s">
        <v>386</v>
      </c>
      <c r="C323" s="15" t="s">
        <v>387</v>
      </c>
      <c r="D323" s="15" t="s">
        <v>412</v>
      </c>
      <c r="E323" s="15" t="s">
        <v>426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hidden="1" x14ac:dyDescent="0.25">
      <c r="A324" s="15" t="s">
        <v>90</v>
      </c>
      <c r="B324" s="15" t="s">
        <v>386</v>
      </c>
      <c r="C324" s="15" t="s">
        <v>387</v>
      </c>
      <c r="D324" s="15" t="s">
        <v>412</v>
      </c>
      <c r="E324" s="15" t="s">
        <v>424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hidden="1" x14ac:dyDescent="0.25">
      <c r="A325" s="15" t="s">
        <v>20</v>
      </c>
      <c r="B325" s="15" t="s">
        <v>386</v>
      </c>
      <c r="C325" s="15" t="s">
        <v>387</v>
      </c>
      <c r="D325" s="15" t="s">
        <v>412</v>
      </c>
      <c r="E325" s="15" t="s">
        <v>389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hidden="1" x14ac:dyDescent="0.25">
      <c r="A326" s="15" t="s">
        <v>427</v>
      </c>
      <c r="B326" s="15" t="s">
        <v>386</v>
      </c>
      <c r="C326" s="15" t="s">
        <v>387</v>
      </c>
      <c r="D326" s="15" t="s">
        <v>412</v>
      </c>
      <c r="E326" s="15" t="s">
        <v>421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hidden="1" x14ac:dyDescent="0.25">
      <c r="A327" s="15" t="s">
        <v>37</v>
      </c>
      <c r="B327" s="15" t="s">
        <v>386</v>
      </c>
      <c r="C327" s="15" t="s">
        <v>387</v>
      </c>
      <c r="D327" s="15" t="s">
        <v>412</v>
      </c>
      <c r="E327" s="15" t="s">
        <v>351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hidden="1" x14ac:dyDescent="0.25">
      <c r="A328" s="15" t="s">
        <v>344</v>
      </c>
      <c r="B328" s="15" t="s">
        <v>386</v>
      </c>
      <c r="C328" s="15" t="s">
        <v>387</v>
      </c>
      <c r="D328" s="15" t="s">
        <v>412</v>
      </c>
      <c r="E328" s="15" t="s">
        <v>428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hidden="1" x14ac:dyDescent="0.25">
      <c r="A329" s="15" t="s">
        <v>25</v>
      </c>
      <c r="B329" s="15" t="s">
        <v>386</v>
      </c>
      <c r="C329" s="15" t="s">
        <v>387</v>
      </c>
      <c r="D329" s="15" t="s">
        <v>412</v>
      </c>
      <c r="E329" s="15" t="s">
        <v>389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hidden="1" x14ac:dyDescent="0.25">
      <c r="A330" s="15" t="s">
        <v>42</v>
      </c>
      <c r="B330" s="15" t="s">
        <v>386</v>
      </c>
      <c r="C330" s="15" t="s">
        <v>387</v>
      </c>
      <c r="D330" s="15" t="s">
        <v>412</v>
      </c>
      <c r="E330" s="15" t="s">
        <v>429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hidden="1" x14ac:dyDescent="0.25">
      <c r="A331" s="15" t="s">
        <v>54</v>
      </c>
      <c r="B331" s="15" t="s">
        <v>386</v>
      </c>
      <c r="C331" s="15" t="s">
        <v>387</v>
      </c>
      <c r="D331" s="15" t="s">
        <v>412</v>
      </c>
      <c r="E331" s="15" t="s">
        <v>426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hidden="1" x14ac:dyDescent="0.25">
      <c r="A332" s="15" t="s">
        <v>173</v>
      </c>
      <c r="B332" s="15" t="s">
        <v>386</v>
      </c>
      <c r="C332" s="15" t="s">
        <v>387</v>
      </c>
      <c r="D332" s="15" t="s">
        <v>412</v>
      </c>
      <c r="E332" s="15" t="s">
        <v>419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hidden="1" x14ac:dyDescent="0.25">
      <c r="A333" s="15" t="s">
        <v>173</v>
      </c>
      <c r="B333" s="15" t="s">
        <v>386</v>
      </c>
      <c r="C333" s="15" t="s">
        <v>387</v>
      </c>
      <c r="D333" s="15" t="s">
        <v>412</v>
      </c>
      <c r="E333" s="15" t="s">
        <v>389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hidden="1" x14ac:dyDescent="0.25">
      <c r="A334" s="15" t="s">
        <v>180</v>
      </c>
      <c r="B334" s="15" t="s">
        <v>386</v>
      </c>
      <c r="C334" s="15" t="s">
        <v>387</v>
      </c>
      <c r="D334" s="15" t="s">
        <v>412</v>
      </c>
      <c r="E334" s="15" t="s">
        <v>419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hidden="1" x14ac:dyDescent="0.25">
      <c r="A335" s="15" t="s">
        <v>111</v>
      </c>
      <c r="B335" s="15" t="s">
        <v>386</v>
      </c>
      <c r="C335" s="15" t="s">
        <v>387</v>
      </c>
      <c r="D335" s="15" t="s">
        <v>412</v>
      </c>
      <c r="E335" s="15" t="s">
        <v>360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hidden="1" x14ac:dyDescent="0.25">
      <c r="A336" s="15" t="s">
        <v>345</v>
      </c>
      <c r="B336" s="15" t="s">
        <v>386</v>
      </c>
      <c r="C336" s="15" t="s">
        <v>387</v>
      </c>
      <c r="D336" s="15" t="s">
        <v>412</v>
      </c>
      <c r="E336" s="15" t="s">
        <v>351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hidden="1" x14ac:dyDescent="0.25">
      <c r="A337" s="15" t="s">
        <v>150</v>
      </c>
      <c r="B337" s="15" t="s">
        <v>386</v>
      </c>
      <c r="C337" s="15" t="s">
        <v>387</v>
      </c>
      <c r="D337" s="15" t="s">
        <v>412</v>
      </c>
      <c r="E337" s="15" t="s">
        <v>389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hidden="1" x14ac:dyDescent="0.25">
      <c r="A338" s="15" t="s">
        <v>333</v>
      </c>
      <c r="B338" s="15" t="s">
        <v>386</v>
      </c>
      <c r="C338" s="15" t="s">
        <v>387</v>
      </c>
      <c r="D338" s="15" t="s">
        <v>412</v>
      </c>
      <c r="E338" s="15" t="s">
        <v>389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hidden="1" x14ac:dyDescent="0.25">
      <c r="A339" s="15" t="s">
        <v>35</v>
      </c>
      <c r="B339" s="15" t="s">
        <v>386</v>
      </c>
      <c r="C339" s="15" t="s">
        <v>387</v>
      </c>
      <c r="D339" s="15" t="s">
        <v>412</v>
      </c>
      <c r="E339" s="15" t="s">
        <v>351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hidden="1" x14ac:dyDescent="0.25">
      <c r="A340" s="15" t="s">
        <v>36</v>
      </c>
      <c r="B340" s="15" t="s">
        <v>386</v>
      </c>
      <c r="C340" s="15" t="s">
        <v>387</v>
      </c>
      <c r="D340" s="15" t="s">
        <v>412</v>
      </c>
      <c r="E340" s="15" t="s">
        <v>351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hidden="1" x14ac:dyDescent="0.25">
      <c r="A341" s="15" t="s">
        <v>127</v>
      </c>
      <c r="B341" s="15" t="s">
        <v>386</v>
      </c>
      <c r="C341" s="15" t="s">
        <v>387</v>
      </c>
      <c r="D341" s="15" t="s">
        <v>412</v>
      </c>
      <c r="E341" s="15" t="s">
        <v>355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hidden="1" x14ac:dyDescent="0.25">
      <c r="A342" s="15" t="s">
        <v>127</v>
      </c>
      <c r="B342" s="15" t="s">
        <v>386</v>
      </c>
      <c r="C342" s="15" t="s">
        <v>387</v>
      </c>
      <c r="D342" s="15" t="s">
        <v>412</v>
      </c>
      <c r="E342" s="15" t="s">
        <v>389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hidden="1" x14ac:dyDescent="0.25">
      <c r="A343" s="15" t="s">
        <v>123</v>
      </c>
      <c r="B343" s="15" t="s">
        <v>386</v>
      </c>
      <c r="C343" s="15" t="s">
        <v>387</v>
      </c>
      <c r="D343" s="15" t="s">
        <v>412</v>
      </c>
      <c r="E343" s="15" t="s">
        <v>430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hidden="1" x14ac:dyDescent="0.25">
      <c r="A344" s="15" t="s">
        <v>108</v>
      </c>
      <c r="B344" s="15" t="s">
        <v>386</v>
      </c>
      <c r="C344" s="15" t="s">
        <v>387</v>
      </c>
      <c r="D344" s="15" t="s">
        <v>412</v>
      </c>
      <c r="E344" s="15" t="s">
        <v>389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hidden="1" x14ac:dyDescent="0.25">
      <c r="A345" s="15" t="s">
        <v>145</v>
      </c>
      <c r="B345" s="15" t="s">
        <v>386</v>
      </c>
      <c r="C345" s="15" t="s">
        <v>387</v>
      </c>
      <c r="D345" s="15" t="s">
        <v>412</v>
      </c>
      <c r="E345" s="15" t="s">
        <v>389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hidden="1" x14ac:dyDescent="0.25">
      <c r="A346" s="15" t="s">
        <v>152</v>
      </c>
      <c r="B346" s="15" t="s">
        <v>386</v>
      </c>
      <c r="C346" s="15" t="s">
        <v>387</v>
      </c>
      <c r="D346" s="15" t="s">
        <v>412</v>
      </c>
      <c r="E346" s="15" t="s">
        <v>389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hidden="1" x14ac:dyDescent="0.25">
      <c r="A347" s="15" t="s">
        <v>102</v>
      </c>
      <c r="B347" s="15" t="s">
        <v>386</v>
      </c>
      <c r="C347" s="15" t="s">
        <v>387</v>
      </c>
      <c r="D347" s="15" t="s">
        <v>412</v>
      </c>
      <c r="E347" s="15" t="s">
        <v>360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hidden="1" x14ac:dyDescent="0.25">
      <c r="A348" s="15" t="s">
        <v>431</v>
      </c>
      <c r="B348" s="15" t="s">
        <v>386</v>
      </c>
      <c r="C348" s="15" t="s">
        <v>387</v>
      </c>
      <c r="D348" s="15" t="s">
        <v>412</v>
      </c>
      <c r="E348" s="15" t="s">
        <v>421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hidden="1" x14ac:dyDescent="0.25">
      <c r="A349" s="15" t="s">
        <v>38</v>
      </c>
      <c r="B349" s="15" t="s">
        <v>386</v>
      </c>
      <c r="C349" s="15" t="s">
        <v>387</v>
      </c>
      <c r="D349" s="15" t="s">
        <v>412</v>
      </c>
      <c r="E349" s="15" t="s">
        <v>351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hidden="1" x14ac:dyDescent="0.25">
      <c r="A350" s="15" t="s">
        <v>156</v>
      </c>
      <c r="B350" s="15" t="s">
        <v>386</v>
      </c>
      <c r="C350" s="15" t="s">
        <v>387</v>
      </c>
      <c r="D350" s="15" t="s">
        <v>412</v>
      </c>
      <c r="E350" s="15" t="s">
        <v>354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hidden="1" x14ac:dyDescent="0.25">
      <c r="A351" s="15" t="s">
        <v>18</v>
      </c>
      <c r="B351" s="15" t="s">
        <v>386</v>
      </c>
      <c r="C351" s="15" t="s">
        <v>387</v>
      </c>
      <c r="D351" s="15" t="s">
        <v>412</v>
      </c>
      <c r="E351" s="15" t="s">
        <v>389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hidden="1" x14ac:dyDescent="0.25">
      <c r="A352" s="15" t="s">
        <v>105</v>
      </c>
      <c r="B352" s="15" t="s">
        <v>386</v>
      </c>
      <c r="C352" s="15" t="s">
        <v>387</v>
      </c>
      <c r="D352" s="15" t="s">
        <v>412</v>
      </c>
      <c r="E352" s="15" t="s">
        <v>389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hidden="1" x14ac:dyDescent="0.25">
      <c r="A353" s="15" t="s">
        <v>346</v>
      </c>
      <c r="B353" s="15" t="s">
        <v>386</v>
      </c>
      <c r="C353" s="15" t="s">
        <v>387</v>
      </c>
      <c r="D353" s="15" t="s">
        <v>412</v>
      </c>
      <c r="E353" s="15" t="s">
        <v>351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hidden="1" x14ac:dyDescent="0.25">
      <c r="A354" s="15" t="s">
        <v>154</v>
      </c>
      <c r="B354" s="15" t="s">
        <v>386</v>
      </c>
      <c r="C354" s="15" t="s">
        <v>387</v>
      </c>
      <c r="D354" s="15" t="s">
        <v>412</v>
      </c>
      <c r="E354" s="15" t="s">
        <v>389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hidden="1" x14ac:dyDescent="0.25">
      <c r="A355" s="15" t="s">
        <v>65</v>
      </c>
      <c r="B355" s="15" t="s">
        <v>386</v>
      </c>
      <c r="C355" s="15" t="s">
        <v>387</v>
      </c>
      <c r="D355" s="15" t="s">
        <v>412</v>
      </c>
      <c r="E355" s="15" t="s">
        <v>421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hidden="1" x14ac:dyDescent="0.25">
      <c r="A356" s="15" t="s">
        <v>432</v>
      </c>
      <c r="B356" s="15" t="s">
        <v>386</v>
      </c>
      <c r="C356" s="15" t="s">
        <v>387</v>
      </c>
      <c r="D356" s="15" t="s">
        <v>412</v>
      </c>
      <c r="E356" s="15" t="s">
        <v>419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hidden="1" x14ac:dyDescent="0.25">
      <c r="A357" s="15" t="s">
        <v>160</v>
      </c>
      <c r="B357" s="15" t="s">
        <v>386</v>
      </c>
      <c r="C357" s="15" t="s">
        <v>387</v>
      </c>
      <c r="D357" s="15" t="s">
        <v>412</v>
      </c>
      <c r="E357" s="15" t="s">
        <v>389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hidden="1" x14ac:dyDescent="0.25">
      <c r="A358" s="15" t="s">
        <v>151</v>
      </c>
      <c r="B358" s="15" t="s">
        <v>386</v>
      </c>
      <c r="C358" s="15" t="s">
        <v>387</v>
      </c>
      <c r="D358" s="15" t="s">
        <v>412</v>
      </c>
      <c r="E358" s="15" t="s">
        <v>389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hidden="1" x14ac:dyDescent="0.25">
      <c r="A359" s="15" t="s">
        <v>93</v>
      </c>
      <c r="B359" s="15" t="s">
        <v>386</v>
      </c>
      <c r="C359" s="15" t="s">
        <v>387</v>
      </c>
      <c r="D359" s="15" t="s">
        <v>412</v>
      </c>
      <c r="E359" s="15" t="s">
        <v>389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hidden="1" x14ac:dyDescent="0.25">
      <c r="A360" s="15" t="s">
        <v>55</v>
      </c>
      <c r="B360" s="15" t="s">
        <v>386</v>
      </c>
      <c r="C360" s="15" t="s">
        <v>387</v>
      </c>
      <c r="D360" s="15" t="s">
        <v>412</v>
      </c>
      <c r="E360" s="15" t="s">
        <v>426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hidden="1" x14ac:dyDescent="0.25">
      <c r="A361" s="15" t="s">
        <v>133</v>
      </c>
      <c r="B361" s="15" t="s">
        <v>386</v>
      </c>
      <c r="C361" s="15" t="s">
        <v>387</v>
      </c>
      <c r="D361" s="15" t="s">
        <v>412</v>
      </c>
      <c r="E361" s="15" t="s">
        <v>428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hidden="1" x14ac:dyDescent="0.25">
      <c r="A362" s="15" t="s">
        <v>17</v>
      </c>
      <c r="B362" s="15" t="s">
        <v>386</v>
      </c>
      <c r="C362" s="15" t="s">
        <v>387</v>
      </c>
      <c r="D362" s="15" t="s">
        <v>412</v>
      </c>
      <c r="E362" s="15" t="s">
        <v>389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hidden="1" x14ac:dyDescent="0.25">
      <c r="A363" s="15" t="s">
        <v>120</v>
      </c>
      <c r="B363" s="15" t="s">
        <v>386</v>
      </c>
      <c r="C363" s="15" t="s">
        <v>387</v>
      </c>
      <c r="D363" s="15" t="s">
        <v>412</v>
      </c>
      <c r="E363" s="15" t="s">
        <v>360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hidden="1" x14ac:dyDescent="0.25">
      <c r="A364" s="15" t="s">
        <v>385</v>
      </c>
      <c r="B364" s="15" t="s">
        <v>386</v>
      </c>
      <c r="C364" s="15" t="s">
        <v>387</v>
      </c>
      <c r="D364" s="15" t="s">
        <v>412</v>
      </c>
      <c r="E364" s="15" t="s">
        <v>389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hidden="1" x14ac:dyDescent="0.25">
      <c r="A365" s="15" t="s">
        <v>103</v>
      </c>
      <c r="B365" s="15" t="s">
        <v>386</v>
      </c>
      <c r="C365" s="15" t="s">
        <v>387</v>
      </c>
      <c r="D365" s="15" t="s">
        <v>412</v>
      </c>
      <c r="E365" s="15" t="s">
        <v>360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hidden="1" x14ac:dyDescent="0.25">
      <c r="A366" s="15" t="s">
        <v>336</v>
      </c>
      <c r="B366" s="15" t="s">
        <v>386</v>
      </c>
      <c r="C366" s="15" t="s">
        <v>387</v>
      </c>
      <c r="D366" s="15" t="s">
        <v>412</v>
      </c>
      <c r="E366" s="15" t="s">
        <v>389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hidden="1" x14ac:dyDescent="0.25">
      <c r="A367" s="15" t="s">
        <v>417</v>
      </c>
      <c r="B367" s="15" t="s">
        <v>386</v>
      </c>
      <c r="C367" s="15" t="s">
        <v>387</v>
      </c>
      <c r="D367" s="15" t="s">
        <v>412</v>
      </c>
      <c r="E367" s="15" t="s">
        <v>360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hidden="1" x14ac:dyDescent="0.25">
      <c r="A368" s="15" t="s">
        <v>51</v>
      </c>
      <c r="B368" s="15" t="s">
        <v>386</v>
      </c>
      <c r="C368" s="15" t="s">
        <v>387</v>
      </c>
      <c r="D368" s="15" t="s">
        <v>412</v>
      </c>
      <c r="E368" s="15" t="s">
        <v>426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hidden="1" x14ac:dyDescent="0.25">
      <c r="A369" s="15" t="s">
        <v>173</v>
      </c>
      <c r="B369" s="15" t="s">
        <v>386</v>
      </c>
      <c r="C369" s="15" t="s">
        <v>387</v>
      </c>
      <c r="D369" s="15" t="s">
        <v>398</v>
      </c>
      <c r="E369" s="15" t="s">
        <v>389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hidden="1" x14ac:dyDescent="0.25">
      <c r="A370" s="15" t="s">
        <v>156</v>
      </c>
      <c r="B370" s="15" t="s">
        <v>386</v>
      </c>
      <c r="C370" s="15" t="s">
        <v>387</v>
      </c>
      <c r="D370" s="15" t="s">
        <v>398</v>
      </c>
      <c r="E370" s="15" t="s">
        <v>389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hidden="1" x14ac:dyDescent="0.25">
      <c r="A371" s="15" t="s">
        <v>174</v>
      </c>
      <c r="B371" s="15" t="s">
        <v>386</v>
      </c>
      <c r="C371" s="15" t="s">
        <v>387</v>
      </c>
      <c r="D371" s="15" t="s">
        <v>398</v>
      </c>
      <c r="E371" s="15" t="s">
        <v>389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hidden="1" x14ac:dyDescent="0.25">
      <c r="A372" s="15" t="s">
        <v>166</v>
      </c>
      <c r="B372" s="15" t="s">
        <v>386</v>
      </c>
      <c r="C372" s="15" t="s">
        <v>387</v>
      </c>
      <c r="D372" s="15" t="s">
        <v>398</v>
      </c>
      <c r="E372" s="15" t="s">
        <v>389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hidden="1" x14ac:dyDescent="0.25">
      <c r="A373" s="15" t="s">
        <v>353</v>
      </c>
      <c r="B373" s="15" t="s">
        <v>386</v>
      </c>
      <c r="C373" s="15" t="s">
        <v>387</v>
      </c>
      <c r="D373" s="15" t="s">
        <v>398</v>
      </c>
      <c r="E373" s="15" t="s">
        <v>389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hidden="1" x14ac:dyDescent="0.25">
      <c r="A374" s="15" t="s">
        <v>341</v>
      </c>
      <c r="B374" s="15" t="s">
        <v>386</v>
      </c>
      <c r="C374" s="15" t="s">
        <v>387</v>
      </c>
      <c r="D374" s="15" t="s">
        <v>398</v>
      </c>
      <c r="E374" s="15" t="s">
        <v>389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hidden="1" x14ac:dyDescent="0.25">
      <c r="A375" s="15" t="s">
        <v>141</v>
      </c>
      <c r="B375" s="15" t="s">
        <v>386</v>
      </c>
      <c r="C375" s="15" t="s">
        <v>387</v>
      </c>
      <c r="D375" s="15" t="s">
        <v>398</v>
      </c>
      <c r="E375" s="15" t="s">
        <v>389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hidden="1" x14ac:dyDescent="0.25">
      <c r="A376" s="15" t="s">
        <v>22</v>
      </c>
      <c r="B376" s="15" t="s">
        <v>386</v>
      </c>
      <c r="C376" s="15" t="s">
        <v>387</v>
      </c>
      <c r="D376" s="15" t="s">
        <v>398</v>
      </c>
      <c r="E376" s="15" t="s">
        <v>389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hidden="1" x14ac:dyDescent="0.25">
      <c r="A377" s="15" t="s">
        <v>155</v>
      </c>
      <c r="B377" s="15" t="s">
        <v>386</v>
      </c>
      <c r="C377" s="15" t="s">
        <v>387</v>
      </c>
      <c r="D377" s="15" t="s">
        <v>398</v>
      </c>
      <c r="E377" s="15" t="s">
        <v>389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hidden="1" x14ac:dyDescent="0.25">
      <c r="A378" s="15" t="s">
        <v>148</v>
      </c>
      <c r="B378" s="15" t="s">
        <v>386</v>
      </c>
      <c r="C378" s="15" t="s">
        <v>387</v>
      </c>
      <c r="D378" s="15" t="s">
        <v>398</v>
      </c>
      <c r="E378" s="15" t="s">
        <v>389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hidden="1" x14ac:dyDescent="0.25">
      <c r="A379" s="15" t="s">
        <v>434</v>
      </c>
      <c r="B379" s="15" t="s">
        <v>386</v>
      </c>
      <c r="C379" s="15" t="s">
        <v>387</v>
      </c>
      <c r="D379" s="15" t="s">
        <v>398</v>
      </c>
      <c r="E379" s="15" t="s">
        <v>389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hidden="1" x14ac:dyDescent="0.25">
      <c r="A380" s="15" t="s">
        <v>20</v>
      </c>
      <c r="B380" s="15" t="s">
        <v>386</v>
      </c>
      <c r="C380" s="15" t="s">
        <v>387</v>
      </c>
      <c r="D380" s="15" t="s">
        <v>398</v>
      </c>
      <c r="E380" s="15" t="s">
        <v>389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hidden="1" x14ac:dyDescent="0.25">
      <c r="A381" s="15" t="s">
        <v>25</v>
      </c>
      <c r="B381" s="15" t="s">
        <v>386</v>
      </c>
      <c r="C381" s="15" t="s">
        <v>387</v>
      </c>
      <c r="D381" s="15" t="s">
        <v>398</v>
      </c>
      <c r="E381" s="15" t="s">
        <v>389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hidden="1" x14ac:dyDescent="0.25">
      <c r="A382" s="15" t="s">
        <v>173</v>
      </c>
      <c r="B382" s="15" t="s">
        <v>386</v>
      </c>
      <c r="C382" s="15" t="s">
        <v>387</v>
      </c>
      <c r="D382" s="15" t="s">
        <v>398</v>
      </c>
      <c r="E382" s="15" t="s">
        <v>389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hidden="1" x14ac:dyDescent="0.25">
      <c r="A383" s="15" t="s">
        <v>180</v>
      </c>
      <c r="B383" s="15" t="s">
        <v>386</v>
      </c>
      <c r="C383" s="15" t="s">
        <v>387</v>
      </c>
      <c r="D383" s="15" t="s">
        <v>398</v>
      </c>
      <c r="E383" s="15" t="s">
        <v>389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hidden="1" x14ac:dyDescent="0.25">
      <c r="A384" s="15" t="s">
        <v>146</v>
      </c>
      <c r="B384" s="15" t="s">
        <v>386</v>
      </c>
      <c r="C384" s="15" t="s">
        <v>387</v>
      </c>
      <c r="D384" s="15" t="s">
        <v>398</v>
      </c>
      <c r="E384" s="15" t="s">
        <v>389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hidden="1" x14ac:dyDescent="0.25">
      <c r="A385" s="15" t="s">
        <v>150</v>
      </c>
      <c r="B385" s="15" t="s">
        <v>386</v>
      </c>
      <c r="C385" s="15" t="s">
        <v>387</v>
      </c>
      <c r="D385" s="15" t="s">
        <v>398</v>
      </c>
      <c r="E385" s="15" t="s">
        <v>389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hidden="1" x14ac:dyDescent="0.25">
      <c r="A386" s="15" t="s">
        <v>350</v>
      </c>
      <c r="B386" s="15" t="s">
        <v>386</v>
      </c>
      <c r="C386" s="15" t="s">
        <v>387</v>
      </c>
      <c r="D386" s="15" t="s">
        <v>398</v>
      </c>
      <c r="E386" s="15" t="s">
        <v>389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hidden="1" x14ac:dyDescent="0.25">
      <c r="A387" s="15" t="s">
        <v>27</v>
      </c>
      <c r="B387" s="15" t="s">
        <v>386</v>
      </c>
      <c r="C387" s="15" t="s">
        <v>387</v>
      </c>
      <c r="D387" s="15" t="s">
        <v>398</v>
      </c>
      <c r="E387" s="15" t="s">
        <v>389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hidden="1" x14ac:dyDescent="0.25">
      <c r="A388" s="15" t="s">
        <v>7</v>
      </c>
      <c r="B388" s="15" t="s">
        <v>386</v>
      </c>
      <c r="C388" s="15" t="s">
        <v>387</v>
      </c>
      <c r="D388" s="15" t="s">
        <v>398</v>
      </c>
      <c r="E388" s="15" t="s">
        <v>389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hidden="1" x14ac:dyDescent="0.25">
      <c r="A389" s="15" t="s">
        <v>333</v>
      </c>
      <c r="B389" s="15" t="s">
        <v>386</v>
      </c>
      <c r="C389" s="15" t="s">
        <v>387</v>
      </c>
      <c r="D389" s="15" t="s">
        <v>398</v>
      </c>
      <c r="E389" s="15" t="s">
        <v>389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hidden="1" x14ac:dyDescent="0.25">
      <c r="A390" s="15" t="s">
        <v>21</v>
      </c>
      <c r="B390" s="15" t="s">
        <v>386</v>
      </c>
      <c r="C390" s="15" t="s">
        <v>387</v>
      </c>
      <c r="D390" s="15" t="s">
        <v>398</v>
      </c>
      <c r="E390" s="15" t="s">
        <v>389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hidden="1" x14ac:dyDescent="0.25">
      <c r="A391" s="15" t="s">
        <v>108</v>
      </c>
      <c r="B391" s="15" t="s">
        <v>386</v>
      </c>
      <c r="C391" s="15" t="s">
        <v>387</v>
      </c>
      <c r="D391" s="15" t="s">
        <v>398</v>
      </c>
      <c r="E391" s="15" t="s">
        <v>389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hidden="1" x14ac:dyDescent="0.25">
      <c r="A392" s="15" t="s">
        <v>145</v>
      </c>
      <c r="B392" s="15" t="s">
        <v>386</v>
      </c>
      <c r="C392" s="15" t="s">
        <v>387</v>
      </c>
      <c r="D392" s="15" t="s">
        <v>398</v>
      </c>
      <c r="E392" s="15" t="s">
        <v>389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hidden="1" x14ac:dyDescent="0.25">
      <c r="A393" s="15" t="s">
        <v>152</v>
      </c>
      <c r="B393" s="15" t="s">
        <v>386</v>
      </c>
      <c r="C393" s="15" t="s">
        <v>387</v>
      </c>
      <c r="D393" s="15" t="s">
        <v>398</v>
      </c>
      <c r="E393" s="15" t="s">
        <v>389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hidden="1" x14ac:dyDescent="0.25">
      <c r="A394" s="15" t="s">
        <v>152</v>
      </c>
      <c r="B394" s="15" t="s">
        <v>386</v>
      </c>
      <c r="C394" s="15" t="s">
        <v>387</v>
      </c>
      <c r="D394" s="15" t="s">
        <v>398</v>
      </c>
      <c r="E394" s="15" t="s">
        <v>389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hidden="1" x14ac:dyDescent="0.25">
      <c r="A395" s="15" t="s">
        <v>102</v>
      </c>
      <c r="B395" s="15" t="s">
        <v>386</v>
      </c>
      <c r="C395" s="15" t="s">
        <v>387</v>
      </c>
      <c r="D395" s="15" t="s">
        <v>398</v>
      </c>
      <c r="E395" s="15" t="s">
        <v>389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hidden="1" x14ac:dyDescent="0.25">
      <c r="A396" s="15" t="s">
        <v>156</v>
      </c>
      <c r="B396" s="15" t="s">
        <v>386</v>
      </c>
      <c r="C396" s="15" t="s">
        <v>387</v>
      </c>
      <c r="D396" s="15" t="s">
        <v>398</v>
      </c>
      <c r="E396" s="15" t="s">
        <v>389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hidden="1" x14ac:dyDescent="0.25">
      <c r="A397" s="15" t="s">
        <v>18</v>
      </c>
      <c r="B397" s="15" t="s">
        <v>386</v>
      </c>
      <c r="C397" s="15" t="s">
        <v>387</v>
      </c>
      <c r="D397" s="15" t="s">
        <v>398</v>
      </c>
      <c r="E397" s="15" t="s">
        <v>389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hidden="1" x14ac:dyDescent="0.25">
      <c r="A398" s="15" t="s">
        <v>105</v>
      </c>
      <c r="B398" s="15" t="s">
        <v>386</v>
      </c>
      <c r="C398" s="15" t="s">
        <v>387</v>
      </c>
      <c r="D398" s="15" t="s">
        <v>398</v>
      </c>
      <c r="E398" s="15" t="s">
        <v>389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hidden="1" x14ac:dyDescent="0.25">
      <c r="A399" s="15" t="s">
        <v>154</v>
      </c>
      <c r="B399" s="15" t="s">
        <v>386</v>
      </c>
      <c r="C399" s="15" t="s">
        <v>387</v>
      </c>
      <c r="D399" s="15" t="s">
        <v>398</v>
      </c>
      <c r="E399" s="15" t="s">
        <v>389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hidden="1" x14ac:dyDescent="0.25">
      <c r="A400" s="15" t="s">
        <v>432</v>
      </c>
      <c r="B400" s="15" t="s">
        <v>386</v>
      </c>
      <c r="C400" s="15" t="s">
        <v>387</v>
      </c>
      <c r="D400" s="15" t="s">
        <v>398</v>
      </c>
      <c r="E400" s="15" t="s">
        <v>389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hidden="1" x14ac:dyDescent="0.25">
      <c r="A401" s="15" t="s">
        <v>160</v>
      </c>
      <c r="B401" s="15" t="s">
        <v>386</v>
      </c>
      <c r="C401" s="15" t="s">
        <v>387</v>
      </c>
      <c r="D401" s="15" t="s">
        <v>398</v>
      </c>
      <c r="E401" s="15" t="s">
        <v>389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hidden="1" x14ac:dyDescent="0.25">
      <c r="A402" s="15" t="s">
        <v>151</v>
      </c>
      <c r="B402" s="15" t="s">
        <v>386</v>
      </c>
      <c r="C402" s="15" t="s">
        <v>387</v>
      </c>
      <c r="D402" s="15" t="s">
        <v>398</v>
      </c>
      <c r="E402" s="15" t="s">
        <v>389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hidden="1" x14ac:dyDescent="0.25">
      <c r="A403" s="15" t="s">
        <v>93</v>
      </c>
      <c r="B403" s="15" t="s">
        <v>386</v>
      </c>
      <c r="C403" s="15" t="s">
        <v>387</v>
      </c>
      <c r="D403" s="15" t="s">
        <v>398</v>
      </c>
      <c r="E403" s="15" t="s">
        <v>389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hidden="1" x14ac:dyDescent="0.25">
      <c r="A404" s="15" t="s">
        <v>17</v>
      </c>
      <c r="B404" s="15" t="s">
        <v>386</v>
      </c>
      <c r="C404" s="15" t="s">
        <v>387</v>
      </c>
      <c r="D404" s="15" t="s">
        <v>398</v>
      </c>
      <c r="E404" s="15" t="s">
        <v>389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hidden="1" x14ac:dyDescent="0.25">
      <c r="A405" s="15" t="s">
        <v>435</v>
      </c>
      <c r="B405" s="15" t="s">
        <v>386</v>
      </c>
      <c r="C405" s="15" t="s">
        <v>387</v>
      </c>
      <c r="D405" s="15" t="s">
        <v>398</v>
      </c>
      <c r="E405" s="15" t="s">
        <v>389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hidden="1" x14ac:dyDescent="0.25">
      <c r="A406" s="15" t="s">
        <v>336</v>
      </c>
      <c r="B406" s="15" t="s">
        <v>386</v>
      </c>
      <c r="C406" s="15" t="s">
        <v>387</v>
      </c>
      <c r="D406" s="15" t="s">
        <v>398</v>
      </c>
      <c r="E406" s="15" t="s">
        <v>389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hidden="1" x14ac:dyDescent="0.25">
      <c r="A407" s="15" t="s">
        <v>420</v>
      </c>
      <c r="B407" s="15" t="s">
        <v>386</v>
      </c>
      <c r="C407" s="15" t="s">
        <v>387</v>
      </c>
      <c r="D407" s="15" t="s">
        <v>436</v>
      </c>
      <c r="E407" s="15" t="s">
        <v>360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hidden="1" x14ac:dyDescent="0.25">
      <c r="A408" s="15" t="s">
        <v>383</v>
      </c>
      <c r="B408" s="15" t="s">
        <v>386</v>
      </c>
      <c r="C408" s="15" t="s">
        <v>387</v>
      </c>
      <c r="D408" s="15" t="s">
        <v>436</v>
      </c>
      <c r="E408" s="15" t="s">
        <v>360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hidden="1" x14ac:dyDescent="0.25">
      <c r="A409" s="15" t="s">
        <v>353</v>
      </c>
      <c r="B409" s="15" t="s">
        <v>386</v>
      </c>
      <c r="C409" s="15" t="s">
        <v>387</v>
      </c>
      <c r="D409" s="15" t="s">
        <v>436</v>
      </c>
      <c r="E409" s="15" t="s">
        <v>360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hidden="1" x14ac:dyDescent="0.25">
      <c r="A410" s="15" t="s">
        <v>155</v>
      </c>
      <c r="B410" s="15" t="s">
        <v>386</v>
      </c>
      <c r="C410" s="15" t="s">
        <v>387</v>
      </c>
      <c r="D410" s="15" t="s">
        <v>436</v>
      </c>
      <c r="E410" s="15" t="s">
        <v>360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hidden="1" x14ac:dyDescent="0.25">
      <c r="A411" s="15" t="s">
        <v>90</v>
      </c>
      <c r="B411" s="15" t="s">
        <v>386</v>
      </c>
      <c r="C411" s="15" t="s">
        <v>387</v>
      </c>
      <c r="D411" s="15" t="s">
        <v>436</v>
      </c>
      <c r="E411" s="15" t="s">
        <v>360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hidden="1" x14ac:dyDescent="0.25">
      <c r="A412" s="15" t="s">
        <v>344</v>
      </c>
      <c r="B412" s="15" t="s">
        <v>386</v>
      </c>
      <c r="C412" s="15" t="s">
        <v>387</v>
      </c>
      <c r="D412" s="15" t="s">
        <v>436</v>
      </c>
      <c r="E412" s="15" t="s">
        <v>360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hidden="1" x14ac:dyDescent="0.25">
      <c r="A413" s="15" t="s">
        <v>42</v>
      </c>
      <c r="B413" s="15" t="s">
        <v>386</v>
      </c>
      <c r="C413" s="15" t="s">
        <v>387</v>
      </c>
      <c r="D413" s="15" t="s">
        <v>436</v>
      </c>
      <c r="E413" s="15" t="s">
        <v>360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hidden="1" x14ac:dyDescent="0.25">
      <c r="A414" s="15" t="s">
        <v>173</v>
      </c>
      <c r="B414" s="15" t="s">
        <v>386</v>
      </c>
      <c r="C414" s="15" t="s">
        <v>387</v>
      </c>
      <c r="D414" s="15" t="s">
        <v>436</v>
      </c>
      <c r="E414" s="15" t="s">
        <v>360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hidden="1" x14ac:dyDescent="0.25">
      <c r="A415" s="15" t="s">
        <v>135</v>
      </c>
      <c r="B415" s="15" t="s">
        <v>386</v>
      </c>
      <c r="C415" s="15" t="s">
        <v>387</v>
      </c>
      <c r="D415" s="15" t="s">
        <v>436</v>
      </c>
      <c r="E415" s="15" t="s">
        <v>360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hidden="1" x14ac:dyDescent="0.25">
      <c r="A416" s="15" t="s">
        <v>111</v>
      </c>
      <c r="B416" s="15" t="s">
        <v>386</v>
      </c>
      <c r="C416" s="15" t="s">
        <v>387</v>
      </c>
      <c r="D416" s="15" t="s">
        <v>436</v>
      </c>
      <c r="E416" s="15" t="s">
        <v>360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hidden="1" x14ac:dyDescent="0.25">
      <c r="A417" s="15" t="s">
        <v>345</v>
      </c>
      <c r="B417" s="15" t="s">
        <v>386</v>
      </c>
      <c r="C417" s="15" t="s">
        <v>387</v>
      </c>
      <c r="D417" s="15" t="s">
        <v>436</v>
      </c>
      <c r="E417" s="15" t="s">
        <v>360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hidden="1" x14ac:dyDescent="0.25">
      <c r="A418" s="15" t="s">
        <v>333</v>
      </c>
      <c r="B418" s="15" t="s">
        <v>386</v>
      </c>
      <c r="C418" s="15" t="s">
        <v>387</v>
      </c>
      <c r="D418" s="15" t="s">
        <v>436</v>
      </c>
      <c r="E418" s="15" t="s">
        <v>360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hidden="1" x14ac:dyDescent="0.25">
      <c r="A419" s="15" t="s">
        <v>127</v>
      </c>
      <c r="B419" s="15" t="s">
        <v>386</v>
      </c>
      <c r="C419" s="15" t="s">
        <v>387</v>
      </c>
      <c r="D419" s="15" t="s">
        <v>436</v>
      </c>
      <c r="E419" s="15" t="s">
        <v>360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hidden="1" x14ac:dyDescent="0.25">
      <c r="A420" s="15" t="s">
        <v>123</v>
      </c>
      <c r="B420" s="15" t="s">
        <v>386</v>
      </c>
      <c r="C420" s="15" t="s">
        <v>387</v>
      </c>
      <c r="D420" s="15" t="s">
        <v>436</v>
      </c>
      <c r="E420" s="15" t="s">
        <v>360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hidden="1" x14ac:dyDescent="0.25">
      <c r="A421" s="15" t="s">
        <v>102</v>
      </c>
      <c r="B421" s="15" t="s">
        <v>386</v>
      </c>
      <c r="C421" s="15" t="s">
        <v>387</v>
      </c>
      <c r="D421" s="15" t="s">
        <v>436</v>
      </c>
      <c r="E421" s="15" t="s">
        <v>360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hidden="1" x14ac:dyDescent="0.25">
      <c r="A422" s="15" t="s">
        <v>156</v>
      </c>
      <c r="B422" s="15" t="s">
        <v>386</v>
      </c>
      <c r="C422" s="15" t="s">
        <v>387</v>
      </c>
      <c r="D422" s="15" t="s">
        <v>436</v>
      </c>
      <c r="E422" s="15" t="s">
        <v>360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hidden="1" x14ac:dyDescent="0.25">
      <c r="A423" s="15" t="s">
        <v>346</v>
      </c>
      <c r="B423" s="15" t="s">
        <v>386</v>
      </c>
      <c r="C423" s="15" t="s">
        <v>387</v>
      </c>
      <c r="D423" s="15" t="s">
        <v>436</v>
      </c>
      <c r="E423" s="15" t="s">
        <v>360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hidden="1" x14ac:dyDescent="0.25">
      <c r="A424" s="15" t="s">
        <v>118</v>
      </c>
      <c r="B424" s="15" t="s">
        <v>386</v>
      </c>
      <c r="C424" s="15" t="s">
        <v>387</v>
      </c>
      <c r="D424" s="15" t="s">
        <v>436</v>
      </c>
      <c r="E424" s="15" t="s">
        <v>360</v>
      </c>
      <c r="F424" s="15">
        <v>1</v>
      </c>
      <c r="G424" s="15">
        <v>1</v>
      </c>
      <c r="H424" s="15" t="s">
        <v>343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hidden="1" x14ac:dyDescent="0.25">
      <c r="A425" s="15" t="s">
        <v>160</v>
      </c>
      <c r="B425" s="15" t="s">
        <v>386</v>
      </c>
      <c r="C425" s="15" t="s">
        <v>387</v>
      </c>
      <c r="D425" s="15" t="s">
        <v>436</v>
      </c>
      <c r="E425" s="15" t="s">
        <v>360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hidden="1" x14ac:dyDescent="0.25">
      <c r="A426" s="15" t="s">
        <v>93</v>
      </c>
      <c r="B426" s="15" t="s">
        <v>386</v>
      </c>
      <c r="C426" s="15" t="s">
        <v>387</v>
      </c>
      <c r="D426" s="15" t="s">
        <v>436</v>
      </c>
      <c r="E426" s="15" t="s">
        <v>360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hidden="1" x14ac:dyDescent="0.25">
      <c r="A427" s="15" t="s">
        <v>55</v>
      </c>
      <c r="B427" s="15" t="s">
        <v>386</v>
      </c>
      <c r="C427" s="15" t="s">
        <v>387</v>
      </c>
      <c r="D427" s="15" t="s">
        <v>436</v>
      </c>
      <c r="E427" s="15" t="s">
        <v>360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hidden="1" x14ac:dyDescent="0.25">
      <c r="A428" s="15" t="s">
        <v>133</v>
      </c>
      <c r="B428" s="15" t="s">
        <v>386</v>
      </c>
      <c r="C428" s="15" t="s">
        <v>387</v>
      </c>
      <c r="D428" s="15" t="s">
        <v>436</v>
      </c>
      <c r="E428" s="15" t="s">
        <v>360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hidden="1" x14ac:dyDescent="0.25">
      <c r="A429" s="15" t="s">
        <v>120</v>
      </c>
      <c r="B429" s="15" t="s">
        <v>386</v>
      </c>
      <c r="C429" s="15" t="s">
        <v>387</v>
      </c>
      <c r="D429" s="15" t="s">
        <v>436</v>
      </c>
      <c r="E429" s="15" t="s">
        <v>360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hidden="1" x14ac:dyDescent="0.25">
      <c r="A430" s="15" t="s">
        <v>385</v>
      </c>
      <c r="B430" s="15" t="s">
        <v>386</v>
      </c>
      <c r="C430" s="15" t="s">
        <v>387</v>
      </c>
      <c r="D430" s="15" t="s">
        <v>436</v>
      </c>
      <c r="E430" s="15" t="s">
        <v>360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hidden="1" x14ac:dyDescent="0.25">
      <c r="A431" s="15" t="s">
        <v>347</v>
      </c>
      <c r="B431" s="15" t="s">
        <v>386</v>
      </c>
      <c r="C431" s="15" t="s">
        <v>387</v>
      </c>
      <c r="D431" s="15" t="s">
        <v>436</v>
      </c>
      <c r="E431" s="15" t="s">
        <v>360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hidden="1" x14ac:dyDescent="0.25">
      <c r="A432" s="15" t="s">
        <v>103</v>
      </c>
      <c r="B432" s="15" t="s">
        <v>386</v>
      </c>
      <c r="C432" s="15" t="s">
        <v>387</v>
      </c>
      <c r="D432" s="15" t="s">
        <v>436</v>
      </c>
      <c r="E432" s="15" t="s">
        <v>360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hidden="1" x14ac:dyDescent="0.25">
      <c r="A433" s="15" t="s">
        <v>417</v>
      </c>
      <c r="B433" s="15" t="s">
        <v>386</v>
      </c>
      <c r="C433" s="15" t="s">
        <v>387</v>
      </c>
      <c r="D433" s="15" t="s">
        <v>436</v>
      </c>
      <c r="E433" s="15" t="s">
        <v>360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25">
      <c r="A434" s="15" t="s">
        <v>81</v>
      </c>
      <c r="B434" s="15" t="s">
        <v>438</v>
      </c>
      <c r="C434" s="15" t="s">
        <v>439</v>
      </c>
      <c r="D434" s="15" t="s">
        <v>440</v>
      </c>
      <c r="E434" s="15" t="s">
        <v>421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25">
      <c r="A435" s="15" t="s">
        <v>81</v>
      </c>
      <c r="B435" s="15" t="s">
        <v>438</v>
      </c>
      <c r="C435" s="15" t="s">
        <v>439</v>
      </c>
      <c r="D435" s="15" t="s">
        <v>441</v>
      </c>
      <c r="E435" s="15" t="s">
        <v>442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25">
      <c r="A436" s="15" t="s">
        <v>81</v>
      </c>
      <c r="B436" s="15" t="s">
        <v>438</v>
      </c>
      <c r="C436" s="15" t="s">
        <v>439</v>
      </c>
      <c r="D436" s="15" t="s">
        <v>441</v>
      </c>
      <c r="E436" s="15" t="s">
        <v>421</v>
      </c>
      <c r="F436" s="15"/>
      <c r="G436" s="15"/>
      <c r="H436" s="15" t="s">
        <v>343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25">
      <c r="A437" s="15" t="s">
        <v>87</v>
      </c>
      <c r="B437" s="15" t="s">
        <v>438</v>
      </c>
      <c r="C437" s="15" t="s">
        <v>443</v>
      </c>
      <c r="D437" s="15" t="s">
        <v>444</v>
      </c>
      <c r="E437" s="15" t="s">
        <v>424</v>
      </c>
      <c r="F437" s="15"/>
      <c r="G437" s="15"/>
      <c r="H437" s="15" t="s">
        <v>377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25">
      <c r="A438" s="15" t="s">
        <v>87</v>
      </c>
      <c r="B438" s="15" t="s">
        <v>438</v>
      </c>
      <c r="C438" s="15" t="s">
        <v>443</v>
      </c>
      <c r="D438" s="15" t="s">
        <v>445</v>
      </c>
      <c r="E438" s="15" t="s">
        <v>424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25">
      <c r="A439" s="15" t="s">
        <v>87</v>
      </c>
      <c r="B439" s="15" t="s">
        <v>438</v>
      </c>
      <c r="C439" s="15" t="s">
        <v>443</v>
      </c>
      <c r="D439" s="15" t="s">
        <v>446</v>
      </c>
      <c r="E439" s="15" t="s">
        <v>424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25">
      <c r="A440" s="15" t="s">
        <v>87</v>
      </c>
      <c r="B440" s="15" t="s">
        <v>438</v>
      </c>
      <c r="C440" s="15" t="s">
        <v>447</v>
      </c>
      <c r="D440" s="15" t="s">
        <v>448</v>
      </c>
      <c r="E440" s="15" t="s">
        <v>424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25">
      <c r="A441" s="15" t="s">
        <v>449</v>
      </c>
      <c r="B441" s="15" t="s">
        <v>438</v>
      </c>
      <c r="C441" s="15" t="s">
        <v>439</v>
      </c>
      <c r="D441" s="15" t="s">
        <v>440</v>
      </c>
      <c r="E441" s="15" t="s">
        <v>450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25">
      <c r="A442" s="15" t="s">
        <v>449</v>
      </c>
      <c r="B442" s="15" t="s">
        <v>438</v>
      </c>
      <c r="C442" s="15" t="s">
        <v>439</v>
      </c>
      <c r="D442" s="15" t="s">
        <v>451</v>
      </c>
      <c r="E442" s="15" t="s">
        <v>421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25">
      <c r="A443" s="15" t="s">
        <v>449</v>
      </c>
      <c r="B443" s="15" t="s">
        <v>438</v>
      </c>
      <c r="C443" s="15" t="s">
        <v>439</v>
      </c>
      <c r="D443" s="15" t="s">
        <v>440</v>
      </c>
      <c r="E443" s="15" t="s">
        <v>421</v>
      </c>
      <c r="F443" s="15"/>
      <c r="G443" s="15"/>
      <c r="H443" s="15" t="s">
        <v>343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25">
      <c r="A444" s="15" t="s">
        <v>425</v>
      </c>
      <c r="B444" s="15" t="s">
        <v>438</v>
      </c>
      <c r="C444" s="15" t="s">
        <v>443</v>
      </c>
      <c r="D444" s="15" t="s">
        <v>452</v>
      </c>
      <c r="E444" s="15" t="s">
        <v>424</v>
      </c>
      <c r="F444" s="15"/>
      <c r="G444" s="15"/>
      <c r="H444" s="15" t="s">
        <v>377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25">
      <c r="A445" s="15" t="s">
        <v>425</v>
      </c>
      <c r="B445" s="15" t="s">
        <v>438</v>
      </c>
      <c r="C445" s="15" t="s">
        <v>447</v>
      </c>
      <c r="D445" s="15" t="s">
        <v>448</v>
      </c>
      <c r="E445" s="15" t="s">
        <v>424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25">
      <c r="A446" s="15" t="s">
        <v>90</v>
      </c>
      <c r="B446" s="15" t="s">
        <v>438</v>
      </c>
      <c r="C446" s="15" t="s">
        <v>443</v>
      </c>
      <c r="D446" s="15" t="s">
        <v>444</v>
      </c>
      <c r="E446" s="15" t="s">
        <v>424</v>
      </c>
      <c r="F446" s="15">
        <v>1</v>
      </c>
      <c r="G446" s="15">
        <v>2</v>
      </c>
      <c r="H446" s="15" t="s">
        <v>377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25">
      <c r="A447" s="15" t="s">
        <v>90</v>
      </c>
      <c r="B447" s="15" t="s">
        <v>438</v>
      </c>
      <c r="C447" s="15" t="s">
        <v>443</v>
      </c>
      <c r="D447" s="15" t="s">
        <v>445</v>
      </c>
      <c r="E447" s="15" t="s">
        <v>424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25">
      <c r="A448" s="15" t="s">
        <v>90</v>
      </c>
      <c r="B448" s="15" t="s">
        <v>438</v>
      </c>
      <c r="C448" s="15" t="s">
        <v>443</v>
      </c>
      <c r="D448" s="15" t="s">
        <v>446</v>
      </c>
      <c r="E448" s="15" t="s">
        <v>424</v>
      </c>
      <c r="F448" s="15"/>
      <c r="G448" s="15"/>
      <c r="H448" s="15" t="s">
        <v>377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25">
      <c r="A449" s="15" t="s">
        <v>90</v>
      </c>
      <c r="B449" s="15" t="s">
        <v>438</v>
      </c>
      <c r="C449" s="15" t="s">
        <v>453</v>
      </c>
      <c r="D449" s="15" t="s">
        <v>454</v>
      </c>
      <c r="E449" s="15" t="s">
        <v>424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25">
      <c r="A450" s="15" t="s">
        <v>90</v>
      </c>
      <c r="B450" s="15" t="s">
        <v>438</v>
      </c>
      <c r="C450" s="15" t="s">
        <v>447</v>
      </c>
      <c r="D450" s="15" t="s">
        <v>448</v>
      </c>
      <c r="E450" s="15" t="s">
        <v>424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25">
      <c r="A451" s="15" t="s">
        <v>427</v>
      </c>
      <c r="B451" s="15" t="s">
        <v>438</v>
      </c>
      <c r="C451" s="15" t="s">
        <v>453</v>
      </c>
      <c r="D451" s="15" t="s">
        <v>455</v>
      </c>
      <c r="E451" s="15" t="s">
        <v>421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25">
      <c r="A452" s="15" t="s">
        <v>66</v>
      </c>
      <c r="B452" s="15" t="s">
        <v>438</v>
      </c>
      <c r="C452" s="15" t="s">
        <v>453</v>
      </c>
      <c r="D452" s="15" t="s">
        <v>454</v>
      </c>
      <c r="E452" s="15" t="s">
        <v>450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25">
      <c r="A453" s="15" t="s">
        <v>66</v>
      </c>
      <c r="B453" s="15" t="s">
        <v>438</v>
      </c>
      <c r="C453" s="15" t="s">
        <v>453</v>
      </c>
      <c r="D453" s="15" t="s">
        <v>454</v>
      </c>
      <c r="E453" s="15" t="s">
        <v>421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25">
      <c r="A454" s="15" t="s">
        <v>431</v>
      </c>
      <c r="B454" s="15" t="s">
        <v>438</v>
      </c>
      <c r="C454" s="15" t="s">
        <v>453</v>
      </c>
      <c r="D454" s="15" t="s">
        <v>456</v>
      </c>
      <c r="E454" s="15" t="s">
        <v>450</v>
      </c>
      <c r="F454" s="15">
        <v>1</v>
      </c>
      <c r="G454" s="15">
        <v>2</v>
      </c>
      <c r="H454" s="15" t="s">
        <v>343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25">
      <c r="A455" s="15" t="s">
        <v>431</v>
      </c>
      <c r="B455" s="15" t="s">
        <v>438</v>
      </c>
      <c r="C455" s="15" t="s">
        <v>453</v>
      </c>
      <c r="D455" s="15" t="s">
        <v>456</v>
      </c>
      <c r="E455" s="15" t="s">
        <v>421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25">
      <c r="A456" s="15" t="s">
        <v>431</v>
      </c>
      <c r="B456" s="15" t="s">
        <v>438</v>
      </c>
      <c r="C456" s="15" t="s">
        <v>453</v>
      </c>
      <c r="D456" s="15" t="s">
        <v>457</v>
      </c>
      <c r="E456" s="15" t="s">
        <v>450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25">
      <c r="A457" s="15" t="s">
        <v>431</v>
      </c>
      <c r="B457" s="15" t="s">
        <v>438</v>
      </c>
      <c r="C457" s="15" t="s">
        <v>453</v>
      </c>
      <c r="D457" s="15" t="s">
        <v>457</v>
      </c>
      <c r="E457" s="15" t="s">
        <v>421</v>
      </c>
      <c r="F457" s="15"/>
      <c r="G457" s="15"/>
      <c r="H457" s="15" t="s">
        <v>343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25">
      <c r="A458" s="15" t="s">
        <v>431</v>
      </c>
      <c r="B458" s="15" t="s">
        <v>438</v>
      </c>
      <c r="C458" s="15" t="s">
        <v>453</v>
      </c>
      <c r="D458" s="15" t="s">
        <v>454</v>
      </c>
      <c r="E458" s="15" t="s">
        <v>450</v>
      </c>
      <c r="F458" s="15"/>
      <c r="G458" s="15"/>
      <c r="H458" s="15" t="s">
        <v>343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25">
      <c r="A459" s="15" t="s">
        <v>431</v>
      </c>
      <c r="B459" s="15" t="s">
        <v>438</v>
      </c>
      <c r="C459" s="15" t="s">
        <v>453</v>
      </c>
      <c r="D459" s="15" t="s">
        <v>454</v>
      </c>
      <c r="E459" s="15" t="s">
        <v>421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25">
      <c r="A460" s="15" t="s">
        <v>431</v>
      </c>
      <c r="B460" s="15" t="s">
        <v>438</v>
      </c>
      <c r="C460" s="15" t="s">
        <v>447</v>
      </c>
      <c r="D460" s="15" t="s">
        <v>448</v>
      </c>
      <c r="E460" s="15" t="s">
        <v>450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25">
      <c r="A461" s="15" t="s">
        <v>431</v>
      </c>
      <c r="B461" s="15" t="s">
        <v>438</v>
      </c>
      <c r="C461" s="15" t="s">
        <v>447</v>
      </c>
      <c r="D461" s="15" t="s">
        <v>448</v>
      </c>
      <c r="E461" s="15" t="s">
        <v>421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x14ac:dyDescent="0.25">
      <c r="A462" s="15" t="s">
        <v>458</v>
      </c>
      <c r="B462" s="15" t="s">
        <v>438</v>
      </c>
      <c r="C462" s="15" t="s">
        <v>439</v>
      </c>
      <c r="D462" s="15" t="s">
        <v>459</v>
      </c>
      <c r="E462" s="15" t="s">
        <v>442</v>
      </c>
      <c r="F462" s="15">
        <v>1</v>
      </c>
      <c r="G462" s="15"/>
      <c r="H462" s="15" t="s">
        <v>343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x14ac:dyDescent="0.25">
      <c r="A463" s="15" t="s">
        <v>458</v>
      </c>
      <c r="B463" s="15" t="s">
        <v>438</v>
      </c>
      <c r="C463" s="15" t="s">
        <v>439</v>
      </c>
      <c r="D463" s="15" t="s">
        <v>459</v>
      </c>
      <c r="E463" s="15" t="s">
        <v>450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x14ac:dyDescent="0.25">
      <c r="A464" s="15" t="s">
        <v>458</v>
      </c>
      <c r="B464" s="15" t="s">
        <v>438</v>
      </c>
      <c r="C464" s="15" t="s">
        <v>439</v>
      </c>
      <c r="D464" s="15" t="s">
        <v>459</v>
      </c>
      <c r="E464" s="15" t="s">
        <v>421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25">
      <c r="A465" s="15" t="s">
        <v>65</v>
      </c>
      <c r="B465" s="15" t="s">
        <v>438</v>
      </c>
      <c r="C465" s="15" t="s">
        <v>453</v>
      </c>
      <c r="D465" s="15" t="s">
        <v>455</v>
      </c>
      <c r="E465" s="15" t="s">
        <v>450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25">
      <c r="A466" s="15" t="s">
        <v>65</v>
      </c>
      <c r="B466" s="15" t="s">
        <v>438</v>
      </c>
      <c r="C466" s="15" t="s">
        <v>453</v>
      </c>
      <c r="D466" s="15" t="s">
        <v>455</v>
      </c>
      <c r="E466" s="15" t="s">
        <v>421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25">
      <c r="A467" s="15" t="s">
        <v>74</v>
      </c>
      <c r="B467" s="15" t="s">
        <v>438</v>
      </c>
      <c r="C467" s="15" t="s">
        <v>439</v>
      </c>
      <c r="D467" s="15" t="s">
        <v>440</v>
      </c>
      <c r="E467" s="15" t="s">
        <v>450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25">
      <c r="A468" s="15" t="s">
        <v>74</v>
      </c>
      <c r="B468" s="15" t="s">
        <v>438</v>
      </c>
      <c r="C468" s="15" t="s">
        <v>439</v>
      </c>
      <c r="D468" s="15" t="s">
        <v>440</v>
      </c>
      <c r="E468" s="15" t="s">
        <v>421</v>
      </c>
      <c r="F468" s="15">
        <v>1</v>
      </c>
      <c r="G468" s="15"/>
      <c r="H468" s="15" t="s">
        <v>343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25">
      <c r="A469" s="15" t="s">
        <v>74</v>
      </c>
      <c r="B469" s="15" t="s">
        <v>438</v>
      </c>
      <c r="C469" s="15" t="s">
        <v>439</v>
      </c>
      <c r="D469" s="15" t="s">
        <v>451</v>
      </c>
      <c r="E469" s="15" t="s">
        <v>450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25">
      <c r="A470" s="15" t="s">
        <v>74</v>
      </c>
      <c r="B470" s="15" t="s">
        <v>438</v>
      </c>
      <c r="C470" s="15" t="s">
        <v>439</v>
      </c>
      <c r="D470" s="15" t="s">
        <v>451</v>
      </c>
      <c r="E470" s="15" t="s">
        <v>421</v>
      </c>
      <c r="F470" s="15"/>
      <c r="G470" s="15"/>
      <c r="H470" s="15" t="s">
        <v>343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25">
      <c r="A471" s="15" t="s">
        <v>74</v>
      </c>
      <c r="B471" s="15" t="s">
        <v>438</v>
      </c>
      <c r="C471" s="15" t="s">
        <v>447</v>
      </c>
      <c r="D471" s="15" t="s">
        <v>448</v>
      </c>
      <c r="E471" s="15" t="s">
        <v>450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25">
      <c r="A472" s="15" t="s">
        <v>74</v>
      </c>
      <c r="B472" s="15" t="s">
        <v>438</v>
      </c>
      <c r="C472" s="15" t="s">
        <v>447</v>
      </c>
      <c r="D472" s="15" t="s">
        <v>448</v>
      </c>
      <c r="E472" s="15" t="s">
        <v>421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25">
      <c r="A473" s="15" t="s">
        <v>460</v>
      </c>
      <c r="B473" s="15" t="s">
        <v>438</v>
      </c>
      <c r="C473" s="15" t="s">
        <v>439</v>
      </c>
      <c r="D473" s="15" t="s">
        <v>440</v>
      </c>
      <c r="E473" s="15" t="s">
        <v>450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25">
      <c r="A474" s="15" t="s">
        <v>460</v>
      </c>
      <c r="B474" s="15" t="s">
        <v>438</v>
      </c>
      <c r="C474" s="15" t="s">
        <v>439</v>
      </c>
      <c r="D474" s="15" t="s">
        <v>440</v>
      </c>
      <c r="E474" s="15" t="s">
        <v>421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25">
      <c r="A475" s="15" t="s">
        <v>81</v>
      </c>
      <c r="B475" s="15" t="s">
        <v>438</v>
      </c>
      <c r="C475" s="15" t="s">
        <v>453</v>
      </c>
      <c r="D475" s="15" t="s">
        <v>461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25">
      <c r="A476" s="15" t="s">
        <v>87</v>
      </c>
      <c r="B476" s="15" t="s">
        <v>438</v>
      </c>
      <c r="C476" s="15" t="s">
        <v>453</v>
      </c>
      <c r="D476" s="15" t="s">
        <v>461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25">
      <c r="A477" s="15" t="s">
        <v>449</v>
      </c>
      <c r="B477" s="15" t="s">
        <v>438</v>
      </c>
      <c r="C477" s="15" t="s">
        <v>453</v>
      </c>
      <c r="D477" s="15" t="s">
        <v>461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25">
      <c r="A478" s="15" t="s">
        <v>425</v>
      </c>
      <c r="B478" s="15" t="s">
        <v>438</v>
      </c>
      <c r="C478" s="15" t="s">
        <v>453</v>
      </c>
      <c r="D478" s="15" t="s">
        <v>461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25">
      <c r="A479" s="15" t="s">
        <v>90</v>
      </c>
      <c r="B479" s="15" t="s">
        <v>438</v>
      </c>
      <c r="C479" s="15" t="s">
        <v>453</v>
      </c>
      <c r="D479" s="15" t="s">
        <v>461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25">
      <c r="A480" s="15" t="s">
        <v>431</v>
      </c>
      <c r="B480" s="15" t="s">
        <v>438</v>
      </c>
      <c r="C480" s="15" t="s">
        <v>453</v>
      </c>
      <c r="D480" s="15" t="s">
        <v>461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x14ac:dyDescent="0.25">
      <c r="A481" s="15" t="s">
        <v>458</v>
      </c>
      <c r="B481" s="15" t="s">
        <v>438</v>
      </c>
      <c r="C481" s="15" t="s">
        <v>453</v>
      </c>
      <c r="D481" s="15" t="s">
        <v>461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25">
      <c r="A482" s="15" t="s">
        <v>74</v>
      </c>
      <c r="B482" s="15" t="s">
        <v>438</v>
      </c>
      <c r="C482" s="15" t="s">
        <v>453</v>
      </c>
      <c r="D482" s="15" t="s">
        <v>461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25">
      <c r="A483" s="15" t="s">
        <v>81</v>
      </c>
      <c r="B483" s="15" t="s">
        <v>438</v>
      </c>
      <c r="C483" s="15" t="s">
        <v>462</v>
      </c>
      <c r="D483" s="15" t="s">
        <v>463</v>
      </c>
      <c r="E483" s="15" t="s">
        <v>421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25">
      <c r="A484" s="15" t="s">
        <v>87</v>
      </c>
      <c r="B484" s="15" t="s">
        <v>438</v>
      </c>
      <c r="C484" s="15" t="s">
        <v>462</v>
      </c>
      <c r="D484" s="15" t="s">
        <v>463</v>
      </c>
      <c r="E484" s="15" t="s">
        <v>424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25">
      <c r="A485" s="15" t="s">
        <v>449</v>
      </c>
      <c r="B485" s="15" t="s">
        <v>438</v>
      </c>
      <c r="C485" s="15" t="s">
        <v>462</v>
      </c>
      <c r="D485" s="15" t="s">
        <v>463</v>
      </c>
      <c r="E485" s="15" t="s">
        <v>421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25">
      <c r="A486" s="15" t="s">
        <v>425</v>
      </c>
      <c r="B486" s="15" t="s">
        <v>438</v>
      </c>
      <c r="C486" s="15" t="s">
        <v>462</v>
      </c>
      <c r="D486" s="15" t="s">
        <v>463</v>
      </c>
      <c r="E486" s="15" t="s">
        <v>424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25">
      <c r="A487" s="15" t="s">
        <v>90</v>
      </c>
      <c r="B487" s="15" t="s">
        <v>438</v>
      </c>
      <c r="C487" s="15" t="s">
        <v>462</v>
      </c>
      <c r="D487" s="15" t="s">
        <v>463</v>
      </c>
      <c r="E487" s="15" t="s">
        <v>424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25">
      <c r="A488" s="15" t="s">
        <v>427</v>
      </c>
      <c r="B488" s="15" t="s">
        <v>438</v>
      </c>
      <c r="C488" s="15" t="s">
        <v>462</v>
      </c>
      <c r="D488" s="15" t="s">
        <v>463</v>
      </c>
      <c r="E488" s="15" t="s">
        <v>421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25">
      <c r="A489" s="15" t="s">
        <v>66</v>
      </c>
      <c r="B489" s="15" t="s">
        <v>438</v>
      </c>
      <c r="C489" s="15" t="s">
        <v>462</v>
      </c>
      <c r="D489" s="15" t="s">
        <v>463</v>
      </c>
      <c r="E489" s="15" t="s">
        <v>421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25">
      <c r="A490" s="15" t="s">
        <v>431</v>
      </c>
      <c r="B490" s="15" t="s">
        <v>438</v>
      </c>
      <c r="C490" s="15" t="s">
        <v>462</v>
      </c>
      <c r="D490" s="15" t="s">
        <v>463</v>
      </c>
      <c r="E490" s="15" t="s">
        <v>450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x14ac:dyDescent="0.25">
      <c r="A491" s="15" t="s">
        <v>458</v>
      </c>
      <c r="B491" s="15" t="s">
        <v>438</v>
      </c>
      <c r="C491" s="15" t="s">
        <v>462</v>
      </c>
      <c r="D491" s="15" t="s">
        <v>463</v>
      </c>
      <c r="E491" s="15" t="s">
        <v>442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25">
      <c r="A492" s="15" t="s">
        <v>65</v>
      </c>
      <c r="B492" s="15" t="s">
        <v>438</v>
      </c>
      <c r="C492" s="15" t="s">
        <v>462</v>
      </c>
      <c r="D492" s="15" t="s">
        <v>463</v>
      </c>
      <c r="E492" s="15" t="s">
        <v>421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25">
      <c r="A493" s="15" t="s">
        <v>74</v>
      </c>
      <c r="B493" s="15" t="s">
        <v>438</v>
      </c>
      <c r="C493" s="15" t="s">
        <v>462</v>
      </c>
      <c r="D493" s="15" t="s">
        <v>463</v>
      </c>
      <c r="E493" s="15" t="s">
        <v>450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25">
      <c r="A494" s="15" t="s">
        <v>74</v>
      </c>
      <c r="B494" s="15" t="s">
        <v>438</v>
      </c>
      <c r="C494" s="15" t="s">
        <v>462</v>
      </c>
      <c r="D494" s="15" t="s">
        <v>463</v>
      </c>
      <c r="E494" s="15" t="s">
        <v>421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25">
      <c r="A495" s="469" t="s">
        <v>420</v>
      </c>
      <c r="B495" s="15" t="s">
        <v>464</v>
      </c>
      <c r="C495" s="15" t="s">
        <v>465</v>
      </c>
      <c r="D495" s="15" t="s">
        <v>466</v>
      </c>
      <c r="E495" s="15"/>
      <c r="F495" s="15"/>
      <c r="G495" s="15"/>
      <c r="H495" s="15" t="s">
        <v>343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25">
      <c r="A496" s="469" t="s">
        <v>420</v>
      </c>
      <c r="B496" s="15" t="s">
        <v>464</v>
      </c>
      <c r="C496" s="15" t="s">
        <v>465</v>
      </c>
      <c r="D496" s="15" t="s">
        <v>467</v>
      </c>
      <c r="E496" s="15"/>
      <c r="F496" s="15"/>
      <c r="G496" s="15"/>
      <c r="H496" s="15" t="s">
        <v>343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25">
      <c r="A497" s="469" t="s">
        <v>383</v>
      </c>
      <c r="B497" s="15" t="s">
        <v>464</v>
      </c>
      <c r="C497" s="15" t="s">
        <v>465</v>
      </c>
      <c r="D497" s="15" t="s">
        <v>468</v>
      </c>
      <c r="E497" s="15"/>
      <c r="F497" s="15"/>
      <c r="G497" s="15"/>
      <c r="H497" s="15" t="s">
        <v>343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25">
      <c r="A498" s="469" t="s">
        <v>383</v>
      </c>
      <c r="B498" s="15" t="s">
        <v>464</v>
      </c>
      <c r="C498" s="15" t="s">
        <v>465</v>
      </c>
      <c r="D498" s="15" t="s">
        <v>466</v>
      </c>
      <c r="E498" s="15"/>
      <c r="F498" s="15"/>
      <c r="G498" s="15"/>
      <c r="H498" s="15" t="s">
        <v>343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25">
      <c r="A499" s="469" t="s">
        <v>383</v>
      </c>
      <c r="B499" s="15" t="s">
        <v>464</v>
      </c>
      <c r="C499" s="15" t="s">
        <v>465</v>
      </c>
      <c r="D499" s="15" t="s">
        <v>467</v>
      </c>
      <c r="E499" s="15"/>
      <c r="F499" s="15"/>
      <c r="G499" s="15"/>
      <c r="H499" s="15" t="s">
        <v>343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25">
      <c r="A500" s="469" t="s">
        <v>344</v>
      </c>
      <c r="B500" s="15" t="s">
        <v>464</v>
      </c>
      <c r="C500" s="15" t="s">
        <v>465</v>
      </c>
      <c r="D500" s="15" t="s">
        <v>468</v>
      </c>
      <c r="E500" s="15"/>
      <c r="F500" s="15"/>
      <c r="G500" s="15"/>
      <c r="H500" s="15" t="s">
        <v>343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25">
      <c r="A501" s="469" t="s">
        <v>344</v>
      </c>
      <c r="B501" s="15" t="s">
        <v>464</v>
      </c>
      <c r="C501" s="15" t="s">
        <v>465</v>
      </c>
      <c r="D501" s="15" t="s">
        <v>466</v>
      </c>
      <c r="E501" s="15"/>
      <c r="F501" s="15"/>
      <c r="G501" s="15"/>
      <c r="H501" s="15" t="s">
        <v>343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25">
      <c r="A502" s="469" t="s">
        <v>344</v>
      </c>
      <c r="B502" s="15" t="s">
        <v>464</v>
      </c>
      <c r="C502" s="15" t="s">
        <v>465</v>
      </c>
      <c r="D502" s="15" t="s">
        <v>467</v>
      </c>
      <c r="E502" s="15"/>
      <c r="F502" s="15"/>
      <c r="G502" s="15"/>
      <c r="H502" s="15" t="s">
        <v>343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hidden="1" x14ac:dyDescent="0.25">
      <c r="A503" s="469" t="s">
        <v>135</v>
      </c>
      <c r="B503" s="15" t="s">
        <v>464</v>
      </c>
      <c r="C503" s="15" t="s">
        <v>465</v>
      </c>
      <c r="D503" s="15" t="s">
        <v>468</v>
      </c>
      <c r="E503" s="15"/>
      <c r="F503" s="15"/>
      <c r="G503" s="15"/>
      <c r="H503" s="15" t="s">
        <v>343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hidden="1" x14ac:dyDescent="0.25">
      <c r="A504" s="469" t="s">
        <v>135</v>
      </c>
      <c r="B504" s="15" t="s">
        <v>464</v>
      </c>
      <c r="C504" s="15" t="s">
        <v>465</v>
      </c>
      <c r="D504" s="15" t="s">
        <v>466</v>
      </c>
      <c r="E504" s="15"/>
      <c r="F504" s="15"/>
      <c r="G504" s="15"/>
      <c r="H504" s="15" t="s">
        <v>343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hidden="1" x14ac:dyDescent="0.25">
      <c r="A505" s="469" t="s">
        <v>135</v>
      </c>
      <c r="B505" s="15" t="s">
        <v>464</v>
      </c>
      <c r="C505" s="15" t="s">
        <v>465</v>
      </c>
      <c r="D505" s="15" t="s">
        <v>467</v>
      </c>
      <c r="E505" s="15"/>
      <c r="F505" s="15"/>
      <c r="G505" s="15"/>
      <c r="H505" s="15" t="s">
        <v>343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25">
      <c r="A506" s="469" t="s">
        <v>127</v>
      </c>
      <c r="B506" s="15" t="s">
        <v>464</v>
      </c>
      <c r="C506" s="15" t="s">
        <v>465</v>
      </c>
      <c r="D506" s="15" t="s">
        <v>468</v>
      </c>
      <c r="E506" s="15"/>
      <c r="F506" s="15"/>
      <c r="G506" s="15"/>
      <c r="H506" s="15" t="s">
        <v>343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25">
      <c r="A507" s="469" t="s">
        <v>127</v>
      </c>
      <c r="B507" s="15" t="s">
        <v>464</v>
      </c>
      <c r="C507" s="15" t="s">
        <v>465</v>
      </c>
      <c r="D507" s="15" t="s">
        <v>466</v>
      </c>
      <c r="E507" s="15"/>
      <c r="F507" s="15"/>
      <c r="G507" s="15"/>
      <c r="H507" s="15" t="s">
        <v>343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25">
      <c r="A508" s="469" t="s">
        <v>127</v>
      </c>
      <c r="B508" s="15" t="s">
        <v>464</v>
      </c>
      <c r="C508" s="15" t="s">
        <v>465</v>
      </c>
      <c r="D508" s="15" t="s">
        <v>467</v>
      </c>
      <c r="E508" s="15"/>
      <c r="F508" s="15"/>
      <c r="G508" s="15"/>
      <c r="H508" s="15" t="s">
        <v>343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25">
      <c r="A509" s="469" t="s">
        <v>123</v>
      </c>
      <c r="B509" s="15" t="s">
        <v>464</v>
      </c>
      <c r="C509" s="15" t="s">
        <v>465</v>
      </c>
      <c r="D509" s="15" t="s">
        <v>468</v>
      </c>
      <c r="E509" s="15"/>
      <c r="F509" s="15"/>
      <c r="G509" s="15"/>
      <c r="H509" s="15" t="s">
        <v>343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25">
      <c r="A510" s="469" t="s">
        <v>123</v>
      </c>
      <c r="B510" s="15" t="s">
        <v>464</v>
      </c>
      <c r="C510" s="15" t="s">
        <v>465</v>
      </c>
      <c r="D510" s="15" t="s">
        <v>466</v>
      </c>
      <c r="E510" s="15"/>
      <c r="F510" s="15"/>
      <c r="G510" s="15"/>
      <c r="H510" s="15" t="s">
        <v>343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25">
      <c r="A511" s="469" t="s">
        <v>123</v>
      </c>
      <c r="B511" s="15" t="s">
        <v>464</v>
      </c>
      <c r="C511" s="15" t="s">
        <v>465</v>
      </c>
      <c r="D511" s="15" t="s">
        <v>467</v>
      </c>
      <c r="E511" s="15"/>
      <c r="F511" s="15"/>
      <c r="G511" s="15"/>
      <c r="H511" s="15" t="s">
        <v>343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25">
      <c r="A512" s="469" t="s">
        <v>133</v>
      </c>
      <c r="B512" s="15" t="s">
        <v>464</v>
      </c>
      <c r="C512" s="15" t="s">
        <v>465</v>
      </c>
      <c r="D512" s="15" t="s">
        <v>468</v>
      </c>
      <c r="E512" s="15"/>
      <c r="F512" s="15"/>
      <c r="G512" s="15"/>
      <c r="H512" s="15" t="s">
        <v>343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25">
      <c r="A513" s="469" t="s">
        <v>133</v>
      </c>
      <c r="B513" s="15" t="s">
        <v>464</v>
      </c>
      <c r="C513" s="15" t="s">
        <v>465</v>
      </c>
      <c r="D513" s="15" t="s">
        <v>466</v>
      </c>
      <c r="E513" s="15"/>
      <c r="F513" s="15"/>
      <c r="G513" s="15"/>
      <c r="H513" s="15" t="s">
        <v>343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25">
      <c r="A514" s="469" t="s">
        <v>133</v>
      </c>
      <c r="B514" s="15" t="s">
        <v>464</v>
      </c>
      <c r="C514" s="15" t="s">
        <v>465</v>
      </c>
      <c r="D514" s="15" t="s">
        <v>467</v>
      </c>
      <c r="E514" s="15"/>
      <c r="F514" s="15"/>
      <c r="G514" s="15"/>
      <c r="H514" s="15" t="s">
        <v>343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25">
      <c r="A515" s="469" t="s">
        <v>139</v>
      </c>
      <c r="B515" s="15" t="s">
        <v>464</v>
      </c>
      <c r="C515" s="15" t="s">
        <v>465</v>
      </c>
      <c r="D515" s="15" t="s">
        <v>466</v>
      </c>
      <c r="E515" s="15"/>
      <c r="F515" s="15"/>
      <c r="G515" s="15"/>
      <c r="H515" s="15" t="s">
        <v>343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25">
      <c r="A516" s="469" t="s">
        <v>138</v>
      </c>
      <c r="B516" s="15" t="s">
        <v>464</v>
      </c>
      <c r="C516" s="15" t="s">
        <v>465</v>
      </c>
      <c r="D516" s="15" t="s">
        <v>466</v>
      </c>
      <c r="E516" s="15"/>
      <c r="F516" s="15"/>
      <c r="G516" s="15"/>
      <c r="H516" s="15" t="s">
        <v>343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25">
      <c r="A517" s="469" t="s">
        <v>138</v>
      </c>
      <c r="B517" s="15" t="s">
        <v>464</v>
      </c>
      <c r="C517" s="15" t="s">
        <v>465</v>
      </c>
      <c r="D517" s="15" t="s">
        <v>467</v>
      </c>
      <c r="E517" s="15"/>
      <c r="F517" s="15"/>
      <c r="G517" s="15"/>
      <c r="H517" s="15" t="s">
        <v>343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25">
      <c r="A518" s="15" t="s">
        <v>148</v>
      </c>
      <c r="B518" s="15" t="s">
        <v>464</v>
      </c>
      <c r="C518" s="15" t="s">
        <v>469</v>
      </c>
      <c r="D518" s="15" t="s">
        <v>470</v>
      </c>
      <c r="E518" s="15"/>
      <c r="F518" s="15"/>
      <c r="G518" s="15"/>
      <c r="H518" s="15" t="s">
        <v>343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25">
      <c r="A519" s="15" t="s">
        <v>146</v>
      </c>
      <c r="B519" s="15" t="s">
        <v>464</v>
      </c>
      <c r="C519" s="15" t="s">
        <v>469</v>
      </c>
      <c r="D519" s="15" t="s">
        <v>470</v>
      </c>
      <c r="E519" s="15"/>
      <c r="F519" s="15"/>
      <c r="G519" s="15"/>
      <c r="H519" s="15" t="s">
        <v>343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25">
      <c r="A520" s="15" t="s">
        <v>141</v>
      </c>
      <c r="B520" s="15" t="s">
        <v>464</v>
      </c>
      <c r="C520" s="15" t="s">
        <v>469</v>
      </c>
      <c r="D520" s="15" t="s">
        <v>470</v>
      </c>
      <c r="E520" s="15"/>
      <c r="F520" s="15"/>
      <c r="G520" s="15"/>
      <c r="H520" s="15" t="s">
        <v>343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25">
      <c r="A521" s="15" t="s">
        <v>145</v>
      </c>
      <c r="B521" s="15" t="s">
        <v>464</v>
      </c>
      <c r="C521" s="15" t="s">
        <v>469</v>
      </c>
      <c r="D521" s="15" t="s">
        <v>470</v>
      </c>
      <c r="E521" s="15"/>
      <c r="F521" s="15"/>
      <c r="G521" s="15"/>
      <c r="H521" s="15" t="s">
        <v>343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25">
      <c r="A522" s="15" t="s">
        <v>151</v>
      </c>
      <c r="B522" s="15" t="s">
        <v>464</v>
      </c>
      <c r="C522" s="15" t="s">
        <v>469</v>
      </c>
      <c r="D522" s="15" t="s">
        <v>470</v>
      </c>
      <c r="E522" s="15"/>
      <c r="F522" s="15"/>
      <c r="G522" s="15"/>
      <c r="H522" s="15" t="s">
        <v>343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25">
      <c r="A523" s="15" t="s">
        <v>118</v>
      </c>
      <c r="B523" s="15" t="s">
        <v>464</v>
      </c>
      <c r="C523" s="15" t="s">
        <v>469</v>
      </c>
      <c r="D523" s="15" t="s">
        <v>470</v>
      </c>
      <c r="E523" s="15"/>
      <c r="F523" s="15"/>
      <c r="G523" s="15"/>
      <c r="H523" s="15" t="s">
        <v>343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25">
      <c r="A524" s="15" t="s">
        <v>120</v>
      </c>
      <c r="B524" s="15" t="s">
        <v>464</v>
      </c>
      <c r="C524" s="15" t="s">
        <v>469</v>
      </c>
      <c r="D524" s="15" t="s">
        <v>470</v>
      </c>
      <c r="E524" s="15"/>
      <c r="F524" s="15"/>
      <c r="G524" s="15"/>
      <c r="H524" s="15" t="s">
        <v>343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25">
      <c r="A525" s="15" t="s">
        <v>102</v>
      </c>
      <c r="B525" s="15" t="s">
        <v>464</v>
      </c>
      <c r="C525" s="15" t="s">
        <v>469</v>
      </c>
      <c r="D525" s="15" t="s">
        <v>470</v>
      </c>
      <c r="E525" s="15"/>
      <c r="F525" s="15"/>
      <c r="G525" s="15"/>
      <c r="H525" s="15" t="s">
        <v>343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25">
      <c r="A526" s="15" t="s">
        <v>103</v>
      </c>
      <c r="B526" s="15" t="s">
        <v>464</v>
      </c>
      <c r="C526" s="15" t="s">
        <v>469</v>
      </c>
      <c r="D526" s="15" t="s">
        <v>470</v>
      </c>
      <c r="E526" s="15"/>
      <c r="F526" s="15"/>
      <c r="G526" s="15"/>
      <c r="H526" s="15" t="s">
        <v>343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25">
      <c r="A527" s="15" t="s">
        <v>105</v>
      </c>
      <c r="B527" s="15" t="s">
        <v>464</v>
      </c>
      <c r="C527" s="15" t="s">
        <v>469</v>
      </c>
      <c r="D527" s="15" t="s">
        <v>470</v>
      </c>
      <c r="E527" s="15"/>
      <c r="F527" s="15"/>
      <c r="G527" s="15"/>
      <c r="H527" s="15" t="s">
        <v>343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25">
      <c r="A528" s="15" t="s">
        <v>56</v>
      </c>
      <c r="B528" s="15" t="s">
        <v>464</v>
      </c>
      <c r="C528" s="15" t="s">
        <v>469</v>
      </c>
      <c r="D528" s="15" t="s">
        <v>470</v>
      </c>
      <c r="E528" s="15"/>
      <c r="F528" s="15"/>
      <c r="G528" s="15"/>
      <c r="H528" s="15" t="s">
        <v>343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25">
      <c r="A529" s="15" t="s">
        <v>55</v>
      </c>
      <c r="B529" s="15" t="s">
        <v>464</v>
      </c>
      <c r="C529" s="15" t="s">
        <v>469</v>
      </c>
      <c r="D529" s="15" t="s">
        <v>470</v>
      </c>
      <c r="E529" s="15"/>
      <c r="F529" s="15"/>
      <c r="G529" s="15"/>
      <c r="H529" s="15" t="s">
        <v>343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25">
      <c r="A530" s="15" t="s">
        <v>51</v>
      </c>
      <c r="B530" s="15" t="s">
        <v>464</v>
      </c>
      <c r="C530" s="15" t="s">
        <v>469</v>
      </c>
      <c r="D530" s="15" t="s">
        <v>470</v>
      </c>
      <c r="E530" s="15"/>
      <c r="F530" s="15"/>
      <c r="G530" s="15"/>
      <c r="H530" s="15" t="s">
        <v>343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25">
      <c r="A531" s="15" t="s">
        <v>55</v>
      </c>
      <c r="B531" s="15" t="s">
        <v>464</v>
      </c>
      <c r="C531" s="15" t="s">
        <v>469</v>
      </c>
      <c r="D531" s="15" t="s">
        <v>470</v>
      </c>
      <c r="E531" s="15"/>
      <c r="F531" s="15"/>
      <c r="G531" s="15"/>
      <c r="H531" s="15" t="s">
        <v>343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25">
      <c r="A532" s="15" t="s">
        <v>333</v>
      </c>
      <c r="B532" s="15" t="s">
        <v>464</v>
      </c>
      <c r="C532" s="15" t="s">
        <v>469</v>
      </c>
      <c r="D532" s="15" t="s">
        <v>470</v>
      </c>
      <c r="E532" s="15"/>
      <c r="F532" s="15"/>
      <c r="G532" s="15"/>
      <c r="H532" s="15" t="s">
        <v>472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25">
      <c r="A533" s="15" t="s">
        <v>22</v>
      </c>
      <c r="B533" s="15" t="s">
        <v>464</v>
      </c>
      <c r="C533" s="15" t="s">
        <v>469</v>
      </c>
      <c r="D533" s="15" t="s">
        <v>470</v>
      </c>
      <c r="E533" s="15"/>
      <c r="F533" s="15"/>
      <c r="G533" s="15"/>
      <c r="H533" s="15" t="s">
        <v>472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25">
      <c r="A534" s="15" t="s">
        <v>21</v>
      </c>
      <c r="B534" s="15" t="s">
        <v>464</v>
      </c>
      <c r="C534" s="15" t="s">
        <v>469</v>
      </c>
      <c r="D534" s="15" t="s">
        <v>470</v>
      </c>
      <c r="E534" s="15"/>
      <c r="F534" s="15"/>
      <c r="G534" s="15"/>
      <c r="H534" s="15" t="s">
        <v>472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25">
      <c r="A535" s="15" t="s">
        <v>17</v>
      </c>
      <c r="B535" s="15" t="s">
        <v>464</v>
      </c>
      <c r="C535" s="15" t="s">
        <v>469</v>
      </c>
      <c r="D535" s="15" t="s">
        <v>470</v>
      </c>
      <c r="E535" s="15"/>
      <c r="F535" s="15"/>
      <c r="G535" s="15"/>
      <c r="H535" s="15" t="s">
        <v>472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25">
      <c r="A536" s="15" t="s">
        <v>20</v>
      </c>
      <c r="B536" s="15" t="s">
        <v>464</v>
      </c>
      <c r="C536" s="15" t="s">
        <v>469</v>
      </c>
      <c r="D536" s="15" t="s">
        <v>470</v>
      </c>
      <c r="E536" s="15"/>
      <c r="F536" s="15"/>
      <c r="G536" s="15"/>
      <c r="H536" s="15" t="s">
        <v>472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25">
      <c r="A537" s="15" t="s">
        <v>150</v>
      </c>
      <c r="B537" s="15" t="s">
        <v>464</v>
      </c>
      <c r="C537" s="15" t="s">
        <v>469</v>
      </c>
      <c r="D537" s="15" t="s">
        <v>470</v>
      </c>
      <c r="E537" s="15"/>
      <c r="F537" s="15"/>
      <c r="G537" s="15"/>
      <c r="H537" s="15" t="s">
        <v>472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25">
      <c r="A538" s="15" t="s">
        <v>18</v>
      </c>
      <c r="B538" s="15" t="s">
        <v>464</v>
      </c>
      <c r="C538" s="15" t="s">
        <v>469</v>
      </c>
      <c r="D538" s="15" t="s">
        <v>470</v>
      </c>
      <c r="E538" s="15"/>
      <c r="F538" s="15"/>
      <c r="G538" s="15"/>
      <c r="H538" s="15" t="s">
        <v>472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25">
      <c r="A539" s="15" t="s">
        <v>383</v>
      </c>
      <c r="B539" s="15" t="s">
        <v>464</v>
      </c>
      <c r="C539" s="15" t="s">
        <v>469</v>
      </c>
      <c r="D539" s="15" t="s">
        <v>470</v>
      </c>
      <c r="E539" s="15"/>
      <c r="F539" s="15"/>
      <c r="G539" s="15"/>
      <c r="H539" s="15" t="s">
        <v>343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25">
      <c r="A540" s="15" t="s">
        <v>344</v>
      </c>
      <c r="B540" s="15" t="s">
        <v>464</v>
      </c>
      <c r="C540" s="15" t="s">
        <v>469</v>
      </c>
      <c r="D540" s="15" t="s">
        <v>470</v>
      </c>
      <c r="E540" s="15"/>
      <c r="F540" s="15"/>
      <c r="G540" s="15"/>
      <c r="H540" s="15" t="s">
        <v>343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hidden="1" x14ac:dyDescent="0.25">
      <c r="A541" s="15" t="s">
        <v>135</v>
      </c>
      <c r="B541" s="15" t="s">
        <v>464</v>
      </c>
      <c r="C541" s="15" t="s">
        <v>469</v>
      </c>
      <c r="D541" s="15" t="s">
        <v>470</v>
      </c>
      <c r="E541" s="15"/>
      <c r="F541" s="15"/>
      <c r="G541" s="15"/>
      <c r="H541" s="15" t="s">
        <v>343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25">
      <c r="A542" s="15" t="s">
        <v>127</v>
      </c>
      <c r="B542" s="15" t="s">
        <v>464</v>
      </c>
      <c r="C542" s="15" t="s">
        <v>469</v>
      </c>
      <c r="D542" s="15" t="s">
        <v>470</v>
      </c>
      <c r="E542" s="15"/>
      <c r="F542" s="15"/>
      <c r="G542" s="15"/>
      <c r="H542" s="15" t="s">
        <v>343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25">
      <c r="A543" s="15" t="s">
        <v>123</v>
      </c>
      <c r="B543" s="15" t="s">
        <v>464</v>
      </c>
      <c r="C543" s="15" t="s">
        <v>469</v>
      </c>
      <c r="D543" s="15" t="s">
        <v>470</v>
      </c>
      <c r="E543" s="15"/>
      <c r="F543" s="15"/>
      <c r="G543" s="15"/>
      <c r="H543" s="15" t="s">
        <v>343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25">
      <c r="A544" s="15" t="s">
        <v>133</v>
      </c>
      <c r="B544" s="15" t="s">
        <v>464</v>
      </c>
      <c r="C544" s="15" t="s">
        <v>469</v>
      </c>
      <c r="D544" s="15" t="s">
        <v>470</v>
      </c>
      <c r="E544" s="15"/>
      <c r="F544" s="15"/>
      <c r="G544" s="15">
        <v>1</v>
      </c>
      <c r="H544" s="15" t="s">
        <v>343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hidden="1" x14ac:dyDescent="0.25">
      <c r="A545" s="469" t="s">
        <v>383</v>
      </c>
      <c r="B545" s="15" t="s">
        <v>464</v>
      </c>
      <c r="C545" s="15" t="s">
        <v>465</v>
      </c>
      <c r="D545" s="15" t="s">
        <v>473</v>
      </c>
      <c r="E545" s="15"/>
      <c r="F545" s="15"/>
      <c r="G545" s="15"/>
      <c r="H545" s="15" t="s">
        <v>343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hidden="1" x14ac:dyDescent="0.25">
      <c r="A546" s="469" t="s">
        <v>344</v>
      </c>
      <c r="B546" s="15" t="s">
        <v>464</v>
      </c>
      <c r="C546" s="15" t="s">
        <v>465</v>
      </c>
      <c r="D546" s="15" t="s">
        <v>473</v>
      </c>
      <c r="E546" s="15"/>
      <c r="F546" s="15"/>
      <c r="G546" s="15"/>
      <c r="H546" s="15" t="s">
        <v>343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hidden="1" x14ac:dyDescent="0.25">
      <c r="A547" s="469" t="s">
        <v>135</v>
      </c>
      <c r="B547" s="15" t="s">
        <v>464</v>
      </c>
      <c r="C547" s="15" t="s">
        <v>465</v>
      </c>
      <c r="D547" s="15" t="s">
        <v>473</v>
      </c>
      <c r="E547" s="15"/>
      <c r="F547" s="15"/>
      <c r="G547" s="15"/>
      <c r="H547" s="15" t="s">
        <v>343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13861067.775549101</v>
      </c>
      <c r="P547" s="15">
        <v>0</v>
      </c>
      <c r="Q547" s="15"/>
    </row>
    <row r="548" spans="1:17" hidden="1" x14ac:dyDescent="0.25">
      <c r="A548" s="469" t="s">
        <v>127</v>
      </c>
      <c r="B548" s="15" t="s">
        <v>464</v>
      </c>
      <c r="C548" s="15" t="s">
        <v>465</v>
      </c>
      <c r="D548" s="15" t="s">
        <v>473</v>
      </c>
      <c r="E548" s="15"/>
      <c r="F548" s="15"/>
      <c r="G548" s="15"/>
      <c r="H548" s="15" t="s">
        <v>343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hidden="1" x14ac:dyDescent="0.25">
      <c r="A549" s="469" t="s">
        <v>123</v>
      </c>
      <c r="B549" s="15" t="s">
        <v>464</v>
      </c>
      <c r="C549" s="15" t="s">
        <v>465</v>
      </c>
      <c r="D549" s="15" t="s">
        <v>473</v>
      </c>
      <c r="E549" s="15"/>
      <c r="F549" s="15"/>
      <c r="G549" s="15"/>
      <c r="H549" s="15" t="s">
        <v>343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hidden="1" x14ac:dyDescent="0.25">
      <c r="A550" s="469" t="s">
        <v>133</v>
      </c>
      <c r="B550" s="15" t="s">
        <v>464</v>
      </c>
      <c r="C550" s="15" t="s">
        <v>465</v>
      </c>
      <c r="D550" s="15" t="s">
        <v>473</v>
      </c>
      <c r="E550" s="15"/>
      <c r="F550" s="15"/>
      <c r="G550" s="15"/>
      <c r="H550" s="15" t="s">
        <v>343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25">
      <c r="A551" s="15" t="s">
        <v>383</v>
      </c>
      <c r="B551" s="15" t="s">
        <v>464</v>
      </c>
      <c r="C551" s="15" t="s">
        <v>469</v>
      </c>
      <c r="D551" s="15" t="s">
        <v>474</v>
      </c>
      <c r="E551" s="15"/>
      <c r="F551" s="15"/>
      <c r="G551" s="15">
        <v>1</v>
      </c>
      <c r="H551" s="15" t="s">
        <v>343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25">
      <c r="A552" s="15" t="s">
        <v>344</v>
      </c>
      <c r="B552" s="15" t="s">
        <v>464</v>
      </c>
      <c r="C552" s="15" t="s">
        <v>469</v>
      </c>
      <c r="D552" s="15" t="s">
        <v>474</v>
      </c>
      <c r="E552" s="15"/>
      <c r="F552" s="15"/>
      <c r="G552" s="15"/>
      <c r="H552" s="15" t="s">
        <v>343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25">
      <c r="A553" s="15" t="s">
        <v>127</v>
      </c>
      <c r="B553" s="15" t="s">
        <v>464</v>
      </c>
      <c r="C553" s="15" t="s">
        <v>469</v>
      </c>
      <c r="D553" s="15" t="s">
        <v>474</v>
      </c>
      <c r="E553" s="15"/>
      <c r="F553" s="15"/>
      <c r="G553" s="15"/>
      <c r="H553" s="15" t="s">
        <v>343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25">
      <c r="A554" s="15" t="s">
        <v>133</v>
      </c>
      <c r="B554" s="15" t="s">
        <v>464</v>
      </c>
      <c r="C554" s="15" t="s">
        <v>469</v>
      </c>
      <c r="D554" s="15" t="s">
        <v>474</v>
      </c>
      <c r="E554" s="15"/>
      <c r="F554" s="15"/>
      <c r="G554" s="15"/>
      <c r="H554" s="15" t="s">
        <v>343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25">
      <c r="A555" s="15" t="s">
        <v>420</v>
      </c>
      <c r="B555" s="15" t="s">
        <v>464</v>
      </c>
      <c r="C555" s="15" t="s">
        <v>469</v>
      </c>
      <c r="D555" s="15" t="s">
        <v>474</v>
      </c>
      <c r="E555" s="15"/>
      <c r="F555" s="15"/>
      <c r="G555" s="15"/>
      <c r="H555" s="15" t="s">
        <v>343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hidden="1" x14ac:dyDescent="0.25">
      <c r="A556" s="469" t="s">
        <v>383</v>
      </c>
      <c r="B556" s="15" t="s">
        <v>464</v>
      </c>
      <c r="C556" s="15" t="s">
        <v>465</v>
      </c>
      <c r="D556" s="15" t="s">
        <v>473</v>
      </c>
      <c r="E556" s="15"/>
      <c r="F556" s="15"/>
      <c r="G556" s="15"/>
      <c r="H556" s="15" t="s">
        <v>343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hidden="1" x14ac:dyDescent="0.25">
      <c r="A557" s="469" t="s">
        <v>344</v>
      </c>
      <c r="B557" s="15" t="s">
        <v>464</v>
      </c>
      <c r="C557" s="15" t="s">
        <v>465</v>
      </c>
      <c r="D557" s="15" t="s">
        <v>473</v>
      </c>
      <c r="E557" s="15"/>
      <c r="F557" s="15"/>
      <c r="G557" s="15"/>
      <c r="H557" s="15" t="s">
        <v>343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hidden="1" x14ac:dyDescent="0.25">
      <c r="A558" s="469" t="s">
        <v>127</v>
      </c>
      <c r="B558" s="15" t="s">
        <v>464</v>
      </c>
      <c r="C558" s="15" t="s">
        <v>465</v>
      </c>
      <c r="D558" s="15" t="s">
        <v>473</v>
      </c>
      <c r="E558" s="15"/>
      <c r="F558" s="15"/>
      <c r="G558" s="15"/>
      <c r="H558" s="15" t="s">
        <v>343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hidden="1" x14ac:dyDescent="0.25">
      <c r="A559" s="469" t="s">
        <v>133</v>
      </c>
      <c r="B559" s="15" t="s">
        <v>464</v>
      </c>
      <c r="C559" s="15" t="s">
        <v>465</v>
      </c>
      <c r="D559" s="15" t="s">
        <v>473</v>
      </c>
      <c r="E559" s="15"/>
      <c r="F559" s="15"/>
      <c r="G559" s="15"/>
      <c r="H559" s="15" t="s">
        <v>343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hidden="1" x14ac:dyDescent="0.25">
      <c r="A560" s="469" t="s">
        <v>420</v>
      </c>
      <c r="B560" s="15" t="s">
        <v>464</v>
      </c>
      <c r="C560" s="15" t="s">
        <v>465</v>
      </c>
      <c r="D560" s="15" t="s">
        <v>473</v>
      </c>
      <c r="E560" s="15"/>
      <c r="F560" s="15"/>
      <c r="G560" s="15"/>
      <c r="H560" s="15" t="s">
        <v>343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hidden="1" x14ac:dyDescent="0.25">
      <c r="A561" s="469" t="s">
        <v>420</v>
      </c>
      <c r="B561" s="15" t="s">
        <v>464</v>
      </c>
      <c r="C561" s="15" t="s">
        <v>465</v>
      </c>
      <c r="D561" s="15" t="s">
        <v>473</v>
      </c>
      <c r="E561" s="15"/>
      <c r="F561" s="15"/>
      <c r="G561" s="15"/>
      <c r="H561" s="15" t="s">
        <v>343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hidden="1" x14ac:dyDescent="0.25">
      <c r="A562" s="469" t="s">
        <v>383</v>
      </c>
      <c r="B562" s="15" t="s">
        <v>464</v>
      </c>
      <c r="C562" s="15" t="s">
        <v>465</v>
      </c>
      <c r="D562" s="15" t="s">
        <v>473</v>
      </c>
      <c r="E562" s="15"/>
      <c r="F562" s="15"/>
      <c r="G562" s="15"/>
      <c r="H562" s="15" t="s">
        <v>343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hidden="1" x14ac:dyDescent="0.25">
      <c r="A563" s="469" t="s">
        <v>344</v>
      </c>
      <c r="B563" s="15" t="s">
        <v>464</v>
      </c>
      <c r="C563" s="15" t="s">
        <v>465</v>
      </c>
      <c r="D563" s="15" t="s">
        <v>473</v>
      </c>
      <c r="E563" s="15"/>
      <c r="F563" s="15"/>
      <c r="G563" s="15"/>
      <c r="H563" s="15" t="s">
        <v>343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hidden="1" x14ac:dyDescent="0.25">
      <c r="A564" s="469" t="s">
        <v>135</v>
      </c>
      <c r="B564" s="15" t="s">
        <v>464</v>
      </c>
      <c r="C564" s="15" t="s">
        <v>465</v>
      </c>
      <c r="D564" s="15" t="s">
        <v>473</v>
      </c>
      <c r="E564" s="15"/>
      <c r="F564" s="15"/>
      <c r="G564" s="15"/>
      <c r="H564" s="15" t="s">
        <v>343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hidden="1" x14ac:dyDescent="0.25">
      <c r="A565" s="469" t="s">
        <v>127</v>
      </c>
      <c r="B565" s="15" t="s">
        <v>464</v>
      </c>
      <c r="C565" s="15" t="s">
        <v>465</v>
      </c>
      <c r="D565" s="15" t="s">
        <v>473</v>
      </c>
      <c r="E565" s="15"/>
      <c r="F565" s="15"/>
      <c r="G565" s="15"/>
      <c r="H565" s="15" t="s">
        <v>343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hidden="1" x14ac:dyDescent="0.25">
      <c r="A566" s="469" t="s">
        <v>123</v>
      </c>
      <c r="B566" s="15" t="s">
        <v>464</v>
      </c>
      <c r="C566" s="15" t="s">
        <v>465</v>
      </c>
      <c r="D566" s="15" t="s">
        <v>473</v>
      </c>
      <c r="E566" s="15"/>
      <c r="F566" s="15"/>
      <c r="G566" s="15"/>
      <c r="H566" s="15" t="s">
        <v>343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hidden="1" x14ac:dyDescent="0.25">
      <c r="A567" s="469" t="s">
        <v>133</v>
      </c>
      <c r="B567" s="15" t="s">
        <v>464</v>
      </c>
      <c r="C567" s="15" t="s">
        <v>465</v>
      </c>
      <c r="D567" s="15" t="s">
        <v>473</v>
      </c>
      <c r="E567" s="15"/>
      <c r="F567" s="15"/>
      <c r="G567" s="15"/>
      <c r="H567" s="15" t="s">
        <v>343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hidden="1" x14ac:dyDescent="0.25">
      <c r="A568" s="15" t="s">
        <v>135</v>
      </c>
      <c r="B568" s="15" t="s">
        <v>464</v>
      </c>
      <c r="C568" s="15" t="s">
        <v>469</v>
      </c>
      <c r="D568" s="15" t="s">
        <v>477</v>
      </c>
      <c r="E568" s="15" t="s">
        <v>478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25">
      <c r="A569" s="15" t="s">
        <v>138</v>
      </c>
      <c r="B569" s="15" t="s">
        <v>464</v>
      </c>
      <c r="C569" s="15" t="s">
        <v>469</v>
      </c>
      <c r="D569" s="15" t="s">
        <v>477</v>
      </c>
      <c r="E569" s="15" t="s">
        <v>478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hidden="1" x14ac:dyDescent="0.25">
      <c r="A570" s="15" t="s">
        <v>135</v>
      </c>
      <c r="B570" s="15" t="s">
        <v>464</v>
      </c>
      <c r="C570" s="15" t="s">
        <v>469</v>
      </c>
      <c r="D570" s="15" t="s">
        <v>477</v>
      </c>
      <c r="E570" s="15" t="s">
        <v>478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hidden="1" x14ac:dyDescent="0.25">
      <c r="A571" s="469" t="s">
        <v>135</v>
      </c>
      <c r="B571" s="15" t="s">
        <v>464</v>
      </c>
      <c r="C571" s="15" t="s">
        <v>465</v>
      </c>
      <c r="D571" s="15" t="s">
        <v>473</v>
      </c>
      <c r="E571" s="15"/>
      <c r="F571" s="15"/>
      <c r="G571" s="15"/>
      <c r="H571" s="15" t="s">
        <v>343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hidden="1" x14ac:dyDescent="0.25">
      <c r="A572" s="469" t="s">
        <v>138</v>
      </c>
      <c r="B572" s="15" t="s">
        <v>464</v>
      </c>
      <c r="C572" s="15" t="s">
        <v>465</v>
      </c>
      <c r="D572" s="15" t="s">
        <v>473</v>
      </c>
      <c r="E572" s="15"/>
      <c r="F572" s="15"/>
      <c r="G572" s="15"/>
      <c r="H572" s="15" t="s">
        <v>343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hidden="1" x14ac:dyDescent="0.25">
      <c r="A573" s="469" t="s">
        <v>135</v>
      </c>
      <c r="B573" s="15" t="s">
        <v>464</v>
      </c>
      <c r="C573" s="15" t="s">
        <v>465</v>
      </c>
      <c r="D573" s="15" t="s">
        <v>473</v>
      </c>
      <c r="E573" s="15"/>
      <c r="F573" s="15"/>
      <c r="G573" s="15"/>
      <c r="H573" s="15" t="s">
        <v>343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hidden="1" x14ac:dyDescent="0.25">
      <c r="A574" s="15" t="s">
        <v>135</v>
      </c>
      <c r="B574" s="15" t="s">
        <v>464</v>
      </c>
      <c r="C574" s="15" t="s">
        <v>481</v>
      </c>
      <c r="D574" s="15" t="s">
        <v>482</v>
      </c>
      <c r="E574" s="15" t="s">
        <v>478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hidden="1" x14ac:dyDescent="0.25">
      <c r="A575" s="15" t="s">
        <v>127</v>
      </c>
      <c r="B575" s="15" t="s">
        <v>464</v>
      </c>
      <c r="C575" s="15" t="s">
        <v>481</v>
      </c>
      <c r="D575" s="15" t="s">
        <v>483</v>
      </c>
      <c r="E575" s="15" t="s">
        <v>355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hidden="1" x14ac:dyDescent="0.25">
      <c r="A576" s="15" t="s">
        <v>420</v>
      </c>
      <c r="B576" s="15" t="s">
        <v>464</v>
      </c>
      <c r="C576" s="15" t="s">
        <v>481</v>
      </c>
      <c r="D576" s="15" t="s">
        <v>484</v>
      </c>
      <c r="E576" s="15" t="s">
        <v>355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25">
      <c r="A577" s="15" t="s">
        <v>420</v>
      </c>
      <c r="B577" s="15" t="s">
        <v>464</v>
      </c>
      <c r="C577" s="15" t="s">
        <v>469</v>
      </c>
      <c r="D577" s="15" t="s">
        <v>485</v>
      </c>
      <c r="E577" s="15" t="s">
        <v>355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hidden="1" x14ac:dyDescent="0.25">
      <c r="A578" s="15" t="s">
        <v>383</v>
      </c>
      <c r="B578" s="15" t="s">
        <v>464</v>
      </c>
      <c r="C578" s="15" t="s">
        <v>481</v>
      </c>
      <c r="D578" s="15" t="s">
        <v>484</v>
      </c>
      <c r="E578" s="15" t="s">
        <v>355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hidden="1" x14ac:dyDescent="0.25">
      <c r="A579" s="15" t="s">
        <v>383</v>
      </c>
      <c r="B579" s="15" t="s">
        <v>464</v>
      </c>
      <c r="C579" s="15" t="s">
        <v>481</v>
      </c>
      <c r="D579" s="15" t="s">
        <v>482</v>
      </c>
      <c r="E579" s="15" t="s">
        <v>478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hidden="1" x14ac:dyDescent="0.25">
      <c r="A580" s="15" t="s">
        <v>383</v>
      </c>
      <c r="B580" s="15" t="s">
        <v>464</v>
      </c>
      <c r="C580" s="15" t="s">
        <v>481</v>
      </c>
      <c r="D580" s="15" t="s">
        <v>486</v>
      </c>
      <c r="E580" s="15" t="s">
        <v>428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25">
      <c r="A581" s="15" t="s">
        <v>383</v>
      </c>
      <c r="B581" s="15" t="s">
        <v>464</v>
      </c>
      <c r="C581" s="15" t="s">
        <v>469</v>
      </c>
      <c r="D581" s="15" t="s">
        <v>485</v>
      </c>
      <c r="E581" s="15" t="s">
        <v>355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hidden="1" x14ac:dyDescent="0.25">
      <c r="A582" s="15" t="s">
        <v>383</v>
      </c>
      <c r="B582" s="15" t="s">
        <v>464</v>
      </c>
      <c r="C582" s="15" t="s">
        <v>481</v>
      </c>
      <c r="D582" s="15" t="s">
        <v>486</v>
      </c>
      <c r="E582" s="15" t="s">
        <v>430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hidden="1" x14ac:dyDescent="0.25">
      <c r="A583" s="15" t="s">
        <v>344</v>
      </c>
      <c r="B583" s="15" t="s">
        <v>464</v>
      </c>
      <c r="C583" s="15" t="s">
        <v>481</v>
      </c>
      <c r="D583" s="15" t="s">
        <v>486</v>
      </c>
      <c r="E583" s="15" t="s">
        <v>428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hidden="1" x14ac:dyDescent="0.25">
      <c r="A584" s="15" t="s">
        <v>344</v>
      </c>
      <c r="B584" s="15" t="s">
        <v>464</v>
      </c>
      <c r="C584" s="15" t="s">
        <v>481</v>
      </c>
      <c r="D584" s="15" t="s">
        <v>486</v>
      </c>
      <c r="E584" s="15" t="s">
        <v>430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25">
      <c r="A585" s="15" t="s">
        <v>344</v>
      </c>
      <c r="B585" s="15" t="s">
        <v>464</v>
      </c>
      <c r="C585" s="15" t="s">
        <v>469</v>
      </c>
      <c r="D585" s="15" t="s">
        <v>485</v>
      </c>
      <c r="E585" s="15" t="s">
        <v>428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25">
      <c r="A586" s="15" t="s">
        <v>344</v>
      </c>
      <c r="B586" s="15" t="s">
        <v>464</v>
      </c>
      <c r="C586" s="15" t="s">
        <v>469</v>
      </c>
      <c r="D586" s="15" t="s">
        <v>485</v>
      </c>
      <c r="E586" s="15" t="s">
        <v>355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hidden="1" x14ac:dyDescent="0.25">
      <c r="A587" s="15" t="s">
        <v>344</v>
      </c>
      <c r="B587" s="15" t="s">
        <v>464</v>
      </c>
      <c r="C587" s="15" t="s">
        <v>481</v>
      </c>
      <c r="D587" s="15" t="s">
        <v>486</v>
      </c>
      <c r="E587" s="15" t="s">
        <v>355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hidden="1" x14ac:dyDescent="0.25">
      <c r="A588" s="15" t="s">
        <v>344</v>
      </c>
      <c r="B588" s="15" t="s">
        <v>464</v>
      </c>
      <c r="C588" s="15" t="s">
        <v>481</v>
      </c>
      <c r="D588" s="15" t="s">
        <v>482</v>
      </c>
      <c r="E588" s="15" t="s">
        <v>478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hidden="1" x14ac:dyDescent="0.25">
      <c r="A589" s="15" t="s">
        <v>344</v>
      </c>
      <c r="B589" s="15" t="s">
        <v>464</v>
      </c>
      <c r="C589" s="15" t="s">
        <v>481</v>
      </c>
      <c r="D589" s="15" t="s">
        <v>483</v>
      </c>
      <c r="E589" s="15" t="s">
        <v>428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hidden="1" x14ac:dyDescent="0.25">
      <c r="A590" s="15" t="s">
        <v>135</v>
      </c>
      <c r="B590" s="15" t="s">
        <v>464</v>
      </c>
      <c r="C590" s="15" t="s">
        <v>481</v>
      </c>
      <c r="D590" s="15" t="s">
        <v>482</v>
      </c>
      <c r="E590" s="15" t="s">
        <v>487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hidden="1" x14ac:dyDescent="0.25">
      <c r="A591" s="15" t="s">
        <v>135</v>
      </c>
      <c r="B591" s="15" t="s">
        <v>464</v>
      </c>
      <c r="C591" s="15" t="s">
        <v>481</v>
      </c>
      <c r="D591" s="15" t="s">
        <v>483</v>
      </c>
      <c r="E591" s="15" t="s">
        <v>355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hidden="1" x14ac:dyDescent="0.25">
      <c r="A592" s="15" t="s">
        <v>135</v>
      </c>
      <c r="B592" s="15" t="s">
        <v>464</v>
      </c>
      <c r="C592" s="15" t="s">
        <v>481</v>
      </c>
      <c r="D592" s="15" t="s">
        <v>483</v>
      </c>
      <c r="E592" s="15" t="s">
        <v>478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hidden="1" x14ac:dyDescent="0.25">
      <c r="A593" s="15" t="s">
        <v>127</v>
      </c>
      <c r="B593" s="15" t="s">
        <v>464</v>
      </c>
      <c r="C593" s="15" t="s">
        <v>481</v>
      </c>
      <c r="D593" s="15" t="s">
        <v>484</v>
      </c>
      <c r="E593" s="15" t="s">
        <v>355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25">
      <c r="A594" s="15" t="s">
        <v>127</v>
      </c>
      <c r="B594" s="15" t="s">
        <v>464</v>
      </c>
      <c r="C594" s="15" t="s">
        <v>469</v>
      </c>
      <c r="D594" s="15" t="s">
        <v>485</v>
      </c>
      <c r="E594" s="15" t="s">
        <v>355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hidden="1" x14ac:dyDescent="0.25">
      <c r="A595" s="15" t="s">
        <v>127</v>
      </c>
      <c r="B595" s="15" t="s">
        <v>464</v>
      </c>
      <c r="C595" s="15" t="s">
        <v>481</v>
      </c>
      <c r="D595" s="15" t="s">
        <v>486</v>
      </c>
      <c r="E595" s="15" t="s">
        <v>430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hidden="1" x14ac:dyDescent="0.25">
      <c r="A596" s="15" t="s">
        <v>127</v>
      </c>
      <c r="B596" s="15" t="s">
        <v>464</v>
      </c>
      <c r="C596" s="15" t="s">
        <v>481</v>
      </c>
      <c r="D596" s="15" t="s">
        <v>483</v>
      </c>
      <c r="E596" s="15" t="s">
        <v>478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hidden="1" x14ac:dyDescent="0.25">
      <c r="A597" s="15" t="s">
        <v>127</v>
      </c>
      <c r="B597" s="15" t="s">
        <v>464</v>
      </c>
      <c r="C597" s="15" t="s">
        <v>481</v>
      </c>
      <c r="D597" s="15" t="s">
        <v>483</v>
      </c>
      <c r="E597" s="15" t="s">
        <v>428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hidden="1" x14ac:dyDescent="0.25">
      <c r="A598" s="15" t="s">
        <v>123</v>
      </c>
      <c r="B598" s="15" t="s">
        <v>464</v>
      </c>
      <c r="C598" s="15" t="s">
        <v>481</v>
      </c>
      <c r="D598" s="15" t="s">
        <v>486</v>
      </c>
      <c r="E598" s="15" t="s">
        <v>430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25">
      <c r="A599" s="15" t="s">
        <v>133</v>
      </c>
      <c r="B599" s="15" t="s">
        <v>464</v>
      </c>
      <c r="C599" s="15" t="s">
        <v>469</v>
      </c>
      <c r="D599" s="15" t="s">
        <v>485</v>
      </c>
      <c r="E599" s="15" t="s">
        <v>428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25">
      <c r="A600" s="15" t="s">
        <v>133</v>
      </c>
      <c r="B600" s="15" t="s">
        <v>464</v>
      </c>
      <c r="C600" s="15" t="s">
        <v>469</v>
      </c>
      <c r="D600" s="15" t="s">
        <v>485</v>
      </c>
      <c r="E600" s="15" t="s">
        <v>355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hidden="1" x14ac:dyDescent="0.25">
      <c r="A601" s="15" t="s">
        <v>133</v>
      </c>
      <c r="B601" s="15" t="s">
        <v>464</v>
      </c>
      <c r="C601" s="15" t="s">
        <v>481</v>
      </c>
      <c r="D601" s="15" t="s">
        <v>483</v>
      </c>
      <c r="E601" s="15" t="s">
        <v>355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hidden="1" x14ac:dyDescent="0.25">
      <c r="A602" s="15" t="s">
        <v>133</v>
      </c>
      <c r="B602" s="15" t="s">
        <v>464</v>
      </c>
      <c r="C602" s="15" t="s">
        <v>481</v>
      </c>
      <c r="D602" s="15" t="s">
        <v>486</v>
      </c>
      <c r="E602" s="15" t="s">
        <v>428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hidden="1" x14ac:dyDescent="0.25">
      <c r="A603" s="15" t="s">
        <v>133</v>
      </c>
      <c r="B603" s="15" t="s">
        <v>464</v>
      </c>
      <c r="C603" s="15" t="s">
        <v>481</v>
      </c>
      <c r="D603" s="15" t="s">
        <v>483</v>
      </c>
      <c r="E603" s="15" t="s">
        <v>428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hidden="1" x14ac:dyDescent="0.25">
      <c r="A604" s="15" t="s">
        <v>139</v>
      </c>
      <c r="B604" s="15" t="s">
        <v>464</v>
      </c>
      <c r="C604" s="15" t="s">
        <v>481</v>
      </c>
      <c r="D604" s="15" t="s">
        <v>482</v>
      </c>
      <c r="E604" s="15" t="s">
        <v>478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hidden="1" x14ac:dyDescent="0.25">
      <c r="A605" s="15" t="s">
        <v>138</v>
      </c>
      <c r="B605" s="15" t="s">
        <v>464</v>
      </c>
      <c r="C605" s="15" t="s">
        <v>481</v>
      </c>
      <c r="D605" s="15" t="s">
        <v>482</v>
      </c>
      <c r="E605" s="15" t="s">
        <v>478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25">
      <c r="A606" s="15" t="s">
        <v>90</v>
      </c>
      <c r="B606" s="15" t="s">
        <v>464</v>
      </c>
      <c r="C606" s="15" t="s">
        <v>469</v>
      </c>
      <c r="D606" s="15" t="s">
        <v>477</v>
      </c>
      <c r="E606" s="15" t="s">
        <v>424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25">
      <c r="A607" s="15" t="s">
        <v>90</v>
      </c>
      <c r="B607" s="15" t="s">
        <v>464</v>
      </c>
      <c r="C607" s="15" t="s">
        <v>469</v>
      </c>
      <c r="D607" s="15" t="s">
        <v>477</v>
      </c>
      <c r="E607" s="15" t="s">
        <v>424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25">
      <c r="A608" s="15" t="s">
        <v>167</v>
      </c>
      <c r="B608" s="15" t="s">
        <v>489</v>
      </c>
      <c r="C608" s="15" t="s">
        <v>490</v>
      </c>
      <c r="D608" s="15" t="s">
        <v>491</v>
      </c>
      <c r="E608" s="15" t="s">
        <v>492</v>
      </c>
      <c r="F608" s="15">
        <v>1</v>
      </c>
      <c r="G608" s="15"/>
      <c r="H608" s="15" t="s">
        <v>342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25">
      <c r="A609" s="15" t="s">
        <v>493</v>
      </c>
      <c r="B609" s="15" t="s">
        <v>489</v>
      </c>
      <c r="C609" s="15" t="s">
        <v>490</v>
      </c>
      <c r="D609" s="15" t="s">
        <v>491</v>
      </c>
      <c r="E609" s="15" t="s">
        <v>492</v>
      </c>
      <c r="F609" s="15"/>
      <c r="G609" s="15"/>
      <c r="H609" s="15" t="s">
        <v>342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25">
      <c r="A610" s="15" t="s">
        <v>171</v>
      </c>
      <c r="B610" s="15" t="s">
        <v>489</v>
      </c>
      <c r="C610" s="15" t="s">
        <v>490</v>
      </c>
      <c r="D610" s="15" t="s">
        <v>491</v>
      </c>
      <c r="E610" s="15" t="s">
        <v>494</v>
      </c>
      <c r="F610" s="15">
        <v>1</v>
      </c>
      <c r="G610" s="15"/>
      <c r="H610" s="15" t="s">
        <v>342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25">
      <c r="A611" s="15" t="s">
        <v>341</v>
      </c>
      <c r="B611" s="15" t="s">
        <v>489</v>
      </c>
      <c r="C611" s="15" t="s">
        <v>495</v>
      </c>
      <c r="D611" s="15" t="s">
        <v>496</v>
      </c>
      <c r="E611" s="15" t="s">
        <v>497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25">
      <c r="A612" s="15" t="s">
        <v>141</v>
      </c>
      <c r="B612" s="15" t="s">
        <v>489</v>
      </c>
      <c r="C612" s="15" t="s">
        <v>495</v>
      </c>
      <c r="D612" s="15" t="s">
        <v>496</v>
      </c>
      <c r="E612" s="15" t="s">
        <v>497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25">
      <c r="A613" s="15" t="s">
        <v>148</v>
      </c>
      <c r="B613" s="15" t="s">
        <v>489</v>
      </c>
      <c r="C613" s="15" t="s">
        <v>495</v>
      </c>
      <c r="D613" s="15" t="s">
        <v>496</v>
      </c>
      <c r="E613" s="15" t="s">
        <v>497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25">
      <c r="A614" s="15" t="s">
        <v>20</v>
      </c>
      <c r="B614" s="15" t="s">
        <v>489</v>
      </c>
      <c r="C614" s="15" t="s">
        <v>495</v>
      </c>
      <c r="D614" s="15" t="s">
        <v>496</v>
      </c>
      <c r="E614" s="15" t="s">
        <v>497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25">
      <c r="A615" s="15" t="s">
        <v>146</v>
      </c>
      <c r="B615" s="15" t="s">
        <v>489</v>
      </c>
      <c r="C615" s="15" t="s">
        <v>495</v>
      </c>
      <c r="D615" s="15" t="s">
        <v>496</v>
      </c>
      <c r="E615" s="15" t="s">
        <v>497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25">
      <c r="A616" s="15" t="s">
        <v>150</v>
      </c>
      <c r="B616" s="15" t="s">
        <v>489</v>
      </c>
      <c r="C616" s="15" t="s">
        <v>495</v>
      </c>
      <c r="D616" s="15" t="s">
        <v>496</v>
      </c>
      <c r="E616" s="15" t="s">
        <v>497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25">
      <c r="A617" s="15" t="s">
        <v>145</v>
      </c>
      <c r="B617" s="15" t="s">
        <v>489</v>
      </c>
      <c r="C617" s="15" t="s">
        <v>495</v>
      </c>
      <c r="D617" s="15" t="s">
        <v>496</v>
      </c>
      <c r="E617" s="15" t="s">
        <v>497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25">
      <c r="A618" s="15" t="s">
        <v>18</v>
      </c>
      <c r="B618" s="15" t="s">
        <v>489</v>
      </c>
      <c r="C618" s="15" t="s">
        <v>495</v>
      </c>
      <c r="D618" s="15" t="s">
        <v>496</v>
      </c>
      <c r="E618" s="15" t="s">
        <v>497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25">
      <c r="A619" s="15" t="s">
        <v>58</v>
      </c>
      <c r="B619" s="15" t="s">
        <v>489</v>
      </c>
      <c r="C619" s="15" t="s">
        <v>495</v>
      </c>
      <c r="D619" s="15" t="s">
        <v>496</v>
      </c>
      <c r="E619" s="15" t="s">
        <v>497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25">
      <c r="A620" s="15" t="s">
        <v>151</v>
      </c>
      <c r="B620" s="15" t="s">
        <v>489</v>
      </c>
      <c r="C620" s="15" t="s">
        <v>495</v>
      </c>
      <c r="D620" s="15" t="s">
        <v>496</v>
      </c>
      <c r="E620" s="15" t="s">
        <v>497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25">
      <c r="A621" s="15" t="s">
        <v>17</v>
      </c>
      <c r="B621" s="15" t="s">
        <v>489</v>
      </c>
      <c r="C621" s="15" t="s">
        <v>495</v>
      </c>
      <c r="D621" s="15" t="s">
        <v>496</v>
      </c>
      <c r="E621" s="15" t="s">
        <v>497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25">
      <c r="A622" s="15" t="s">
        <v>141</v>
      </c>
      <c r="B622" s="15" t="s">
        <v>489</v>
      </c>
      <c r="C622" s="15" t="s">
        <v>495</v>
      </c>
      <c r="D622" s="15" t="s">
        <v>498</v>
      </c>
      <c r="E622" s="15" t="s">
        <v>497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25">
      <c r="A623" s="15" t="s">
        <v>145</v>
      </c>
      <c r="B623" s="15" t="s">
        <v>489</v>
      </c>
      <c r="C623" s="15" t="s">
        <v>495</v>
      </c>
      <c r="D623" s="15" t="s">
        <v>498</v>
      </c>
      <c r="E623" s="15" t="s">
        <v>497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25">
      <c r="A624" s="15" t="s">
        <v>434</v>
      </c>
      <c r="B624" s="15" t="s">
        <v>489</v>
      </c>
      <c r="C624" s="15" t="s">
        <v>490</v>
      </c>
      <c r="D624" s="15" t="s">
        <v>499</v>
      </c>
      <c r="E624" s="15" t="s">
        <v>419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25">
      <c r="A625" s="15" t="s">
        <v>173</v>
      </c>
      <c r="B625" s="15" t="s">
        <v>489</v>
      </c>
      <c r="C625" s="15" t="s">
        <v>490</v>
      </c>
      <c r="D625" s="15" t="s">
        <v>499</v>
      </c>
      <c r="E625" s="15" t="s">
        <v>419</v>
      </c>
      <c r="F625" s="15"/>
      <c r="G625" s="15"/>
      <c r="H625" s="15" t="s">
        <v>342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hidden="1" x14ac:dyDescent="0.25">
      <c r="A626" s="15" t="s">
        <v>180</v>
      </c>
      <c r="B626" s="15" t="s">
        <v>489</v>
      </c>
      <c r="C626" s="15" t="s">
        <v>490</v>
      </c>
      <c r="D626" s="15" t="s">
        <v>499</v>
      </c>
      <c r="E626" s="15" t="s">
        <v>419</v>
      </c>
      <c r="F626" s="15">
        <v>1</v>
      </c>
      <c r="G626" s="15"/>
      <c r="H626" s="15" t="s">
        <v>342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25">
      <c r="A627" s="15" t="s">
        <v>500</v>
      </c>
      <c r="B627" s="15" t="s">
        <v>489</v>
      </c>
      <c r="C627" s="15" t="s">
        <v>490</v>
      </c>
      <c r="D627" s="15" t="s">
        <v>499</v>
      </c>
      <c r="E627" s="15" t="s">
        <v>419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25">
      <c r="A628" s="15" t="s">
        <v>432</v>
      </c>
      <c r="B628" s="15" t="s">
        <v>489</v>
      </c>
      <c r="C628" s="15" t="s">
        <v>490</v>
      </c>
      <c r="D628" s="15" t="s">
        <v>499</v>
      </c>
      <c r="E628" s="15" t="s">
        <v>419</v>
      </c>
      <c r="F628" s="15"/>
      <c r="G628" s="15"/>
      <c r="H628" s="15" t="s">
        <v>342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hidden="1" x14ac:dyDescent="0.25">
      <c r="A629" s="15" t="s">
        <v>180</v>
      </c>
      <c r="B629" s="15" t="s">
        <v>489</v>
      </c>
      <c r="C629" s="15" t="s">
        <v>490</v>
      </c>
      <c r="D629" s="15" t="s">
        <v>501</v>
      </c>
      <c r="E629" s="15" t="s">
        <v>419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25">
      <c r="A630" s="15" t="s">
        <v>432</v>
      </c>
      <c r="B630" s="15" t="s">
        <v>489</v>
      </c>
      <c r="C630" s="15" t="s">
        <v>490</v>
      </c>
      <c r="D630" s="15" t="s">
        <v>501</v>
      </c>
      <c r="E630" s="15" t="s">
        <v>419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25">
      <c r="A631" s="15" t="s">
        <v>174</v>
      </c>
      <c r="B631" s="15" t="s">
        <v>489</v>
      </c>
      <c r="C631" s="15" t="s">
        <v>490</v>
      </c>
      <c r="D631" s="15" t="s">
        <v>502</v>
      </c>
      <c r="E631" s="15" t="s">
        <v>419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25">
      <c r="A632" s="15" t="s">
        <v>434</v>
      </c>
      <c r="B632" s="15" t="s">
        <v>489</v>
      </c>
      <c r="C632" s="15" t="s">
        <v>503</v>
      </c>
      <c r="D632" s="15" t="s">
        <v>504</v>
      </c>
      <c r="E632" s="15" t="s">
        <v>354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25">
      <c r="A633" s="15" t="s">
        <v>173</v>
      </c>
      <c r="B633" s="15" t="s">
        <v>489</v>
      </c>
      <c r="C633" s="15" t="s">
        <v>503</v>
      </c>
      <c r="D633" s="15" t="s">
        <v>504</v>
      </c>
      <c r="E633" s="15" t="s">
        <v>354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25">
      <c r="A634" s="15" t="s">
        <v>156</v>
      </c>
      <c r="B634" s="15" t="s">
        <v>489</v>
      </c>
      <c r="C634" s="15" t="s">
        <v>503</v>
      </c>
      <c r="D634" s="15" t="s">
        <v>504</v>
      </c>
      <c r="E634" s="15" t="s">
        <v>354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25">
      <c r="A635" s="15" t="s">
        <v>165</v>
      </c>
      <c r="B635" s="15" t="s">
        <v>489</v>
      </c>
      <c r="C635" s="15" t="s">
        <v>503</v>
      </c>
      <c r="D635" s="15" t="s">
        <v>504</v>
      </c>
      <c r="E635" s="15" t="s">
        <v>354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25">
      <c r="A636" s="15" t="s">
        <v>173</v>
      </c>
      <c r="B636" s="15" t="s">
        <v>489</v>
      </c>
      <c r="C636" s="15" t="s">
        <v>503</v>
      </c>
      <c r="D636" s="15" t="s">
        <v>505</v>
      </c>
      <c r="E636" s="15" t="s">
        <v>354</v>
      </c>
      <c r="F636" s="15"/>
      <c r="G636" s="15"/>
      <c r="H636" s="15" t="s">
        <v>342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25">
      <c r="A637" s="15" t="s">
        <v>506</v>
      </c>
      <c r="B637" s="15" t="s">
        <v>489</v>
      </c>
      <c r="C637" s="15" t="s">
        <v>503</v>
      </c>
      <c r="D637" s="15" t="s">
        <v>505</v>
      </c>
      <c r="E637" s="15" t="s">
        <v>354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25">
      <c r="A638" s="15" t="s">
        <v>174</v>
      </c>
      <c r="B638" s="15" t="s">
        <v>489</v>
      </c>
      <c r="C638" s="15" t="s">
        <v>507</v>
      </c>
      <c r="D638" s="15" t="s">
        <v>508</v>
      </c>
      <c r="E638" s="15"/>
      <c r="F638" s="15"/>
      <c r="G638" s="15"/>
      <c r="H638" s="15" t="s">
        <v>342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25">
      <c r="A639" s="15" t="s">
        <v>174</v>
      </c>
      <c r="B639" s="15" t="s">
        <v>489</v>
      </c>
      <c r="C639" s="15" t="s">
        <v>490</v>
      </c>
      <c r="D639" s="15" t="s">
        <v>491</v>
      </c>
      <c r="E639" s="15" t="s">
        <v>96</v>
      </c>
      <c r="F639" s="15"/>
      <c r="G639" s="15"/>
      <c r="H639" s="15" t="s">
        <v>342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hidden="1" x14ac:dyDescent="0.25">
      <c r="A640" s="15" t="s">
        <v>166</v>
      </c>
      <c r="B640" s="15" t="s">
        <v>489</v>
      </c>
      <c r="C640" s="15" t="s">
        <v>509</v>
      </c>
      <c r="D640" s="15" t="s">
        <v>510</v>
      </c>
      <c r="E640" s="15"/>
      <c r="F640" s="15"/>
      <c r="G640" s="15"/>
      <c r="H640" s="15" t="s">
        <v>342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25">
      <c r="A641" s="15" t="s">
        <v>341</v>
      </c>
      <c r="B641" s="15" t="s">
        <v>489</v>
      </c>
      <c r="C641" s="15" t="s">
        <v>509</v>
      </c>
      <c r="D641" s="15" t="s">
        <v>511</v>
      </c>
      <c r="E641" s="15"/>
      <c r="F641" s="15"/>
      <c r="G641" s="15"/>
      <c r="H641" s="15" t="s">
        <v>342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25">
      <c r="A642" s="15" t="s">
        <v>141</v>
      </c>
      <c r="B642" s="15" t="s">
        <v>489</v>
      </c>
      <c r="C642" s="15" t="s">
        <v>509</v>
      </c>
      <c r="D642" s="15" t="s">
        <v>511</v>
      </c>
      <c r="E642" s="15"/>
      <c r="F642" s="15"/>
      <c r="G642" s="15"/>
      <c r="H642" s="15" t="s">
        <v>342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25">
      <c r="A643" s="15" t="s">
        <v>155</v>
      </c>
      <c r="B643" s="15" t="s">
        <v>489</v>
      </c>
      <c r="C643" s="15" t="s">
        <v>509</v>
      </c>
      <c r="D643" s="15" t="s">
        <v>510</v>
      </c>
      <c r="E643" s="15"/>
      <c r="F643" s="15"/>
      <c r="G643" s="15"/>
      <c r="H643" s="15" t="s">
        <v>342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25">
      <c r="A644" s="15" t="s">
        <v>148</v>
      </c>
      <c r="B644" s="15" t="s">
        <v>489</v>
      </c>
      <c r="C644" s="15" t="s">
        <v>509</v>
      </c>
      <c r="D644" s="15" t="s">
        <v>511</v>
      </c>
      <c r="E644" s="15"/>
      <c r="F644" s="15"/>
      <c r="G644" s="15"/>
      <c r="H644" s="15" t="s">
        <v>342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25">
      <c r="A645" s="15" t="s">
        <v>512</v>
      </c>
      <c r="B645" s="15" t="s">
        <v>489</v>
      </c>
      <c r="C645" s="15" t="s">
        <v>507</v>
      </c>
      <c r="D645" s="15" t="s">
        <v>513</v>
      </c>
      <c r="E645" s="15"/>
      <c r="F645" s="15"/>
      <c r="G645" s="15"/>
      <c r="H645" s="15" t="s">
        <v>342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25">
      <c r="A646" s="15" t="s">
        <v>165</v>
      </c>
      <c r="B646" s="15" t="s">
        <v>489</v>
      </c>
      <c r="C646" s="15" t="s">
        <v>509</v>
      </c>
      <c r="D646" s="15" t="s">
        <v>510</v>
      </c>
      <c r="E646" s="15"/>
      <c r="F646" s="15"/>
      <c r="G646" s="15"/>
      <c r="H646" s="15" t="s">
        <v>342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25">
      <c r="A647" s="15" t="s">
        <v>514</v>
      </c>
      <c r="B647" s="15" t="s">
        <v>489</v>
      </c>
      <c r="C647" s="15" t="s">
        <v>507</v>
      </c>
      <c r="D647" s="15" t="s">
        <v>513</v>
      </c>
      <c r="E647" s="15"/>
      <c r="F647" s="15"/>
      <c r="G647" s="15"/>
      <c r="H647" s="15" t="s">
        <v>342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25">
      <c r="A648" s="15" t="s">
        <v>173</v>
      </c>
      <c r="B648" s="15" t="s">
        <v>489</v>
      </c>
      <c r="C648" s="15" t="s">
        <v>507</v>
      </c>
      <c r="D648" s="15" t="s">
        <v>508</v>
      </c>
      <c r="E648" s="15"/>
      <c r="F648" s="15"/>
      <c r="G648" s="15"/>
      <c r="H648" s="15" t="s">
        <v>342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25">
      <c r="A649" s="15" t="s">
        <v>173</v>
      </c>
      <c r="B649" s="15" t="s">
        <v>489</v>
      </c>
      <c r="C649" s="15" t="s">
        <v>507</v>
      </c>
      <c r="D649" s="15" t="s">
        <v>515</v>
      </c>
      <c r="E649" s="15"/>
      <c r="F649" s="15"/>
      <c r="G649" s="15"/>
      <c r="H649" s="15" t="s">
        <v>342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25">
      <c r="A650" s="15" t="s">
        <v>146</v>
      </c>
      <c r="B650" s="15" t="s">
        <v>489</v>
      </c>
      <c r="C650" s="15" t="s">
        <v>509</v>
      </c>
      <c r="D650" s="15" t="s">
        <v>511</v>
      </c>
      <c r="E650" s="15"/>
      <c r="F650" s="15"/>
      <c r="G650" s="15"/>
      <c r="H650" s="15" t="s">
        <v>342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25">
      <c r="A651" s="15" t="s">
        <v>150</v>
      </c>
      <c r="B651" s="15" t="s">
        <v>489</v>
      </c>
      <c r="C651" s="15" t="s">
        <v>509</v>
      </c>
      <c r="D651" s="15" t="s">
        <v>511</v>
      </c>
      <c r="E651" s="15"/>
      <c r="F651" s="15"/>
      <c r="G651" s="15"/>
      <c r="H651" s="15" t="s">
        <v>342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25">
      <c r="A652" s="15" t="s">
        <v>145</v>
      </c>
      <c r="B652" s="15" t="s">
        <v>489</v>
      </c>
      <c r="C652" s="15" t="s">
        <v>509</v>
      </c>
      <c r="D652" s="15" t="s">
        <v>511</v>
      </c>
      <c r="E652" s="15"/>
      <c r="F652" s="15"/>
      <c r="G652" s="15"/>
      <c r="H652" s="15" t="s">
        <v>342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25">
      <c r="A653" s="15" t="s">
        <v>152</v>
      </c>
      <c r="B653" s="15" t="s">
        <v>489</v>
      </c>
      <c r="C653" s="15" t="s">
        <v>509</v>
      </c>
      <c r="D653" s="15" t="s">
        <v>516</v>
      </c>
      <c r="E653" s="15"/>
      <c r="F653" s="15"/>
      <c r="G653" s="15"/>
      <c r="H653" s="15" t="s">
        <v>342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25">
      <c r="A654" s="15" t="s">
        <v>156</v>
      </c>
      <c r="B654" s="15" t="s">
        <v>489</v>
      </c>
      <c r="C654" s="15" t="s">
        <v>507</v>
      </c>
      <c r="D654" s="15" t="s">
        <v>515</v>
      </c>
      <c r="E654" s="15"/>
      <c r="F654" s="15"/>
      <c r="G654" s="15"/>
      <c r="H654" s="15" t="s">
        <v>342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25">
      <c r="A655" s="15" t="s">
        <v>154</v>
      </c>
      <c r="B655" s="15" t="s">
        <v>489</v>
      </c>
      <c r="C655" s="15" t="s">
        <v>509</v>
      </c>
      <c r="D655" s="15" t="s">
        <v>516</v>
      </c>
      <c r="E655" s="15"/>
      <c r="F655" s="15"/>
      <c r="G655" s="15"/>
      <c r="H655" s="15" t="s">
        <v>342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25">
      <c r="A656" s="15" t="s">
        <v>517</v>
      </c>
      <c r="B656" s="15" t="s">
        <v>489</v>
      </c>
      <c r="C656" s="15" t="s">
        <v>507</v>
      </c>
      <c r="D656" s="15" t="s">
        <v>513</v>
      </c>
      <c r="E656" s="15"/>
      <c r="F656" s="15"/>
      <c r="G656" s="15"/>
      <c r="H656" s="15" t="s">
        <v>342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25">
      <c r="A657" s="15" t="s">
        <v>160</v>
      </c>
      <c r="B657" s="15" t="s">
        <v>489</v>
      </c>
      <c r="C657" s="15" t="s">
        <v>507</v>
      </c>
      <c r="D657" s="15" t="s">
        <v>513</v>
      </c>
      <c r="E657" s="15"/>
      <c r="F657" s="15"/>
      <c r="G657" s="15"/>
      <c r="H657" s="15" t="s">
        <v>342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25">
      <c r="A658" s="15" t="s">
        <v>151</v>
      </c>
      <c r="B658" s="15" t="s">
        <v>489</v>
      </c>
      <c r="C658" s="15" t="s">
        <v>509</v>
      </c>
      <c r="D658" s="15" t="s">
        <v>511</v>
      </c>
      <c r="E658" s="15"/>
      <c r="F658" s="15"/>
      <c r="G658" s="15"/>
      <c r="H658" s="15" t="s">
        <v>342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25">
      <c r="A659" s="15" t="s">
        <v>341</v>
      </c>
      <c r="B659" s="15" t="s">
        <v>489</v>
      </c>
      <c r="C659" s="15" t="s">
        <v>509</v>
      </c>
      <c r="D659" s="15" t="s">
        <v>518</v>
      </c>
      <c r="E659" s="15"/>
      <c r="F659" s="15"/>
      <c r="G659" s="15"/>
      <c r="H659" s="15" t="s">
        <v>342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25">
      <c r="A660" s="15" t="s">
        <v>141</v>
      </c>
      <c r="B660" s="15" t="s">
        <v>489</v>
      </c>
      <c r="C660" s="15" t="s">
        <v>509</v>
      </c>
      <c r="D660" s="15" t="s">
        <v>518</v>
      </c>
      <c r="E660" s="15"/>
      <c r="F660" s="15"/>
      <c r="G660" s="15"/>
      <c r="H660" s="15" t="s">
        <v>342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25">
      <c r="A661" s="15" t="s">
        <v>148</v>
      </c>
      <c r="B661" s="15" t="s">
        <v>489</v>
      </c>
      <c r="C661" s="15" t="s">
        <v>509</v>
      </c>
      <c r="D661" s="15" t="s">
        <v>518</v>
      </c>
      <c r="E661" s="15"/>
      <c r="F661" s="15"/>
      <c r="G661" s="15"/>
      <c r="H661" s="15" t="s">
        <v>342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25">
      <c r="A662" s="15" t="s">
        <v>173</v>
      </c>
      <c r="B662" s="15" t="s">
        <v>489</v>
      </c>
      <c r="C662" s="15" t="s">
        <v>509</v>
      </c>
      <c r="D662" s="15" t="s">
        <v>510</v>
      </c>
      <c r="E662" s="15"/>
      <c r="F662" s="15"/>
      <c r="G662" s="15"/>
      <c r="H662" s="15" t="s">
        <v>342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25">
      <c r="A663" s="15" t="s">
        <v>146</v>
      </c>
      <c r="B663" s="15" t="s">
        <v>489</v>
      </c>
      <c r="C663" s="15" t="s">
        <v>509</v>
      </c>
      <c r="D663" s="15" t="s">
        <v>518</v>
      </c>
      <c r="E663" s="15"/>
      <c r="F663" s="15"/>
      <c r="G663" s="15"/>
      <c r="H663" s="15" t="s">
        <v>342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25">
      <c r="A664" s="15" t="s">
        <v>150</v>
      </c>
      <c r="B664" s="15" t="s">
        <v>489</v>
      </c>
      <c r="C664" s="15" t="s">
        <v>509</v>
      </c>
      <c r="D664" s="15" t="s">
        <v>518</v>
      </c>
      <c r="E664" s="15"/>
      <c r="F664" s="15"/>
      <c r="G664" s="15"/>
      <c r="H664" s="15" t="s">
        <v>342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25">
      <c r="A665" s="15" t="s">
        <v>145</v>
      </c>
      <c r="B665" s="15" t="s">
        <v>489</v>
      </c>
      <c r="C665" s="15" t="s">
        <v>509</v>
      </c>
      <c r="D665" s="15" t="s">
        <v>518</v>
      </c>
      <c r="E665" s="15"/>
      <c r="F665" s="15"/>
      <c r="G665" s="15"/>
      <c r="H665" s="15" t="s">
        <v>342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25">
      <c r="A666" s="15" t="s">
        <v>154</v>
      </c>
      <c r="B666" s="15" t="s">
        <v>489</v>
      </c>
      <c r="C666" s="15" t="s">
        <v>509</v>
      </c>
      <c r="D666" s="15" t="s">
        <v>510</v>
      </c>
      <c r="E666" s="15"/>
      <c r="F666" s="15"/>
      <c r="G666" s="15"/>
      <c r="H666" s="15" t="s">
        <v>342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25">
      <c r="A667" s="15" t="s">
        <v>151</v>
      </c>
      <c r="B667" s="15" t="s">
        <v>489</v>
      </c>
      <c r="C667" s="15" t="s">
        <v>509</v>
      </c>
      <c r="D667" s="15" t="s">
        <v>516</v>
      </c>
      <c r="E667" s="15"/>
      <c r="F667" s="15"/>
      <c r="G667" s="15"/>
      <c r="H667" s="15" t="s">
        <v>342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25">
      <c r="A668" s="15" t="s">
        <v>174</v>
      </c>
      <c r="B668" s="15" t="s">
        <v>489</v>
      </c>
      <c r="C668" s="15" t="s">
        <v>490</v>
      </c>
      <c r="D668" s="15" t="s">
        <v>502</v>
      </c>
      <c r="E668" s="15" t="s">
        <v>96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25">
      <c r="A669" s="15" t="s">
        <v>341</v>
      </c>
      <c r="B669" s="15" t="s">
        <v>489</v>
      </c>
      <c r="C669" s="15" t="s">
        <v>495</v>
      </c>
      <c r="D669" s="15" t="s">
        <v>496</v>
      </c>
      <c r="E669" s="15" t="s">
        <v>96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25">
      <c r="A670" s="15" t="s">
        <v>341</v>
      </c>
      <c r="B670" s="15" t="s">
        <v>489</v>
      </c>
      <c r="C670" s="15" t="s">
        <v>495</v>
      </c>
      <c r="D670" s="15" t="s">
        <v>498</v>
      </c>
      <c r="E670" s="15" t="s">
        <v>96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25">
      <c r="A671" s="15" t="s">
        <v>141</v>
      </c>
      <c r="B671" s="15" t="s">
        <v>489</v>
      </c>
      <c r="C671" s="15" t="s">
        <v>495</v>
      </c>
      <c r="D671" s="15" t="s">
        <v>496</v>
      </c>
      <c r="E671" s="15" t="s">
        <v>96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25">
      <c r="A672" s="15" t="s">
        <v>148</v>
      </c>
      <c r="B672" s="15" t="s">
        <v>489</v>
      </c>
      <c r="C672" s="15" t="s">
        <v>495</v>
      </c>
      <c r="D672" s="15" t="s">
        <v>496</v>
      </c>
      <c r="E672" s="15" t="s">
        <v>96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25">
      <c r="A673" s="15" t="s">
        <v>148</v>
      </c>
      <c r="B673" s="15" t="s">
        <v>489</v>
      </c>
      <c r="C673" s="15" t="s">
        <v>495</v>
      </c>
      <c r="D673" s="15" t="s">
        <v>498</v>
      </c>
      <c r="E673" s="15" t="s">
        <v>96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25">
      <c r="A674" s="15" t="s">
        <v>171</v>
      </c>
      <c r="B674" s="15" t="s">
        <v>489</v>
      </c>
      <c r="C674" s="15" t="s">
        <v>490</v>
      </c>
      <c r="D674" s="15" t="s">
        <v>491</v>
      </c>
      <c r="E674" s="15" t="s">
        <v>96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25">
      <c r="A675" s="15" t="s">
        <v>434</v>
      </c>
      <c r="B675" s="15" t="s">
        <v>489</v>
      </c>
      <c r="C675" s="15" t="s">
        <v>490</v>
      </c>
      <c r="D675" s="15" t="s">
        <v>502</v>
      </c>
      <c r="E675" s="15" t="s">
        <v>96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25">
      <c r="A676" s="15" t="s">
        <v>20</v>
      </c>
      <c r="B676" s="15" t="s">
        <v>489</v>
      </c>
      <c r="C676" s="15" t="s">
        <v>495</v>
      </c>
      <c r="D676" s="15" t="s">
        <v>496</v>
      </c>
      <c r="E676" s="15" t="s">
        <v>96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25">
      <c r="A677" s="15" t="s">
        <v>173</v>
      </c>
      <c r="B677" s="15" t="s">
        <v>489</v>
      </c>
      <c r="C677" s="15" t="s">
        <v>490</v>
      </c>
      <c r="D677" s="15" t="s">
        <v>499</v>
      </c>
      <c r="E677" s="15" t="s">
        <v>96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25">
      <c r="A678" s="15" t="s">
        <v>173</v>
      </c>
      <c r="B678" s="15" t="s">
        <v>489</v>
      </c>
      <c r="C678" s="15" t="s">
        <v>490</v>
      </c>
      <c r="D678" s="15" t="s">
        <v>502</v>
      </c>
      <c r="E678" s="15" t="s">
        <v>96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25">
      <c r="A679" s="15" t="s">
        <v>173</v>
      </c>
      <c r="B679" s="15" t="s">
        <v>489</v>
      </c>
      <c r="C679" s="15" t="s">
        <v>503</v>
      </c>
      <c r="D679" s="15" t="s">
        <v>504</v>
      </c>
      <c r="E679" s="15" t="s">
        <v>96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25">
      <c r="A680" s="15" t="s">
        <v>173</v>
      </c>
      <c r="B680" s="15" t="s">
        <v>489</v>
      </c>
      <c r="C680" s="15" t="s">
        <v>503</v>
      </c>
      <c r="D680" s="15" t="s">
        <v>505</v>
      </c>
      <c r="E680" s="15" t="s">
        <v>96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25">
      <c r="A681" s="15" t="s">
        <v>173</v>
      </c>
      <c r="B681" s="15" t="s">
        <v>489</v>
      </c>
      <c r="C681" s="15" t="s">
        <v>490</v>
      </c>
      <c r="D681" s="15" t="s">
        <v>491</v>
      </c>
      <c r="E681" s="15" t="s">
        <v>96</v>
      </c>
      <c r="F681" s="15"/>
      <c r="G681" s="15"/>
      <c r="H681" s="15" t="s">
        <v>342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hidden="1" x14ac:dyDescent="0.25">
      <c r="A682" s="15" t="s">
        <v>180</v>
      </c>
      <c r="B682" s="15" t="s">
        <v>489</v>
      </c>
      <c r="C682" s="15" t="s">
        <v>490</v>
      </c>
      <c r="D682" s="15" t="s">
        <v>499</v>
      </c>
      <c r="E682" s="15" t="s">
        <v>96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hidden="1" x14ac:dyDescent="0.25">
      <c r="A683" s="15" t="s">
        <v>180</v>
      </c>
      <c r="B683" s="15" t="s">
        <v>489</v>
      </c>
      <c r="C683" s="15" t="s">
        <v>490</v>
      </c>
      <c r="D683" s="15" t="s">
        <v>502</v>
      </c>
      <c r="E683" s="15" t="s">
        <v>96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25">
      <c r="A684" s="15" t="s">
        <v>146</v>
      </c>
      <c r="B684" s="15" t="s">
        <v>489</v>
      </c>
      <c r="C684" s="15" t="s">
        <v>495</v>
      </c>
      <c r="D684" s="15" t="s">
        <v>496</v>
      </c>
      <c r="E684" s="15" t="s">
        <v>96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25">
      <c r="A685" s="15" t="s">
        <v>146</v>
      </c>
      <c r="B685" s="15" t="s">
        <v>489</v>
      </c>
      <c r="C685" s="15" t="s">
        <v>495</v>
      </c>
      <c r="D685" s="15" t="s">
        <v>498</v>
      </c>
      <c r="E685" s="15" t="s">
        <v>96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25">
      <c r="A686" s="15" t="s">
        <v>150</v>
      </c>
      <c r="B686" s="15" t="s">
        <v>489</v>
      </c>
      <c r="C686" s="15" t="s">
        <v>495</v>
      </c>
      <c r="D686" s="15" t="s">
        <v>496</v>
      </c>
      <c r="E686" s="15" t="s">
        <v>96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25">
      <c r="A687" s="15" t="s">
        <v>150</v>
      </c>
      <c r="B687" s="15" t="s">
        <v>489</v>
      </c>
      <c r="C687" s="15" t="s">
        <v>495</v>
      </c>
      <c r="D687" s="15" t="s">
        <v>498</v>
      </c>
      <c r="E687" s="15" t="s">
        <v>96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25">
      <c r="A688" s="15" t="s">
        <v>500</v>
      </c>
      <c r="B688" s="15" t="s">
        <v>489</v>
      </c>
      <c r="C688" s="15" t="s">
        <v>490</v>
      </c>
      <c r="D688" s="15" t="s">
        <v>502</v>
      </c>
      <c r="E688" s="15" t="s">
        <v>96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25">
      <c r="A689" s="15" t="s">
        <v>7</v>
      </c>
      <c r="B689" s="15" t="s">
        <v>489</v>
      </c>
      <c r="C689" s="15" t="s">
        <v>495</v>
      </c>
      <c r="D689" s="15" t="s">
        <v>496</v>
      </c>
      <c r="E689" s="15" t="s">
        <v>96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25">
      <c r="A690" s="15" t="s">
        <v>145</v>
      </c>
      <c r="B690" s="15" t="s">
        <v>489</v>
      </c>
      <c r="C690" s="15" t="s">
        <v>495</v>
      </c>
      <c r="D690" s="15" t="s">
        <v>496</v>
      </c>
      <c r="E690" s="15" t="s">
        <v>96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25">
      <c r="A691" s="15" t="s">
        <v>145</v>
      </c>
      <c r="B691" s="15" t="s">
        <v>489</v>
      </c>
      <c r="C691" s="15" t="s">
        <v>495</v>
      </c>
      <c r="D691" s="15" t="s">
        <v>498</v>
      </c>
      <c r="E691" s="15" t="s">
        <v>96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25">
      <c r="A692" s="15" t="s">
        <v>156</v>
      </c>
      <c r="B692" s="15" t="s">
        <v>489</v>
      </c>
      <c r="C692" s="15" t="s">
        <v>490</v>
      </c>
      <c r="D692" s="15" t="s">
        <v>502</v>
      </c>
      <c r="E692" s="15" t="s">
        <v>96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25">
      <c r="A693" s="15" t="s">
        <v>156</v>
      </c>
      <c r="B693" s="15" t="s">
        <v>489</v>
      </c>
      <c r="C693" s="15" t="s">
        <v>495</v>
      </c>
      <c r="D693" s="15" t="s">
        <v>519</v>
      </c>
      <c r="E693" s="15" t="s">
        <v>96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25">
      <c r="A694" s="15" t="s">
        <v>156</v>
      </c>
      <c r="B694" s="15" t="s">
        <v>489</v>
      </c>
      <c r="C694" s="15" t="s">
        <v>503</v>
      </c>
      <c r="D694" s="15" t="s">
        <v>504</v>
      </c>
      <c r="E694" s="15" t="s">
        <v>96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25">
      <c r="A695" s="15" t="s">
        <v>18</v>
      </c>
      <c r="B695" s="15" t="s">
        <v>561</v>
      </c>
      <c r="C695" s="15" t="s">
        <v>318</v>
      </c>
      <c r="D695" s="15" t="s">
        <v>319</v>
      </c>
      <c r="E695" s="15" t="s">
        <v>96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25">
      <c r="A696" s="15" t="s">
        <v>432</v>
      </c>
      <c r="B696" s="15" t="s">
        <v>489</v>
      </c>
      <c r="C696" s="15" t="s">
        <v>490</v>
      </c>
      <c r="D696" s="15" t="s">
        <v>499</v>
      </c>
      <c r="E696" s="15" t="s">
        <v>96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25">
      <c r="A697" s="15" t="s">
        <v>151</v>
      </c>
      <c r="B697" s="15" t="s">
        <v>489</v>
      </c>
      <c r="C697" s="15" t="s">
        <v>495</v>
      </c>
      <c r="D697" s="15" t="s">
        <v>496</v>
      </c>
      <c r="E697" s="15" t="s">
        <v>96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25">
      <c r="A698" s="15" t="s">
        <v>151</v>
      </c>
      <c r="B698" s="15" t="s">
        <v>489</v>
      </c>
      <c r="C698" s="15" t="s">
        <v>495</v>
      </c>
      <c r="D698" s="15" t="s">
        <v>498</v>
      </c>
      <c r="E698" s="15" t="s">
        <v>96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25">
      <c r="A699" s="15" t="s">
        <v>151</v>
      </c>
      <c r="B699" s="15" t="s">
        <v>489</v>
      </c>
      <c r="C699" s="15" t="s">
        <v>495</v>
      </c>
      <c r="D699" s="15" t="s">
        <v>519</v>
      </c>
      <c r="E699" s="15" t="s">
        <v>96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25">
      <c r="A700" s="15" t="s">
        <v>17</v>
      </c>
      <c r="B700" s="15" t="s">
        <v>561</v>
      </c>
      <c r="C700" s="15" t="s">
        <v>318</v>
      </c>
      <c r="D700" s="15" t="s">
        <v>331</v>
      </c>
      <c r="E700" s="15" t="s">
        <v>96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25">
      <c r="A701" s="15" t="s">
        <v>167</v>
      </c>
      <c r="B701" s="15" t="s">
        <v>489</v>
      </c>
      <c r="C701" s="15" t="s">
        <v>490</v>
      </c>
      <c r="D701" s="15" t="s">
        <v>491</v>
      </c>
      <c r="E701" s="15" t="s">
        <v>96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25">
      <c r="A702" s="15" t="s">
        <v>154</v>
      </c>
      <c r="B702" s="15" t="s">
        <v>489</v>
      </c>
      <c r="C702" s="15" t="s">
        <v>495</v>
      </c>
      <c r="D702" s="15" t="s">
        <v>519</v>
      </c>
      <c r="E702" s="15" t="s">
        <v>96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25">
      <c r="A703" s="15" t="s">
        <v>333</v>
      </c>
      <c r="B703" s="15" t="s">
        <v>489</v>
      </c>
      <c r="C703" s="15" t="s">
        <v>495</v>
      </c>
      <c r="D703" s="15" t="s">
        <v>496</v>
      </c>
      <c r="E703" s="15" t="s">
        <v>96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25">
      <c r="A704" s="15" t="s">
        <v>152</v>
      </c>
      <c r="B704" s="15" t="s">
        <v>489</v>
      </c>
      <c r="C704" s="15" t="s">
        <v>490</v>
      </c>
      <c r="D704" s="15" t="s">
        <v>502</v>
      </c>
      <c r="E704" s="15" t="s">
        <v>96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25">
      <c r="A705" s="15" t="s">
        <v>152</v>
      </c>
      <c r="B705" s="15" t="s">
        <v>489</v>
      </c>
      <c r="C705" s="15" t="s">
        <v>495</v>
      </c>
      <c r="D705" s="15" t="s">
        <v>519</v>
      </c>
      <c r="E705" s="15" t="s">
        <v>96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hidden="1" x14ac:dyDescent="0.25">
      <c r="A706" s="15" t="s">
        <v>107</v>
      </c>
      <c r="B706" s="15" t="s">
        <v>489</v>
      </c>
      <c r="C706" s="15" t="s">
        <v>495</v>
      </c>
      <c r="D706" s="15" t="s">
        <v>519</v>
      </c>
      <c r="E706" s="15" t="s">
        <v>96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25">
      <c r="A707" s="15" t="s">
        <v>27</v>
      </c>
      <c r="B707" s="15" t="s">
        <v>489</v>
      </c>
      <c r="C707" s="15" t="s">
        <v>495</v>
      </c>
      <c r="D707" s="15" t="s">
        <v>519</v>
      </c>
      <c r="E707" s="15" t="s">
        <v>96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25">
      <c r="A708" s="15" t="s">
        <v>105</v>
      </c>
      <c r="B708" s="15" t="s">
        <v>489</v>
      </c>
      <c r="C708" s="15" t="s">
        <v>495</v>
      </c>
      <c r="D708" s="15" t="s">
        <v>519</v>
      </c>
      <c r="E708" s="15" t="s">
        <v>96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25">
      <c r="A709" s="15" t="s">
        <v>512</v>
      </c>
      <c r="B709" s="15" t="s">
        <v>489</v>
      </c>
      <c r="C709" s="15" t="s">
        <v>503</v>
      </c>
      <c r="D709" s="15" t="s">
        <v>520</v>
      </c>
      <c r="E709" s="15" t="s">
        <v>96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25">
      <c r="A710" s="15" t="s">
        <v>517</v>
      </c>
      <c r="B710" s="15" t="s">
        <v>489</v>
      </c>
      <c r="C710" s="15" t="s">
        <v>503</v>
      </c>
      <c r="D710" s="15" t="s">
        <v>520</v>
      </c>
      <c r="E710" s="15" t="s">
        <v>96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25">
      <c r="A711" s="15" t="s">
        <v>160</v>
      </c>
      <c r="B711" s="15" t="s">
        <v>489</v>
      </c>
      <c r="C711" s="15" t="s">
        <v>490</v>
      </c>
      <c r="D711" s="15" t="s">
        <v>502</v>
      </c>
      <c r="E711" s="15" t="s">
        <v>96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25">
      <c r="A712" s="15" t="s">
        <v>160</v>
      </c>
      <c r="B712" s="15" t="s">
        <v>489</v>
      </c>
      <c r="C712" s="15" t="s">
        <v>503</v>
      </c>
      <c r="D712" s="15" t="s">
        <v>520</v>
      </c>
      <c r="E712" s="15" t="s">
        <v>96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25">
      <c r="A713" s="15" t="s">
        <v>514</v>
      </c>
      <c r="B713" s="15" t="s">
        <v>489</v>
      </c>
      <c r="C713" s="15" t="s">
        <v>503</v>
      </c>
      <c r="D713" s="15" t="s">
        <v>520</v>
      </c>
      <c r="E713" s="15" t="s">
        <v>96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25">
      <c r="A714" s="15" t="s">
        <v>165</v>
      </c>
      <c r="B714" s="15" t="s">
        <v>489</v>
      </c>
      <c r="C714" s="15" t="s">
        <v>495</v>
      </c>
      <c r="D714" s="15" t="s">
        <v>519</v>
      </c>
      <c r="E714" s="15" t="s">
        <v>96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25">
      <c r="A715" s="15" t="s">
        <v>22</v>
      </c>
      <c r="B715" s="15" t="s">
        <v>561</v>
      </c>
      <c r="C715" s="15" t="s">
        <v>318</v>
      </c>
      <c r="D715" s="15" t="s">
        <v>319</v>
      </c>
      <c r="E715" s="15" t="s">
        <v>96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25">
      <c r="A716" s="15" t="s">
        <v>155</v>
      </c>
      <c r="B716" s="15" t="s">
        <v>489</v>
      </c>
      <c r="C716" s="15" t="s">
        <v>495</v>
      </c>
      <c r="D716" s="15" t="s">
        <v>519</v>
      </c>
      <c r="E716" s="15" t="s">
        <v>96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hidden="1" x14ac:dyDescent="0.25">
      <c r="A717" s="15" t="s">
        <v>166</v>
      </c>
      <c r="B717" s="15" t="s">
        <v>489</v>
      </c>
      <c r="C717" s="15" t="s">
        <v>495</v>
      </c>
      <c r="D717" s="15" t="s">
        <v>519</v>
      </c>
      <c r="E717" s="15" t="s">
        <v>96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25">
      <c r="A718" s="15" t="s">
        <v>435</v>
      </c>
      <c r="B718" s="15" t="s">
        <v>489</v>
      </c>
      <c r="C718" s="15" t="s">
        <v>490</v>
      </c>
      <c r="D718" s="15" t="s">
        <v>502</v>
      </c>
      <c r="E718" s="15" t="s">
        <v>96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25">
      <c r="A719" s="15" t="s">
        <v>521</v>
      </c>
      <c r="B719" s="15" t="s">
        <v>489</v>
      </c>
      <c r="C719" s="15" t="s">
        <v>490</v>
      </c>
      <c r="D719" s="15" t="s">
        <v>502</v>
      </c>
      <c r="E719" s="15" t="s">
        <v>96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25">
      <c r="A720" s="15" t="s">
        <v>18</v>
      </c>
      <c r="B720" s="15" t="s">
        <v>561</v>
      </c>
      <c r="C720" s="15" t="s">
        <v>318</v>
      </c>
      <c r="D720" s="15" t="s">
        <v>319</v>
      </c>
      <c r="E720" s="15" t="s">
        <v>96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25">
      <c r="A721" s="15" t="s">
        <v>17</v>
      </c>
      <c r="B721" s="15" t="s">
        <v>561</v>
      </c>
      <c r="C721" s="15" t="s">
        <v>318</v>
      </c>
      <c r="D721" s="15" t="s">
        <v>522</v>
      </c>
      <c r="E721" s="15" t="s">
        <v>96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25">
      <c r="A722" s="15" t="s">
        <v>20</v>
      </c>
      <c r="B722" s="15" t="s">
        <v>561</v>
      </c>
      <c r="C722" s="15" t="s">
        <v>323</v>
      </c>
      <c r="D722" s="15" t="s">
        <v>324</v>
      </c>
      <c r="E722" s="15" t="s">
        <v>96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25">
      <c r="A723" s="15" t="s">
        <v>525</v>
      </c>
      <c r="B723" s="15" t="s">
        <v>526</v>
      </c>
      <c r="C723" s="15" t="s">
        <v>527</v>
      </c>
      <c r="D723" s="15" t="s">
        <v>528</v>
      </c>
      <c r="E723" s="15" t="s">
        <v>423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25">
      <c r="A724" s="15" t="s">
        <v>525</v>
      </c>
      <c r="B724" s="15" t="s">
        <v>526</v>
      </c>
      <c r="C724" s="15" t="s">
        <v>529</v>
      </c>
      <c r="D724" s="15" t="s">
        <v>530</v>
      </c>
      <c r="E724" s="15" t="s">
        <v>351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25">
      <c r="A725" s="15" t="s">
        <v>531</v>
      </c>
      <c r="B725" s="15" t="s">
        <v>526</v>
      </c>
      <c r="C725" s="15" t="s">
        <v>527</v>
      </c>
      <c r="D725" s="15" t="s">
        <v>532</v>
      </c>
      <c r="E725" s="15" t="s">
        <v>426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25">
      <c r="A726" s="15" t="s">
        <v>533</v>
      </c>
      <c r="B726" s="15" t="s">
        <v>526</v>
      </c>
      <c r="C726" s="15" t="s">
        <v>527</v>
      </c>
      <c r="D726" s="15" t="s">
        <v>532</v>
      </c>
      <c r="E726" s="15" t="s">
        <v>426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25">
      <c r="A727" s="15" t="s">
        <v>534</v>
      </c>
      <c r="B727" s="15" t="s">
        <v>526</v>
      </c>
      <c r="C727" s="15" t="s">
        <v>527</v>
      </c>
      <c r="D727" s="15" t="s">
        <v>532</v>
      </c>
      <c r="E727" s="15" t="s">
        <v>426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25">
      <c r="A728" s="15" t="s">
        <v>534</v>
      </c>
      <c r="B728" s="15" t="s">
        <v>526</v>
      </c>
      <c r="C728" s="15" t="s">
        <v>527</v>
      </c>
      <c r="D728" s="15" t="s">
        <v>528</v>
      </c>
      <c r="E728" s="15" t="s">
        <v>423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25">
      <c r="A729" s="15" t="s">
        <v>533</v>
      </c>
      <c r="B729" s="15" t="s">
        <v>526</v>
      </c>
      <c r="C729" s="15" t="s">
        <v>527</v>
      </c>
      <c r="D729" s="15" t="s">
        <v>535</v>
      </c>
      <c r="E729" s="15" t="s">
        <v>426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25">
      <c r="A730" s="15" t="s">
        <v>536</v>
      </c>
      <c r="B730" s="15" t="s">
        <v>526</v>
      </c>
      <c r="C730" s="15" t="s">
        <v>529</v>
      </c>
      <c r="D730" s="15" t="s">
        <v>537</v>
      </c>
      <c r="E730" s="15" t="s">
        <v>538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25">
      <c r="A731" s="15" t="s">
        <v>539</v>
      </c>
      <c r="B731" s="15" t="s">
        <v>526</v>
      </c>
      <c r="C731" s="15" t="s">
        <v>529</v>
      </c>
      <c r="D731" s="15" t="s">
        <v>530</v>
      </c>
      <c r="E731" s="15" t="s">
        <v>351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25">
      <c r="A732" s="15" t="s">
        <v>539</v>
      </c>
      <c r="B732" s="15" t="s">
        <v>526</v>
      </c>
      <c r="C732" s="15" t="s">
        <v>529</v>
      </c>
      <c r="D732" s="15" t="s">
        <v>540</v>
      </c>
      <c r="E732" s="15" t="s">
        <v>351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25">
      <c r="A733" s="15" t="s">
        <v>541</v>
      </c>
      <c r="B733" s="15" t="s">
        <v>526</v>
      </c>
      <c r="C733" s="15" t="s">
        <v>527</v>
      </c>
      <c r="D733" s="15" t="s">
        <v>528</v>
      </c>
      <c r="E733" s="15" t="s">
        <v>429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25">
      <c r="A734" s="15" t="s">
        <v>542</v>
      </c>
      <c r="B734" s="15" t="s">
        <v>526</v>
      </c>
      <c r="C734" s="15" t="s">
        <v>527</v>
      </c>
      <c r="D734" s="15" t="s">
        <v>532</v>
      </c>
      <c r="E734" s="15" t="s">
        <v>426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25">
      <c r="A735" s="15" t="s">
        <v>542</v>
      </c>
      <c r="B735" s="15" t="s">
        <v>526</v>
      </c>
      <c r="C735" s="15" t="s">
        <v>527</v>
      </c>
      <c r="D735" s="15" t="s">
        <v>535</v>
      </c>
      <c r="E735" s="15" t="s">
        <v>426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25">
      <c r="A736" s="15" t="s">
        <v>543</v>
      </c>
      <c r="B736" s="15" t="s">
        <v>526</v>
      </c>
      <c r="C736" s="15" t="s">
        <v>529</v>
      </c>
      <c r="D736" s="15" t="s">
        <v>530</v>
      </c>
      <c r="E736" s="15" t="s">
        <v>351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25">
      <c r="A737" s="15" t="s">
        <v>543</v>
      </c>
      <c r="B737" s="15" t="s">
        <v>526</v>
      </c>
      <c r="C737" s="15" t="s">
        <v>529</v>
      </c>
      <c r="D737" s="15" t="s">
        <v>540</v>
      </c>
      <c r="E737" s="15" t="s">
        <v>351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25">
      <c r="A738" s="15" t="s">
        <v>543</v>
      </c>
      <c r="B738" s="15" t="s">
        <v>526</v>
      </c>
      <c r="C738" s="15" t="s">
        <v>529</v>
      </c>
      <c r="D738" s="15" t="s">
        <v>544</v>
      </c>
      <c r="E738" s="15" t="s">
        <v>351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25">
      <c r="A739" s="15" t="s">
        <v>545</v>
      </c>
      <c r="B739" s="15" t="s">
        <v>526</v>
      </c>
      <c r="C739" s="15" t="s">
        <v>527</v>
      </c>
      <c r="D739" s="15" t="s">
        <v>532</v>
      </c>
      <c r="E739" s="15" t="s">
        <v>426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25">
      <c r="A740" s="15" t="s">
        <v>545</v>
      </c>
      <c r="B740" s="15" t="s">
        <v>526</v>
      </c>
      <c r="C740" s="15" t="s">
        <v>527</v>
      </c>
      <c r="D740" s="15" t="s">
        <v>535</v>
      </c>
      <c r="E740" s="15" t="s">
        <v>426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25">
      <c r="A741" s="15" t="s">
        <v>545</v>
      </c>
      <c r="B741" s="15" t="s">
        <v>526</v>
      </c>
      <c r="C741" s="15" t="s">
        <v>529</v>
      </c>
      <c r="D741" s="15" t="s">
        <v>544</v>
      </c>
      <c r="E741" s="15" t="s">
        <v>351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25">
      <c r="A742" s="15" t="s">
        <v>545</v>
      </c>
      <c r="B742" s="15" t="s">
        <v>526</v>
      </c>
      <c r="C742" s="15" t="s">
        <v>527</v>
      </c>
      <c r="D742" s="15" t="s">
        <v>532</v>
      </c>
      <c r="E742" s="15" t="s">
        <v>426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25">
      <c r="A743" s="15" t="s">
        <v>545</v>
      </c>
      <c r="B743" s="15" t="s">
        <v>526</v>
      </c>
      <c r="C743" s="15" t="s">
        <v>527</v>
      </c>
      <c r="D743" s="15" t="s">
        <v>535</v>
      </c>
      <c r="E743" s="15" t="s">
        <v>426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25">
      <c r="A744" s="15" t="s">
        <v>546</v>
      </c>
      <c r="B744" s="15" t="s">
        <v>526</v>
      </c>
      <c r="C744" s="15" t="s">
        <v>529</v>
      </c>
      <c r="D744" s="15" t="s">
        <v>530</v>
      </c>
      <c r="E744" s="15" t="s">
        <v>351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25">
      <c r="A745" s="15" t="s">
        <v>546</v>
      </c>
      <c r="B745" s="15" t="s">
        <v>526</v>
      </c>
      <c r="C745" s="15" t="s">
        <v>529</v>
      </c>
      <c r="D745" s="15" t="s">
        <v>544</v>
      </c>
      <c r="E745" s="15" t="s">
        <v>351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25">
      <c r="A746" s="15" t="s">
        <v>547</v>
      </c>
      <c r="B746" s="15" t="s">
        <v>526</v>
      </c>
      <c r="C746" s="15" t="s">
        <v>529</v>
      </c>
      <c r="D746" s="15" t="s">
        <v>530</v>
      </c>
      <c r="E746" s="15" t="s">
        <v>351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25">
      <c r="A747" s="15" t="s">
        <v>548</v>
      </c>
      <c r="B747" s="15" t="s">
        <v>526</v>
      </c>
      <c r="C747" s="15" t="s">
        <v>527</v>
      </c>
      <c r="D747" s="15" t="s">
        <v>528</v>
      </c>
      <c r="E747" s="15" t="s">
        <v>423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25">
      <c r="A748" s="15" t="s">
        <v>548</v>
      </c>
      <c r="B748" s="15" t="s">
        <v>526</v>
      </c>
      <c r="C748" s="15" t="s">
        <v>527</v>
      </c>
      <c r="D748" s="15" t="s">
        <v>528</v>
      </c>
      <c r="E748" s="15" t="s">
        <v>429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25">
      <c r="A749" s="15" t="s">
        <v>549</v>
      </c>
      <c r="B749" s="15" t="s">
        <v>526</v>
      </c>
      <c r="C749" s="15" t="s">
        <v>529</v>
      </c>
      <c r="D749" s="15" t="s">
        <v>530</v>
      </c>
      <c r="E749" s="15" t="s">
        <v>351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25">
      <c r="A750" s="15" t="s">
        <v>546</v>
      </c>
      <c r="B750" s="15" t="s">
        <v>526</v>
      </c>
      <c r="C750" s="15" t="s">
        <v>527</v>
      </c>
      <c r="D750" s="15" t="s">
        <v>532</v>
      </c>
      <c r="E750" s="15" t="s">
        <v>426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25">
      <c r="A751" s="15" t="s">
        <v>546</v>
      </c>
      <c r="B751" s="15" t="s">
        <v>526</v>
      </c>
      <c r="C751" s="15" t="s">
        <v>529</v>
      </c>
      <c r="D751" s="15" t="s">
        <v>544</v>
      </c>
      <c r="E751" s="15" t="s">
        <v>351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25">
      <c r="A752" s="15" t="s">
        <v>346</v>
      </c>
      <c r="B752" s="15" t="s">
        <v>526</v>
      </c>
      <c r="C752" s="15" t="s">
        <v>529</v>
      </c>
      <c r="D752" s="15" t="s">
        <v>530</v>
      </c>
      <c r="E752" s="15" t="s">
        <v>351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25">
      <c r="A753" s="15" t="s">
        <v>346</v>
      </c>
      <c r="B753" s="15" t="s">
        <v>526</v>
      </c>
      <c r="C753" s="15" t="s">
        <v>529</v>
      </c>
      <c r="D753" s="15" t="s">
        <v>540</v>
      </c>
      <c r="E753" s="15" t="s">
        <v>351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25">
      <c r="A754" s="15" t="s">
        <v>346</v>
      </c>
      <c r="B754" s="15" t="s">
        <v>526</v>
      </c>
      <c r="C754" s="15" t="s">
        <v>529</v>
      </c>
      <c r="D754" s="15" t="s">
        <v>544</v>
      </c>
      <c r="E754" s="15" t="s">
        <v>351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25">
      <c r="A755" s="15" t="s">
        <v>531</v>
      </c>
      <c r="B755" s="15" t="s">
        <v>526</v>
      </c>
      <c r="C755" s="15" t="s">
        <v>527</v>
      </c>
      <c r="D755" s="15" t="s">
        <v>532</v>
      </c>
      <c r="E755" s="15" t="s">
        <v>426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25">
      <c r="A756" s="15" t="s">
        <v>545</v>
      </c>
      <c r="B756" s="15" t="s">
        <v>526</v>
      </c>
      <c r="C756" s="15" t="s">
        <v>527</v>
      </c>
      <c r="D756" s="15" t="s">
        <v>535</v>
      </c>
      <c r="E756" s="15" t="s">
        <v>426</v>
      </c>
      <c r="F756" s="15"/>
      <c r="G756" s="15"/>
      <c r="H756" s="15" t="s">
        <v>377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25">
      <c r="A757" s="15" t="s">
        <v>545</v>
      </c>
      <c r="B757" s="15" t="s">
        <v>526</v>
      </c>
      <c r="C757" s="15" t="s">
        <v>529</v>
      </c>
      <c r="D757" s="15" t="s">
        <v>540</v>
      </c>
      <c r="E757" s="15" t="s">
        <v>351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25">
      <c r="A758" s="15" t="s">
        <v>417</v>
      </c>
      <c r="B758" s="15" t="s">
        <v>526</v>
      </c>
      <c r="C758" s="15" t="s">
        <v>527</v>
      </c>
      <c r="D758" s="15" t="s">
        <v>528</v>
      </c>
      <c r="E758" s="15" t="s">
        <v>429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hidden="1" x14ac:dyDescent="0.25">
      <c r="A759" s="15" t="s">
        <v>550</v>
      </c>
      <c r="B759" s="15" t="s">
        <v>526</v>
      </c>
      <c r="C759" s="15" t="s">
        <v>527</v>
      </c>
      <c r="D759" s="15" t="s">
        <v>528</v>
      </c>
      <c r="E759" s="15" t="s">
        <v>429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25">
      <c r="A760" s="15" t="s">
        <v>551</v>
      </c>
      <c r="B760" s="15" t="s">
        <v>526</v>
      </c>
      <c r="C760" s="15" t="s">
        <v>527</v>
      </c>
      <c r="D760" s="15" t="s">
        <v>532</v>
      </c>
      <c r="E760" s="15" t="s">
        <v>426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25">
      <c r="A761" s="15" t="s">
        <v>551</v>
      </c>
      <c r="B761" s="15" t="s">
        <v>526</v>
      </c>
      <c r="C761" s="15" t="s">
        <v>527</v>
      </c>
      <c r="D761" s="15" t="s">
        <v>535</v>
      </c>
      <c r="E761" s="15" t="s">
        <v>426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25">
      <c r="A762" s="15" t="s">
        <v>525</v>
      </c>
      <c r="B762" s="15" t="s">
        <v>526</v>
      </c>
      <c r="C762" s="15" t="s">
        <v>552</v>
      </c>
      <c r="D762" s="15" t="s">
        <v>553</v>
      </c>
      <c r="E762" s="15"/>
      <c r="F762" s="15"/>
      <c r="G762" s="15"/>
      <c r="H762" s="15" t="s">
        <v>377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25">
      <c r="A763" s="15" t="s">
        <v>534</v>
      </c>
      <c r="B763" s="15" t="s">
        <v>526</v>
      </c>
      <c r="C763" s="15" t="s">
        <v>552</v>
      </c>
      <c r="D763" s="15" t="s">
        <v>554</v>
      </c>
      <c r="E763" s="15"/>
      <c r="F763" s="15"/>
      <c r="G763" s="15"/>
      <c r="H763" s="15" t="s">
        <v>377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25">
      <c r="A764" s="15" t="s">
        <v>533</v>
      </c>
      <c r="B764" s="15" t="s">
        <v>526</v>
      </c>
      <c r="C764" s="15" t="s">
        <v>552</v>
      </c>
      <c r="D764" s="15" t="s">
        <v>553</v>
      </c>
      <c r="E764" s="15"/>
      <c r="F764" s="15"/>
      <c r="G764" s="15"/>
      <c r="H764" s="15" t="s">
        <v>377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25">
      <c r="A765" s="15" t="s">
        <v>542</v>
      </c>
      <c r="B765" s="15" t="s">
        <v>526</v>
      </c>
      <c r="C765" s="15" t="s">
        <v>552</v>
      </c>
      <c r="D765" s="15" t="s">
        <v>555</v>
      </c>
      <c r="E765" s="15"/>
      <c r="F765" s="15"/>
      <c r="G765" s="15"/>
      <c r="H765" s="15" t="s">
        <v>377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25">
      <c r="A766" s="15" t="s">
        <v>543</v>
      </c>
      <c r="B766" s="15" t="s">
        <v>526</v>
      </c>
      <c r="C766" s="15" t="s">
        <v>556</v>
      </c>
      <c r="D766" s="15" t="s">
        <v>557</v>
      </c>
      <c r="E766" s="15"/>
      <c r="F766" s="15"/>
      <c r="G766" s="15"/>
      <c r="H766" s="15" t="s">
        <v>377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25">
      <c r="A767" s="15" t="s">
        <v>543</v>
      </c>
      <c r="B767" s="15" t="s">
        <v>526</v>
      </c>
      <c r="C767" s="15" t="s">
        <v>556</v>
      </c>
      <c r="D767" s="15" t="s">
        <v>558</v>
      </c>
      <c r="E767" s="15"/>
      <c r="F767" s="15"/>
      <c r="G767" s="15"/>
      <c r="H767" s="15" t="s">
        <v>377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25">
      <c r="A768" s="15" t="s">
        <v>547</v>
      </c>
      <c r="B768" s="15" t="s">
        <v>526</v>
      </c>
      <c r="C768" s="15" t="s">
        <v>552</v>
      </c>
      <c r="D768" s="15" t="s">
        <v>553</v>
      </c>
      <c r="E768" s="15"/>
      <c r="F768" s="15"/>
      <c r="G768" s="15"/>
      <c r="H768" s="15" t="s">
        <v>377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25">
      <c r="A769" s="15" t="s">
        <v>547</v>
      </c>
      <c r="B769" s="15" t="s">
        <v>526</v>
      </c>
      <c r="C769" s="15" t="s">
        <v>556</v>
      </c>
      <c r="D769" s="15" t="s">
        <v>557</v>
      </c>
      <c r="E769" s="15"/>
      <c r="F769" s="15"/>
      <c r="G769" s="15"/>
      <c r="H769" s="15" t="s">
        <v>377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25">
      <c r="A770" s="15" t="s">
        <v>549</v>
      </c>
      <c r="B770" s="15" t="s">
        <v>526</v>
      </c>
      <c r="C770" s="15" t="s">
        <v>556</v>
      </c>
      <c r="D770" s="15" t="s">
        <v>558</v>
      </c>
      <c r="E770" s="15"/>
      <c r="F770" s="15"/>
      <c r="G770" s="15"/>
      <c r="H770" s="15" t="s">
        <v>377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25">
      <c r="A771" s="15" t="s">
        <v>546</v>
      </c>
      <c r="B771" s="15" t="s">
        <v>526</v>
      </c>
      <c r="C771" s="15" t="s">
        <v>556</v>
      </c>
      <c r="D771" s="15" t="s">
        <v>558</v>
      </c>
      <c r="E771" s="15"/>
      <c r="F771" s="15"/>
      <c r="G771" s="15"/>
      <c r="H771" s="15" t="s">
        <v>377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25">
      <c r="A772" s="15" t="s">
        <v>539</v>
      </c>
      <c r="B772" s="15" t="s">
        <v>526</v>
      </c>
      <c r="C772" s="15" t="s">
        <v>552</v>
      </c>
      <c r="D772" s="15" t="s">
        <v>554</v>
      </c>
      <c r="E772" s="15"/>
      <c r="F772" s="15"/>
      <c r="G772" s="15"/>
      <c r="H772" s="15" t="s">
        <v>377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25">
      <c r="A773" s="15" t="s">
        <v>541</v>
      </c>
      <c r="B773" s="15" t="s">
        <v>526</v>
      </c>
      <c r="C773" s="15" t="s">
        <v>552</v>
      </c>
      <c r="D773" s="15" t="s">
        <v>554</v>
      </c>
      <c r="E773" s="15"/>
      <c r="F773" s="15"/>
      <c r="G773" s="15"/>
      <c r="H773" s="15" t="s">
        <v>377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25">
      <c r="A774" s="467" t="s">
        <v>346</v>
      </c>
      <c r="B774" s="15" t="s">
        <v>526</v>
      </c>
      <c r="C774" s="15" t="s">
        <v>556</v>
      </c>
      <c r="D774" s="15" t="s">
        <v>557</v>
      </c>
      <c r="E774" s="15"/>
      <c r="F774" s="15"/>
      <c r="G774" s="15"/>
      <c r="H774" s="15" t="s">
        <v>377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25">
      <c r="A775" s="15" t="s">
        <v>531</v>
      </c>
      <c r="B775" s="15" t="s">
        <v>526</v>
      </c>
      <c r="C775" s="15" t="s">
        <v>552</v>
      </c>
      <c r="D775" s="15" t="s">
        <v>559</v>
      </c>
      <c r="E775" s="15"/>
      <c r="F775" s="15"/>
      <c r="G775" s="15"/>
      <c r="H775" s="15" t="s">
        <v>377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25">
      <c r="A776" s="15" t="s">
        <v>545</v>
      </c>
      <c r="B776" s="15" t="s">
        <v>526</v>
      </c>
      <c r="C776" s="15" t="s">
        <v>552</v>
      </c>
      <c r="D776" s="15" t="s">
        <v>559</v>
      </c>
      <c r="E776" s="15"/>
      <c r="F776" s="15"/>
      <c r="G776" s="15"/>
      <c r="H776" s="15" t="s">
        <v>377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25">
      <c r="A777" s="15" t="s">
        <v>551</v>
      </c>
      <c r="B777" s="15" t="s">
        <v>526</v>
      </c>
      <c r="C777" s="15" t="s">
        <v>552</v>
      </c>
      <c r="D777" s="15" t="s">
        <v>555</v>
      </c>
      <c r="E777" s="15"/>
      <c r="F777" s="15"/>
      <c r="G777" s="15"/>
      <c r="H777" s="15" t="s">
        <v>377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25">
      <c r="A778" s="15" t="s">
        <v>543</v>
      </c>
      <c r="B778" s="15" t="s">
        <v>526</v>
      </c>
      <c r="C778" s="15" t="s">
        <v>556</v>
      </c>
      <c r="D778" s="15" t="s">
        <v>560</v>
      </c>
      <c r="E778" s="15"/>
      <c r="F778" s="15"/>
      <c r="G778" s="15"/>
      <c r="H778" s="15" t="s">
        <v>377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25">
      <c r="A779" s="15" t="s">
        <v>346</v>
      </c>
      <c r="B779" s="15" t="s">
        <v>526</v>
      </c>
      <c r="C779" s="15" t="s">
        <v>556</v>
      </c>
      <c r="D779" s="15" t="s">
        <v>560</v>
      </c>
      <c r="E779" s="15"/>
      <c r="F779" s="15"/>
      <c r="G779" s="15"/>
      <c r="H779" s="15" t="s">
        <v>377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25">
      <c r="A780" s="15" t="s">
        <v>545</v>
      </c>
      <c r="B780" s="15" t="s">
        <v>526</v>
      </c>
      <c r="C780" s="15" t="s">
        <v>552</v>
      </c>
      <c r="D780" s="15" t="s">
        <v>555</v>
      </c>
      <c r="E780" s="15"/>
      <c r="F780" s="15"/>
      <c r="G780" s="15"/>
      <c r="H780" s="15" t="s">
        <v>377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25">
      <c r="A781" s="15" t="s">
        <v>346</v>
      </c>
      <c r="B781" s="15" t="s">
        <v>526</v>
      </c>
      <c r="C781" s="15" t="s">
        <v>556</v>
      </c>
      <c r="D781" s="15" t="s">
        <v>558</v>
      </c>
      <c r="E781" s="15"/>
      <c r="F781" s="15"/>
      <c r="G781" s="15"/>
      <c r="H781" s="15" t="s">
        <v>377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hidden="1" x14ac:dyDescent="0.25">
      <c r="A782" s="15" t="s">
        <v>533</v>
      </c>
      <c r="B782" s="15" t="s">
        <v>526</v>
      </c>
      <c r="C782" s="15" t="s">
        <v>552</v>
      </c>
      <c r="D782" s="15" t="s">
        <v>559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25">
      <c r="A783" s="15" t="s">
        <v>534</v>
      </c>
      <c r="B783" s="15" t="s">
        <v>526</v>
      </c>
      <c r="C783" s="15" t="s">
        <v>527</v>
      </c>
      <c r="D783" s="15" t="s">
        <v>528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25">
      <c r="A784" s="15" t="s">
        <v>551</v>
      </c>
      <c r="B784" s="15" t="s">
        <v>526</v>
      </c>
      <c r="C784" s="15" t="s">
        <v>527</v>
      </c>
      <c r="D784" s="15" t="s">
        <v>528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25">
      <c r="A785" s="15" t="s">
        <v>547</v>
      </c>
      <c r="B785" s="15" t="s">
        <v>526</v>
      </c>
      <c r="C785" s="15" t="s">
        <v>529</v>
      </c>
      <c r="D785" s="15" t="s">
        <v>544</v>
      </c>
      <c r="E785" s="15" t="s">
        <v>351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25">
      <c r="A786" s="15" t="s">
        <v>533</v>
      </c>
      <c r="B786" s="15" t="s">
        <v>526</v>
      </c>
      <c r="C786" s="15" t="s">
        <v>552</v>
      </c>
      <c r="D786" s="15" t="s">
        <v>555</v>
      </c>
      <c r="E786" s="15"/>
      <c r="F786" s="15"/>
      <c r="G786" s="15"/>
      <c r="H786" s="15" t="s">
        <v>377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25">
      <c r="A790" s="462"/>
      <c r="B790" s="462"/>
    </row>
    <row r="791" spans="1:17" x14ac:dyDescent="0.25">
      <c r="A791" s="462"/>
      <c r="B791" s="462"/>
    </row>
    <row r="792" spans="1:17" x14ac:dyDescent="0.25">
      <c r="A792" s="462"/>
      <c r="B792" s="462"/>
    </row>
    <row r="793" spans="1:17" x14ac:dyDescent="0.25">
      <c r="A793" s="462"/>
      <c r="B793" s="462"/>
    </row>
    <row r="794" spans="1:17" x14ac:dyDescent="0.25">
      <c r="A794" s="462"/>
      <c r="B794" s="462"/>
    </row>
    <row r="795" spans="1:17" x14ac:dyDescent="0.25">
      <c r="A795" s="462"/>
      <c r="B795" s="462"/>
    </row>
    <row r="796" spans="1:17" x14ac:dyDescent="0.25">
      <c r="A796" s="462"/>
      <c r="B796" s="462"/>
    </row>
    <row r="797" spans="1:17" x14ac:dyDescent="0.25">
      <c r="A797" s="462"/>
      <c r="B797" s="462"/>
    </row>
    <row r="798" spans="1:17" x14ac:dyDescent="0.25">
      <c r="A798" s="462"/>
      <c r="B798" s="462"/>
    </row>
    <row r="799" spans="1:17" x14ac:dyDescent="0.25">
      <c r="A799" s="462"/>
      <c r="B799" s="462"/>
    </row>
    <row r="800" spans="1:17" x14ac:dyDescent="0.25">
      <c r="A800" s="462"/>
      <c r="B800" s="462"/>
      <c r="E800" s="15">
        <v>0</v>
      </c>
      <c r="F800" s="15">
        <v>16476732.709999999</v>
      </c>
      <c r="G800" s="15">
        <v>4822398.8600000003</v>
      </c>
      <c r="H800" s="15">
        <v>58859998.560000047</v>
      </c>
      <c r="I800" s="15">
        <v>0</v>
      </c>
    </row>
    <row r="801" spans="1:9" x14ac:dyDescent="0.25">
      <c r="A801" s="462"/>
      <c r="B801" s="462"/>
      <c r="E801" s="15">
        <v>0</v>
      </c>
      <c r="F801" s="15">
        <v>0</v>
      </c>
      <c r="G801" s="15">
        <v>390935.39</v>
      </c>
      <c r="H801" s="15">
        <v>0</v>
      </c>
      <c r="I801" s="15">
        <v>0</v>
      </c>
    </row>
    <row r="802" spans="1:9" x14ac:dyDescent="0.25">
      <c r="A802" s="462"/>
      <c r="B802" s="462"/>
    </row>
    <row r="803" spans="1:9" x14ac:dyDescent="0.25">
      <c r="A803" s="462"/>
      <c r="B803" s="462"/>
    </row>
    <row r="804" spans="1:9" x14ac:dyDescent="0.25">
      <c r="A804" s="462"/>
      <c r="B804" s="462"/>
    </row>
    <row r="805" spans="1:9" x14ac:dyDescent="0.25">
      <c r="A805" s="462"/>
      <c r="B805" s="462"/>
    </row>
    <row r="806" spans="1:9" x14ac:dyDescent="0.25">
      <c r="A806" s="462"/>
      <c r="B806" s="462"/>
    </row>
    <row r="807" spans="1:9" x14ac:dyDescent="0.25">
      <c r="A807" s="462"/>
      <c r="B807" s="462"/>
    </row>
    <row r="808" spans="1:9" x14ac:dyDescent="0.25">
      <c r="A808" s="462"/>
      <c r="B808" s="462"/>
    </row>
    <row r="809" spans="1:9" x14ac:dyDescent="0.25">
      <c r="A809" s="462"/>
      <c r="B809" s="462"/>
    </row>
    <row r="810" spans="1:9" x14ac:dyDescent="0.25">
      <c r="A810" s="462"/>
      <c r="B810" s="462"/>
    </row>
    <row r="811" spans="1:9" x14ac:dyDescent="0.25">
      <c r="A811" s="462"/>
      <c r="B811" s="462"/>
    </row>
    <row r="812" spans="1:9" x14ac:dyDescent="0.25">
      <c r="A812" s="462"/>
      <c r="B812" s="462"/>
    </row>
    <row r="813" spans="1:9" x14ac:dyDescent="0.25">
      <c r="A813" s="462"/>
      <c r="B813" s="462"/>
    </row>
    <row r="814" spans="1:9" x14ac:dyDescent="0.25">
      <c r="A814" s="462"/>
      <c r="B814" s="462"/>
    </row>
    <row r="815" spans="1:9" x14ac:dyDescent="0.25">
      <c r="A815" s="462"/>
      <c r="B815" s="462"/>
    </row>
    <row r="816" spans="1:9" x14ac:dyDescent="0.25">
      <c r="A816" s="463"/>
      <c r="B816" s="463"/>
    </row>
  </sheetData>
  <autoFilter ref="A1:Q786" xr:uid="{9CE123FB-CEA7-44A7-9963-9B13BC48808D}">
    <filterColumn colId="0">
      <filters>
        <filter val="Саха (Якутия)"/>
      </filters>
    </filterColumn>
  </autoFilter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zoomScale="85" zoomScaleNormal="85" workbookViewId="0">
      <selection activeCell="B271" sqref="B271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04" t="s">
        <v>184</v>
      </c>
      <c r="T1" s="505"/>
      <c r="U1" s="505"/>
      <c r="V1" s="505"/>
      <c r="W1" s="505"/>
      <c r="X1" s="505"/>
      <c r="Y1" s="505"/>
      <c r="Z1" s="505"/>
      <c r="AA1" s="505"/>
      <c r="AB1" s="505"/>
      <c r="AC1" s="506"/>
      <c r="AD1" s="504" t="s">
        <v>185</v>
      </c>
      <c r="AE1" s="505"/>
      <c r="AF1" s="505"/>
      <c r="AG1" s="505"/>
      <c r="AH1" s="505"/>
      <c r="AI1" s="505"/>
      <c r="AJ1" s="505"/>
      <c r="AK1" s="505"/>
      <c r="AL1" s="507"/>
      <c r="AM1" s="507"/>
      <c r="AN1" s="508"/>
      <c r="AQ1" s="288" t="s">
        <v>289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290</v>
      </c>
      <c r="K2" s="502" t="s">
        <v>291</v>
      </c>
      <c r="L2" s="502"/>
      <c r="M2" s="502"/>
      <c r="N2" s="502" t="s">
        <v>292</v>
      </c>
      <c r="O2" s="502"/>
      <c r="P2" s="502"/>
      <c r="Q2" s="502"/>
      <c r="R2" s="503"/>
      <c r="S2" s="509" t="s">
        <v>186</v>
      </c>
      <c r="T2" s="510"/>
      <c r="U2" s="309" t="s">
        <v>187</v>
      </c>
      <c r="V2" s="308" t="s">
        <v>187</v>
      </c>
      <c r="W2" s="307" t="s">
        <v>187</v>
      </c>
      <c r="X2" s="308" t="s">
        <v>188</v>
      </c>
      <c r="Y2" s="308" t="s">
        <v>188</v>
      </c>
      <c r="Z2" s="308" t="s">
        <v>188</v>
      </c>
      <c r="AA2" s="308" t="s">
        <v>188</v>
      </c>
      <c r="AB2" s="308" t="s">
        <v>188</v>
      </c>
      <c r="AC2" s="307" t="s">
        <v>188</v>
      </c>
      <c r="AD2" s="509" t="s">
        <v>189</v>
      </c>
      <c r="AE2" s="511"/>
      <c r="AF2" s="511"/>
      <c r="AG2" s="511"/>
      <c r="AH2" s="511"/>
      <c r="AI2" s="511"/>
      <c r="AJ2" s="511"/>
      <c r="AK2" s="512"/>
      <c r="AL2" s="513" t="s">
        <v>293</v>
      </c>
      <c r="AM2" s="514"/>
      <c r="AN2" s="515"/>
    </row>
    <row r="3" spans="1:43" ht="60.75" thickBot="1" x14ac:dyDescent="0.3">
      <c r="B3" s="239" t="s">
        <v>190</v>
      </c>
      <c r="C3" s="240" t="s">
        <v>191</v>
      </c>
      <c r="D3" s="240" t="s">
        <v>192</v>
      </c>
      <c r="E3" s="241" t="s">
        <v>193</v>
      </c>
      <c r="F3" s="239" t="s">
        <v>194</v>
      </c>
      <c r="G3" s="242" t="s">
        <v>195</v>
      </c>
      <c r="H3" s="243" t="s">
        <v>196</v>
      </c>
      <c r="I3" s="243" t="s">
        <v>197</v>
      </c>
      <c r="J3" s="231" t="s">
        <v>290</v>
      </c>
      <c r="K3" s="231" t="s">
        <v>294</v>
      </c>
      <c r="L3" s="231" t="s">
        <v>295</v>
      </c>
      <c r="M3" s="231" t="s">
        <v>296</v>
      </c>
      <c r="N3" s="231" t="s">
        <v>297</v>
      </c>
      <c r="O3" s="231" t="s">
        <v>298</v>
      </c>
      <c r="P3" s="231" t="s">
        <v>299</v>
      </c>
      <c r="Q3" s="231" t="s">
        <v>300</v>
      </c>
      <c r="R3" s="231" t="s">
        <v>301</v>
      </c>
      <c r="S3" s="306" t="s">
        <v>302</v>
      </c>
      <c r="T3" s="305" t="s">
        <v>303</v>
      </c>
      <c r="U3" s="302" t="s">
        <v>304</v>
      </c>
      <c r="V3" s="303" t="s">
        <v>305</v>
      </c>
      <c r="W3" s="304" t="s">
        <v>201</v>
      </c>
      <c r="X3" s="303" t="s">
        <v>202</v>
      </c>
      <c r="Y3" s="303" t="s">
        <v>204</v>
      </c>
      <c r="Z3" s="303" t="s">
        <v>205</v>
      </c>
      <c r="AA3" s="303" t="s">
        <v>206</v>
      </c>
      <c r="AB3" s="303" t="s">
        <v>207</v>
      </c>
      <c r="AC3" s="304" t="s">
        <v>208</v>
      </c>
      <c r="AD3" s="302" t="s">
        <v>306</v>
      </c>
      <c r="AE3" s="303" t="s">
        <v>307</v>
      </c>
      <c r="AF3" s="303" t="s">
        <v>308</v>
      </c>
      <c r="AG3" s="303" t="s">
        <v>309</v>
      </c>
      <c r="AH3" s="303" t="s">
        <v>310</v>
      </c>
      <c r="AI3" s="302" t="s">
        <v>311</v>
      </c>
      <c r="AJ3" s="301" t="s">
        <v>312</v>
      </c>
      <c r="AK3" s="300" t="s">
        <v>313</v>
      </c>
      <c r="AL3" s="244" t="s">
        <v>306</v>
      </c>
      <c r="AM3" s="246" t="s">
        <v>307</v>
      </c>
      <c r="AN3" s="245" t="s">
        <v>314</v>
      </c>
      <c r="AO3" s="247" t="s">
        <v>315</v>
      </c>
      <c r="AQ3" s="272" t="s">
        <v>316</v>
      </c>
    </row>
    <row r="4" spans="1:43" ht="14.65" hidden="1" customHeight="1" x14ac:dyDescent="0.25">
      <c r="A4" s="272" t="str">
        <f t="shared" ref="A4:A67" si="0">B4&amp;D4&amp;E4</f>
        <v>ВладимирскаяDDM MOS Sladkaay ZhiznTSL MOS N.Novgorod</v>
      </c>
      <c r="B4" s="248" t="s">
        <v>22</v>
      </c>
      <c r="C4" s="249" t="s">
        <v>317</v>
      </c>
      <c r="D4" s="249" t="s">
        <v>318</v>
      </c>
      <c r="E4" s="250" t="s">
        <v>319</v>
      </c>
      <c r="F4" s="251" t="s">
        <v>320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321</v>
      </c>
    </row>
    <row r="5" spans="1:43" ht="14.65" hidden="1" customHeight="1" x14ac:dyDescent="0.25">
      <c r="A5" s="272" t="str">
        <f t="shared" si="0"/>
        <v>ВладимирскаяDDM MOS Sladkaay ZhiznTSL MOS N.Novgorod</v>
      </c>
      <c r="B5" s="248" t="s">
        <v>22</v>
      </c>
      <c r="C5" s="249" t="s">
        <v>317</v>
      </c>
      <c r="D5" s="249" t="s">
        <v>318</v>
      </c>
      <c r="E5" s="250" t="s">
        <v>319</v>
      </c>
      <c r="F5" s="251" t="s">
        <v>322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321</v>
      </c>
    </row>
    <row r="6" spans="1:43" ht="14.65" hidden="1" customHeight="1" x14ac:dyDescent="0.25">
      <c r="A6" s="272" t="str">
        <f t="shared" si="0"/>
        <v>ВладимирскаяASM MOS Food Trade+SorsoTSL MOS SPT Moscow Play Sorso</v>
      </c>
      <c r="B6" s="248" t="s">
        <v>22</v>
      </c>
      <c r="C6" s="249" t="s">
        <v>317</v>
      </c>
      <c r="D6" s="249" t="s">
        <v>323</v>
      </c>
      <c r="E6" s="272" t="s">
        <v>324</v>
      </c>
      <c r="F6" s="251" t="s">
        <v>325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hidden="1" customHeight="1" x14ac:dyDescent="0.25">
      <c r="A7" s="272" t="str">
        <f t="shared" si="0"/>
        <v>ВладимирскаяDDM MOS Sladkaay ZhiznTSL MOS N.Novgorod</v>
      </c>
      <c r="B7" s="248" t="s">
        <v>22</v>
      </c>
      <c r="C7" s="249" t="s">
        <v>317</v>
      </c>
      <c r="D7" s="249" t="s">
        <v>318</v>
      </c>
      <c r="E7" s="250" t="s">
        <v>319</v>
      </c>
      <c r="F7" s="251" t="s">
        <v>320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hidden="1" customHeight="1" x14ac:dyDescent="0.25">
      <c r="A8" s="272" t="str">
        <f t="shared" si="0"/>
        <v>ВладимирскаяDDM MOS Sladkaay ZhiznTSL MOS Cheboksary</v>
      </c>
      <c r="B8" s="248" t="s">
        <v>22</v>
      </c>
      <c r="C8" s="249" t="s">
        <v>317</v>
      </c>
      <c r="D8" s="249" t="s">
        <v>318</v>
      </c>
      <c r="E8" s="250" t="s">
        <v>326</v>
      </c>
      <c r="F8" s="251" t="s">
        <v>320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customHeight="1" x14ac:dyDescent="0.25">
      <c r="A9" s="272" t="str">
        <f t="shared" si="0"/>
        <v>КалужскаяASM MOS Food Trade+SorsoTSL MOS SPT Moscow Play Sorso</v>
      </c>
      <c r="B9" s="248" t="s">
        <v>20</v>
      </c>
      <c r="C9" s="249" t="s">
        <v>317</v>
      </c>
      <c r="D9" s="249" t="s">
        <v>323</v>
      </c>
      <c r="E9" s="272" t="s">
        <v>324</v>
      </c>
      <c r="F9" s="251" t="s">
        <v>325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customHeight="1" x14ac:dyDescent="0.25">
      <c r="A10" s="272" t="str">
        <f t="shared" si="0"/>
        <v>КалужскаяASM MOS Food Trade+SorsoTSL MOS SPT Moscow Play Sorso</v>
      </c>
      <c r="B10" s="248" t="s">
        <v>20</v>
      </c>
      <c r="C10" s="249" t="s">
        <v>317</v>
      </c>
      <c r="D10" s="249" t="s">
        <v>323</v>
      </c>
      <c r="E10" s="272" t="s">
        <v>324</v>
      </c>
      <c r="F10" s="251" t="s">
        <v>325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customHeight="1" x14ac:dyDescent="0.25">
      <c r="A11" s="272" t="str">
        <f t="shared" si="0"/>
        <v>КалужскаяDDM MOS Sladkaay ZhiznTSL MOS  Moscow 2 Sladkaya Zhizn</v>
      </c>
      <c r="B11" s="248" t="s">
        <v>20</v>
      </c>
      <c r="C11" s="249" t="s">
        <v>317</v>
      </c>
      <c r="D11" s="249" t="s">
        <v>318</v>
      </c>
      <c r="E11" s="250" t="s">
        <v>327</v>
      </c>
      <c r="F11" s="251" t="s">
        <v>320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328</v>
      </c>
    </row>
    <row r="12" spans="1:43" ht="14.65" customHeight="1" x14ac:dyDescent="0.25">
      <c r="A12" s="272" t="str">
        <f t="shared" si="0"/>
        <v>КалужскаяDDM MOS Sladkaay ZhiznTSL MOS  Moscow 2 Sladkaya Zhizn</v>
      </c>
      <c r="B12" s="248" t="s">
        <v>20</v>
      </c>
      <c r="C12" s="249" t="s">
        <v>317</v>
      </c>
      <c r="D12" s="249" t="s">
        <v>318</v>
      </c>
      <c r="E12" s="250" t="s">
        <v>327</v>
      </c>
      <c r="F12" s="251" t="s">
        <v>322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customHeight="1" x14ac:dyDescent="0.25">
      <c r="A13" s="272" t="str">
        <f t="shared" si="0"/>
        <v>КалужскаяASM MOS Food Trade+SorsoTSL MOS SPT Moscow Play Sorso</v>
      </c>
      <c r="B13" s="248" t="s">
        <v>20</v>
      </c>
      <c r="C13" s="249" t="s">
        <v>317</v>
      </c>
      <c r="D13" s="249" t="s">
        <v>323</v>
      </c>
      <c r="E13" s="272" t="s">
        <v>324</v>
      </c>
      <c r="F13" s="251" t="s">
        <v>325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customHeight="1" x14ac:dyDescent="0.25">
      <c r="A14" s="272" t="str">
        <f t="shared" si="0"/>
        <v>КалужскаяASM MOS Food Trade+SorsoTSL MOS Grocery Mos Obl AS-Market</v>
      </c>
      <c r="B14" s="248" t="s">
        <v>20</v>
      </c>
      <c r="C14" s="249" t="s">
        <v>317</v>
      </c>
      <c r="D14" s="249" t="s">
        <v>323</v>
      </c>
      <c r="E14" s="250" t="s">
        <v>329</v>
      </c>
      <c r="F14" s="251" t="s">
        <v>330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65" customHeight="1" x14ac:dyDescent="0.25">
      <c r="A15" s="272" t="str">
        <f t="shared" si="0"/>
        <v>КалужскаяDDM MOS Sladkaay ZhiznTSL MOS  Moscow 1 Sladkaya Zhizn</v>
      </c>
      <c r="B15" s="248" t="s">
        <v>20</v>
      </c>
      <c r="C15" s="249" t="s">
        <v>317</v>
      </c>
      <c r="D15" s="249" t="s">
        <v>318</v>
      </c>
      <c r="E15" s="250" t="s">
        <v>331</v>
      </c>
      <c r="F15" s="251" t="s">
        <v>320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321</v>
      </c>
    </row>
    <row r="16" spans="1:43" ht="14.65" customHeight="1" x14ac:dyDescent="0.25">
      <c r="A16" s="272" t="str">
        <f t="shared" si="0"/>
        <v>КалужскаяDDM MOS Sladkaay ZhiznTSL MOS  Moscow 1 Sladkaya Zhizn</v>
      </c>
      <c r="B16" s="248" t="s">
        <v>20</v>
      </c>
      <c r="C16" s="249" t="s">
        <v>317</v>
      </c>
      <c r="D16" s="249" t="s">
        <v>318</v>
      </c>
      <c r="E16" s="250" t="s">
        <v>331</v>
      </c>
      <c r="F16" s="251" t="s">
        <v>322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321</v>
      </c>
    </row>
    <row r="17" spans="1:41" ht="14.65" customHeight="1" x14ac:dyDescent="0.25">
      <c r="A17" s="272" t="str">
        <f t="shared" si="0"/>
        <v>КалужскаяDDM MOS Sladkaay ZhiznTSL MOS  Moscow 2 Sladkaya Zhizn</v>
      </c>
      <c r="B17" s="248" t="s">
        <v>20</v>
      </c>
      <c r="C17" s="249" t="s">
        <v>317</v>
      </c>
      <c r="D17" s="249" t="s">
        <v>318</v>
      </c>
      <c r="E17" s="250" t="s">
        <v>327</v>
      </c>
      <c r="F17" s="251" t="s">
        <v>322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customHeight="1" x14ac:dyDescent="0.25">
      <c r="A18" s="272" t="str">
        <f t="shared" si="0"/>
        <v>КалужскаяDDM MOS Sladkaay ZhiznTSL MOS  Moscow 1 Sladkaya Zhizn</v>
      </c>
      <c r="B18" s="248" t="s">
        <v>20</v>
      </c>
      <c r="C18" s="249" t="s">
        <v>317</v>
      </c>
      <c r="D18" s="249" t="s">
        <v>318</v>
      </c>
      <c r="E18" s="250" t="s">
        <v>331</v>
      </c>
      <c r="F18" s="251" t="s">
        <v>322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321</v>
      </c>
    </row>
    <row r="19" spans="1:41" ht="14.65" hidden="1" customHeight="1" x14ac:dyDescent="0.25">
      <c r="A19" s="272" t="str">
        <f t="shared" si="0"/>
        <v>КировскаяDDM MOS Sladkaay ZhiznTSL MOS Cheboksary</v>
      </c>
      <c r="B19" s="248" t="s">
        <v>25</v>
      </c>
      <c r="C19" s="249" t="s">
        <v>317</v>
      </c>
      <c r="D19" s="249" t="s">
        <v>318</v>
      </c>
      <c r="E19" s="250" t="s">
        <v>326</v>
      </c>
      <c r="F19" s="251" t="s">
        <v>320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328</v>
      </c>
    </row>
    <row r="20" spans="1:41" ht="14.65" hidden="1" customHeight="1" x14ac:dyDescent="0.25">
      <c r="A20" s="272" t="str">
        <f t="shared" si="0"/>
        <v>КировскаяDDM MOS Sladkaay ZhiznTSL MOS N.Novgorod</v>
      </c>
      <c r="B20" s="248" t="s">
        <v>25</v>
      </c>
      <c r="C20" s="249" t="s">
        <v>317</v>
      </c>
      <c r="D20" s="249" t="s">
        <v>318</v>
      </c>
      <c r="E20" s="250" t="s">
        <v>319</v>
      </c>
      <c r="F20" s="251" t="s">
        <v>320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hidden="1" customHeight="1" x14ac:dyDescent="0.25">
      <c r="A21" s="272" t="str">
        <f t="shared" si="0"/>
        <v>КировскаяDDM MOS Sladkaay ZhiznTSL MOS Cheboksary</v>
      </c>
      <c r="B21" s="248" t="s">
        <v>25</v>
      </c>
      <c r="C21" s="249" t="s">
        <v>317</v>
      </c>
      <c r="D21" s="249" t="s">
        <v>318</v>
      </c>
      <c r="E21" s="250" t="s">
        <v>326</v>
      </c>
      <c r="F21" s="251" t="s">
        <v>320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321</v>
      </c>
    </row>
    <row r="22" spans="1:41" ht="14.65" hidden="1" customHeight="1" x14ac:dyDescent="0.25">
      <c r="A22" s="272" t="str">
        <f t="shared" si="0"/>
        <v>МордовияASM MOS Food Trade+SorsoTSL MOS SPT Moscow Play Sorso</v>
      </c>
      <c r="B22" s="248" t="s">
        <v>27</v>
      </c>
      <c r="C22" s="249" t="s">
        <v>317</v>
      </c>
      <c r="D22" s="249" t="s">
        <v>323</v>
      </c>
      <c r="E22" s="272" t="s">
        <v>324</v>
      </c>
      <c r="F22" s="251" t="s">
        <v>325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hidden="1" customHeight="1" x14ac:dyDescent="0.25">
      <c r="A23" s="272" t="str">
        <f t="shared" si="0"/>
        <v>МордовияDDM MOS Sladkaay ZhiznTSL MOS Cheboksary</v>
      </c>
      <c r="B23" s="248" t="s">
        <v>27</v>
      </c>
      <c r="C23" s="249" t="s">
        <v>317</v>
      </c>
      <c r="D23" s="249" t="s">
        <v>318</v>
      </c>
      <c r="E23" s="250" t="s">
        <v>326</v>
      </c>
      <c r="F23" s="251" t="s">
        <v>320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321</v>
      </c>
    </row>
    <row r="24" spans="1:41" ht="14.65" hidden="1" customHeight="1" x14ac:dyDescent="0.25">
      <c r="A24" s="272" t="str">
        <f t="shared" si="0"/>
        <v>МордовияASM MOS Food Trade+SorsoTSL MOS SPT Moscow Play Sorso</v>
      </c>
      <c r="B24" s="248" t="s">
        <v>27</v>
      </c>
      <c r="C24" s="249" t="s">
        <v>317</v>
      </c>
      <c r="D24" s="249" t="s">
        <v>323</v>
      </c>
      <c r="E24" s="272" t="s">
        <v>324</v>
      </c>
      <c r="F24" s="251" t="s">
        <v>325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hidden="1" customHeight="1" x14ac:dyDescent="0.25">
      <c r="A25" s="272" t="str">
        <f t="shared" si="0"/>
        <v>МордовияDDM MOS Sladkaay ZhiznTSL MOS N.Novgorod</v>
      </c>
      <c r="B25" s="248" t="s">
        <v>27</v>
      </c>
      <c r="C25" s="249" t="s">
        <v>317</v>
      </c>
      <c r="D25" s="249" t="s">
        <v>318</v>
      </c>
      <c r="E25" s="250" t="s">
        <v>319</v>
      </c>
      <c r="F25" s="251" t="s">
        <v>320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hidden="1" customHeight="1" x14ac:dyDescent="0.25">
      <c r="A26" s="272" t="str">
        <f t="shared" si="0"/>
        <v>МордовияDDM MOS Sladkaay ZhiznTSL MOS Cheboksary</v>
      </c>
      <c r="B26" s="248" t="s">
        <v>27</v>
      </c>
      <c r="C26" s="249" t="s">
        <v>317</v>
      </c>
      <c r="D26" s="249" t="s">
        <v>318</v>
      </c>
      <c r="E26" s="250" t="s">
        <v>326</v>
      </c>
      <c r="F26" s="251" t="s">
        <v>320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hidden="1" customHeight="1" x14ac:dyDescent="0.25">
      <c r="A27" s="272" t="str">
        <f t="shared" si="0"/>
        <v>МоскваASM MOS Food Trade+SorsoTSL MOS SPT Moscow Play Sorso</v>
      </c>
      <c r="B27" s="248" t="s">
        <v>7</v>
      </c>
      <c r="C27" s="249" t="s">
        <v>317</v>
      </c>
      <c r="D27" s="249" t="s">
        <v>323</v>
      </c>
      <c r="E27" s="272" t="s">
        <v>324</v>
      </c>
      <c r="F27" s="251" t="s">
        <v>325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332</v>
      </c>
    </row>
    <row r="28" spans="1:41" ht="14.65" hidden="1" customHeight="1" x14ac:dyDescent="0.25">
      <c r="A28" s="272" t="str">
        <f t="shared" si="0"/>
        <v>МоскваASM MOS Food Trade+SorsoTSL MOS SPT Moscow Play Sorso</v>
      </c>
      <c r="B28" s="248" t="s">
        <v>7</v>
      </c>
      <c r="C28" s="249" t="s">
        <v>317</v>
      </c>
      <c r="D28" s="249" t="s">
        <v>323</v>
      </c>
      <c r="E28" s="272" t="s">
        <v>324</v>
      </c>
      <c r="F28" s="251" t="s">
        <v>325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hidden="1" customHeight="1" x14ac:dyDescent="0.25">
      <c r="A29" s="272" t="str">
        <f t="shared" si="0"/>
        <v>МоскваASM MOS Food Trade+SorsoTSL MOS Grocery Mos Obl AS-Market</v>
      </c>
      <c r="B29" s="248" t="s">
        <v>7</v>
      </c>
      <c r="C29" s="249" t="s">
        <v>317</v>
      </c>
      <c r="D29" s="249" t="s">
        <v>323</v>
      </c>
      <c r="E29" s="250" t="s">
        <v>329</v>
      </c>
      <c r="F29" s="251" t="s">
        <v>330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65" hidden="1" customHeight="1" x14ac:dyDescent="0.25">
      <c r="A30" s="272" t="str">
        <f t="shared" si="0"/>
        <v>МоскваASM MOS Food Trade+SorsoTSL MOS SPT Moscow Play Sorso</v>
      </c>
      <c r="B30" s="248" t="s">
        <v>7</v>
      </c>
      <c r="C30" s="249" t="s">
        <v>317</v>
      </c>
      <c r="D30" s="249" t="s">
        <v>323</v>
      </c>
      <c r="E30" s="272" t="s">
        <v>324</v>
      </c>
      <c r="F30" s="251" t="s">
        <v>325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hidden="1" customHeight="1" x14ac:dyDescent="0.25">
      <c r="A31" s="272" t="str">
        <f t="shared" si="0"/>
        <v>МоскваASM MOS Food Trade+SorsoTSL MOS SPT Moscow Play Sorso</v>
      </c>
      <c r="B31" s="248" t="s">
        <v>7</v>
      </c>
      <c r="C31" s="249" t="s">
        <v>317</v>
      </c>
      <c r="D31" s="249" t="s">
        <v>323</v>
      </c>
      <c r="E31" s="272" t="s">
        <v>324</v>
      </c>
      <c r="F31" s="251" t="s">
        <v>325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hidden="1" customHeight="1" x14ac:dyDescent="0.25">
      <c r="A32" s="272" t="str">
        <f t="shared" si="0"/>
        <v>МоскваASM MOS Food Trade+SorsoTSL MOS SPT Moscow Play Sorso</v>
      </c>
      <c r="B32" s="248" t="s">
        <v>7</v>
      </c>
      <c r="C32" s="249" t="s">
        <v>317</v>
      </c>
      <c r="D32" s="249" t="s">
        <v>323</v>
      </c>
      <c r="E32" s="250" t="s">
        <v>324</v>
      </c>
      <c r="F32" s="251" t="s">
        <v>322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hidden="1" customHeight="1" x14ac:dyDescent="0.25">
      <c r="A33" s="272" t="str">
        <f t="shared" si="0"/>
        <v>МоскваASM MOS Food Trade+SorsoTSL MOS SPT Moscow Play Sorso</v>
      </c>
      <c r="B33" s="248" t="s">
        <v>7</v>
      </c>
      <c r="C33" s="249" t="s">
        <v>317</v>
      </c>
      <c r="D33" s="249" t="s">
        <v>323</v>
      </c>
      <c r="E33" s="272" t="s">
        <v>324</v>
      </c>
      <c r="F33" s="251" t="s">
        <v>325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hidden="1" customHeight="1" x14ac:dyDescent="0.25">
      <c r="A34" s="272" t="str">
        <f t="shared" si="0"/>
        <v>МоскваASM MOS Food Trade+SorsoTSL MOS Grocery Mos Obl AS-Market</v>
      </c>
      <c r="B34" s="248" t="s">
        <v>7</v>
      </c>
      <c r="C34" s="249" t="s">
        <v>317</v>
      </c>
      <c r="D34" s="249" t="s">
        <v>323</v>
      </c>
      <c r="E34" s="250" t="s">
        <v>329</v>
      </c>
      <c r="F34" s="251" t="s">
        <v>330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65" hidden="1" customHeight="1" x14ac:dyDescent="0.25">
      <c r="A35" s="272" t="str">
        <f t="shared" si="0"/>
        <v>МоскваASM MOS Food Trade+SorsoTSL MOS Grocery Mos Obl AS-Market</v>
      </c>
      <c r="B35" s="248" t="s">
        <v>7</v>
      </c>
      <c r="C35" s="249" t="s">
        <v>317</v>
      </c>
      <c r="D35" s="249" t="s">
        <v>323</v>
      </c>
      <c r="E35" s="250" t="s">
        <v>329</v>
      </c>
      <c r="F35" s="251" t="s">
        <v>330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65" hidden="1" customHeight="1" x14ac:dyDescent="0.25">
      <c r="A36" s="272" t="str">
        <f t="shared" si="0"/>
        <v>МоскваASM MOS Food Trade+SorsoTSL MOS SPT Moscow Play Sorso</v>
      </c>
      <c r="B36" s="248" t="s">
        <v>7</v>
      </c>
      <c r="C36" s="249" t="s">
        <v>317</v>
      </c>
      <c r="D36" s="249" t="s">
        <v>323</v>
      </c>
      <c r="E36" s="272" t="s">
        <v>324</v>
      </c>
      <c r="F36" s="251" t="s">
        <v>325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hidden="1" customHeight="1" x14ac:dyDescent="0.25">
      <c r="A37" s="272" t="str">
        <f t="shared" si="0"/>
        <v>МоскваASM MOS Food Trade+SorsoTSL MOS SPT Moscow Play Sorso</v>
      </c>
      <c r="B37" s="248" t="s">
        <v>7</v>
      </c>
      <c r="C37" s="249" t="s">
        <v>317</v>
      </c>
      <c r="D37" s="249" t="s">
        <v>323</v>
      </c>
      <c r="E37" s="272" t="s">
        <v>324</v>
      </c>
      <c r="F37" s="251" t="s">
        <v>325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hidden="1" customHeight="1" x14ac:dyDescent="0.25">
      <c r="A38" s="272" t="str">
        <f t="shared" si="0"/>
        <v>МоскваASM MOS Food Trade+SorsoTSL MOS SPT Moscow Play Sorso</v>
      </c>
      <c r="B38" s="248" t="s">
        <v>7</v>
      </c>
      <c r="C38" s="249" t="s">
        <v>317</v>
      </c>
      <c r="D38" s="249" t="s">
        <v>323</v>
      </c>
      <c r="E38" s="272" t="s">
        <v>324</v>
      </c>
      <c r="F38" s="251" t="s">
        <v>325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hidden="1" customHeight="1" x14ac:dyDescent="0.25">
      <c r="A39" s="272" t="str">
        <f t="shared" si="0"/>
        <v>МоскваDDM MOS Sladkaay ZhiznTSL MOS  Moscow 2 Sladkaya Zhizn</v>
      </c>
      <c r="B39" s="248" t="s">
        <v>7</v>
      </c>
      <c r="C39" s="249" t="s">
        <v>317</v>
      </c>
      <c r="D39" s="249" t="s">
        <v>318</v>
      </c>
      <c r="E39" s="250" t="s">
        <v>327</v>
      </c>
      <c r="F39" s="251" t="s">
        <v>322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321</v>
      </c>
    </row>
    <row r="40" spans="1:41" ht="14.65" hidden="1" customHeight="1" x14ac:dyDescent="0.25">
      <c r="A40" s="272" t="str">
        <f t="shared" si="0"/>
        <v>МоскваASM MOS Food Trade+SorsoTSL MOS SPT Moscow Play Sorso</v>
      </c>
      <c r="B40" s="248" t="s">
        <v>7</v>
      </c>
      <c r="C40" s="249" t="s">
        <v>317</v>
      </c>
      <c r="D40" s="249" t="s">
        <v>323</v>
      </c>
      <c r="E40" s="272" t="s">
        <v>324</v>
      </c>
      <c r="F40" s="251" t="s">
        <v>325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hidden="1" customHeight="1" x14ac:dyDescent="0.25">
      <c r="A41" s="272" t="str">
        <f t="shared" si="0"/>
        <v>МоскваASM MOS Food Trade+SorsoTSL MOS Grocery Mos Obl AS-Market</v>
      </c>
      <c r="B41" s="248" t="s">
        <v>7</v>
      </c>
      <c r="C41" s="249" t="s">
        <v>317</v>
      </c>
      <c r="D41" s="249" t="s">
        <v>323</v>
      </c>
      <c r="E41" s="250" t="s">
        <v>329</v>
      </c>
      <c r="F41" s="251" t="s">
        <v>330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65" hidden="1" customHeight="1" x14ac:dyDescent="0.25">
      <c r="A42" s="272" t="str">
        <f t="shared" si="0"/>
        <v>МоскваDDM MOS Sladkaay ZhiznTSL MOS  Moscow 2 Sladkaya Zhizn</v>
      </c>
      <c r="B42" s="248" t="s">
        <v>7</v>
      </c>
      <c r="C42" s="249" t="s">
        <v>317</v>
      </c>
      <c r="D42" s="249" t="s">
        <v>318</v>
      </c>
      <c r="E42" s="250" t="s">
        <v>327</v>
      </c>
      <c r="F42" s="251" t="s">
        <v>322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321</v>
      </c>
    </row>
    <row r="43" spans="1:41" ht="14.65" hidden="1" customHeight="1" x14ac:dyDescent="0.25">
      <c r="A43" s="272" t="str">
        <f t="shared" si="0"/>
        <v>МоскваDDM MOS Sladkaay ZhiznTSL MOS  Moscow 1 Sladkaya Zhizn</v>
      </c>
      <c r="B43" s="248" t="s">
        <v>7</v>
      </c>
      <c r="C43" s="249" t="s">
        <v>317</v>
      </c>
      <c r="D43" s="249" t="s">
        <v>318</v>
      </c>
      <c r="E43" s="250" t="s">
        <v>331</v>
      </c>
      <c r="F43" s="251" t="s">
        <v>322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321</v>
      </c>
    </row>
    <row r="44" spans="1:41" ht="14.65" hidden="1" customHeight="1" x14ac:dyDescent="0.25">
      <c r="A44" s="272" t="str">
        <f t="shared" si="0"/>
        <v>МоскваASM MOS Food Trade+SorsoTSL MOS SPT Moscow Play Sorso</v>
      </c>
      <c r="B44" s="248" t="s">
        <v>7</v>
      </c>
      <c r="C44" s="249" t="s">
        <v>317</v>
      </c>
      <c r="D44" s="249" t="s">
        <v>323</v>
      </c>
      <c r="E44" s="272" t="s">
        <v>324</v>
      </c>
      <c r="F44" s="251" t="s">
        <v>325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hidden="1" customHeight="1" x14ac:dyDescent="0.25">
      <c r="A45" s="272" t="str">
        <f t="shared" si="0"/>
        <v>МоскваASM MOS Food Trade+SorsoTSL MOS SPT Moscow Play Sorso</v>
      </c>
      <c r="B45" s="248" t="s">
        <v>7</v>
      </c>
      <c r="C45" s="249" t="s">
        <v>317</v>
      </c>
      <c r="D45" s="249" t="s">
        <v>323</v>
      </c>
      <c r="E45" s="272" t="s">
        <v>324</v>
      </c>
      <c r="F45" s="251" t="s">
        <v>325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hidden="1" customHeight="1" x14ac:dyDescent="0.25">
      <c r="A46" s="272" t="str">
        <f t="shared" si="0"/>
        <v>МоскваASM MOS Food Trade+SorsoTSL MOS Grocery Mos Obl AS-Market</v>
      </c>
      <c r="B46" s="248" t="s">
        <v>7</v>
      </c>
      <c r="C46" s="249" t="s">
        <v>317</v>
      </c>
      <c r="D46" s="249" t="s">
        <v>323</v>
      </c>
      <c r="E46" s="250" t="s">
        <v>329</v>
      </c>
      <c r="F46" s="251" t="s">
        <v>330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65" hidden="1" customHeight="1" x14ac:dyDescent="0.25">
      <c r="A47" s="272" t="str">
        <f t="shared" si="0"/>
        <v>МоскваASM MOS Food Trade+SorsoTSL MOS SPT Moscow Play Sorso</v>
      </c>
      <c r="B47" s="248" t="s">
        <v>7</v>
      </c>
      <c r="C47" s="249" t="s">
        <v>317</v>
      </c>
      <c r="D47" s="249" t="s">
        <v>323</v>
      </c>
      <c r="E47" s="272" t="s">
        <v>324</v>
      </c>
      <c r="F47" s="251" t="s">
        <v>325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hidden="1" customHeight="1" x14ac:dyDescent="0.25">
      <c r="A48" s="272" t="str">
        <f t="shared" si="0"/>
        <v>МосковскаяASM MOS Food Trade+SorsoTSL MOS SPT Moscow Play Sorso</v>
      </c>
      <c r="B48" s="248" t="s">
        <v>333</v>
      </c>
      <c r="C48" s="249" t="s">
        <v>317</v>
      </c>
      <c r="D48" s="249" t="s">
        <v>323</v>
      </c>
      <c r="E48" s="272" t="s">
        <v>324</v>
      </c>
      <c r="F48" s="251" t="s">
        <v>325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332</v>
      </c>
    </row>
    <row r="49" spans="1:42" ht="14.65" hidden="1" customHeight="1" x14ac:dyDescent="0.25">
      <c r="A49" s="272" t="str">
        <f t="shared" si="0"/>
        <v>МосковскаяASM MOS Food Trade+SorsoTSL MOS Grocery Mos Obl AS-Market</v>
      </c>
      <c r="B49" s="248" t="s">
        <v>333</v>
      </c>
      <c r="C49" s="249" t="s">
        <v>317</v>
      </c>
      <c r="D49" s="249" t="s">
        <v>323</v>
      </c>
      <c r="E49" s="250" t="s">
        <v>329</v>
      </c>
      <c r="F49" s="251" t="s">
        <v>322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65" hidden="1" customHeight="1" x14ac:dyDescent="0.25">
      <c r="A50" s="272" t="str">
        <f t="shared" si="0"/>
        <v>МосковскаяASM MOS Food Trade+SorsoTSL MOS SPT Moscow Play Sorso</v>
      </c>
      <c r="B50" s="248" t="s">
        <v>333</v>
      </c>
      <c r="C50" s="249" t="s">
        <v>317</v>
      </c>
      <c r="D50" s="249" t="s">
        <v>323</v>
      </c>
      <c r="E50" s="272" t="s">
        <v>324</v>
      </c>
      <c r="F50" s="251" t="s">
        <v>325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hidden="1" customHeight="1" x14ac:dyDescent="0.25">
      <c r="A51" s="272" t="str">
        <f t="shared" si="0"/>
        <v>МосковскаяASM MOS Food Trade+SorsoTSL MOS Grocery Mos Obl AS-Market</v>
      </c>
      <c r="B51" s="248" t="s">
        <v>333</v>
      </c>
      <c r="C51" s="249" t="s">
        <v>317</v>
      </c>
      <c r="D51" s="249" t="s">
        <v>323</v>
      </c>
      <c r="E51" s="250" t="s">
        <v>329</v>
      </c>
      <c r="F51" s="251" t="s">
        <v>330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334</v>
      </c>
      <c r="AP51" s="272" t="s">
        <v>335</v>
      </c>
    </row>
    <row r="52" spans="1:42" ht="14.65" hidden="1" customHeight="1" x14ac:dyDescent="0.25">
      <c r="A52" s="272" t="str">
        <f t="shared" si="0"/>
        <v>МосковскаяASM MOS Food Trade+SorsoTSL MOS SPT Moscow Play Sorso</v>
      </c>
      <c r="B52" s="248" t="s">
        <v>333</v>
      </c>
      <c r="C52" s="249" t="s">
        <v>317</v>
      </c>
      <c r="D52" s="249" t="s">
        <v>323</v>
      </c>
      <c r="E52" s="272" t="s">
        <v>324</v>
      </c>
      <c r="F52" s="251" t="s">
        <v>325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hidden="1" customHeight="1" x14ac:dyDescent="0.25">
      <c r="A53" s="272" t="str">
        <f t="shared" si="0"/>
        <v>МосковскаяDDM MOS Sladkaay ZhiznTSL MOS  Moscow 1 Sladkaya Zhizn</v>
      </c>
      <c r="B53" s="248" t="s">
        <v>333</v>
      </c>
      <c r="C53" s="249" t="s">
        <v>317</v>
      </c>
      <c r="D53" s="284" t="s">
        <v>318</v>
      </c>
      <c r="E53" s="250" t="s">
        <v>331</v>
      </c>
      <c r="F53" s="251" t="s">
        <v>322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321</v>
      </c>
    </row>
    <row r="54" spans="1:42" ht="14.65" hidden="1" customHeight="1" x14ac:dyDescent="0.25">
      <c r="A54" s="272" t="str">
        <f t="shared" si="0"/>
        <v>МосковскаяASM MOS Food Trade+SorsoTSL MOS SPT Moscow Play Sorso</v>
      </c>
      <c r="B54" s="248" t="s">
        <v>333</v>
      </c>
      <c r="C54" s="249" t="s">
        <v>317</v>
      </c>
      <c r="D54" s="249" t="s">
        <v>323</v>
      </c>
      <c r="E54" s="272" t="s">
        <v>324</v>
      </c>
      <c r="F54" s="251" t="s">
        <v>325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hidden="1" customHeight="1" x14ac:dyDescent="0.25">
      <c r="A55" s="272" t="str">
        <f t="shared" si="0"/>
        <v>МосковскаяASM MOS Food Trade+SorsoTSL MOS SPT Moscow Play Sorso</v>
      </c>
      <c r="B55" s="248" t="s">
        <v>333</v>
      </c>
      <c r="C55" s="249" t="s">
        <v>317</v>
      </c>
      <c r="D55" s="249" t="s">
        <v>323</v>
      </c>
      <c r="E55" s="272" t="s">
        <v>324</v>
      </c>
      <c r="F55" s="251" t="s">
        <v>325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hidden="1" customHeight="1" x14ac:dyDescent="0.25">
      <c r="A56" s="272" t="str">
        <f t="shared" si="0"/>
        <v>МосковскаяASM MOS Food Trade+SorsoTSL MOS SPT Moscow Play Sorso</v>
      </c>
      <c r="B56" s="248" t="s">
        <v>333</v>
      </c>
      <c r="C56" s="249" t="s">
        <v>317</v>
      </c>
      <c r="D56" s="249" t="s">
        <v>323</v>
      </c>
      <c r="E56" s="250" t="s">
        <v>324</v>
      </c>
      <c r="F56" s="251" t="s">
        <v>322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hidden="1" customHeight="1" x14ac:dyDescent="0.25">
      <c r="A57" s="272" t="str">
        <f t="shared" si="0"/>
        <v>МосковскаяASM MOS Food Trade+SorsoTSL MOS SPT Moscow Play Sorso</v>
      </c>
      <c r="B57" s="248" t="s">
        <v>333</v>
      </c>
      <c r="C57" s="249" t="s">
        <v>317</v>
      </c>
      <c r="D57" s="249" t="s">
        <v>323</v>
      </c>
      <c r="E57" s="272" t="s">
        <v>324</v>
      </c>
      <c r="F57" s="251" t="s">
        <v>325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hidden="1" customHeight="1" x14ac:dyDescent="0.25">
      <c r="A58" s="272" t="str">
        <f t="shared" si="0"/>
        <v>МосковскаяASM MOS Food Trade+SorsoTSL MOS Grocery Mos Obl AS-Market</v>
      </c>
      <c r="B58" s="248" t="s">
        <v>333</v>
      </c>
      <c r="C58" s="249" t="s">
        <v>317</v>
      </c>
      <c r="D58" s="249" t="s">
        <v>323</v>
      </c>
      <c r="E58" s="250" t="s">
        <v>329</v>
      </c>
      <c r="F58" s="251" t="s">
        <v>330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65" hidden="1" customHeight="1" x14ac:dyDescent="0.25">
      <c r="A59" s="272" t="str">
        <f t="shared" si="0"/>
        <v>МосковскаяASM MOS Food Trade+SorsoTSL MOS Grocery Mos Obl AS-Market</v>
      </c>
      <c r="B59" s="248" t="s">
        <v>333</v>
      </c>
      <c r="C59" s="249" t="s">
        <v>317</v>
      </c>
      <c r="D59" s="249" t="s">
        <v>323</v>
      </c>
      <c r="E59" s="250" t="s">
        <v>329</v>
      </c>
      <c r="F59" s="251" t="s">
        <v>330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65" hidden="1" customHeight="1" x14ac:dyDescent="0.25">
      <c r="A60" s="272" t="str">
        <f t="shared" si="0"/>
        <v>МосковскаяASM MOS Food Trade+SorsoTSL MOS SPT Moscow Play Sorso</v>
      </c>
      <c r="B60" s="248" t="s">
        <v>333</v>
      </c>
      <c r="C60" s="249" t="s">
        <v>317</v>
      </c>
      <c r="D60" s="249" t="s">
        <v>323</v>
      </c>
      <c r="E60" s="272" t="s">
        <v>324</v>
      </c>
      <c r="F60" s="251" t="s">
        <v>325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hidden="1" customHeight="1" x14ac:dyDescent="0.25">
      <c r="A61" s="272" t="str">
        <f t="shared" si="0"/>
        <v>МосковскаяASM MOS Food Trade+SorsoTSL MOS SPT Moscow Play Sorso</v>
      </c>
      <c r="B61" s="248" t="s">
        <v>333</v>
      </c>
      <c r="C61" s="249" t="s">
        <v>317</v>
      </c>
      <c r="D61" s="249" t="s">
        <v>323</v>
      </c>
      <c r="E61" s="272" t="s">
        <v>324</v>
      </c>
      <c r="F61" s="251" t="s">
        <v>325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hidden="1" customHeight="1" x14ac:dyDescent="0.25">
      <c r="A62" s="272" t="str">
        <f t="shared" si="0"/>
        <v>МосковскаяASM MOS Food Trade+SorsoTSL MOS SPT Moscow Play Sorso</v>
      </c>
      <c r="B62" s="248" t="s">
        <v>333</v>
      </c>
      <c r="C62" s="249" t="s">
        <v>317</v>
      </c>
      <c r="D62" s="249" t="s">
        <v>323</v>
      </c>
      <c r="E62" s="272" t="s">
        <v>324</v>
      </c>
      <c r="F62" s="251" t="s">
        <v>325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hidden="1" customHeight="1" x14ac:dyDescent="0.25">
      <c r="A63" s="272" t="str">
        <f t="shared" si="0"/>
        <v>МосковскаяDDM MOS Sladkaay ZhiznTSL MOS  Moscow 1 Sladkaya Zhizn</v>
      </c>
      <c r="B63" s="248" t="s">
        <v>333</v>
      </c>
      <c r="C63" s="249" t="s">
        <v>317</v>
      </c>
      <c r="D63" s="249" t="s">
        <v>318</v>
      </c>
      <c r="E63" s="250" t="s">
        <v>331</v>
      </c>
      <c r="F63" s="251" t="s">
        <v>322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321</v>
      </c>
    </row>
    <row r="64" spans="1:42" ht="14.65" hidden="1" customHeight="1" x14ac:dyDescent="0.25">
      <c r="A64" s="272" t="str">
        <f t="shared" si="0"/>
        <v>МосковскаяASM MOS Food Trade+SorsoTSL MOS SPT Moscow Play Sorso</v>
      </c>
      <c r="B64" s="248" t="s">
        <v>333</v>
      </c>
      <c r="C64" s="249" t="s">
        <v>317</v>
      </c>
      <c r="D64" s="249" t="s">
        <v>323</v>
      </c>
      <c r="E64" s="272" t="s">
        <v>324</v>
      </c>
      <c r="F64" s="251" t="s">
        <v>325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hidden="1" customHeight="1" x14ac:dyDescent="0.25">
      <c r="A65" s="272" t="str">
        <f t="shared" si="0"/>
        <v>МосковскаяASM MOS Food Trade+SorsoTSL MOS Grocery Mos Obl AS-Market</v>
      </c>
      <c r="B65" s="248" t="s">
        <v>333</v>
      </c>
      <c r="C65" s="249" t="s">
        <v>317</v>
      </c>
      <c r="D65" s="249" t="s">
        <v>323</v>
      </c>
      <c r="E65" s="250" t="s">
        <v>329</v>
      </c>
      <c r="F65" s="251" t="s">
        <v>330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65" hidden="1" customHeight="1" x14ac:dyDescent="0.25">
      <c r="A66" s="272" t="str">
        <f t="shared" si="0"/>
        <v>МосковскаяASM MOS Food Trade+SorsoTSL MOS SPT Moscow Play Sorso</v>
      </c>
      <c r="B66" s="248" t="s">
        <v>333</v>
      </c>
      <c r="C66" s="249" t="s">
        <v>317</v>
      </c>
      <c r="D66" s="249" t="s">
        <v>323</v>
      </c>
      <c r="E66" s="272" t="s">
        <v>324</v>
      </c>
      <c r="F66" s="251" t="s">
        <v>325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hidden="1" customHeight="1" x14ac:dyDescent="0.25">
      <c r="A67" s="272" t="str">
        <f t="shared" si="0"/>
        <v>МосковскаяDDM MOS Sladkaay ZhiznTSL MOS  Moscow 2 Sladkaya Zhizn</v>
      </c>
      <c r="B67" s="248" t="s">
        <v>333</v>
      </c>
      <c r="C67" s="249" t="s">
        <v>317</v>
      </c>
      <c r="D67" s="249" t="s">
        <v>318</v>
      </c>
      <c r="E67" s="250" t="s">
        <v>327</v>
      </c>
      <c r="F67" s="251" t="s">
        <v>322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321</v>
      </c>
    </row>
    <row r="68" spans="1:41" ht="14.65" hidden="1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333</v>
      </c>
      <c r="C68" s="249" t="s">
        <v>317</v>
      </c>
      <c r="D68" s="249" t="s">
        <v>323</v>
      </c>
      <c r="E68" s="272" t="s">
        <v>324</v>
      </c>
      <c r="F68" s="251" t="s">
        <v>325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hidden="1" customHeight="1" x14ac:dyDescent="0.25">
      <c r="A69" s="272" t="str">
        <f t="shared" si="9"/>
        <v>МосковскаяASM MOS Food Trade+SorsoTSL MOS Grocery Mos Obl AS-Market</v>
      </c>
      <c r="B69" s="248" t="s">
        <v>333</v>
      </c>
      <c r="C69" s="249" t="s">
        <v>317</v>
      </c>
      <c r="D69" s="249" t="s">
        <v>323</v>
      </c>
      <c r="E69" s="250" t="s">
        <v>329</v>
      </c>
      <c r="F69" s="251" t="s">
        <v>330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65" hidden="1" customHeight="1" x14ac:dyDescent="0.25">
      <c r="A70" s="272" t="str">
        <f t="shared" si="9"/>
        <v>МосковскаяDDM MOS Sladkaay ZhiznTSL MOS Cheboksary</v>
      </c>
      <c r="B70" s="248" t="s">
        <v>333</v>
      </c>
      <c r="C70" s="249" t="s">
        <v>317</v>
      </c>
      <c r="D70" s="249" t="s">
        <v>318</v>
      </c>
      <c r="E70" s="250" t="s">
        <v>326</v>
      </c>
      <c r="F70" s="251" t="s">
        <v>320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hidden="1" customHeight="1" x14ac:dyDescent="0.25">
      <c r="A71" s="272" t="str">
        <f t="shared" si="9"/>
        <v>МосковскаяASM MOS Food Trade+SorsoTSL MOS SPT Moscow Play Sorso</v>
      </c>
      <c r="B71" s="248" t="s">
        <v>333</v>
      </c>
      <c r="C71" s="249" t="s">
        <v>317</v>
      </c>
      <c r="D71" s="249" t="s">
        <v>323</v>
      </c>
      <c r="E71" s="272" t="s">
        <v>324</v>
      </c>
      <c r="F71" s="251" t="s">
        <v>325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hidden="1" customHeight="1" x14ac:dyDescent="0.25">
      <c r="A72" s="272" t="str">
        <f t="shared" si="9"/>
        <v>МосковскаяDDM MOS Sladkaay ZhiznTSL MOS N.Novgorod</v>
      </c>
      <c r="B72" s="248" t="s">
        <v>333</v>
      </c>
      <c r="C72" s="249" t="s">
        <v>317</v>
      </c>
      <c r="D72" s="249" t="s">
        <v>318</v>
      </c>
      <c r="E72" s="250" t="s">
        <v>319</v>
      </c>
      <c r="F72" s="251" t="s">
        <v>320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hidden="1" customHeight="1" x14ac:dyDescent="0.25">
      <c r="A73" s="272" t="str">
        <f t="shared" si="9"/>
        <v>МосковскаяASM MOS Food Trade+SorsoTSL MOS SPT Moscow Play Sorso</v>
      </c>
      <c r="B73" s="248" t="s">
        <v>333</v>
      </c>
      <c r="C73" s="249" t="s">
        <v>317</v>
      </c>
      <c r="D73" s="249" t="s">
        <v>323</v>
      </c>
      <c r="E73" s="272" t="s">
        <v>324</v>
      </c>
      <c r="F73" s="251" t="s">
        <v>325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hidden="1" customHeight="1" x14ac:dyDescent="0.25">
      <c r="A74" s="272" t="str">
        <f t="shared" si="9"/>
        <v>МосковскаяASM MOS Food Trade+SorsoTSL MOS Grocery Mos Obl AS-Market</v>
      </c>
      <c r="B74" s="248" t="s">
        <v>333</v>
      </c>
      <c r="C74" s="249" t="s">
        <v>317</v>
      </c>
      <c r="D74" s="249" t="s">
        <v>323</v>
      </c>
      <c r="E74" s="250" t="s">
        <v>329</v>
      </c>
      <c r="F74" s="251" t="s">
        <v>330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65" hidden="1" customHeight="1" x14ac:dyDescent="0.25">
      <c r="A75" s="272" t="str">
        <f t="shared" si="9"/>
        <v>МосковскаяDDM MOS Sladkaay ZhiznTSL MOS  Moscow 2 Sladkaya Zhizn</v>
      </c>
      <c r="B75" s="248" t="s">
        <v>333</v>
      </c>
      <c r="C75" s="249" t="s">
        <v>317</v>
      </c>
      <c r="D75" s="249" t="s">
        <v>318</v>
      </c>
      <c r="E75" s="250" t="s">
        <v>327</v>
      </c>
      <c r="F75" s="251" t="s">
        <v>322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321</v>
      </c>
    </row>
    <row r="76" spans="1:41" ht="14.65" hidden="1" customHeight="1" x14ac:dyDescent="0.25">
      <c r="A76" s="272" t="str">
        <f t="shared" si="9"/>
        <v>МосковскаяDDM MOS Sladkaay ZhiznTSL MOS  Moscow 1 Sladkaya Zhizn</v>
      </c>
      <c r="B76" s="248" t="s">
        <v>333</v>
      </c>
      <c r="C76" s="249" t="s">
        <v>317</v>
      </c>
      <c r="D76" s="249" t="s">
        <v>318</v>
      </c>
      <c r="E76" s="250" t="s">
        <v>331</v>
      </c>
      <c r="F76" s="251" t="s">
        <v>322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321</v>
      </c>
    </row>
    <row r="77" spans="1:41" ht="14.65" hidden="1" customHeight="1" x14ac:dyDescent="0.25">
      <c r="A77" s="272" t="str">
        <f t="shared" si="9"/>
        <v>МосковскаяDDM MOS Sladkaay ZhiznTSL MOS N.Novgorod</v>
      </c>
      <c r="B77" s="248" t="s">
        <v>333</v>
      </c>
      <c r="C77" s="249" t="s">
        <v>317</v>
      </c>
      <c r="D77" s="249" t="s">
        <v>318</v>
      </c>
      <c r="E77" s="250" t="s">
        <v>319</v>
      </c>
      <c r="F77" s="251" t="s">
        <v>320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65" hidden="1" customHeight="1" x14ac:dyDescent="0.25">
      <c r="A78" s="272" t="str">
        <f t="shared" si="9"/>
        <v>МосковскаяDDM MOS Sladkaay ZhiznTSL MOS Cheboksary</v>
      </c>
      <c r="B78" s="248" t="s">
        <v>333</v>
      </c>
      <c r="C78" s="249" t="s">
        <v>317</v>
      </c>
      <c r="D78" s="249" t="s">
        <v>318</v>
      </c>
      <c r="E78" s="250" t="s">
        <v>326</v>
      </c>
      <c r="F78" s="251" t="s">
        <v>320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hidden="1" customHeight="1" x14ac:dyDescent="0.25">
      <c r="A79" s="272" t="str">
        <f t="shared" si="9"/>
        <v>МосковскаяASM MOS Food Trade+SorsoTSL MOS SPT Moscow Play Sorso</v>
      </c>
      <c r="B79" s="248" t="s">
        <v>333</v>
      </c>
      <c r="C79" s="249" t="s">
        <v>317</v>
      </c>
      <c r="D79" s="249" t="s">
        <v>323</v>
      </c>
      <c r="E79" s="272" t="s">
        <v>324</v>
      </c>
      <c r="F79" s="251" t="s">
        <v>325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hidden="1" customHeight="1" x14ac:dyDescent="0.25">
      <c r="A80" s="272" t="str">
        <f t="shared" si="9"/>
        <v>МосковскаяASM MOS Food Trade+SorsoTSL MOS SPT Moscow Play Sorso</v>
      </c>
      <c r="B80" s="248" t="s">
        <v>333</v>
      </c>
      <c r="C80" s="249" t="s">
        <v>317</v>
      </c>
      <c r="D80" s="249" t="s">
        <v>323</v>
      </c>
      <c r="E80" s="272" t="s">
        <v>324</v>
      </c>
      <c r="F80" s="251" t="s">
        <v>325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hidden="1" customHeight="1" x14ac:dyDescent="0.25">
      <c r="A81" s="272" t="str">
        <f t="shared" si="9"/>
        <v>МосковскаяDDM MOS Sladkaay ZhiznTSL MOS  Moscow 2 Sladkaya Zhizn</v>
      </c>
      <c r="B81" s="248" t="s">
        <v>333</v>
      </c>
      <c r="C81" s="249" t="s">
        <v>317</v>
      </c>
      <c r="D81" s="284" t="s">
        <v>318</v>
      </c>
      <c r="E81" s="250" t="s">
        <v>327</v>
      </c>
      <c r="F81" s="251" t="s">
        <v>322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321</v>
      </c>
    </row>
    <row r="82" spans="1:41" ht="14.65" hidden="1" customHeight="1" x14ac:dyDescent="0.25">
      <c r="A82" s="272" t="str">
        <f t="shared" si="9"/>
        <v>МосковскаяASM MOS Food Trade+SorsoTSL MOS SPT Moscow Play Sorso</v>
      </c>
      <c r="B82" s="248" t="s">
        <v>333</v>
      </c>
      <c r="C82" s="249" t="s">
        <v>317</v>
      </c>
      <c r="D82" s="249" t="s">
        <v>323</v>
      </c>
      <c r="E82" s="272" t="s">
        <v>324</v>
      </c>
      <c r="F82" s="251" t="s">
        <v>325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hidden="1" customHeight="1" x14ac:dyDescent="0.25">
      <c r="A83" s="272" t="str">
        <f t="shared" si="9"/>
        <v>МосковскаяASM MOS Food Trade+SorsoTSL MOS SPT Moscow Play Sorso</v>
      </c>
      <c r="B83" s="248" t="s">
        <v>333</v>
      </c>
      <c r="C83" s="249" t="s">
        <v>317</v>
      </c>
      <c r="D83" s="249" t="s">
        <v>323</v>
      </c>
      <c r="E83" s="272" t="s">
        <v>324</v>
      </c>
      <c r="F83" s="251" t="s">
        <v>325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hidden="1" customHeight="1" x14ac:dyDescent="0.25">
      <c r="A84" s="272" t="str">
        <f t="shared" si="9"/>
        <v>МосковскаяASM MOS Food Trade+SorsoTSL MOS SPT Moscow Play Sorso</v>
      </c>
      <c r="B84" s="248" t="s">
        <v>333</v>
      </c>
      <c r="C84" s="249" t="s">
        <v>317</v>
      </c>
      <c r="D84" s="249" t="s">
        <v>323</v>
      </c>
      <c r="E84" s="272" t="s">
        <v>324</v>
      </c>
      <c r="F84" s="251" t="s">
        <v>325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hidden="1" customHeight="1" x14ac:dyDescent="0.25">
      <c r="A85" s="272" t="str">
        <f t="shared" si="9"/>
        <v>МосковскаяASM MOS Food Trade+SorsoTSL MOS SPT Moscow Play Sorso</v>
      </c>
      <c r="B85" s="248" t="s">
        <v>333</v>
      </c>
      <c r="C85" s="249" t="s">
        <v>317</v>
      </c>
      <c r="D85" s="249" t="s">
        <v>323</v>
      </c>
      <c r="E85" s="272" t="s">
        <v>324</v>
      </c>
      <c r="F85" s="251" t="s">
        <v>325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hidden="1" customHeight="1" x14ac:dyDescent="0.25">
      <c r="A86" s="272" t="str">
        <f t="shared" si="9"/>
        <v>НижегородскаяASM MOS Food Trade+SorsoTSL MOS SPT Moscow Play Sorso</v>
      </c>
      <c r="B86" s="248" t="s">
        <v>21</v>
      </c>
      <c r="C86" s="249" t="s">
        <v>317</v>
      </c>
      <c r="D86" s="249" t="s">
        <v>323</v>
      </c>
      <c r="E86" s="272" t="s">
        <v>324</v>
      </c>
      <c r="F86" s="251" t="s">
        <v>325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hidden="1" customHeight="1" x14ac:dyDescent="0.25">
      <c r="A87" s="272" t="str">
        <f t="shared" si="9"/>
        <v>НижегородскаяDDM MOS Sladkaay ZhiznTSL MOS N.Novgorod</v>
      </c>
      <c r="B87" s="248" t="s">
        <v>21</v>
      </c>
      <c r="C87" s="249" t="s">
        <v>317</v>
      </c>
      <c r="D87" s="249" t="s">
        <v>318</v>
      </c>
      <c r="E87" s="250" t="s">
        <v>319</v>
      </c>
      <c r="F87" s="251" t="s">
        <v>320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321</v>
      </c>
    </row>
    <row r="88" spans="1:41" ht="14.65" hidden="1" customHeight="1" x14ac:dyDescent="0.25">
      <c r="A88" s="272" t="str">
        <f t="shared" si="9"/>
        <v>НижегородскаяASM MOS Food Trade+SorsoTSL MOS SPT Moscow Play Sorso</v>
      </c>
      <c r="B88" s="248" t="s">
        <v>21</v>
      </c>
      <c r="C88" s="249" t="s">
        <v>317</v>
      </c>
      <c r="D88" s="249" t="s">
        <v>323</v>
      </c>
      <c r="E88" s="272" t="s">
        <v>324</v>
      </c>
      <c r="F88" s="251" t="s">
        <v>325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hidden="1" customHeight="1" x14ac:dyDescent="0.25">
      <c r="A89" s="272" t="str">
        <f t="shared" si="9"/>
        <v>НижегородскаяDDM MOS Sladkaay ZhiznTSL MOS N.Novgorod</v>
      </c>
      <c r="B89" s="248" t="s">
        <v>21</v>
      </c>
      <c r="C89" s="249" t="s">
        <v>317</v>
      </c>
      <c r="D89" s="249" t="s">
        <v>318</v>
      </c>
      <c r="E89" s="250" t="s">
        <v>319</v>
      </c>
      <c r="F89" s="251" t="s">
        <v>320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321</v>
      </c>
    </row>
    <row r="90" spans="1:41" ht="14.65" hidden="1" customHeight="1" x14ac:dyDescent="0.25">
      <c r="A90" s="272" t="str">
        <f t="shared" si="9"/>
        <v>НижегородскаяDDM MOS Sladkaay ZhiznTSL MOS Cheboksary</v>
      </c>
      <c r="B90" s="248" t="s">
        <v>21</v>
      </c>
      <c r="C90" s="249" t="s">
        <v>317</v>
      </c>
      <c r="D90" s="249" t="s">
        <v>318</v>
      </c>
      <c r="E90" s="250" t="s">
        <v>326</v>
      </c>
      <c r="F90" s="251" t="s">
        <v>320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hidden="1" customHeight="1" x14ac:dyDescent="0.25">
      <c r="A91" s="272" t="str">
        <f t="shared" si="9"/>
        <v>НижегородскаяDDM MOS Sladkaay ZhiznTSL MOS N.Novgorod</v>
      </c>
      <c r="B91" s="248" t="s">
        <v>21</v>
      </c>
      <c r="C91" s="249" t="s">
        <v>317</v>
      </c>
      <c r="D91" s="249" t="s">
        <v>318</v>
      </c>
      <c r="E91" s="250" t="s">
        <v>319</v>
      </c>
      <c r="F91" s="251" t="s">
        <v>320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hidden="1" customHeight="1" x14ac:dyDescent="0.25">
      <c r="A92" s="272" t="str">
        <f t="shared" si="9"/>
        <v>НижегородскаяASM MOS Food Trade+SorsoTSL MOS SPT Moscow Play Sorso</v>
      </c>
      <c r="B92" s="248" t="s">
        <v>21</v>
      </c>
      <c r="C92" s="249" t="s">
        <v>317</v>
      </c>
      <c r="D92" s="249" t="s">
        <v>323</v>
      </c>
      <c r="E92" s="272" t="s">
        <v>324</v>
      </c>
      <c r="F92" s="251" t="s">
        <v>325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customHeight="1" x14ac:dyDescent="0.25">
      <c r="A93" s="272" t="str">
        <f t="shared" si="9"/>
        <v>ТульскаяASM MOS Food Trade+SorsoTSL MOS SPT Moscow Play Sorso</v>
      </c>
      <c r="B93" s="248" t="s">
        <v>17</v>
      </c>
      <c r="C93" s="249" t="s">
        <v>317</v>
      </c>
      <c r="D93" s="249" t="s">
        <v>323</v>
      </c>
      <c r="E93" s="272" t="s">
        <v>324</v>
      </c>
      <c r="F93" s="251" t="s">
        <v>325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customHeight="1" x14ac:dyDescent="0.25">
      <c r="A94" s="272" t="str">
        <f t="shared" si="9"/>
        <v>ТульскаяDDM MOS Sladkaay ZhiznTSL MOS  Moscow 1 Sladkaya Zhizn</v>
      </c>
      <c r="B94" s="248" t="s">
        <v>17</v>
      </c>
      <c r="C94" s="249" t="s">
        <v>317</v>
      </c>
      <c r="D94" s="249" t="s">
        <v>318</v>
      </c>
      <c r="E94" s="250" t="s">
        <v>331</v>
      </c>
      <c r="F94" s="251" t="s">
        <v>322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321</v>
      </c>
    </row>
    <row r="95" spans="1:41" ht="14.65" customHeight="1" x14ac:dyDescent="0.25">
      <c r="A95" s="272" t="str">
        <f t="shared" si="9"/>
        <v>ТульскаяASM MOS Food Trade+SorsoTSL MOS SPT Moscow Play Sorso</v>
      </c>
      <c r="B95" s="248" t="s">
        <v>17</v>
      </c>
      <c r="C95" s="249" t="s">
        <v>317</v>
      </c>
      <c r="D95" s="249" t="s">
        <v>323</v>
      </c>
      <c r="E95" s="272" t="s">
        <v>324</v>
      </c>
      <c r="F95" s="251" t="s">
        <v>325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customHeight="1" x14ac:dyDescent="0.25">
      <c r="A96" s="272" t="str">
        <f t="shared" si="9"/>
        <v>ТульскаяASM MOS Food Trade+SorsoTSL MOS Grocery Mos Obl AS-Market</v>
      </c>
      <c r="B96" s="248" t="s">
        <v>17</v>
      </c>
      <c r="C96" s="249" t="s">
        <v>317</v>
      </c>
      <c r="D96" s="249" t="s">
        <v>323</v>
      </c>
      <c r="E96" s="250" t="s">
        <v>329</v>
      </c>
      <c r="F96" s="251" t="s">
        <v>330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65" customHeight="1" x14ac:dyDescent="0.25">
      <c r="A97" s="272" t="str">
        <f t="shared" si="9"/>
        <v>ТульскаяDDM MOS Sladkaay ZhiznTSL MOS  Moscow 2 Sladkaya Zhizn</v>
      </c>
      <c r="B97" s="248" t="s">
        <v>17</v>
      </c>
      <c r="C97" s="249" t="s">
        <v>317</v>
      </c>
      <c r="D97" s="249" t="s">
        <v>318</v>
      </c>
      <c r="E97" s="250" t="s">
        <v>327</v>
      </c>
      <c r="F97" s="251" t="s">
        <v>322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65" customHeight="1" x14ac:dyDescent="0.25">
      <c r="A98" s="272" t="str">
        <f t="shared" si="9"/>
        <v>ТульскаяDDM MOS Sladkaay ZhiznTSL MOS  Moscow 1 Sladkaya Zhizn</v>
      </c>
      <c r="B98" s="248" t="s">
        <v>17</v>
      </c>
      <c r="C98" s="249" t="s">
        <v>317</v>
      </c>
      <c r="D98" s="249" t="s">
        <v>318</v>
      </c>
      <c r="E98" s="250" t="s">
        <v>331</v>
      </c>
      <c r="F98" s="251" t="s">
        <v>322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65" hidden="1" customHeight="1" x14ac:dyDescent="0.25">
      <c r="A99" s="272" t="str">
        <f t="shared" si="9"/>
        <v>Чувашская Республика -DDM MOS Sladkaay ZhiznTSL MOS Cheboksary</v>
      </c>
      <c r="B99" s="248" t="s">
        <v>336</v>
      </c>
      <c r="C99" s="249" t="s">
        <v>317</v>
      </c>
      <c r="D99" s="249" t="s">
        <v>318</v>
      </c>
      <c r="E99" s="250" t="s">
        <v>326</v>
      </c>
      <c r="F99" s="251" t="s">
        <v>320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321</v>
      </c>
    </row>
    <row r="100" spans="1:43" ht="14.65" hidden="1" customHeight="1" x14ac:dyDescent="0.25">
      <c r="A100" s="272" t="str">
        <f t="shared" si="9"/>
        <v>Чувашская Республика -DDM MOS Sladkaay ZhiznTSL MOS N.Novgorod</v>
      </c>
      <c r="B100" s="248" t="s">
        <v>336</v>
      </c>
      <c r="C100" s="249" t="s">
        <v>317</v>
      </c>
      <c r="D100" s="249" t="s">
        <v>318</v>
      </c>
      <c r="E100" s="250" t="s">
        <v>319</v>
      </c>
      <c r="F100" s="251" t="s">
        <v>320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hidden="1" customHeight="1" x14ac:dyDescent="0.25">
      <c r="A101" s="272" t="str">
        <f t="shared" si="9"/>
        <v>Чувашская Республика -DDM MOS Sladkaay ZhiznTSL MOS Cheboksary</v>
      </c>
      <c r="B101" s="248" t="s">
        <v>336</v>
      </c>
      <c r="C101" s="249" t="s">
        <v>317</v>
      </c>
      <c r="D101" s="249" t="s">
        <v>318</v>
      </c>
      <c r="E101" s="250" t="s">
        <v>326</v>
      </c>
      <c r="F101" s="251" t="s">
        <v>320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 x14ac:dyDescent="0.25">
      <c r="A102" s="272" t="str">
        <f t="shared" si="9"/>
        <v>АдыгеяRADM MoscowRAL MOS SPT RKA</v>
      </c>
      <c r="B102" s="272" t="s">
        <v>174</v>
      </c>
      <c r="C102" s="249" t="s">
        <v>317</v>
      </c>
      <c r="D102" s="249" t="s">
        <v>337</v>
      </c>
      <c r="E102" s="272" t="s">
        <v>338</v>
      </c>
      <c r="F102" s="252" t="s">
        <v>339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340</v>
      </c>
    </row>
    <row r="103" spans="1:43" hidden="1" x14ac:dyDescent="0.25">
      <c r="A103" s="272" t="str">
        <f t="shared" si="9"/>
        <v>АрхангельскаяRADM MoscowRAL MOS SPT RKA</v>
      </c>
      <c r="B103" s="272" t="s">
        <v>50</v>
      </c>
      <c r="C103" s="249" t="s">
        <v>317</v>
      </c>
      <c r="D103" s="249" t="s">
        <v>337</v>
      </c>
      <c r="E103" s="272" t="s">
        <v>338</v>
      </c>
      <c r="F103" s="252" t="s">
        <v>339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340</v>
      </c>
    </row>
    <row r="104" spans="1:43" hidden="1" x14ac:dyDescent="0.25">
      <c r="A104" s="272" t="str">
        <f t="shared" si="9"/>
        <v>АстраханскаяRADM MoscowRAL MOS SPT RKA</v>
      </c>
      <c r="B104" s="272" t="s">
        <v>166</v>
      </c>
      <c r="C104" s="249" t="s">
        <v>317</v>
      </c>
      <c r="D104" s="249" t="s">
        <v>337</v>
      </c>
      <c r="E104" s="272" t="s">
        <v>338</v>
      </c>
      <c r="F104" s="252" t="s">
        <v>339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340</v>
      </c>
    </row>
    <row r="105" spans="1:43" hidden="1" x14ac:dyDescent="0.25">
      <c r="A105" s="272" t="str">
        <f t="shared" si="9"/>
        <v>БелгородскаяRADM MoscowRAL MOS SPT RKA</v>
      </c>
      <c r="B105" s="272" t="s">
        <v>341</v>
      </c>
      <c r="C105" s="249" t="s">
        <v>317</v>
      </c>
      <c r="D105" s="249" t="s">
        <v>337</v>
      </c>
      <c r="E105" s="272" t="s">
        <v>338</v>
      </c>
      <c r="F105" s="252" t="s">
        <v>339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340</v>
      </c>
    </row>
    <row r="106" spans="1:43" hidden="1" x14ac:dyDescent="0.25">
      <c r="A106" s="272" t="str">
        <f t="shared" si="9"/>
        <v>ВладимирскаяRADM MoscowRAL MOS SPT RKA</v>
      </c>
      <c r="B106" s="272" t="s">
        <v>22</v>
      </c>
      <c r="C106" s="249" t="s">
        <v>317</v>
      </c>
      <c r="D106" s="249" t="s">
        <v>337</v>
      </c>
      <c r="E106" s="272" t="s">
        <v>338</v>
      </c>
      <c r="F106" s="252" t="s">
        <v>339</v>
      </c>
      <c r="I106" s="272" t="s">
        <v>342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340</v>
      </c>
      <c r="AQ106" s="286">
        <v>3640000</v>
      </c>
    </row>
    <row r="107" spans="1:43" hidden="1" x14ac:dyDescent="0.25">
      <c r="A107" s="272" t="str">
        <f t="shared" si="9"/>
        <v>ВолгоградскаяRADM MoscowRAL MOS SPT RKA</v>
      </c>
      <c r="B107" s="272" t="s">
        <v>155</v>
      </c>
      <c r="C107" s="249" t="s">
        <v>317</v>
      </c>
      <c r="D107" s="249" t="s">
        <v>337</v>
      </c>
      <c r="E107" s="272" t="s">
        <v>338</v>
      </c>
      <c r="F107" s="252" t="s">
        <v>339</v>
      </c>
      <c r="I107" s="272" t="s">
        <v>342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340</v>
      </c>
    </row>
    <row r="108" spans="1:43" hidden="1" x14ac:dyDescent="0.25">
      <c r="A108" s="272" t="str">
        <f t="shared" si="9"/>
        <v>ВологодскаяRADM MoscowRAL MOS SPT RKA</v>
      </c>
      <c r="B108" s="272" t="s">
        <v>48</v>
      </c>
      <c r="C108" s="249" t="s">
        <v>317</v>
      </c>
      <c r="D108" s="249" t="s">
        <v>337</v>
      </c>
      <c r="E108" s="272" t="s">
        <v>338</v>
      </c>
      <c r="F108" s="252" t="s">
        <v>339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340</v>
      </c>
    </row>
    <row r="109" spans="1:43" hidden="1" x14ac:dyDescent="0.25">
      <c r="A109" s="272" t="str">
        <f t="shared" si="9"/>
        <v>ВоронежскаяRADM MoscowRAL MOS SPT RKA</v>
      </c>
      <c r="B109" s="272" t="s">
        <v>148</v>
      </c>
      <c r="C109" s="249" t="s">
        <v>317</v>
      </c>
      <c r="D109" s="249" t="s">
        <v>337</v>
      </c>
      <c r="E109" s="272" t="s">
        <v>338</v>
      </c>
      <c r="F109" s="252" t="s">
        <v>339</v>
      </c>
      <c r="I109" s="272" t="s">
        <v>342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340</v>
      </c>
    </row>
    <row r="110" spans="1:43" hidden="1" x14ac:dyDescent="0.25">
      <c r="A110" s="272" t="str">
        <f t="shared" si="9"/>
        <v>ИвановскаяRADM MoscowRAL MOS SPT RKA</v>
      </c>
      <c r="B110" s="272" t="s">
        <v>56</v>
      </c>
      <c r="C110" s="249" t="s">
        <v>317</v>
      </c>
      <c r="D110" s="249" t="s">
        <v>337</v>
      </c>
      <c r="E110" s="272" t="s">
        <v>338</v>
      </c>
      <c r="F110" s="252" t="s">
        <v>339</v>
      </c>
      <c r="I110" s="272" t="s">
        <v>342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340</v>
      </c>
    </row>
    <row r="111" spans="1:43" hidden="1" x14ac:dyDescent="0.25">
      <c r="A111" s="272" t="str">
        <f t="shared" si="9"/>
        <v>КалужскаяRADM MoscowRAL MOS SPT RKA</v>
      </c>
      <c r="B111" s="272" t="s">
        <v>20</v>
      </c>
      <c r="C111" s="249" t="s">
        <v>317</v>
      </c>
      <c r="D111" s="249" t="s">
        <v>337</v>
      </c>
      <c r="E111" s="272" t="s">
        <v>338</v>
      </c>
      <c r="F111" s="252" t="s">
        <v>339</v>
      </c>
      <c r="I111" s="272" t="s">
        <v>343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340</v>
      </c>
      <c r="AQ111" s="286">
        <v>5460000</v>
      </c>
    </row>
    <row r="112" spans="1:43" hidden="1" x14ac:dyDescent="0.25">
      <c r="A112" s="272" t="str">
        <f t="shared" si="9"/>
        <v>Кемеровская область - КузбассRADM MoscowRAL MOS SPT RKA</v>
      </c>
      <c r="B112" s="272" t="s">
        <v>344</v>
      </c>
      <c r="C112" s="249" t="s">
        <v>317</v>
      </c>
      <c r="D112" s="249" t="s">
        <v>337</v>
      </c>
      <c r="E112" s="272" t="s">
        <v>338</v>
      </c>
      <c r="F112" s="252" t="s">
        <v>339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340</v>
      </c>
    </row>
    <row r="113" spans="1:43" hidden="1" x14ac:dyDescent="0.25">
      <c r="A113" s="272" t="str">
        <f t="shared" si="9"/>
        <v>КостромскаяRADM MoscowRAL MOS SPT RKA</v>
      </c>
      <c r="B113" s="272" t="s">
        <v>54</v>
      </c>
      <c r="C113" s="249" t="s">
        <v>317</v>
      </c>
      <c r="D113" s="249" t="s">
        <v>337</v>
      </c>
      <c r="E113" s="272" t="s">
        <v>338</v>
      </c>
      <c r="F113" s="252" t="s">
        <v>339</v>
      </c>
      <c r="I113" s="272" t="s">
        <v>342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340</v>
      </c>
    </row>
    <row r="114" spans="1:43" hidden="1" x14ac:dyDescent="0.25">
      <c r="A114" s="272" t="str">
        <f t="shared" si="9"/>
        <v>КраснодарскийRADM MoscowRAL MOS SPT RKA</v>
      </c>
      <c r="B114" s="272" t="s">
        <v>173</v>
      </c>
      <c r="C114" s="249" t="s">
        <v>317</v>
      </c>
      <c r="D114" s="249" t="s">
        <v>337</v>
      </c>
      <c r="E114" s="272" t="s">
        <v>338</v>
      </c>
      <c r="F114" s="252" t="s">
        <v>339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340</v>
      </c>
    </row>
    <row r="115" spans="1:43" hidden="1" x14ac:dyDescent="0.25">
      <c r="A115" s="272" t="str">
        <f t="shared" si="9"/>
        <v>КурскаяRADM MoscowRAL MOS SPT RKA</v>
      </c>
      <c r="B115" s="272" t="s">
        <v>146</v>
      </c>
      <c r="C115" s="249" t="s">
        <v>317</v>
      </c>
      <c r="D115" s="249" t="s">
        <v>337</v>
      </c>
      <c r="E115" s="272" t="s">
        <v>338</v>
      </c>
      <c r="F115" s="252" t="s">
        <v>339</v>
      </c>
      <c r="I115" s="272" t="s">
        <v>342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340</v>
      </c>
    </row>
    <row r="116" spans="1:43" hidden="1" x14ac:dyDescent="0.25">
      <c r="A116" s="272" t="str">
        <f t="shared" si="9"/>
        <v>ЛенинградскаяRADM MoscowRAL MOS SPT RKA</v>
      </c>
      <c r="B116" s="272" t="s">
        <v>345</v>
      </c>
      <c r="C116" s="249" t="s">
        <v>317</v>
      </c>
      <c r="D116" s="249" t="s">
        <v>337</v>
      </c>
      <c r="E116" s="272" t="s">
        <v>338</v>
      </c>
      <c r="F116" s="252" t="s">
        <v>339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340</v>
      </c>
    </row>
    <row r="117" spans="1:43" hidden="1" x14ac:dyDescent="0.25">
      <c r="A117" s="272" t="str">
        <f t="shared" si="9"/>
        <v>ЛипецкаяRADM MoscowRAL MOS SPT RKA</v>
      </c>
      <c r="B117" s="272" t="s">
        <v>150</v>
      </c>
      <c r="C117" s="249" t="s">
        <v>317</v>
      </c>
      <c r="D117" s="249" t="s">
        <v>337</v>
      </c>
      <c r="E117" s="272" t="s">
        <v>338</v>
      </c>
      <c r="F117" s="252" t="s">
        <v>339</v>
      </c>
      <c r="I117" s="272" t="s">
        <v>342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340</v>
      </c>
    </row>
    <row r="118" spans="1:43" hidden="1" x14ac:dyDescent="0.25">
      <c r="A118" s="272" t="str">
        <f t="shared" si="9"/>
        <v>МоскваRADM MoscowRAL MOS SPT RKA</v>
      </c>
      <c r="B118" s="272" t="s">
        <v>7</v>
      </c>
      <c r="C118" s="249" t="s">
        <v>317</v>
      </c>
      <c r="D118" s="249" t="s">
        <v>337</v>
      </c>
      <c r="E118" s="272" t="s">
        <v>338</v>
      </c>
      <c r="F118" s="252" t="s">
        <v>339</v>
      </c>
      <c r="H118" s="272">
        <v>1</v>
      </c>
      <c r="I118" s="272" t="s">
        <v>343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340</v>
      </c>
    </row>
    <row r="119" spans="1:43" hidden="1" x14ac:dyDescent="0.25">
      <c r="A119" s="272" t="str">
        <f t="shared" si="9"/>
        <v>МосковскаяRADM MoscowRAL MOS SPT RKA</v>
      </c>
      <c r="B119" s="272" t="s">
        <v>333</v>
      </c>
      <c r="C119" s="249" t="s">
        <v>317</v>
      </c>
      <c r="D119" s="249" t="s">
        <v>337</v>
      </c>
      <c r="E119" s="272" t="s">
        <v>338</v>
      </c>
      <c r="F119" s="252" t="s">
        <v>339</v>
      </c>
      <c r="I119" s="272" t="s">
        <v>343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340</v>
      </c>
    </row>
    <row r="120" spans="1:43" hidden="1" x14ac:dyDescent="0.25">
      <c r="A120" s="272" t="str">
        <f t="shared" si="9"/>
        <v>МурманскаяRADM MoscowRAL MOS SPT RKA</v>
      </c>
      <c r="B120" s="272" t="s">
        <v>35</v>
      </c>
      <c r="C120" s="249" t="s">
        <v>317</v>
      </c>
      <c r="D120" s="249" t="s">
        <v>337</v>
      </c>
      <c r="E120" s="272" t="s">
        <v>338</v>
      </c>
      <c r="F120" s="252" t="s">
        <v>339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340</v>
      </c>
    </row>
    <row r="121" spans="1:43" hidden="1" x14ac:dyDescent="0.25">
      <c r="A121" s="272" t="str">
        <f t="shared" si="9"/>
        <v>НижегородскаяRADM MoscowRAL MOS SPT RKA</v>
      </c>
      <c r="B121" s="272" t="s">
        <v>21</v>
      </c>
      <c r="C121" s="249" t="s">
        <v>317</v>
      </c>
      <c r="D121" s="249" t="s">
        <v>337</v>
      </c>
      <c r="E121" s="272" t="s">
        <v>338</v>
      </c>
      <c r="F121" s="252" t="s">
        <v>339</v>
      </c>
      <c r="I121" s="272" t="s">
        <v>342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340</v>
      </c>
      <c r="AQ121" s="286">
        <v>6370000</v>
      </c>
    </row>
    <row r="122" spans="1:43" hidden="1" x14ac:dyDescent="0.25">
      <c r="A122" s="272" t="str">
        <f t="shared" si="9"/>
        <v>ОмскаяRADM MoscowRAL MOS SPT RKA</v>
      </c>
      <c r="B122" s="272" t="s">
        <v>123</v>
      </c>
      <c r="C122" s="249" t="s">
        <v>317</v>
      </c>
      <c r="D122" s="249" t="s">
        <v>337</v>
      </c>
      <c r="E122" s="272" t="s">
        <v>338</v>
      </c>
      <c r="F122" s="252" t="s">
        <v>339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340</v>
      </c>
    </row>
    <row r="123" spans="1:43" hidden="1" x14ac:dyDescent="0.25">
      <c r="A123" s="272" t="str">
        <f t="shared" si="9"/>
        <v>ОрловскаяRADM MoscowRAL MOS SPT RKA</v>
      </c>
      <c r="B123" s="272" t="s">
        <v>145</v>
      </c>
      <c r="C123" s="249" t="s">
        <v>317</v>
      </c>
      <c r="D123" s="249" t="s">
        <v>337</v>
      </c>
      <c r="E123" s="272" t="s">
        <v>338</v>
      </c>
      <c r="F123" s="252" t="s">
        <v>339</v>
      </c>
      <c r="I123" s="272" t="s">
        <v>342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340</v>
      </c>
    </row>
    <row r="124" spans="1:43" hidden="1" x14ac:dyDescent="0.25">
      <c r="A124" s="272" t="str">
        <f t="shared" si="9"/>
        <v>ПермскийRADM MoscowRAL MOS SPT RKA</v>
      </c>
      <c r="B124" s="272" t="s">
        <v>102</v>
      </c>
      <c r="C124" s="249" t="s">
        <v>317</v>
      </c>
      <c r="D124" s="249" t="s">
        <v>337</v>
      </c>
      <c r="E124" s="272" t="s">
        <v>338</v>
      </c>
      <c r="F124" s="252" t="s">
        <v>339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340</v>
      </c>
    </row>
    <row r="125" spans="1:43" hidden="1" x14ac:dyDescent="0.25">
      <c r="A125" s="272" t="str">
        <f t="shared" si="9"/>
        <v>ПсковскаяRADM MoscowRAL MOS SPT RKA</v>
      </c>
      <c r="B125" s="272" t="s">
        <v>38</v>
      </c>
      <c r="C125" s="249" t="s">
        <v>317</v>
      </c>
      <c r="D125" s="249" t="s">
        <v>337</v>
      </c>
      <c r="E125" s="272" t="s">
        <v>338</v>
      </c>
      <c r="F125" s="252" t="s">
        <v>339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340</v>
      </c>
    </row>
    <row r="126" spans="1:43" hidden="1" x14ac:dyDescent="0.25">
      <c r="A126" s="272" t="str">
        <f t="shared" si="9"/>
        <v>РостовскаяRADM MoscowRAL MOS SPT RKA</v>
      </c>
      <c r="B126" s="272" t="s">
        <v>156</v>
      </c>
      <c r="C126" s="249" t="s">
        <v>317</v>
      </c>
      <c r="D126" s="249" t="s">
        <v>337</v>
      </c>
      <c r="E126" s="272" t="s">
        <v>338</v>
      </c>
      <c r="F126" s="252" t="s">
        <v>339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340</v>
      </c>
    </row>
    <row r="127" spans="1:43" hidden="1" x14ac:dyDescent="0.25">
      <c r="A127" s="272" t="str">
        <f t="shared" si="9"/>
        <v>РязанскаяRADM MoscowRAL MOS SPT RKA</v>
      </c>
      <c r="B127" s="272" t="s">
        <v>18</v>
      </c>
      <c r="C127" s="249" t="s">
        <v>317</v>
      </c>
      <c r="D127" s="249" t="s">
        <v>337</v>
      </c>
      <c r="E127" s="272" t="s">
        <v>338</v>
      </c>
      <c r="F127" s="252" t="s">
        <v>339</v>
      </c>
      <c r="I127" s="272" t="s">
        <v>343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340</v>
      </c>
      <c r="AQ127" s="286">
        <v>2730000</v>
      </c>
    </row>
    <row r="128" spans="1:43" hidden="1" x14ac:dyDescent="0.25">
      <c r="A128" s="272" t="str">
        <f t="shared" si="9"/>
        <v>СамарскаяRADM MoscowRAL MOS SPT RKA</v>
      </c>
      <c r="B128" s="272" t="s">
        <v>105</v>
      </c>
      <c r="C128" s="249" t="s">
        <v>317</v>
      </c>
      <c r="D128" s="249" t="s">
        <v>337</v>
      </c>
      <c r="E128" s="272" t="s">
        <v>338</v>
      </c>
      <c r="F128" s="252" t="s">
        <v>339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340</v>
      </c>
    </row>
    <row r="129" spans="1:43" hidden="1" x14ac:dyDescent="0.25">
      <c r="A129" s="272" t="str">
        <f t="shared" si="9"/>
        <v>Санкт-ПетербургRADM MoscowRAL MOS SPT RKA</v>
      </c>
      <c r="B129" s="272" t="s">
        <v>346</v>
      </c>
      <c r="C129" s="249" t="s">
        <v>317</v>
      </c>
      <c r="D129" s="249" t="s">
        <v>337</v>
      </c>
      <c r="E129" s="272" t="s">
        <v>338</v>
      </c>
      <c r="F129" s="252" t="s">
        <v>339</v>
      </c>
      <c r="I129" s="272" t="s">
        <v>342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340</v>
      </c>
    </row>
    <row r="130" spans="1:43" hidden="1" x14ac:dyDescent="0.25">
      <c r="A130" s="272" t="str">
        <f t="shared" si="9"/>
        <v>СаратовскаяRADM MoscowRAL MOS SPT RKA</v>
      </c>
      <c r="B130" s="272" t="s">
        <v>154</v>
      </c>
      <c r="C130" s="249" t="s">
        <v>317</v>
      </c>
      <c r="D130" s="249" t="s">
        <v>337</v>
      </c>
      <c r="E130" s="272" t="s">
        <v>338</v>
      </c>
      <c r="F130" s="252" t="s">
        <v>339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340</v>
      </c>
    </row>
    <row r="131" spans="1:43" hidden="1" x14ac:dyDescent="0.25">
      <c r="A131" s="272" t="str">
        <f t="shared" si="9"/>
        <v>СвердловскаяRADM MoscowRAL MOS SPT RKA</v>
      </c>
      <c r="B131" s="272" t="s">
        <v>118</v>
      </c>
      <c r="C131" s="249" t="s">
        <v>317</v>
      </c>
      <c r="D131" s="249" t="s">
        <v>337</v>
      </c>
      <c r="E131" s="272" t="s">
        <v>338</v>
      </c>
      <c r="F131" s="252" t="s">
        <v>339</v>
      </c>
      <c r="I131" s="272" t="s">
        <v>343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340</v>
      </c>
    </row>
    <row r="132" spans="1:43" hidden="1" x14ac:dyDescent="0.25">
      <c r="A132" s="272" t="str">
        <f t="shared" ref="A132:A195" si="18">B132&amp;D132&amp;E132</f>
        <v>ТамбовскаяRADM MoscowRAL MOS SPT RKA</v>
      </c>
      <c r="B132" s="272" t="s">
        <v>151</v>
      </c>
      <c r="C132" s="249" t="s">
        <v>317</v>
      </c>
      <c r="D132" s="249" t="s">
        <v>337</v>
      </c>
      <c r="E132" s="272" t="s">
        <v>338</v>
      </c>
      <c r="F132" s="252" t="s">
        <v>339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340</v>
      </c>
    </row>
    <row r="133" spans="1:43" hidden="1" x14ac:dyDescent="0.25">
      <c r="A133" s="272" t="str">
        <f t="shared" si="18"/>
        <v>ТатарстанRADM MoscowRAL MOS SPT RKA</v>
      </c>
      <c r="B133" s="272" t="s">
        <v>93</v>
      </c>
      <c r="C133" s="249" t="s">
        <v>317</v>
      </c>
      <c r="D133" s="249" t="s">
        <v>337</v>
      </c>
      <c r="E133" s="272" t="s">
        <v>338</v>
      </c>
      <c r="F133" s="252" t="s">
        <v>339</v>
      </c>
      <c r="I133" t="s">
        <v>343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340</v>
      </c>
    </row>
    <row r="134" spans="1:43" hidden="1" x14ac:dyDescent="0.25">
      <c r="A134" s="272" t="str">
        <f t="shared" si="18"/>
        <v>ТверскаяRADM MoscowRAL MOS SPT RKA</v>
      </c>
      <c r="B134" s="272" t="s">
        <v>55</v>
      </c>
      <c r="C134" s="249" t="s">
        <v>317</v>
      </c>
      <c r="D134" s="249" t="s">
        <v>337</v>
      </c>
      <c r="E134" s="272" t="s">
        <v>338</v>
      </c>
      <c r="F134" s="252" t="s">
        <v>339</v>
      </c>
      <c r="I134" s="272" t="s">
        <v>342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340</v>
      </c>
    </row>
    <row r="135" spans="1:43" hidden="1" x14ac:dyDescent="0.25">
      <c r="A135" s="272" t="str">
        <f t="shared" si="18"/>
        <v>ТульскаяRADM MoscowRAL MOS SPT RKA</v>
      </c>
      <c r="B135" s="272" t="s">
        <v>17</v>
      </c>
      <c r="C135" s="249" t="s">
        <v>317</v>
      </c>
      <c r="D135" s="249" t="s">
        <v>337</v>
      </c>
      <c r="E135" s="272" t="s">
        <v>338</v>
      </c>
      <c r="F135" s="252" t="s">
        <v>339</v>
      </c>
      <c r="I135" s="272" t="s">
        <v>343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340</v>
      </c>
      <c r="AQ135" s="286">
        <v>6370000</v>
      </c>
    </row>
    <row r="136" spans="1:43" hidden="1" x14ac:dyDescent="0.25">
      <c r="A136" s="272" t="str">
        <f t="shared" si="18"/>
        <v>ТюменскаяRADM MoscowRAL MOS SPT RKA</v>
      </c>
      <c r="B136" s="272" t="s">
        <v>120</v>
      </c>
      <c r="C136" s="249" t="s">
        <v>317</v>
      </c>
      <c r="D136" s="249" t="s">
        <v>337</v>
      </c>
      <c r="E136" s="272" t="s">
        <v>338</v>
      </c>
      <c r="F136" s="252" t="s">
        <v>339</v>
      </c>
      <c r="I136" s="272" t="s">
        <v>343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340</v>
      </c>
    </row>
    <row r="137" spans="1:43" hidden="1" x14ac:dyDescent="0.25">
      <c r="A137" s="272" t="str">
        <f t="shared" si="18"/>
        <v>УльяновскаяRADM MoscowRAL MOS SPT RKA</v>
      </c>
      <c r="B137" s="272" t="s">
        <v>107</v>
      </c>
      <c r="C137" s="249" t="s">
        <v>317</v>
      </c>
      <c r="D137" s="249" t="s">
        <v>337</v>
      </c>
      <c r="E137" s="272" t="s">
        <v>338</v>
      </c>
      <c r="F137" s="252" t="s">
        <v>339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340</v>
      </c>
    </row>
    <row r="138" spans="1:43" hidden="1" x14ac:dyDescent="0.25">
      <c r="A138" s="272" t="str">
        <f t="shared" si="18"/>
        <v>Ханты-Мансийский Автономный округ - ЮграRADM MoscowRAL MOS SPT RKA</v>
      </c>
      <c r="B138" s="272" t="s">
        <v>347</v>
      </c>
      <c r="C138" s="249" t="s">
        <v>317</v>
      </c>
      <c r="D138" s="249" t="s">
        <v>337</v>
      </c>
      <c r="E138" s="272" t="s">
        <v>338</v>
      </c>
      <c r="F138" s="252" t="s">
        <v>339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340</v>
      </c>
    </row>
    <row r="139" spans="1:43" hidden="1" x14ac:dyDescent="0.25">
      <c r="A139" s="272" t="str">
        <f t="shared" si="18"/>
        <v>ЧелябинскаяRADM MoscowRAL MOS SPT RKA</v>
      </c>
      <c r="B139" s="272" t="s">
        <v>103</v>
      </c>
      <c r="C139" s="249" t="s">
        <v>317</v>
      </c>
      <c r="D139" s="249" t="s">
        <v>337</v>
      </c>
      <c r="E139" s="272" t="s">
        <v>338</v>
      </c>
      <c r="F139" s="252" t="s">
        <v>339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340</v>
      </c>
    </row>
    <row r="140" spans="1:43" hidden="1" x14ac:dyDescent="0.25">
      <c r="A140" s="272" t="str">
        <f t="shared" si="18"/>
        <v>ЯрославскаяRADM MoscowRAL MOS SPT RKA</v>
      </c>
      <c r="B140" s="272" t="s">
        <v>51</v>
      </c>
      <c r="C140" s="249" t="s">
        <v>317</v>
      </c>
      <c r="D140" s="249" t="s">
        <v>337</v>
      </c>
      <c r="E140" s="272" t="s">
        <v>338</v>
      </c>
      <c r="F140" s="252" t="s">
        <v>339</v>
      </c>
      <c r="I140" s="272" t="s">
        <v>342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340</v>
      </c>
    </row>
    <row r="141" spans="1:43" hidden="1" x14ac:dyDescent="0.25">
      <c r="A141" s="272" t="str">
        <f t="shared" si="18"/>
        <v>НижегородскаяRADM MoscowRAL MOS N.Novgorod</v>
      </c>
      <c r="B141" s="284" t="s">
        <v>21</v>
      </c>
      <c r="C141" s="249" t="s">
        <v>317</v>
      </c>
      <c r="D141" s="249" t="s">
        <v>337</v>
      </c>
      <c r="E141" s="272" t="s">
        <v>348</v>
      </c>
      <c r="F141" s="284" t="s">
        <v>320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349</v>
      </c>
    </row>
    <row r="142" spans="1:43" hidden="1" x14ac:dyDescent="0.25">
      <c r="A142" s="272" t="str">
        <f t="shared" si="18"/>
        <v>ВладимирскаяRADM MoscowRAL MOS N.Novgorod</v>
      </c>
      <c r="B142" s="284" t="s">
        <v>22</v>
      </c>
      <c r="C142" s="249" t="s">
        <v>317</v>
      </c>
      <c r="D142" s="249" t="s">
        <v>337</v>
      </c>
      <c r="E142" s="272" t="s">
        <v>348</v>
      </c>
      <c r="F142" s="284" t="s">
        <v>320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349</v>
      </c>
    </row>
    <row r="143" spans="1:43" hidden="1" x14ac:dyDescent="0.25">
      <c r="A143" s="272" t="str">
        <f t="shared" si="18"/>
        <v>ИвановскаяRADM MoscowRAL MOS N.Novgorod</v>
      </c>
      <c r="B143" s="284" t="s">
        <v>56</v>
      </c>
      <c r="C143" s="249" t="s">
        <v>317</v>
      </c>
      <c r="D143" s="249" t="s">
        <v>337</v>
      </c>
      <c r="E143" s="272" t="s">
        <v>348</v>
      </c>
      <c r="F143" s="284" t="s">
        <v>320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349</v>
      </c>
    </row>
    <row r="144" spans="1:43" hidden="1" x14ac:dyDescent="0.25">
      <c r="A144" s="272" t="str">
        <f t="shared" si="18"/>
        <v>КировскаяRADM MoscowRAL MOS N.Novgorod</v>
      </c>
      <c r="B144" s="284" t="s">
        <v>25</v>
      </c>
      <c r="C144" s="249" t="s">
        <v>317</v>
      </c>
      <c r="D144" s="249" t="s">
        <v>337</v>
      </c>
      <c r="E144" s="272" t="s">
        <v>348</v>
      </c>
      <c r="F144" s="284" t="s">
        <v>320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349</v>
      </c>
    </row>
    <row r="145" spans="1:41" hidden="1" x14ac:dyDescent="0.25">
      <c r="A145" s="272" t="str">
        <f t="shared" si="18"/>
        <v>КостромскаяRADM MoscowRAL MOS N.Novgorod</v>
      </c>
      <c r="B145" s="284" t="s">
        <v>54</v>
      </c>
      <c r="C145" s="249" t="s">
        <v>317</v>
      </c>
      <c r="D145" s="249" t="s">
        <v>337</v>
      </c>
      <c r="E145" s="272" t="s">
        <v>348</v>
      </c>
      <c r="F145" s="284" t="s">
        <v>320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349</v>
      </c>
    </row>
    <row r="146" spans="1:41" hidden="1" x14ac:dyDescent="0.25">
      <c r="A146" s="272" t="str">
        <f t="shared" si="18"/>
        <v>Марий ЭлRADM MoscowRAL MOS N.Novgorod</v>
      </c>
      <c r="B146" s="284" t="s">
        <v>350</v>
      </c>
      <c r="C146" s="249" t="s">
        <v>317</v>
      </c>
      <c r="D146" s="249" t="s">
        <v>337</v>
      </c>
      <c r="E146" s="272" t="s">
        <v>348</v>
      </c>
      <c r="F146" s="284" t="s">
        <v>320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349</v>
      </c>
    </row>
    <row r="147" spans="1:41" hidden="1" x14ac:dyDescent="0.25">
      <c r="A147" s="272" t="str">
        <f t="shared" si="18"/>
        <v>МордовияRADM MoscowRAL MOS N.Novgorod</v>
      </c>
      <c r="B147" s="284" t="s">
        <v>27</v>
      </c>
      <c r="C147" s="249" t="s">
        <v>317</v>
      </c>
      <c r="D147" s="249" t="s">
        <v>337</v>
      </c>
      <c r="E147" s="272" t="s">
        <v>348</v>
      </c>
      <c r="F147" s="284" t="s">
        <v>320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349</v>
      </c>
    </row>
    <row r="148" spans="1:41" hidden="1" x14ac:dyDescent="0.25">
      <c r="A148" s="272" t="str">
        <f t="shared" si="18"/>
        <v>НижегородскаяRADM MoscowRAL MOS N.Novgorod</v>
      </c>
      <c r="B148" s="284" t="s">
        <v>21</v>
      </c>
      <c r="C148" s="249" t="s">
        <v>317</v>
      </c>
      <c r="D148" s="249" t="s">
        <v>337</v>
      </c>
      <c r="E148" s="272" t="s">
        <v>348</v>
      </c>
      <c r="F148" s="284" t="s">
        <v>320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349</v>
      </c>
    </row>
    <row r="149" spans="1:41" hidden="1" x14ac:dyDescent="0.25">
      <c r="A149" s="272" t="str">
        <f t="shared" si="18"/>
        <v>ПензенскаяRADM MoscowRAL MOS N.Novgorod</v>
      </c>
      <c r="B149" s="284" t="s">
        <v>152</v>
      </c>
      <c r="C149" s="249" t="s">
        <v>317</v>
      </c>
      <c r="D149" s="249" t="s">
        <v>337</v>
      </c>
      <c r="E149" s="272" t="s">
        <v>348</v>
      </c>
      <c r="F149" s="284" t="s">
        <v>320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349</v>
      </c>
    </row>
    <row r="150" spans="1:41" hidden="1" x14ac:dyDescent="0.25">
      <c r="A150" s="272" t="str">
        <f t="shared" si="18"/>
        <v>РязанскаяRADM MoscowRAL MOS N.Novgorod</v>
      </c>
      <c r="B150" s="284" t="s">
        <v>18</v>
      </c>
      <c r="C150" s="249" t="s">
        <v>317</v>
      </c>
      <c r="D150" s="249" t="s">
        <v>337</v>
      </c>
      <c r="E150" s="272" t="s">
        <v>348</v>
      </c>
      <c r="F150" s="284" t="s">
        <v>320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349</v>
      </c>
    </row>
    <row r="151" spans="1:41" hidden="1" x14ac:dyDescent="0.25">
      <c r="A151" s="272" t="str">
        <f t="shared" si="18"/>
        <v>ТатарстанRADM MoscowRAL MOS N.Novgorod</v>
      </c>
      <c r="B151" s="284" t="s">
        <v>93</v>
      </c>
      <c r="C151" s="249" t="s">
        <v>317</v>
      </c>
      <c r="D151" s="249" t="s">
        <v>337</v>
      </c>
      <c r="E151" s="272" t="s">
        <v>348</v>
      </c>
      <c r="F151" s="284" t="s">
        <v>320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349</v>
      </c>
    </row>
    <row r="152" spans="1:41" hidden="1" x14ac:dyDescent="0.25">
      <c r="A152" s="272" t="str">
        <f t="shared" si="18"/>
        <v>Чувашская Республика -RADM MoscowRAL MOS N.Novgorod</v>
      </c>
      <c r="B152" s="284" t="s">
        <v>336</v>
      </c>
      <c r="C152" s="249" t="s">
        <v>317</v>
      </c>
      <c r="D152" s="249" t="s">
        <v>337</v>
      </c>
      <c r="E152" s="272" t="s">
        <v>348</v>
      </c>
      <c r="F152" s="284" t="s">
        <v>320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349</v>
      </c>
    </row>
    <row r="153" spans="1:41" hidden="1" x14ac:dyDescent="0.25">
      <c r="A153" s="272" t="str">
        <f t="shared" si="18"/>
        <v>ЯрославскаяRADM MoscowRAL MOS N.Novgorod</v>
      </c>
      <c r="B153" s="284" t="s">
        <v>51</v>
      </c>
      <c r="C153" s="249" t="s">
        <v>317</v>
      </c>
      <c r="D153" s="249" t="s">
        <v>337</v>
      </c>
      <c r="E153" s="272" t="s">
        <v>348</v>
      </c>
      <c r="F153" s="287" t="s">
        <v>320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349</v>
      </c>
    </row>
    <row r="154" spans="1:41" hidden="1" x14ac:dyDescent="0.25">
      <c r="A154" s="272" t="str">
        <f t="shared" si="18"/>
        <v>НижегородскаяRADM MoscowRAL MOS N.Novgorod</v>
      </c>
      <c r="B154" s="284" t="s">
        <v>21</v>
      </c>
      <c r="C154" s="249" t="s">
        <v>317</v>
      </c>
      <c r="D154" s="249" t="s">
        <v>337</v>
      </c>
      <c r="E154" s="272" t="s">
        <v>348</v>
      </c>
      <c r="F154" s="284" t="s">
        <v>322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349</v>
      </c>
    </row>
    <row r="155" spans="1:41" hidden="1" x14ac:dyDescent="0.25">
      <c r="A155" s="272" t="str">
        <f t="shared" si="18"/>
        <v>ВладимирскаяRADM MoscowRAL MOS N.Novgorod</v>
      </c>
      <c r="B155" s="284" t="s">
        <v>22</v>
      </c>
      <c r="C155" s="249" t="s">
        <v>317</v>
      </c>
      <c r="D155" s="249" t="s">
        <v>337</v>
      </c>
      <c r="E155" s="272" t="s">
        <v>348</v>
      </c>
      <c r="F155" s="284" t="s">
        <v>322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349</v>
      </c>
    </row>
    <row r="156" spans="1:41" hidden="1" x14ac:dyDescent="0.25">
      <c r="A156" s="272" t="str">
        <f t="shared" si="18"/>
        <v>КалужскаяRADM MoscowRAL MOS N.Novgorod</v>
      </c>
      <c r="B156" s="284" t="s">
        <v>20</v>
      </c>
      <c r="C156" s="249" t="s">
        <v>317</v>
      </c>
      <c r="D156" s="249" t="s">
        <v>337</v>
      </c>
      <c r="E156" s="272" t="s">
        <v>348</v>
      </c>
      <c r="F156" s="284" t="s">
        <v>322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349</v>
      </c>
    </row>
    <row r="157" spans="1:41" hidden="1" x14ac:dyDescent="0.25">
      <c r="A157" s="272" t="str">
        <f t="shared" si="18"/>
        <v>ЛенинградскаяRADM MoscowRAL MOS N.Novgorod</v>
      </c>
      <c r="B157" s="284" t="s">
        <v>345</v>
      </c>
      <c r="C157" s="249" t="s">
        <v>317</v>
      </c>
      <c r="D157" s="249" t="s">
        <v>337</v>
      </c>
      <c r="E157" s="272" t="s">
        <v>348</v>
      </c>
      <c r="F157" s="284" t="s">
        <v>322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349</v>
      </c>
    </row>
    <row r="158" spans="1:41" hidden="1" x14ac:dyDescent="0.25">
      <c r="A158" s="272" t="str">
        <f t="shared" si="18"/>
        <v>МоскваRADM MoscowRAL MOS N.Novgorod</v>
      </c>
      <c r="B158" s="284" t="s">
        <v>7</v>
      </c>
      <c r="C158" s="249" t="s">
        <v>317</v>
      </c>
      <c r="D158" s="249" t="s">
        <v>337</v>
      </c>
      <c r="E158" s="272" t="s">
        <v>348</v>
      </c>
      <c r="F158" s="284" t="s">
        <v>322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349</v>
      </c>
    </row>
    <row r="159" spans="1:41" hidden="1" x14ac:dyDescent="0.25">
      <c r="A159" s="272" t="str">
        <f t="shared" si="18"/>
        <v>МосковскаяRADM MoscowRAL MOS N.Novgorod</v>
      </c>
      <c r="B159" s="284" t="s">
        <v>333</v>
      </c>
      <c r="C159" s="249" t="s">
        <v>317</v>
      </c>
      <c r="D159" s="249" t="s">
        <v>337</v>
      </c>
      <c r="E159" s="272" t="s">
        <v>348</v>
      </c>
      <c r="F159" s="284" t="s">
        <v>322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349</v>
      </c>
    </row>
    <row r="160" spans="1:41" hidden="1" x14ac:dyDescent="0.25">
      <c r="A160" s="272" t="str">
        <f t="shared" si="18"/>
        <v>Санкт-ПетербургRADM MoscowRAL MOS N.Novgorod</v>
      </c>
      <c r="B160" s="284" t="s">
        <v>346</v>
      </c>
      <c r="C160" s="249" t="s">
        <v>317</v>
      </c>
      <c r="D160" s="249" t="s">
        <v>337</v>
      </c>
      <c r="E160" s="272" t="s">
        <v>348</v>
      </c>
      <c r="F160" s="284" t="s">
        <v>322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349</v>
      </c>
    </row>
    <row r="161" spans="1:41" hidden="1" x14ac:dyDescent="0.25">
      <c r="A161" s="272" t="str">
        <f t="shared" si="18"/>
        <v>ТверскаяRADM MoscowRAL MOS N.Novgorod</v>
      </c>
      <c r="B161" s="284" t="s">
        <v>55</v>
      </c>
      <c r="C161" s="249" t="s">
        <v>317</v>
      </c>
      <c r="D161" s="249" t="s">
        <v>337</v>
      </c>
      <c r="E161" s="272" t="s">
        <v>348</v>
      </c>
      <c r="F161" s="284" t="s">
        <v>322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349</v>
      </c>
    </row>
    <row r="162" spans="1:41" hidden="1" x14ac:dyDescent="0.25">
      <c r="A162" s="272" t="str">
        <f t="shared" si="18"/>
        <v>ЯрославскаяRADM MoscowRAL MOS N.Novgorod</v>
      </c>
      <c r="B162" s="284" t="s">
        <v>51</v>
      </c>
      <c r="C162" s="249" t="s">
        <v>317</v>
      </c>
      <c r="D162" s="249" t="s">
        <v>337</v>
      </c>
      <c r="E162" s="272" t="s">
        <v>348</v>
      </c>
      <c r="F162" s="287" t="s">
        <v>322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349</v>
      </c>
    </row>
    <row r="163" spans="1:41" hidden="1" x14ac:dyDescent="0.25">
      <c r="A163" s="272" t="str">
        <f t="shared" si="18"/>
        <v>ЛенинградскаяDDM MOS Sladkaay ZhiznTSL MOS N.Novgorod</v>
      </c>
      <c r="B163" s="284" t="s">
        <v>345</v>
      </c>
      <c r="C163" s="249" t="s">
        <v>317</v>
      </c>
      <c r="D163" s="284" t="s">
        <v>318</v>
      </c>
      <c r="E163" s="272" t="s">
        <v>319</v>
      </c>
      <c r="F163" s="284" t="s">
        <v>351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352</v>
      </c>
    </row>
    <row r="164" spans="1:41" hidden="1" x14ac:dyDescent="0.25">
      <c r="A164" s="272" t="str">
        <f t="shared" si="18"/>
        <v>МурманскаяDDM MOS Sladkaay ZhiznTSL MOS N.Novgorod</v>
      </c>
      <c r="B164" s="284" t="s">
        <v>35</v>
      </c>
      <c r="C164" s="249" t="s">
        <v>317</v>
      </c>
      <c r="D164" s="284" t="s">
        <v>318</v>
      </c>
      <c r="E164" s="272" t="s">
        <v>319</v>
      </c>
      <c r="F164" s="284" t="s">
        <v>351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352</v>
      </c>
    </row>
    <row r="165" spans="1:41" hidden="1" x14ac:dyDescent="0.25">
      <c r="A165" s="272" t="str">
        <f t="shared" si="18"/>
        <v>Санкт-ПетербургDDM MOS Sladkaay ZhiznTSL MOS N.Novgorod</v>
      </c>
      <c r="B165" s="284" t="s">
        <v>346</v>
      </c>
      <c r="C165" s="249" t="s">
        <v>317</v>
      </c>
      <c r="D165" s="284" t="s">
        <v>318</v>
      </c>
      <c r="E165" s="272" t="s">
        <v>319</v>
      </c>
      <c r="F165" s="287" t="s">
        <v>351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352</v>
      </c>
    </row>
    <row r="166" spans="1:41" hidden="1" x14ac:dyDescent="0.25">
      <c r="A166" s="272" t="str">
        <f t="shared" si="18"/>
        <v>БашкортостанDDM MOS Sladkaay ZhiznTSL MOS N.Novgorod</v>
      </c>
      <c r="B166" s="284" t="s">
        <v>353</v>
      </c>
      <c r="C166" s="249" t="s">
        <v>317</v>
      </c>
      <c r="D166" s="284" t="s">
        <v>318</v>
      </c>
      <c r="E166" s="272" t="s">
        <v>319</v>
      </c>
      <c r="F166" s="251" t="s">
        <v>325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352</v>
      </c>
    </row>
    <row r="167" spans="1:41" hidden="1" x14ac:dyDescent="0.25">
      <c r="A167" s="272" t="str">
        <f t="shared" si="18"/>
        <v>ВладимирскаяDDM MOS Sladkaay ZhiznTSL MOS N.Novgorod</v>
      </c>
      <c r="B167" s="284" t="s">
        <v>22</v>
      </c>
      <c r="C167" s="249" t="s">
        <v>317</v>
      </c>
      <c r="D167" s="284" t="s">
        <v>318</v>
      </c>
      <c r="E167" s="272" t="s">
        <v>319</v>
      </c>
      <c r="F167" s="251" t="s">
        <v>325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352</v>
      </c>
    </row>
    <row r="168" spans="1:41" hidden="1" x14ac:dyDescent="0.25">
      <c r="A168" s="272" t="str">
        <f t="shared" si="18"/>
        <v>ВоронежскаяDDM MOS Sladkaay ZhiznTSL MOS N.Novgorod</v>
      </c>
      <c r="B168" s="284" t="s">
        <v>148</v>
      </c>
      <c r="C168" s="249" t="s">
        <v>317</v>
      </c>
      <c r="D168" s="284" t="s">
        <v>318</v>
      </c>
      <c r="E168" s="272" t="s">
        <v>319</v>
      </c>
      <c r="F168" s="251" t="s">
        <v>325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352</v>
      </c>
    </row>
    <row r="169" spans="1:41" hidden="1" x14ac:dyDescent="0.25">
      <c r="A169" s="272" t="str">
        <f t="shared" si="18"/>
        <v>МоскваDDM MOS Sladkaay ZhiznTSL MOS N.Novgorod</v>
      </c>
      <c r="B169" s="284" t="s">
        <v>7</v>
      </c>
      <c r="C169" s="249" t="s">
        <v>317</v>
      </c>
      <c r="D169" s="284" t="s">
        <v>318</v>
      </c>
      <c r="E169" s="272" t="s">
        <v>319</v>
      </c>
      <c r="F169" s="251" t="s">
        <v>325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352</v>
      </c>
    </row>
    <row r="170" spans="1:41" hidden="1" x14ac:dyDescent="0.25">
      <c r="A170" s="272" t="str">
        <f t="shared" si="18"/>
        <v>МосковскаяDDM MOS Sladkaay ZhiznTSL MOS N.Novgorod</v>
      </c>
      <c r="B170" s="284" t="s">
        <v>333</v>
      </c>
      <c r="C170" s="249" t="s">
        <v>317</v>
      </c>
      <c r="D170" s="284" t="s">
        <v>318</v>
      </c>
      <c r="E170" s="272" t="s">
        <v>319</v>
      </c>
      <c r="F170" s="251" t="s">
        <v>325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352</v>
      </c>
    </row>
    <row r="171" spans="1:41" hidden="1" x14ac:dyDescent="0.25">
      <c r="A171" s="272" t="str">
        <f t="shared" si="18"/>
        <v>НовосибирскаяDDM MOS Sladkaay ZhiznTSL MOS N.Novgorod</v>
      </c>
      <c r="B171" s="284" t="s">
        <v>127</v>
      </c>
      <c r="C171" s="249" t="s">
        <v>317</v>
      </c>
      <c r="D171" s="284" t="s">
        <v>318</v>
      </c>
      <c r="E171" s="272" t="s">
        <v>319</v>
      </c>
      <c r="F171" s="251" t="s">
        <v>325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352</v>
      </c>
    </row>
    <row r="172" spans="1:41" hidden="1" x14ac:dyDescent="0.25">
      <c r="A172" s="272" t="str">
        <f t="shared" si="18"/>
        <v>ПермскийDDM MOS Sladkaay ZhiznTSL MOS N.Novgorod</v>
      </c>
      <c r="B172" s="284" t="s">
        <v>102</v>
      </c>
      <c r="C172" s="249" t="s">
        <v>317</v>
      </c>
      <c r="D172" s="284" t="s">
        <v>318</v>
      </c>
      <c r="E172" s="272" t="s">
        <v>319</v>
      </c>
      <c r="F172" s="251" t="s">
        <v>325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352</v>
      </c>
    </row>
    <row r="173" spans="1:41" hidden="1" x14ac:dyDescent="0.25">
      <c r="A173" s="272" t="str">
        <f t="shared" si="18"/>
        <v>СамарскаяDDM MOS Sladkaay ZhiznTSL MOS N.Novgorod</v>
      </c>
      <c r="B173" s="284" t="s">
        <v>105</v>
      </c>
      <c r="C173" s="249" t="s">
        <v>317</v>
      </c>
      <c r="D173" s="284" t="s">
        <v>318</v>
      </c>
      <c r="E173" s="272" t="s">
        <v>319</v>
      </c>
      <c r="F173" s="251" t="s">
        <v>325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352</v>
      </c>
    </row>
    <row r="174" spans="1:41" hidden="1" x14ac:dyDescent="0.25">
      <c r="A174" s="272" t="str">
        <f t="shared" si="18"/>
        <v>СаратовскаяDDM MOS Sladkaay ZhiznTSL MOS N.Novgorod</v>
      </c>
      <c r="B174" s="284" t="s">
        <v>154</v>
      </c>
      <c r="C174" s="249" t="s">
        <v>317</v>
      </c>
      <c r="D174" s="284" t="s">
        <v>318</v>
      </c>
      <c r="E174" s="272" t="s">
        <v>319</v>
      </c>
      <c r="F174" s="251" t="s">
        <v>325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352</v>
      </c>
    </row>
    <row r="175" spans="1:41" hidden="1" x14ac:dyDescent="0.25">
      <c r="A175" s="272" t="str">
        <f t="shared" si="18"/>
        <v>СвердловскаяDDM MOS Sladkaay ZhiznTSL MOS N.Novgorod</v>
      </c>
      <c r="B175" s="284" t="s">
        <v>118</v>
      </c>
      <c r="C175" s="249" t="s">
        <v>317</v>
      </c>
      <c r="D175" s="284" t="s">
        <v>318</v>
      </c>
      <c r="E175" s="272" t="s">
        <v>319</v>
      </c>
      <c r="F175" s="251" t="s">
        <v>325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352</v>
      </c>
    </row>
    <row r="176" spans="1:41" hidden="1" x14ac:dyDescent="0.25">
      <c r="A176" s="272" t="str">
        <f t="shared" si="18"/>
        <v>РостовскаяDDM MOS Sladkaay ZhiznTSL MOS N.Novgorod</v>
      </c>
      <c r="B176" s="284" t="s">
        <v>156</v>
      </c>
      <c r="C176" s="249" t="s">
        <v>317</v>
      </c>
      <c r="D176" s="284" t="s">
        <v>318</v>
      </c>
      <c r="E176" s="272" t="s">
        <v>319</v>
      </c>
      <c r="F176" s="287" t="s">
        <v>354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352</v>
      </c>
    </row>
    <row r="177" spans="1:41" hidden="1" x14ac:dyDescent="0.25">
      <c r="A177" s="272" t="str">
        <f t="shared" si="18"/>
        <v>НовосибирскаяDDM MOS Sladkaay ZhiznTSL MOS N.Novgorod</v>
      </c>
      <c r="B177" s="284" t="s">
        <v>127</v>
      </c>
      <c r="C177" s="249" t="s">
        <v>317</v>
      </c>
      <c r="D177" s="284" t="s">
        <v>318</v>
      </c>
      <c r="E177" s="272" t="s">
        <v>319</v>
      </c>
      <c r="F177" s="287" t="s">
        <v>355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352</v>
      </c>
    </row>
    <row r="178" spans="1:41" hidden="1" x14ac:dyDescent="0.25">
      <c r="A178" s="272" t="str">
        <f t="shared" si="18"/>
        <v>ВладимирскаяDDM MOS Sladkaay ZhiznTSL MOS N.Novgorod</v>
      </c>
      <c r="B178" s="284" t="s">
        <v>22</v>
      </c>
      <c r="C178" s="249" t="s">
        <v>317</v>
      </c>
      <c r="D178" s="249" t="s">
        <v>318</v>
      </c>
      <c r="E178" s="250" t="s">
        <v>319</v>
      </c>
      <c r="F178" s="284" t="s">
        <v>320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352</v>
      </c>
    </row>
    <row r="179" spans="1:41" hidden="1" x14ac:dyDescent="0.25">
      <c r="A179" s="272" t="str">
        <f t="shared" si="18"/>
        <v>НижегородскаяDDM MOS Sladkaay ZhiznTSL MOS N.Novgorod</v>
      </c>
      <c r="B179" s="284" t="s">
        <v>21</v>
      </c>
      <c r="C179" s="249" t="s">
        <v>317</v>
      </c>
      <c r="D179" s="249" t="s">
        <v>318</v>
      </c>
      <c r="E179" s="250" t="s">
        <v>319</v>
      </c>
      <c r="F179" s="284" t="s">
        <v>320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352</v>
      </c>
    </row>
    <row r="180" spans="1:41" hidden="1" x14ac:dyDescent="0.25">
      <c r="A180" s="272" t="str">
        <f t="shared" si="18"/>
        <v>ТатарстанDDM MOS Sladkaay ZhiznTSL MOS N.Novgorod</v>
      </c>
      <c r="B180" s="284" t="s">
        <v>93</v>
      </c>
      <c r="C180" s="249" t="s">
        <v>317</v>
      </c>
      <c r="D180" s="249" t="s">
        <v>318</v>
      </c>
      <c r="E180" s="250" t="s">
        <v>319</v>
      </c>
      <c r="F180" s="287" t="s">
        <v>320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352</v>
      </c>
    </row>
    <row r="181" spans="1:41" hidden="1" x14ac:dyDescent="0.25">
      <c r="A181" s="272" t="str">
        <f t="shared" si="18"/>
        <v>МоскваDDM MOS Sladkaay ZhiznTSL MOS N.Novgorod</v>
      </c>
      <c r="B181" s="284" t="s">
        <v>7</v>
      </c>
      <c r="C181" s="249" t="s">
        <v>317</v>
      </c>
      <c r="D181" s="284" t="s">
        <v>318</v>
      </c>
      <c r="E181" s="272" t="s">
        <v>319</v>
      </c>
      <c r="F181" s="284" t="s">
        <v>322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352</v>
      </c>
    </row>
    <row r="182" spans="1:41" hidden="1" x14ac:dyDescent="0.25">
      <c r="A182" s="272" t="str">
        <f t="shared" si="18"/>
        <v>МосковскаяDDM MOS Sladkaay ZhiznTSL MOS N.Novgorod</v>
      </c>
      <c r="B182" s="284" t="s">
        <v>333</v>
      </c>
      <c r="C182" s="249" t="s">
        <v>317</v>
      </c>
      <c r="D182" s="284" t="s">
        <v>318</v>
      </c>
      <c r="E182" s="272" t="s">
        <v>319</v>
      </c>
      <c r="F182" s="287" t="s">
        <v>322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352</v>
      </c>
    </row>
    <row r="183" spans="1:41" hidden="1" x14ac:dyDescent="0.25">
      <c r="A183" s="272" t="str">
        <f t="shared" si="18"/>
        <v>ВоронежскаяDDM MOS Sladkaay ZhiznTSL MOS N.Novgorod</v>
      </c>
      <c r="B183" s="284" t="s">
        <v>148</v>
      </c>
      <c r="C183" s="249" t="s">
        <v>317</v>
      </c>
      <c r="D183" s="284" t="s">
        <v>318</v>
      </c>
      <c r="E183" s="272" t="s">
        <v>319</v>
      </c>
      <c r="F183" s="284" t="s">
        <v>356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352</v>
      </c>
    </row>
    <row r="184" spans="1:41" hidden="1" x14ac:dyDescent="0.25">
      <c r="A184" s="272" t="str">
        <f t="shared" si="18"/>
        <v>КраснодарскийDDM MOS Sladkaay ZhiznTSL MOS N.Novgorod</v>
      </c>
      <c r="B184" s="284" t="s">
        <v>173</v>
      </c>
      <c r="C184" s="249" t="s">
        <v>317</v>
      </c>
      <c r="D184" s="284" t="s">
        <v>318</v>
      </c>
      <c r="E184" s="272" t="s">
        <v>319</v>
      </c>
      <c r="F184" s="284" t="s">
        <v>356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352</v>
      </c>
    </row>
    <row r="185" spans="1:41" hidden="1" x14ac:dyDescent="0.25">
      <c r="A185" s="272" t="str">
        <f t="shared" si="18"/>
        <v>РостовскаяDDM MOS Sladkaay ZhiznTSL MOS N.Novgorod</v>
      </c>
      <c r="B185" s="284" t="s">
        <v>156</v>
      </c>
      <c r="C185" s="249" t="s">
        <v>317</v>
      </c>
      <c r="D185" s="284" t="s">
        <v>318</v>
      </c>
      <c r="E185" s="272" t="s">
        <v>319</v>
      </c>
      <c r="F185" s="284" t="s">
        <v>356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352</v>
      </c>
    </row>
    <row r="186" spans="1:41" hidden="1" x14ac:dyDescent="0.25">
      <c r="A186" s="272" t="str">
        <f t="shared" si="18"/>
        <v>СаратовскаяDDM MOS Sladkaay ZhiznTSL MOS N.Novgorod</v>
      </c>
      <c r="B186" s="284" t="s">
        <v>154</v>
      </c>
      <c r="C186" s="249" t="s">
        <v>317</v>
      </c>
      <c r="D186" s="284" t="s">
        <v>318</v>
      </c>
      <c r="E186" s="272" t="s">
        <v>319</v>
      </c>
      <c r="F186" s="284" t="s">
        <v>356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352</v>
      </c>
    </row>
    <row r="187" spans="1:41" hidden="1" x14ac:dyDescent="0.25">
      <c r="A187" s="272" t="str">
        <f t="shared" si="18"/>
        <v>СтавропольскийDDM MOS Sladkaay ZhiznTSL MOS N.Novgorod</v>
      </c>
      <c r="B187" s="284" t="s">
        <v>160</v>
      </c>
      <c r="C187" s="249" t="s">
        <v>317</v>
      </c>
      <c r="D187" s="284" t="s">
        <v>318</v>
      </c>
      <c r="E187" s="272" t="s">
        <v>319</v>
      </c>
      <c r="F187" s="287" t="s">
        <v>356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352</v>
      </c>
    </row>
    <row r="188" spans="1:41" hidden="1" x14ac:dyDescent="0.25">
      <c r="A188" s="272" t="str">
        <f t="shared" si="18"/>
        <v>НовосибирскаяDDM MOS Sladkaay ZhiznTSL MOS N.Novgorod</v>
      </c>
      <c r="B188" s="284" t="s">
        <v>127</v>
      </c>
      <c r="C188" s="249" t="s">
        <v>317</v>
      </c>
      <c r="D188" s="284" t="s">
        <v>318</v>
      </c>
      <c r="E188" s="272" t="s">
        <v>319</v>
      </c>
      <c r="F188" s="287" t="s">
        <v>357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352</v>
      </c>
    </row>
    <row r="189" spans="1:41" hidden="1" x14ac:dyDescent="0.25">
      <c r="A189" s="272" t="str">
        <f t="shared" si="18"/>
        <v>ПермскийDDM MOS Sladkaay ZhiznTSL MOS N.Novgorod</v>
      </c>
      <c r="B189" s="284" t="s">
        <v>102</v>
      </c>
      <c r="C189" s="249" t="s">
        <v>317</v>
      </c>
      <c r="D189" s="284" t="s">
        <v>318</v>
      </c>
      <c r="E189" s="272" t="s">
        <v>319</v>
      </c>
      <c r="F189" s="284" t="s">
        <v>358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352</v>
      </c>
    </row>
    <row r="190" spans="1:41" hidden="1" x14ac:dyDescent="0.25">
      <c r="A190" s="272" t="str">
        <f t="shared" si="18"/>
        <v>ЧелябинскаяDDM MOS Sladkaay ZhiznTSL MOS N.Novgorod</v>
      </c>
      <c r="B190" s="284" t="s">
        <v>103</v>
      </c>
      <c r="C190" s="249" t="s">
        <v>317</v>
      </c>
      <c r="D190" s="284" t="s">
        <v>318</v>
      </c>
      <c r="E190" s="272" t="s">
        <v>319</v>
      </c>
      <c r="F190" s="287" t="s">
        <v>358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352</v>
      </c>
    </row>
    <row r="191" spans="1:41" hidden="1" x14ac:dyDescent="0.25">
      <c r="A191" s="272" t="str">
        <f t="shared" si="18"/>
        <v>СамарскаяDDM MOS Sladkaay ZhiznTSL MOS N.Novgorod</v>
      </c>
      <c r="B191" s="284" t="s">
        <v>105</v>
      </c>
      <c r="C191" s="249" t="s">
        <v>317</v>
      </c>
      <c r="D191" s="284" t="s">
        <v>318</v>
      </c>
      <c r="E191" s="272" t="s">
        <v>319</v>
      </c>
      <c r="F191" s="287" t="s">
        <v>359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352</v>
      </c>
    </row>
    <row r="192" spans="1:41" hidden="1" x14ac:dyDescent="0.25">
      <c r="A192" s="272" t="str">
        <f t="shared" si="18"/>
        <v>СвердловскаяDDM MOS Sladkaay ZhiznTSL MOS N.Novgorod</v>
      </c>
      <c r="B192" s="284" t="s">
        <v>118</v>
      </c>
      <c r="C192" s="249" t="s">
        <v>317</v>
      </c>
      <c r="D192" s="284" t="s">
        <v>318</v>
      </c>
      <c r="E192" s="272" t="s">
        <v>319</v>
      </c>
      <c r="F192" s="287" t="s">
        <v>360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352</v>
      </c>
    </row>
    <row r="193" spans="1:41" hidden="1" x14ac:dyDescent="0.25">
      <c r="A193" s="272" t="str">
        <f t="shared" si="18"/>
        <v>БелгородскаяRADM MoscowRAL MOS SPT RKA</v>
      </c>
      <c r="B193" s="287" t="s">
        <v>341</v>
      </c>
      <c r="C193" s="249" t="s">
        <v>317</v>
      </c>
      <c r="D193" s="249" t="s">
        <v>337</v>
      </c>
      <c r="E193" s="272" t="s">
        <v>338</v>
      </c>
      <c r="F193" s="251" t="s">
        <v>325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361</v>
      </c>
    </row>
    <row r="194" spans="1:41" hidden="1" x14ac:dyDescent="0.25">
      <c r="A194" s="272" t="str">
        <f t="shared" si="18"/>
        <v>МоскваRADM MoscowRAL MOS SPT RKA</v>
      </c>
      <c r="B194" s="287" t="s">
        <v>7</v>
      </c>
      <c r="C194" s="249" t="s">
        <v>317</v>
      </c>
      <c r="D194" s="249" t="s">
        <v>337</v>
      </c>
      <c r="E194" s="272" t="s">
        <v>338</v>
      </c>
      <c r="F194" s="251" t="s">
        <v>325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361</v>
      </c>
    </row>
    <row r="195" spans="1:41" hidden="1" x14ac:dyDescent="0.25">
      <c r="A195" s="272" t="str">
        <f t="shared" si="18"/>
        <v>МосковскаяRADM MoscowRAL MOS SPT RKA</v>
      </c>
      <c r="B195" s="287" t="s">
        <v>333</v>
      </c>
      <c r="C195" s="249" t="s">
        <v>317</v>
      </c>
      <c r="D195" s="249" t="s">
        <v>337</v>
      </c>
      <c r="E195" s="272" t="s">
        <v>338</v>
      </c>
      <c r="F195" s="251" t="s">
        <v>325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361</v>
      </c>
    </row>
    <row r="196" spans="1:41" hidden="1" x14ac:dyDescent="0.25">
      <c r="A196" s="272" t="str">
        <f t="shared" ref="A196:A233" si="27">B196&amp;D196&amp;E196</f>
        <v>СамарскаяRADM MoscowRAL MOS SPT RKA</v>
      </c>
      <c r="B196" s="287" t="s">
        <v>105</v>
      </c>
      <c r="C196" s="249" t="s">
        <v>317</v>
      </c>
      <c r="D196" s="249" t="s">
        <v>337</v>
      </c>
      <c r="E196" s="272" t="s">
        <v>338</v>
      </c>
      <c r="F196" s="251" t="s">
        <v>325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361</v>
      </c>
    </row>
    <row r="197" spans="1:41" hidden="1" x14ac:dyDescent="0.25">
      <c r="A197" s="272" t="str">
        <f t="shared" si="27"/>
        <v>Санкт-ПетербургRADM MoscowRAL MOS SPT RKA</v>
      </c>
      <c r="B197" s="287" t="s">
        <v>346</v>
      </c>
      <c r="C197" s="249" t="s">
        <v>317</v>
      </c>
      <c r="D197" s="249" t="s">
        <v>337</v>
      </c>
      <c r="E197" s="272" t="s">
        <v>338</v>
      </c>
      <c r="F197" s="251" t="s">
        <v>325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361</v>
      </c>
    </row>
    <row r="198" spans="1:41" hidden="1" x14ac:dyDescent="0.25">
      <c r="A198" s="272" t="str">
        <f t="shared" si="27"/>
        <v>ВладимирскаяTDM MOS Grocery RKA+NA Moscow NorthKADL MOS NA Vladimir</v>
      </c>
      <c r="B198" s="287" t="s">
        <v>22</v>
      </c>
      <c r="C198" s="249" t="s">
        <v>317</v>
      </c>
      <c r="D198" s="284" t="s">
        <v>362</v>
      </c>
      <c r="E198" s="272" t="s">
        <v>363</v>
      </c>
      <c r="I198" s="272" t="s">
        <v>342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hidden="1" x14ac:dyDescent="0.25">
      <c r="A199" s="272" t="str">
        <f t="shared" si="27"/>
        <v>КалужскаяTDM MOS Grocery RKA+NA Moscow SouthKADL MOS Grocery RKA+NA Tula+Ryazan-Kaluga</v>
      </c>
      <c r="B199" s="287" t="s">
        <v>20</v>
      </c>
      <c r="C199" s="249" t="s">
        <v>317</v>
      </c>
      <c r="D199" s="284" t="s">
        <v>364</v>
      </c>
      <c r="E199" s="272" t="s">
        <v>365</v>
      </c>
      <c r="I199" s="272" t="s">
        <v>343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hidden="1" x14ac:dyDescent="0.25">
      <c r="A200" s="272" t="str">
        <f t="shared" si="27"/>
        <v>КировскаяTDM MOS Grocery RKA+NA Moscow NorthKADL MOS NA Vladimir</v>
      </c>
      <c r="B200" s="287" t="s">
        <v>25</v>
      </c>
      <c r="C200" s="249" t="s">
        <v>317</v>
      </c>
      <c r="D200" s="284" t="s">
        <v>362</v>
      </c>
      <c r="E200" s="272" t="s">
        <v>363</v>
      </c>
      <c r="I200" s="272" t="s">
        <v>342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hidden="1" x14ac:dyDescent="0.25">
      <c r="A201" s="272" t="str">
        <f t="shared" si="27"/>
        <v>Марий ЭлTDM MOS Grocery RKA+NA Moscow NorthKADL MOS NA N.Novgorod</v>
      </c>
      <c r="B201" s="287" t="s">
        <v>350</v>
      </c>
      <c r="C201" s="249" t="s">
        <v>317</v>
      </c>
      <c r="D201" s="284" t="s">
        <v>362</v>
      </c>
      <c r="E201" s="272" t="s">
        <v>366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367</v>
      </c>
    </row>
    <row r="202" spans="1:41" hidden="1" x14ac:dyDescent="0.25">
      <c r="A202" s="272" t="str">
        <f t="shared" si="27"/>
        <v>МордовияTDM MOS Grocery RKA+NA Moscow NorthKADL MOS NA Vladimir</v>
      </c>
      <c r="B202" s="287" t="s">
        <v>27</v>
      </c>
      <c r="C202" s="249" t="s">
        <v>317</v>
      </c>
      <c r="D202" s="284" t="s">
        <v>362</v>
      </c>
      <c r="E202" s="272" t="s">
        <v>363</v>
      </c>
      <c r="I202" s="272" t="s">
        <v>368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hidden="1" x14ac:dyDescent="0.25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317</v>
      </c>
      <c r="D203" s="284" t="s">
        <v>362</v>
      </c>
      <c r="E203" s="272" t="s">
        <v>369</v>
      </c>
      <c r="I203" s="272" t="s">
        <v>342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hidden="1" x14ac:dyDescent="0.25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317</v>
      </c>
      <c r="D204" s="284" t="s">
        <v>362</v>
      </c>
      <c r="E204" s="272" t="s">
        <v>370</v>
      </c>
      <c r="I204" s="272" t="s">
        <v>342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hidden="1" x14ac:dyDescent="0.25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317</v>
      </c>
      <c r="D205" s="284" t="s">
        <v>362</v>
      </c>
      <c r="E205" s="272" t="s">
        <v>371</v>
      </c>
      <c r="I205" s="272" t="s">
        <v>342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hidden="1" x14ac:dyDescent="0.25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317</v>
      </c>
      <c r="D206" s="284" t="s">
        <v>364</v>
      </c>
      <c r="E206" s="272" t="s">
        <v>372</v>
      </c>
      <c r="I206" s="272" t="s">
        <v>343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hidden="1" x14ac:dyDescent="0.25">
      <c r="A207" s="272" t="str">
        <f t="shared" si="27"/>
        <v>МоскваTDM MOS Grocery RKA+NA Moscow SouthKADL MOS Grocery Tander South</v>
      </c>
      <c r="B207" s="287" t="s">
        <v>7</v>
      </c>
      <c r="C207" s="249" t="s">
        <v>317</v>
      </c>
      <c r="D207" s="284" t="s">
        <v>364</v>
      </c>
      <c r="E207" s="272" t="s">
        <v>373</v>
      </c>
      <c r="I207" s="272" t="s">
        <v>343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hidden="1" x14ac:dyDescent="0.25">
      <c r="A208" s="272" t="str">
        <f t="shared" si="27"/>
        <v>МосковскаяTDM MOS Grocery RKA+NA Moscow NorthKADL MOS Grocery RKA+NA DiscSuper Mos Obl North 2</v>
      </c>
      <c r="B208" s="284" t="s">
        <v>333</v>
      </c>
      <c r="C208" s="249" t="s">
        <v>317</v>
      </c>
      <c r="D208" s="284" t="s">
        <v>362</v>
      </c>
      <c r="E208" s="272" t="s">
        <v>369</v>
      </c>
      <c r="I208" s="272" t="s">
        <v>342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hidden="1" x14ac:dyDescent="0.25">
      <c r="A209" s="272" t="str">
        <f t="shared" si="27"/>
        <v>МосковскаяTDM MOS Grocery RKA+NA Moscow NorthKADL MOS Grocery RKA+NA DiscSuper Moscow East</v>
      </c>
      <c r="B209" s="284" t="s">
        <v>333</v>
      </c>
      <c r="C209" s="249" t="s">
        <v>317</v>
      </c>
      <c r="D209" s="284" t="s">
        <v>362</v>
      </c>
      <c r="E209" s="272" t="s">
        <v>370</v>
      </c>
      <c r="I209" s="272" t="s">
        <v>342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hidden="1" x14ac:dyDescent="0.25">
      <c r="A210" s="272" t="str">
        <f t="shared" si="27"/>
        <v>МосковскаяTDM MOS Grocery RKA+NA Moscow NorthKADL MOS Grocery RKA+NA Hyper Moscow North</v>
      </c>
      <c r="B210" s="284" t="s">
        <v>333</v>
      </c>
      <c r="C210" s="249" t="s">
        <v>317</v>
      </c>
      <c r="D210" s="284" t="s">
        <v>362</v>
      </c>
      <c r="E210" s="272" t="s">
        <v>371</v>
      </c>
      <c r="I210" s="272" t="s">
        <v>342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hidden="1" x14ac:dyDescent="0.25">
      <c r="A211" s="272" t="str">
        <f t="shared" si="27"/>
        <v>МосковскаяTDM MOS Grocery RKA+NA Moscow SouthKADL MOS Grocery Dixy ( вакансия)</v>
      </c>
      <c r="B211" s="284" t="s">
        <v>333</v>
      </c>
      <c r="C211" s="249" t="s">
        <v>317</v>
      </c>
      <c r="D211" s="284" t="s">
        <v>364</v>
      </c>
      <c r="E211" s="272" t="s">
        <v>372</v>
      </c>
      <c r="I211" s="272" t="s">
        <v>343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hidden="1" x14ac:dyDescent="0.25">
      <c r="A212" s="272" t="str">
        <f t="shared" si="27"/>
        <v>МосковскаяTDM MOS Grocery RKA+NA Moscow SouthKADL MOS Grocery Tander South</v>
      </c>
      <c r="B212" s="287" t="s">
        <v>333</v>
      </c>
      <c r="C212" s="249" t="s">
        <v>317</v>
      </c>
      <c r="D212" s="284" t="s">
        <v>364</v>
      </c>
      <c r="E212" s="272" t="s">
        <v>373</v>
      </c>
      <c r="I212" s="272" t="s">
        <v>343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hidden="1" x14ac:dyDescent="0.25">
      <c r="A213" s="272" t="str">
        <f t="shared" si="27"/>
        <v>НижегородскаяTDM MOS Grocery RKA+NA Moscow NorthKADL MOS NA Vladimir</v>
      </c>
      <c r="B213" s="284" t="s">
        <v>21</v>
      </c>
      <c r="C213" s="249" t="s">
        <v>317</v>
      </c>
      <c r="D213" s="284" t="s">
        <v>362</v>
      </c>
      <c r="E213" s="272" t="s">
        <v>363</v>
      </c>
      <c r="I213" s="272" t="s">
        <v>342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hidden="1" x14ac:dyDescent="0.25">
      <c r="A214" s="272" t="str">
        <f t="shared" si="27"/>
        <v>НижегородскаяTDM MOS Grocery RKA+NA Moscow NorthKADL MOS NA N.Novgorod</v>
      </c>
      <c r="B214" s="287" t="s">
        <v>21</v>
      </c>
      <c r="C214" s="249" t="s">
        <v>317</v>
      </c>
      <c r="D214" s="284" t="s">
        <v>362</v>
      </c>
      <c r="E214" s="272" t="s">
        <v>366</v>
      </c>
      <c r="I214" s="272" t="s">
        <v>342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hidden="1" x14ac:dyDescent="0.25">
      <c r="A215" s="272" t="str">
        <f t="shared" si="27"/>
        <v>РязанскаяTDM MOS Grocery RKA+NA Moscow SouthKADL MOS Grocery RKA+NA Tula+Ryazan-Kaluga</v>
      </c>
      <c r="B215" s="287" t="s">
        <v>18</v>
      </c>
      <c r="C215" s="249" t="s">
        <v>317</v>
      </c>
      <c r="D215" s="284" t="s">
        <v>364</v>
      </c>
      <c r="E215" s="272" t="s">
        <v>365</v>
      </c>
      <c r="I215" s="272" t="s">
        <v>343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hidden="1" x14ac:dyDescent="0.25">
      <c r="A216" s="272" t="str">
        <f t="shared" si="27"/>
        <v>ТульскаяTDM MOS Grocery RKA+NA Moscow SouthKADL MOS Grocery RKA+NA Tula+Ryazan-Kaluga</v>
      </c>
      <c r="B216" s="287" t="s">
        <v>17</v>
      </c>
      <c r="C216" s="249" t="s">
        <v>317</v>
      </c>
      <c r="D216" s="284" t="s">
        <v>364</v>
      </c>
      <c r="E216" s="272" t="s">
        <v>365</v>
      </c>
      <c r="I216" s="272" t="s">
        <v>343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hidden="1" x14ac:dyDescent="0.25">
      <c r="A217" s="272" t="str">
        <f t="shared" si="27"/>
        <v>Чувашская Республика -TDM MOS Grocery RKA+NA Moscow NorthKADL MOS NA N.Novgorod</v>
      </c>
      <c r="B217" s="287" t="s">
        <v>336</v>
      </c>
      <c r="C217" s="249" t="s">
        <v>317</v>
      </c>
      <c r="D217" s="284" t="s">
        <v>362</v>
      </c>
      <c r="E217" s="272" t="s">
        <v>366</v>
      </c>
      <c r="I217" s="272" t="s">
        <v>342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hidden="1" x14ac:dyDescent="0.25">
      <c r="A218" s="272" t="str">
        <f t="shared" si="27"/>
        <v>МосковскаяRADM MoscowJRAM Verniy</v>
      </c>
      <c r="B218" s="272" t="s">
        <v>333</v>
      </c>
      <c r="C218" s="249" t="s">
        <v>317</v>
      </c>
      <c r="D218" s="284" t="s">
        <v>337</v>
      </c>
      <c r="E218" s="284" t="s">
        <v>374</v>
      </c>
      <c r="I218" s="288" t="s">
        <v>375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376</v>
      </c>
      <c r="AQ218" s="452">
        <v>516389977.08349985</v>
      </c>
    </row>
    <row r="219" spans="1:43" hidden="1" x14ac:dyDescent="0.25">
      <c r="A219" s="272" t="str">
        <f t="shared" si="27"/>
        <v>ВладимирскаяRADM MoscowJRAM Verniy</v>
      </c>
      <c r="B219" s="272" t="s">
        <v>22</v>
      </c>
      <c r="C219" s="249" t="s">
        <v>317</v>
      </c>
      <c r="D219" s="284" t="s">
        <v>337</v>
      </c>
      <c r="E219" s="284" t="s">
        <v>374</v>
      </c>
      <c r="I219" s="288" t="s">
        <v>377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hidden="1" x14ac:dyDescent="0.25">
      <c r="A220" s="272" t="str">
        <f t="shared" si="27"/>
        <v>КалужскаяRADM MoscowJRAM Verniy</v>
      </c>
      <c r="B220" s="272" t="s">
        <v>20</v>
      </c>
      <c r="C220" s="249" t="s">
        <v>317</v>
      </c>
      <c r="D220" s="284" t="s">
        <v>337</v>
      </c>
      <c r="E220" s="284" t="s">
        <v>374</v>
      </c>
      <c r="I220" s="288" t="s">
        <v>343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hidden="1" x14ac:dyDescent="0.25">
      <c r="A221" s="272" t="str">
        <f t="shared" si="27"/>
        <v>ЛенинградскаяRADM MoscowJRAM Verniy</v>
      </c>
      <c r="B221" s="272" t="s">
        <v>345</v>
      </c>
      <c r="C221" s="249" t="s">
        <v>317</v>
      </c>
      <c r="D221" s="284" t="s">
        <v>337</v>
      </c>
      <c r="E221" s="284" t="s">
        <v>374</v>
      </c>
      <c r="I221" s="288" t="s">
        <v>377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hidden="1" x14ac:dyDescent="0.25">
      <c r="A222" s="272" t="str">
        <f t="shared" si="27"/>
        <v>МоскваRADM MoscowJRAM Verniy</v>
      </c>
      <c r="B222" s="272" t="s">
        <v>7</v>
      </c>
      <c r="C222" s="249" t="s">
        <v>317</v>
      </c>
      <c r="D222" s="284" t="s">
        <v>337</v>
      </c>
      <c r="E222" s="284" t="s">
        <v>374</v>
      </c>
      <c r="H222" s="272">
        <v>1</v>
      </c>
      <c r="I222" s="288" t="s">
        <v>375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hidden="1" x14ac:dyDescent="0.25">
      <c r="A223" s="272" t="str">
        <f t="shared" si="27"/>
        <v>МосковскаяRADM MoscowJRAM Verniy</v>
      </c>
      <c r="B223" s="272" t="s">
        <v>333</v>
      </c>
      <c r="C223" s="249" t="s">
        <v>317</v>
      </c>
      <c r="D223" s="284" t="s">
        <v>337</v>
      </c>
      <c r="E223" s="284" t="s">
        <v>374</v>
      </c>
      <c r="I223" s="288" t="s">
        <v>375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hidden="1" x14ac:dyDescent="0.25">
      <c r="A224" s="272" t="str">
        <f t="shared" si="27"/>
        <v>НовгородскаяRADM MoscowJRAM Verniy</v>
      </c>
      <c r="B224" s="272" t="s">
        <v>36</v>
      </c>
      <c r="C224" s="249" t="s">
        <v>317</v>
      </c>
      <c r="D224" s="284" t="s">
        <v>337</v>
      </c>
      <c r="E224" s="284" t="s">
        <v>374</v>
      </c>
      <c r="I224" s="288" t="s">
        <v>377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hidden="1" x14ac:dyDescent="0.25">
      <c r="A225" s="272" t="str">
        <f t="shared" si="27"/>
        <v>Санкт-ПетербургRADM MoscowJRAM Verniy</v>
      </c>
      <c r="B225" s="272" t="s">
        <v>346</v>
      </c>
      <c r="C225" s="249" t="s">
        <v>317</v>
      </c>
      <c r="D225" s="284" t="s">
        <v>337</v>
      </c>
      <c r="E225" s="284" t="s">
        <v>374</v>
      </c>
      <c r="I225" s="288" t="s">
        <v>377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hidden="1" x14ac:dyDescent="0.25">
      <c r="A226" s="272" t="str">
        <f t="shared" si="27"/>
        <v>СвердловскаяRADM MoscowJRAM Verniy</v>
      </c>
      <c r="B226" s="272" t="s">
        <v>118</v>
      </c>
      <c r="C226" s="249" t="s">
        <v>317</v>
      </c>
      <c r="D226" s="284" t="s">
        <v>337</v>
      </c>
      <c r="E226" s="284" t="s">
        <v>374</v>
      </c>
      <c r="I226" s="288" t="s">
        <v>343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hidden="1" x14ac:dyDescent="0.25">
      <c r="A227" s="272" t="str">
        <f t="shared" si="27"/>
        <v>ТатарстанRADM MoscowJRAM Verniy</v>
      </c>
      <c r="B227" s="272" t="s">
        <v>93</v>
      </c>
      <c r="C227" s="249" t="s">
        <v>317</v>
      </c>
      <c r="D227" s="284" t="s">
        <v>337</v>
      </c>
      <c r="E227" s="284" t="s">
        <v>374</v>
      </c>
      <c r="I227" s="288" t="s">
        <v>343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hidden="1" x14ac:dyDescent="0.25">
      <c r="A228" s="272" t="str">
        <f t="shared" si="27"/>
        <v>ТверскаяRADM MoscowJRAM Verniy</v>
      </c>
      <c r="B228" s="272" t="s">
        <v>55</v>
      </c>
      <c r="C228" s="249" t="s">
        <v>317</v>
      </c>
      <c r="D228" s="284" t="s">
        <v>337</v>
      </c>
      <c r="E228" s="284" t="s">
        <v>374</v>
      </c>
      <c r="I228" s="288" t="s">
        <v>377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hidden="1" x14ac:dyDescent="0.25">
      <c r="A229" s="272" t="str">
        <f t="shared" si="27"/>
        <v>ТульскаяRADM MoscowJRAM Verniy</v>
      </c>
      <c r="B229" s="272" t="s">
        <v>17</v>
      </c>
      <c r="C229" s="249" t="s">
        <v>317</v>
      </c>
      <c r="D229" s="284" t="s">
        <v>337</v>
      </c>
      <c r="E229" s="284" t="s">
        <v>374</v>
      </c>
      <c r="I229" s="288" t="s">
        <v>343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hidden="1" x14ac:dyDescent="0.25">
      <c r="A230" s="272" t="str">
        <f t="shared" si="27"/>
        <v>ЯрославскаяRADM MoscowJRAM Verniy</v>
      </c>
      <c r="B230" s="272" t="s">
        <v>51</v>
      </c>
      <c r="C230" s="249" t="s">
        <v>317</v>
      </c>
      <c r="D230" s="284" t="s">
        <v>337</v>
      </c>
      <c r="E230" s="284" t="s">
        <v>374</v>
      </c>
      <c r="I230" s="288" t="s">
        <v>377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hidden="1" x14ac:dyDescent="0.25">
      <c r="A231" s="272" t="str">
        <f t="shared" si="27"/>
        <v>МоскваASM MOS Food Trade+SorsoTSL MOS SPT Moscow Play Sorso</v>
      </c>
      <c r="B231" s="287" t="s">
        <v>7</v>
      </c>
      <c r="C231" s="249" t="s">
        <v>317</v>
      </c>
      <c r="D231" s="249" t="s">
        <v>323</v>
      </c>
      <c r="E231" s="272" t="s">
        <v>324</v>
      </c>
      <c r="F231" s="287" t="s">
        <v>378</v>
      </c>
      <c r="H231" s="272">
        <v>1</v>
      </c>
      <c r="I231" s="272" t="s">
        <v>379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hidden="1" x14ac:dyDescent="0.25">
      <c r="A232" s="272" t="str">
        <f t="shared" si="27"/>
        <v>Марий Эл DDM MOS Sladkaay ZhiznTSL MOS Cheboksary</v>
      </c>
      <c r="B232" s="284" t="s">
        <v>380</v>
      </c>
      <c r="C232" s="249" t="s">
        <v>317</v>
      </c>
      <c r="D232" s="249" t="s">
        <v>318</v>
      </c>
      <c r="E232" s="250" t="s">
        <v>326</v>
      </c>
      <c r="F232" s="284" t="s">
        <v>320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321</v>
      </c>
    </row>
    <row r="233" spans="1:43" ht="30" hidden="1" x14ac:dyDescent="0.25">
      <c r="A233" s="272" t="str">
        <f t="shared" si="27"/>
        <v>НижегородскаяDDM MOS Sladkaay ZhiznTSL MOS  Moscow 1 Sladkaya Zhizn</v>
      </c>
      <c r="B233" s="248" t="s">
        <v>21</v>
      </c>
      <c r="C233" s="249" t="s">
        <v>317</v>
      </c>
      <c r="D233" s="249" t="s">
        <v>318</v>
      </c>
      <c r="E233" s="250" t="s">
        <v>331</v>
      </c>
      <c r="F233" s="251" t="s">
        <v>322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328</v>
      </c>
    </row>
    <row r="234" spans="1:43" hidden="1" x14ac:dyDescent="0.25">
      <c r="B234" s="278" t="s">
        <v>333</v>
      </c>
      <c r="C234" s="249" t="s">
        <v>317</v>
      </c>
      <c r="D234" s="284" t="s">
        <v>364</v>
      </c>
      <c r="E234" s="272" t="s">
        <v>381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382</v>
      </c>
    </row>
    <row r="235" spans="1:43" s="279" customFormat="1" hidden="1" x14ac:dyDescent="0.25">
      <c r="A235" s="279" t="str">
        <f t="shared" ref="A235:A261" si="36">B235&amp;D235&amp;E235</f>
        <v>АлтайскийDDM MOS Sladkaay ZhiznTSL MOS Cheboksary</v>
      </c>
      <c r="B235" s="278" t="s">
        <v>383</v>
      </c>
      <c r="C235" s="249" t="s">
        <v>317</v>
      </c>
      <c r="D235" s="277" t="s">
        <v>318</v>
      </c>
      <c r="E235" s="282" t="s">
        <v>326</v>
      </c>
      <c r="F235" s="276" t="s">
        <v>320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384</v>
      </c>
    </row>
    <row r="236" spans="1:43" s="279" customFormat="1" hidden="1" x14ac:dyDescent="0.25">
      <c r="A236" s="279" t="str">
        <f t="shared" si="36"/>
        <v>БашкортостанDDM MOS Sladkaay ZhiznTSL MOS Cheboksary</v>
      </c>
      <c r="B236" s="278" t="s">
        <v>353</v>
      </c>
      <c r="C236" s="249" t="s">
        <v>317</v>
      </c>
      <c r="D236" s="277" t="s">
        <v>318</v>
      </c>
      <c r="E236" s="282" t="s">
        <v>326</v>
      </c>
      <c r="F236" s="276" t="s">
        <v>320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384</v>
      </c>
    </row>
    <row r="237" spans="1:43" s="279" customFormat="1" hidden="1" x14ac:dyDescent="0.25">
      <c r="A237" s="279" t="str">
        <f t="shared" si="36"/>
        <v>ВладимирскаяDDM MOS Sladkaay ZhiznTSL MOS Cheboksary</v>
      </c>
      <c r="B237" s="278" t="s">
        <v>22</v>
      </c>
      <c r="C237" s="249" t="s">
        <v>317</v>
      </c>
      <c r="D237" s="277" t="s">
        <v>318</v>
      </c>
      <c r="E237" s="282" t="s">
        <v>326</v>
      </c>
      <c r="F237" s="276" t="s">
        <v>320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384</v>
      </c>
    </row>
    <row r="238" spans="1:43" s="279" customFormat="1" hidden="1" x14ac:dyDescent="0.25">
      <c r="A238" s="279" t="str">
        <f t="shared" si="36"/>
        <v>ИвановскаяDDM MOS Sladkaay ZhiznTSL MOS Cheboksary</v>
      </c>
      <c r="B238" s="278" t="s">
        <v>56</v>
      </c>
      <c r="C238" s="249" t="s">
        <v>317</v>
      </c>
      <c r="D238" s="277" t="s">
        <v>318</v>
      </c>
      <c r="E238" s="282" t="s">
        <v>326</v>
      </c>
      <c r="F238" s="276" t="s">
        <v>320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384</v>
      </c>
    </row>
    <row r="239" spans="1:43" s="279" customFormat="1" hidden="1" x14ac:dyDescent="0.25">
      <c r="A239" s="279" t="str">
        <f t="shared" si="36"/>
        <v>ИркутскаяDDM MOS Sladkaay ZhiznTSL MOS Cheboksary</v>
      </c>
      <c r="B239" s="278" t="s">
        <v>90</v>
      </c>
      <c r="C239" s="249" t="s">
        <v>317</v>
      </c>
      <c r="D239" s="277" t="s">
        <v>318</v>
      </c>
      <c r="E239" s="282" t="s">
        <v>326</v>
      </c>
      <c r="F239" s="276" t="s">
        <v>320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384</v>
      </c>
    </row>
    <row r="240" spans="1:43" s="279" customFormat="1" x14ac:dyDescent="0.25">
      <c r="A240" s="279" t="str">
        <f t="shared" si="36"/>
        <v>КалужскаяDDM MOS Sladkaay ZhiznTSL MOS Cheboksary</v>
      </c>
      <c r="B240" s="283" t="s">
        <v>20</v>
      </c>
      <c r="C240" s="249" t="s">
        <v>317</v>
      </c>
      <c r="D240" s="277" t="s">
        <v>318</v>
      </c>
      <c r="E240" s="282" t="s">
        <v>326</v>
      </c>
      <c r="F240" s="276" t="s">
        <v>320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384</v>
      </c>
    </row>
    <row r="241" spans="1:41" s="279" customFormat="1" x14ac:dyDescent="0.25">
      <c r="A241" s="279" t="str">
        <f t="shared" si="36"/>
        <v>КалужскаяDDM MOS Sladkaay ZhiznTSL MOS Cheboksary</v>
      </c>
      <c r="B241" s="278" t="s">
        <v>20</v>
      </c>
      <c r="C241" s="249" t="s">
        <v>317</v>
      </c>
      <c r="D241" s="277" t="s">
        <v>318</v>
      </c>
      <c r="E241" s="282" t="s">
        <v>326</v>
      </c>
      <c r="F241" s="276" t="s">
        <v>322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384</v>
      </c>
    </row>
    <row r="242" spans="1:41" s="279" customFormat="1" hidden="1" x14ac:dyDescent="0.25">
      <c r="A242" s="279" t="str">
        <f t="shared" si="36"/>
        <v>КировскаяDDM MOS Sladkaay ZhiznTSL MOS Cheboksary</v>
      </c>
      <c r="B242" s="278" t="s">
        <v>25</v>
      </c>
      <c r="C242" s="249" t="s">
        <v>317</v>
      </c>
      <c r="D242" s="277" t="s">
        <v>318</v>
      </c>
      <c r="E242" s="282" t="s">
        <v>326</v>
      </c>
      <c r="F242" s="276" t="s">
        <v>320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384</v>
      </c>
    </row>
    <row r="243" spans="1:41" s="279" customFormat="1" hidden="1" x14ac:dyDescent="0.25">
      <c r="A243" s="279" t="str">
        <f t="shared" si="36"/>
        <v>КостромскаяDDM MOS Sladkaay ZhiznTSL MOS Cheboksary</v>
      </c>
      <c r="B243" s="278" t="s">
        <v>54</v>
      </c>
      <c r="C243" s="249" t="s">
        <v>317</v>
      </c>
      <c r="D243" s="277" t="s">
        <v>318</v>
      </c>
      <c r="E243" s="282" t="s">
        <v>326</v>
      </c>
      <c r="F243" s="276" t="s">
        <v>320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384</v>
      </c>
    </row>
    <row r="244" spans="1:41" s="279" customFormat="1" hidden="1" x14ac:dyDescent="0.25">
      <c r="A244" s="279" t="str">
        <f t="shared" si="36"/>
        <v>Марий ЭлDDM MOS Sladkaay ZhiznTSL MOS Cheboksary</v>
      </c>
      <c r="B244" s="278" t="s">
        <v>350</v>
      </c>
      <c r="C244" s="249" t="s">
        <v>317</v>
      </c>
      <c r="D244" s="277" t="s">
        <v>318</v>
      </c>
      <c r="E244" s="282" t="s">
        <v>326</v>
      </c>
      <c r="F244" s="276" t="s">
        <v>320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384</v>
      </c>
    </row>
    <row r="245" spans="1:41" s="279" customFormat="1" hidden="1" x14ac:dyDescent="0.25">
      <c r="A245" s="279" t="str">
        <f t="shared" si="36"/>
        <v>МордовияDDM MOS Sladkaay ZhiznTSL MOS Cheboksary</v>
      </c>
      <c r="B245" s="278" t="s">
        <v>27</v>
      </c>
      <c r="C245" s="249" t="s">
        <v>317</v>
      </c>
      <c r="D245" s="277" t="s">
        <v>318</v>
      </c>
      <c r="E245" s="282" t="s">
        <v>326</v>
      </c>
      <c r="F245" s="276" t="s">
        <v>320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384</v>
      </c>
    </row>
    <row r="246" spans="1:41" s="279" customFormat="1" hidden="1" x14ac:dyDescent="0.25">
      <c r="A246" s="279" t="str">
        <f t="shared" si="36"/>
        <v>МоскваDDM MOS Sladkaay ZhiznTSL MOS Cheboksary</v>
      </c>
      <c r="B246" s="283" t="s">
        <v>7</v>
      </c>
      <c r="C246" s="249" t="s">
        <v>317</v>
      </c>
      <c r="D246" s="277" t="s">
        <v>318</v>
      </c>
      <c r="E246" s="282" t="s">
        <v>326</v>
      </c>
      <c r="F246" s="276" t="s">
        <v>320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384</v>
      </c>
    </row>
    <row r="247" spans="1:41" s="279" customFormat="1" hidden="1" x14ac:dyDescent="0.25">
      <c r="A247" s="279" t="str">
        <f t="shared" si="36"/>
        <v>МоскваDDM MOS Sladkaay ZhiznTSL MOS Cheboksary</v>
      </c>
      <c r="B247" s="278" t="s">
        <v>7</v>
      </c>
      <c r="C247" s="249" t="s">
        <v>317</v>
      </c>
      <c r="D247" s="277" t="s">
        <v>318</v>
      </c>
      <c r="E247" s="282" t="s">
        <v>326</v>
      </c>
      <c r="F247" s="276" t="s">
        <v>322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384</v>
      </c>
    </row>
    <row r="248" spans="1:41" s="279" customFormat="1" hidden="1" x14ac:dyDescent="0.25">
      <c r="A248" s="279" t="str">
        <f t="shared" si="36"/>
        <v>МосковскаяDDM MOS Sladkaay ZhiznTSL MOS Cheboksary</v>
      </c>
      <c r="B248" s="278" t="s">
        <v>333</v>
      </c>
      <c r="C248" s="249" t="s">
        <v>317</v>
      </c>
      <c r="D248" s="277" t="s">
        <v>318</v>
      </c>
      <c r="E248" s="282" t="s">
        <v>326</v>
      </c>
      <c r="F248" s="276" t="s">
        <v>322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384</v>
      </c>
    </row>
    <row r="249" spans="1:41" s="279" customFormat="1" hidden="1" x14ac:dyDescent="0.25">
      <c r="A249" s="279" t="str">
        <f t="shared" si="36"/>
        <v>НижегородскаяDDM MOS Sladkaay ZhiznTSL MOS Cheboksary</v>
      </c>
      <c r="B249" s="278" t="s">
        <v>21</v>
      </c>
      <c r="C249" s="249" t="s">
        <v>317</v>
      </c>
      <c r="D249" s="277" t="s">
        <v>318</v>
      </c>
      <c r="E249" s="282" t="s">
        <v>326</v>
      </c>
      <c r="F249" s="276" t="s">
        <v>320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384</v>
      </c>
    </row>
    <row r="250" spans="1:41" s="279" customFormat="1" hidden="1" x14ac:dyDescent="0.25">
      <c r="A250" s="279" t="str">
        <f t="shared" si="36"/>
        <v>ПензенскаяDDM MOS Sladkaay ZhiznTSL MOS Cheboksary</v>
      </c>
      <c r="B250" s="278" t="s">
        <v>152</v>
      </c>
      <c r="C250" s="249" t="s">
        <v>317</v>
      </c>
      <c r="D250" s="277" t="s">
        <v>318</v>
      </c>
      <c r="E250" s="282" t="s">
        <v>326</v>
      </c>
      <c r="F250" s="276" t="s">
        <v>320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384</v>
      </c>
    </row>
    <row r="251" spans="1:41" s="279" customFormat="1" x14ac:dyDescent="0.25">
      <c r="A251" s="279" t="str">
        <f t="shared" si="36"/>
        <v>РязанскаяDDM MOS Sladkaay ZhiznTSL MOS Cheboksary</v>
      </c>
      <c r="B251" s="278" t="s">
        <v>18</v>
      </c>
      <c r="C251" s="249" t="s">
        <v>317</v>
      </c>
      <c r="D251" s="277" t="s">
        <v>318</v>
      </c>
      <c r="E251" s="282" t="s">
        <v>326</v>
      </c>
      <c r="F251" s="276" t="s">
        <v>320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384</v>
      </c>
    </row>
    <row r="252" spans="1:41" s="279" customFormat="1" hidden="1" x14ac:dyDescent="0.25">
      <c r="A252" s="279" t="str">
        <f t="shared" si="36"/>
        <v>СамарскаяDDM MOS Sladkaay ZhiznTSL MOS Cheboksary</v>
      </c>
      <c r="B252" s="278" t="s">
        <v>105</v>
      </c>
      <c r="C252" s="249" t="s">
        <v>317</v>
      </c>
      <c r="D252" s="277" t="s">
        <v>318</v>
      </c>
      <c r="E252" s="282" t="s">
        <v>326</v>
      </c>
      <c r="F252" s="276" t="s">
        <v>320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384</v>
      </c>
    </row>
    <row r="253" spans="1:41" s="279" customFormat="1" hidden="1" x14ac:dyDescent="0.25">
      <c r="A253" s="279" t="str">
        <f t="shared" si="36"/>
        <v>ТатарстанDDM MOS Sladkaay ZhiznTSL MOS Cheboksary</v>
      </c>
      <c r="B253" s="278" t="s">
        <v>93</v>
      </c>
      <c r="C253" s="249" t="s">
        <v>317</v>
      </c>
      <c r="D253" s="277" t="s">
        <v>318</v>
      </c>
      <c r="E253" s="282" t="s">
        <v>326</v>
      </c>
      <c r="F253" s="276" t="s">
        <v>320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384</v>
      </c>
    </row>
    <row r="254" spans="1:41" s="279" customFormat="1" hidden="1" x14ac:dyDescent="0.25">
      <c r="A254" s="279" t="str">
        <f t="shared" si="36"/>
        <v>ТверскаяDDM MOS Sladkaay ZhiznTSL MOS Cheboksary</v>
      </c>
      <c r="B254" s="278" t="s">
        <v>55</v>
      </c>
      <c r="C254" s="249" t="s">
        <v>317</v>
      </c>
      <c r="D254" s="277" t="s">
        <v>318</v>
      </c>
      <c r="E254" s="282" t="s">
        <v>326</v>
      </c>
      <c r="F254" s="276" t="s">
        <v>322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384</v>
      </c>
    </row>
    <row r="255" spans="1:41" s="279" customFormat="1" x14ac:dyDescent="0.25">
      <c r="A255" s="279" t="str">
        <f t="shared" si="36"/>
        <v>ТульскаяDDM MOS Sladkaay ZhiznTSL MOS Cheboksary</v>
      </c>
      <c r="B255" s="278" t="s">
        <v>17</v>
      </c>
      <c r="C255" s="249" t="s">
        <v>317</v>
      </c>
      <c r="D255" s="277" t="s">
        <v>318</v>
      </c>
      <c r="E255" s="282" t="s">
        <v>326</v>
      </c>
      <c r="F255" s="276" t="s">
        <v>322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384</v>
      </c>
    </row>
    <row r="256" spans="1:41" s="279" customFormat="1" hidden="1" x14ac:dyDescent="0.25">
      <c r="A256" s="279" t="str">
        <f t="shared" si="36"/>
        <v>УдмуртскаяDDM MOS Sladkaay ZhiznTSL MOS Cheboksary</v>
      </c>
      <c r="B256" s="278" t="s">
        <v>385</v>
      </c>
      <c r="C256" s="249" t="s">
        <v>317</v>
      </c>
      <c r="D256" s="277" t="s">
        <v>318</v>
      </c>
      <c r="E256" s="282" t="s">
        <v>326</v>
      </c>
      <c r="F256" s="276" t="s">
        <v>320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384</v>
      </c>
    </row>
    <row r="257" spans="1:41" s="279" customFormat="1" hidden="1" x14ac:dyDescent="0.25">
      <c r="A257" s="279" t="str">
        <f t="shared" si="36"/>
        <v>УльяновскаяDDM MOS Sladkaay ZhiznTSL MOS Cheboksary</v>
      </c>
      <c r="B257" s="278" t="s">
        <v>107</v>
      </c>
      <c r="C257" s="249" t="s">
        <v>317</v>
      </c>
      <c r="D257" s="277" t="s">
        <v>318</v>
      </c>
      <c r="E257" s="282" t="s">
        <v>326</v>
      </c>
      <c r="F257" s="276" t="s">
        <v>320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384</v>
      </c>
    </row>
    <row r="258" spans="1:41" s="279" customFormat="1" hidden="1" x14ac:dyDescent="0.25">
      <c r="A258" s="279" t="str">
        <f t="shared" si="36"/>
        <v>Чувашская Республика -DDM MOS Sladkaay ZhiznTSL MOS Cheboksary</v>
      </c>
      <c r="B258" s="278" t="s">
        <v>336</v>
      </c>
      <c r="C258" s="249" t="s">
        <v>317</v>
      </c>
      <c r="D258" s="277" t="s">
        <v>318</v>
      </c>
      <c r="E258" s="282" t="s">
        <v>326</v>
      </c>
      <c r="F258" s="276" t="s">
        <v>320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384</v>
      </c>
    </row>
    <row r="259" spans="1:41" s="279" customFormat="1" hidden="1" x14ac:dyDescent="0.25">
      <c r="A259" s="279" t="str">
        <f t="shared" si="36"/>
        <v>ЯрославскаяDDM MOS Sladkaay ZhiznTSL MOS Cheboksary</v>
      </c>
      <c r="B259" s="283" t="s">
        <v>51</v>
      </c>
      <c r="C259" s="249" t="s">
        <v>317</v>
      </c>
      <c r="D259" s="277" t="s">
        <v>318</v>
      </c>
      <c r="E259" s="282" t="s">
        <v>326</v>
      </c>
      <c r="F259" s="276" t="s">
        <v>320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384</v>
      </c>
    </row>
    <row r="260" spans="1:41" s="279" customFormat="1" hidden="1" x14ac:dyDescent="0.25">
      <c r="A260" s="279" t="str">
        <f t="shared" si="36"/>
        <v>ЯрославскаяDDM MOS Sladkaay ZhiznTSL MOS Cheboksary</v>
      </c>
      <c r="B260" s="278" t="s">
        <v>51</v>
      </c>
      <c r="C260" s="249" t="s">
        <v>317</v>
      </c>
      <c r="D260" s="277" t="s">
        <v>318</v>
      </c>
      <c r="E260" s="282" t="s">
        <v>326</v>
      </c>
      <c r="F260" s="276" t="s">
        <v>322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384</v>
      </c>
    </row>
    <row r="261" spans="1:41" x14ac:dyDescent="0.25">
      <c r="A261" s="279" t="str">
        <f t="shared" si="36"/>
        <v>РязанскаяDDM MOS Sladkaay ZhiznTSL MOS N.Novgorod</v>
      </c>
      <c r="B261" s="278" t="s">
        <v>18</v>
      </c>
      <c r="C261" s="249" t="s">
        <v>317</v>
      </c>
      <c r="D261" s="277" t="s">
        <v>318</v>
      </c>
      <c r="E261" t="s">
        <v>319</v>
      </c>
      <c r="F261" s="276" t="s">
        <v>320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321</v>
      </c>
    </row>
    <row r="262" spans="1:41" hidden="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hidden="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hidden="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hidden="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hidden="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hidden="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hidden="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>
    <filterColumn colId="1">
      <filters>
        <filter val="Калужская"/>
        <filter val="Рязанская"/>
        <filter val="Тульская"/>
      </filters>
    </filterColumn>
    <filterColumn colId="3">
      <filters>
        <filter val="ASM MOS Food Trade+Sorso"/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8" zoomScaleNormal="70" workbookViewId="0">
      <selection activeCell="D26" sqref="D26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182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16" t="s">
        <v>184</v>
      </c>
      <c r="S1" s="517"/>
      <c r="T1" s="517"/>
      <c r="U1" s="517"/>
      <c r="V1" s="517"/>
      <c r="W1" s="517"/>
      <c r="X1" s="517"/>
      <c r="Y1" s="517"/>
      <c r="Z1" s="517"/>
      <c r="AA1" s="517"/>
      <c r="AB1" s="518"/>
      <c r="AC1" s="516" t="s">
        <v>185</v>
      </c>
      <c r="AD1" s="517"/>
      <c r="AE1" s="517"/>
      <c r="AF1" s="517"/>
      <c r="AG1" s="519"/>
      <c r="AH1" s="517"/>
      <c r="AI1" s="517"/>
      <c r="AJ1" s="517"/>
      <c r="AK1" s="517"/>
      <c r="AL1" s="517"/>
      <c r="AM1" s="517"/>
      <c r="AN1" s="518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290</v>
      </c>
      <c r="J2" s="502" t="s">
        <v>291</v>
      </c>
      <c r="K2" s="502"/>
      <c r="L2" s="502"/>
      <c r="M2" s="502" t="s">
        <v>292</v>
      </c>
      <c r="N2" s="502"/>
      <c r="O2" s="502"/>
      <c r="P2" s="502"/>
      <c r="Q2" s="503"/>
      <c r="R2" s="520" t="s">
        <v>186</v>
      </c>
      <c r="S2" s="521"/>
      <c r="T2" s="164" t="s">
        <v>187</v>
      </c>
      <c r="U2" s="165" t="s">
        <v>187</v>
      </c>
      <c r="V2" s="166" t="s">
        <v>187</v>
      </c>
      <c r="W2" s="164" t="s">
        <v>188</v>
      </c>
      <c r="X2" s="165" t="s">
        <v>188</v>
      </c>
      <c r="Y2" s="165" t="s">
        <v>188</v>
      </c>
      <c r="Z2" s="165" t="s">
        <v>188</v>
      </c>
      <c r="AA2" s="165" t="s">
        <v>188</v>
      </c>
      <c r="AB2" s="166" t="s">
        <v>188</v>
      </c>
      <c r="AC2" s="520" t="s">
        <v>189</v>
      </c>
      <c r="AD2" s="522"/>
      <c r="AE2" s="522"/>
      <c r="AF2" s="522"/>
      <c r="AG2" s="523"/>
      <c r="AH2" s="522"/>
      <c r="AI2" s="522"/>
      <c r="AJ2" s="521"/>
      <c r="AK2" s="520" t="s">
        <v>293</v>
      </c>
      <c r="AL2" s="522"/>
      <c r="AM2" s="522"/>
      <c r="AN2" s="521"/>
    </row>
    <row r="3" spans="1:40" ht="60.75" thickBot="1" x14ac:dyDescent="0.3">
      <c r="A3" s="144" t="s">
        <v>190</v>
      </c>
      <c r="B3" s="145" t="s">
        <v>191</v>
      </c>
      <c r="C3" s="145" t="s">
        <v>192</v>
      </c>
      <c r="D3" s="145" t="s">
        <v>193</v>
      </c>
      <c r="E3" s="148" t="s">
        <v>194</v>
      </c>
      <c r="F3" s="153" t="s">
        <v>195</v>
      </c>
      <c r="G3" s="146" t="s">
        <v>196</v>
      </c>
      <c r="H3" s="147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0" t="s">
        <v>302</v>
      </c>
      <c r="S3" s="12" t="s">
        <v>303</v>
      </c>
      <c r="T3" s="10" t="s">
        <v>304</v>
      </c>
      <c r="U3" s="11" t="s">
        <v>305</v>
      </c>
      <c r="V3" s="12" t="s">
        <v>201</v>
      </c>
      <c r="W3" s="10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7" t="s">
        <v>311</v>
      </c>
      <c r="AI3" s="11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  <c r="AN3" s="12" t="s">
        <v>437</v>
      </c>
    </row>
    <row r="4" spans="1:40" hidden="1" x14ac:dyDescent="0.25">
      <c r="A4" s="141" t="s">
        <v>81</v>
      </c>
      <c r="B4" s="142" t="s">
        <v>438</v>
      </c>
      <c r="C4" s="142" t="s">
        <v>439</v>
      </c>
      <c r="D4" s="142" t="s">
        <v>440</v>
      </c>
      <c r="E4" s="149" t="s">
        <v>421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81</v>
      </c>
      <c r="B5" s="131" t="s">
        <v>438</v>
      </c>
      <c r="C5" s="131" t="s">
        <v>439</v>
      </c>
      <c r="D5" s="131" t="s">
        <v>441</v>
      </c>
      <c r="E5" s="150" t="s">
        <v>442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81</v>
      </c>
      <c r="B6" s="131" t="s">
        <v>438</v>
      </c>
      <c r="C6" s="131" t="s">
        <v>439</v>
      </c>
      <c r="D6" s="131" t="s">
        <v>441</v>
      </c>
      <c r="E6" s="150" t="s">
        <v>421</v>
      </c>
      <c r="F6" s="155"/>
      <c r="G6" s="19"/>
      <c r="H6" s="134" t="s">
        <v>343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87</v>
      </c>
      <c r="B7" s="131" t="s">
        <v>438</v>
      </c>
      <c r="C7" s="131" t="s">
        <v>443</v>
      </c>
      <c r="D7" s="131" t="s">
        <v>444</v>
      </c>
      <c r="E7" s="150" t="s">
        <v>424</v>
      </c>
      <c r="F7" s="155"/>
      <c r="G7" s="19"/>
      <c r="H7" s="134" t="s">
        <v>377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87</v>
      </c>
      <c r="B8" s="131" t="s">
        <v>438</v>
      </c>
      <c r="C8" s="131" t="s">
        <v>443</v>
      </c>
      <c r="D8" s="131" t="s">
        <v>445</v>
      </c>
      <c r="E8" s="150" t="s">
        <v>424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87</v>
      </c>
      <c r="B9" s="131" t="s">
        <v>438</v>
      </c>
      <c r="C9" s="131" t="s">
        <v>443</v>
      </c>
      <c r="D9" s="131" t="s">
        <v>446</v>
      </c>
      <c r="E9" s="150" t="s">
        <v>424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87</v>
      </c>
      <c r="B10" s="131" t="s">
        <v>438</v>
      </c>
      <c r="C10" s="131" t="s">
        <v>447</v>
      </c>
      <c r="D10" s="131" t="s">
        <v>448</v>
      </c>
      <c r="E10" s="150" t="s">
        <v>424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449</v>
      </c>
      <c r="B11" s="131" t="s">
        <v>438</v>
      </c>
      <c r="C11" s="131" t="s">
        <v>439</v>
      </c>
      <c r="D11" s="131" t="s">
        <v>440</v>
      </c>
      <c r="E11" s="150" t="s">
        <v>450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449</v>
      </c>
      <c r="B12" s="131" t="s">
        <v>438</v>
      </c>
      <c r="C12" s="131" t="s">
        <v>439</v>
      </c>
      <c r="D12" s="131" t="s">
        <v>451</v>
      </c>
      <c r="E12" s="150" t="s">
        <v>421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449</v>
      </c>
      <c r="B13" s="131" t="s">
        <v>438</v>
      </c>
      <c r="C13" s="131" t="s">
        <v>439</v>
      </c>
      <c r="D13" s="131" t="s">
        <v>440</v>
      </c>
      <c r="E13" s="150" t="s">
        <v>421</v>
      </c>
      <c r="F13" s="155"/>
      <c r="G13" s="19"/>
      <c r="H13" s="134" t="s">
        <v>343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425</v>
      </c>
      <c r="B14" s="131" t="s">
        <v>438</v>
      </c>
      <c r="C14" s="131" t="s">
        <v>443</v>
      </c>
      <c r="D14" s="131" t="s">
        <v>452</v>
      </c>
      <c r="E14" s="150" t="s">
        <v>424</v>
      </c>
      <c r="F14" s="155"/>
      <c r="G14" s="19"/>
      <c r="H14" s="134" t="s">
        <v>377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425</v>
      </c>
      <c r="B15" s="131" t="s">
        <v>438</v>
      </c>
      <c r="C15" s="131" t="s">
        <v>447</v>
      </c>
      <c r="D15" s="131" t="s">
        <v>448</v>
      </c>
      <c r="E15" s="150" t="s">
        <v>424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90</v>
      </c>
      <c r="B16" s="131" t="s">
        <v>438</v>
      </c>
      <c r="C16" s="131" t="s">
        <v>443</v>
      </c>
      <c r="D16" s="131" t="s">
        <v>444</v>
      </c>
      <c r="E16" s="150" t="s">
        <v>424</v>
      </c>
      <c r="F16" s="155">
        <v>1</v>
      </c>
      <c r="G16" s="19">
        <v>2</v>
      </c>
      <c r="H16" s="134" t="s">
        <v>377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90</v>
      </c>
      <c r="B17" s="131" t="s">
        <v>438</v>
      </c>
      <c r="C17" s="131" t="s">
        <v>443</v>
      </c>
      <c r="D17" s="131" t="s">
        <v>445</v>
      </c>
      <c r="E17" s="150" t="s">
        <v>424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90</v>
      </c>
      <c r="B18" s="131" t="s">
        <v>438</v>
      </c>
      <c r="C18" s="131" t="s">
        <v>443</v>
      </c>
      <c r="D18" s="131" t="s">
        <v>446</v>
      </c>
      <c r="E18" s="150" t="s">
        <v>424</v>
      </c>
      <c r="F18" s="155"/>
      <c r="G18" s="19"/>
      <c r="H18" s="134" t="s">
        <v>377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x14ac:dyDescent="0.25">
      <c r="A19" s="133" t="s">
        <v>90</v>
      </c>
      <c r="B19" s="131" t="s">
        <v>438</v>
      </c>
      <c r="C19" s="131" t="s">
        <v>453</v>
      </c>
      <c r="D19" s="131" t="s">
        <v>454</v>
      </c>
      <c r="E19" s="150" t="s">
        <v>424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90</v>
      </c>
      <c r="B20" s="131" t="s">
        <v>438</v>
      </c>
      <c r="C20" s="131" t="s">
        <v>447</v>
      </c>
      <c r="D20" s="131" t="s">
        <v>448</v>
      </c>
      <c r="E20" s="150" t="s">
        <v>424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x14ac:dyDescent="0.25">
      <c r="A21" s="133" t="s">
        <v>427</v>
      </c>
      <c r="B21" s="131" t="s">
        <v>438</v>
      </c>
      <c r="C21" s="131" t="s">
        <v>453</v>
      </c>
      <c r="D21" s="131" t="s">
        <v>455</v>
      </c>
      <c r="E21" s="150" t="s">
        <v>421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x14ac:dyDescent="0.25">
      <c r="A22" s="133" t="s">
        <v>66</v>
      </c>
      <c r="B22" s="131" t="s">
        <v>438</v>
      </c>
      <c r="C22" s="131" t="s">
        <v>453</v>
      </c>
      <c r="D22" s="131" t="s">
        <v>454</v>
      </c>
      <c r="E22" s="150" t="s">
        <v>450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x14ac:dyDescent="0.25">
      <c r="A23" s="133" t="s">
        <v>66</v>
      </c>
      <c r="B23" s="131" t="s">
        <v>438</v>
      </c>
      <c r="C23" s="131" t="s">
        <v>453</v>
      </c>
      <c r="D23" s="131" t="s">
        <v>454</v>
      </c>
      <c r="E23" s="150" t="s">
        <v>421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x14ac:dyDescent="0.25">
      <c r="A24" s="133" t="s">
        <v>431</v>
      </c>
      <c r="B24" s="131" t="s">
        <v>438</v>
      </c>
      <c r="C24" s="131" t="s">
        <v>453</v>
      </c>
      <c r="D24" s="131" t="s">
        <v>456</v>
      </c>
      <c r="E24" s="150" t="s">
        <v>450</v>
      </c>
      <c r="F24" s="155">
        <v>1</v>
      </c>
      <c r="G24" s="19">
        <v>2</v>
      </c>
      <c r="H24" s="134" t="s">
        <v>343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x14ac:dyDescent="0.25">
      <c r="A25" s="133" t="s">
        <v>431</v>
      </c>
      <c r="B25" s="131" t="s">
        <v>438</v>
      </c>
      <c r="C25" s="131" t="s">
        <v>453</v>
      </c>
      <c r="D25" s="131" t="s">
        <v>456</v>
      </c>
      <c r="E25" s="150" t="s">
        <v>421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x14ac:dyDescent="0.25">
      <c r="A26" s="133" t="s">
        <v>431</v>
      </c>
      <c r="B26" s="131" t="s">
        <v>438</v>
      </c>
      <c r="C26" s="131" t="s">
        <v>453</v>
      </c>
      <c r="D26" s="131" t="s">
        <v>457</v>
      </c>
      <c r="E26" s="150" t="s">
        <v>450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x14ac:dyDescent="0.25">
      <c r="A27" s="133" t="s">
        <v>431</v>
      </c>
      <c r="B27" s="131" t="s">
        <v>438</v>
      </c>
      <c r="C27" s="131" t="s">
        <v>453</v>
      </c>
      <c r="D27" s="131" t="s">
        <v>457</v>
      </c>
      <c r="E27" s="150" t="s">
        <v>421</v>
      </c>
      <c r="F27" s="155"/>
      <c r="G27" s="19"/>
      <c r="H27" s="134" t="s">
        <v>343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x14ac:dyDescent="0.25">
      <c r="A28" s="133" t="s">
        <v>431</v>
      </c>
      <c r="B28" s="131" t="s">
        <v>438</v>
      </c>
      <c r="C28" s="131" t="s">
        <v>453</v>
      </c>
      <c r="D28" s="131" t="s">
        <v>454</v>
      </c>
      <c r="E28" s="150" t="s">
        <v>450</v>
      </c>
      <c r="F28" s="155"/>
      <c r="G28" s="19"/>
      <c r="H28" s="134" t="s">
        <v>343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x14ac:dyDescent="0.25">
      <c r="A29" s="133" t="s">
        <v>431</v>
      </c>
      <c r="B29" s="131" t="s">
        <v>438</v>
      </c>
      <c r="C29" s="131" t="s">
        <v>453</v>
      </c>
      <c r="D29" s="131" t="s">
        <v>454</v>
      </c>
      <c r="E29" s="150" t="s">
        <v>421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431</v>
      </c>
      <c r="B30" s="131" t="s">
        <v>438</v>
      </c>
      <c r="C30" s="131" t="s">
        <v>447</v>
      </c>
      <c r="D30" s="131" t="s">
        <v>448</v>
      </c>
      <c r="E30" s="150" t="s">
        <v>450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431</v>
      </c>
      <c r="B31" s="131" t="s">
        <v>438</v>
      </c>
      <c r="C31" s="131" t="s">
        <v>447</v>
      </c>
      <c r="D31" s="131" t="s">
        <v>448</v>
      </c>
      <c r="E31" s="150" t="s">
        <v>421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458</v>
      </c>
      <c r="B32" s="131" t="s">
        <v>438</v>
      </c>
      <c r="C32" s="131" t="s">
        <v>439</v>
      </c>
      <c r="D32" s="131" t="s">
        <v>459</v>
      </c>
      <c r="E32" s="150" t="s">
        <v>442</v>
      </c>
      <c r="F32" s="155">
        <v>1</v>
      </c>
      <c r="G32" s="19"/>
      <c r="H32" s="134" t="s">
        <v>343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458</v>
      </c>
      <c r="B33" s="131" t="s">
        <v>438</v>
      </c>
      <c r="C33" s="131" t="s">
        <v>439</v>
      </c>
      <c r="D33" s="131" t="s">
        <v>459</v>
      </c>
      <c r="E33" s="150" t="s">
        <v>450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458</v>
      </c>
      <c r="B34" s="131" t="s">
        <v>438</v>
      </c>
      <c r="C34" s="131" t="s">
        <v>439</v>
      </c>
      <c r="D34" s="131" t="s">
        <v>459</v>
      </c>
      <c r="E34" s="150" t="s">
        <v>421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x14ac:dyDescent="0.25">
      <c r="A35" s="133" t="s">
        <v>65</v>
      </c>
      <c r="B35" s="131" t="s">
        <v>438</v>
      </c>
      <c r="C35" s="131" t="s">
        <v>453</v>
      </c>
      <c r="D35" s="131" t="s">
        <v>455</v>
      </c>
      <c r="E35" s="150" t="s">
        <v>450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x14ac:dyDescent="0.25">
      <c r="A36" s="133" t="s">
        <v>65</v>
      </c>
      <c r="B36" s="131" t="s">
        <v>438</v>
      </c>
      <c r="C36" s="131" t="s">
        <v>453</v>
      </c>
      <c r="D36" s="131" t="s">
        <v>455</v>
      </c>
      <c r="E36" s="150" t="s">
        <v>421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74</v>
      </c>
      <c r="B37" s="131" t="s">
        <v>438</v>
      </c>
      <c r="C37" s="131" t="s">
        <v>439</v>
      </c>
      <c r="D37" s="131" t="s">
        <v>440</v>
      </c>
      <c r="E37" s="150" t="s">
        <v>450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74</v>
      </c>
      <c r="B38" s="131" t="s">
        <v>438</v>
      </c>
      <c r="C38" s="131" t="s">
        <v>439</v>
      </c>
      <c r="D38" s="131" t="s">
        <v>440</v>
      </c>
      <c r="E38" s="150" t="s">
        <v>421</v>
      </c>
      <c r="F38" s="155">
        <v>1</v>
      </c>
      <c r="G38" s="19"/>
      <c r="H38" s="134" t="s">
        <v>343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74</v>
      </c>
      <c r="B39" s="131" t="s">
        <v>438</v>
      </c>
      <c r="C39" s="131" t="s">
        <v>439</v>
      </c>
      <c r="D39" s="131" t="s">
        <v>451</v>
      </c>
      <c r="E39" s="150" t="s">
        <v>450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74</v>
      </c>
      <c r="B40" s="131" t="s">
        <v>438</v>
      </c>
      <c r="C40" s="131" t="s">
        <v>439</v>
      </c>
      <c r="D40" s="131" t="s">
        <v>451</v>
      </c>
      <c r="E40" s="150" t="s">
        <v>421</v>
      </c>
      <c r="F40" s="155"/>
      <c r="G40" s="19"/>
      <c r="H40" s="134" t="s">
        <v>343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74</v>
      </c>
      <c r="B41" s="131" t="s">
        <v>438</v>
      </c>
      <c r="C41" s="131" t="s">
        <v>447</v>
      </c>
      <c r="D41" s="131" t="s">
        <v>448</v>
      </c>
      <c r="E41" s="150" t="s">
        <v>450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74</v>
      </c>
      <c r="B42" s="131" t="s">
        <v>438</v>
      </c>
      <c r="C42" s="131" t="s">
        <v>447</v>
      </c>
      <c r="D42" s="131" t="s">
        <v>448</v>
      </c>
      <c r="E42" s="150" t="s">
        <v>421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hidden="1" x14ac:dyDescent="0.25">
      <c r="A43" s="133" t="s">
        <v>460</v>
      </c>
      <c r="B43" s="131" t="s">
        <v>438</v>
      </c>
      <c r="C43" s="131" t="s">
        <v>439</v>
      </c>
      <c r="D43" s="131" t="s">
        <v>440</v>
      </c>
      <c r="E43" s="150" t="s">
        <v>450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hidden="1" x14ac:dyDescent="0.25">
      <c r="A44" s="133" t="s">
        <v>460</v>
      </c>
      <c r="B44" s="131" t="s">
        <v>438</v>
      </c>
      <c r="C44" s="131" t="s">
        <v>439</v>
      </c>
      <c r="D44" s="131" t="s">
        <v>440</v>
      </c>
      <c r="E44" s="150" t="s">
        <v>421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x14ac:dyDescent="0.25">
      <c r="A45" s="133" t="s">
        <v>81</v>
      </c>
      <c r="B45" s="131" t="s">
        <v>438</v>
      </c>
      <c r="C45" s="131" t="s">
        <v>453</v>
      </c>
      <c r="D45" s="131" t="s">
        <v>461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x14ac:dyDescent="0.25">
      <c r="A46" s="133" t="s">
        <v>87</v>
      </c>
      <c r="B46" s="131" t="s">
        <v>438</v>
      </c>
      <c r="C46" s="131" t="s">
        <v>453</v>
      </c>
      <c r="D46" s="131" t="s">
        <v>461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x14ac:dyDescent="0.25">
      <c r="A47" s="133" t="s">
        <v>449</v>
      </c>
      <c r="B47" s="131" t="s">
        <v>438</v>
      </c>
      <c r="C47" s="131" t="s">
        <v>453</v>
      </c>
      <c r="D47" s="131" t="s">
        <v>461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x14ac:dyDescent="0.25">
      <c r="A48" s="133" t="s">
        <v>425</v>
      </c>
      <c r="B48" s="131" t="s">
        <v>438</v>
      </c>
      <c r="C48" s="131" t="s">
        <v>453</v>
      </c>
      <c r="D48" s="131" t="s">
        <v>461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x14ac:dyDescent="0.25">
      <c r="A49" s="133" t="s">
        <v>90</v>
      </c>
      <c r="B49" s="131" t="s">
        <v>438</v>
      </c>
      <c r="C49" s="131" t="s">
        <v>453</v>
      </c>
      <c r="D49" s="131" t="s">
        <v>461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x14ac:dyDescent="0.25">
      <c r="A50" s="133" t="s">
        <v>431</v>
      </c>
      <c r="B50" s="131" t="s">
        <v>438</v>
      </c>
      <c r="C50" s="131" t="s">
        <v>453</v>
      </c>
      <c r="D50" s="131" t="s">
        <v>461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x14ac:dyDescent="0.25">
      <c r="A51" s="133" t="s">
        <v>458</v>
      </c>
      <c r="B51" s="131" t="s">
        <v>438</v>
      </c>
      <c r="C51" s="131" t="s">
        <v>453</v>
      </c>
      <c r="D51" s="131" t="s">
        <v>461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x14ac:dyDescent="0.25">
      <c r="A52" s="133" t="s">
        <v>74</v>
      </c>
      <c r="B52" s="131" t="s">
        <v>438</v>
      </c>
      <c r="C52" s="131" t="s">
        <v>453</v>
      </c>
      <c r="D52" s="131" t="s">
        <v>461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81</v>
      </c>
      <c r="B53" s="131" t="s">
        <v>438</v>
      </c>
      <c r="C53" s="131" t="s">
        <v>462</v>
      </c>
      <c r="D53" s="131" t="s">
        <v>463</v>
      </c>
      <c r="E53" s="151" t="s">
        <v>421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87</v>
      </c>
      <c r="B54" s="131" t="s">
        <v>438</v>
      </c>
      <c r="C54" s="131" t="s">
        <v>462</v>
      </c>
      <c r="D54" s="131" t="s">
        <v>463</v>
      </c>
      <c r="E54" s="151" t="s">
        <v>424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449</v>
      </c>
      <c r="B55" s="131" t="s">
        <v>438</v>
      </c>
      <c r="C55" s="131" t="s">
        <v>462</v>
      </c>
      <c r="D55" s="131" t="s">
        <v>463</v>
      </c>
      <c r="E55" s="151" t="s">
        <v>421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425</v>
      </c>
      <c r="B56" s="131" t="s">
        <v>438</v>
      </c>
      <c r="C56" s="131" t="s">
        <v>462</v>
      </c>
      <c r="D56" s="131" t="s">
        <v>463</v>
      </c>
      <c r="E56" s="151" t="s">
        <v>424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90</v>
      </c>
      <c r="B57" s="131" t="s">
        <v>438</v>
      </c>
      <c r="C57" s="131" t="s">
        <v>462</v>
      </c>
      <c r="D57" s="131" t="s">
        <v>463</v>
      </c>
      <c r="E57" s="151" t="s">
        <v>424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427</v>
      </c>
      <c r="B58" s="131" t="s">
        <v>438</v>
      </c>
      <c r="C58" s="131" t="s">
        <v>462</v>
      </c>
      <c r="D58" s="131" t="s">
        <v>463</v>
      </c>
      <c r="E58" s="151" t="s">
        <v>421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66</v>
      </c>
      <c r="B59" s="131" t="s">
        <v>438</v>
      </c>
      <c r="C59" s="131" t="s">
        <v>462</v>
      </c>
      <c r="D59" s="131" t="s">
        <v>463</v>
      </c>
      <c r="E59" s="151" t="s">
        <v>421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431</v>
      </c>
      <c r="B60" s="131" t="s">
        <v>438</v>
      </c>
      <c r="C60" s="131" t="s">
        <v>462</v>
      </c>
      <c r="D60" s="131" t="s">
        <v>463</v>
      </c>
      <c r="E60" s="151" t="s">
        <v>450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458</v>
      </c>
      <c r="B61" s="131" t="s">
        <v>438</v>
      </c>
      <c r="C61" s="131" t="s">
        <v>462</v>
      </c>
      <c r="D61" s="131" t="s">
        <v>463</v>
      </c>
      <c r="E61" s="151" t="s">
        <v>442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65</v>
      </c>
      <c r="B62" s="131" t="s">
        <v>438</v>
      </c>
      <c r="C62" s="131" t="s">
        <v>462</v>
      </c>
      <c r="D62" s="131" t="s">
        <v>463</v>
      </c>
      <c r="E62" s="151" t="s">
        <v>421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74</v>
      </c>
      <c r="B63" s="131" t="s">
        <v>438</v>
      </c>
      <c r="C63" s="131" t="s">
        <v>462</v>
      </c>
      <c r="D63" s="131" t="s">
        <v>463</v>
      </c>
      <c r="E63" s="151" t="s">
        <v>450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74</v>
      </c>
      <c r="B64" s="138" t="s">
        <v>438</v>
      </c>
      <c r="C64" s="138" t="s">
        <v>462</v>
      </c>
      <c r="D64" s="138" t="s">
        <v>463</v>
      </c>
      <c r="E64" s="152" t="s">
        <v>421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2">
      <filters>
        <filter val="ASM RFE Grocery+SPT Vladivostok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182</v>
      </c>
      <c r="I1" s="1"/>
      <c r="J1" s="1"/>
      <c r="K1" s="1"/>
      <c r="L1" s="1"/>
      <c r="M1" s="1"/>
      <c r="N1" s="1"/>
      <c r="O1" s="1"/>
      <c r="P1" s="1"/>
      <c r="Q1" s="1"/>
      <c r="R1" s="516" t="s">
        <v>184</v>
      </c>
      <c r="S1" s="517"/>
      <c r="T1" s="517"/>
      <c r="U1" s="517"/>
      <c r="V1" s="517"/>
      <c r="W1" s="517"/>
      <c r="X1" s="517"/>
      <c r="Y1" s="517"/>
      <c r="Z1" s="517"/>
      <c r="AA1" s="517"/>
      <c r="AB1" s="518"/>
      <c r="AC1" s="516" t="s">
        <v>185</v>
      </c>
      <c r="AD1" s="517"/>
      <c r="AE1" s="517"/>
      <c r="AF1" s="517"/>
      <c r="AG1" s="517"/>
      <c r="AH1" s="517"/>
      <c r="AI1" s="517"/>
      <c r="AJ1" s="517"/>
      <c r="AK1" s="517"/>
      <c r="AL1" s="517"/>
      <c r="AM1" s="518"/>
    </row>
    <row r="2" spans="1:39" s="3" customFormat="1" ht="59.45" customHeight="1" thickBot="1" x14ac:dyDescent="0.3">
      <c r="I2" s="13" t="s">
        <v>290</v>
      </c>
      <c r="J2" s="502" t="s">
        <v>291</v>
      </c>
      <c r="K2" s="502"/>
      <c r="L2" s="502"/>
      <c r="M2" s="502" t="s">
        <v>292</v>
      </c>
      <c r="N2" s="502"/>
      <c r="O2" s="502"/>
      <c r="P2" s="502"/>
      <c r="Q2" s="503"/>
      <c r="R2" s="520" t="s">
        <v>186</v>
      </c>
      <c r="S2" s="521"/>
      <c r="T2" s="4" t="s">
        <v>187</v>
      </c>
      <c r="U2" s="3" t="s">
        <v>187</v>
      </c>
      <c r="V2" s="5" t="s">
        <v>187</v>
      </c>
      <c r="W2" s="3" t="s">
        <v>188</v>
      </c>
      <c r="X2" s="3" t="s">
        <v>188</v>
      </c>
      <c r="Y2" s="3" t="s">
        <v>188</v>
      </c>
      <c r="Z2" s="3" t="s">
        <v>188</v>
      </c>
      <c r="AA2" s="3" t="s">
        <v>188</v>
      </c>
      <c r="AB2" s="5" t="s">
        <v>188</v>
      </c>
      <c r="AC2" s="520" t="s">
        <v>189</v>
      </c>
      <c r="AD2" s="522"/>
      <c r="AE2" s="522"/>
      <c r="AF2" s="522"/>
      <c r="AG2" s="522"/>
      <c r="AH2" s="522"/>
      <c r="AI2" s="522"/>
      <c r="AJ2" s="521"/>
      <c r="AK2" s="520" t="s">
        <v>293</v>
      </c>
      <c r="AL2" s="522"/>
      <c r="AM2" s="521"/>
    </row>
    <row r="3" spans="1:39" s="13" customFormat="1" ht="60.75" thickBot="1" x14ac:dyDescent="0.3">
      <c r="A3" s="10" t="s">
        <v>190</v>
      </c>
      <c r="B3" s="11" t="s">
        <v>191</v>
      </c>
      <c r="C3" s="11" t="s">
        <v>192</v>
      </c>
      <c r="D3" s="12" t="s">
        <v>193</v>
      </c>
      <c r="E3" s="10" t="s">
        <v>194</v>
      </c>
      <c r="F3" s="12" t="s">
        <v>195</v>
      </c>
      <c r="G3" s="17" t="s">
        <v>196</v>
      </c>
      <c r="H3" s="17" t="s">
        <v>197</v>
      </c>
      <c r="I3" s="231" t="s">
        <v>290</v>
      </c>
      <c r="J3" s="231" t="s">
        <v>294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10" t="s">
        <v>302</v>
      </c>
      <c r="S3" s="12" t="s">
        <v>303</v>
      </c>
      <c r="T3" s="10" t="s">
        <v>304</v>
      </c>
      <c r="U3" s="11" t="s">
        <v>305</v>
      </c>
      <c r="V3" s="12" t="s">
        <v>201</v>
      </c>
      <c r="W3" s="11" t="s">
        <v>202</v>
      </c>
      <c r="X3" s="11" t="s">
        <v>204</v>
      </c>
      <c r="Y3" s="11" t="s">
        <v>205</v>
      </c>
      <c r="Z3" s="11" t="s">
        <v>206</v>
      </c>
      <c r="AA3" s="11" t="s">
        <v>207</v>
      </c>
      <c r="AB3" s="12" t="s">
        <v>208</v>
      </c>
      <c r="AC3" s="10" t="s">
        <v>306</v>
      </c>
      <c r="AD3" s="11" t="s">
        <v>307</v>
      </c>
      <c r="AE3" s="11" t="s">
        <v>308</v>
      </c>
      <c r="AF3" s="11" t="s">
        <v>309</v>
      </c>
      <c r="AG3" s="11" t="s">
        <v>310</v>
      </c>
      <c r="AH3" s="10" t="s">
        <v>311</v>
      </c>
      <c r="AI3" s="10" t="s">
        <v>312</v>
      </c>
      <c r="AJ3" s="12" t="s">
        <v>313</v>
      </c>
      <c r="AK3" s="10" t="s">
        <v>306</v>
      </c>
      <c r="AL3" s="11" t="s">
        <v>307</v>
      </c>
      <c r="AM3" s="12" t="s">
        <v>314</v>
      </c>
    </row>
    <row r="4" spans="1:39" ht="14.1" customHeight="1" x14ac:dyDescent="0.25">
      <c r="A4" s="16" t="s">
        <v>420</v>
      </c>
      <c r="B4" s="16" t="s">
        <v>464</v>
      </c>
      <c r="C4" s="16" t="s">
        <v>465</v>
      </c>
      <c r="D4" s="16" t="s">
        <v>466</v>
      </c>
      <c r="E4" s="16"/>
      <c r="F4" s="18"/>
      <c r="G4" s="18"/>
      <c r="H4" s="24" t="s">
        <v>343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420</v>
      </c>
      <c r="B5" s="15" t="s">
        <v>464</v>
      </c>
      <c r="C5" s="15" t="s">
        <v>465</v>
      </c>
      <c r="D5" s="15" t="s">
        <v>467</v>
      </c>
      <c r="E5" s="15"/>
      <c r="F5" s="19"/>
      <c r="G5" s="19"/>
      <c r="H5" s="25" t="s">
        <v>343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383</v>
      </c>
      <c r="B6" s="15" t="s">
        <v>464</v>
      </c>
      <c r="C6" s="15" t="s">
        <v>465</v>
      </c>
      <c r="D6" s="15" t="s">
        <v>468</v>
      </c>
      <c r="E6" s="15"/>
      <c r="F6" s="19"/>
      <c r="G6" s="19"/>
      <c r="H6" s="25" t="s">
        <v>343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383</v>
      </c>
      <c r="B7" s="15" t="s">
        <v>464</v>
      </c>
      <c r="C7" s="15" t="s">
        <v>465</v>
      </c>
      <c r="D7" s="15" t="s">
        <v>466</v>
      </c>
      <c r="E7" s="15"/>
      <c r="F7" s="19"/>
      <c r="G7" s="19"/>
      <c r="H7" s="25" t="s">
        <v>343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383</v>
      </c>
      <c r="B8" s="15" t="s">
        <v>464</v>
      </c>
      <c r="C8" s="15" t="s">
        <v>465</v>
      </c>
      <c r="D8" s="15" t="s">
        <v>467</v>
      </c>
      <c r="E8" s="15"/>
      <c r="F8" s="19"/>
      <c r="G8" s="19"/>
      <c r="H8" s="25" t="s">
        <v>343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344</v>
      </c>
      <c r="B9" s="15" t="s">
        <v>464</v>
      </c>
      <c r="C9" s="15" t="s">
        <v>465</v>
      </c>
      <c r="D9" s="15" t="s">
        <v>468</v>
      </c>
      <c r="E9" s="15"/>
      <c r="F9" s="19"/>
      <c r="G9" s="19"/>
      <c r="H9" s="25" t="s">
        <v>343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344</v>
      </c>
      <c r="B10" s="15" t="s">
        <v>464</v>
      </c>
      <c r="C10" s="15" t="s">
        <v>465</v>
      </c>
      <c r="D10" s="15" t="s">
        <v>466</v>
      </c>
      <c r="E10" s="15"/>
      <c r="F10" s="19"/>
      <c r="G10" s="19"/>
      <c r="H10" s="25" t="s">
        <v>343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344</v>
      </c>
      <c r="B11" s="15" t="s">
        <v>464</v>
      </c>
      <c r="C11" s="15" t="s">
        <v>465</v>
      </c>
      <c r="D11" s="15" t="s">
        <v>467</v>
      </c>
      <c r="E11" s="15"/>
      <c r="F11" s="19"/>
      <c r="G11" s="19"/>
      <c r="H11" s="25" t="s">
        <v>343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135</v>
      </c>
      <c r="B12" s="15" t="s">
        <v>464</v>
      </c>
      <c r="C12" s="15" t="s">
        <v>465</v>
      </c>
      <c r="D12" s="15" t="s">
        <v>468</v>
      </c>
      <c r="E12" s="15"/>
      <c r="F12" s="19"/>
      <c r="G12" s="19"/>
      <c r="H12" s="25" t="s">
        <v>343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135</v>
      </c>
      <c r="B13" s="15" t="s">
        <v>464</v>
      </c>
      <c r="C13" s="15" t="s">
        <v>465</v>
      </c>
      <c r="D13" s="15" t="s">
        <v>466</v>
      </c>
      <c r="E13" s="15"/>
      <c r="F13" s="19"/>
      <c r="G13" s="19"/>
      <c r="H13" s="25" t="s">
        <v>343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135</v>
      </c>
      <c r="B14" s="15" t="s">
        <v>464</v>
      </c>
      <c r="C14" s="15" t="s">
        <v>465</v>
      </c>
      <c r="D14" s="15" t="s">
        <v>467</v>
      </c>
      <c r="E14" s="15"/>
      <c r="F14" s="19"/>
      <c r="G14" s="19"/>
      <c r="H14" s="25" t="s">
        <v>343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127</v>
      </c>
      <c r="B15" s="15" t="s">
        <v>464</v>
      </c>
      <c r="C15" s="15" t="s">
        <v>465</v>
      </c>
      <c r="D15" s="15" t="s">
        <v>468</v>
      </c>
      <c r="E15" s="15"/>
      <c r="F15" s="19"/>
      <c r="G15" s="19"/>
      <c r="H15" s="25" t="s">
        <v>343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127</v>
      </c>
      <c r="B16" s="15" t="s">
        <v>464</v>
      </c>
      <c r="C16" s="15" t="s">
        <v>465</v>
      </c>
      <c r="D16" s="15" t="s">
        <v>466</v>
      </c>
      <c r="E16" s="15"/>
      <c r="F16" s="19"/>
      <c r="G16" s="19"/>
      <c r="H16" s="25" t="s">
        <v>343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127</v>
      </c>
      <c r="B17" s="15" t="s">
        <v>464</v>
      </c>
      <c r="C17" s="15" t="s">
        <v>465</v>
      </c>
      <c r="D17" s="15" t="s">
        <v>467</v>
      </c>
      <c r="E17" s="15"/>
      <c r="F17" s="19"/>
      <c r="G17" s="19"/>
      <c r="H17" s="25" t="s">
        <v>343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123</v>
      </c>
      <c r="B18" s="15" t="s">
        <v>464</v>
      </c>
      <c r="C18" s="15" t="s">
        <v>465</v>
      </c>
      <c r="D18" s="15" t="s">
        <v>468</v>
      </c>
      <c r="E18" s="15"/>
      <c r="F18" s="19"/>
      <c r="G18" s="19"/>
      <c r="H18" s="25" t="s">
        <v>343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123</v>
      </c>
      <c r="B19" s="15" t="s">
        <v>464</v>
      </c>
      <c r="C19" s="15" t="s">
        <v>465</v>
      </c>
      <c r="D19" s="15" t="s">
        <v>466</v>
      </c>
      <c r="E19" s="15"/>
      <c r="F19" s="19"/>
      <c r="G19" s="19"/>
      <c r="H19" s="25" t="s">
        <v>343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123</v>
      </c>
      <c r="B20" s="15" t="s">
        <v>464</v>
      </c>
      <c r="C20" s="15" t="s">
        <v>465</v>
      </c>
      <c r="D20" s="15" t="s">
        <v>467</v>
      </c>
      <c r="E20" s="15"/>
      <c r="F20" s="19"/>
      <c r="G20" s="19"/>
      <c r="H20" s="25" t="s">
        <v>343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133</v>
      </c>
      <c r="B21" s="15" t="s">
        <v>464</v>
      </c>
      <c r="C21" s="15" t="s">
        <v>465</v>
      </c>
      <c r="D21" s="15" t="s">
        <v>468</v>
      </c>
      <c r="E21" s="15"/>
      <c r="F21" s="19"/>
      <c r="G21" s="19"/>
      <c r="H21" s="25" t="s">
        <v>343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133</v>
      </c>
      <c r="B22" s="15" t="s">
        <v>464</v>
      </c>
      <c r="C22" s="15" t="s">
        <v>465</v>
      </c>
      <c r="D22" s="15" t="s">
        <v>466</v>
      </c>
      <c r="E22" s="15"/>
      <c r="F22" s="19"/>
      <c r="G22" s="19"/>
      <c r="H22" s="25" t="s">
        <v>343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133</v>
      </c>
      <c r="B23" s="15" t="s">
        <v>464</v>
      </c>
      <c r="C23" s="15" t="s">
        <v>465</v>
      </c>
      <c r="D23" s="15" t="s">
        <v>467</v>
      </c>
      <c r="E23" s="15"/>
      <c r="F23" s="19"/>
      <c r="G23" s="19"/>
      <c r="H23" s="25" t="s">
        <v>343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139</v>
      </c>
      <c r="B24" s="15" t="s">
        <v>464</v>
      </c>
      <c r="C24" s="15" t="s">
        <v>465</v>
      </c>
      <c r="D24" s="15" t="s">
        <v>466</v>
      </c>
      <c r="E24" s="15"/>
      <c r="F24" s="19"/>
      <c r="G24" s="19"/>
      <c r="H24" s="25" t="s">
        <v>343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138</v>
      </c>
      <c r="B25" s="15" t="s">
        <v>464</v>
      </c>
      <c r="C25" s="15" t="s">
        <v>465</v>
      </c>
      <c r="D25" s="15" t="s">
        <v>466</v>
      </c>
      <c r="E25" s="15"/>
      <c r="F25" s="19"/>
      <c r="G25" s="19"/>
      <c r="H25" s="25" t="s">
        <v>343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138</v>
      </c>
      <c r="B26" s="15" t="s">
        <v>464</v>
      </c>
      <c r="C26" s="15" t="s">
        <v>465</v>
      </c>
      <c r="D26" s="15" t="s">
        <v>467</v>
      </c>
      <c r="E26" s="15"/>
      <c r="F26" s="19"/>
      <c r="G26" s="19"/>
      <c r="H26" s="25" t="s">
        <v>343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148</v>
      </c>
      <c r="B27" s="15" t="s">
        <v>464</v>
      </c>
      <c r="C27" s="15" t="s">
        <v>469</v>
      </c>
      <c r="D27" s="15" t="s">
        <v>470</v>
      </c>
      <c r="E27" s="15"/>
      <c r="F27" s="19"/>
      <c r="G27" s="19"/>
      <c r="H27" s="25" t="s">
        <v>343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471</v>
      </c>
    </row>
    <row r="28" spans="1:40" ht="14.1" customHeight="1" x14ac:dyDescent="0.25">
      <c r="A28" s="15" t="s">
        <v>146</v>
      </c>
      <c r="B28" s="15" t="s">
        <v>464</v>
      </c>
      <c r="C28" s="15" t="s">
        <v>469</v>
      </c>
      <c r="D28" s="15" t="s">
        <v>470</v>
      </c>
      <c r="E28" s="15"/>
      <c r="F28" s="19"/>
      <c r="G28" s="19"/>
      <c r="H28" s="25" t="s">
        <v>343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471</v>
      </c>
    </row>
    <row r="29" spans="1:40" ht="14.1" customHeight="1" x14ac:dyDescent="0.25">
      <c r="A29" s="15" t="s">
        <v>141</v>
      </c>
      <c r="B29" s="15" t="s">
        <v>464</v>
      </c>
      <c r="C29" s="15" t="s">
        <v>469</v>
      </c>
      <c r="D29" s="15" t="s">
        <v>470</v>
      </c>
      <c r="E29" s="15"/>
      <c r="F29" s="19"/>
      <c r="G29" s="19"/>
      <c r="H29" s="25" t="s">
        <v>343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471</v>
      </c>
    </row>
    <row r="30" spans="1:40" ht="14.1" customHeight="1" x14ac:dyDescent="0.25">
      <c r="A30" s="15" t="s">
        <v>145</v>
      </c>
      <c r="B30" s="15" t="s">
        <v>464</v>
      </c>
      <c r="C30" s="15" t="s">
        <v>469</v>
      </c>
      <c r="D30" s="15" t="s">
        <v>470</v>
      </c>
      <c r="E30" s="15"/>
      <c r="F30" s="19"/>
      <c r="G30" s="19"/>
      <c r="H30" s="25" t="s">
        <v>343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471</v>
      </c>
    </row>
    <row r="31" spans="1:40" ht="14.1" customHeight="1" x14ac:dyDescent="0.25">
      <c r="A31" s="15" t="s">
        <v>151</v>
      </c>
      <c r="B31" s="15" t="s">
        <v>464</v>
      </c>
      <c r="C31" s="15" t="s">
        <v>469</v>
      </c>
      <c r="D31" s="15" t="s">
        <v>470</v>
      </c>
      <c r="E31" s="15"/>
      <c r="F31" s="19"/>
      <c r="G31" s="19"/>
      <c r="H31" s="25" t="s">
        <v>343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471</v>
      </c>
    </row>
    <row r="32" spans="1:40" ht="14.1" customHeight="1" x14ac:dyDescent="0.25">
      <c r="A32" s="15" t="s">
        <v>118</v>
      </c>
      <c r="B32" s="15" t="s">
        <v>464</v>
      </c>
      <c r="C32" s="15" t="s">
        <v>469</v>
      </c>
      <c r="D32" s="15" t="s">
        <v>470</v>
      </c>
      <c r="E32" s="15"/>
      <c r="F32" s="19"/>
      <c r="G32" s="19"/>
      <c r="H32" s="25" t="s">
        <v>343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471</v>
      </c>
    </row>
    <row r="33" spans="1:40" ht="14.1" customHeight="1" x14ac:dyDescent="0.25">
      <c r="A33" s="15" t="s">
        <v>120</v>
      </c>
      <c r="B33" s="15" t="s">
        <v>464</v>
      </c>
      <c r="C33" s="15" t="s">
        <v>469</v>
      </c>
      <c r="D33" s="15" t="s">
        <v>470</v>
      </c>
      <c r="E33" s="15"/>
      <c r="F33" s="19"/>
      <c r="G33" s="19"/>
      <c r="H33" s="25" t="s">
        <v>343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471</v>
      </c>
    </row>
    <row r="34" spans="1:40" ht="14.1" customHeight="1" x14ac:dyDescent="0.25">
      <c r="A34" s="15" t="s">
        <v>102</v>
      </c>
      <c r="B34" s="15" t="s">
        <v>464</v>
      </c>
      <c r="C34" s="15" t="s">
        <v>469</v>
      </c>
      <c r="D34" s="15" t="s">
        <v>470</v>
      </c>
      <c r="E34" s="15"/>
      <c r="F34" s="19"/>
      <c r="G34" s="19"/>
      <c r="H34" s="25" t="s">
        <v>343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471</v>
      </c>
    </row>
    <row r="35" spans="1:40" ht="14.1" customHeight="1" x14ac:dyDescent="0.25">
      <c r="A35" s="15" t="s">
        <v>103</v>
      </c>
      <c r="B35" s="15" t="s">
        <v>464</v>
      </c>
      <c r="C35" s="15" t="s">
        <v>469</v>
      </c>
      <c r="D35" s="15" t="s">
        <v>470</v>
      </c>
      <c r="E35" s="15"/>
      <c r="F35" s="19"/>
      <c r="G35" s="19"/>
      <c r="H35" s="25" t="s">
        <v>343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471</v>
      </c>
    </row>
    <row r="36" spans="1:40" ht="14.1" customHeight="1" x14ac:dyDescent="0.25">
      <c r="A36" s="15" t="s">
        <v>105</v>
      </c>
      <c r="B36" s="15" t="s">
        <v>464</v>
      </c>
      <c r="C36" s="15" t="s">
        <v>469</v>
      </c>
      <c r="D36" s="15" t="s">
        <v>470</v>
      </c>
      <c r="E36" s="15"/>
      <c r="F36" s="19"/>
      <c r="G36" s="19"/>
      <c r="H36" s="25" t="s">
        <v>343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471</v>
      </c>
    </row>
    <row r="37" spans="1:40" ht="14.1" customHeight="1" x14ac:dyDescent="0.25">
      <c r="A37" s="15" t="s">
        <v>56</v>
      </c>
      <c r="B37" s="15" t="s">
        <v>464</v>
      </c>
      <c r="C37" s="15" t="s">
        <v>469</v>
      </c>
      <c r="D37" s="15" t="s">
        <v>470</v>
      </c>
      <c r="E37" s="15"/>
      <c r="F37" s="19"/>
      <c r="G37" s="19"/>
      <c r="H37" s="25" t="s">
        <v>343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471</v>
      </c>
    </row>
    <row r="38" spans="1:40" ht="14.1" customHeight="1" x14ac:dyDescent="0.25">
      <c r="A38" s="15" t="s">
        <v>55</v>
      </c>
      <c r="B38" s="15" t="s">
        <v>464</v>
      </c>
      <c r="C38" s="15" t="s">
        <v>469</v>
      </c>
      <c r="D38" s="15" t="s">
        <v>470</v>
      </c>
      <c r="E38" s="15"/>
      <c r="F38" s="19"/>
      <c r="G38" s="19"/>
      <c r="H38" s="25" t="s">
        <v>343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471</v>
      </c>
    </row>
    <row r="39" spans="1:40" ht="14.1" customHeight="1" x14ac:dyDescent="0.25">
      <c r="A39" s="15" t="s">
        <v>51</v>
      </c>
      <c r="B39" s="15" t="s">
        <v>464</v>
      </c>
      <c r="C39" s="15" t="s">
        <v>469</v>
      </c>
      <c r="D39" s="15" t="s">
        <v>470</v>
      </c>
      <c r="E39" s="15"/>
      <c r="F39" s="19"/>
      <c r="G39" s="19"/>
      <c r="H39" s="25" t="s">
        <v>343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471</v>
      </c>
    </row>
    <row r="40" spans="1:40" ht="14.1" customHeight="1" x14ac:dyDescent="0.25">
      <c r="A40" s="15" t="s">
        <v>55</v>
      </c>
      <c r="B40" s="15" t="s">
        <v>464</v>
      </c>
      <c r="C40" s="15" t="s">
        <v>469</v>
      </c>
      <c r="D40" s="15" t="s">
        <v>470</v>
      </c>
      <c r="E40" s="15"/>
      <c r="F40" s="19"/>
      <c r="G40" s="19"/>
      <c r="H40" s="25" t="s">
        <v>343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471</v>
      </c>
    </row>
    <row r="41" spans="1:40" ht="14.1" customHeight="1" x14ac:dyDescent="0.25">
      <c r="A41" s="15" t="s">
        <v>333</v>
      </c>
      <c r="B41" s="15" t="s">
        <v>464</v>
      </c>
      <c r="C41" s="15" t="s">
        <v>469</v>
      </c>
      <c r="D41" s="15" t="s">
        <v>470</v>
      </c>
      <c r="E41" s="15"/>
      <c r="F41" s="19"/>
      <c r="G41" s="19"/>
      <c r="H41" s="25" t="s">
        <v>472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471</v>
      </c>
    </row>
    <row r="42" spans="1:40" ht="14.1" customHeight="1" x14ac:dyDescent="0.25">
      <c r="A42" s="15" t="s">
        <v>22</v>
      </c>
      <c r="B42" s="15" t="s">
        <v>464</v>
      </c>
      <c r="C42" s="15" t="s">
        <v>469</v>
      </c>
      <c r="D42" s="15" t="s">
        <v>470</v>
      </c>
      <c r="E42" s="15"/>
      <c r="F42" s="19"/>
      <c r="G42" s="19"/>
      <c r="H42" s="25" t="s">
        <v>472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471</v>
      </c>
    </row>
    <row r="43" spans="1:40" ht="14.1" customHeight="1" x14ac:dyDescent="0.25">
      <c r="A43" s="15" t="s">
        <v>21</v>
      </c>
      <c r="B43" s="15" t="s">
        <v>464</v>
      </c>
      <c r="C43" s="15" t="s">
        <v>469</v>
      </c>
      <c r="D43" s="15" t="s">
        <v>470</v>
      </c>
      <c r="E43" s="15"/>
      <c r="F43" s="19"/>
      <c r="G43" s="19"/>
      <c r="H43" s="25" t="s">
        <v>472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471</v>
      </c>
    </row>
    <row r="44" spans="1:40" ht="14.1" customHeight="1" x14ac:dyDescent="0.25">
      <c r="A44" s="15" t="s">
        <v>17</v>
      </c>
      <c r="B44" s="15" t="s">
        <v>464</v>
      </c>
      <c r="C44" s="15" t="s">
        <v>469</v>
      </c>
      <c r="D44" s="15" t="s">
        <v>470</v>
      </c>
      <c r="E44" s="15"/>
      <c r="F44" s="19"/>
      <c r="G44" s="19"/>
      <c r="H44" s="25" t="s">
        <v>472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471</v>
      </c>
    </row>
    <row r="45" spans="1:40" ht="14.1" customHeight="1" x14ac:dyDescent="0.25">
      <c r="A45" s="15" t="s">
        <v>20</v>
      </c>
      <c r="B45" s="15" t="s">
        <v>464</v>
      </c>
      <c r="C45" s="15" t="s">
        <v>469</v>
      </c>
      <c r="D45" s="15" t="s">
        <v>470</v>
      </c>
      <c r="E45" s="15"/>
      <c r="F45" s="19"/>
      <c r="G45" s="19"/>
      <c r="H45" s="25" t="s">
        <v>472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471</v>
      </c>
    </row>
    <row r="46" spans="1:40" ht="14.1" customHeight="1" x14ac:dyDescent="0.25">
      <c r="A46" s="15" t="s">
        <v>150</v>
      </c>
      <c r="B46" s="15" t="s">
        <v>464</v>
      </c>
      <c r="C46" s="15" t="s">
        <v>469</v>
      </c>
      <c r="D46" s="15" t="s">
        <v>470</v>
      </c>
      <c r="E46" s="15"/>
      <c r="F46" s="19"/>
      <c r="G46" s="19"/>
      <c r="H46" s="25" t="s">
        <v>472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471</v>
      </c>
    </row>
    <row r="47" spans="1:40" ht="14.1" customHeight="1" x14ac:dyDescent="0.25">
      <c r="A47" s="15" t="s">
        <v>18</v>
      </c>
      <c r="B47" s="15" t="s">
        <v>464</v>
      </c>
      <c r="C47" s="15" t="s">
        <v>469</v>
      </c>
      <c r="D47" s="15" t="s">
        <v>470</v>
      </c>
      <c r="E47" s="15"/>
      <c r="F47" s="19"/>
      <c r="G47" s="19"/>
      <c r="H47" s="25" t="s">
        <v>472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471</v>
      </c>
    </row>
    <row r="48" spans="1:40" ht="14.1" customHeight="1" x14ac:dyDescent="0.25">
      <c r="A48" s="15" t="s">
        <v>383</v>
      </c>
      <c r="B48" s="15" t="s">
        <v>464</v>
      </c>
      <c r="C48" s="15" t="s">
        <v>469</v>
      </c>
      <c r="D48" s="15" t="s">
        <v>470</v>
      </c>
      <c r="E48" s="15"/>
      <c r="F48" s="19"/>
      <c r="G48" s="19"/>
      <c r="H48" s="25" t="s">
        <v>343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471</v>
      </c>
    </row>
    <row r="49" spans="1:40" ht="14.1" customHeight="1" x14ac:dyDescent="0.25">
      <c r="A49" s="15" t="s">
        <v>344</v>
      </c>
      <c r="B49" s="15" t="s">
        <v>464</v>
      </c>
      <c r="C49" s="15" t="s">
        <v>469</v>
      </c>
      <c r="D49" s="15" t="s">
        <v>470</v>
      </c>
      <c r="E49" s="15"/>
      <c r="F49" s="19"/>
      <c r="G49" s="19"/>
      <c r="H49" s="25" t="s">
        <v>343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471</v>
      </c>
    </row>
    <row r="50" spans="1:40" ht="14.1" customHeight="1" x14ac:dyDescent="0.25">
      <c r="A50" s="15" t="s">
        <v>135</v>
      </c>
      <c r="B50" s="15" t="s">
        <v>464</v>
      </c>
      <c r="C50" s="15" t="s">
        <v>469</v>
      </c>
      <c r="D50" s="15" t="s">
        <v>470</v>
      </c>
      <c r="E50" s="15"/>
      <c r="F50" s="19"/>
      <c r="G50" s="19"/>
      <c r="H50" s="25" t="s">
        <v>343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471</v>
      </c>
    </row>
    <row r="51" spans="1:40" ht="14.1" customHeight="1" x14ac:dyDescent="0.25">
      <c r="A51" s="15" t="s">
        <v>127</v>
      </c>
      <c r="B51" s="15" t="s">
        <v>464</v>
      </c>
      <c r="C51" s="15" t="s">
        <v>469</v>
      </c>
      <c r="D51" s="15" t="s">
        <v>470</v>
      </c>
      <c r="E51" s="15"/>
      <c r="F51" s="19"/>
      <c r="G51" s="19"/>
      <c r="H51" s="25" t="s">
        <v>343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471</v>
      </c>
    </row>
    <row r="52" spans="1:40" ht="14.1" customHeight="1" x14ac:dyDescent="0.25">
      <c r="A52" s="15" t="s">
        <v>123</v>
      </c>
      <c r="B52" s="15" t="s">
        <v>464</v>
      </c>
      <c r="C52" s="15" t="s">
        <v>469</v>
      </c>
      <c r="D52" s="15" t="s">
        <v>470</v>
      </c>
      <c r="E52" s="15"/>
      <c r="F52" s="19"/>
      <c r="G52" s="19"/>
      <c r="H52" s="25" t="s">
        <v>343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471</v>
      </c>
    </row>
    <row r="53" spans="1:40" ht="14.1" customHeight="1" x14ac:dyDescent="0.25">
      <c r="A53" s="15" t="s">
        <v>133</v>
      </c>
      <c r="B53" s="15" t="s">
        <v>464</v>
      </c>
      <c r="C53" s="15" t="s">
        <v>469</v>
      </c>
      <c r="D53" s="15" t="s">
        <v>470</v>
      </c>
      <c r="E53" s="15"/>
      <c r="F53" s="19"/>
      <c r="G53" s="19">
        <v>1</v>
      </c>
      <c r="H53" s="25" t="s">
        <v>343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471</v>
      </c>
    </row>
    <row r="54" spans="1:40" ht="14.1" customHeight="1" x14ac:dyDescent="0.25">
      <c r="A54" s="15" t="s">
        <v>383</v>
      </c>
      <c r="B54" s="15" t="s">
        <v>464</v>
      </c>
      <c r="C54" s="15" t="s">
        <v>465</v>
      </c>
      <c r="D54" s="15" t="s">
        <v>473</v>
      </c>
      <c r="E54" s="15"/>
      <c r="F54" s="19"/>
      <c r="G54" s="19"/>
      <c r="H54" s="25" t="s">
        <v>343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471</v>
      </c>
    </row>
    <row r="55" spans="1:40" ht="14.1" customHeight="1" x14ac:dyDescent="0.25">
      <c r="A55" s="15" t="s">
        <v>344</v>
      </c>
      <c r="B55" s="15" t="s">
        <v>464</v>
      </c>
      <c r="C55" s="15" t="s">
        <v>465</v>
      </c>
      <c r="D55" s="15" t="s">
        <v>473</v>
      </c>
      <c r="E55" s="15"/>
      <c r="F55" s="19"/>
      <c r="G55" s="19"/>
      <c r="H55" s="25" t="s">
        <v>343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471</v>
      </c>
    </row>
    <row r="56" spans="1:40" ht="14.1" customHeight="1" x14ac:dyDescent="0.25">
      <c r="A56" s="15" t="s">
        <v>135</v>
      </c>
      <c r="B56" s="15" t="s">
        <v>464</v>
      </c>
      <c r="C56" s="15" t="s">
        <v>465</v>
      </c>
      <c r="D56" s="15" t="s">
        <v>473</v>
      </c>
      <c r="E56" s="15"/>
      <c r="F56" s="19"/>
      <c r="G56" s="19"/>
      <c r="H56" s="25" t="s">
        <v>343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471</v>
      </c>
    </row>
    <row r="57" spans="1:40" ht="14.1" customHeight="1" x14ac:dyDescent="0.25">
      <c r="A57" s="15" t="s">
        <v>127</v>
      </c>
      <c r="B57" s="15" t="s">
        <v>464</v>
      </c>
      <c r="C57" s="15" t="s">
        <v>465</v>
      </c>
      <c r="D57" s="15" t="s">
        <v>473</v>
      </c>
      <c r="E57" s="15"/>
      <c r="F57" s="19"/>
      <c r="G57" s="19"/>
      <c r="H57" s="25" t="s">
        <v>343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471</v>
      </c>
    </row>
    <row r="58" spans="1:40" ht="14.1" customHeight="1" x14ac:dyDescent="0.25">
      <c r="A58" s="15" t="s">
        <v>123</v>
      </c>
      <c r="B58" s="15" t="s">
        <v>464</v>
      </c>
      <c r="C58" s="15" t="s">
        <v>465</v>
      </c>
      <c r="D58" s="15" t="s">
        <v>473</v>
      </c>
      <c r="E58" s="15"/>
      <c r="F58" s="19"/>
      <c r="G58" s="19"/>
      <c r="H58" s="25" t="s">
        <v>343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471</v>
      </c>
    </row>
    <row r="59" spans="1:40" ht="14.1" customHeight="1" x14ac:dyDescent="0.25">
      <c r="A59" s="15" t="s">
        <v>133</v>
      </c>
      <c r="B59" s="15" t="s">
        <v>464</v>
      </c>
      <c r="C59" s="15" t="s">
        <v>465</v>
      </c>
      <c r="D59" s="15" t="s">
        <v>473</v>
      </c>
      <c r="E59" s="15"/>
      <c r="F59" s="19"/>
      <c r="G59" s="19"/>
      <c r="H59" s="25" t="s">
        <v>343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471</v>
      </c>
    </row>
    <row r="60" spans="1:40" ht="14.1" customHeight="1" x14ac:dyDescent="0.25">
      <c r="A60" s="15" t="s">
        <v>383</v>
      </c>
      <c r="B60" s="15" t="s">
        <v>464</v>
      </c>
      <c r="C60" s="15" t="s">
        <v>469</v>
      </c>
      <c r="D60" s="15" t="s">
        <v>474</v>
      </c>
      <c r="E60" s="15"/>
      <c r="F60" s="19"/>
      <c r="G60" s="19">
        <v>1</v>
      </c>
      <c r="H60" s="25" t="s">
        <v>343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475</v>
      </c>
    </row>
    <row r="61" spans="1:40" ht="14.1" customHeight="1" x14ac:dyDescent="0.25">
      <c r="A61" s="15" t="s">
        <v>344</v>
      </c>
      <c r="B61" s="15" t="s">
        <v>464</v>
      </c>
      <c r="C61" s="15" t="s">
        <v>469</v>
      </c>
      <c r="D61" s="15" t="s">
        <v>474</v>
      </c>
      <c r="E61" s="15"/>
      <c r="F61" s="19"/>
      <c r="G61" s="19"/>
      <c r="H61" s="25" t="s">
        <v>343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475</v>
      </c>
    </row>
    <row r="62" spans="1:40" ht="14.1" customHeight="1" x14ac:dyDescent="0.25">
      <c r="A62" s="15" t="s">
        <v>127</v>
      </c>
      <c r="B62" s="15" t="s">
        <v>464</v>
      </c>
      <c r="C62" s="15" t="s">
        <v>469</v>
      </c>
      <c r="D62" s="15" t="s">
        <v>474</v>
      </c>
      <c r="E62" s="15"/>
      <c r="F62" s="19"/>
      <c r="G62" s="19"/>
      <c r="H62" s="25" t="s">
        <v>343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475</v>
      </c>
    </row>
    <row r="63" spans="1:40" ht="14.1" customHeight="1" x14ac:dyDescent="0.25">
      <c r="A63" s="15" t="s">
        <v>133</v>
      </c>
      <c r="B63" s="15" t="s">
        <v>464</v>
      </c>
      <c r="C63" s="15" t="s">
        <v>469</v>
      </c>
      <c r="D63" s="15" t="s">
        <v>474</v>
      </c>
      <c r="E63" s="15"/>
      <c r="F63" s="19"/>
      <c r="G63" s="19"/>
      <c r="H63" s="25" t="s">
        <v>343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475</v>
      </c>
    </row>
    <row r="64" spans="1:40" ht="14.1" customHeight="1" x14ac:dyDescent="0.25">
      <c r="A64" s="15" t="s">
        <v>420</v>
      </c>
      <c r="B64" s="15" t="s">
        <v>464</v>
      </c>
      <c r="C64" s="15" t="s">
        <v>469</v>
      </c>
      <c r="D64" s="15" t="s">
        <v>474</v>
      </c>
      <c r="E64" s="15"/>
      <c r="F64" s="19"/>
      <c r="G64" s="19"/>
      <c r="H64" s="25" t="s">
        <v>343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475</v>
      </c>
    </row>
    <row r="65" spans="1:40" ht="14.1" customHeight="1" x14ac:dyDescent="0.25">
      <c r="A65" s="15" t="s">
        <v>383</v>
      </c>
      <c r="B65" s="15" t="s">
        <v>464</v>
      </c>
      <c r="C65" s="15" t="s">
        <v>465</v>
      </c>
      <c r="D65" s="15" t="s">
        <v>473</v>
      </c>
      <c r="E65" s="15"/>
      <c r="F65" s="19"/>
      <c r="G65" s="19"/>
      <c r="H65" s="25" t="s">
        <v>343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475</v>
      </c>
    </row>
    <row r="66" spans="1:40" ht="14.1" customHeight="1" x14ac:dyDescent="0.25">
      <c r="A66" s="15" t="s">
        <v>344</v>
      </c>
      <c r="B66" s="15" t="s">
        <v>464</v>
      </c>
      <c r="C66" s="15" t="s">
        <v>465</v>
      </c>
      <c r="D66" s="15" t="s">
        <v>473</v>
      </c>
      <c r="E66" s="15"/>
      <c r="F66" s="19"/>
      <c r="G66" s="19"/>
      <c r="H66" s="25" t="s">
        <v>343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475</v>
      </c>
    </row>
    <row r="67" spans="1:40" ht="14.1" customHeight="1" x14ac:dyDescent="0.25">
      <c r="A67" s="15" t="s">
        <v>127</v>
      </c>
      <c r="B67" s="15" t="s">
        <v>464</v>
      </c>
      <c r="C67" s="15" t="s">
        <v>465</v>
      </c>
      <c r="D67" s="15" t="s">
        <v>473</v>
      </c>
      <c r="E67" s="15"/>
      <c r="F67" s="19"/>
      <c r="G67" s="19"/>
      <c r="H67" s="25" t="s">
        <v>343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475</v>
      </c>
    </row>
    <row r="68" spans="1:40" ht="14.1" customHeight="1" x14ac:dyDescent="0.25">
      <c r="A68" s="15" t="s">
        <v>133</v>
      </c>
      <c r="B68" s="15" t="s">
        <v>464</v>
      </c>
      <c r="C68" s="15" t="s">
        <v>465</v>
      </c>
      <c r="D68" s="15" t="s">
        <v>473</v>
      </c>
      <c r="E68" s="15"/>
      <c r="F68" s="19"/>
      <c r="G68" s="19"/>
      <c r="H68" s="25" t="s">
        <v>343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475</v>
      </c>
    </row>
    <row r="69" spans="1:40" ht="14.1" customHeight="1" x14ac:dyDescent="0.25">
      <c r="A69" s="15" t="s">
        <v>420</v>
      </c>
      <c r="B69" s="15" t="s">
        <v>464</v>
      </c>
      <c r="C69" s="15" t="s">
        <v>465</v>
      </c>
      <c r="D69" s="15" t="s">
        <v>473</v>
      </c>
      <c r="E69" s="15"/>
      <c r="F69" s="19"/>
      <c r="G69" s="19"/>
      <c r="H69" s="25" t="s">
        <v>343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475</v>
      </c>
    </row>
    <row r="70" spans="1:40" ht="14.1" customHeight="1" x14ac:dyDescent="0.25">
      <c r="A70" s="15" t="s">
        <v>420</v>
      </c>
      <c r="B70" s="15" t="s">
        <v>464</v>
      </c>
      <c r="C70" s="15" t="s">
        <v>465</v>
      </c>
      <c r="D70" s="15" t="s">
        <v>473</v>
      </c>
      <c r="E70" s="15"/>
      <c r="F70" s="19"/>
      <c r="G70" s="19"/>
      <c r="H70" s="25" t="s">
        <v>343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476</v>
      </c>
    </row>
    <row r="71" spans="1:40" ht="14.1" customHeight="1" x14ac:dyDescent="0.25">
      <c r="A71" s="15" t="s">
        <v>383</v>
      </c>
      <c r="B71" s="15" t="s">
        <v>464</v>
      </c>
      <c r="C71" s="15" t="s">
        <v>465</v>
      </c>
      <c r="D71" s="15" t="s">
        <v>473</v>
      </c>
      <c r="E71" s="15"/>
      <c r="F71" s="19"/>
      <c r="G71" s="19"/>
      <c r="H71" s="25" t="s">
        <v>343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476</v>
      </c>
    </row>
    <row r="72" spans="1:40" ht="14.1" customHeight="1" x14ac:dyDescent="0.25">
      <c r="A72" s="15" t="s">
        <v>344</v>
      </c>
      <c r="B72" s="15" t="s">
        <v>464</v>
      </c>
      <c r="C72" s="15" t="s">
        <v>465</v>
      </c>
      <c r="D72" s="15" t="s">
        <v>473</v>
      </c>
      <c r="E72" s="15"/>
      <c r="F72" s="19"/>
      <c r="G72" s="19"/>
      <c r="H72" s="25" t="s">
        <v>343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476</v>
      </c>
    </row>
    <row r="73" spans="1:40" ht="14.1" customHeight="1" x14ac:dyDescent="0.25">
      <c r="A73" s="15" t="s">
        <v>135</v>
      </c>
      <c r="B73" s="15" t="s">
        <v>464</v>
      </c>
      <c r="C73" s="15" t="s">
        <v>465</v>
      </c>
      <c r="D73" s="15" t="s">
        <v>473</v>
      </c>
      <c r="E73" s="15"/>
      <c r="F73" s="19"/>
      <c r="G73" s="19"/>
      <c r="H73" s="25" t="s">
        <v>343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476</v>
      </c>
    </row>
    <row r="74" spans="1:40" ht="14.1" customHeight="1" x14ac:dyDescent="0.25">
      <c r="A74" s="15" t="s">
        <v>127</v>
      </c>
      <c r="B74" s="15" t="s">
        <v>464</v>
      </c>
      <c r="C74" s="15" t="s">
        <v>465</v>
      </c>
      <c r="D74" s="15" t="s">
        <v>473</v>
      </c>
      <c r="E74" s="15"/>
      <c r="F74" s="19"/>
      <c r="G74" s="19"/>
      <c r="H74" s="25" t="s">
        <v>343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476</v>
      </c>
    </row>
    <row r="75" spans="1:40" ht="14.1" customHeight="1" x14ac:dyDescent="0.25">
      <c r="A75" s="15" t="s">
        <v>123</v>
      </c>
      <c r="B75" s="15" t="s">
        <v>464</v>
      </c>
      <c r="C75" s="15" t="s">
        <v>465</v>
      </c>
      <c r="D75" s="15" t="s">
        <v>473</v>
      </c>
      <c r="E75" s="15"/>
      <c r="F75" s="19"/>
      <c r="G75" s="19"/>
      <c r="H75" s="25" t="s">
        <v>343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476</v>
      </c>
    </row>
    <row r="76" spans="1:40" ht="14.1" customHeight="1" x14ac:dyDescent="0.25">
      <c r="A76" s="15" t="s">
        <v>133</v>
      </c>
      <c r="B76" s="15" t="s">
        <v>464</v>
      </c>
      <c r="C76" s="15" t="s">
        <v>465</v>
      </c>
      <c r="D76" s="15" t="s">
        <v>473</v>
      </c>
      <c r="E76" s="15"/>
      <c r="F76" s="19"/>
      <c r="G76" s="19"/>
      <c r="H76" s="25" t="s">
        <v>343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476</v>
      </c>
    </row>
    <row r="77" spans="1:40" ht="14.1" customHeight="1" x14ac:dyDescent="0.25">
      <c r="A77" s="15" t="s">
        <v>135</v>
      </c>
      <c r="B77" s="15" t="s">
        <v>464</v>
      </c>
      <c r="C77" s="15" t="s">
        <v>469</v>
      </c>
      <c r="D77" s="15" t="s">
        <v>477</v>
      </c>
      <c r="E77" s="15" t="s">
        <v>478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479</v>
      </c>
    </row>
    <row r="78" spans="1:40" ht="14.1" customHeight="1" x14ac:dyDescent="0.25">
      <c r="A78" s="15" t="s">
        <v>138</v>
      </c>
      <c r="B78" s="15" t="s">
        <v>464</v>
      </c>
      <c r="C78" s="15" t="s">
        <v>469</v>
      </c>
      <c r="D78" s="15" t="s">
        <v>477</v>
      </c>
      <c r="E78" s="15" t="s">
        <v>478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479</v>
      </c>
    </row>
    <row r="79" spans="1:40" ht="14.1" customHeight="1" x14ac:dyDescent="0.25">
      <c r="A79" s="15" t="s">
        <v>135</v>
      </c>
      <c r="B79" s="15" t="s">
        <v>464</v>
      </c>
      <c r="C79" s="15" t="s">
        <v>469</v>
      </c>
      <c r="D79" s="15" t="s">
        <v>477</v>
      </c>
      <c r="E79" s="15" t="s">
        <v>478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480</v>
      </c>
    </row>
    <row r="80" spans="1:40" ht="14.1" customHeight="1" x14ac:dyDescent="0.25">
      <c r="A80" s="15" t="s">
        <v>135</v>
      </c>
      <c r="B80" s="15" t="s">
        <v>464</v>
      </c>
      <c r="C80" s="15" t="s">
        <v>465</v>
      </c>
      <c r="D80" s="15" t="s">
        <v>473</v>
      </c>
      <c r="E80" s="15"/>
      <c r="F80" s="19"/>
      <c r="G80" s="19"/>
      <c r="H80" s="25" t="s">
        <v>343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138</v>
      </c>
      <c r="B81" s="15" t="s">
        <v>464</v>
      </c>
      <c r="C81" s="15" t="s">
        <v>465</v>
      </c>
      <c r="D81" s="15" t="s">
        <v>473</v>
      </c>
      <c r="E81" s="15"/>
      <c r="F81" s="19"/>
      <c r="G81" s="19"/>
      <c r="H81" s="25" t="s">
        <v>343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135</v>
      </c>
      <c r="B82" s="15" t="s">
        <v>464</v>
      </c>
      <c r="C82" s="15" t="s">
        <v>465</v>
      </c>
      <c r="D82" s="15" t="s">
        <v>473</v>
      </c>
      <c r="E82" s="15"/>
      <c r="F82" s="19"/>
      <c r="G82" s="19"/>
      <c r="H82" s="25" t="s">
        <v>343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135</v>
      </c>
      <c r="B83" s="15" t="s">
        <v>464</v>
      </c>
      <c r="C83" s="15" t="s">
        <v>481</v>
      </c>
      <c r="D83" s="15" t="s">
        <v>482</v>
      </c>
      <c r="E83" s="15" t="s">
        <v>478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127</v>
      </c>
      <c r="B84" s="15" t="s">
        <v>464</v>
      </c>
      <c r="C84" s="15" t="s">
        <v>481</v>
      </c>
      <c r="D84" s="15" t="s">
        <v>483</v>
      </c>
      <c r="E84" s="15" t="s">
        <v>355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420</v>
      </c>
      <c r="B85" s="15" t="s">
        <v>464</v>
      </c>
      <c r="C85" s="15" t="s">
        <v>481</v>
      </c>
      <c r="D85" s="15" t="s">
        <v>484</v>
      </c>
      <c r="E85" s="15" t="s">
        <v>355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420</v>
      </c>
      <c r="B86" s="15" t="s">
        <v>464</v>
      </c>
      <c r="C86" s="15" t="s">
        <v>469</v>
      </c>
      <c r="D86" s="15" t="s">
        <v>485</v>
      </c>
      <c r="E86" s="15" t="s">
        <v>355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383</v>
      </c>
      <c r="B87" s="15" t="s">
        <v>464</v>
      </c>
      <c r="C87" s="15" t="s">
        <v>481</v>
      </c>
      <c r="D87" s="15" t="s">
        <v>484</v>
      </c>
      <c r="E87" s="15" t="s">
        <v>355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383</v>
      </c>
      <c r="B88" s="15" t="s">
        <v>464</v>
      </c>
      <c r="C88" s="15" t="s">
        <v>481</v>
      </c>
      <c r="D88" s="15" t="s">
        <v>482</v>
      </c>
      <c r="E88" s="15" t="s">
        <v>478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383</v>
      </c>
      <c r="B89" s="15" t="s">
        <v>464</v>
      </c>
      <c r="C89" s="15" t="s">
        <v>481</v>
      </c>
      <c r="D89" s="15" t="s">
        <v>486</v>
      </c>
      <c r="E89" s="15" t="s">
        <v>428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383</v>
      </c>
      <c r="B90" s="15" t="s">
        <v>464</v>
      </c>
      <c r="C90" s="15" t="s">
        <v>469</v>
      </c>
      <c r="D90" s="15" t="s">
        <v>485</v>
      </c>
      <c r="E90" s="15" t="s">
        <v>355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383</v>
      </c>
      <c r="B91" s="15" t="s">
        <v>464</v>
      </c>
      <c r="C91" s="15" t="s">
        <v>481</v>
      </c>
      <c r="D91" s="15" t="s">
        <v>486</v>
      </c>
      <c r="E91" s="15" t="s">
        <v>430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344</v>
      </c>
      <c r="B92" s="15" t="s">
        <v>464</v>
      </c>
      <c r="C92" s="15" t="s">
        <v>481</v>
      </c>
      <c r="D92" s="15" t="s">
        <v>486</v>
      </c>
      <c r="E92" s="15" t="s">
        <v>428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344</v>
      </c>
      <c r="B93" s="15" t="s">
        <v>464</v>
      </c>
      <c r="C93" s="15" t="s">
        <v>481</v>
      </c>
      <c r="D93" s="15" t="s">
        <v>486</v>
      </c>
      <c r="E93" s="15" t="s">
        <v>430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344</v>
      </c>
      <c r="B94" s="15" t="s">
        <v>464</v>
      </c>
      <c r="C94" s="15" t="s">
        <v>469</v>
      </c>
      <c r="D94" s="15" t="s">
        <v>485</v>
      </c>
      <c r="E94" s="15" t="s">
        <v>428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344</v>
      </c>
      <c r="B95" s="15" t="s">
        <v>464</v>
      </c>
      <c r="C95" s="15" t="s">
        <v>469</v>
      </c>
      <c r="D95" s="15" t="s">
        <v>485</v>
      </c>
      <c r="E95" s="15" t="s">
        <v>355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344</v>
      </c>
      <c r="B96" s="15" t="s">
        <v>464</v>
      </c>
      <c r="C96" s="15" t="s">
        <v>481</v>
      </c>
      <c r="D96" s="15" t="s">
        <v>486</v>
      </c>
      <c r="E96" s="15" t="s">
        <v>355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344</v>
      </c>
      <c r="B97" s="15" t="s">
        <v>464</v>
      </c>
      <c r="C97" s="15" t="s">
        <v>481</v>
      </c>
      <c r="D97" s="15" t="s">
        <v>482</v>
      </c>
      <c r="E97" s="15" t="s">
        <v>478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344</v>
      </c>
      <c r="B98" s="15" t="s">
        <v>464</v>
      </c>
      <c r="C98" s="15" t="s">
        <v>481</v>
      </c>
      <c r="D98" s="15" t="s">
        <v>483</v>
      </c>
      <c r="E98" s="15" t="s">
        <v>428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135</v>
      </c>
      <c r="B99" s="15" t="s">
        <v>464</v>
      </c>
      <c r="C99" s="15" t="s">
        <v>481</v>
      </c>
      <c r="D99" s="15" t="s">
        <v>482</v>
      </c>
      <c r="E99" s="15" t="s">
        <v>487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135</v>
      </c>
      <c r="B100" s="15" t="s">
        <v>464</v>
      </c>
      <c r="C100" s="15" t="s">
        <v>481</v>
      </c>
      <c r="D100" s="15" t="s">
        <v>483</v>
      </c>
      <c r="E100" s="15" t="s">
        <v>355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135</v>
      </c>
      <c r="B101" s="15" t="s">
        <v>464</v>
      </c>
      <c r="C101" s="15" t="s">
        <v>481</v>
      </c>
      <c r="D101" s="15" t="s">
        <v>483</v>
      </c>
      <c r="E101" s="15" t="s">
        <v>478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127</v>
      </c>
      <c r="B102" s="15" t="s">
        <v>464</v>
      </c>
      <c r="C102" s="15" t="s">
        <v>481</v>
      </c>
      <c r="D102" s="15" t="s">
        <v>484</v>
      </c>
      <c r="E102" s="15" t="s">
        <v>355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127</v>
      </c>
      <c r="B103" s="15" t="s">
        <v>464</v>
      </c>
      <c r="C103" s="15" t="s">
        <v>469</v>
      </c>
      <c r="D103" s="15" t="s">
        <v>485</v>
      </c>
      <c r="E103" s="15" t="s">
        <v>355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127</v>
      </c>
      <c r="B104" s="15" t="s">
        <v>464</v>
      </c>
      <c r="C104" s="15" t="s">
        <v>481</v>
      </c>
      <c r="D104" s="15" t="s">
        <v>486</v>
      </c>
      <c r="E104" s="15" t="s">
        <v>430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127</v>
      </c>
      <c r="B105" s="15" t="s">
        <v>464</v>
      </c>
      <c r="C105" s="15" t="s">
        <v>481</v>
      </c>
      <c r="D105" s="15" t="s">
        <v>483</v>
      </c>
      <c r="E105" s="15" t="s">
        <v>478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127</v>
      </c>
      <c r="B106" s="15" t="s">
        <v>464</v>
      </c>
      <c r="C106" s="15" t="s">
        <v>481</v>
      </c>
      <c r="D106" s="15" t="s">
        <v>483</v>
      </c>
      <c r="E106" s="15" t="s">
        <v>428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123</v>
      </c>
      <c r="B107" s="15" t="s">
        <v>464</v>
      </c>
      <c r="C107" s="15" t="s">
        <v>481</v>
      </c>
      <c r="D107" s="15" t="s">
        <v>486</v>
      </c>
      <c r="E107" s="15" t="s">
        <v>430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133</v>
      </c>
      <c r="B108" s="15" t="s">
        <v>464</v>
      </c>
      <c r="C108" s="15" t="s">
        <v>469</v>
      </c>
      <c r="D108" s="15" t="s">
        <v>485</v>
      </c>
      <c r="E108" s="15" t="s">
        <v>428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133</v>
      </c>
      <c r="B109" s="15" t="s">
        <v>464</v>
      </c>
      <c r="C109" s="15" t="s">
        <v>469</v>
      </c>
      <c r="D109" s="15" t="s">
        <v>485</v>
      </c>
      <c r="E109" s="15" t="s">
        <v>355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133</v>
      </c>
      <c r="B110" s="15" t="s">
        <v>464</v>
      </c>
      <c r="C110" s="15" t="s">
        <v>481</v>
      </c>
      <c r="D110" s="15" t="s">
        <v>483</v>
      </c>
      <c r="E110" s="15" t="s">
        <v>355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133</v>
      </c>
      <c r="B111" s="15" t="s">
        <v>464</v>
      </c>
      <c r="C111" s="15" t="s">
        <v>481</v>
      </c>
      <c r="D111" s="15" t="s">
        <v>486</v>
      </c>
      <c r="E111" s="15" t="s">
        <v>428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133</v>
      </c>
      <c r="B112" s="15" t="s">
        <v>464</v>
      </c>
      <c r="C112" s="15" t="s">
        <v>481</v>
      </c>
      <c r="D112" s="15" t="s">
        <v>483</v>
      </c>
      <c r="E112" s="15" t="s">
        <v>428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139</v>
      </c>
      <c r="B113" s="15" t="s">
        <v>464</v>
      </c>
      <c r="C113" s="15" t="s">
        <v>481</v>
      </c>
      <c r="D113" s="15" t="s">
        <v>482</v>
      </c>
      <c r="E113" s="15" t="s">
        <v>478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138</v>
      </c>
      <c r="B114" s="15" t="s">
        <v>464</v>
      </c>
      <c r="C114" s="15" t="s">
        <v>481</v>
      </c>
      <c r="D114" s="15" t="s">
        <v>482</v>
      </c>
      <c r="E114" s="15" t="s">
        <v>478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90</v>
      </c>
      <c r="B115" s="15" t="s">
        <v>464</v>
      </c>
      <c r="C115" s="15" t="s">
        <v>469</v>
      </c>
      <c r="D115" s="15" t="s">
        <v>477</v>
      </c>
      <c r="E115" s="15" t="s">
        <v>424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479</v>
      </c>
    </row>
    <row r="116" spans="1:40" ht="14.1" customHeight="1" x14ac:dyDescent="0.25">
      <c r="A116" s="15" t="s">
        <v>90</v>
      </c>
      <c r="B116" s="15" t="s">
        <v>464</v>
      </c>
      <c r="C116" s="15" t="s">
        <v>469</v>
      </c>
      <c r="D116" s="15" t="s">
        <v>477</v>
      </c>
      <c r="E116" s="15" t="s">
        <v>424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488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562</v>
      </c>
      <c r="B3" s="334" t="s">
        <v>563</v>
      </c>
      <c r="C3" s="253" t="s">
        <v>564</v>
      </c>
      <c r="D3" s="254" t="s">
        <v>565</v>
      </c>
      <c r="E3" s="253" t="s">
        <v>566</v>
      </c>
      <c r="F3" s="254" t="s">
        <v>567</v>
      </c>
      <c r="G3" s="253" t="s">
        <v>568</v>
      </c>
      <c r="H3" s="253" t="s">
        <v>569</v>
      </c>
      <c r="I3" s="254" t="s">
        <v>570</v>
      </c>
      <c r="J3" s="253" t="s">
        <v>571</v>
      </c>
    </row>
    <row r="4" spans="1:11" x14ac:dyDescent="0.25">
      <c r="A4" s="255" t="s">
        <v>386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561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526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438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464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489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572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562</v>
      </c>
      <c r="B13" s="334" t="s">
        <v>563</v>
      </c>
      <c r="C13" s="253" t="s">
        <v>564</v>
      </c>
      <c r="D13" s="254" t="s">
        <v>565</v>
      </c>
      <c r="E13" s="253" t="s">
        <v>566</v>
      </c>
      <c r="F13" s="254" t="s">
        <v>567</v>
      </c>
      <c r="G13" s="253" t="s">
        <v>568</v>
      </c>
      <c r="H13" s="253" t="s">
        <v>569</v>
      </c>
      <c r="I13" s="254" t="s">
        <v>570</v>
      </c>
      <c r="J13" s="253" t="s">
        <v>571</v>
      </c>
    </row>
    <row r="14" spans="1:11" x14ac:dyDescent="0.25">
      <c r="A14" s="255" t="s">
        <v>386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561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526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438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464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489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572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562</v>
      </c>
      <c r="B3" s="315" t="s">
        <v>563</v>
      </c>
      <c r="C3" s="316" t="s">
        <v>564</v>
      </c>
      <c r="D3" s="317" t="s">
        <v>565</v>
      </c>
      <c r="E3" s="316" t="s">
        <v>566</v>
      </c>
      <c r="F3" s="317" t="s">
        <v>567</v>
      </c>
      <c r="G3" s="316" t="s">
        <v>568</v>
      </c>
      <c r="H3" s="316" t="s">
        <v>569</v>
      </c>
      <c r="I3" s="317" t="s">
        <v>570</v>
      </c>
      <c r="J3" s="316" t="s">
        <v>571</v>
      </c>
    </row>
    <row r="4" spans="1:10" x14ac:dyDescent="0.25">
      <c r="A4" s="255" t="s">
        <v>386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390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395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387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401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399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561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323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318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337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362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364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526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527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529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552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556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438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443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439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453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447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462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464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481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469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465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489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490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495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503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507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509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572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562</v>
      </c>
      <c r="B1" s="334" t="s">
        <v>563</v>
      </c>
      <c r="C1" s="253" t="s">
        <v>564</v>
      </c>
      <c r="D1" s="254" t="s">
        <v>565</v>
      </c>
      <c r="E1" s="253" t="s">
        <v>566</v>
      </c>
      <c r="F1" s="254" t="s">
        <v>567</v>
      </c>
      <c r="G1" s="253" t="s">
        <v>568</v>
      </c>
      <c r="H1" s="253" t="s">
        <v>569</v>
      </c>
      <c r="I1" s="254" t="s">
        <v>570</v>
      </c>
      <c r="J1" s="253" t="s">
        <v>571</v>
      </c>
    </row>
    <row r="2" spans="1:10" x14ac:dyDescent="0.25">
      <c r="A2" s="255" t="s">
        <v>386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390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414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391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409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392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393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395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410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413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396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387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411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412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436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398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388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401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402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403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404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405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399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400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406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407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408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561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323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329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324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318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522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331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327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326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319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337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374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348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338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362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369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370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371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366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363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364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372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365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373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381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25">
      <c r="A54" s="255" t="s">
        <v>526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527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532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528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535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529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537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530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540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544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552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553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554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555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559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556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557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558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560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438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443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444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445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446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452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439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440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441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451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459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453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461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25">
      <c r="A86" s="257" t="s">
        <v>456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457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455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454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447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448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462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463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464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481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484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482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486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483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469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477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474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470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485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465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468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466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473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573</v>
      </c>
    </row>
    <row r="109" spans="1:11" x14ac:dyDescent="0.25">
      <c r="A109" s="257" t="s">
        <v>467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489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490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499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501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491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502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495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496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519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498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503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504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505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520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507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513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508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515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509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518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511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516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510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574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574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574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572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575</v>
      </c>
      <c r="C2" s="261" t="s">
        <v>576</v>
      </c>
      <c r="D2" s="261" t="s">
        <v>577</v>
      </c>
      <c r="E2" s="261" t="s">
        <v>578</v>
      </c>
      <c r="F2" s="261" t="s">
        <v>579</v>
      </c>
      <c r="G2" s="261" t="s">
        <v>580</v>
      </c>
      <c r="H2" s="261" t="s">
        <v>290</v>
      </c>
      <c r="I2" s="261" t="s">
        <v>294</v>
      </c>
      <c r="J2" s="261" t="s">
        <v>295</v>
      </c>
      <c r="K2" s="261" t="s">
        <v>296</v>
      </c>
      <c r="L2" s="261" t="s">
        <v>298</v>
      </c>
      <c r="M2" s="261" t="s">
        <v>299</v>
      </c>
      <c r="N2" s="261" t="s">
        <v>300</v>
      </c>
      <c r="O2" s="261" t="s">
        <v>301</v>
      </c>
    </row>
    <row r="3" spans="2:18" x14ac:dyDescent="0.25">
      <c r="B3" s="259" t="s">
        <v>386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390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395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387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401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399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561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323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318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337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362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364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526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527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529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552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556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489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490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495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503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507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509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438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443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439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453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447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462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464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481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469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465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60" x14ac:dyDescent="0.25">
      <c r="B38" s="261" t="s">
        <v>581</v>
      </c>
      <c r="C38" s="261" t="s">
        <v>576</v>
      </c>
      <c r="D38" s="261" t="s">
        <v>577</v>
      </c>
      <c r="E38" s="261" t="s">
        <v>578</v>
      </c>
      <c r="F38" s="261" t="s">
        <v>579</v>
      </c>
      <c r="G38" s="261" t="s">
        <v>580</v>
      </c>
      <c r="H38" s="261" t="s">
        <v>290</v>
      </c>
      <c r="I38" s="261" t="s">
        <v>294</v>
      </c>
      <c r="J38" s="261" t="s">
        <v>295</v>
      </c>
      <c r="K38" s="261" t="s">
        <v>296</v>
      </c>
      <c r="L38" s="261" t="s">
        <v>298</v>
      </c>
      <c r="M38" s="261" t="s">
        <v>299</v>
      </c>
      <c r="N38" s="261" t="s">
        <v>300</v>
      </c>
      <c r="O38" s="261" t="s">
        <v>301</v>
      </c>
    </row>
    <row r="39" spans="2:15" x14ac:dyDescent="0.25">
      <c r="B39" s="259" t="s">
        <v>386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390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395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387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401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399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561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323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318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337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362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364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526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527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529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552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556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489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490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495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503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507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509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582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583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584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585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443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439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453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562</v>
      </c>
      <c r="C71" s="216"/>
      <c r="D71" s="216"/>
      <c r="E71" s="267"/>
      <c r="F71" s="267"/>
      <c r="G71" s="261" t="s">
        <v>297</v>
      </c>
      <c r="H71" s="261" t="s">
        <v>290</v>
      </c>
      <c r="I71" s="261" t="s">
        <v>294</v>
      </c>
      <c r="J71" s="261" t="s">
        <v>295</v>
      </c>
      <c r="K71" s="261" t="s">
        <v>296</v>
      </c>
      <c r="L71" s="261" t="s">
        <v>298</v>
      </c>
      <c r="M71" s="261" t="s">
        <v>299</v>
      </c>
      <c r="N71" s="261" t="s">
        <v>300</v>
      </c>
      <c r="O71" s="261" t="s">
        <v>301</v>
      </c>
    </row>
    <row r="72" spans="2:15" hidden="1" outlineLevel="1" x14ac:dyDescent="0.25">
      <c r="B72" s="259" t="s">
        <v>438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443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444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445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446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452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439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440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441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451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459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453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461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456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457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455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454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447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448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462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463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464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481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484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482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486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483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469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477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474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470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485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465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468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466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473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467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575</v>
      </c>
      <c r="C2" s="366" t="s">
        <v>576</v>
      </c>
      <c r="D2" s="361" t="s">
        <v>577</v>
      </c>
      <c r="E2" s="340" t="s">
        <v>578</v>
      </c>
      <c r="F2" s="366" t="s">
        <v>579</v>
      </c>
      <c r="G2" s="361" t="s">
        <v>580</v>
      </c>
      <c r="H2" s="340" t="s">
        <v>299</v>
      </c>
      <c r="I2" s="359" t="s">
        <v>290</v>
      </c>
      <c r="J2" s="360" t="s">
        <v>294</v>
      </c>
      <c r="K2" s="360" t="s">
        <v>295</v>
      </c>
      <c r="L2" s="361" t="s">
        <v>296</v>
      </c>
      <c r="M2" s="350" t="s">
        <v>298</v>
      </c>
      <c r="N2" s="261" t="s">
        <v>300</v>
      </c>
      <c r="O2" s="261" t="s">
        <v>301</v>
      </c>
    </row>
    <row r="3" spans="2:18" x14ac:dyDescent="0.25">
      <c r="B3" s="357" t="s">
        <v>386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5" t="s">
        <v>390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5" t="s">
        <v>395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5" t="s">
        <v>387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5" t="s">
        <v>401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25">
      <c r="B8" s="355" t="s">
        <v>399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25">
      <c r="B9" s="354" t="s">
        <v>561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5" t="s">
        <v>323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25">
      <c r="B11" s="355" t="s">
        <v>318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25">
      <c r="B12" s="355" t="s">
        <v>337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30" hidden="1" outlineLevel="1" x14ac:dyDescent="0.25">
      <c r="B13" s="355" t="s">
        <v>362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30" hidden="1" outlineLevel="1" x14ac:dyDescent="0.25">
      <c r="B14" s="355" t="s">
        <v>364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25">
      <c r="B15" s="354" t="s">
        <v>526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5" t="s">
        <v>527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30" hidden="1" outlineLevel="1" x14ac:dyDescent="0.25">
      <c r="B17" s="355" t="s">
        <v>529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25">
      <c r="B18" s="355" t="s">
        <v>552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5" t="s">
        <v>556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25">
      <c r="B20" s="354" t="s">
        <v>489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5" t="s">
        <v>490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25">
      <c r="B22" s="355" t="s">
        <v>495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25">
      <c r="B23" s="355" t="s">
        <v>503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25">
      <c r="B24" s="355" t="s">
        <v>507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25">
      <c r="B25" s="355" t="s">
        <v>509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25">
      <c r="B26" s="354" t="s">
        <v>438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5" t="s">
        <v>443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30" hidden="1" outlineLevel="1" x14ac:dyDescent="0.25">
      <c r="B28" s="355" t="s">
        <v>439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30" hidden="1" outlineLevel="1" x14ac:dyDescent="0.25">
      <c r="B29" s="355" t="s">
        <v>453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5" t="s">
        <v>447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25">
      <c r="B31" s="355" t="s">
        <v>462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.75" collapsed="1" thickBot="1" x14ac:dyDescent="0.3">
      <c r="B32" s="356" t="s">
        <v>464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5" hidden="1" outlineLevel="1" x14ac:dyDescent="0.25">
      <c r="B33" s="351" t="s">
        <v>481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9" t="s">
        <v>469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9" t="s">
        <v>465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3" t="s">
        <v>586</v>
      </c>
      <c r="C38" s="366" t="s">
        <v>576</v>
      </c>
      <c r="D38" s="361" t="s">
        <v>577</v>
      </c>
      <c r="E38" s="340" t="s">
        <v>578</v>
      </c>
      <c r="F38" s="359" t="s">
        <v>579</v>
      </c>
      <c r="G38" s="388" t="s">
        <v>580</v>
      </c>
      <c r="H38" s="340" t="s">
        <v>299</v>
      </c>
      <c r="I38" s="359" t="s">
        <v>290</v>
      </c>
      <c r="J38" s="360" t="s">
        <v>294</v>
      </c>
      <c r="K38" s="360" t="s">
        <v>295</v>
      </c>
      <c r="L38" s="361" t="s">
        <v>296</v>
      </c>
      <c r="M38" s="350" t="s">
        <v>298</v>
      </c>
      <c r="N38" s="261" t="s">
        <v>300</v>
      </c>
      <c r="O38" s="261" t="s">
        <v>301</v>
      </c>
    </row>
    <row r="39" spans="2:15" x14ac:dyDescent="0.25">
      <c r="B39" s="384" t="s">
        <v>386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5" t="s">
        <v>390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5" t="s">
        <v>395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5" t="s">
        <v>387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5" t="s">
        <v>401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25">
      <c r="B44" s="385" t="s">
        <v>399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25">
      <c r="B45" s="386" t="s">
        <v>561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5" t="s">
        <v>323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25">
      <c r="B47" s="385" t="s">
        <v>318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25">
      <c r="B48" s="385" t="s">
        <v>337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30" hidden="1" outlineLevel="1" x14ac:dyDescent="0.25">
      <c r="B49" s="385" t="s">
        <v>362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30" hidden="1" outlineLevel="1" x14ac:dyDescent="0.25">
      <c r="B50" s="385" t="s">
        <v>364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25">
      <c r="B51" s="386" t="s">
        <v>526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5" t="s">
        <v>527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30" hidden="1" outlineLevel="1" x14ac:dyDescent="0.25">
      <c r="B53" s="385" t="s">
        <v>529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25">
      <c r="B54" s="385" t="s">
        <v>552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5" t="s">
        <v>556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25">
      <c r="B56" s="386" t="s">
        <v>489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5" t="s">
        <v>490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25">
      <c r="B58" s="385" t="s">
        <v>495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25">
      <c r="B59" s="385" t="s">
        <v>503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25">
      <c r="B60" s="385" t="s">
        <v>507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25">
      <c r="B61" s="385" t="s">
        <v>509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.75" collapsed="1" thickBot="1" x14ac:dyDescent="0.3">
      <c r="B62" s="387" t="s">
        <v>582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1" t="s">
        <v>583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9" t="s">
        <v>584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9" t="s">
        <v>585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9" t="s">
        <v>443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9" t="s">
        <v>439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9" t="s">
        <v>453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.75" thickBot="1" x14ac:dyDescent="0.3"/>
    <row r="71" spans="2:17" ht="60.75" thickBot="1" x14ac:dyDescent="0.3">
      <c r="B71" s="383" t="s">
        <v>587</v>
      </c>
      <c r="C71" s="366" t="s">
        <v>576</v>
      </c>
      <c r="D71" s="361" t="s">
        <v>577</v>
      </c>
      <c r="E71" s="341" t="s">
        <v>578</v>
      </c>
      <c r="F71" s="366" t="s">
        <v>579</v>
      </c>
      <c r="G71" s="361" t="s">
        <v>580</v>
      </c>
      <c r="H71" s="340" t="s">
        <v>299</v>
      </c>
      <c r="I71" s="359" t="s">
        <v>290</v>
      </c>
      <c r="J71" s="360" t="s">
        <v>294</v>
      </c>
      <c r="K71" s="360" t="s">
        <v>295</v>
      </c>
      <c r="L71" s="361" t="s">
        <v>296</v>
      </c>
      <c r="M71" s="350" t="s">
        <v>298</v>
      </c>
      <c r="N71" s="261" t="s">
        <v>300</v>
      </c>
      <c r="O71" s="261" t="s">
        <v>301</v>
      </c>
    </row>
    <row r="72" spans="2:17" x14ac:dyDescent="0.25">
      <c r="B72" s="384" t="s">
        <v>386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t="30" hidden="1" outlineLevel="1" x14ac:dyDescent="0.25">
      <c r="B73" s="385" t="s">
        <v>390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25">
      <c r="B74" s="385" t="s">
        <v>395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5" hidden="1" outlineLevel="1" x14ac:dyDescent="0.25">
      <c r="B75" s="385" t="s">
        <v>387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25">
      <c r="B76" s="385" t="s">
        <v>401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25">
      <c r="B77" s="385" t="s">
        <v>399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25">
      <c r="B78" s="386" t="s">
        <v>588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25">
      <c r="B79" s="385" t="s">
        <v>527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25">
      <c r="B80" s="385" t="s">
        <v>318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30" hidden="1" outlineLevel="1" x14ac:dyDescent="0.25">
      <c r="B81" s="385" t="s">
        <v>529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25">
      <c r="B82" s="385" t="s">
        <v>337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30" hidden="1" outlineLevel="1" x14ac:dyDescent="0.25">
      <c r="B83" s="385" t="s">
        <v>362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30" hidden="1" outlineLevel="1" x14ac:dyDescent="0.25">
      <c r="B84" s="385" t="s">
        <v>364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25">
      <c r="B85" s="385" t="s">
        <v>552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25">
      <c r="B86" s="385" t="s">
        <v>556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25">
      <c r="B87" s="386" t="s">
        <v>589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25">
      <c r="B88" s="385" t="s">
        <v>490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25">
      <c r="B89" s="385" t="s">
        <v>495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25">
      <c r="B90" s="385" t="s">
        <v>503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25">
      <c r="B91" s="385" t="s">
        <v>507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25">
      <c r="B92" s="385" t="s">
        <v>509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25">
      <c r="B93" s="386" t="s">
        <v>438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t="30" hidden="1" outlineLevel="1" x14ac:dyDescent="0.25">
      <c r="B94" s="385" t="s">
        <v>443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30" hidden="1" outlineLevel="1" x14ac:dyDescent="0.25">
      <c r="B95" s="385" t="s">
        <v>439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30" hidden="1" outlineLevel="1" x14ac:dyDescent="0.25">
      <c r="B96" s="385" t="s">
        <v>453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25">
      <c r="B97" s="385" t="s">
        <v>447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25">
      <c r="B98" s="385" t="s">
        <v>462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.75" collapsed="1" thickBot="1" x14ac:dyDescent="0.3">
      <c r="B99" s="387" t="s">
        <v>464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5" hidden="1" outlineLevel="1" x14ac:dyDescent="0.25">
      <c r="B100" s="351" t="s">
        <v>481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25">
      <c r="B101" s="349" t="s">
        <v>469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25">
      <c r="B102" s="349" t="s">
        <v>465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3" t="s">
        <v>590</v>
      </c>
      <c r="C105" s="366" t="s">
        <v>576</v>
      </c>
      <c r="D105" s="361" t="s">
        <v>577</v>
      </c>
      <c r="E105" s="341" t="s">
        <v>578</v>
      </c>
      <c r="F105" s="366" t="s">
        <v>579</v>
      </c>
      <c r="G105" s="361" t="s">
        <v>580</v>
      </c>
      <c r="H105" s="341" t="s">
        <v>299</v>
      </c>
      <c r="I105" s="366" t="s">
        <v>290</v>
      </c>
      <c r="J105" s="360" t="s">
        <v>294</v>
      </c>
      <c r="K105" s="360" t="s">
        <v>295</v>
      </c>
      <c r="L105" s="361" t="s">
        <v>296</v>
      </c>
      <c r="M105" s="350" t="s">
        <v>298</v>
      </c>
      <c r="N105" s="261" t="s">
        <v>300</v>
      </c>
      <c r="O105" s="261" t="s">
        <v>301</v>
      </c>
    </row>
    <row r="106" spans="2:15" x14ac:dyDescent="0.25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25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25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.75" thickBot="1" x14ac:dyDescent="0.3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562</v>
      </c>
      <c r="B3" t="s">
        <v>567</v>
      </c>
      <c r="C3" t="s">
        <v>563</v>
      </c>
      <c r="D3" t="s">
        <v>564</v>
      </c>
      <c r="E3" t="s">
        <v>565</v>
      </c>
      <c r="F3" t="s">
        <v>566</v>
      </c>
      <c r="G3" t="s">
        <v>568</v>
      </c>
      <c r="H3" t="s">
        <v>569</v>
      </c>
      <c r="I3" t="s">
        <v>570</v>
      </c>
      <c r="J3" t="s">
        <v>571</v>
      </c>
    </row>
    <row r="4" spans="1:10" x14ac:dyDescent="0.25">
      <c r="A4" s="255" t="s">
        <v>386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390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414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391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409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392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393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326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324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395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410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413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396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387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411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412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436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398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388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401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402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403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404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405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399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400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406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407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366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408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591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527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532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528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535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318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331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327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329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319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324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529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537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530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540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544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337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374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348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338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362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369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370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371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363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364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372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373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381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552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553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554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555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559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556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557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558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560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438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443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444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445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446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452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439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440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441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451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459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453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461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456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457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455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454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447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448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462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463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464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481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484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482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486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483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469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477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474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470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485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465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468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466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473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467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589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490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499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501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491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502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495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496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522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331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327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329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319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324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519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498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503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504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505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520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507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513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508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515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509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365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518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511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516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510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572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190</v>
      </c>
      <c r="B1" s="231" t="s">
        <v>191</v>
      </c>
      <c r="C1" s="231" t="s">
        <v>592</v>
      </c>
      <c r="D1" s="231" t="s">
        <v>192</v>
      </c>
      <c r="E1" s="231" t="s">
        <v>593</v>
      </c>
      <c r="F1" s="231" t="s">
        <v>193</v>
      </c>
      <c r="G1" s="231" t="s">
        <v>594</v>
      </c>
      <c r="H1" s="231" t="s">
        <v>194</v>
      </c>
      <c r="I1" s="231" t="s">
        <v>195</v>
      </c>
      <c r="J1" s="231" t="s">
        <v>196</v>
      </c>
      <c r="K1" s="231" t="s">
        <v>197</v>
      </c>
      <c r="L1" s="337" t="s">
        <v>290</v>
      </c>
      <c r="M1" s="337" t="s">
        <v>294</v>
      </c>
      <c r="N1" s="337" t="s">
        <v>295</v>
      </c>
      <c r="O1" s="337" t="s">
        <v>296</v>
      </c>
      <c r="P1" s="231" t="s">
        <v>297</v>
      </c>
      <c r="Q1" s="231" t="s">
        <v>298</v>
      </c>
      <c r="R1" s="337" t="s">
        <v>299</v>
      </c>
      <c r="S1" s="231" t="s">
        <v>300</v>
      </c>
      <c r="T1" s="231" t="s">
        <v>301</v>
      </c>
    </row>
    <row r="2" spans="1:20" x14ac:dyDescent="0.25">
      <c r="A2" s="15" t="s">
        <v>22</v>
      </c>
      <c r="B2" s="15" t="s">
        <v>561</v>
      </c>
      <c r="C2" s="15" t="s">
        <v>591</v>
      </c>
      <c r="D2" s="15" t="s">
        <v>318</v>
      </c>
      <c r="E2" s="15" t="s">
        <v>318</v>
      </c>
      <c r="F2" s="15" t="s">
        <v>319</v>
      </c>
      <c r="G2" s="15"/>
      <c r="H2" s="15" t="s">
        <v>320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22</v>
      </c>
      <c r="B3" s="15" t="s">
        <v>561</v>
      </c>
      <c r="C3" s="15" t="s">
        <v>591</v>
      </c>
      <c r="D3" s="15" t="s">
        <v>318</v>
      </c>
      <c r="E3" s="15" t="s">
        <v>318</v>
      </c>
      <c r="F3" s="15" t="s">
        <v>319</v>
      </c>
      <c r="G3" s="15"/>
      <c r="H3" s="15" t="s">
        <v>322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22</v>
      </c>
      <c r="B4" s="15" t="s">
        <v>561</v>
      </c>
      <c r="C4" s="15" t="s">
        <v>591</v>
      </c>
      <c r="D4" s="15" t="s">
        <v>323</v>
      </c>
      <c r="E4" s="15" t="s">
        <v>318</v>
      </c>
      <c r="F4" s="15" t="s">
        <v>324</v>
      </c>
      <c r="G4" s="15"/>
      <c r="H4" s="15" t="s">
        <v>325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22</v>
      </c>
      <c r="B5" s="15" t="s">
        <v>561</v>
      </c>
      <c r="C5" s="15" t="s">
        <v>591</v>
      </c>
      <c r="D5" s="15" t="s">
        <v>318</v>
      </c>
      <c r="E5" s="15" t="s">
        <v>318</v>
      </c>
      <c r="F5" s="15" t="s">
        <v>319</v>
      </c>
      <c r="G5" s="15"/>
      <c r="H5" s="15" t="s">
        <v>320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22</v>
      </c>
      <c r="B6" s="15" t="s">
        <v>561</v>
      </c>
      <c r="C6" s="15" t="s">
        <v>591</v>
      </c>
      <c r="D6" s="15" t="s">
        <v>318</v>
      </c>
      <c r="E6" s="15" t="s">
        <v>318</v>
      </c>
      <c r="F6" s="15" t="s">
        <v>319</v>
      </c>
      <c r="G6" s="15"/>
      <c r="H6" s="15" t="s">
        <v>320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20</v>
      </c>
      <c r="B7" s="15" t="s">
        <v>561</v>
      </c>
      <c r="C7" s="15" t="s">
        <v>589</v>
      </c>
      <c r="D7" s="15" t="s">
        <v>323</v>
      </c>
      <c r="E7" s="15" t="s">
        <v>495</v>
      </c>
      <c r="F7" s="15" t="s">
        <v>324</v>
      </c>
      <c r="G7" s="15"/>
      <c r="H7" s="15" t="s">
        <v>325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20</v>
      </c>
      <c r="B8" s="15" t="s">
        <v>561</v>
      </c>
      <c r="C8" s="15" t="s">
        <v>589</v>
      </c>
      <c r="D8" s="15" t="s">
        <v>323</v>
      </c>
      <c r="E8" s="15" t="s">
        <v>495</v>
      </c>
      <c r="F8" s="15" t="s">
        <v>324</v>
      </c>
      <c r="G8" s="15"/>
      <c r="H8" s="15" t="s">
        <v>325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20</v>
      </c>
      <c r="B9" s="15" t="s">
        <v>561</v>
      </c>
      <c r="C9" s="15" t="s">
        <v>589</v>
      </c>
      <c r="D9" s="15" t="s">
        <v>318</v>
      </c>
      <c r="E9" s="15" t="s">
        <v>495</v>
      </c>
      <c r="F9" s="15" t="s">
        <v>327</v>
      </c>
      <c r="G9" s="15" t="s">
        <v>327</v>
      </c>
      <c r="H9" s="15" t="s">
        <v>320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20</v>
      </c>
      <c r="B10" s="15" t="s">
        <v>561</v>
      </c>
      <c r="C10" s="15" t="s">
        <v>589</v>
      </c>
      <c r="D10" s="15" t="s">
        <v>318</v>
      </c>
      <c r="E10" s="15" t="s">
        <v>495</v>
      </c>
      <c r="F10" s="15" t="s">
        <v>327</v>
      </c>
      <c r="G10" s="15" t="s">
        <v>327</v>
      </c>
      <c r="H10" s="15" t="s">
        <v>322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20</v>
      </c>
      <c r="B11" s="15" t="s">
        <v>561</v>
      </c>
      <c r="C11" s="15" t="s">
        <v>589</v>
      </c>
      <c r="D11" s="15" t="s">
        <v>323</v>
      </c>
      <c r="E11" s="15" t="s">
        <v>495</v>
      </c>
      <c r="F11" s="15" t="s">
        <v>324</v>
      </c>
      <c r="G11" s="15"/>
      <c r="H11" s="15" t="s">
        <v>325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20</v>
      </c>
      <c r="B12" s="15" t="s">
        <v>561</v>
      </c>
      <c r="C12" s="15" t="s">
        <v>589</v>
      </c>
      <c r="D12" s="15" t="s">
        <v>323</v>
      </c>
      <c r="E12" s="15" t="s">
        <v>495</v>
      </c>
      <c r="F12" s="15" t="s">
        <v>329</v>
      </c>
      <c r="G12" s="15"/>
      <c r="H12" s="15" t="s">
        <v>330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20</v>
      </c>
      <c r="B13" s="15" t="s">
        <v>561</v>
      </c>
      <c r="C13" s="15" t="s">
        <v>589</v>
      </c>
      <c r="D13" s="15" t="s">
        <v>318</v>
      </c>
      <c r="E13" s="15" t="s">
        <v>495</v>
      </c>
      <c r="F13" s="15" t="s">
        <v>331</v>
      </c>
      <c r="G13" s="15" t="s">
        <v>327</v>
      </c>
      <c r="H13" s="15" t="s">
        <v>320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20</v>
      </c>
      <c r="B14" s="15" t="s">
        <v>561</v>
      </c>
      <c r="C14" s="15" t="s">
        <v>589</v>
      </c>
      <c r="D14" s="15" t="s">
        <v>318</v>
      </c>
      <c r="E14" s="15" t="s">
        <v>495</v>
      </c>
      <c r="F14" s="15" t="s">
        <v>331</v>
      </c>
      <c r="G14" s="15" t="s">
        <v>327</v>
      </c>
      <c r="H14" s="15" t="s">
        <v>322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20</v>
      </c>
      <c r="B15" s="15" t="s">
        <v>561</v>
      </c>
      <c r="C15" s="15" t="s">
        <v>589</v>
      </c>
      <c r="D15" s="15" t="s">
        <v>318</v>
      </c>
      <c r="E15" s="15" t="s">
        <v>495</v>
      </c>
      <c r="F15" s="15" t="s">
        <v>327</v>
      </c>
      <c r="G15" s="15" t="s">
        <v>327</v>
      </c>
      <c r="H15" s="15" t="s">
        <v>322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20</v>
      </c>
      <c r="B16" s="15" t="s">
        <v>561</v>
      </c>
      <c r="C16" s="15" t="s">
        <v>589</v>
      </c>
      <c r="D16" s="15" t="s">
        <v>318</v>
      </c>
      <c r="E16" s="15" t="s">
        <v>495</v>
      </c>
      <c r="F16" s="15" t="s">
        <v>331</v>
      </c>
      <c r="G16" s="15" t="s">
        <v>327</v>
      </c>
      <c r="H16" s="15" t="s">
        <v>322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25</v>
      </c>
      <c r="B17" s="15" t="s">
        <v>561</v>
      </c>
      <c r="C17" s="15" t="s">
        <v>386</v>
      </c>
      <c r="D17" s="15" t="s">
        <v>318</v>
      </c>
      <c r="E17" s="15" t="s">
        <v>390</v>
      </c>
      <c r="F17" s="15" t="s">
        <v>326</v>
      </c>
      <c r="G17" s="15"/>
      <c r="H17" s="15" t="s">
        <v>320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25</v>
      </c>
      <c r="B18" s="15" t="s">
        <v>561</v>
      </c>
      <c r="C18" s="15" t="s">
        <v>386</v>
      </c>
      <c r="D18" s="15" t="s">
        <v>318</v>
      </c>
      <c r="E18" s="15" t="s">
        <v>390</v>
      </c>
      <c r="F18" s="15" t="s">
        <v>326</v>
      </c>
      <c r="G18" s="15"/>
      <c r="H18" s="15" t="s">
        <v>320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25</v>
      </c>
      <c r="B19" s="15" t="s">
        <v>561</v>
      </c>
      <c r="C19" s="15" t="s">
        <v>386</v>
      </c>
      <c r="D19" s="15" t="s">
        <v>318</v>
      </c>
      <c r="E19" s="15" t="s">
        <v>390</v>
      </c>
      <c r="F19" s="15" t="s">
        <v>326</v>
      </c>
      <c r="G19" s="15"/>
      <c r="H19" s="15" t="s">
        <v>320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27</v>
      </c>
      <c r="B20" s="15" t="s">
        <v>561</v>
      </c>
      <c r="C20" s="15" t="s">
        <v>591</v>
      </c>
      <c r="D20" s="15" t="s">
        <v>323</v>
      </c>
      <c r="E20" s="15" t="s">
        <v>390</v>
      </c>
      <c r="F20" s="15" t="s">
        <v>324</v>
      </c>
      <c r="G20" s="15"/>
      <c r="H20" s="15" t="s">
        <v>325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27</v>
      </c>
      <c r="B21" s="15" t="s">
        <v>561</v>
      </c>
      <c r="C21" s="15" t="s">
        <v>386</v>
      </c>
      <c r="D21" s="15" t="s">
        <v>318</v>
      </c>
      <c r="E21" s="15" t="s">
        <v>390</v>
      </c>
      <c r="F21" s="15" t="s">
        <v>326</v>
      </c>
      <c r="G21" s="15"/>
      <c r="H21" s="15" t="s">
        <v>320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27</v>
      </c>
      <c r="B22" s="15" t="s">
        <v>561</v>
      </c>
      <c r="C22" s="15" t="s">
        <v>591</v>
      </c>
      <c r="D22" s="15" t="s">
        <v>323</v>
      </c>
      <c r="E22" s="15" t="s">
        <v>390</v>
      </c>
      <c r="F22" s="15" t="s">
        <v>324</v>
      </c>
      <c r="G22" s="15"/>
      <c r="H22" s="15" t="s">
        <v>325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27</v>
      </c>
      <c r="B23" s="15" t="s">
        <v>561</v>
      </c>
      <c r="C23" s="15" t="s">
        <v>386</v>
      </c>
      <c r="D23" s="15" t="s">
        <v>318</v>
      </c>
      <c r="E23" s="15" t="s">
        <v>390</v>
      </c>
      <c r="F23" s="15" t="s">
        <v>326</v>
      </c>
      <c r="G23" s="15"/>
      <c r="H23" s="15" t="s">
        <v>320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27</v>
      </c>
      <c r="B24" s="15" t="s">
        <v>561</v>
      </c>
      <c r="C24" s="15" t="s">
        <v>386</v>
      </c>
      <c r="D24" s="15" t="s">
        <v>318</v>
      </c>
      <c r="E24" s="15" t="s">
        <v>390</v>
      </c>
      <c r="F24" s="15" t="s">
        <v>326</v>
      </c>
      <c r="G24" s="15"/>
      <c r="H24" s="15" t="s">
        <v>320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7</v>
      </c>
      <c r="B25" s="15" t="s">
        <v>561</v>
      </c>
      <c r="C25" s="15" t="s">
        <v>591</v>
      </c>
      <c r="D25" s="15" t="s">
        <v>323</v>
      </c>
      <c r="E25" s="15" t="s">
        <v>318</v>
      </c>
      <c r="F25" s="15" t="s">
        <v>324</v>
      </c>
      <c r="G25" s="15"/>
      <c r="H25" s="15" t="s">
        <v>325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7</v>
      </c>
      <c r="B26" s="15" t="s">
        <v>561</v>
      </c>
      <c r="C26" s="15" t="s">
        <v>591</v>
      </c>
      <c r="D26" s="15" t="s">
        <v>323</v>
      </c>
      <c r="E26" s="15" t="s">
        <v>318</v>
      </c>
      <c r="F26" s="15" t="s">
        <v>324</v>
      </c>
      <c r="G26" s="15"/>
      <c r="H26" s="15" t="s">
        <v>325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7</v>
      </c>
      <c r="B27" s="15" t="s">
        <v>561</v>
      </c>
      <c r="C27" s="15" t="s">
        <v>591</v>
      </c>
      <c r="D27" s="15" t="s">
        <v>323</v>
      </c>
      <c r="E27" s="15" t="s">
        <v>318</v>
      </c>
      <c r="F27" s="15" t="s">
        <v>329</v>
      </c>
      <c r="G27" s="15"/>
      <c r="H27" s="15" t="s">
        <v>330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7</v>
      </c>
      <c r="B28" s="15" t="s">
        <v>561</v>
      </c>
      <c r="C28" s="15" t="s">
        <v>591</v>
      </c>
      <c r="D28" s="15" t="s">
        <v>323</v>
      </c>
      <c r="E28" s="15" t="s">
        <v>318</v>
      </c>
      <c r="F28" s="15" t="s">
        <v>324</v>
      </c>
      <c r="G28" s="15"/>
      <c r="H28" s="15" t="s">
        <v>325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7</v>
      </c>
      <c r="B29" s="15" t="s">
        <v>561</v>
      </c>
      <c r="C29" s="15" t="s">
        <v>591</v>
      </c>
      <c r="D29" s="15" t="s">
        <v>323</v>
      </c>
      <c r="E29" s="15" t="s">
        <v>318</v>
      </c>
      <c r="F29" s="15" t="s">
        <v>324</v>
      </c>
      <c r="G29" s="15"/>
      <c r="H29" s="15" t="s">
        <v>325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7</v>
      </c>
      <c r="B30" s="15" t="s">
        <v>561</v>
      </c>
      <c r="C30" s="15" t="s">
        <v>591</v>
      </c>
      <c r="D30" s="15" t="s">
        <v>323</v>
      </c>
      <c r="E30" s="15" t="s">
        <v>318</v>
      </c>
      <c r="F30" s="15" t="s">
        <v>324</v>
      </c>
      <c r="G30" s="15"/>
      <c r="H30" s="15" t="s">
        <v>322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7</v>
      </c>
      <c r="B31" s="15" t="s">
        <v>561</v>
      </c>
      <c r="C31" s="15" t="s">
        <v>591</v>
      </c>
      <c r="D31" s="15" t="s">
        <v>323</v>
      </c>
      <c r="E31" s="15" t="s">
        <v>318</v>
      </c>
      <c r="F31" s="15" t="s">
        <v>324</v>
      </c>
      <c r="G31" s="15"/>
      <c r="H31" s="15" t="s">
        <v>325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7</v>
      </c>
      <c r="B32" s="15" t="s">
        <v>561</v>
      </c>
      <c r="C32" s="15" t="s">
        <v>591</v>
      </c>
      <c r="D32" s="15" t="s">
        <v>323</v>
      </c>
      <c r="E32" s="15" t="s">
        <v>318</v>
      </c>
      <c r="F32" s="15" t="s">
        <v>329</v>
      </c>
      <c r="G32" s="15"/>
      <c r="H32" s="15" t="s">
        <v>330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7</v>
      </c>
      <c r="B33" s="15" t="s">
        <v>561</v>
      </c>
      <c r="C33" s="15" t="s">
        <v>591</v>
      </c>
      <c r="D33" s="15" t="s">
        <v>323</v>
      </c>
      <c r="E33" s="15" t="s">
        <v>318</v>
      </c>
      <c r="F33" s="15" t="s">
        <v>329</v>
      </c>
      <c r="G33" s="15"/>
      <c r="H33" s="15" t="s">
        <v>330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7</v>
      </c>
      <c r="B34" s="15" t="s">
        <v>561</v>
      </c>
      <c r="C34" s="15" t="s">
        <v>591</v>
      </c>
      <c r="D34" s="15" t="s">
        <v>323</v>
      </c>
      <c r="E34" s="15" t="s">
        <v>318</v>
      </c>
      <c r="F34" s="15" t="s">
        <v>324</v>
      </c>
      <c r="G34" s="15"/>
      <c r="H34" s="15" t="s">
        <v>325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7</v>
      </c>
      <c r="B35" s="15" t="s">
        <v>561</v>
      </c>
      <c r="C35" s="15" t="s">
        <v>591</v>
      </c>
      <c r="D35" s="15" t="s">
        <v>323</v>
      </c>
      <c r="E35" s="15" t="s">
        <v>318</v>
      </c>
      <c r="F35" s="15" t="s">
        <v>324</v>
      </c>
      <c r="G35" s="15"/>
      <c r="H35" s="15" t="s">
        <v>325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7</v>
      </c>
      <c r="B36" s="15" t="s">
        <v>561</v>
      </c>
      <c r="C36" s="15" t="s">
        <v>591</v>
      </c>
      <c r="D36" s="15" t="s">
        <v>323</v>
      </c>
      <c r="E36" s="15" t="s">
        <v>318</v>
      </c>
      <c r="F36" s="15" t="s">
        <v>324</v>
      </c>
      <c r="G36" s="15"/>
      <c r="H36" s="15" t="s">
        <v>325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7</v>
      </c>
      <c r="B37" s="15" t="s">
        <v>561</v>
      </c>
      <c r="C37" s="15" t="s">
        <v>591</v>
      </c>
      <c r="D37" s="15" t="s">
        <v>318</v>
      </c>
      <c r="E37" s="15" t="s">
        <v>318</v>
      </c>
      <c r="F37" s="15" t="s">
        <v>327</v>
      </c>
      <c r="G37" s="15"/>
      <c r="H37" s="15" t="s">
        <v>322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7</v>
      </c>
      <c r="B38" s="15" t="s">
        <v>561</v>
      </c>
      <c r="C38" s="15" t="s">
        <v>591</v>
      </c>
      <c r="D38" s="15" t="s">
        <v>323</v>
      </c>
      <c r="E38" s="15" t="s">
        <v>318</v>
      </c>
      <c r="F38" s="15" t="s">
        <v>324</v>
      </c>
      <c r="G38" s="15"/>
      <c r="H38" s="15" t="s">
        <v>325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7</v>
      </c>
      <c r="B39" s="15" t="s">
        <v>561</v>
      </c>
      <c r="C39" s="15" t="s">
        <v>591</v>
      </c>
      <c r="D39" s="15" t="s">
        <v>323</v>
      </c>
      <c r="E39" s="15" t="s">
        <v>318</v>
      </c>
      <c r="F39" s="15" t="s">
        <v>329</v>
      </c>
      <c r="G39" s="15"/>
      <c r="H39" s="15" t="s">
        <v>330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7</v>
      </c>
      <c r="B40" s="15" t="s">
        <v>561</v>
      </c>
      <c r="C40" s="15" t="s">
        <v>591</v>
      </c>
      <c r="D40" s="15" t="s">
        <v>318</v>
      </c>
      <c r="E40" s="15" t="s">
        <v>318</v>
      </c>
      <c r="F40" s="15" t="s">
        <v>327</v>
      </c>
      <c r="G40" s="15"/>
      <c r="H40" s="15" t="s">
        <v>322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7</v>
      </c>
      <c r="B41" s="15" t="s">
        <v>561</v>
      </c>
      <c r="C41" s="15" t="s">
        <v>591</v>
      </c>
      <c r="D41" s="15" t="s">
        <v>318</v>
      </c>
      <c r="E41" s="15" t="s">
        <v>318</v>
      </c>
      <c r="F41" s="15" t="s">
        <v>331</v>
      </c>
      <c r="G41" s="15"/>
      <c r="H41" s="15" t="s">
        <v>322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7</v>
      </c>
      <c r="B42" s="15" t="s">
        <v>561</v>
      </c>
      <c r="C42" s="15" t="s">
        <v>591</v>
      </c>
      <c r="D42" s="15" t="s">
        <v>323</v>
      </c>
      <c r="E42" s="15" t="s">
        <v>318</v>
      </c>
      <c r="F42" s="15" t="s">
        <v>324</v>
      </c>
      <c r="G42" s="15"/>
      <c r="H42" s="15" t="s">
        <v>325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7</v>
      </c>
      <c r="B43" s="15" t="s">
        <v>561</v>
      </c>
      <c r="C43" s="15" t="s">
        <v>591</v>
      </c>
      <c r="D43" s="15" t="s">
        <v>323</v>
      </c>
      <c r="E43" s="15" t="s">
        <v>318</v>
      </c>
      <c r="F43" s="15" t="s">
        <v>324</v>
      </c>
      <c r="G43" s="15"/>
      <c r="H43" s="15" t="s">
        <v>325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7</v>
      </c>
      <c r="B44" s="15" t="s">
        <v>561</v>
      </c>
      <c r="C44" s="15" t="s">
        <v>591</v>
      </c>
      <c r="D44" s="15" t="s">
        <v>323</v>
      </c>
      <c r="E44" s="15" t="s">
        <v>318</v>
      </c>
      <c r="F44" s="15" t="s">
        <v>329</v>
      </c>
      <c r="G44" s="15"/>
      <c r="H44" s="15" t="s">
        <v>330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7</v>
      </c>
      <c r="B45" s="15" t="s">
        <v>561</v>
      </c>
      <c r="C45" s="15" t="s">
        <v>591</v>
      </c>
      <c r="D45" s="15" t="s">
        <v>323</v>
      </c>
      <c r="E45" s="15" t="s">
        <v>318</v>
      </c>
      <c r="F45" s="15" t="s">
        <v>324</v>
      </c>
      <c r="G45" s="15"/>
      <c r="H45" s="15" t="s">
        <v>325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333</v>
      </c>
      <c r="B46" s="15" t="s">
        <v>561</v>
      </c>
      <c r="C46" s="15" t="s">
        <v>591</v>
      </c>
      <c r="D46" s="15" t="s">
        <v>323</v>
      </c>
      <c r="E46" s="15" t="s">
        <v>318</v>
      </c>
      <c r="F46" s="15" t="s">
        <v>324</v>
      </c>
      <c r="G46" s="15"/>
      <c r="H46" s="15" t="s">
        <v>325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333</v>
      </c>
      <c r="B47" s="15" t="s">
        <v>561</v>
      </c>
      <c r="C47" s="15" t="s">
        <v>591</v>
      </c>
      <c r="D47" s="15" t="s">
        <v>323</v>
      </c>
      <c r="E47" s="15" t="s">
        <v>318</v>
      </c>
      <c r="F47" s="15" t="s">
        <v>329</v>
      </c>
      <c r="G47" s="15"/>
      <c r="H47" s="15" t="s">
        <v>322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333</v>
      </c>
      <c r="B48" s="15" t="s">
        <v>561</v>
      </c>
      <c r="C48" s="15" t="s">
        <v>591</v>
      </c>
      <c r="D48" s="15" t="s">
        <v>323</v>
      </c>
      <c r="E48" s="15" t="s">
        <v>318</v>
      </c>
      <c r="F48" s="15" t="s">
        <v>324</v>
      </c>
      <c r="G48" s="15"/>
      <c r="H48" s="15" t="s">
        <v>325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333</v>
      </c>
      <c r="B49" s="15" t="s">
        <v>561</v>
      </c>
      <c r="C49" s="15" t="s">
        <v>591</v>
      </c>
      <c r="D49" s="15" t="s">
        <v>323</v>
      </c>
      <c r="E49" s="15" t="s">
        <v>318</v>
      </c>
      <c r="F49" s="15" t="s">
        <v>329</v>
      </c>
      <c r="G49" s="15"/>
      <c r="H49" s="15" t="s">
        <v>330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333</v>
      </c>
      <c r="B50" s="15" t="s">
        <v>561</v>
      </c>
      <c r="C50" s="15" t="s">
        <v>591</v>
      </c>
      <c r="D50" s="15" t="s">
        <v>323</v>
      </c>
      <c r="E50" s="15" t="s">
        <v>318</v>
      </c>
      <c r="F50" s="15" t="s">
        <v>324</v>
      </c>
      <c r="G50" s="15"/>
      <c r="H50" s="15" t="s">
        <v>325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333</v>
      </c>
      <c r="B51" s="15" t="s">
        <v>561</v>
      </c>
      <c r="C51" s="15" t="s">
        <v>591</v>
      </c>
      <c r="D51" s="15" t="s">
        <v>318</v>
      </c>
      <c r="E51" s="15" t="s">
        <v>318</v>
      </c>
      <c r="F51" s="15" t="s">
        <v>331</v>
      </c>
      <c r="G51" s="15"/>
      <c r="H51" s="15" t="s">
        <v>322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333</v>
      </c>
      <c r="B52" s="15" t="s">
        <v>561</v>
      </c>
      <c r="C52" s="15" t="s">
        <v>591</v>
      </c>
      <c r="D52" s="15" t="s">
        <v>323</v>
      </c>
      <c r="E52" s="15" t="s">
        <v>318</v>
      </c>
      <c r="F52" s="15" t="s">
        <v>324</v>
      </c>
      <c r="G52" s="15"/>
      <c r="H52" s="15" t="s">
        <v>325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333</v>
      </c>
      <c r="B53" s="15" t="s">
        <v>561</v>
      </c>
      <c r="C53" s="15" t="s">
        <v>591</v>
      </c>
      <c r="D53" s="15" t="s">
        <v>323</v>
      </c>
      <c r="E53" s="15" t="s">
        <v>318</v>
      </c>
      <c r="F53" s="15" t="s">
        <v>324</v>
      </c>
      <c r="G53" s="15"/>
      <c r="H53" s="15" t="s">
        <v>325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333</v>
      </c>
      <c r="B54" s="15" t="s">
        <v>561</v>
      </c>
      <c r="C54" s="15" t="s">
        <v>591</v>
      </c>
      <c r="D54" s="15" t="s">
        <v>323</v>
      </c>
      <c r="E54" s="15" t="s">
        <v>318</v>
      </c>
      <c r="F54" s="15" t="s">
        <v>324</v>
      </c>
      <c r="G54" s="15"/>
      <c r="H54" s="15" t="s">
        <v>322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333</v>
      </c>
      <c r="B55" s="15" t="s">
        <v>561</v>
      </c>
      <c r="C55" s="15" t="s">
        <v>591</v>
      </c>
      <c r="D55" s="15" t="s">
        <v>323</v>
      </c>
      <c r="E55" s="15" t="s">
        <v>318</v>
      </c>
      <c r="F55" s="15" t="s">
        <v>324</v>
      </c>
      <c r="G55" s="15"/>
      <c r="H55" s="15" t="s">
        <v>325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333</v>
      </c>
      <c r="B56" s="15" t="s">
        <v>561</v>
      </c>
      <c r="C56" s="15" t="s">
        <v>591</v>
      </c>
      <c r="D56" s="15" t="s">
        <v>323</v>
      </c>
      <c r="E56" s="15" t="s">
        <v>318</v>
      </c>
      <c r="F56" s="15" t="s">
        <v>329</v>
      </c>
      <c r="G56" s="15"/>
      <c r="H56" s="15" t="s">
        <v>330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333</v>
      </c>
      <c r="B57" s="15" t="s">
        <v>561</v>
      </c>
      <c r="C57" s="15" t="s">
        <v>591</v>
      </c>
      <c r="D57" s="15" t="s">
        <v>323</v>
      </c>
      <c r="E57" s="15" t="s">
        <v>318</v>
      </c>
      <c r="F57" s="15" t="s">
        <v>329</v>
      </c>
      <c r="G57" s="15"/>
      <c r="H57" s="15" t="s">
        <v>330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333</v>
      </c>
      <c r="B58" s="15" t="s">
        <v>561</v>
      </c>
      <c r="C58" s="15" t="s">
        <v>591</v>
      </c>
      <c r="D58" s="15" t="s">
        <v>323</v>
      </c>
      <c r="E58" s="15" t="s">
        <v>318</v>
      </c>
      <c r="F58" s="15" t="s">
        <v>324</v>
      </c>
      <c r="G58" s="15"/>
      <c r="H58" s="15" t="s">
        <v>325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333</v>
      </c>
      <c r="B59" s="15" t="s">
        <v>561</v>
      </c>
      <c r="C59" s="15" t="s">
        <v>591</v>
      </c>
      <c r="D59" s="15" t="s">
        <v>323</v>
      </c>
      <c r="E59" s="15" t="s">
        <v>318</v>
      </c>
      <c r="F59" s="15" t="s">
        <v>324</v>
      </c>
      <c r="G59" s="15"/>
      <c r="H59" s="15" t="s">
        <v>325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333</v>
      </c>
      <c r="B60" s="15" t="s">
        <v>561</v>
      </c>
      <c r="C60" s="15" t="s">
        <v>591</v>
      </c>
      <c r="D60" s="15" t="s">
        <v>323</v>
      </c>
      <c r="E60" s="15" t="s">
        <v>318</v>
      </c>
      <c r="F60" s="15" t="s">
        <v>324</v>
      </c>
      <c r="G60" s="15"/>
      <c r="H60" s="15" t="s">
        <v>325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333</v>
      </c>
      <c r="B61" s="15" t="s">
        <v>561</v>
      </c>
      <c r="C61" s="15" t="s">
        <v>591</v>
      </c>
      <c r="D61" s="15" t="s">
        <v>318</v>
      </c>
      <c r="E61" s="15" t="s">
        <v>318</v>
      </c>
      <c r="F61" s="15" t="s">
        <v>331</v>
      </c>
      <c r="G61" s="15"/>
      <c r="H61" s="15" t="s">
        <v>322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333</v>
      </c>
      <c r="B62" s="15" t="s">
        <v>561</v>
      </c>
      <c r="C62" s="15" t="s">
        <v>591</v>
      </c>
      <c r="D62" s="15" t="s">
        <v>323</v>
      </c>
      <c r="E62" s="15" t="s">
        <v>318</v>
      </c>
      <c r="F62" s="15" t="s">
        <v>324</v>
      </c>
      <c r="G62" s="15"/>
      <c r="H62" s="15" t="s">
        <v>325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333</v>
      </c>
      <c r="B63" s="15" t="s">
        <v>561</v>
      </c>
      <c r="C63" s="15" t="s">
        <v>591</v>
      </c>
      <c r="D63" s="15" t="s">
        <v>323</v>
      </c>
      <c r="E63" s="15" t="s">
        <v>318</v>
      </c>
      <c r="F63" s="15" t="s">
        <v>329</v>
      </c>
      <c r="G63" s="15"/>
      <c r="H63" s="15" t="s">
        <v>330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333</v>
      </c>
      <c r="B64" s="15" t="s">
        <v>561</v>
      </c>
      <c r="C64" s="15" t="s">
        <v>591</v>
      </c>
      <c r="D64" s="15" t="s">
        <v>323</v>
      </c>
      <c r="E64" s="15" t="s">
        <v>318</v>
      </c>
      <c r="F64" s="15" t="s">
        <v>324</v>
      </c>
      <c r="G64" s="15"/>
      <c r="H64" s="15" t="s">
        <v>325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333</v>
      </c>
      <c r="B65" s="15" t="s">
        <v>561</v>
      </c>
      <c r="C65" s="15" t="s">
        <v>591</v>
      </c>
      <c r="D65" s="15" t="s">
        <v>318</v>
      </c>
      <c r="E65" s="15" t="s">
        <v>318</v>
      </c>
      <c r="F65" s="15" t="s">
        <v>327</v>
      </c>
      <c r="G65" s="15"/>
      <c r="H65" s="15" t="s">
        <v>322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333</v>
      </c>
      <c r="B66" s="15" t="s">
        <v>561</v>
      </c>
      <c r="C66" s="15" t="s">
        <v>591</v>
      </c>
      <c r="D66" s="15" t="s">
        <v>323</v>
      </c>
      <c r="E66" s="15" t="s">
        <v>318</v>
      </c>
      <c r="F66" s="15" t="s">
        <v>324</v>
      </c>
      <c r="G66" s="15"/>
      <c r="H66" s="15" t="s">
        <v>325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333</v>
      </c>
      <c r="B67" s="15" t="s">
        <v>561</v>
      </c>
      <c r="C67" s="15" t="s">
        <v>591</v>
      </c>
      <c r="D67" s="15" t="s">
        <v>323</v>
      </c>
      <c r="E67" s="15" t="s">
        <v>318</v>
      </c>
      <c r="F67" s="15" t="s">
        <v>329</v>
      </c>
      <c r="G67" s="15"/>
      <c r="H67" s="15" t="s">
        <v>330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333</v>
      </c>
      <c r="B68" s="15" t="s">
        <v>561</v>
      </c>
      <c r="C68" s="15" t="s">
        <v>591</v>
      </c>
      <c r="D68" s="15" t="s">
        <v>318</v>
      </c>
      <c r="E68" s="15" t="s">
        <v>318</v>
      </c>
      <c r="F68" s="15" t="s">
        <v>319</v>
      </c>
      <c r="G68" s="15"/>
      <c r="H68" s="15" t="s">
        <v>320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333</v>
      </c>
      <c r="B69" s="15" t="s">
        <v>561</v>
      </c>
      <c r="C69" s="15" t="s">
        <v>591</v>
      </c>
      <c r="D69" s="15" t="s">
        <v>323</v>
      </c>
      <c r="E69" s="15" t="s">
        <v>318</v>
      </c>
      <c r="F69" s="15" t="s">
        <v>324</v>
      </c>
      <c r="G69" s="15"/>
      <c r="H69" s="15" t="s">
        <v>325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333</v>
      </c>
      <c r="B70" s="15" t="s">
        <v>561</v>
      </c>
      <c r="C70" s="15" t="s">
        <v>591</v>
      </c>
      <c r="D70" s="15" t="s">
        <v>318</v>
      </c>
      <c r="E70" s="15" t="s">
        <v>318</v>
      </c>
      <c r="F70" s="15" t="s">
        <v>319</v>
      </c>
      <c r="G70" s="15"/>
      <c r="H70" s="15" t="s">
        <v>320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333</v>
      </c>
      <c r="B71" s="15" t="s">
        <v>561</v>
      </c>
      <c r="C71" s="15" t="s">
        <v>591</v>
      </c>
      <c r="D71" s="15" t="s">
        <v>323</v>
      </c>
      <c r="E71" s="15" t="s">
        <v>318</v>
      </c>
      <c r="F71" s="15" t="s">
        <v>324</v>
      </c>
      <c r="G71" s="15"/>
      <c r="H71" s="15" t="s">
        <v>325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333</v>
      </c>
      <c r="B72" s="15" t="s">
        <v>561</v>
      </c>
      <c r="C72" s="15" t="s">
        <v>591</v>
      </c>
      <c r="D72" s="15" t="s">
        <v>323</v>
      </c>
      <c r="E72" s="15" t="s">
        <v>318</v>
      </c>
      <c r="F72" s="15" t="s">
        <v>329</v>
      </c>
      <c r="G72" s="15"/>
      <c r="H72" s="15" t="s">
        <v>330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333</v>
      </c>
      <c r="B73" s="15" t="s">
        <v>561</v>
      </c>
      <c r="C73" s="15" t="s">
        <v>591</v>
      </c>
      <c r="D73" s="15" t="s">
        <v>318</v>
      </c>
      <c r="E73" s="15" t="s">
        <v>318</v>
      </c>
      <c r="F73" s="15" t="s">
        <v>327</v>
      </c>
      <c r="G73" s="15"/>
      <c r="H73" s="15" t="s">
        <v>322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333</v>
      </c>
      <c r="B74" s="15" t="s">
        <v>561</v>
      </c>
      <c r="C74" s="15" t="s">
        <v>591</v>
      </c>
      <c r="D74" s="15" t="s">
        <v>318</v>
      </c>
      <c r="E74" s="15" t="s">
        <v>318</v>
      </c>
      <c r="F74" s="15" t="s">
        <v>331</v>
      </c>
      <c r="G74" s="15"/>
      <c r="H74" s="15" t="s">
        <v>322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333</v>
      </c>
      <c r="B75" s="15" t="s">
        <v>561</v>
      </c>
      <c r="C75" s="15" t="s">
        <v>591</v>
      </c>
      <c r="D75" s="15" t="s">
        <v>318</v>
      </c>
      <c r="E75" s="15" t="s">
        <v>318</v>
      </c>
      <c r="F75" s="15" t="s">
        <v>319</v>
      </c>
      <c r="G75" s="15"/>
      <c r="H75" s="15" t="s">
        <v>320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333</v>
      </c>
      <c r="B76" s="15" t="s">
        <v>561</v>
      </c>
      <c r="C76" s="15" t="s">
        <v>591</v>
      </c>
      <c r="D76" s="15" t="s">
        <v>318</v>
      </c>
      <c r="E76" s="15" t="s">
        <v>318</v>
      </c>
      <c r="F76" s="15" t="s">
        <v>319</v>
      </c>
      <c r="G76" s="15"/>
      <c r="H76" s="15" t="s">
        <v>320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333</v>
      </c>
      <c r="B77" s="15" t="s">
        <v>561</v>
      </c>
      <c r="C77" s="15" t="s">
        <v>591</v>
      </c>
      <c r="D77" s="15" t="s">
        <v>323</v>
      </c>
      <c r="E77" s="15" t="s">
        <v>318</v>
      </c>
      <c r="F77" s="15" t="s">
        <v>324</v>
      </c>
      <c r="G77" s="15"/>
      <c r="H77" s="15" t="s">
        <v>325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333</v>
      </c>
      <c r="B78" s="15" t="s">
        <v>561</v>
      </c>
      <c r="C78" s="15" t="s">
        <v>591</v>
      </c>
      <c r="D78" s="15" t="s">
        <v>323</v>
      </c>
      <c r="E78" s="15" t="s">
        <v>318</v>
      </c>
      <c r="F78" s="15" t="s">
        <v>324</v>
      </c>
      <c r="G78" s="15"/>
      <c r="H78" s="15" t="s">
        <v>325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333</v>
      </c>
      <c r="B79" s="15" t="s">
        <v>561</v>
      </c>
      <c r="C79" s="15" t="s">
        <v>591</v>
      </c>
      <c r="D79" s="15" t="s">
        <v>318</v>
      </c>
      <c r="E79" s="15" t="s">
        <v>318</v>
      </c>
      <c r="F79" s="15" t="s">
        <v>327</v>
      </c>
      <c r="G79" s="15"/>
      <c r="H79" s="15" t="s">
        <v>322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333</v>
      </c>
      <c r="B80" s="15" t="s">
        <v>561</v>
      </c>
      <c r="C80" s="15" t="s">
        <v>591</v>
      </c>
      <c r="D80" s="15" t="s">
        <v>323</v>
      </c>
      <c r="E80" s="15" t="s">
        <v>318</v>
      </c>
      <c r="F80" s="15" t="s">
        <v>324</v>
      </c>
      <c r="G80" s="15"/>
      <c r="H80" s="15" t="s">
        <v>325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333</v>
      </c>
      <c r="B81" s="15" t="s">
        <v>561</v>
      </c>
      <c r="C81" s="15" t="s">
        <v>591</v>
      </c>
      <c r="D81" s="15" t="s">
        <v>323</v>
      </c>
      <c r="E81" s="15" t="s">
        <v>318</v>
      </c>
      <c r="F81" s="15" t="s">
        <v>324</v>
      </c>
      <c r="G81" s="15"/>
      <c r="H81" s="15" t="s">
        <v>325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333</v>
      </c>
      <c r="B82" s="15" t="s">
        <v>561</v>
      </c>
      <c r="C82" s="15" t="s">
        <v>591</v>
      </c>
      <c r="D82" s="15" t="s">
        <v>323</v>
      </c>
      <c r="E82" s="15" t="s">
        <v>318</v>
      </c>
      <c r="F82" s="15" t="s">
        <v>324</v>
      </c>
      <c r="G82" s="15"/>
      <c r="H82" s="15" t="s">
        <v>325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333</v>
      </c>
      <c r="B83" s="15" t="s">
        <v>561</v>
      </c>
      <c r="C83" s="15" t="s">
        <v>591</v>
      </c>
      <c r="D83" s="15" t="s">
        <v>323</v>
      </c>
      <c r="E83" s="15" t="s">
        <v>318</v>
      </c>
      <c r="F83" s="15" t="s">
        <v>324</v>
      </c>
      <c r="G83" s="15"/>
      <c r="H83" s="15" t="s">
        <v>325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21</v>
      </c>
      <c r="B84" s="15" t="s">
        <v>561</v>
      </c>
      <c r="C84" s="15" t="s">
        <v>591</v>
      </c>
      <c r="D84" s="15" t="s">
        <v>323</v>
      </c>
      <c r="E84" s="15" t="s">
        <v>318</v>
      </c>
      <c r="F84" s="15" t="s">
        <v>324</v>
      </c>
      <c r="G84" s="15"/>
      <c r="H84" s="15" t="s">
        <v>325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21</v>
      </c>
      <c r="B85" s="15" t="s">
        <v>561</v>
      </c>
      <c r="C85" s="15" t="s">
        <v>591</v>
      </c>
      <c r="D85" s="15" t="s">
        <v>318</v>
      </c>
      <c r="E85" s="15" t="s">
        <v>318</v>
      </c>
      <c r="F85" s="15" t="s">
        <v>319</v>
      </c>
      <c r="G85" s="15"/>
      <c r="H85" s="15" t="s">
        <v>320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21</v>
      </c>
      <c r="B86" s="15" t="s">
        <v>561</v>
      </c>
      <c r="C86" s="15" t="s">
        <v>591</v>
      </c>
      <c r="D86" s="15" t="s">
        <v>323</v>
      </c>
      <c r="E86" s="15" t="s">
        <v>318</v>
      </c>
      <c r="F86" s="15" t="s">
        <v>324</v>
      </c>
      <c r="G86" s="15"/>
      <c r="H86" s="15" t="s">
        <v>325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21</v>
      </c>
      <c r="B87" s="15" t="s">
        <v>561</v>
      </c>
      <c r="C87" s="15" t="s">
        <v>591</v>
      </c>
      <c r="D87" s="15" t="s">
        <v>318</v>
      </c>
      <c r="E87" s="15" t="s">
        <v>318</v>
      </c>
      <c r="F87" s="15" t="s">
        <v>319</v>
      </c>
      <c r="G87" s="15"/>
      <c r="H87" s="15" t="s">
        <v>320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21</v>
      </c>
      <c r="B88" s="15" t="s">
        <v>561</v>
      </c>
      <c r="C88" s="15" t="s">
        <v>591</v>
      </c>
      <c r="D88" s="15" t="s">
        <v>318</v>
      </c>
      <c r="E88" s="15" t="s">
        <v>318</v>
      </c>
      <c r="F88" s="15" t="s">
        <v>319</v>
      </c>
      <c r="G88" s="15"/>
      <c r="H88" s="15" t="s">
        <v>320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21</v>
      </c>
      <c r="B89" s="15" t="s">
        <v>561</v>
      </c>
      <c r="C89" s="15" t="s">
        <v>591</v>
      </c>
      <c r="D89" s="15" t="s">
        <v>318</v>
      </c>
      <c r="E89" s="15" t="s">
        <v>318</v>
      </c>
      <c r="F89" s="15" t="s">
        <v>319</v>
      </c>
      <c r="G89" s="15"/>
      <c r="H89" s="15" t="s">
        <v>320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21</v>
      </c>
      <c r="B90" s="15" t="s">
        <v>561</v>
      </c>
      <c r="C90" s="15" t="s">
        <v>591</v>
      </c>
      <c r="D90" s="15" t="s">
        <v>323</v>
      </c>
      <c r="E90" s="15" t="s">
        <v>318</v>
      </c>
      <c r="F90" s="15" t="s">
        <v>324</v>
      </c>
      <c r="G90" s="15"/>
      <c r="H90" s="15" t="s">
        <v>325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17</v>
      </c>
      <c r="B91" s="15" t="s">
        <v>561</v>
      </c>
      <c r="C91" s="15" t="s">
        <v>589</v>
      </c>
      <c r="D91" s="15" t="s">
        <v>323</v>
      </c>
      <c r="E91" s="15" t="s">
        <v>495</v>
      </c>
      <c r="F91" s="15" t="s">
        <v>324</v>
      </c>
      <c r="G91" s="15"/>
      <c r="H91" s="15" t="s">
        <v>325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17</v>
      </c>
      <c r="B92" s="15" t="s">
        <v>561</v>
      </c>
      <c r="C92" s="15" t="s">
        <v>589</v>
      </c>
      <c r="D92" s="15" t="s">
        <v>318</v>
      </c>
      <c r="E92" s="15" t="s">
        <v>495</v>
      </c>
      <c r="F92" s="15" t="s">
        <v>331</v>
      </c>
      <c r="G92" s="15" t="s">
        <v>327</v>
      </c>
      <c r="H92" s="15" t="s">
        <v>322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17</v>
      </c>
      <c r="B93" s="15" t="s">
        <v>561</v>
      </c>
      <c r="C93" s="15" t="s">
        <v>589</v>
      </c>
      <c r="D93" s="15" t="s">
        <v>323</v>
      </c>
      <c r="E93" s="15" t="s">
        <v>495</v>
      </c>
      <c r="F93" s="15" t="s">
        <v>324</v>
      </c>
      <c r="G93" s="15"/>
      <c r="H93" s="15" t="s">
        <v>325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17</v>
      </c>
      <c r="B94" s="15" t="s">
        <v>561</v>
      </c>
      <c r="C94" s="15" t="s">
        <v>589</v>
      </c>
      <c r="D94" s="15" t="s">
        <v>323</v>
      </c>
      <c r="E94" s="15" t="s">
        <v>495</v>
      </c>
      <c r="F94" s="15" t="s">
        <v>329</v>
      </c>
      <c r="G94" s="15"/>
      <c r="H94" s="15" t="s">
        <v>330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17</v>
      </c>
      <c r="B95" s="15" t="s">
        <v>561</v>
      </c>
      <c r="C95" s="15" t="s">
        <v>589</v>
      </c>
      <c r="D95" s="15" t="s">
        <v>318</v>
      </c>
      <c r="E95" s="15" t="s">
        <v>495</v>
      </c>
      <c r="F95" s="15" t="s">
        <v>327</v>
      </c>
      <c r="G95" s="15" t="s">
        <v>327</v>
      </c>
      <c r="H95" s="15" t="s">
        <v>322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17</v>
      </c>
      <c r="B96" s="15" t="s">
        <v>561</v>
      </c>
      <c r="C96" s="15" t="s">
        <v>589</v>
      </c>
      <c r="D96" s="15" t="s">
        <v>318</v>
      </c>
      <c r="E96" s="15" t="s">
        <v>495</v>
      </c>
      <c r="F96" s="15" t="s">
        <v>331</v>
      </c>
      <c r="G96" s="15" t="s">
        <v>327</v>
      </c>
      <c r="H96" s="15" t="s">
        <v>322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336</v>
      </c>
      <c r="B97" s="15" t="s">
        <v>561</v>
      </c>
      <c r="C97" s="15" t="s">
        <v>386</v>
      </c>
      <c r="D97" s="15" t="s">
        <v>318</v>
      </c>
      <c r="E97" s="15" t="s">
        <v>390</v>
      </c>
      <c r="F97" s="15" t="s">
        <v>326</v>
      </c>
      <c r="G97" s="15"/>
      <c r="H97" s="15" t="s">
        <v>320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336</v>
      </c>
      <c r="B98" s="15" t="s">
        <v>561</v>
      </c>
      <c r="C98" s="15" t="s">
        <v>386</v>
      </c>
      <c r="D98" s="15" t="s">
        <v>318</v>
      </c>
      <c r="E98" s="15" t="s">
        <v>390</v>
      </c>
      <c r="F98" s="15" t="s">
        <v>326</v>
      </c>
      <c r="G98" s="15"/>
      <c r="H98" s="15" t="s">
        <v>320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336</v>
      </c>
      <c r="B99" s="15" t="s">
        <v>561</v>
      </c>
      <c r="C99" s="15" t="s">
        <v>386</v>
      </c>
      <c r="D99" s="15" t="s">
        <v>318</v>
      </c>
      <c r="E99" s="15" t="s">
        <v>390</v>
      </c>
      <c r="F99" s="15" t="s">
        <v>326</v>
      </c>
      <c r="G99" s="15"/>
      <c r="H99" s="15" t="s">
        <v>320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174</v>
      </c>
      <c r="B100" s="15" t="s">
        <v>561</v>
      </c>
      <c r="C100" s="15" t="s">
        <v>591</v>
      </c>
      <c r="D100" s="15" t="s">
        <v>337</v>
      </c>
      <c r="E100" s="15" t="s">
        <v>337</v>
      </c>
      <c r="F100" s="15" t="s">
        <v>338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50</v>
      </c>
      <c r="B101" s="15" t="s">
        <v>561</v>
      </c>
      <c r="C101" s="15" t="s">
        <v>591</v>
      </c>
      <c r="D101" s="15" t="s">
        <v>337</v>
      </c>
      <c r="E101" s="15" t="s">
        <v>337</v>
      </c>
      <c r="F101" s="15" t="s">
        <v>338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166</v>
      </c>
      <c r="B102" s="15" t="s">
        <v>561</v>
      </c>
      <c r="C102" s="15" t="s">
        <v>591</v>
      </c>
      <c r="D102" s="15" t="s">
        <v>337</v>
      </c>
      <c r="E102" s="15" t="s">
        <v>337</v>
      </c>
      <c r="F102" s="15" t="s">
        <v>338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341</v>
      </c>
      <c r="B103" s="15" t="s">
        <v>561</v>
      </c>
      <c r="C103" s="15" t="s">
        <v>591</v>
      </c>
      <c r="D103" s="15" t="s">
        <v>337</v>
      </c>
      <c r="E103" s="15" t="s">
        <v>337</v>
      </c>
      <c r="F103" s="15" t="s">
        <v>338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22</v>
      </c>
      <c r="B104" s="15" t="s">
        <v>561</v>
      </c>
      <c r="C104" s="15" t="s">
        <v>591</v>
      </c>
      <c r="D104" s="15" t="s">
        <v>337</v>
      </c>
      <c r="E104" s="15" t="s">
        <v>337</v>
      </c>
      <c r="F104" s="15" t="s">
        <v>338</v>
      </c>
      <c r="G104" s="15"/>
      <c r="H104" s="15"/>
      <c r="I104" s="15"/>
      <c r="J104" s="15"/>
      <c r="K104" s="15" t="s">
        <v>342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155</v>
      </c>
      <c r="B105" s="15" t="s">
        <v>561</v>
      </c>
      <c r="C105" s="15" t="s">
        <v>591</v>
      </c>
      <c r="D105" s="15" t="s">
        <v>337</v>
      </c>
      <c r="E105" s="15" t="s">
        <v>337</v>
      </c>
      <c r="F105" s="15" t="s">
        <v>338</v>
      </c>
      <c r="G105" s="15"/>
      <c r="H105" s="15"/>
      <c r="I105" s="15"/>
      <c r="J105" s="15"/>
      <c r="K105" s="15" t="s">
        <v>342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48</v>
      </c>
      <c r="B106" s="15" t="s">
        <v>561</v>
      </c>
      <c r="C106" s="15" t="s">
        <v>591</v>
      </c>
      <c r="D106" s="15" t="s">
        <v>337</v>
      </c>
      <c r="E106" s="15" t="s">
        <v>337</v>
      </c>
      <c r="F106" s="15" t="s">
        <v>338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148</v>
      </c>
      <c r="B107" s="15" t="s">
        <v>561</v>
      </c>
      <c r="C107" s="15" t="s">
        <v>591</v>
      </c>
      <c r="D107" s="15" t="s">
        <v>337</v>
      </c>
      <c r="E107" s="15" t="s">
        <v>337</v>
      </c>
      <c r="F107" s="15" t="s">
        <v>338</v>
      </c>
      <c r="G107" s="15"/>
      <c r="H107" s="15"/>
      <c r="I107" s="15"/>
      <c r="J107" s="15"/>
      <c r="K107" s="15" t="s">
        <v>342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56</v>
      </c>
      <c r="B108" s="15" t="s">
        <v>561</v>
      </c>
      <c r="C108" s="15" t="s">
        <v>591</v>
      </c>
      <c r="D108" s="15" t="s">
        <v>337</v>
      </c>
      <c r="E108" s="15" t="s">
        <v>337</v>
      </c>
      <c r="F108" s="15" t="s">
        <v>338</v>
      </c>
      <c r="G108" s="15"/>
      <c r="H108" s="15"/>
      <c r="I108" s="15"/>
      <c r="J108" s="15"/>
      <c r="K108" s="15" t="s">
        <v>342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20</v>
      </c>
      <c r="B109" s="15" t="s">
        <v>561</v>
      </c>
      <c r="C109" s="15" t="s">
        <v>591</v>
      </c>
      <c r="D109" s="15" t="s">
        <v>337</v>
      </c>
      <c r="E109" s="15" t="s">
        <v>337</v>
      </c>
      <c r="F109" s="15" t="s">
        <v>338</v>
      </c>
      <c r="G109" s="15"/>
      <c r="H109" s="15"/>
      <c r="I109" s="15"/>
      <c r="J109" s="15"/>
      <c r="K109" s="15" t="s">
        <v>343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344</v>
      </c>
      <c r="B110" s="15" t="s">
        <v>561</v>
      </c>
      <c r="C110" s="15" t="s">
        <v>591</v>
      </c>
      <c r="D110" s="15" t="s">
        <v>337</v>
      </c>
      <c r="E110" s="15" t="s">
        <v>337</v>
      </c>
      <c r="F110" s="15" t="s">
        <v>338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54</v>
      </c>
      <c r="B111" s="15" t="s">
        <v>561</v>
      </c>
      <c r="C111" s="15" t="s">
        <v>591</v>
      </c>
      <c r="D111" s="15" t="s">
        <v>337</v>
      </c>
      <c r="E111" s="15" t="s">
        <v>337</v>
      </c>
      <c r="F111" s="15" t="s">
        <v>338</v>
      </c>
      <c r="G111" s="15"/>
      <c r="H111" s="15"/>
      <c r="I111" s="15"/>
      <c r="J111" s="15"/>
      <c r="K111" s="15" t="s">
        <v>342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173</v>
      </c>
      <c r="B112" s="15" t="s">
        <v>561</v>
      </c>
      <c r="C112" s="15" t="s">
        <v>591</v>
      </c>
      <c r="D112" s="15" t="s">
        <v>337</v>
      </c>
      <c r="E112" s="15" t="s">
        <v>337</v>
      </c>
      <c r="F112" s="15" t="s">
        <v>338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146</v>
      </c>
      <c r="B113" s="15" t="s">
        <v>561</v>
      </c>
      <c r="C113" s="15" t="s">
        <v>591</v>
      </c>
      <c r="D113" s="15" t="s">
        <v>337</v>
      </c>
      <c r="E113" s="15" t="s">
        <v>337</v>
      </c>
      <c r="F113" s="15" t="s">
        <v>338</v>
      </c>
      <c r="G113" s="15"/>
      <c r="H113" s="15"/>
      <c r="I113" s="15"/>
      <c r="J113" s="15"/>
      <c r="K113" s="15" t="s">
        <v>342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345</v>
      </c>
      <c r="B114" s="15" t="s">
        <v>561</v>
      </c>
      <c r="C114" s="15" t="s">
        <v>591</v>
      </c>
      <c r="D114" s="15" t="s">
        <v>337</v>
      </c>
      <c r="E114" s="15" t="s">
        <v>337</v>
      </c>
      <c r="F114" s="15" t="s">
        <v>338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150</v>
      </c>
      <c r="B115" s="15" t="s">
        <v>561</v>
      </c>
      <c r="C115" s="15" t="s">
        <v>591</v>
      </c>
      <c r="D115" s="15" t="s">
        <v>337</v>
      </c>
      <c r="E115" s="15" t="s">
        <v>337</v>
      </c>
      <c r="F115" s="15" t="s">
        <v>338</v>
      </c>
      <c r="G115" s="15"/>
      <c r="H115" s="15"/>
      <c r="I115" s="15"/>
      <c r="J115" s="15"/>
      <c r="K115" s="15" t="s">
        <v>342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7</v>
      </c>
      <c r="B116" s="15" t="s">
        <v>561</v>
      </c>
      <c r="C116" s="15" t="s">
        <v>591</v>
      </c>
      <c r="D116" s="15" t="s">
        <v>337</v>
      </c>
      <c r="E116" s="15" t="s">
        <v>337</v>
      </c>
      <c r="F116" s="15" t="s">
        <v>338</v>
      </c>
      <c r="G116" s="15"/>
      <c r="H116" s="15"/>
      <c r="I116" s="15"/>
      <c r="J116" s="15">
        <v>1</v>
      </c>
      <c r="K116" s="15" t="s">
        <v>343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333</v>
      </c>
      <c r="B117" s="15" t="s">
        <v>561</v>
      </c>
      <c r="C117" s="15" t="s">
        <v>591</v>
      </c>
      <c r="D117" s="15" t="s">
        <v>337</v>
      </c>
      <c r="E117" s="15" t="s">
        <v>337</v>
      </c>
      <c r="F117" s="15" t="s">
        <v>338</v>
      </c>
      <c r="G117" s="15"/>
      <c r="H117" s="15"/>
      <c r="I117" s="15"/>
      <c r="J117" s="15"/>
      <c r="K117" s="15" t="s">
        <v>343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35</v>
      </c>
      <c r="B118" s="15" t="s">
        <v>561</v>
      </c>
      <c r="C118" s="15" t="s">
        <v>591</v>
      </c>
      <c r="D118" s="15" t="s">
        <v>337</v>
      </c>
      <c r="E118" s="15" t="s">
        <v>337</v>
      </c>
      <c r="F118" s="15" t="s">
        <v>338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21</v>
      </c>
      <c r="B119" s="15" t="s">
        <v>561</v>
      </c>
      <c r="C119" s="15" t="s">
        <v>591</v>
      </c>
      <c r="D119" s="15" t="s">
        <v>337</v>
      </c>
      <c r="E119" s="15" t="s">
        <v>337</v>
      </c>
      <c r="F119" s="15" t="s">
        <v>338</v>
      </c>
      <c r="G119" s="15"/>
      <c r="H119" s="15"/>
      <c r="I119" s="15"/>
      <c r="J119" s="15"/>
      <c r="K119" s="15" t="s">
        <v>342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123</v>
      </c>
      <c r="B120" s="15" t="s">
        <v>561</v>
      </c>
      <c r="C120" s="15" t="s">
        <v>591</v>
      </c>
      <c r="D120" s="15" t="s">
        <v>337</v>
      </c>
      <c r="E120" s="15" t="s">
        <v>337</v>
      </c>
      <c r="F120" s="15" t="s">
        <v>338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145</v>
      </c>
      <c r="B121" s="15" t="s">
        <v>561</v>
      </c>
      <c r="C121" s="15" t="s">
        <v>591</v>
      </c>
      <c r="D121" s="15" t="s">
        <v>337</v>
      </c>
      <c r="E121" s="15" t="s">
        <v>337</v>
      </c>
      <c r="F121" s="15" t="s">
        <v>338</v>
      </c>
      <c r="G121" s="15"/>
      <c r="H121" s="15"/>
      <c r="I121" s="15"/>
      <c r="J121" s="15"/>
      <c r="K121" s="15" t="s">
        <v>342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102</v>
      </c>
      <c r="B122" s="15" t="s">
        <v>561</v>
      </c>
      <c r="C122" s="15" t="s">
        <v>591</v>
      </c>
      <c r="D122" s="15" t="s">
        <v>337</v>
      </c>
      <c r="E122" s="15" t="s">
        <v>337</v>
      </c>
      <c r="F122" s="15" t="s">
        <v>338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38</v>
      </c>
      <c r="B123" s="15" t="s">
        <v>561</v>
      </c>
      <c r="C123" s="15" t="s">
        <v>591</v>
      </c>
      <c r="D123" s="15" t="s">
        <v>337</v>
      </c>
      <c r="E123" s="15" t="s">
        <v>337</v>
      </c>
      <c r="F123" s="15" t="s">
        <v>338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156</v>
      </c>
      <c r="B124" s="15" t="s">
        <v>561</v>
      </c>
      <c r="C124" s="15" t="s">
        <v>591</v>
      </c>
      <c r="D124" s="15" t="s">
        <v>337</v>
      </c>
      <c r="E124" s="15" t="s">
        <v>337</v>
      </c>
      <c r="F124" s="15" t="s">
        <v>338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18</v>
      </c>
      <c r="B125" s="15" t="s">
        <v>561</v>
      </c>
      <c r="C125" s="15" t="s">
        <v>591</v>
      </c>
      <c r="D125" s="15" t="s">
        <v>337</v>
      </c>
      <c r="E125" s="15" t="s">
        <v>337</v>
      </c>
      <c r="F125" s="15" t="s">
        <v>338</v>
      </c>
      <c r="G125" s="15"/>
      <c r="H125" s="15"/>
      <c r="I125" s="15"/>
      <c r="J125" s="15"/>
      <c r="K125" s="15" t="s">
        <v>343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105</v>
      </c>
      <c r="B126" s="15" t="s">
        <v>561</v>
      </c>
      <c r="C126" s="15" t="s">
        <v>591</v>
      </c>
      <c r="D126" s="15" t="s">
        <v>337</v>
      </c>
      <c r="E126" s="15" t="s">
        <v>337</v>
      </c>
      <c r="F126" s="15" t="s">
        <v>338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346</v>
      </c>
      <c r="B127" s="15" t="s">
        <v>561</v>
      </c>
      <c r="C127" s="15" t="s">
        <v>591</v>
      </c>
      <c r="D127" s="15" t="s">
        <v>337</v>
      </c>
      <c r="E127" s="15" t="s">
        <v>337</v>
      </c>
      <c r="F127" s="15" t="s">
        <v>338</v>
      </c>
      <c r="G127" s="15"/>
      <c r="H127" s="15"/>
      <c r="I127" s="15"/>
      <c r="J127" s="15"/>
      <c r="K127" s="15" t="s">
        <v>342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154</v>
      </c>
      <c r="B128" s="15" t="s">
        <v>561</v>
      </c>
      <c r="C128" s="15" t="s">
        <v>591</v>
      </c>
      <c r="D128" s="15" t="s">
        <v>337</v>
      </c>
      <c r="E128" s="15" t="s">
        <v>337</v>
      </c>
      <c r="F128" s="15" t="s">
        <v>338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118</v>
      </c>
      <c r="B129" s="15" t="s">
        <v>561</v>
      </c>
      <c r="C129" s="15" t="s">
        <v>591</v>
      </c>
      <c r="D129" s="15" t="s">
        <v>337</v>
      </c>
      <c r="E129" s="15" t="s">
        <v>337</v>
      </c>
      <c r="F129" s="15" t="s">
        <v>338</v>
      </c>
      <c r="G129" s="15"/>
      <c r="H129" s="15"/>
      <c r="I129" s="15"/>
      <c r="J129" s="15"/>
      <c r="K129" s="15" t="s">
        <v>343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151</v>
      </c>
      <c r="B130" s="15" t="s">
        <v>561</v>
      </c>
      <c r="C130" s="15" t="s">
        <v>591</v>
      </c>
      <c r="D130" s="15" t="s">
        <v>337</v>
      </c>
      <c r="E130" s="15" t="s">
        <v>337</v>
      </c>
      <c r="F130" s="15" t="s">
        <v>338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93</v>
      </c>
      <c r="B131" s="15" t="s">
        <v>561</v>
      </c>
      <c r="C131" s="15" t="s">
        <v>591</v>
      </c>
      <c r="D131" s="15" t="s">
        <v>337</v>
      </c>
      <c r="E131" s="15" t="s">
        <v>337</v>
      </c>
      <c r="F131" s="15" t="s">
        <v>338</v>
      </c>
      <c r="G131" s="15"/>
      <c r="H131" s="15"/>
      <c r="I131" s="15"/>
      <c r="J131" s="15"/>
      <c r="K131" s="15" t="s">
        <v>343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55</v>
      </c>
      <c r="B132" s="15" t="s">
        <v>561</v>
      </c>
      <c r="C132" s="15" t="s">
        <v>591</v>
      </c>
      <c r="D132" s="15" t="s">
        <v>337</v>
      </c>
      <c r="E132" s="15" t="s">
        <v>337</v>
      </c>
      <c r="F132" s="15" t="s">
        <v>338</v>
      </c>
      <c r="G132" s="15"/>
      <c r="H132" s="15"/>
      <c r="I132" s="15"/>
      <c r="J132" s="15"/>
      <c r="K132" s="15" t="s">
        <v>342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17</v>
      </c>
      <c r="B133" s="15" t="s">
        <v>561</v>
      </c>
      <c r="C133" s="15" t="s">
        <v>591</v>
      </c>
      <c r="D133" s="15" t="s">
        <v>337</v>
      </c>
      <c r="E133" s="15" t="s">
        <v>337</v>
      </c>
      <c r="F133" s="15" t="s">
        <v>338</v>
      </c>
      <c r="G133" s="15"/>
      <c r="H133" s="15"/>
      <c r="I133" s="15"/>
      <c r="J133" s="15"/>
      <c r="K133" s="15" t="s">
        <v>343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120</v>
      </c>
      <c r="B134" s="15" t="s">
        <v>561</v>
      </c>
      <c r="C134" s="15" t="s">
        <v>591</v>
      </c>
      <c r="D134" s="15" t="s">
        <v>337</v>
      </c>
      <c r="E134" s="15" t="s">
        <v>337</v>
      </c>
      <c r="F134" s="15" t="s">
        <v>338</v>
      </c>
      <c r="G134" s="15"/>
      <c r="H134" s="15"/>
      <c r="I134" s="15"/>
      <c r="J134" s="15"/>
      <c r="K134" s="15" t="s">
        <v>343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107</v>
      </c>
      <c r="B135" s="15" t="s">
        <v>561</v>
      </c>
      <c r="C135" s="15" t="s">
        <v>591</v>
      </c>
      <c r="D135" s="15" t="s">
        <v>337</v>
      </c>
      <c r="E135" s="15" t="s">
        <v>337</v>
      </c>
      <c r="F135" s="15" t="s">
        <v>338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347</v>
      </c>
      <c r="B136" s="15" t="s">
        <v>561</v>
      </c>
      <c r="C136" s="15" t="s">
        <v>591</v>
      </c>
      <c r="D136" s="15" t="s">
        <v>337</v>
      </c>
      <c r="E136" s="15" t="s">
        <v>337</v>
      </c>
      <c r="F136" s="15" t="s">
        <v>338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103</v>
      </c>
      <c r="B137" s="15" t="s">
        <v>561</v>
      </c>
      <c r="C137" s="15" t="s">
        <v>591</v>
      </c>
      <c r="D137" s="15" t="s">
        <v>337</v>
      </c>
      <c r="E137" s="15" t="s">
        <v>337</v>
      </c>
      <c r="F137" s="15" t="s">
        <v>338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51</v>
      </c>
      <c r="B138" s="15" t="s">
        <v>561</v>
      </c>
      <c r="C138" s="15" t="s">
        <v>591</v>
      </c>
      <c r="D138" s="15" t="s">
        <v>337</v>
      </c>
      <c r="E138" s="15" t="s">
        <v>337</v>
      </c>
      <c r="F138" s="15" t="s">
        <v>338</v>
      </c>
      <c r="G138" s="15"/>
      <c r="H138" s="15"/>
      <c r="I138" s="15"/>
      <c r="J138" s="15"/>
      <c r="K138" s="15" t="s">
        <v>342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21</v>
      </c>
      <c r="B139" s="15" t="s">
        <v>561</v>
      </c>
      <c r="C139" s="15" t="s">
        <v>591</v>
      </c>
      <c r="D139" s="15" t="s">
        <v>337</v>
      </c>
      <c r="E139" s="15" t="s">
        <v>337</v>
      </c>
      <c r="F139" s="15" t="s">
        <v>348</v>
      </c>
      <c r="G139" s="15"/>
      <c r="H139" s="15" t="s">
        <v>320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22</v>
      </c>
      <c r="B140" s="15" t="s">
        <v>561</v>
      </c>
      <c r="C140" s="15" t="s">
        <v>591</v>
      </c>
      <c r="D140" s="15" t="s">
        <v>337</v>
      </c>
      <c r="E140" s="15" t="s">
        <v>337</v>
      </c>
      <c r="F140" s="15" t="s">
        <v>348</v>
      </c>
      <c r="G140" s="15"/>
      <c r="H140" s="15" t="s">
        <v>320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56</v>
      </c>
      <c r="B141" s="15" t="s">
        <v>561</v>
      </c>
      <c r="C141" s="15" t="s">
        <v>591</v>
      </c>
      <c r="D141" s="15" t="s">
        <v>337</v>
      </c>
      <c r="E141" s="15" t="s">
        <v>337</v>
      </c>
      <c r="F141" s="15" t="s">
        <v>348</v>
      </c>
      <c r="G141" s="15"/>
      <c r="H141" s="15" t="s">
        <v>320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25</v>
      </c>
      <c r="B142" s="15" t="s">
        <v>561</v>
      </c>
      <c r="C142" s="15" t="s">
        <v>591</v>
      </c>
      <c r="D142" s="15" t="s">
        <v>337</v>
      </c>
      <c r="E142" s="15" t="s">
        <v>337</v>
      </c>
      <c r="F142" s="15" t="s">
        <v>348</v>
      </c>
      <c r="G142" s="15"/>
      <c r="H142" s="15" t="s">
        <v>320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54</v>
      </c>
      <c r="B143" s="15" t="s">
        <v>561</v>
      </c>
      <c r="C143" s="15" t="s">
        <v>591</v>
      </c>
      <c r="D143" s="15" t="s">
        <v>337</v>
      </c>
      <c r="E143" s="15" t="s">
        <v>337</v>
      </c>
      <c r="F143" s="15" t="s">
        <v>348</v>
      </c>
      <c r="G143" s="15"/>
      <c r="H143" s="15" t="s">
        <v>320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350</v>
      </c>
      <c r="B144" s="15" t="s">
        <v>561</v>
      </c>
      <c r="C144" s="15" t="s">
        <v>591</v>
      </c>
      <c r="D144" s="15" t="s">
        <v>337</v>
      </c>
      <c r="E144" s="15" t="s">
        <v>337</v>
      </c>
      <c r="F144" s="15" t="s">
        <v>348</v>
      </c>
      <c r="G144" s="15"/>
      <c r="H144" s="15" t="s">
        <v>320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27</v>
      </c>
      <c r="B145" s="15" t="s">
        <v>561</v>
      </c>
      <c r="C145" s="15" t="s">
        <v>591</v>
      </c>
      <c r="D145" s="15" t="s">
        <v>337</v>
      </c>
      <c r="E145" s="15" t="s">
        <v>337</v>
      </c>
      <c r="F145" s="15" t="s">
        <v>348</v>
      </c>
      <c r="G145" s="15"/>
      <c r="H145" s="15" t="s">
        <v>320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21</v>
      </c>
      <c r="B146" s="15" t="s">
        <v>561</v>
      </c>
      <c r="C146" s="15" t="s">
        <v>591</v>
      </c>
      <c r="D146" s="15" t="s">
        <v>337</v>
      </c>
      <c r="E146" s="15" t="s">
        <v>337</v>
      </c>
      <c r="F146" s="15" t="s">
        <v>348</v>
      </c>
      <c r="G146" s="15"/>
      <c r="H146" s="15" t="s">
        <v>320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152</v>
      </c>
      <c r="B147" s="15" t="s">
        <v>561</v>
      </c>
      <c r="C147" s="15" t="s">
        <v>591</v>
      </c>
      <c r="D147" s="15" t="s">
        <v>337</v>
      </c>
      <c r="E147" s="15" t="s">
        <v>337</v>
      </c>
      <c r="F147" s="15" t="s">
        <v>348</v>
      </c>
      <c r="G147" s="15"/>
      <c r="H147" s="15" t="s">
        <v>320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18</v>
      </c>
      <c r="B148" s="15" t="s">
        <v>561</v>
      </c>
      <c r="C148" s="15" t="s">
        <v>591</v>
      </c>
      <c r="D148" s="15" t="s">
        <v>337</v>
      </c>
      <c r="E148" s="15" t="s">
        <v>337</v>
      </c>
      <c r="F148" s="15" t="s">
        <v>348</v>
      </c>
      <c r="G148" s="15"/>
      <c r="H148" s="15" t="s">
        <v>320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93</v>
      </c>
      <c r="B149" s="15" t="s">
        <v>561</v>
      </c>
      <c r="C149" s="15" t="s">
        <v>591</v>
      </c>
      <c r="D149" s="15" t="s">
        <v>337</v>
      </c>
      <c r="E149" s="15" t="s">
        <v>337</v>
      </c>
      <c r="F149" s="15" t="s">
        <v>348</v>
      </c>
      <c r="G149" s="15"/>
      <c r="H149" s="15" t="s">
        <v>320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336</v>
      </c>
      <c r="B150" s="15" t="s">
        <v>561</v>
      </c>
      <c r="C150" s="15" t="s">
        <v>591</v>
      </c>
      <c r="D150" s="15" t="s">
        <v>337</v>
      </c>
      <c r="E150" s="15" t="s">
        <v>337</v>
      </c>
      <c r="F150" s="15" t="s">
        <v>348</v>
      </c>
      <c r="G150" s="15"/>
      <c r="H150" s="15" t="s">
        <v>320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51</v>
      </c>
      <c r="B151" s="15" t="s">
        <v>561</v>
      </c>
      <c r="C151" s="15" t="s">
        <v>591</v>
      </c>
      <c r="D151" s="15" t="s">
        <v>337</v>
      </c>
      <c r="E151" s="15" t="s">
        <v>337</v>
      </c>
      <c r="F151" s="15" t="s">
        <v>348</v>
      </c>
      <c r="G151" s="15"/>
      <c r="H151" s="15" t="s">
        <v>320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21</v>
      </c>
      <c r="B152" s="15" t="s">
        <v>561</v>
      </c>
      <c r="C152" s="15" t="s">
        <v>591</v>
      </c>
      <c r="D152" s="15" t="s">
        <v>337</v>
      </c>
      <c r="E152" s="15" t="s">
        <v>337</v>
      </c>
      <c r="F152" s="15" t="s">
        <v>348</v>
      </c>
      <c r="G152" s="15"/>
      <c r="H152" s="15" t="s">
        <v>322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22</v>
      </c>
      <c r="B153" s="15" t="s">
        <v>561</v>
      </c>
      <c r="C153" s="15" t="s">
        <v>591</v>
      </c>
      <c r="D153" s="15" t="s">
        <v>337</v>
      </c>
      <c r="E153" s="15" t="s">
        <v>337</v>
      </c>
      <c r="F153" s="15" t="s">
        <v>348</v>
      </c>
      <c r="G153" s="15"/>
      <c r="H153" s="15" t="s">
        <v>322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20</v>
      </c>
      <c r="B154" s="15" t="s">
        <v>561</v>
      </c>
      <c r="C154" s="15" t="s">
        <v>591</v>
      </c>
      <c r="D154" s="15" t="s">
        <v>337</v>
      </c>
      <c r="E154" s="15" t="s">
        <v>337</v>
      </c>
      <c r="F154" s="15" t="s">
        <v>348</v>
      </c>
      <c r="G154" s="15"/>
      <c r="H154" s="15" t="s">
        <v>322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345</v>
      </c>
      <c r="B155" s="15" t="s">
        <v>561</v>
      </c>
      <c r="C155" s="15" t="s">
        <v>591</v>
      </c>
      <c r="D155" s="15" t="s">
        <v>337</v>
      </c>
      <c r="E155" s="15" t="s">
        <v>337</v>
      </c>
      <c r="F155" s="15" t="s">
        <v>348</v>
      </c>
      <c r="G155" s="15"/>
      <c r="H155" s="15" t="s">
        <v>322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7</v>
      </c>
      <c r="B156" s="15" t="s">
        <v>561</v>
      </c>
      <c r="C156" s="15" t="s">
        <v>591</v>
      </c>
      <c r="D156" s="15" t="s">
        <v>337</v>
      </c>
      <c r="E156" s="15" t="s">
        <v>337</v>
      </c>
      <c r="F156" s="15" t="s">
        <v>348</v>
      </c>
      <c r="G156" s="15"/>
      <c r="H156" s="15" t="s">
        <v>322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333</v>
      </c>
      <c r="B157" s="15" t="s">
        <v>561</v>
      </c>
      <c r="C157" s="15" t="s">
        <v>591</v>
      </c>
      <c r="D157" s="15" t="s">
        <v>337</v>
      </c>
      <c r="E157" s="15" t="s">
        <v>337</v>
      </c>
      <c r="F157" s="15" t="s">
        <v>348</v>
      </c>
      <c r="G157" s="15"/>
      <c r="H157" s="15" t="s">
        <v>322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346</v>
      </c>
      <c r="B158" s="15" t="s">
        <v>561</v>
      </c>
      <c r="C158" s="15" t="s">
        <v>591</v>
      </c>
      <c r="D158" s="15" t="s">
        <v>337</v>
      </c>
      <c r="E158" s="15" t="s">
        <v>337</v>
      </c>
      <c r="F158" s="15" t="s">
        <v>348</v>
      </c>
      <c r="G158" s="15"/>
      <c r="H158" s="15" t="s">
        <v>322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55</v>
      </c>
      <c r="B159" s="15" t="s">
        <v>561</v>
      </c>
      <c r="C159" s="15" t="s">
        <v>591</v>
      </c>
      <c r="D159" s="15" t="s">
        <v>337</v>
      </c>
      <c r="E159" s="15" t="s">
        <v>337</v>
      </c>
      <c r="F159" s="15" t="s">
        <v>348</v>
      </c>
      <c r="G159" s="15"/>
      <c r="H159" s="15" t="s">
        <v>322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51</v>
      </c>
      <c r="B160" s="15" t="s">
        <v>561</v>
      </c>
      <c r="C160" s="15" t="s">
        <v>591</v>
      </c>
      <c r="D160" s="15" t="s">
        <v>337</v>
      </c>
      <c r="E160" s="15" t="s">
        <v>337</v>
      </c>
      <c r="F160" s="15" t="s">
        <v>348</v>
      </c>
      <c r="G160" s="15"/>
      <c r="H160" s="15" t="s">
        <v>322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345</v>
      </c>
      <c r="B161" s="15" t="s">
        <v>561</v>
      </c>
      <c r="C161" s="15" t="s">
        <v>591</v>
      </c>
      <c r="D161" s="15" t="s">
        <v>318</v>
      </c>
      <c r="E161" s="15" t="s">
        <v>318</v>
      </c>
      <c r="F161" s="15" t="s">
        <v>319</v>
      </c>
      <c r="G161" s="15"/>
      <c r="H161" s="15" t="s">
        <v>351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35</v>
      </c>
      <c r="B162" s="15" t="s">
        <v>561</v>
      </c>
      <c r="C162" s="15" t="s">
        <v>591</v>
      </c>
      <c r="D162" s="15" t="s">
        <v>318</v>
      </c>
      <c r="E162" s="15" t="s">
        <v>318</v>
      </c>
      <c r="F162" s="15" t="s">
        <v>319</v>
      </c>
      <c r="G162" s="15"/>
      <c r="H162" s="15" t="s">
        <v>351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346</v>
      </c>
      <c r="B163" s="15" t="s">
        <v>561</v>
      </c>
      <c r="C163" s="15" t="s">
        <v>591</v>
      </c>
      <c r="D163" s="15" t="s">
        <v>318</v>
      </c>
      <c r="E163" s="15" t="s">
        <v>318</v>
      </c>
      <c r="F163" s="15" t="s">
        <v>319</v>
      </c>
      <c r="G163" s="15"/>
      <c r="H163" s="15" t="s">
        <v>351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353</v>
      </c>
      <c r="B164" s="15" t="s">
        <v>561</v>
      </c>
      <c r="C164" s="15" t="s">
        <v>591</v>
      </c>
      <c r="D164" s="15" t="s">
        <v>318</v>
      </c>
      <c r="E164" s="15" t="s">
        <v>318</v>
      </c>
      <c r="F164" s="15" t="s">
        <v>319</v>
      </c>
      <c r="G164" s="15"/>
      <c r="H164" s="15" t="s">
        <v>325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22</v>
      </c>
      <c r="B165" s="15" t="s">
        <v>561</v>
      </c>
      <c r="C165" s="15" t="s">
        <v>591</v>
      </c>
      <c r="D165" s="15" t="s">
        <v>318</v>
      </c>
      <c r="E165" s="15" t="s">
        <v>318</v>
      </c>
      <c r="F165" s="15" t="s">
        <v>319</v>
      </c>
      <c r="G165" s="15"/>
      <c r="H165" s="15" t="s">
        <v>325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148</v>
      </c>
      <c r="B166" s="15" t="s">
        <v>561</v>
      </c>
      <c r="C166" s="15" t="s">
        <v>591</v>
      </c>
      <c r="D166" s="15" t="s">
        <v>318</v>
      </c>
      <c r="E166" s="15" t="s">
        <v>318</v>
      </c>
      <c r="F166" s="15" t="s">
        <v>319</v>
      </c>
      <c r="G166" s="15"/>
      <c r="H166" s="15" t="s">
        <v>325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7</v>
      </c>
      <c r="B167" s="15" t="s">
        <v>561</v>
      </c>
      <c r="C167" s="15" t="s">
        <v>591</v>
      </c>
      <c r="D167" s="15" t="s">
        <v>318</v>
      </c>
      <c r="E167" s="15" t="s">
        <v>318</v>
      </c>
      <c r="F167" s="15" t="s">
        <v>319</v>
      </c>
      <c r="G167" s="15"/>
      <c r="H167" s="15" t="s">
        <v>325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333</v>
      </c>
      <c r="B168" s="15" t="s">
        <v>561</v>
      </c>
      <c r="C168" s="15" t="s">
        <v>591</v>
      </c>
      <c r="D168" s="15" t="s">
        <v>318</v>
      </c>
      <c r="E168" s="15" t="s">
        <v>318</v>
      </c>
      <c r="F168" s="15" t="s">
        <v>319</v>
      </c>
      <c r="G168" s="15"/>
      <c r="H168" s="15" t="s">
        <v>325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127</v>
      </c>
      <c r="B169" s="15" t="s">
        <v>561</v>
      </c>
      <c r="C169" s="15" t="s">
        <v>591</v>
      </c>
      <c r="D169" s="15" t="s">
        <v>318</v>
      </c>
      <c r="E169" s="15" t="s">
        <v>318</v>
      </c>
      <c r="F169" s="15" t="s">
        <v>319</v>
      </c>
      <c r="G169" s="15"/>
      <c r="H169" s="15" t="s">
        <v>325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102</v>
      </c>
      <c r="B170" s="15" t="s">
        <v>561</v>
      </c>
      <c r="C170" s="15" t="s">
        <v>591</v>
      </c>
      <c r="D170" s="15" t="s">
        <v>318</v>
      </c>
      <c r="E170" s="15" t="s">
        <v>318</v>
      </c>
      <c r="F170" s="15" t="s">
        <v>319</v>
      </c>
      <c r="G170" s="15"/>
      <c r="H170" s="15" t="s">
        <v>325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105</v>
      </c>
      <c r="B171" s="15" t="s">
        <v>561</v>
      </c>
      <c r="C171" s="15" t="s">
        <v>591</v>
      </c>
      <c r="D171" s="15" t="s">
        <v>318</v>
      </c>
      <c r="E171" s="15" t="s">
        <v>318</v>
      </c>
      <c r="F171" s="15" t="s">
        <v>319</v>
      </c>
      <c r="G171" s="15"/>
      <c r="H171" s="15" t="s">
        <v>325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154</v>
      </c>
      <c r="B172" s="15" t="s">
        <v>561</v>
      </c>
      <c r="C172" s="15" t="s">
        <v>591</v>
      </c>
      <c r="D172" s="15" t="s">
        <v>318</v>
      </c>
      <c r="E172" s="15" t="s">
        <v>318</v>
      </c>
      <c r="F172" s="15" t="s">
        <v>319</v>
      </c>
      <c r="G172" s="15"/>
      <c r="H172" s="15" t="s">
        <v>325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118</v>
      </c>
      <c r="B173" s="15" t="s">
        <v>561</v>
      </c>
      <c r="C173" s="15" t="s">
        <v>591</v>
      </c>
      <c r="D173" s="15" t="s">
        <v>318</v>
      </c>
      <c r="E173" s="15" t="s">
        <v>318</v>
      </c>
      <c r="F173" s="15" t="s">
        <v>319</v>
      </c>
      <c r="G173" s="15"/>
      <c r="H173" s="15" t="s">
        <v>325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156</v>
      </c>
      <c r="B174" s="15" t="s">
        <v>561</v>
      </c>
      <c r="C174" s="15" t="s">
        <v>591</v>
      </c>
      <c r="D174" s="15" t="s">
        <v>318</v>
      </c>
      <c r="E174" s="15" t="s">
        <v>318</v>
      </c>
      <c r="F174" s="15" t="s">
        <v>319</v>
      </c>
      <c r="G174" s="15"/>
      <c r="H174" s="15" t="s">
        <v>354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127</v>
      </c>
      <c r="B175" s="15" t="s">
        <v>561</v>
      </c>
      <c r="C175" s="15" t="s">
        <v>591</v>
      </c>
      <c r="D175" s="15" t="s">
        <v>318</v>
      </c>
      <c r="E175" s="15" t="s">
        <v>318</v>
      </c>
      <c r="F175" s="15" t="s">
        <v>319</v>
      </c>
      <c r="G175" s="15"/>
      <c r="H175" s="15" t="s">
        <v>355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22</v>
      </c>
      <c r="B176" s="15" t="s">
        <v>561</v>
      </c>
      <c r="C176" s="15" t="s">
        <v>591</v>
      </c>
      <c r="D176" s="15" t="s">
        <v>318</v>
      </c>
      <c r="E176" s="15" t="s">
        <v>318</v>
      </c>
      <c r="F176" s="15" t="s">
        <v>319</v>
      </c>
      <c r="G176" s="15"/>
      <c r="H176" s="15" t="s">
        <v>320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21</v>
      </c>
      <c r="B177" s="15" t="s">
        <v>561</v>
      </c>
      <c r="C177" s="15" t="s">
        <v>591</v>
      </c>
      <c r="D177" s="15" t="s">
        <v>318</v>
      </c>
      <c r="E177" s="15" t="s">
        <v>318</v>
      </c>
      <c r="F177" s="15" t="s">
        <v>319</v>
      </c>
      <c r="G177" s="15"/>
      <c r="H177" s="15" t="s">
        <v>320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93</v>
      </c>
      <c r="B178" s="15" t="s">
        <v>561</v>
      </c>
      <c r="C178" s="15" t="s">
        <v>591</v>
      </c>
      <c r="D178" s="15" t="s">
        <v>318</v>
      </c>
      <c r="E178" s="15" t="s">
        <v>318</v>
      </c>
      <c r="F178" s="15" t="s">
        <v>319</v>
      </c>
      <c r="G178" s="15"/>
      <c r="H178" s="15" t="s">
        <v>320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7</v>
      </c>
      <c r="B179" s="15" t="s">
        <v>561</v>
      </c>
      <c r="C179" s="15" t="s">
        <v>591</v>
      </c>
      <c r="D179" s="15" t="s">
        <v>318</v>
      </c>
      <c r="E179" s="15" t="s">
        <v>318</v>
      </c>
      <c r="F179" s="15" t="s">
        <v>319</v>
      </c>
      <c r="G179" s="15"/>
      <c r="H179" s="15" t="s">
        <v>322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333</v>
      </c>
      <c r="B180" s="15" t="s">
        <v>561</v>
      </c>
      <c r="C180" s="15" t="s">
        <v>591</v>
      </c>
      <c r="D180" s="15" t="s">
        <v>318</v>
      </c>
      <c r="E180" s="15" t="s">
        <v>318</v>
      </c>
      <c r="F180" s="15" t="s">
        <v>319</v>
      </c>
      <c r="G180" s="15"/>
      <c r="H180" s="15" t="s">
        <v>322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148</v>
      </c>
      <c r="B181" s="15" t="s">
        <v>561</v>
      </c>
      <c r="C181" s="15" t="s">
        <v>591</v>
      </c>
      <c r="D181" s="15" t="s">
        <v>318</v>
      </c>
      <c r="E181" s="15" t="s">
        <v>318</v>
      </c>
      <c r="F181" s="15" t="s">
        <v>319</v>
      </c>
      <c r="G181" s="15"/>
      <c r="H181" s="15" t="s">
        <v>356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173</v>
      </c>
      <c r="B182" s="15" t="s">
        <v>561</v>
      </c>
      <c r="C182" s="15" t="s">
        <v>591</v>
      </c>
      <c r="D182" s="15" t="s">
        <v>318</v>
      </c>
      <c r="E182" s="15" t="s">
        <v>318</v>
      </c>
      <c r="F182" s="15" t="s">
        <v>319</v>
      </c>
      <c r="G182" s="15"/>
      <c r="H182" s="15" t="s">
        <v>356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156</v>
      </c>
      <c r="B183" s="15" t="s">
        <v>561</v>
      </c>
      <c r="C183" s="15" t="s">
        <v>591</v>
      </c>
      <c r="D183" s="15" t="s">
        <v>318</v>
      </c>
      <c r="E183" s="15" t="s">
        <v>318</v>
      </c>
      <c r="F183" s="15" t="s">
        <v>319</v>
      </c>
      <c r="G183" s="15"/>
      <c r="H183" s="15" t="s">
        <v>356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154</v>
      </c>
      <c r="B184" s="15" t="s">
        <v>561</v>
      </c>
      <c r="C184" s="15" t="s">
        <v>591</v>
      </c>
      <c r="D184" s="15" t="s">
        <v>318</v>
      </c>
      <c r="E184" s="15" t="s">
        <v>318</v>
      </c>
      <c r="F184" s="15" t="s">
        <v>319</v>
      </c>
      <c r="G184" s="15"/>
      <c r="H184" s="15" t="s">
        <v>356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160</v>
      </c>
      <c r="B185" s="15" t="s">
        <v>561</v>
      </c>
      <c r="C185" s="15" t="s">
        <v>591</v>
      </c>
      <c r="D185" s="15" t="s">
        <v>318</v>
      </c>
      <c r="E185" s="15" t="s">
        <v>318</v>
      </c>
      <c r="F185" s="15" t="s">
        <v>319</v>
      </c>
      <c r="G185" s="15"/>
      <c r="H185" s="15" t="s">
        <v>356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127</v>
      </c>
      <c r="B186" s="15" t="s">
        <v>561</v>
      </c>
      <c r="C186" s="15" t="s">
        <v>591</v>
      </c>
      <c r="D186" s="15" t="s">
        <v>318</v>
      </c>
      <c r="E186" s="15" t="s">
        <v>318</v>
      </c>
      <c r="F186" s="15" t="s">
        <v>319</v>
      </c>
      <c r="G186" s="15"/>
      <c r="H186" s="15" t="s">
        <v>357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102</v>
      </c>
      <c r="B187" s="15" t="s">
        <v>561</v>
      </c>
      <c r="C187" s="15" t="s">
        <v>591</v>
      </c>
      <c r="D187" s="15" t="s">
        <v>318</v>
      </c>
      <c r="E187" s="15" t="s">
        <v>318</v>
      </c>
      <c r="F187" s="15" t="s">
        <v>319</v>
      </c>
      <c r="G187" s="15"/>
      <c r="H187" s="15" t="s">
        <v>358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103</v>
      </c>
      <c r="B188" s="15" t="s">
        <v>561</v>
      </c>
      <c r="C188" s="15" t="s">
        <v>591</v>
      </c>
      <c r="D188" s="15" t="s">
        <v>318</v>
      </c>
      <c r="E188" s="15" t="s">
        <v>318</v>
      </c>
      <c r="F188" s="15" t="s">
        <v>319</v>
      </c>
      <c r="G188" s="15"/>
      <c r="H188" s="15" t="s">
        <v>358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105</v>
      </c>
      <c r="B189" s="15" t="s">
        <v>561</v>
      </c>
      <c r="C189" s="15" t="s">
        <v>591</v>
      </c>
      <c r="D189" s="15" t="s">
        <v>318</v>
      </c>
      <c r="E189" s="15" t="s">
        <v>318</v>
      </c>
      <c r="F189" s="15" t="s">
        <v>319</v>
      </c>
      <c r="G189" s="15"/>
      <c r="H189" s="15" t="s">
        <v>359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118</v>
      </c>
      <c r="B190" s="15" t="s">
        <v>561</v>
      </c>
      <c r="C190" s="15" t="s">
        <v>591</v>
      </c>
      <c r="D190" s="15" t="s">
        <v>318</v>
      </c>
      <c r="E190" s="15" t="s">
        <v>318</v>
      </c>
      <c r="F190" s="15" t="s">
        <v>319</v>
      </c>
      <c r="G190" s="15"/>
      <c r="H190" s="15" t="s">
        <v>360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341</v>
      </c>
      <c r="B191" s="15" t="s">
        <v>561</v>
      </c>
      <c r="C191" s="15" t="s">
        <v>591</v>
      </c>
      <c r="D191" s="15" t="s">
        <v>337</v>
      </c>
      <c r="E191" s="15" t="s">
        <v>337</v>
      </c>
      <c r="F191" s="15" t="s">
        <v>338</v>
      </c>
      <c r="G191" s="15"/>
      <c r="H191" s="15" t="s">
        <v>325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7</v>
      </c>
      <c r="B192" s="15" t="s">
        <v>561</v>
      </c>
      <c r="C192" s="15" t="s">
        <v>591</v>
      </c>
      <c r="D192" s="15" t="s">
        <v>337</v>
      </c>
      <c r="E192" s="15" t="s">
        <v>337</v>
      </c>
      <c r="F192" s="15" t="s">
        <v>338</v>
      </c>
      <c r="G192" s="15"/>
      <c r="H192" s="15" t="s">
        <v>325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333</v>
      </c>
      <c r="B193" s="15" t="s">
        <v>561</v>
      </c>
      <c r="C193" s="15" t="s">
        <v>591</v>
      </c>
      <c r="D193" s="15" t="s">
        <v>337</v>
      </c>
      <c r="E193" s="15" t="s">
        <v>337</v>
      </c>
      <c r="F193" s="15" t="s">
        <v>338</v>
      </c>
      <c r="G193" s="15"/>
      <c r="H193" s="15" t="s">
        <v>325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105</v>
      </c>
      <c r="B194" s="15" t="s">
        <v>561</v>
      </c>
      <c r="C194" s="15" t="s">
        <v>591</v>
      </c>
      <c r="D194" s="15" t="s">
        <v>337</v>
      </c>
      <c r="E194" s="15" t="s">
        <v>337</v>
      </c>
      <c r="F194" s="15" t="s">
        <v>338</v>
      </c>
      <c r="G194" s="15"/>
      <c r="H194" s="15" t="s">
        <v>325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346</v>
      </c>
      <c r="B195" s="15" t="s">
        <v>561</v>
      </c>
      <c r="C195" s="15" t="s">
        <v>591</v>
      </c>
      <c r="D195" s="15" t="s">
        <v>337</v>
      </c>
      <c r="E195" s="15" t="s">
        <v>337</v>
      </c>
      <c r="F195" s="15" t="s">
        <v>338</v>
      </c>
      <c r="G195" s="15"/>
      <c r="H195" s="15" t="s">
        <v>325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22</v>
      </c>
      <c r="B196" s="15" t="s">
        <v>561</v>
      </c>
      <c r="C196" s="15" t="s">
        <v>591</v>
      </c>
      <c r="D196" s="15" t="s">
        <v>362</v>
      </c>
      <c r="E196" s="15" t="s">
        <v>362</v>
      </c>
      <c r="F196" s="15" t="s">
        <v>363</v>
      </c>
      <c r="G196" s="15"/>
      <c r="H196" s="15"/>
      <c r="I196" s="15"/>
      <c r="J196" s="15"/>
      <c r="K196" s="15" t="s">
        <v>342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20</v>
      </c>
      <c r="B197" s="15" t="s">
        <v>561</v>
      </c>
      <c r="C197" s="15" t="s">
        <v>589</v>
      </c>
      <c r="D197" s="15" t="s">
        <v>364</v>
      </c>
      <c r="E197" s="15" t="s">
        <v>509</v>
      </c>
      <c r="F197" s="15" t="s">
        <v>365</v>
      </c>
      <c r="G197" s="15"/>
      <c r="H197" s="15"/>
      <c r="I197" s="15"/>
      <c r="J197" s="15"/>
      <c r="K197" s="15" t="s">
        <v>343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25</v>
      </c>
      <c r="B198" s="15" t="s">
        <v>561</v>
      </c>
      <c r="C198" s="15" t="s">
        <v>386</v>
      </c>
      <c r="D198" s="15" t="s">
        <v>362</v>
      </c>
      <c r="E198" s="15" t="s">
        <v>399</v>
      </c>
      <c r="F198" s="15" t="s">
        <v>366</v>
      </c>
      <c r="G198" s="15"/>
      <c r="H198" s="15"/>
      <c r="I198" s="15"/>
      <c r="J198" s="15"/>
      <c r="K198" s="15" t="s">
        <v>342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350</v>
      </c>
      <c r="B199" s="15" t="s">
        <v>561</v>
      </c>
      <c r="C199" s="15" t="s">
        <v>386</v>
      </c>
      <c r="D199" s="15" t="s">
        <v>362</v>
      </c>
      <c r="E199" s="15" t="s">
        <v>399</v>
      </c>
      <c r="F199" s="15" t="s">
        <v>366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27</v>
      </c>
      <c r="B200" s="15" t="s">
        <v>561</v>
      </c>
      <c r="C200" s="15" t="s">
        <v>386</v>
      </c>
      <c r="D200" s="15" t="s">
        <v>362</v>
      </c>
      <c r="E200" s="15" t="s">
        <v>399</v>
      </c>
      <c r="F200" s="15" t="s">
        <v>366</v>
      </c>
      <c r="G200" s="15"/>
      <c r="H200" s="15"/>
      <c r="I200" s="15"/>
      <c r="J200" s="15"/>
      <c r="K200" s="15" t="s">
        <v>368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7</v>
      </c>
      <c r="B201" s="15" t="s">
        <v>561</v>
      </c>
      <c r="C201" s="15" t="s">
        <v>591</v>
      </c>
      <c r="D201" s="15" t="s">
        <v>362</v>
      </c>
      <c r="E201" s="15" t="s">
        <v>362</v>
      </c>
      <c r="F201" s="15" t="s">
        <v>369</v>
      </c>
      <c r="G201" s="15"/>
      <c r="H201" s="15"/>
      <c r="I201" s="15"/>
      <c r="J201" s="15"/>
      <c r="K201" s="15" t="s">
        <v>342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7</v>
      </c>
      <c r="B202" s="15" t="s">
        <v>561</v>
      </c>
      <c r="C202" s="15" t="s">
        <v>591</v>
      </c>
      <c r="D202" s="15" t="s">
        <v>362</v>
      </c>
      <c r="E202" s="15" t="s">
        <v>362</v>
      </c>
      <c r="F202" s="15" t="s">
        <v>370</v>
      </c>
      <c r="G202" s="15"/>
      <c r="H202" s="15"/>
      <c r="I202" s="15"/>
      <c r="J202" s="15"/>
      <c r="K202" s="15" t="s">
        <v>342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7</v>
      </c>
      <c r="B203" s="15" t="s">
        <v>561</v>
      </c>
      <c r="C203" s="15" t="s">
        <v>591</v>
      </c>
      <c r="D203" s="15" t="s">
        <v>362</v>
      </c>
      <c r="E203" s="15" t="s">
        <v>362</v>
      </c>
      <c r="F203" s="15" t="s">
        <v>371</v>
      </c>
      <c r="G203" s="15"/>
      <c r="H203" s="15"/>
      <c r="I203" s="15"/>
      <c r="J203" s="15"/>
      <c r="K203" s="15" t="s">
        <v>342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7</v>
      </c>
      <c r="B204" s="15" t="s">
        <v>561</v>
      </c>
      <c r="C204" s="15" t="s">
        <v>591</v>
      </c>
      <c r="D204" s="15" t="s">
        <v>364</v>
      </c>
      <c r="E204" s="15" t="s">
        <v>364</v>
      </c>
      <c r="F204" s="15" t="s">
        <v>372</v>
      </c>
      <c r="G204" s="15"/>
      <c r="H204" s="15"/>
      <c r="I204" s="15"/>
      <c r="J204" s="15"/>
      <c r="K204" s="15" t="s">
        <v>343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7</v>
      </c>
      <c r="B205" s="15" t="s">
        <v>561</v>
      </c>
      <c r="C205" s="15" t="s">
        <v>591</v>
      </c>
      <c r="D205" s="15" t="s">
        <v>364</v>
      </c>
      <c r="E205" s="15" t="s">
        <v>364</v>
      </c>
      <c r="F205" s="15" t="s">
        <v>373</v>
      </c>
      <c r="G205" s="15"/>
      <c r="H205" s="15"/>
      <c r="I205" s="15"/>
      <c r="J205" s="15"/>
      <c r="K205" s="15" t="s">
        <v>343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333</v>
      </c>
      <c r="B206" s="15" t="s">
        <v>561</v>
      </c>
      <c r="C206" s="15" t="s">
        <v>591</v>
      </c>
      <c r="D206" s="15" t="s">
        <v>362</v>
      </c>
      <c r="E206" s="15" t="s">
        <v>362</v>
      </c>
      <c r="F206" s="15" t="s">
        <v>369</v>
      </c>
      <c r="G206" s="15"/>
      <c r="H206" s="15"/>
      <c r="I206" s="15"/>
      <c r="J206" s="15"/>
      <c r="K206" s="15" t="s">
        <v>342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333</v>
      </c>
      <c r="B207" s="15" t="s">
        <v>561</v>
      </c>
      <c r="C207" s="15" t="s">
        <v>591</v>
      </c>
      <c r="D207" s="15" t="s">
        <v>362</v>
      </c>
      <c r="E207" s="15" t="s">
        <v>362</v>
      </c>
      <c r="F207" s="15" t="s">
        <v>370</v>
      </c>
      <c r="G207" s="15"/>
      <c r="H207" s="15"/>
      <c r="I207" s="15"/>
      <c r="J207" s="15"/>
      <c r="K207" s="15" t="s">
        <v>342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333</v>
      </c>
      <c r="B208" s="15" t="s">
        <v>561</v>
      </c>
      <c r="C208" s="15" t="s">
        <v>591</v>
      </c>
      <c r="D208" s="15" t="s">
        <v>362</v>
      </c>
      <c r="E208" s="15" t="s">
        <v>362</v>
      </c>
      <c r="F208" s="15" t="s">
        <v>371</v>
      </c>
      <c r="G208" s="15"/>
      <c r="H208" s="15"/>
      <c r="I208" s="15"/>
      <c r="J208" s="15"/>
      <c r="K208" s="15" t="s">
        <v>342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333</v>
      </c>
      <c r="B209" s="15" t="s">
        <v>561</v>
      </c>
      <c r="C209" s="15" t="s">
        <v>591</v>
      </c>
      <c r="D209" s="15" t="s">
        <v>364</v>
      </c>
      <c r="E209" s="15" t="s">
        <v>364</v>
      </c>
      <c r="F209" s="15" t="s">
        <v>372</v>
      </c>
      <c r="G209" s="15"/>
      <c r="H209" s="15"/>
      <c r="I209" s="15"/>
      <c r="J209" s="15"/>
      <c r="K209" s="15" t="s">
        <v>343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333</v>
      </c>
      <c r="B210" s="15" t="s">
        <v>561</v>
      </c>
      <c r="C210" s="15" t="s">
        <v>591</v>
      </c>
      <c r="D210" s="15" t="s">
        <v>364</v>
      </c>
      <c r="E210" s="15" t="s">
        <v>364</v>
      </c>
      <c r="F210" s="15" t="s">
        <v>373</v>
      </c>
      <c r="G210" s="15"/>
      <c r="H210" s="15"/>
      <c r="I210" s="15"/>
      <c r="J210" s="15"/>
      <c r="K210" s="15" t="s">
        <v>343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21</v>
      </c>
      <c r="B211" s="15" t="s">
        <v>561</v>
      </c>
      <c r="C211" s="15" t="s">
        <v>591</v>
      </c>
      <c r="D211" s="15" t="s">
        <v>362</v>
      </c>
      <c r="E211" s="15" t="s">
        <v>362</v>
      </c>
      <c r="F211" s="15" t="s">
        <v>363</v>
      </c>
      <c r="G211" s="15"/>
      <c r="H211" s="15"/>
      <c r="I211" s="15"/>
      <c r="J211" s="15"/>
      <c r="K211" s="15" t="s">
        <v>342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21</v>
      </c>
      <c r="B212" s="15" t="s">
        <v>561</v>
      </c>
      <c r="C212" s="15" t="s">
        <v>591</v>
      </c>
      <c r="D212" s="15" t="s">
        <v>362</v>
      </c>
      <c r="E212" s="15" t="s">
        <v>362</v>
      </c>
      <c r="F212" s="15" t="s">
        <v>363</v>
      </c>
      <c r="G212" s="15"/>
      <c r="H212" s="15"/>
      <c r="I212" s="15"/>
      <c r="J212" s="15"/>
      <c r="K212" s="15" t="s">
        <v>342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18</v>
      </c>
      <c r="B213" s="15" t="s">
        <v>561</v>
      </c>
      <c r="C213" s="15" t="s">
        <v>589</v>
      </c>
      <c r="D213" s="15" t="s">
        <v>364</v>
      </c>
      <c r="E213" s="15" t="s">
        <v>509</v>
      </c>
      <c r="F213" s="15" t="s">
        <v>365</v>
      </c>
      <c r="G213" s="15"/>
      <c r="H213" s="15"/>
      <c r="I213" s="15"/>
      <c r="J213" s="15"/>
      <c r="K213" s="15" t="s">
        <v>343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17</v>
      </c>
      <c r="B214" s="15" t="s">
        <v>561</v>
      </c>
      <c r="C214" s="15" t="s">
        <v>589</v>
      </c>
      <c r="D214" s="15" t="s">
        <v>364</v>
      </c>
      <c r="E214" s="15" t="s">
        <v>509</v>
      </c>
      <c r="F214" s="15" t="s">
        <v>365</v>
      </c>
      <c r="G214" s="15"/>
      <c r="H214" s="15"/>
      <c r="I214" s="15"/>
      <c r="J214" s="15"/>
      <c r="K214" s="15" t="s">
        <v>343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336</v>
      </c>
      <c r="B215" s="15" t="s">
        <v>561</v>
      </c>
      <c r="C215" s="15" t="s">
        <v>386</v>
      </c>
      <c r="D215" s="15" t="s">
        <v>362</v>
      </c>
      <c r="E215" s="15" t="s">
        <v>399</v>
      </c>
      <c r="F215" s="15" t="s">
        <v>366</v>
      </c>
      <c r="G215" s="15"/>
      <c r="H215" s="15"/>
      <c r="I215" s="15"/>
      <c r="J215" s="15"/>
      <c r="K215" s="15" t="s">
        <v>342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333</v>
      </c>
      <c r="B216" s="15" t="s">
        <v>561</v>
      </c>
      <c r="C216" s="15" t="s">
        <v>591</v>
      </c>
      <c r="D216" s="15" t="s">
        <v>337</v>
      </c>
      <c r="E216" s="15" t="s">
        <v>337</v>
      </c>
      <c r="F216" s="15" t="s">
        <v>374</v>
      </c>
      <c r="G216" s="15"/>
      <c r="H216" s="15"/>
      <c r="I216" s="15"/>
      <c r="J216" s="15"/>
      <c r="K216" s="15" t="s">
        <v>375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22</v>
      </c>
      <c r="B217" s="15" t="s">
        <v>561</v>
      </c>
      <c r="C217" s="15" t="s">
        <v>591</v>
      </c>
      <c r="D217" s="15" t="s">
        <v>337</v>
      </c>
      <c r="E217" s="15" t="s">
        <v>337</v>
      </c>
      <c r="F217" s="15" t="s">
        <v>374</v>
      </c>
      <c r="G217" s="15"/>
      <c r="H217" s="15"/>
      <c r="I217" s="15"/>
      <c r="J217" s="15"/>
      <c r="K217" s="15" t="s">
        <v>377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20</v>
      </c>
      <c r="B218" s="15" t="s">
        <v>561</v>
      </c>
      <c r="C218" s="15" t="s">
        <v>591</v>
      </c>
      <c r="D218" s="15" t="s">
        <v>337</v>
      </c>
      <c r="E218" s="15" t="s">
        <v>337</v>
      </c>
      <c r="F218" s="15" t="s">
        <v>374</v>
      </c>
      <c r="G218" s="15"/>
      <c r="H218" s="15"/>
      <c r="I218" s="15"/>
      <c r="J218" s="15"/>
      <c r="K218" s="15" t="s">
        <v>343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345</v>
      </c>
      <c r="B219" s="15" t="s">
        <v>561</v>
      </c>
      <c r="C219" s="15" t="s">
        <v>591</v>
      </c>
      <c r="D219" s="15" t="s">
        <v>337</v>
      </c>
      <c r="E219" s="15" t="s">
        <v>337</v>
      </c>
      <c r="F219" s="15" t="s">
        <v>374</v>
      </c>
      <c r="G219" s="15"/>
      <c r="H219" s="15"/>
      <c r="I219" s="15"/>
      <c r="J219" s="15"/>
      <c r="K219" s="15" t="s">
        <v>377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7</v>
      </c>
      <c r="B220" s="15" t="s">
        <v>561</v>
      </c>
      <c r="C220" s="15" t="s">
        <v>591</v>
      </c>
      <c r="D220" s="15" t="s">
        <v>337</v>
      </c>
      <c r="E220" s="15" t="s">
        <v>337</v>
      </c>
      <c r="F220" s="15" t="s">
        <v>374</v>
      </c>
      <c r="G220" s="15"/>
      <c r="H220" s="15"/>
      <c r="I220" s="15"/>
      <c r="J220" s="15">
        <v>1</v>
      </c>
      <c r="K220" s="15" t="s">
        <v>375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333</v>
      </c>
      <c r="B221" s="15" t="s">
        <v>561</v>
      </c>
      <c r="C221" s="15" t="s">
        <v>591</v>
      </c>
      <c r="D221" s="15" t="s">
        <v>337</v>
      </c>
      <c r="E221" s="15" t="s">
        <v>337</v>
      </c>
      <c r="F221" s="15" t="s">
        <v>374</v>
      </c>
      <c r="G221" s="15"/>
      <c r="H221" s="15"/>
      <c r="I221" s="15"/>
      <c r="J221" s="15"/>
      <c r="K221" s="15" t="s">
        <v>375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36</v>
      </c>
      <c r="B222" s="15" t="s">
        <v>561</v>
      </c>
      <c r="C222" s="15" t="s">
        <v>591</v>
      </c>
      <c r="D222" s="15" t="s">
        <v>337</v>
      </c>
      <c r="E222" s="15" t="s">
        <v>337</v>
      </c>
      <c r="F222" s="15" t="s">
        <v>374</v>
      </c>
      <c r="G222" s="15"/>
      <c r="H222" s="15"/>
      <c r="I222" s="15"/>
      <c r="J222" s="15"/>
      <c r="K222" s="15" t="s">
        <v>377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346</v>
      </c>
      <c r="B223" s="15" t="s">
        <v>561</v>
      </c>
      <c r="C223" s="15" t="s">
        <v>591</v>
      </c>
      <c r="D223" s="15" t="s">
        <v>337</v>
      </c>
      <c r="E223" s="15" t="s">
        <v>337</v>
      </c>
      <c r="F223" s="15" t="s">
        <v>374</v>
      </c>
      <c r="G223" s="15"/>
      <c r="H223" s="15"/>
      <c r="I223" s="15"/>
      <c r="J223" s="15"/>
      <c r="K223" s="15" t="s">
        <v>377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118</v>
      </c>
      <c r="B224" s="15" t="s">
        <v>561</v>
      </c>
      <c r="C224" s="15" t="s">
        <v>591</v>
      </c>
      <c r="D224" s="15" t="s">
        <v>337</v>
      </c>
      <c r="E224" s="15" t="s">
        <v>337</v>
      </c>
      <c r="F224" s="15" t="s">
        <v>374</v>
      </c>
      <c r="G224" s="15"/>
      <c r="H224" s="15"/>
      <c r="I224" s="15"/>
      <c r="J224" s="15"/>
      <c r="K224" s="15" t="s">
        <v>343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93</v>
      </c>
      <c r="B225" s="15" t="s">
        <v>561</v>
      </c>
      <c r="C225" s="15" t="s">
        <v>591</v>
      </c>
      <c r="D225" s="15" t="s">
        <v>337</v>
      </c>
      <c r="E225" s="15" t="s">
        <v>337</v>
      </c>
      <c r="F225" s="15" t="s">
        <v>374</v>
      </c>
      <c r="G225" s="15"/>
      <c r="H225" s="15"/>
      <c r="I225" s="15"/>
      <c r="J225" s="15"/>
      <c r="K225" s="15" t="s">
        <v>343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55</v>
      </c>
      <c r="B226" s="15" t="s">
        <v>561</v>
      </c>
      <c r="C226" s="15" t="s">
        <v>591</v>
      </c>
      <c r="D226" s="15" t="s">
        <v>337</v>
      </c>
      <c r="E226" s="15" t="s">
        <v>337</v>
      </c>
      <c r="F226" s="15" t="s">
        <v>374</v>
      </c>
      <c r="G226" s="15"/>
      <c r="H226" s="15"/>
      <c r="I226" s="15"/>
      <c r="J226" s="15"/>
      <c r="K226" s="15" t="s">
        <v>377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17</v>
      </c>
      <c r="B227" s="15" t="s">
        <v>561</v>
      </c>
      <c r="C227" s="15" t="s">
        <v>591</v>
      </c>
      <c r="D227" s="15" t="s">
        <v>337</v>
      </c>
      <c r="E227" s="15" t="s">
        <v>337</v>
      </c>
      <c r="F227" s="15" t="s">
        <v>374</v>
      </c>
      <c r="G227" s="15"/>
      <c r="H227" s="15"/>
      <c r="I227" s="15"/>
      <c r="J227" s="15"/>
      <c r="K227" s="15" t="s">
        <v>343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51</v>
      </c>
      <c r="B228" s="15" t="s">
        <v>561</v>
      </c>
      <c r="C228" s="15" t="s">
        <v>591</v>
      </c>
      <c r="D228" s="15" t="s">
        <v>337</v>
      </c>
      <c r="E228" s="15" t="s">
        <v>337</v>
      </c>
      <c r="F228" s="15" t="s">
        <v>374</v>
      </c>
      <c r="G228" s="15"/>
      <c r="H228" s="15"/>
      <c r="I228" s="15"/>
      <c r="J228" s="15"/>
      <c r="K228" s="15" t="s">
        <v>377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7</v>
      </c>
      <c r="B229" s="15" t="s">
        <v>561</v>
      </c>
      <c r="C229" s="15" t="s">
        <v>591</v>
      </c>
      <c r="D229" s="15" t="s">
        <v>323</v>
      </c>
      <c r="E229" s="15" t="s">
        <v>318</v>
      </c>
      <c r="F229" s="15" t="s">
        <v>324</v>
      </c>
      <c r="G229" s="15"/>
      <c r="H229" s="15"/>
      <c r="I229" s="15"/>
      <c r="J229" s="15">
        <v>1</v>
      </c>
      <c r="K229" s="15" t="s">
        <v>379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380</v>
      </c>
      <c r="B230" s="15" t="s">
        <v>561</v>
      </c>
      <c r="C230" s="15" t="s">
        <v>386</v>
      </c>
      <c r="D230" s="15" t="s">
        <v>318</v>
      </c>
      <c r="E230" s="15" t="s">
        <v>390</v>
      </c>
      <c r="F230" s="15" t="s">
        <v>326</v>
      </c>
      <c r="G230" s="15"/>
      <c r="H230" s="15" t="s">
        <v>320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21</v>
      </c>
      <c r="B231" s="15" t="s">
        <v>561</v>
      </c>
      <c r="C231" s="15" t="s">
        <v>591</v>
      </c>
      <c r="D231" s="15" t="s">
        <v>318</v>
      </c>
      <c r="E231" s="15" t="s">
        <v>318</v>
      </c>
      <c r="F231" s="15" t="s">
        <v>331</v>
      </c>
      <c r="G231" s="15"/>
      <c r="H231" s="15" t="s">
        <v>322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333</v>
      </c>
      <c r="B232" s="15" t="s">
        <v>561</v>
      </c>
      <c r="C232" s="15" t="s">
        <v>591</v>
      </c>
      <c r="D232" s="15" t="s">
        <v>364</v>
      </c>
      <c r="E232" s="15" t="s">
        <v>364</v>
      </c>
      <c r="F232" s="15" t="s">
        <v>381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383</v>
      </c>
      <c r="B233" s="15" t="s">
        <v>561</v>
      </c>
      <c r="C233" s="15" t="s">
        <v>591</v>
      </c>
      <c r="D233" s="15" t="s">
        <v>318</v>
      </c>
      <c r="E233" s="15" t="s">
        <v>318</v>
      </c>
      <c r="F233" s="15" t="s">
        <v>319</v>
      </c>
      <c r="G233" s="15"/>
      <c r="H233" s="15" t="s">
        <v>320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353</v>
      </c>
      <c r="B234" s="15" t="s">
        <v>561</v>
      </c>
      <c r="C234" s="15" t="s">
        <v>591</v>
      </c>
      <c r="D234" s="15" t="s">
        <v>318</v>
      </c>
      <c r="E234" s="15" t="s">
        <v>318</v>
      </c>
      <c r="F234" s="15" t="s">
        <v>319</v>
      </c>
      <c r="G234" s="15"/>
      <c r="H234" s="15" t="s">
        <v>320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22</v>
      </c>
      <c r="B235" s="15" t="s">
        <v>561</v>
      </c>
      <c r="C235" s="15" t="s">
        <v>591</v>
      </c>
      <c r="D235" s="15" t="s">
        <v>318</v>
      </c>
      <c r="E235" s="15" t="s">
        <v>318</v>
      </c>
      <c r="F235" s="15" t="s">
        <v>319</v>
      </c>
      <c r="G235" s="15"/>
      <c r="H235" s="15" t="s">
        <v>320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56</v>
      </c>
      <c r="B236" s="15" t="s">
        <v>561</v>
      </c>
      <c r="C236" s="15" t="s">
        <v>591</v>
      </c>
      <c r="D236" s="15" t="s">
        <v>318</v>
      </c>
      <c r="E236" s="15" t="s">
        <v>318</v>
      </c>
      <c r="F236" s="15" t="s">
        <v>319</v>
      </c>
      <c r="G236" s="15"/>
      <c r="H236" s="15" t="s">
        <v>320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90</v>
      </c>
      <c r="B237" s="15" t="s">
        <v>561</v>
      </c>
      <c r="C237" s="15" t="s">
        <v>591</v>
      </c>
      <c r="D237" s="15" t="s">
        <v>318</v>
      </c>
      <c r="E237" s="15" t="s">
        <v>318</v>
      </c>
      <c r="F237" s="15" t="s">
        <v>319</v>
      </c>
      <c r="G237" s="15"/>
      <c r="H237" s="15" t="s">
        <v>320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20</v>
      </c>
      <c r="B238" s="15" t="s">
        <v>561</v>
      </c>
      <c r="C238" s="15" t="s">
        <v>591</v>
      </c>
      <c r="D238" s="15" t="s">
        <v>318</v>
      </c>
      <c r="E238" s="15" t="s">
        <v>318</v>
      </c>
      <c r="F238" s="15" t="s">
        <v>319</v>
      </c>
      <c r="G238" s="15" t="s">
        <v>319</v>
      </c>
      <c r="H238" s="15" t="s">
        <v>320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20</v>
      </c>
      <c r="B239" s="15" t="s">
        <v>561</v>
      </c>
      <c r="C239" s="15" t="s">
        <v>591</v>
      </c>
      <c r="D239" s="15" t="s">
        <v>318</v>
      </c>
      <c r="E239" s="15" t="s">
        <v>318</v>
      </c>
      <c r="F239" s="15" t="s">
        <v>319</v>
      </c>
      <c r="G239" s="15" t="s">
        <v>319</v>
      </c>
      <c r="H239" s="15" t="s">
        <v>322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25</v>
      </c>
      <c r="B240" s="15" t="s">
        <v>561</v>
      </c>
      <c r="C240" s="15" t="s">
        <v>591</v>
      </c>
      <c r="D240" s="15" t="s">
        <v>318</v>
      </c>
      <c r="E240" s="15" t="s">
        <v>318</v>
      </c>
      <c r="F240" s="15" t="s">
        <v>319</v>
      </c>
      <c r="G240" s="15"/>
      <c r="H240" s="15" t="s">
        <v>320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54</v>
      </c>
      <c r="B241" s="15" t="s">
        <v>561</v>
      </c>
      <c r="C241" s="15" t="s">
        <v>591</v>
      </c>
      <c r="D241" s="15" t="s">
        <v>318</v>
      </c>
      <c r="E241" s="15" t="s">
        <v>318</v>
      </c>
      <c r="F241" s="15" t="s">
        <v>319</v>
      </c>
      <c r="G241" s="15"/>
      <c r="H241" s="15" t="s">
        <v>320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350</v>
      </c>
      <c r="B242" s="15" t="s">
        <v>561</v>
      </c>
      <c r="C242" s="15" t="s">
        <v>591</v>
      </c>
      <c r="D242" s="15" t="s">
        <v>318</v>
      </c>
      <c r="E242" s="15" t="s">
        <v>318</v>
      </c>
      <c r="F242" s="15" t="s">
        <v>319</v>
      </c>
      <c r="G242" s="15"/>
      <c r="H242" s="15" t="s">
        <v>320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27</v>
      </c>
      <c r="B243" s="15" t="s">
        <v>561</v>
      </c>
      <c r="C243" s="15" t="s">
        <v>591</v>
      </c>
      <c r="D243" s="15" t="s">
        <v>318</v>
      </c>
      <c r="E243" s="15" t="s">
        <v>318</v>
      </c>
      <c r="F243" s="15" t="s">
        <v>319</v>
      </c>
      <c r="G243" s="15"/>
      <c r="H243" s="15" t="s">
        <v>320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7</v>
      </c>
      <c r="B244" s="15" t="s">
        <v>561</v>
      </c>
      <c r="C244" s="15" t="s">
        <v>591</v>
      </c>
      <c r="D244" s="15" t="s">
        <v>318</v>
      </c>
      <c r="E244" s="15" t="s">
        <v>318</v>
      </c>
      <c r="F244" s="15" t="s">
        <v>319</v>
      </c>
      <c r="G244" s="15"/>
      <c r="H244" s="15" t="s">
        <v>320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7</v>
      </c>
      <c r="B245" s="15" t="s">
        <v>561</v>
      </c>
      <c r="C245" s="15" t="s">
        <v>591</v>
      </c>
      <c r="D245" s="15" t="s">
        <v>318</v>
      </c>
      <c r="E245" s="15" t="s">
        <v>318</v>
      </c>
      <c r="F245" s="15" t="s">
        <v>319</v>
      </c>
      <c r="G245" s="15"/>
      <c r="H245" s="15" t="s">
        <v>322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333</v>
      </c>
      <c r="B246" s="15" t="s">
        <v>561</v>
      </c>
      <c r="C246" s="15" t="s">
        <v>591</v>
      </c>
      <c r="D246" s="15" t="s">
        <v>318</v>
      </c>
      <c r="E246" s="15" t="s">
        <v>318</v>
      </c>
      <c r="F246" s="15" t="s">
        <v>319</v>
      </c>
      <c r="G246" s="15"/>
      <c r="H246" s="15" t="s">
        <v>322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21</v>
      </c>
      <c r="B247" s="15" t="s">
        <v>561</v>
      </c>
      <c r="C247" s="15" t="s">
        <v>591</v>
      </c>
      <c r="D247" s="15" t="s">
        <v>318</v>
      </c>
      <c r="E247" s="15" t="s">
        <v>318</v>
      </c>
      <c r="F247" s="15" t="s">
        <v>319</v>
      </c>
      <c r="G247" s="15"/>
      <c r="H247" s="15" t="s">
        <v>320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152</v>
      </c>
      <c r="B248" s="15" t="s">
        <v>561</v>
      </c>
      <c r="C248" s="15" t="s">
        <v>591</v>
      </c>
      <c r="D248" s="15" t="s">
        <v>318</v>
      </c>
      <c r="E248" s="15" t="s">
        <v>318</v>
      </c>
      <c r="F248" s="15" t="s">
        <v>319</v>
      </c>
      <c r="G248" s="15"/>
      <c r="H248" s="15" t="s">
        <v>320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18</v>
      </c>
      <c r="B249" s="15" t="s">
        <v>561</v>
      </c>
      <c r="C249" s="15" t="s">
        <v>591</v>
      </c>
      <c r="D249" s="15" t="s">
        <v>318</v>
      </c>
      <c r="E249" s="15" t="s">
        <v>318</v>
      </c>
      <c r="F249" s="15" t="s">
        <v>319</v>
      </c>
      <c r="G249" s="15" t="s">
        <v>319</v>
      </c>
      <c r="H249" s="15" t="s">
        <v>320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105</v>
      </c>
      <c r="B250" s="15" t="s">
        <v>561</v>
      </c>
      <c r="C250" s="15" t="s">
        <v>591</v>
      </c>
      <c r="D250" s="15" t="s">
        <v>318</v>
      </c>
      <c r="E250" s="15" t="s">
        <v>318</v>
      </c>
      <c r="F250" s="15" t="s">
        <v>319</v>
      </c>
      <c r="G250" s="15"/>
      <c r="H250" s="15" t="s">
        <v>320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93</v>
      </c>
      <c r="B251" s="15" t="s">
        <v>561</v>
      </c>
      <c r="C251" s="15" t="s">
        <v>591</v>
      </c>
      <c r="D251" s="15" t="s">
        <v>318</v>
      </c>
      <c r="E251" s="15" t="s">
        <v>318</v>
      </c>
      <c r="F251" s="15" t="s">
        <v>319</v>
      </c>
      <c r="G251" s="15"/>
      <c r="H251" s="15" t="s">
        <v>320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55</v>
      </c>
      <c r="B252" s="15" t="s">
        <v>561</v>
      </c>
      <c r="C252" s="15" t="s">
        <v>591</v>
      </c>
      <c r="D252" s="15" t="s">
        <v>318</v>
      </c>
      <c r="E252" s="15" t="s">
        <v>318</v>
      </c>
      <c r="F252" s="15" t="s">
        <v>319</v>
      </c>
      <c r="G252" s="15"/>
      <c r="H252" s="15" t="s">
        <v>322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17</v>
      </c>
      <c r="B253" s="15" t="s">
        <v>561</v>
      </c>
      <c r="C253" s="15" t="s">
        <v>591</v>
      </c>
      <c r="D253" s="15" t="s">
        <v>318</v>
      </c>
      <c r="E253" s="15" t="s">
        <v>318</v>
      </c>
      <c r="F253" s="15" t="s">
        <v>319</v>
      </c>
      <c r="G253" s="15" t="s">
        <v>319</v>
      </c>
      <c r="H253" s="15" t="s">
        <v>322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385</v>
      </c>
      <c r="B254" s="15" t="s">
        <v>561</v>
      </c>
      <c r="C254" s="15" t="s">
        <v>591</v>
      </c>
      <c r="D254" s="15" t="s">
        <v>318</v>
      </c>
      <c r="E254" s="15" t="s">
        <v>318</v>
      </c>
      <c r="F254" s="15" t="s">
        <v>319</v>
      </c>
      <c r="G254" s="15"/>
      <c r="H254" s="15" t="s">
        <v>320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107</v>
      </c>
      <c r="B255" s="15" t="s">
        <v>561</v>
      </c>
      <c r="C255" s="15" t="s">
        <v>591</v>
      </c>
      <c r="D255" s="15" t="s">
        <v>318</v>
      </c>
      <c r="E255" s="15" t="s">
        <v>318</v>
      </c>
      <c r="F255" s="15" t="s">
        <v>319</v>
      </c>
      <c r="G255" s="15"/>
      <c r="H255" s="15" t="s">
        <v>320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336</v>
      </c>
      <c r="B256" s="15" t="s">
        <v>561</v>
      </c>
      <c r="C256" s="15" t="s">
        <v>591</v>
      </c>
      <c r="D256" s="15" t="s">
        <v>318</v>
      </c>
      <c r="E256" s="15" t="s">
        <v>318</v>
      </c>
      <c r="F256" s="15" t="s">
        <v>319</v>
      </c>
      <c r="G256" s="15"/>
      <c r="H256" s="15" t="s">
        <v>320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51</v>
      </c>
      <c r="B257" s="15" t="s">
        <v>561</v>
      </c>
      <c r="C257" s="15" t="s">
        <v>591</v>
      </c>
      <c r="D257" s="15" t="s">
        <v>318</v>
      </c>
      <c r="E257" s="15" t="s">
        <v>318</v>
      </c>
      <c r="F257" s="15" t="s">
        <v>319</v>
      </c>
      <c r="G257" s="15"/>
      <c r="H257" s="15" t="s">
        <v>320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51</v>
      </c>
      <c r="B258" s="15" t="s">
        <v>561</v>
      </c>
      <c r="C258" s="15" t="s">
        <v>591</v>
      </c>
      <c r="D258" s="15" t="s">
        <v>318</v>
      </c>
      <c r="E258" s="15" t="s">
        <v>318</v>
      </c>
      <c r="F258" s="15" t="s">
        <v>319</v>
      </c>
      <c r="G258" s="15"/>
      <c r="H258" s="15" t="s">
        <v>322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18</v>
      </c>
      <c r="B259" s="15" t="s">
        <v>561</v>
      </c>
      <c r="C259" s="15" t="s">
        <v>589</v>
      </c>
      <c r="D259" s="15" t="s">
        <v>318</v>
      </c>
      <c r="E259" s="15" t="s">
        <v>495</v>
      </c>
      <c r="F259" s="15" t="s">
        <v>319</v>
      </c>
      <c r="G259" s="15" t="s">
        <v>319</v>
      </c>
      <c r="H259" s="15" t="s">
        <v>320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111</v>
      </c>
      <c r="B260" s="15" t="s">
        <v>386</v>
      </c>
      <c r="C260" s="15" t="str">
        <f>B260</f>
        <v>HSR Center</v>
      </c>
      <c r="D260" s="15" t="s">
        <v>387</v>
      </c>
      <c r="E260" s="15" t="str">
        <f>D260</f>
        <v>RADM CEN Grocery RKA+Monetka,Krasnoe i beloe, Kiro</v>
      </c>
      <c r="F260" s="15" t="s">
        <v>388</v>
      </c>
      <c r="G260" s="15"/>
      <c r="H260" s="15" t="s">
        <v>389</v>
      </c>
      <c r="I260" s="15">
        <v>1</v>
      </c>
      <c r="J260" s="15">
        <v>1</v>
      </c>
      <c r="K260" s="15" t="s">
        <v>343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108</v>
      </c>
      <c r="B261" s="15" t="s">
        <v>386</v>
      </c>
      <c r="C261" s="15" t="str">
        <f t="shared" ref="C261:C324" si="0">B261</f>
        <v>HSR Center</v>
      </c>
      <c r="D261" s="15" t="s">
        <v>390</v>
      </c>
      <c r="E261" s="15" t="str">
        <f t="shared" ref="E261:E324" si="1">D261</f>
        <v>ASM CEN Fud-trade+Reid-21</v>
      </c>
      <c r="F261" s="15" t="s">
        <v>391</v>
      </c>
      <c r="G261" s="15"/>
      <c r="H261" s="15" t="s">
        <v>389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350</v>
      </c>
      <c r="B262" s="15" t="s">
        <v>386</v>
      </c>
      <c r="C262" s="15" t="str">
        <f t="shared" si="0"/>
        <v>HSR Center</v>
      </c>
      <c r="D262" s="15" t="s">
        <v>390</v>
      </c>
      <c r="E262" s="15" t="str">
        <f t="shared" si="1"/>
        <v>ASM CEN Fud-trade+Reid-21</v>
      </c>
      <c r="F262" s="15" t="s">
        <v>392</v>
      </c>
      <c r="G262" s="15"/>
      <c r="H262" s="15" t="s">
        <v>389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108</v>
      </c>
      <c r="B263" s="15" t="s">
        <v>386</v>
      </c>
      <c r="C263" s="15" t="str">
        <f t="shared" si="0"/>
        <v>HSR Center</v>
      </c>
      <c r="D263" s="15" t="s">
        <v>390</v>
      </c>
      <c r="E263" s="15" t="str">
        <f t="shared" si="1"/>
        <v>ASM CEN Fud-trade+Reid-21</v>
      </c>
      <c r="F263" s="15" t="s">
        <v>393</v>
      </c>
      <c r="G263" s="15"/>
      <c r="H263" s="15" t="s">
        <v>394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120</v>
      </c>
      <c r="B264" s="15" t="s">
        <v>386</v>
      </c>
      <c r="C264" s="15" t="str">
        <f t="shared" si="0"/>
        <v>HSR Center</v>
      </c>
      <c r="D264" s="15" t="s">
        <v>395</v>
      </c>
      <c r="E264" s="15" t="str">
        <f t="shared" si="1"/>
        <v>DDM CEN</v>
      </c>
      <c r="F264" s="15" t="s">
        <v>396</v>
      </c>
      <c r="G264" s="15"/>
      <c r="H264" s="15" t="s">
        <v>397</v>
      </c>
      <c r="I264" s="15">
        <v>1</v>
      </c>
      <c r="J264" s="15">
        <v>1</v>
      </c>
      <c r="K264" s="15" t="s">
        <v>343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107</v>
      </c>
      <c r="B265" s="15" t="s">
        <v>386</v>
      </c>
      <c r="C265" s="15" t="str">
        <f t="shared" si="0"/>
        <v>HSR Center</v>
      </c>
      <c r="D265" s="15" t="s">
        <v>387</v>
      </c>
      <c r="E265" s="15" t="str">
        <f t="shared" si="1"/>
        <v>RADM CEN Grocery RKA+Monetka,Krasnoe i beloe, Kiro</v>
      </c>
      <c r="F265" s="15" t="s">
        <v>398</v>
      </c>
      <c r="G265" s="15"/>
      <c r="H265" s="15" t="s">
        <v>389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350</v>
      </c>
      <c r="B266" s="15" t="s">
        <v>386</v>
      </c>
      <c r="C266" s="15" t="str">
        <f t="shared" si="0"/>
        <v>HSR Center</v>
      </c>
      <c r="D266" s="15" t="s">
        <v>399</v>
      </c>
      <c r="E266" s="15" t="str">
        <f t="shared" si="1"/>
        <v>TDM CEN Samara</v>
      </c>
      <c r="F266" s="15" t="s">
        <v>400</v>
      </c>
      <c r="G266" s="15"/>
      <c r="H266" s="15"/>
      <c r="I266" s="15"/>
      <c r="J266" s="15"/>
      <c r="K266" s="15" t="s">
        <v>343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93</v>
      </c>
      <c r="B267" s="15" t="s">
        <v>386</v>
      </c>
      <c r="C267" s="15" t="str">
        <f t="shared" si="0"/>
        <v>HSR Center</v>
      </c>
      <c r="D267" s="15" t="s">
        <v>399</v>
      </c>
      <c r="E267" s="15" t="str">
        <f t="shared" si="1"/>
        <v>TDM CEN Samara</v>
      </c>
      <c r="F267" s="15" t="s">
        <v>400</v>
      </c>
      <c r="G267" s="15"/>
      <c r="H267" s="15"/>
      <c r="I267" s="15"/>
      <c r="J267" s="15"/>
      <c r="K267" s="15" t="s">
        <v>343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103</v>
      </c>
      <c r="B268" s="15" t="s">
        <v>386</v>
      </c>
      <c r="C268" s="15" t="str">
        <f t="shared" si="0"/>
        <v>HSR Center</v>
      </c>
      <c r="D268" s="15" t="s">
        <v>401</v>
      </c>
      <c r="E268" s="15" t="str">
        <f t="shared" si="1"/>
        <v>TDM CEN Chelyabinsk</v>
      </c>
      <c r="F268" s="15" t="s">
        <v>402</v>
      </c>
      <c r="G268" s="15"/>
      <c r="H268" s="15"/>
      <c r="I268" s="15"/>
      <c r="J268" s="15"/>
      <c r="K268" s="15" t="s">
        <v>343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118</v>
      </c>
      <c r="B269" s="15" t="s">
        <v>386</v>
      </c>
      <c r="C269" s="15" t="str">
        <f t="shared" si="0"/>
        <v>HSR Center</v>
      </c>
      <c r="D269" s="15" t="s">
        <v>401</v>
      </c>
      <c r="E269" s="15" t="str">
        <f t="shared" si="1"/>
        <v>TDM CEN Chelyabinsk</v>
      </c>
      <c r="F269" s="15" t="s">
        <v>403</v>
      </c>
      <c r="G269" s="15"/>
      <c r="H269" s="15"/>
      <c r="I269" s="15"/>
      <c r="J269" s="15"/>
      <c r="K269" s="15" t="s">
        <v>343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118</v>
      </c>
      <c r="B270" s="15" t="s">
        <v>386</v>
      </c>
      <c r="C270" s="15" t="str">
        <f t="shared" si="0"/>
        <v>HSR Center</v>
      </c>
      <c r="D270" s="15" t="s">
        <v>401</v>
      </c>
      <c r="E270" s="15" t="str">
        <f t="shared" si="1"/>
        <v>TDM CEN Chelyabinsk</v>
      </c>
      <c r="F270" s="15" t="s">
        <v>404</v>
      </c>
      <c r="G270" s="15"/>
      <c r="H270" s="15"/>
      <c r="I270" s="15"/>
      <c r="J270" s="15"/>
      <c r="K270" s="15" t="s">
        <v>343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102</v>
      </c>
      <c r="B271" s="15" t="s">
        <v>386</v>
      </c>
      <c r="C271" s="15" t="str">
        <f t="shared" si="0"/>
        <v>HSR Center</v>
      </c>
      <c r="D271" s="15" t="s">
        <v>401</v>
      </c>
      <c r="E271" s="15" t="str">
        <f t="shared" si="1"/>
        <v>TDM CEN Chelyabinsk</v>
      </c>
      <c r="F271" s="15" t="s">
        <v>405</v>
      </c>
      <c r="G271" s="15"/>
      <c r="H271" s="15"/>
      <c r="I271" s="15"/>
      <c r="J271" s="15"/>
      <c r="K271" s="15" t="s">
        <v>343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385</v>
      </c>
      <c r="B272" s="15" t="s">
        <v>386</v>
      </c>
      <c r="C272" s="15" t="str">
        <f t="shared" si="0"/>
        <v>HSR Center</v>
      </c>
      <c r="D272" s="15" t="s">
        <v>401</v>
      </c>
      <c r="E272" s="15" t="str">
        <f t="shared" si="1"/>
        <v>TDM CEN Chelyabinsk</v>
      </c>
      <c r="F272" s="15" t="s">
        <v>405</v>
      </c>
      <c r="G272" s="15"/>
      <c r="H272" s="15"/>
      <c r="I272" s="15"/>
      <c r="J272" s="15"/>
      <c r="K272" s="15" t="s">
        <v>343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105</v>
      </c>
      <c r="B273" s="15" t="s">
        <v>386</v>
      </c>
      <c r="C273" s="15" t="str">
        <f t="shared" si="0"/>
        <v>HSR Center</v>
      </c>
      <c r="D273" s="15" t="s">
        <v>399</v>
      </c>
      <c r="E273" s="15" t="str">
        <f t="shared" si="1"/>
        <v>TDM CEN Samara</v>
      </c>
      <c r="F273" s="15" t="s">
        <v>406</v>
      </c>
      <c r="G273" s="15"/>
      <c r="H273" s="15"/>
      <c r="I273" s="15"/>
      <c r="J273" s="15"/>
      <c r="K273" s="15" t="s">
        <v>343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107</v>
      </c>
      <c r="B274" s="15" t="s">
        <v>386</v>
      </c>
      <c r="C274" s="15" t="str">
        <f t="shared" si="0"/>
        <v>HSR Center</v>
      </c>
      <c r="D274" s="15" t="s">
        <v>399</v>
      </c>
      <c r="E274" s="15" t="str">
        <f t="shared" si="1"/>
        <v>TDM CEN Samara</v>
      </c>
      <c r="F274" s="15" t="s">
        <v>406</v>
      </c>
      <c r="G274" s="15"/>
      <c r="H274" s="15"/>
      <c r="I274" s="15"/>
      <c r="J274" s="15"/>
      <c r="K274" s="15" t="s">
        <v>343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353</v>
      </c>
      <c r="B275" s="15" t="s">
        <v>386</v>
      </c>
      <c r="C275" s="15" t="str">
        <f t="shared" si="0"/>
        <v>HSR Center</v>
      </c>
      <c r="D275" s="15" t="s">
        <v>399</v>
      </c>
      <c r="E275" s="15" t="str">
        <f t="shared" si="1"/>
        <v>TDM CEN Samara</v>
      </c>
      <c r="F275" s="15" t="s">
        <v>407</v>
      </c>
      <c r="G275" s="15"/>
      <c r="H275" s="15"/>
      <c r="I275" s="15"/>
      <c r="J275" s="15"/>
      <c r="K275" s="15" t="s">
        <v>377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108</v>
      </c>
      <c r="B276" s="15" t="s">
        <v>386</v>
      </c>
      <c r="C276" s="15" t="str">
        <f t="shared" si="0"/>
        <v>HSR Center</v>
      </c>
      <c r="D276" s="15" t="s">
        <v>399</v>
      </c>
      <c r="E276" s="15" t="str">
        <f t="shared" si="1"/>
        <v>TDM CEN Samara</v>
      </c>
      <c r="F276" s="15" t="s">
        <v>408</v>
      </c>
      <c r="G276" s="15"/>
      <c r="H276" s="15" t="s">
        <v>389</v>
      </c>
      <c r="I276" s="15">
        <v>1</v>
      </c>
      <c r="J276" s="15"/>
      <c r="K276" s="15" t="s">
        <v>343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353</v>
      </c>
      <c r="B277" s="15" t="s">
        <v>386</v>
      </c>
      <c r="C277" s="15" t="str">
        <f t="shared" si="0"/>
        <v>HSR Center</v>
      </c>
      <c r="D277" s="15" t="s">
        <v>390</v>
      </c>
      <c r="E277" s="15" t="str">
        <f t="shared" si="1"/>
        <v>ASM CEN Fud-trade+Reid-21</v>
      </c>
      <c r="F277" s="15" t="s">
        <v>393</v>
      </c>
      <c r="G277" s="15"/>
      <c r="H277" s="15" t="s">
        <v>394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102</v>
      </c>
      <c r="B278" s="15" t="s">
        <v>386</v>
      </c>
      <c r="C278" s="15" t="str">
        <f t="shared" si="0"/>
        <v>HSR Center</v>
      </c>
      <c r="D278" s="15" t="s">
        <v>390</v>
      </c>
      <c r="E278" s="15" t="str">
        <f t="shared" si="1"/>
        <v>ASM CEN Fud-trade+Reid-21</v>
      </c>
      <c r="F278" s="15" t="s">
        <v>409</v>
      </c>
      <c r="G278" s="15"/>
      <c r="H278" s="15" t="s">
        <v>389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102</v>
      </c>
      <c r="B279" s="15" t="s">
        <v>386</v>
      </c>
      <c r="C279" s="15" t="str">
        <f t="shared" si="0"/>
        <v>HSR Center</v>
      </c>
      <c r="D279" s="15" t="s">
        <v>395</v>
      </c>
      <c r="E279" s="15" t="str">
        <f t="shared" si="1"/>
        <v>DDM CEN</v>
      </c>
      <c r="F279" s="15" t="s">
        <v>410</v>
      </c>
      <c r="G279" s="15"/>
      <c r="H279" s="15" t="s">
        <v>360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105</v>
      </c>
      <c r="B280" s="15" t="s">
        <v>386</v>
      </c>
      <c r="C280" s="15" t="str">
        <f t="shared" si="0"/>
        <v>HSR Center</v>
      </c>
      <c r="D280" s="15" t="s">
        <v>390</v>
      </c>
      <c r="E280" s="15" t="str">
        <f t="shared" si="1"/>
        <v>ASM CEN Fud-trade+Reid-21</v>
      </c>
      <c r="F280" s="15" t="s">
        <v>391</v>
      </c>
      <c r="G280" s="15"/>
      <c r="H280" s="15" t="s">
        <v>389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105</v>
      </c>
      <c r="B281" s="15" t="s">
        <v>386</v>
      </c>
      <c r="C281" s="15" t="str">
        <f t="shared" si="0"/>
        <v>HSR Center</v>
      </c>
      <c r="D281" s="15" t="s">
        <v>390</v>
      </c>
      <c r="E281" s="15" t="str">
        <f t="shared" si="1"/>
        <v>ASM CEN Fud-trade+Reid-21</v>
      </c>
      <c r="F281" s="15" t="s">
        <v>393</v>
      </c>
      <c r="G281" s="15"/>
      <c r="H281" s="15" t="s">
        <v>394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118</v>
      </c>
      <c r="B282" s="15" t="s">
        <v>386</v>
      </c>
      <c r="C282" s="15" t="str">
        <f t="shared" si="0"/>
        <v>HSR Center</v>
      </c>
      <c r="D282" s="15" t="s">
        <v>387</v>
      </c>
      <c r="E282" s="15" t="str">
        <f t="shared" si="1"/>
        <v>RADM CEN Grocery RKA+Monetka,Krasnoe i beloe, Kiro</v>
      </c>
      <c r="F282" s="15" t="s">
        <v>411</v>
      </c>
      <c r="G282" s="15"/>
      <c r="H282" s="15" t="s">
        <v>360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118</v>
      </c>
      <c r="B283" s="15" t="s">
        <v>386</v>
      </c>
      <c r="C283" s="15" t="str">
        <f t="shared" si="0"/>
        <v>HSR Center</v>
      </c>
      <c r="D283" s="15" t="s">
        <v>387</v>
      </c>
      <c r="E283" s="15" t="str">
        <f t="shared" si="1"/>
        <v>RADM CEN Grocery RKA+Monetka,Krasnoe i beloe, Kiro</v>
      </c>
      <c r="F283" s="15" t="s">
        <v>412</v>
      </c>
      <c r="G283" s="15"/>
      <c r="H283" s="15" t="s">
        <v>360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118</v>
      </c>
      <c r="B284" s="15" t="s">
        <v>386</v>
      </c>
      <c r="C284" s="15" t="str">
        <f t="shared" si="0"/>
        <v>HSR Center</v>
      </c>
      <c r="D284" s="15" t="s">
        <v>395</v>
      </c>
      <c r="E284" s="15" t="str">
        <f t="shared" si="1"/>
        <v>DDM CEN</v>
      </c>
      <c r="F284" s="15" t="s">
        <v>410</v>
      </c>
      <c r="G284" s="15"/>
      <c r="H284" s="15" t="s">
        <v>360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118</v>
      </c>
      <c r="B285" s="15" t="s">
        <v>386</v>
      </c>
      <c r="C285" s="15" t="str">
        <f t="shared" si="0"/>
        <v>HSR Center</v>
      </c>
      <c r="D285" s="15" t="s">
        <v>390</v>
      </c>
      <c r="E285" s="15" t="str">
        <f t="shared" si="1"/>
        <v>ASM CEN Fud-trade+Reid-21</v>
      </c>
      <c r="F285" s="15" t="s">
        <v>409</v>
      </c>
      <c r="G285" s="15"/>
      <c r="H285" s="15" t="s">
        <v>389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118</v>
      </c>
      <c r="B286" s="15" t="s">
        <v>386</v>
      </c>
      <c r="C286" s="15" t="str">
        <f t="shared" si="0"/>
        <v>HSR Center</v>
      </c>
      <c r="D286" s="15" t="s">
        <v>395</v>
      </c>
      <c r="E286" s="15" t="str">
        <f t="shared" si="1"/>
        <v>DDM CEN</v>
      </c>
      <c r="F286" s="15" t="s">
        <v>396</v>
      </c>
      <c r="G286" s="15"/>
      <c r="H286" s="15" t="s">
        <v>397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93</v>
      </c>
      <c r="B287" s="15" t="s">
        <v>386</v>
      </c>
      <c r="C287" s="15" t="str">
        <f t="shared" si="0"/>
        <v>HSR Center</v>
      </c>
      <c r="D287" s="15" t="s">
        <v>390</v>
      </c>
      <c r="E287" s="15" t="str">
        <f t="shared" si="1"/>
        <v>ASM CEN Fud-trade+Reid-21</v>
      </c>
      <c r="F287" s="15" t="s">
        <v>409</v>
      </c>
      <c r="G287" s="15"/>
      <c r="H287" s="15" t="s">
        <v>389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93</v>
      </c>
      <c r="B288" s="15" t="s">
        <v>386</v>
      </c>
      <c r="C288" s="15" t="str">
        <f t="shared" si="0"/>
        <v>HSR Center</v>
      </c>
      <c r="D288" s="15" t="s">
        <v>390</v>
      </c>
      <c r="E288" s="15" t="str">
        <f t="shared" si="1"/>
        <v>ASM CEN Fud-trade+Reid-21</v>
      </c>
      <c r="F288" s="15" t="s">
        <v>392</v>
      </c>
      <c r="G288" s="15"/>
      <c r="H288" s="15" t="s">
        <v>389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133</v>
      </c>
      <c r="B289" s="15" t="s">
        <v>386</v>
      </c>
      <c r="C289" s="15" t="str">
        <f t="shared" si="0"/>
        <v>HSR Center</v>
      </c>
      <c r="D289" s="15" t="s">
        <v>395</v>
      </c>
      <c r="E289" s="15" t="str">
        <f t="shared" si="1"/>
        <v>DDM CEN</v>
      </c>
      <c r="F289" s="15" t="s">
        <v>413</v>
      </c>
      <c r="G289" s="15"/>
      <c r="H289" s="15" t="s">
        <v>397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120</v>
      </c>
      <c r="B290" s="15" t="s">
        <v>386</v>
      </c>
      <c r="C290" s="15" t="str">
        <f t="shared" si="0"/>
        <v>HSR Center</v>
      </c>
      <c r="D290" s="15" t="s">
        <v>395</v>
      </c>
      <c r="E290" s="15" t="str">
        <f t="shared" si="1"/>
        <v>DDM CEN</v>
      </c>
      <c r="F290" s="15" t="s">
        <v>410</v>
      </c>
      <c r="G290" s="15"/>
      <c r="H290" s="15" t="s">
        <v>360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120</v>
      </c>
      <c r="B291" s="15" t="s">
        <v>386</v>
      </c>
      <c r="C291" s="15" t="str">
        <f t="shared" si="0"/>
        <v>HSR Center</v>
      </c>
      <c r="D291" s="15" t="s">
        <v>387</v>
      </c>
      <c r="E291" s="15" t="str">
        <f t="shared" si="1"/>
        <v>RADM CEN Grocery RKA+Monetka,Krasnoe i beloe, Kiro</v>
      </c>
      <c r="F291" s="15" t="s">
        <v>388</v>
      </c>
      <c r="G291" s="15"/>
      <c r="H291" s="15" t="s">
        <v>389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385</v>
      </c>
      <c r="B292" s="15" t="s">
        <v>386</v>
      </c>
      <c r="C292" s="15" t="str">
        <f t="shared" si="0"/>
        <v>HSR Center</v>
      </c>
      <c r="D292" s="15" t="s">
        <v>390</v>
      </c>
      <c r="E292" s="15" t="str">
        <f t="shared" si="1"/>
        <v>ASM CEN Fud-trade+Reid-21</v>
      </c>
      <c r="F292" s="15" t="s">
        <v>409</v>
      </c>
      <c r="G292" s="15"/>
      <c r="H292" s="15" t="s">
        <v>389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385</v>
      </c>
      <c r="B293" s="15" t="s">
        <v>386</v>
      </c>
      <c r="C293" s="15" t="str">
        <f t="shared" si="0"/>
        <v>HSR Center</v>
      </c>
      <c r="D293" s="15" t="s">
        <v>390</v>
      </c>
      <c r="E293" s="15" t="str">
        <f t="shared" si="1"/>
        <v>ASM CEN Fud-trade+Reid-21</v>
      </c>
      <c r="F293" s="15" t="s">
        <v>393</v>
      </c>
      <c r="G293" s="15"/>
      <c r="H293" s="15" t="s">
        <v>394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347</v>
      </c>
      <c r="B294" s="15" t="s">
        <v>386</v>
      </c>
      <c r="C294" s="15" t="str">
        <f t="shared" si="0"/>
        <v>HSR Center</v>
      </c>
      <c r="D294" s="15" t="s">
        <v>395</v>
      </c>
      <c r="E294" s="15" t="str">
        <f t="shared" si="1"/>
        <v>DDM CEN</v>
      </c>
      <c r="F294" s="15" t="s">
        <v>413</v>
      </c>
      <c r="G294" s="15"/>
      <c r="H294" s="15" t="s">
        <v>397</v>
      </c>
      <c r="I294" s="15">
        <v>1</v>
      </c>
      <c r="J294" s="15">
        <v>1</v>
      </c>
      <c r="K294" s="15" t="s">
        <v>343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103</v>
      </c>
      <c r="B295" s="15" t="s">
        <v>386</v>
      </c>
      <c r="C295" s="15" t="str">
        <f t="shared" si="0"/>
        <v>HSR Center</v>
      </c>
      <c r="D295" s="15" t="s">
        <v>387</v>
      </c>
      <c r="E295" s="15" t="str">
        <f t="shared" si="1"/>
        <v>RADM CEN Grocery RKA+Monetka,Krasnoe i beloe, Kiro</v>
      </c>
      <c r="F295" s="15" t="s">
        <v>411</v>
      </c>
      <c r="G295" s="15"/>
      <c r="H295" s="15" t="s">
        <v>360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103</v>
      </c>
      <c r="B296" s="15" t="s">
        <v>386</v>
      </c>
      <c r="C296" s="15" t="str">
        <f t="shared" si="0"/>
        <v>HSR Center</v>
      </c>
      <c r="D296" s="15" t="s">
        <v>390</v>
      </c>
      <c r="E296" s="15" t="str">
        <f t="shared" si="1"/>
        <v>ASM CEN Fud-trade+Reid-21</v>
      </c>
      <c r="F296" s="15" t="s">
        <v>414</v>
      </c>
      <c r="G296" s="15"/>
      <c r="H296" s="15" t="s">
        <v>389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103</v>
      </c>
      <c r="B297" s="15" t="s">
        <v>386</v>
      </c>
      <c r="C297" s="15" t="str">
        <f t="shared" si="0"/>
        <v>HSR Center</v>
      </c>
      <c r="D297" s="15" t="s">
        <v>395</v>
      </c>
      <c r="E297" s="15" t="str">
        <f t="shared" si="1"/>
        <v>DDM CEN</v>
      </c>
      <c r="F297" s="15" t="s">
        <v>410</v>
      </c>
      <c r="G297" s="15"/>
      <c r="H297" s="15" t="s">
        <v>360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103</v>
      </c>
      <c r="B298" s="15" t="s">
        <v>386</v>
      </c>
      <c r="C298" s="15" t="str">
        <f t="shared" si="0"/>
        <v>HSR Center</v>
      </c>
      <c r="D298" s="15" t="s">
        <v>390</v>
      </c>
      <c r="E298" s="15" t="str">
        <f t="shared" si="1"/>
        <v>ASM CEN Fud-trade+Reid-21</v>
      </c>
      <c r="F298" s="15" t="s">
        <v>393</v>
      </c>
      <c r="G298" s="15"/>
      <c r="H298" s="15" t="s">
        <v>394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417</v>
      </c>
      <c r="B299" s="15" t="s">
        <v>386</v>
      </c>
      <c r="C299" s="15" t="str">
        <f t="shared" si="0"/>
        <v>HSR Center</v>
      </c>
      <c r="D299" s="15" t="s">
        <v>395</v>
      </c>
      <c r="E299" s="15" t="str">
        <f t="shared" si="1"/>
        <v>DDM CEN</v>
      </c>
      <c r="F299" s="15" t="s">
        <v>413</v>
      </c>
      <c r="G299" s="15"/>
      <c r="H299" s="15" t="s">
        <v>397</v>
      </c>
      <c r="I299" s="15"/>
      <c r="J299" s="15">
        <v>1</v>
      </c>
      <c r="K299" s="15" t="s">
        <v>343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418</v>
      </c>
      <c r="B300" s="15" t="s">
        <v>386</v>
      </c>
      <c r="C300" s="15" t="str">
        <f t="shared" si="0"/>
        <v>HSR Center</v>
      </c>
      <c r="D300" s="15" t="s">
        <v>387</v>
      </c>
      <c r="E300" s="15" t="str">
        <f t="shared" si="1"/>
        <v>RADM CEN Grocery RKA+Monetka,Krasnoe i beloe, Kiro</v>
      </c>
      <c r="F300" s="15" t="s">
        <v>412</v>
      </c>
      <c r="G300" s="15"/>
      <c r="H300" s="15" t="s">
        <v>419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418</v>
      </c>
      <c r="B301" s="15" t="s">
        <v>386</v>
      </c>
      <c r="C301" s="15" t="str">
        <f t="shared" si="0"/>
        <v>HSR Center</v>
      </c>
      <c r="D301" s="15" t="s">
        <v>387</v>
      </c>
      <c r="E301" s="15" t="str">
        <f t="shared" si="1"/>
        <v>RADM CEN Grocery RKA+Monetka,Krasnoe i beloe, Kiro</v>
      </c>
      <c r="F301" s="15" t="s">
        <v>412</v>
      </c>
      <c r="G301" s="15"/>
      <c r="H301" s="15" t="s">
        <v>355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418</v>
      </c>
      <c r="B302" s="15" t="s">
        <v>386</v>
      </c>
      <c r="C302" s="15" t="str">
        <f t="shared" si="0"/>
        <v>HSR Center</v>
      </c>
      <c r="D302" s="15" t="s">
        <v>387</v>
      </c>
      <c r="E302" s="15" t="str">
        <f t="shared" si="1"/>
        <v>RADM CEN Grocery RKA+Monetka,Krasnoe i beloe, Kiro</v>
      </c>
      <c r="F302" s="15" t="s">
        <v>412</v>
      </c>
      <c r="G302" s="15"/>
      <c r="H302" s="15" t="s">
        <v>389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418</v>
      </c>
      <c r="B303" s="15" t="s">
        <v>386</v>
      </c>
      <c r="C303" s="15" t="str">
        <f t="shared" si="0"/>
        <v>HSR Center</v>
      </c>
      <c r="D303" s="15" t="s">
        <v>387</v>
      </c>
      <c r="E303" s="15" t="str">
        <f t="shared" si="1"/>
        <v>RADM CEN Grocery RKA+Monetka,Krasnoe i beloe, Kiro</v>
      </c>
      <c r="F303" s="15" t="s">
        <v>412</v>
      </c>
      <c r="G303" s="15"/>
      <c r="H303" s="15" t="s">
        <v>389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174</v>
      </c>
      <c r="B304" s="15" t="s">
        <v>386</v>
      </c>
      <c r="C304" s="15" t="str">
        <f t="shared" si="0"/>
        <v>HSR Center</v>
      </c>
      <c r="D304" s="15" t="s">
        <v>387</v>
      </c>
      <c r="E304" s="15" t="str">
        <f t="shared" si="1"/>
        <v>RADM CEN Grocery RKA+Monetka,Krasnoe i beloe, Kiro</v>
      </c>
      <c r="F304" s="15" t="s">
        <v>412</v>
      </c>
      <c r="G304" s="15"/>
      <c r="H304" s="15" t="s">
        <v>419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174</v>
      </c>
      <c r="B305" s="15" t="s">
        <v>386</v>
      </c>
      <c r="C305" s="15" t="str">
        <f t="shared" si="0"/>
        <v>HSR Center</v>
      </c>
      <c r="D305" s="15" t="s">
        <v>387</v>
      </c>
      <c r="E305" s="15" t="str">
        <f t="shared" si="1"/>
        <v>RADM CEN Grocery RKA+Monetka,Krasnoe i beloe, Kiro</v>
      </c>
      <c r="F305" s="15" t="s">
        <v>412</v>
      </c>
      <c r="G305" s="15"/>
      <c r="H305" s="15" t="s">
        <v>389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420</v>
      </c>
      <c r="B306" s="15" t="s">
        <v>386</v>
      </c>
      <c r="C306" s="15" t="str">
        <f t="shared" si="0"/>
        <v>HSR Center</v>
      </c>
      <c r="D306" s="15" t="s">
        <v>387</v>
      </c>
      <c r="E306" s="15" t="str">
        <f t="shared" si="1"/>
        <v>RADM CEN Grocery RKA+Monetka,Krasnoe i beloe, Kiro</v>
      </c>
      <c r="F306" s="15" t="s">
        <v>412</v>
      </c>
      <c r="G306" s="15"/>
      <c r="H306" s="15" t="s">
        <v>355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420</v>
      </c>
      <c r="B307" s="15" t="s">
        <v>386</v>
      </c>
      <c r="C307" s="15" t="str">
        <f t="shared" si="0"/>
        <v>HSR Center</v>
      </c>
      <c r="D307" s="15" t="s">
        <v>387</v>
      </c>
      <c r="E307" s="15" t="str">
        <f t="shared" si="1"/>
        <v>RADM CEN Grocery RKA+Monetka,Krasnoe i beloe, Kiro</v>
      </c>
      <c r="F307" s="15" t="s">
        <v>412</v>
      </c>
      <c r="G307" s="15"/>
      <c r="H307" s="15" t="s">
        <v>389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383</v>
      </c>
      <c r="B308" s="15" t="s">
        <v>386</v>
      </c>
      <c r="C308" s="15" t="str">
        <f t="shared" si="0"/>
        <v>HSR Center</v>
      </c>
      <c r="D308" s="15" t="s">
        <v>387</v>
      </c>
      <c r="E308" s="15" t="str">
        <f t="shared" si="1"/>
        <v>RADM CEN Grocery RKA+Monetka,Krasnoe i beloe, Kiro</v>
      </c>
      <c r="F308" s="15" t="s">
        <v>412</v>
      </c>
      <c r="G308" s="15"/>
      <c r="H308" s="15" t="s">
        <v>355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383</v>
      </c>
      <c r="B309" s="15" t="s">
        <v>386</v>
      </c>
      <c r="C309" s="15" t="str">
        <f t="shared" si="0"/>
        <v>HSR Center</v>
      </c>
      <c r="D309" s="15" t="s">
        <v>387</v>
      </c>
      <c r="E309" s="15" t="str">
        <f t="shared" si="1"/>
        <v>RADM CEN Grocery RKA+Monetka,Krasnoe i beloe, Kiro</v>
      </c>
      <c r="F309" s="15" t="s">
        <v>412</v>
      </c>
      <c r="G309" s="15"/>
      <c r="H309" s="15" t="s">
        <v>389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81</v>
      </c>
      <c r="B310" s="15" t="s">
        <v>386</v>
      </c>
      <c r="C310" s="15" t="str">
        <f t="shared" si="0"/>
        <v>HSR Center</v>
      </c>
      <c r="D310" s="15" t="s">
        <v>387</v>
      </c>
      <c r="E310" s="15" t="str">
        <f t="shared" si="1"/>
        <v>RADM CEN Grocery RKA+Monetka,Krasnoe i beloe, Kiro</v>
      </c>
      <c r="F310" s="15" t="s">
        <v>412</v>
      </c>
      <c r="G310" s="15"/>
      <c r="H310" s="15" t="s">
        <v>421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50</v>
      </c>
      <c r="B311" s="15" t="s">
        <v>386</v>
      </c>
      <c r="C311" s="15" t="str">
        <f t="shared" si="0"/>
        <v>HSR Center</v>
      </c>
      <c r="D311" s="15" t="s">
        <v>387</v>
      </c>
      <c r="E311" s="15" t="str">
        <f t="shared" si="1"/>
        <v>RADM CEN Grocery RKA+Monetka,Krasnoe i beloe, Kiro</v>
      </c>
      <c r="F311" s="15" t="s">
        <v>412</v>
      </c>
      <c r="G311" s="15"/>
      <c r="H311" s="15" t="s">
        <v>422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50</v>
      </c>
      <c r="B312" s="15" t="s">
        <v>386</v>
      </c>
      <c r="C312" s="15" t="str">
        <f t="shared" si="0"/>
        <v>HSR Center</v>
      </c>
      <c r="D312" s="15" t="s">
        <v>387</v>
      </c>
      <c r="E312" s="15" t="str">
        <f t="shared" si="1"/>
        <v>RADM CEN Grocery RKA+Monetka,Krasnoe i beloe, Kiro</v>
      </c>
      <c r="F312" s="15" t="s">
        <v>412</v>
      </c>
      <c r="G312" s="15"/>
      <c r="H312" s="15" t="s">
        <v>423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166</v>
      </c>
      <c r="B313" s="15" t="s">
        <v>386</v>
      </c>
      <c r="C313" s="15" t="str">
        <f t="shared" si="0"/>
        <v>HSR Center</v>
      </c>
      <c r="D313" s="15" t="s">
        <v>387</v>
      </c>
      <c r="E313" s="15" t="str">
        <f t="shared" si="1"/>
        <v>RADM CEN Grocery RKA+Monetka,Krasnoe i beloe, Kiro</v>
      </c>
      <c r="F313" s="15" t="s">
        <v>412</v>
      </c>
      <c r="G313" s="15"/>
      <c r="H313" s="15" t="s">
        <v>389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353</v>
      </c>
      <c r="B314" s="15" t="s">
        <v>386</v>
      </c>
      <c r="C314" s="15" t="str">
        <f t="shared" si="0"/>
        <v>HSR Center</v>
      </c>
      <c r="D314" s="15" t="s">
        <v>387</v>
      </c>
      <c r="E314" s="15" t="str">
        <f t="shared" si="1"/>
        <v>RADM CEN Grocery RKA+Monetka,Krasnoe i beloe, Kiro</v>
      </c>
      <c r="F314" s="15" t="s">
        <v>412</v>
      </c>
      <c r="G314" s="15"/>
      <c r="H314" s="15" t="s">
        <v>394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341</v>
      </c>
      <c r="B315" s="15" t="s">
        <v>386</v>
      </c>
      <c r="C315" s="15" t="str">
        <f t="shared" si="0"/>
        <v>HSR Center</v>
      </c>
      <c r="D315" s="15" t="s">
        <v>387</v>
      </c>
      <c r="E315" s="15" t="str">
        <f t="shared" si="1"/>
        <v>RADM CEN Grocery RKA+Monetka,Krasnoe i beloe, Kiro</v>
      </c>
      <c r="F315" s="15" t="s">
        <v>412</v>
      </c>
      <c r="G315" s="15"/>
      <c r="H315" s="15" t="s">
        <v>389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141</v>
      </c>
      <c r="B316" s="15" t="s">
        <v>386</v>
      </c>
      <c r="C316" s="15" t="str">
        <f t="shared" si="0"/>
        <v>HSR Center</v>
      </c>
      <c r="D316" s="15" t="s">
        <v>387</v>
      </c>
      <c r="E316" s="15" t="str">
        <f t="shared" si="1"/>
        <v>RADM CEN Grocery RKA+Monetka,Krasnoe i beloe, Kiro</v>
      </c>
      <c r="F316" s="15" t="s">
        <v>412</v>
      </c>
      <c r="G316" s="15"/>
      <c r="H316" s="15" t="s">
        <v>389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87</v>
      </c>
      <c r="B317" s="15" t="s">
        <v>386</v>
      </c>
      <c r="C317" s="15" t="str">
        <f t="shared" si="0"/>
        <v>HSR Center</v>
      </c>
      <c r="D317" s="15" t="s">
        <v>387</v>
      </c>
      <c r="E317" s="15" t="str">
        <f t="shared" si="1"/>
        <v>RADM CEN Grocery RKA+Monetka,Krasnoe i beloe, Kiro</v>
      </c>
      <c r="F317" s="15" t="s">
        <v>412</v>
      </c>
      <c r="G317" s="15"/>
      <c r="H317" s="15" t="s">
        <v>424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155</v>
      </c>
      <c r="B318" s="15" t="s">
        <v>386</v>
      </c>
      <c r="C318" s="15" t="str">
        <f t="shared" si="0"/>
        <v>HSR Center</v>
      </c>
      <c r="D318" s="15" t="s">
        <v>387</v>
      </c>
      <c r="E318" s="15" t="str">
        <f t="shared" si="1"/>
        <v>RADM CEN Grocery RKA+Monetka,Krasnoe i beloe, Kiro</v>
      </c>
      <c r="F318" s="15" t="s">
        <v>412</v>
      </c>
      <c r="G318" s="15"/>
      <c r="H318" s="15" t="s">
        <v>389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48</v>
      </c>
      <c r="B319" s="15" t="s">
        <v>386</v>
      </c>
      <c r="C319" s="15" t="str">
        <f t="shared" si="0"/>
        <v>HSR Center</v>
      </c>
      <c r="D319" s="15" t="s">
        <v>387</v>
      </c>
      <c r="E319" s="15" t="str">
        <f t="shared" si="1"/>
        <v>RADM CEN Grocery RKA+Monetka,Krasnoe i beloe, Kiro</v>
      </c>
      <c r="F319" s="15" t="s">
        <v>412</v>
      </c>
      <c r="G319" s="15"/>
      <c r="H319" s="15" t="s">
        <v>422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48</v>
      </c>
      <c r="B320" s="15" t="s">
        <v>386</v>
      </c>
      <c r="C320" s="15" t="str">
        <f t="shared" si="0"/>
        <v>HSR Center</v>
      </c>
      <c r="D320" s="15" t="s">
        <v>387</v>
      </c>
      <c r="E320" s="15" t="str">
        <f t="shared" si="1"/>
        <v>RADM CEN Grocery RKA+Monetka,Krasnoe i beloe, Kiro</v>
      </c>
      <c r="F320" s="15" t="s">
        <v>412</v>
      </c>
      <c r="G320" s="15"/>
      <c r="H320" s="15" t="s">
        <v>423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148</v>
      </c>
      <c r="B321" s="15" t="s">
        <v>386</v>
      </c>
      <c r="C321" s="15" t="str">
        <f t="shared" si="0"/>
        <v>HSR Center</v>
      </c>
      <c r="D321" s="15" t="s">
        <v>387</v>
      </c>
      <c r="E321" s="15" t="str">
        <f t="shared" si="1"/>
        <v>RADM CEN Grocery RKA+Monetka,Krasnoe i beloe, Kiro</v>
      </c>
      <c r="F321" s="15" t="s">
        <v>412</v>
      </c>
      <c r="G321" s="15"/>
      <c r="H321" s="15" t="s">
        <v>389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425</v>
      </c>
      <c r="B322" s="15" t="s">
        <v>386</v>
      </c>
      <c r="C322" s="15" t="str">
        <f t="shared" si="0"/>
        <v>HSR Center</v>
      </c>
      <c r="D322" s="15" t="s">
        <v>387</v>
      </c>
      <c r="E322" s="15" t="str">
        <f t="shared" si="1"/>
        <v>RADM CEN Grocery RKA+Monetka,Krasnoe i beloe, Kiro</v>
      </c>
      <c r="F322" s="15" t="s">
        <v>412</v>
      </c>
      <c r="G322" s="15"/>
      <c r="H322" s="15" t="s">
        <v>424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56</v>
      </c>
      <c r="B323" s="15" t="s">
        <v>386</v>
      </c>
      <c r="C323" s="15" t="str">
        <f t="shared" si="0"/>
        <v>HSR Center</v>
      </c>
      <c r="D323" s="15" t="s">
        <v>387</v>
      </c>
      <c r="E323" s="15" t="str">
        <f t="shared" si="1"/>
        <v>RADM CEN Grocery RKA+Monetka,Krasnoe i beloe, Kiro</v>
      </c>
      <c r="F323" s="15" t="s">
        <v>412</v>
      </c>
      <c r="G323" s="15"/>
      <c r="H323" s="15" t="s">
        <v>426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90</v>
      </c>
      <c r="B324" s="15" t="s">
        <v>386</v>
      </c>
      <c r="C324" s="15" t="str">
        <f t="shared" si="0"/>
        <v>HSR Center</v>
      </c>
      <c r="D324" s="15" t="s">
        <v>387</v>
      </c>
      <c r="E324" s="15" t="str">
        <f t="shared" si="1"/>
        <v>RADM CEN Grocery RKA+Monetka,Krasnoe i beloe, Kiro</v>
      </c>
      <c r="F324" s="15" t="s">
        <v>412</v>
      </c>
      <c r="G324" s="15"/>
      <c r="H324" s="15" t="s">
        <v>424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20</v>
      </c>
      <c r="B325" s="15" t="s">
        <v>386</v>
      </c>
      <c r="C325" s="15" t="str">
        <f t="shared" ref="C325:C388" si="2">B325</f>
        <v>HSR Center</v>
      </c>
      <c r="D325" s="15" t="s">
        <v>387</v>
      </c>
      <c r="E325" s="15" t="str">
        <f t="shared" ref="E325:E388" si="3">D325</f>
        <v>RADM CEN Grocery RKA+Monetka,Krasnoe i beloe, Kiro</v>
      </c>
      <c r="F325" s="15" t="s">
        <v>412</v>
      </c>
      <c r="G325" s="15"/>
      <c r="H325" s="15" t="s">
        <v>389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427</v>
      </c>
      <c r="B326" s="15" t="s">
        <v>386</v>
      </c>
      <c r="C326" s="15" t="str">
        <f t="shared" si="2"/>
        <v>HSR Center</v>
      </c>
      <c r="D326" s="15" t="s">
        <v>387</v>
      </c>
      <c r="E326" s="15" t="str">
        <f t="shared" si="3"/>
        <v>RADM CEN Grocery RKA+Monetka,Krasnoe i beloe, Kiro</v>
      </c>
      <c r="F326" s="15" t="s">
        <v>412</v>
      </c>
      <c r="G326" s="15"/>
      <c r="H326" s="15" t="s">
        <v>421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37</v>
      </c>
      <c r="B327" s="15" t="s">
        <v>386</v>
      </c>
      <c r="C327" s="15" t="str">
        <f t="shared" si="2"/>
        <v>HSR Center</v>
      </c>
      <c r="D327" s="15" t="s">
        <v>387</v>
      </c>
      <c r="E327" s="15" t="str">
        <f t="shared" si="3"/>
        <v>RADM CEN Grocery RKA+Monetka,Krasnoe i beloe, Kiro</v>
      </c>
      <c r="F327" s="15" t="s">
        <v>412</v>
      </c>
      <c r="G327" s="15"/>
      <c r="H327" s="15" t="s">
        <v>351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344</v>
      </c>
      <c r="B328" s="15" t="s">
        <v>386</v>
      </c>
      <c r="C328" s="15" t="str">
        <f t="shared" si="2"/>
        <v>HSR Center</v>
      </c>
      <c r="D328" s="15" t="s">
        <v>387</v>
      </c>
      <c r="E328" s="15" t="str">
        <f t="shared" si="3"/>
        <v>RADM CEN Grocery RKA+Monetka,Krasnoe i beloe, Kiro</v>
      </c>
      <c r="F328" s="15" t="s">
        <v>412</v>
      </c>
      <c r="G328" s="15"/>
      <c r="H328" s="15" t="s">
        <v>428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25</v>
      </c>
      <c r="B329" s="15" t="s">
        <v>386</v>
      </c>
      <c r="C329" s="15" t="str">
        <f t="shared" si="2"/>
        <v>HSR Center</v>
      </c>
      <c r="D329" s="15" t="s">
        <v>387</v>
      </c>
      <c r="E329" s="15" t="str">
        <f t="shared" si="3"/>
        <v>RADM CEN Grocery RKA+Monetka,Krasnoe i beloe, Kiro</v>
      </c>
      <c r="F329" s="15" t="s">
        <v>412</v>
      </c>
      <c r="G329" s="15"/>
      <c r="H329" s="15" t="s">
        <v>389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42</v>
      </c>
      <c r="B330" s="15" t="s">
        <v>386</v>
      </c>
      <c r="C330" s="15" t="str">
        <f t="shared" si="2"/>
        <v>HSR Center</v>
      </c>
      <c r="D330" s="15" t="s">
        <v>387</v>
      </c>
      <c r="E330" s="15" t="str">
        <f t="shared" si="3"/>
        <v>RADM CEN Grocery RKA+Monetka,Krasnoe i beloe, Kiro</v>
      </c>
      <c r="F330" s="15" t="s">
        <v>412</v>
      </c>
      <c r="G330" s="15"/>
      <c r="H330" s="15" t="s">
        <v>429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54</v>
      </c>
      <c r="B331" s="15" t="s">
        <v>386</v>
      </c>
      <c r="C331" s="15" t="str">
        <f t="shared" si="2"/>
        <v>HSR Center</v>
      </c>
      <c r="D331" s="15" t="s">
        <v>387</v>
      </c>
      <c r="E331" s="15" t="str">
        <f t="shared" si="3"/>
        <v>RADM CEN Grocery RKA+Monetka,Krasnoe i beloe, Kiro</v>
      </c>
      <c r="F331" s="15" t="s">
        <v>412</v>
      </c>
      <c r="G331" s="15"/>
      <c r="H331" s="15" t="s">
        <v>426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173</v>
      </c>
      <c r="B332" s="15" t="s">
        <v>386</v>
      </c>
      <c r="C332" s="15" t="str">
        <f t="shared" si="2"/>
        <v>HSR Center</v>
      </c>
      <c r="D332" s="15" t="s">
        <v>387</v>
      </c>
      <c r="E332" s="15" t="str">
        <f t="shared" si="3"/>
        <v>RADM CEN Grocery RKA+Monetka,Krasnoe i beloe, Kiro</v>
      </c>
      <c r="F332" s="15" t="s">
        <v>412</v>
      </c>
      <c r="G332" s="15"/>
      <c r="H332" s="15" t="s">
        <v>419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173</v>
      </c>
      <c r="B333" s="15" t="s">
        <v>386</v>
      </c>
      <c r="C333" s="15" t="str">
        <f t="shared" si="2"/>
        <v>HSR Center</v>
      </c>
      <c r="D333" s="15" t="s">
        <v>387</v>
      </c>
      <c r="E333" s="15" t="str">
        <f t="shared" si="3"/>
        <v>RADM CEN Grocery RKA+Monetka,Krasnoe i beloe, Kiro</v>
      </c>
      <c r="F333" s="15" t="s">
        <v>412</v>
      </c>
      <c r="G333" s="15"/>
      <c r="H333" s="15" t="s">
        <v>389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180</v>
      </c>
      <c r="B334" s="15" t="s">
        <v>386</v>
      </c>
      <c r="C334" s="15" t="str">
        <f t="shared" si="2"/>
        <v>HSR Center</v>
      </c>
      <c r="D334" s="15" t="s">
        <v>387</v>
      </c>
      <c r="E334" s="15" t="str">
        <f t="shared" si="3"/>
        <v>RADM CEN Grocery RKA+Monetka,Krasnoe i beloe, Kiro</v>
      </c>
      <c r="F334" s="15" t="s">
        <v>412</v>
      </c>
      <c r="G334" s="15"/>
      <c r="H334" s="15" t="s">
        <v>419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111</v>
      </c>
      <c r="B335" s="15" t="s">
        <v>386</v>
      </c>
      <c r="C335" s="15" t="str">
        <f t="shared" si="2"/>
        <v>HSR Center</v>
      </c>
      <c r="D335" s="15" t="s">
        <v>387</v>
      </c>
      <c r="E335" s="15" t="str">
        <f t="shared" si="3"/>
        <v>RADM CEN Grocery RKA+Monetka,Krasnoe i beloe, Kiro</v>
      </c>
      <c r="F335" s="15" t="s">
        <v>412</v>
      </c>
      <c r="G335" s="15"/>
      <c r="H335" s="15" t="s">
        <v>360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345</v>
      </c>
      <c r="B336" s="15" t="s">
        <v>386</v>
      </c>
      <c r="C336" s="15" t="str">
        <f t="shared" si="2"/>
        <v>HSR Center</v>
      </c>
      <c r="D336" s="15" t="s">
        <v>387</v>
      </c>
      <c r="E336" s="15" t="str">
        <f t="shared" si="3"/>
        <v>RADM CEN Grocery RKA+Monetka,Krasnoe i beloe, Kiro</v>
      </c>
      <c r="F336" s="15" t="s">
        <v>412</v>
      </c>
      <c r="G336" s="15"/>
      <c r="H336" s="15" t="s">
        <v>351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150</v>
      </c>
      <c r="B337" s="15" t="s">
        <v>386</v>
      </c>
      <c r="C337" s="15" t="str">
        <f t="shared" si="2"/>
        <v>HSR Center</v>
      </c>
      <c r="D337" s="15" t="s">
        <v>387</v>
      </c>
      <c r="E337" s="15" t="str">
        <f t="shared" si="3"/>
        <v>RADM CEN Grocery RKA+Monetka,Krasnoe i beloe, Kiro</v>
      </c>
      <c r="F337" s="15" t="s">
        <v>412</v>
      </c>
      <c r="G337" s="15"/>
      <c r="H337" s="15" t="s">
        <v>389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333</v>
      </c>
      <c r="B338" s="15" t="s">
        <v>386</v>
      </c>
      <c r="C338" s="15" t="str">
        <f t="shared" si="2"/>
        <v>HSR Center</v>
      </c>
      <c r="D338" s="15" t="s">
        <v>387</v>
      </c>
      <c r="E338" s="15" t="str">
        <f t="shared" si="3"/>
        <v>RADM CEN Grocery RKA+Monetka,Krasnoe i beloe, Kiro</v>
      </c>
      <c r="F338" s="15" t="s">
        <v>412</v>
      </c>
      <c r="G338" s="15"/>
      <c r="H338" s="15" t="s">
        <v>389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35</v>
      </c>
      <c r="B339" s="15" t="s">
        <v>386</v>
      </c>
      <c r="C339" s="15" t="str">
        <f t="shared" si="2"/>
        <v>HSR Center</v>
      </c>
      <c r="D339" s="15" t="s">
        <v>387</v>
      </c>
      <c r="E339" s="15" t="str">
        <f t="shared" si="3"/>
        <v>RADM CEN Grocery RKA+Monetka,Krasnoe i beloe, Kiro</v>
      </c>
      <c r="F339" s="15" t="s">
        <v>412</v>
      </c>
      <c r="G339" s="15"/>
      <c r="H339" s="15" t="s">
        <v>351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36</v>
      </c>
      <c r="B340" s="15" t="s">
        <v>386</v>
      </c>
      <c r="C340" s="15" t="str">
        <f t="shared" si="2"/>
        <v>HSR Center</v>
      </c>
      <c r="D340" s="15" t="s">
        <v>387</v>
      </c>
      <c r="E340" s="15" t="str">
        <f t="shared" si="3"/>
        <v>RADM CEN Grocery RKA+Monetka,Krasnoe i beloe, Kiro</v>
      </c>
      <c r="F340" s="15" t="s">
        <v>412</v>
      </c>
      <c r="G340" s="15"/>
      <c r="H340" s="15" t="s">
        <v>351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127</v>
      </c>
      <c r="B341" s="15" t="s">
        <v>386</v>
      </c>
      <c r="C341" s="15" t="str">
        <f t="shared" si="2"/>
        <v>HSR Center</v>
      </c>
      <c r="D341" s="15" t="s">
        <v>387</v>
      </c>
      <c r="E341" s="15" t="str">
        <f t="shared" si="3"/>
        <v>RADM CEN Grocery RKA+Monetka,Krasnoe i beloe, Kiro</v>
      </c>
      <c r="F341" s="15" t="s">
        <v>412</v>
      </c>
      <c r="G341" s="15"/>
      <c r="H341" s="15" t="s">
        <v>355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127</v>
      </c>
      <c r="B342" s="15" t="s">
        <v>386</v>
      </c>
      <c r="C342" s="15" t="str">
        <f t="shared" si="2"/>
        <v>HSR Center</v>
      </c>
      <c r="D342" s="15" t="s">
        <v>387</v>
      </c>
      <c r="E342" s="15" t="str">
        <f t="shared" si="3"/>
        <v>RADM CEN Grocery RKA+Monetka,Krasnoe i beloe, Kiro</v>
      </c>
      <c r="F342" s="15" t="s">
        <v>412</v>
      </c>
      <c r="G342" s="15"/>
      <c r="H342" s="15" t="s">
        <v>389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123</v>
      </c>
      <c r="B343" s="15" t="s">
        <v>386</v>
      </c>
      <c r="C343" s="15" t="str">
        <f t="shared" si="2"/>
        <v>HSR Center</v>
      </c>
      <c r="D343" s="15" t="s">
        <v>387</v>
      </c>
      <c r="E343" s="15" t="str">
        <f t="shared" si="3"/>
        <v>RADM CEN Grocery RKA+Monetka,Krasnoe i beloe, Kiro</v>
      </c>
      <c r="F343" s="15" t="s">
        <v>412</v>
      </c>
      <c r="G343" s="15"/>
      <c r="H343" s="15" t="s">
        <v>430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108</v>
      </c>
      <c r="B344" s="15" t="s">
        <v>386</v>
      </c>
      <c r="C344" s="15" t="str">
        <f t="shared" si="2"/>
        <v>HSR Center</v>
      </c>
      <c r="D344" s="15" t="s">
        <v>387</v>
      </c>
      <c r="E344" s="15" t="str">
        <f t="shared" si="3"/>
        <v>RADM CEN Grocery RKA+Monetka,Krasnoe i beloe, Kiro</v>
      </c>
      <c r="F344" s="15" t="s">
        <v>412</v>
      </c>
      <c r="G344" s="15"/>
      <c r="H344" s="15" t="s">
        <v>389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145</v>
      </c>
      <c r="B345" s="15" t="s">
        <v>386</v>
      </c>
      <c r="C345" s="15" t="str">
        <f t="shared" si="2"/>
        <v>HSR Center</v>
      </c>
      <c r="D345" s="15" t="s">
        <v>387</v>
      </c>
      <c r="E345" s="15" t="str">
        <f t="shared" si="3"/>
        <v>RADM CEN Grocery RKA+Monetka,Krasnoe i beloe, Kiro</v>
      </c>
      <c r="F345" s="15" t="s">
        <v>412</v>
      </c>
      <c r="G345" s="15"/>
      <c r="H345" s="15" t="s">
        <v>389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152</v>
      </c>
      <c r="B346" s="15" t="s">
        <v>386</v>
      </c>
      <c r="C346" s="15" t="str">
        <f t="shared" si="2"/>
        <v>HSR Center</v>
      </c>
      <c r="D346" s="15" t="s">
        <v>387</v>
      </c>
      <c r="E346" s="15" t="str">
        <f t="shared" si="3"/>
        <v>RADM CEN Grocery RKA+Monetka,Krasnoe i beloe, Kiro</v>
      </c>
      <c r="F346" s="15" t="s">
        <v>412</v>
      </c>
      <c r="G346" s="15"/>
      <c r="H346" s="15" t="s">
        <v>389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102</v>
      </c>
      <c r="B347" s="15" t="s">
        <v>386</v>
      </c>
      <c r="C347" s="15" t="str">
        <f t="shared" si="2"/>
        <v>HSR Center</v>
      </c>
      <c r="D347" s="15" t="s">
        <v>387</v>
      </c>
      <c r="E347" s="15" t="str">
        <f t="shared" si="3"/>
        <v>RADM CEN Grocery RKA+Monetka,Krasnoe i beloe, Kiro</v>
      </c>
      <c r="F347" s="15" t="s">
        <v>412</v>
      </c>
      <c r="G347" s="15"/>
      <c r="H347" s="15" t="s">
        <v>360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431</v>
      </c>
      <c r="B348" s="15" t="s">
        <v>386</v>
      </c>
      <c r="C348" s="15" t="str">
        <f t="shared" si="2"/>
        <v>HSR Center</v>
      </c>
      <c r="D348" s="15" t="s">
        <v>387</v>
      </c>
      <c r="E348" s="15" t="str">
        <f t="shared" si="3"/>
        <v>RADM CEN Grocery RKA+Monetka,Krasnoe i beloe, Kiro</v>
      </c>
      <c r="F348" s="15" t="s">
        <v>412</v>
      </c>
      <c r="G348" s="15"/>
      <c r="H348" s="15" t="s">
        <v>421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38</v>
      </c>
      <c r="B349" s="15" t="s">
        <v>386</v>
      </c>
      <c r="C349" s="15" t="str">
        <f t="shared" si="2"/>
        <v>HSR Center</v>
      </c>
      <c r="D349" s="15" t="s">
        <v>387</v>
      </c>
      <c r="E349" s="15" t="str">
        <f t="shared" si="3"/>
        <v>RADM CEN Grocery RKA+Monetka,Krasnoe i beloe, Kiro</v>
      </c>
      <c r="F349" s="15" t="s">
        <v>412</v>
      </c>
      <c r="G349" s="15"/>
      <c r="H349" s="15" t="s">
        <v>351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156</v>
      </c>
      <c r="B350" s="15" t="s">
        <v>386</v>
      </c>
      <c r="C350" s="15" t="str">
        <f t="shared" si="2"/>
        <v>HSR Center</v>
      </c>
      <c r="D350" s="15" t="s">
        <v>387</v>
      </c>
      <c r="E350" s="15" t="str">
        <f t="shared" si="3"/>
        <v>RADM CEN Grocery RKA+Monetka,Krasnoe i beloe, Kiro</v>
      </c>
      <c r="F350" s="15" t="s">
        <v>412</v>
      </c>
      <c r="G350" s="15"/>
      <c r="H350" s="15" t="s">
        <v>354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18</v>
      </c>
      <c r="B351" s="15" t="s">
        <v>386</v>
      </c>
      <c r="C351" s="15" t="str">
        <f t="shared" si="2"/>
        <v>HSR Center</v>
      </c>
      <c r="D351" s="15" t="s">
        <v>387</v>
      </c>
      <c r="E351" s="15" t="str">
        <f t="shared" si="3"/>
        <v>RADM CEN Grocery RKA+Monetka,Krasnoe i beloe, Kiro</v>
      </c>
      <c r="F351" s="15" t="s">
        <v>412</v>
      </c>
      <c r="G351" s="15"/>
      <c r="H351" s="15" t="s">
        <v>389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105</v>
      </c>
      <c r="B352" s="15" t="s">
        <v>386</v>
      </c>
      <c r="C352" s="15" t="str">
        <f t="shared" si="2"/>
        <v>HSR Center</v>
      </c>
      <c r="D352" s="15" t="s">
        <v>387</v>
      </c>
      <c r="E352" s="15" t="str">
        <f t="shared" si="3"/>
        <v>RADM CEN Grocery RKA+Monetka,Krasnoe i beloe, Kiro</v>
      </c>
      <c r="F352" s="15" t="s">
        <v>412</v>
      </c>
      <c r="G352" s="15"/>
      <c r="H352" s="15" t="s">
        <v>389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346</v>
      </c>
      <c r="B353" s="15" t="s">
        <v>386</v>
      </c>
      <c r="C353" s="15" t="str">
        <f t="shared" si="2"/>
        <v>HSR Center</v>
      </c>
      <c r="D353" s="15" t="s">
        <v>387</v>
      </c>
      <c r="E353" s="15" t="str">
        <f t="shared" si="3"/>
        <v>RADM CEN Grocery RKA+Monetka,Krasnoe i beloe, Kiro</v>
      </c>
      <c r="F353" s="15" t="s">
        <v>412</v>
      </c>
      <c r="G353" s="15"/>
      <c r="H353" s="15" t="s">
        <v>351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154</v>
      </c>
      <c r="B354" s="15" t="s">
        <v>386</v>
      </c>
      <c r="C354" s="15" t="str">
        <f t="shared" si="2"/>
        <v>HSR Center</v>
      </c>
      <c r="D354" s="15" t="s">
        <v>387</v>
      </c>
      <c r="E354" s="15" t="str">
        <f t="shared" si="3"/>
        <v>RADM CEN Grocery RKA+Monetka,Krasnoe i beloe, Kiro</v>
      </c>
      <c r="F354" s="15" t="s">
        <v>412</v>
      </c>
      <c r="G354" s="15"/>
      <c r="H354" s="15" t="s">
        <v>389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65</v>
      </c>
      <c r="B355" s="15" t="s">
        <v>386</v>
      </c>
      <c r="C355" s="15" t="str">
        <f t="shared" si="2"/>
        <v>HSR Center</v>
      </c>
      <c r="D355" s="15" t="s">
        <v>387</v>
      </c>
      <c r="E355" s="15" t="str">
        <f t="shared" si="3"/>
        <v>RADM CEN Grocery RKA+Monetka,Krasnoe i beloe, Kiro</v>
      </c>
      <c r="F355" s="15" t="s">
        <v>412</v>
      </c>
      <c r="G355" s="15"/>
      <c r="H355" s="15" t="s">
        <v>421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432</v>
      </c>
      <c r="B356" s="15" t="s">
        <v>386</v>
      </c>
      <c r="C356" s="15" t="str">
        <f t="shared" si="2"/>
        <v>HSR Center</v>
      </c>
      <c r="D356" s="15" t="s">
        <v>387</v>
      </c>
      <c r="E356" s="15" t="str">
        <f t="shared" si="3"/>
        <v>RADM CEN Grocery RKA+Monetka,Krasnoe i beloe, Kiro</v>
      </c>
      <c r="F356" s="15" t="s">
        <v>412</v>
      </c>
      <c r="G356" s="15"/>
      <c r="H356" s="15" t="s">
        <v>419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160</v>
      </c>
      <c r="B357" s="15" t="s">
        <v>386</v>
      </c>
      <c r="C357" s="15" t="str">
        <f t="shared" si="2"/>
        <v>HSR Center</v>
      </c>
      <c r="D357" s="15" t="s">
        <v>387</v>
      </c>
      <c r="E357" s="15" t="str">
        <f t="shared" si="3"/>
        <v>RADM CEN Grocery RKA+Monetka,Krasnoe i beloe, Kiro</v>
      </c>
      <c r="F357" s="15" t="s">
        <v>412</v>
      </c>
      <c r="G357" s="15"/>
      <c r="H357" s="15" t="s">
        <v>389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151</v>
      </c>
      <c r="B358" s="15" t="s">
        <v>386</v>
      </c>
      <c r="C358" s="15" t="str">
        <f t="shared" si="2"/>
        <v>HSR Center</v>
      </c>
      <c r="D358" s="15" t="s">
        <v>387</v>
      </c>
      <c r="E358" s="15" t="str">
        <f t="shared" si="3"/>
        <v>RADM CEN Grocery RKA+Monetka,Krasnoe i beloe, Kiro</v>
      </c>
      <c r="F358" s="15" t="s">
        <v>412</v>
      </c>
      <c r="G358" s="15"/>
      <c r="H358" s="15" t="s">
        <v>389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93</v>
      </c>
      <c r="B359" s="15" t="s">
        <v>386</v>
      </c>
      <c r="C359" s="15" t="str">
        <f t="shared" si="2"/>
        <v>HSR Center</v>
      </c>
      <c r="D359" s="15" t="s">
        <v>387</v>
      </c>
      <c r="E359" s="15" t="str">
        <f t="shared" si="3"/>
        <v>RADM CEN Grocery RKA+Monetka,Krasnoe i beloe, Kiro</v>
      </c>
      <c r="F359" s="15" t="s">
        <v>412</v>
      </c>
      <c r="G359" s="15"/>
      <c r="H359" s="15" t="s">
        <v>389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55</v>
      </c>
      <c r="B360" s="15" t="s">
        <v>386</v>
      </c>
      <c r="C360" s="15" t="str">
        <f t="shared" si="2"/>
        <v>HSR Center</v>
      </c>
      <c r="D360" s="15" t="s">
        <v>387</v>
      </c>
      <c r="E360" s="15" t="str">
        <f t="shared" si="3"/>
        <v>RADM CEN Grocery RKA+Monetka,Krasnoe i beloe, Kiro</v>
      </c>
      <c r="F360" s="15" t="s">
        <v>412</v>
      </c>
      <c r="G360" s="15"/>
      <c r="H360" s="15" t="s">
        <v>426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133</v>
      </c>
      <c r="B361" s="15" t="s">
        <v>386</v>
      </c>
      <c r="C361" s="15" t="str">
        <f t="shared" si="2"/>
        <v>HSR Center</v>
      </c>
      <c r="D361" s="15" t="s">
        <v>387</v>
      </c>
      <c r="E361" s="15" t="str">
        <f t="shared" si="3"/>
        <v>RADM CEN Grocery RKA+Monetka,Krasnoe i beloe, Kiro</v>
      </c>
      <c r="F361" s="15" t="s">
        <v>412</v>
      </c>
      <c r="G361" s="15"/>
      <c r="H361" s="15" t="s">
        <v>428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17</v>
      </c>
      <c r="B362" s="15" t="s">
        <v>386</v>
      </c>
      <c r="C362" s="15" t="str">
        <f t="shared" si="2"/>
        <v>HSR Center</v>
      </c>
      <c r="D362" s="15" t="s">
        <v>387</v>
      </c>
      <c r="E362" s="15" t="str">
        <f t="shared" si="3"/>
        <v>RADM CEN Grocery RKA+Monetka,Krasnoe i beloe, Kiro</v>
      </c>
      <c r="F362" s="15" t="s">
        <v>412</v>
      </c>
      <c r="G362" s="15"/>
      <c r="H362" s="15" t="s">
        <v>389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120</v>
      </c>
      <c r="B363" s="15" t="s">
        <v>386</v>
      </c>
      <c r="C363" s="15" t="str">
        <f t="shared" si="2"/>
        <v>HSR Center</v>
      </c>
      <c r="D363" s="15" t="s">
        <v>387</v>
      </c>
      <c r="E363" s="15" t="str">
        <f t="shared" si="3"/>
        <v>RADM CEN Grocery RKA+Monetka,Krasnoe i beloe, Kiro</v>
      </c>
      <c r="F363" s="15" t="s">
        <v>412</v>
      </c>
      <c r="G363" s="15"/>
      <c r="H363" s="15" t="s">
        <v>360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385</v>
      </c>
      <c r="B364" s="15" t="s">
        <v>386</v>
      </c>
      <c r="C364" s="15" t="str">
        <f t="shared" si="2"/>
        <v>HSR Center</v>
      </c>
      <c r="D364" s="15" t="s">
        <v>387</v>
      </c>
      <c r="E364" s="15" t="str">
        <f t="shared" si="3"/>
        <v>RADM CEN Grocery RKA+Monetka,Krasnoe i beloe, Kiro</v>
      </c>
      <c r="F364" s="15" t="s">
        <v>412</v>
      </c>
      <c r="G364" s="15"/>
      <c r="H364" s="15" t="s">
        <v>389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103</v>
      </c>
      <c r="B365" s="15" t="s">
        <v>386</v>
      </c>
      <c r="C365" s="15" t="str">
        <f t="shared" si="2"/>
        <v>HSR Center</v>
      </c>
      <c r="D365" s="15" t="s">
        <v>387</v>
      </c>
      <c r="E365" s="15" t="str">
        <f t="shared" si="3"/>
        <v>RADM CEN Grocery RKA+Monetka,Krasnoe i beloe, Kiro</v>
      </c>
      <c r="F365" s="15" t="s">
        <v>412</v>
      </c>
      <c r="G365" s="15"/>
      <c r="H365" s="15" t="s">
        <v>360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336</v>
      </c>
      <c r="B366" s="15" t="s">
        <v>386</v>
      </c>
      <c r="C366" s="15" t="str">
        <f t="shared" si="2"/>
        <v>HSR Center</v>
      </c>
      <c r="D366" s="15" t="s">
        <v>387</v>
      </c>
      <c r="E366" s="15" t="str">
        <f t="shared" si="3"/>
        <v>RADM CEN Grocery RKA+Monetka,Krasnoe i beloe, Kiro</v>
      </c>
      <c r="F366" s="15" t="s">
        <v>412</v>
      </c>
      <c r="G366" s="15"/>
      <c r="H366" s="15" t="s">
        <v>389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417</v>
      </c>
      <c r="B367" s="15" t="s">
        <v>386</v>
      </c>
      <c r="C367" s="15" t="str">
        <f t="shared" si="2"/>
        <v>HSR Center</v>
      </c>
      <c r="D367" s="15" t="s">
        <v>387</v>
      </c>
      <c r="E367" s="15" t="str">
        <f t="shared" si="3"/>
        <v>RADM CEN Grocery RKA+Monetka,Krasnoe i beloe, Kiro</v>
      </c>
      <c r="F367" s="15" t="s">
        <v>412</v>
      </c>
      <c r="G367" s="15"/>
      <c r="H367" s="15" t="s">
        <v>360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51</v>
      </c>
      <c r="B368" s="15" t="s">
        <v>386</v>
      </c>
      <c r="C368" s="15" t="str">
        <f t="shared" si="2"/>
        <v>HSR Center</v>
      </c>
      <c r="D368" s="15" t="s">
        <v>387</v>
      </c>
      <c r="E368" s="15" t="str">
        <f t="shared" si="3"/>
        <v>RADM CEN Grocery RKA+Monetka,Krasnoe i beloe, Kiro</v>
      </c>
      <c r="F368" s="15" t="s">
        <v>412</v>
      </c>
      <c r="G368" s="15"/>
      <c r="H368" s="15" t="s">
        <v>426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595</v>
      </c>
      <c r="B369" s="15" t="s">
        <v>386</v>
      </c>
      <c r="C369" s="15" t="str">
        <f t="shared" si="2"/>
        <v>HSR Center</v>
      </c>
      <c r="D369" s="15" t="s">
        <v>387</v>
      </c>
      <c r="E369" s="15" t="str">
        <f t="shared" si="3"/>
        <v>RADM CEN Grocery RKA+Monetka,Krasnoe i beloe, Kiro</v>
      </c>
      <c r="F369" s="15" t="s">
        <v>398</v>
      </c>
      <c r="G369" s="15"/>
      <c r="H369" s="15" t="s">
        <v>389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595</v>
      </c>
      <c r="B370" s="15" t="s">
        <v>386</v>
      </c>
      <c r="C370" s="15" t="str">
        <f t="shared" si="2"/>
        <v>HSR Center</v>
      </c>
      <c r="D370" s="15" t="s">
        <v>387</v>
      </c>
      <c r="E370" s="15" t="str">
        <f t="shared" si="3"/>
        <v>RADM CEN Grocery RKA+Monetka,Krasnoe i beloe, Kiro</v>
      </c>
      <c r="F370" s="15" t="s">
        <v>398</v>
      </c>
      <c r="G370" s="15"/>
      <c r="H370" s="15" t="s">
        <v>389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174</v>
      </c>
      <c r="B371" s="15" t="s">
        <v>386</v>
      </c>
      <c r="C371" s="15" t="str">
        <f t="shared" si="2"/>
        <v>HSR Center</v>
      </c>
      <c r="D371" s="15" t="s">
        <v>387</v>
      </c>
      <c r="E371" s="15" t="str">
        <f t="shared" si="3"/>
        <v>RADM CEN Grocery RKA+Monetka,Krasnoe i beloe, Kiro</v>
      </c>
      <c r="F371" s="15" t="s">
        <v>398</v>
      </c>
      <c r="G371" s="15"/>
      <c r="H371" s="15" t="s">
        <v>389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166</v>
      </c>
      <c r="B372" s="15" t="s">
        <v>386</v>
      </c>
      <c r="C372" s="15" t="str">
        <f t="shared" si="2"/>
        <v>HSR Center</v>
      </c>
      <c r="D372" s="15" t="s">
        <v>387</v>
      </c>
      <c r="E372" s="15" t="str">
        <f t="shared" si="3"/>
        <v>RADM CEN Grocery RKA+Monetka,Krasnoe i beloe, Kiro</v>
      </c>
      <c r="F372" s="15" t="s">
        <v>398</v>
      </c>
      <c r="G372" s="15"/>
      <c r="H372" s="15" t="s">
        <v>389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353</v>
      </c>
      <c r="B373" s="15" t="s">
        <v>386</v>
      </c>
      <c r="C373" s="15" t="str">
        <f t="shared" si="2"/>
        <v>HSR Center</v>
      </c>
      <c r="D373" s="15" t="s">
        <v>387</v>
      </c>
      <c r="E373" s="15" t="str">
        <f t="shared" si="3"/>
        <v>RADM CEN Grocery RKA+Monetka,Krasnoe i beloe, Kiro</v>
      </c>
      <c r="F373" s="15" t="s">
        <v>398</v>
      </c>
      <c r="G373" s="15"/>
      <c r="H373" s="15" t="s">
        <v>389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341</v>
      </c>
      <c r="B374" s="15" t="s">
        <v>386</v>
      </c>
      <c r="C374" s="15" t="str">
        <f t="shared" si="2"/>
        <v>HSR Center</v>
      </c>
      <c r="D374" s="15" t="s">
        <v>387</v>
      </c>
      <c r="E374" s="15" t="str">
        <f t="shared" si="3"/>
        <v>RADM CEN Grocery RKA+Monetka,Krasnoe i beloe, Kiro</v>
      </c>
      <c r="F374" s="15" t="s">
        <v>398</v>
      </c>
      <c r="G374" s="15"/>
      <c r="H374" s="15" t="s">
        <v>389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141</v>
      </c>
      <c r="B375" s="15" t="s">
        <v>386</v>
      </c>
      <c r="C375" s="15" t="str">
        <f t="shared" si="2"/>
        <v>HSR Center</v>
      </c>
      <c r="D375" s="15" t="s">
        <v>387</v>
      </c>
      <c r="E375" s="15" t="str">
        <f t="shared" si="3"/>
        <v>RADM CEN Grocery RKA+Monetka,Krasnoe i beloe, Kiro</v>
      </c>
      <c r="F375" s="15" t="s">
        <v>398</v>
      </c>
      <c r="G375" s="15"/>
      <c r="H375" s="15" t="s">
        <v>389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22</v>
      </c>
      <c r="B376" s="15" t="s">
        <v>386</v>
      </c>
      <c r="C376" s="15" t="str">
        <f t="shared" si="2"/>
        <v>HSR Center</v>
      </c>
      <c r="D376" s="15" t="s">
        <v>387</v>
      </c>
      <c r="E376" s="15" t="str">
        <f t="shared" si="3"/>
        <v>RADM CEN Grocery RKA+Monetka,Krasnoe i beloe, Kiro</v>
      </c>
      <c r="F376" s="15" t="s">
        <v>398</v>
      </c>
      <c r="G376" s="15"/>
      <c r="H376" s="15" t="s">
        <v>389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155</v>
      </c>
      <c r="B377" s="15" t="s">
        <v>386</v>
      </c>
      <c r="C377" s="15" t="str">
        <f t="shared" si="2"/>
        <v>HSR Center</v>
      </c>
      <c r="D377" s="15" t="s">
        <v>387</v>
      </c>
      <c r="E377" s="15" t="str">
        <f t="shared" si="3"/>
        <v>RADM CEN Grocery RKA+Monetka,Krasnoe i beloe, Kiro</v>
      </c>
      <c r="F377" s="15" t="s">
        <v>398</v>
      </c>
      <c r="G377" s="15"/>
      <c r="H377" s="15" t="s">
        <v>389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148</v>
      </c>
      <c r="B378" s="15" t="s">
        <v>386</v>
      </c>
      <c r="C378" s="15" t="str">
        <f t="shared" si="2"/>
        <v>HSR Center</v>
      </c>
      <c r="D378" s="15" t="s">
        <v>387</v>
      </c>
      <c r="E378" s="15" t="str">
        <f t="shared" si="3"/>
        <v>RADM CEN Grocery RKA+Monetka,Krasnoe i beloe, Kiro</v>
      </c>
      <c r="F378" s="15" t="s">
        <v>398</v>
      </c>
      <c r="G378" s="15"/>
      <c r="H378" s="15" t="s">
        <v>389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434</v>
      </c>
      <c r="B379" s="15" t="s">
        <v>386</v>
      </c>
      <c r="C379" s="15" t="str">
        <f t="shared" si="2"/>
        <v>HSR Center</v>
      </c>
      <c r="D379" s="15" t="s">
        <v>387</v>
      </c>
      <c r="E379" s="15" t="str">
        <f t="shared" si="3"/>
        <v>RADM CEN Grocery RKA+Monetka,Krasnoe i beloe, Kiro</v>
      </c>
      <c r="F379" s="15" t="s">
        <v>398</v>
      </c>
      <c r="G379" s="15"/>
      <c r="H379" s="15" t="s">
        <v>389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20</v>
      </c>
      <c r="B380" s="15" t="s">
        <v>386</v>
      </c>
      <c r="C380" s="15" t="str">
        <f t="shared" si="2"/>
        <v>HSR Center</v>
      </c>
      <c r="D380" s="15" t="s">
        <v>387</v>
      </c>
      <c r="E380" s="15" t="str">
        <f t="shared" si="3"/>
        <v>RADM CEN Grocery RKA+Monetka,Krasnoe i beloe, Kiro</v>
      </c>
      <c r="F380" s="15" t="s">
        <v>398</v>
      </c>
      <c r="G380" s="15"/>
      <c r="H380" s="15" t="s">
        <v>389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25</v>
      </c>
      <c r="B381" s="15" t="s">
        <v>386</v>
      </c>
      <c r="C381" s="15" t="str">
        <f t="shared" si="2"/>
        <v>HSR Center</v>
      </c>
      <c r="D381" s="15" t="s">
        <v>387</v>
      </c>
      <c r="E381" s="15" t="str">
        <f t="shared" si="3"/>
        <v>RADM CEN Grocery RKA+Monetka,Krasnoe i beloe, Kiro</v>
      </c>
      <c r="F381" s="15" t="s">
        <v>398</v>
      </c>
      <c r="G381" s="15"/>
      <c r="H381" s="15" t="s">
        <v>389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173</v>
      </c>
      <c r="B382" s="15" t="s">
        <v>386</v>
      </c>
      <c r="C382" s="15" t="str">
        <f t="shared" si="2"/>
        <v>HSR Center</v>
      </c>
      <c r="D382" s="15" t="s">
        <v>387</v>
      </c>
      <c r="E382" s="15" t="str">
        <f t="shared" si="3"/>
        <v>RADM CEN Grocery RKA+Monetka,Krasnoe i beloe, Kiro</v>
      </c>
      <c r="F382" s="15" t="s">
        <v>398</v>
      </c>
      <c r="G382" s="15"/>
      <c r="H382" s="15" t="s">
        <v>389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180</v>
      </c>
      <c r="B383" s="15" t="s">
        <v>386</v>
      </c>
      <c r="C383" s="15" t="str">
        <f t="shared" si="2"/>
        <v>HSR Center</v>
      </c>
      <c r="D383" s="15" t="s">
        <v>387</v>
      </c>
      <c r="E383" s="15" t="str">
        <f t="shared" si="3"/>
        <v>RADM CEN Grocery RKA+Monetka,Krasnoe i beloe, Kiro</v>
      </c>
      <c r="F383" s="15" t="s">
        <v>398</v>
      </c>
      <c r="G383" s="15"/>
      <c r="H383" s="15" t="s">
        <v>389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146</v>
      </c>
      <c r="B384" s="15" t="s">
        <v>386</v>
      </c>
      <c r="C384" s="15" t="str">
        <f t="shared" si="2"/>
        <v>HSR Center</v>
      </c>
      <c r="D384" s="15" t="s">
        <v>387</v>
      </c>
      <c r="E384" s="15" t="str">
        <f t="shared" si="3"/>
        <v>RADM CEN Grocery RKA+Monetka,Krasnoe i beloe, Kiro</v>
      </c>
      <c r="F384" s="15" t="s">
        <v>398</v>
      </c>
      <c r="G384" s="15"/>
      <c r="H384" s="15" t="s">
        <v>389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150</v>
      </c>
      <c r="B385" s="15" t="s">
        <v>386</v>
      </c>
      <c r="C385" s="15" t="str">
        <f t="shared" si="2"/>
        <v>HSR Center</v>
      </c>
      <c r="D385" s="15" t="s">
        <v>387</v>
      </c>
      <c r="E385" s="15" t="str">
        <f t="shared" si="3"/>
        <v>RADM CEN Grocery RKA+Monetka,Krasnoe i beloe, Kiro</v>
      </c>
      <c r="F385" s="15" t="s">
        <v>398</v>
      </c>
      <c r="G385" s="15"/>
      <c r="H385" s="15" t="s">
        <v>389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350</v>
      </c>
      <c r="B386" s="15" t="s">
        <v>386</v>
      </c>
      <c r="C386" s="15" t="str">
        <f t="shared" si="2"/>
        <v>HSR Center</v>
      </c>
      <c r="D386" s="15" t="s">
        <v>387</v>
      </c>
      <c r="E386" s="15" t="str">
        <f t="shared" si="3"/>
        <v>RADM CEN Grocery RKA+Monetka,Krasnoe i beloe, Kiro</v>
      </c>
      <c r="F386" s="15" t="s">
        <v>398</v>
      </c>
      <c r="G386" s="15"/>
      <c r="H386" s="15" t="s">
        <v>389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27</v>
      </c>
      <c r="B387" s="15" t="s">
        <v>386</v>
      </c>
      <c r="C387" s="15" t="str">
        <f t="shared" si="2"/>
        <v>HSR Center</v>
      </c>
      <c r="D387" s="15" t="s">
        <v>387</v>
      </c>
      <c r="E387" s="15" t="str">
        <f t="shared" si="3"/>
        <v>RADM CEN Grocery RKA+Monetka,Krasnoe i beloe, Kiro</v>
      </c>
      <c r="F387" s="15" t="s">
        <v>398</v>
      </c>
      <c r="G387" s="15"/>
      <c r="H387" s="15" t="s">
        <v>389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7</v>
      </c>
      <c r="B388" s="15" t="s">
        <v>386</v>
      </c>
      <c r="C388" s="15" t="str">
        <f t="shared" si="2"/>
        <v>HSR Center</v>
      </c>
      <c r="D388" s="15" t="s">
        <v>387</v>
      </c>
      <c r="E388" s="15" t="str">
        <f t="shared" si="3"/>
        <v>RADM CEN Grocery RKA+Monetka,Krasnoe i beloe, Kiro</v>
      </c>
      <c r="F388" s="15" t="s">
        <v>398</v>
      </c>
      <c r="G388" s="15"/>
      <c r="H388" s="15" t="s">
        <v>389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333</v>
      </c>
      <c r="B389" s="15" t="s">
        <v>386</v>
      </c>
      <c r="C389" s="15" t="str">
        <f t="shared" ref="C389:C452" si="4">B389</f>
        <v>HSR Center</v>
      </c>
      <c r="D389" s="15" t="s">
        <v>387</v>
      </c>
      <c r="E389" s="15" t="str">
        <f t="shared" ref="E389:E452" si="5">D389</f>
        <v>RADM CEN Grocery RKA+Monetka,Krasnoe i beloe, Kiro</v>
      </c>
      <c r="F389" s="15" t="s">
        <v>398</v>
      </c>
      <c r="G389" s="15"/>
      <c r="H389" s="15" t="s">
        <v>389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21</v>
      </c>
      <c r="B390" s="15" t="s">
        <v>386</v>
      </c>
      <c r="C390" s="15" t="str">
        <f t="shared" si="4"/>
        <v>HSR Center</v>
      </c>
      <c r="D390" s="15" t="s">
        <v>387</v>
      </c>
      <c r="E390" s="15" t="str">
        <f t="shared" si="5"/>
        <v>RADM CEN Grocery RKA+Monetka,Krasnoe i beloe, Kiro</v>
      </c>
      <c r="F390" s="15" t="s">
        <v>398</v>
      </c>
      <c r="G390" s="15"/>
      <c r="H390" s="15" t="s">
        <v>389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108</v>
      </c>
      <c r="B391" s="15" t="s">
        <v>386</v>
      </c>
      <c r="C391" s="15" t="str">
        <f t="shared" si="4"/>
        <v>HSR Center</v>
      </c>
      <c r="D391" s="15" t="s">
        <v>387</v>
      </c>
      <c r="E391" s="15" t="str">
        <f t="shared" si="5"/>
        <v>RADM CEN Grocery RKA+Monetka,Krasnoe i beloe, Kiro</v>
      </c>
      <c r="F391" s="15" t="s">
        <v>398</v>
      </c>
      <c r="G391" s="15"/>
      <c r="H391" s="15" t="s">
        <v>389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145</v>
      </c>
      <c r="B392" s="15" t="s">
        <v>386</v>
      </c>
      <c r="C392" s="15" t="str">
        <f t="shared" si="4"/>
        <v>HSR Center</v>
      </c>
      <c r="D392" s="15" t="s">
        <v>387</v>
      </c>
      <c r="E392" s="15" t="str">
        <f t="shared" si="5"/>
        <v>RADM CEN Grocery RKA+Monetka,Krasnoe i beloe, Kiro</v>
      </c>
      <c r="F392" s="15" t="s">
        <v>398</v>
      </c>
      <c r="G392" s="15"/>
      <c r="H392" s="15" t="s">
        <v>389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152</v>
      </c>
      <c r="B393" s="15" t="s">
        <v>386</v>
      </c>
      <c r="C393" s="15" t="str">
        <f t="shared" si="4"/>
        <v>HSR Center</v>
      </c>
      <c r="D393" s="15" t="s">
        <v>387</v>
      </c>
      <c r="E393" s="15" t="str">
        <f t="shared" si="5"/>
        <v>RADM CEN Grocery RKA+Monetka,Krasnoe i beloe, Kiro</v>
      </c>
      <c r="F393" s="15" t="s">
        <v>398</v>
      </c>
      <c r="G393" s="15"/>
      <c r="H393" s="15" t="s">
        <v>389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152</v>
      </c>
      <c r="B394" s="15" t="s">
        <v>386</v>
      </c>
      <c r="C394" s="15" t="str">
        <f t="shared" si="4"/>
        <v>HSR Center</v>
      </c>
      <c r="D394" s="15" t="s">
        <v>387</v>
      </c>
      <c r="E394" s="15" t="str">
        <f t="shared" si="5"/>
        <v>RADM CEN Grocery RKA+Monetka,Krasnoe i beloe, Kiro</v>
      </c>
      <c r="F394" s="15" t="s">
        <v>398</v>
      </c>
      <c r="G394" s="15"/>
      <c r="H394" s="15" t="s">
        <v>389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102</v>
      </c>
      <c r="B395" s="15" t="s">
        <v>386</v>
      </c>
      <c r="C395" s="15" t="str">
        <f t="shared" si="4"/>
        <v>HSR Center</v>
      </c>
      <c r="D395" s="15" t="s">
        <v>387</v>
      </c>
      <c r="E395" s="15" t="str">
        <f t="shared" si="5"/>
        <v>RADM CEN Grocery RKA+Monetka,Krasnoe i beloe, Kiro</v>
      </c>
      <c r="F395" s="15" t="s">
        <v>398</v>
      </c>
      <c r="G395" s="15"/>
      <c r="H395" s="15" t="s">
        <v>389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156</v>
      </c>
      <c r="B396" s="15" t="s">
        <v>386</v>
      </c>
      <c r="C396" s="15" t="str">
        <f t="shared" si="4"/>
        <v>HSR Center</v>
      </c>
      <c r="D396" s="15" t="s">
        <v>387</v>
      </c>
      <c r="E396" s="15" t="str">
        <f t="shared" si="5"/>
        <v>RADM CEN Grocery RKA+Monetka,Krasnoe i beloe, Kiro</v>
      </c>
      <c r="F396" s="15" t="s">
        <v>398</v>
      </c>
      <c r="G396" s="15"/>
      <c r="H396" s="15" t="s">
        <v>389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18</v>
      </c>
      <c r="B397" s="15" t="s">
        <v>386</v>
      </c>
      <c r="C397" s="15" t="str">
        <f t="shared" si="4"/>
        <v>HSR Center</v>
      </c>
      <c r="D397" s="15" t="s">
        <v>387</v>
      </c>
      <c r="E397" s="15" t="str">
        <f t="shared" si="5"/>
        <v>RADM CEN Grocery RKA+Monetka,Krasnoe i beloe, Kiro</v>
      </c>
      <c r="F397" s="15" t="s">
        <v>398</v>
      </c>
      <c r="G397" s="15"/>
      <c r="H397" s="15" t="s">
        <v>389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105</v>
      </c>
      <c r="B398" s="15" t="s">
        <v>386</v>
      </c>
      <c r="C398" s="15" t="str">
        <f t="shared" si="4"/>
        <v>HSR Center</v>
      </c>
      <c r="D398" s="15" t="s">
        <v>387</v>
      </c>
      <c r="E398" s="15" t="str">
        <f t="shared" si="5"/>
        <v>RADM CEN Grocery RKA+Monetka,Krasnoe i beloe, Kiro</v>
      </c>
      <c r="F398" s="15" t="s">
        <v>398</v>
      </c>
      <c r="G398" s="15"/>
      <c r="H398" s="15" t="s">
        <v>389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154</v>
      </c>
      <c r="B399" s="15" t="s">
        <v>386</v>
      </c>
      <c r="C399" s="15" t="str">
        <f t="shared" si="4"/>
        <v>HSR Center</v>
      </c>
      <c r="D399" s="15" t="s">
        <v>387</v>
      </c>
      <c r="E399" s="15" t="str">
        <f t="shared" si="5"/>
        <v>RADM CEN Grocery RKA+Monetka,Krasnoe i beloe, Kiro</v>
      </c>
      <c r="F399" s="15" t="s">
        <v>398</v>
      </c>
      <c r="G399" s="15"/>
      <c r="H399" s="15" t="s">
        <v>389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432</v>
      </c>
      <c r="B400" s="15" t="s">
        <v>386</v>
      </c>
      <c r="C400" s="15" t="str">
        <f t="shared" si="4"/>
        <v>HSR Center</v>
      </c>
      <c r="D400" s="15" t="s">
        <v>387</v>
      </c>
      <c r="E400" s="15" t="str">
        <f t="shared" si="5"/>
        <v>RADM CEN Grocery RKA+Monetka,Krasnoe i beloe, Kiro</v>
      </c>
      <c r="F400" s="15" t="s">
        <v>398</v>
      </c>
      <c r="G400" s="15"/>
      <c r="H400" s="15" t="s">
        <v>389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160</v>
      </c>
      <c r="B401" s="15" t="s">
        <v>386</v>
      </c>
      <c r="C401" s="15" t="str">
        <f t="shared" si="4"/>
        <v>HSR Center</v>
      </c>
      <c r="D401" s="15" t="s">
        <v>387</v>
      </c>
      <c r="E401" s="15" t="str">
        <f t="shared" si="5"/>
        <v>RADM CEN Grocery RKA+Monetka,Krasnoe i beloe, Kiro</v>
      </c>
      <c r="F401" s="15" t="s">
        <v>398</v>
      </c>
      <c r="G401" s="15"/>
      <c r="H401" s="15" t="s">
        <v>389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151</v>
      </c>
      <c r="B402" s="15" t="s">
        <v>386</v>
      </c>
      <c r="C402" s="15" t="str">
        <f t="shared" si="4"/>
        <v>HSR Center</v>
      </c>
      <c r="D402" s="15" t="s">
        <v>387</v>
      </c>
      <c r="E402" s="15" t="str">
        <f t="shared" si="5"/>
        <v>RADM CEN Grocery RKA+Monetka,Krasnoe i beloe, Kiro</v>
      </c>
      <c r="F402" s="15" t="s">
        <v>398</v>
      </c>
      <c r="G402" s="15"/>
      <c r="H402" s="15" t="s">
        <v>389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93</v>
      </c>
      <c r="B403" s="15" t="s">
        <v>386</v>
      </c>
      <c r="C403" s="15" t="str">
        <f t="shared" si="4"/>
        <v>HSR Center</v>
      </c>
      <c r="D403" s="15" t="s">
        <v>387</v>
      </c>
      <c r="E403" s="15" t="str">
        <f t="shared" si="5"/>
        <v>RADM CEN Grocery RKA+Monetka,Krasnoe i beloe, Kiro</v>
      </c>
      <c r="F403" s="15" t="s">
        <v>398</v>
      </c>
      <c r="G403" s="15"/>
      <c r="H403" s="15" t="s">
        <v>389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17</v>
      </c>
      <c r="B404" s="15" t="s">
        <v>386</v>
      </c>
      <c r="C404" s="15" t="str">
        <f t="shared" si="4"/>
        <v>HSR Center</v>
      </c>
      <c r="D404" s="15" t="s">
        <v>387</v>
      </c>
      <c r="E404" s="15" t="str">
        <f t="shared" si="5"/>
        <v>RADM CEN Grocery RKA+Monetka,Krasnoe i beloe, Kiro</v>
      </c>
      <c r="F404" s="15" t="s">
        <v>398</v>
      </c>
      <c r="G404" s="15"/>
      <c r="H404" s="15" t="s">
        <v>389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435</v>
      </c>
      <c r="B405" s="15" t="s">
        <v>386</v>
      </c>
      <c r="C405" s="15" t="str">
        <f t="shared" si="4"/>
        <v>HSR Center</v>
      </c>
      <c r="D405" s="15" t="s">
        <v>387</v>
      </c>
      <c r="E405" s="15" t="str">
        <f t="shared" si="5"/>
        <v>RADM CEN Grocery RKA+Monetka,Krasnoe i beloe, Kiro</v>
      </c>
      <c r="F405" s="15" t="s">
        <v>398</v>
      </c>
      <c r="G405" s="15"/>
      <c r="H405" s="15" t="s">
        <v>389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336</v>
      </c>
      <c r="B406" s="15" t="s">
        <v>386</v>
      </c>
      <c r="C406" s="15" t="str">
        <f t="shared" si="4"/>
        <v>HSR Center</v>
      </c>
      <c r="D406" s="15" t="s">
        <v>387</v>
      </c>
      <c r="E406" s="15" t="str">
        <f t="shared" si="5"/>
        <v>RADM CEN Grocery RKA+Monetka,Krasnoe i beloe, Kiro</v>
      </c>
      <c r="F406" s="15" t="s">
        <v>398</v>
      </c>
      <c r="G406" s="15"/>
      <c r="H406" s="15" t="s">
        <v>389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420</v>
      </c>
      <c r="B407" s="15" t="s">
        <v>386</v>
      </c>
      <c r="C407" s="15" t="str">
        <f t="shared" si="4"/>
        <v>HSR Center</v>
      </c>
      <c r="D407" s="15" t="s">
        <v>387</v>
      </c>
      <c r="E407" s="15" t="str">
        <f t="shared" si="5"/>
        <v>RADM CEN Grocery RKA+Monetka,Krasnoe i beloe, Kiro</v>
      </c>
      <c r="F407" s="15" t="s">
        <v>436</v>
      </c>
      <c r="G407" s="15"/>
      <c r="H407" s="15" t="s">
        <v>360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383</v>
      </c>
      <c r="B408" s="15" t="s">
        <v>386</v>
      </c>
      <c r="C408" s="15" t="str">
        <f t="shared" si="4"/>
        <v>HSR Center</v>
      </c>
      <c r="D408" s="15" t="s">
        <v>387</v>
      </c>
      <c r="E408" s="15" t="str">
        <f t="shared" si="5"/>
        <v>RADM CEN Grocery RKA+Monetka,Krasnoe i beloe, Kiro</v>
      </c>
      <c r="F408" s="15" t="s">
        <v>436</v>
      </c>
      <c r="G408" s="15"/>
      <c r="H408" s="15" t="s">
        <v>360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353</v>
      </c>
      <c r="B409" s="15" t="s">
        <v>386</v>
      </c>
      <c r="C409" s="15" t="str">
        <f t="shared" si="4"/>
        <v>HSR Center</v>
      </c>
      <c r="D409" s="15" t="s">
        <v>387</v>
      </c>
      <c r="E409" s="15" t="str">
        <f t="shared" si="5"/>
        <v>RADM CEN Grocery RKA+Monetka,Krasnoe i beloe, Kiro</v>
      </c>
      <c r="F409" s="15" t="s">
        <v>436</v>
      </c>
      <c r="G409" s="15"/>
      <c r="H409" s="15" t="s">
        <v>360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155</v>
      </c>
      <c r="B410" s="15" t="s">
        <v>386</v>
      </c>
      <c r="C410" s="15" t="str">
        <f t="shared" si="4"/>
        <v>HSR Center</v>
      </c>
      <c r="D410" s="15" t="s">
        <v>387</v>
      </c>
      <c r="E410" s="15" t="str">
        <f t="shared" si="5"/>
        <v>RADM CEN Grocery RKA+Monetka,Krasnoe i beloe, Kiro</v>
      </c>
      <c r="F410" s="15" t="s">
        <v>436</v>
      </c>
      <c r="G410" s="15"/>
      <c r="H410" s="15" t="s">
        <v>360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90</v>
      </c>
      <c r="B411" s="15" t="s">
        <v>386</v>
      </c>
      <c r="C411" s="15" t="str">
        <f t="shared" si="4"/>
        <v>HSR Center</v>
      </c>
      <c r="D411" s="15" t="s">
        <v>387</v>
      </c>
      <c r="E411" s="15" t="str">
        <f t="shared" si="5"/>
        <v>RADM CEN Grocery RKA+Monetka,Krasnoe i beloe, Kiro</v>
      </c>
      <c r="F411" s="15" t="s">
        <v>436</v>
      </c>
      <c r="G411" s="15"/>
      <c r="H411" s="15" t="s">
        <v>360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344</v>
      </c>
      <c r="B412" s="15" t="s">
        <v>386</v>
      </c>
      <c r="C412" s="15" t="str">
        <f t="shared" si="4"/>
        <v>HSR Center</v>
      </c>
      <c r="D412" s="15" t="s">
        <v>387</v>
      </c>
      <c r="E412" s="15" t="str">
        <f t="shared" si="5"/>
        <v>RADM CEN Grocery RKA+Monetka,Krasnoe i beloe, Kiro</v>
      </c>
      <c r="F412" s="15" t="s">
        <v>436</v>
      </c>
      <c r="G412" s="15"/>
      <c r="H412" s="15" t="s">
        <v>360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42</v>
      </c>
      <c r="B413" s="15" t="s">
        <v>386</v>
      </c>
      <c r="C413" s="15" t="str">
        <f t="shared" si="4"/>
        <v>HSR Center</v>
      </c>
      <c r="D413" s="15" t="s">
        <v>387</v>
      </c>
      <c r="E413" s="15" t="str">
        <f t="shared" si="5"/>
        <v>RADM CEN Grocery RKA+Monetka,Krasnoe i beloe, Kiro</v>
      </c>
      <c r="F413" s="15" t="s">
        <v>436</v>
      </c>
      <c r="G413" s="15"/>
      <c r="H413" s="15" t="s">
        <v>360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173</v>
      </c>
      <c r="B414" s="15" t="s">
        <v>386</v>
      </c>
      <c r="C414" s="15" t="str">
        <f t="shared" si="4"/>
        <v>HSR Center</v>
      </c>
      <c r="D414" s="15" t="s">
        <v>387</v>
      </c>
      <c r="E414" s="15" t="str">
        <f t="shared" si="5"/>
        <v>RADM CEN Grocery RKA+Monetka,Krasnoe i beloe, Kiro</v>
      </c>
      <c r="F414" s="15" t="s">
        <v>436</v>
      </c>
      <c r="G414" s="15"/>
      <c r="H414" s="15" t="s">
        <v>360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135</v>
      </c>
      <c r="B415" s="15" t="s">
        <v>386</v>
      </c>
      <c r="C415" s="15" t="str">
        <f t="shared" si="4"/>
        <v>HSR Center</v>
      </c>
      <c r="D415" s="15" t="s">
        <v>387</v>
      </c>
      <c r="E415" s="15" t="str">
        <f t="shared" si="5"/>
        <v>RADM CEN Grocery RKA+Monetka,Krasnoe i beloe, Kiro</v>
      </c>
      <c r="F415" s="15" t="s">
        <v>436</v>
      </c>
      <c r="G415" s="15"/>
      <c r="H415" s="15" t="s">
        <v>360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111</v>
      </c>
      <c r="B416" s="15" t="s">
        <v>386</v>
      </c>
      <c r="C416" s="15" t="str">
        <f t="shared" si="4"/>
        <v>HSR Center</v>
      </c>
      <c r="D416" s="15" t="s">
        <v>387</v>
      </c>
      <c r="E416" s="15" t="str">
        <f t="shared" si="5"/>
        <v>RADM CEN Grocery RKA+Monetka,Krasnoe i beloe, Kiro</v>
      </c>
      <c r="F416" s="15" t="s">
        <v>436</v>
      </c>
      <c r="G416" s="15"/>
      <c r="H416" s="15" t="s">
        <v>360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345</v>
      </c>
      <c r="B417" s="15" t="s">
        <v>386</v>
      </c>
      <c r="C417" s="15" t="str">
        <f t="shared" si="4"/>
        <v>HSR Center</v>
      </c>
      <c r="D417" s="15" t="s">
        <v>387</v>
      </c>
      <c r="E417" s="15" t="str">
        <f t="shared" si="5"/>
        <v>RADM CEN Grocery RKA+Monetka,Krasnoe i beloe, Kiro</v>
      </c>
      <c r="F417" s="15" t="s">
        <v>436</v>
      </c>
      <c r="G417" s="15"/>
      <c r="H417" s="15" t="s">
        <v>360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333</v>
      </c>
      <c r="B418" s="15" t="s">
        <v>386</v>
      </c>
      <c r="C418" s="15" t="str">
        <f t="shared" si="4"/>
        <v>HSR Center</v>
      </c>
      <c r="D418" s="15" t="s">
        <v>387</v>
      </c>
      <c r="E418" s="15" t="str">
        <f t="shared" si="5"/>
        <v>RADM CEN Grocery RKA+Monetka,Krasnoe i beloe, Kiro</v>
      </c>
      <c r="F418" s="15" t="s">
        <v>436</v>
      </c>
      <c r="G418" s="15"/>
      <c r="H418" s="15" t="s">
        <v>360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127</v>
      </c>
      <c r="B419" s="15" t="s">
        <v>386</v>
      </c>
      <c r="C419" s="15" t="str">
        <f t="shared" si="4"/>
        <v>HSR Center</v>
      </c>
      <c r="D419" s="15" t="s">
        <v>387</v>
      </c>
      <c r="E419" s="15" t="str">
        <f t="shared" si="5"/>
        <v>RADM CEN Grocery RKA+Monetka,Krasnoe i beloe, Kiro</v>
      </c>
      <c r="F419" s="15" t="s">
        <v>436</v>
      </c>
      <c r="G419" s="15"/>
      <c r="H419" s="15" t="s">
        <v>360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123</v>
      </c>
      <c r="B420" s="15" t="s">
        <v>386</v>
      </c>
      <c r="C420" s="15" t="str">
        <f t="shared" si="4"/>
        <v>HSR Center</v>
      </c>
      <c r="D420" s="15" t="s">
        <v>387</v>
      </c>
      <c r="E420" s="15" t="str">
        <f t="shared" si="5"/>
        <v>RADM CEN Grocery RKA+Monetka,Krasnoe i beloe, Kiro</v>
      </c>
      <c r="F420" s="15" t="s">
        <v>436</v>
      </c>
      <c r="G420" s="15"/>
      <c r="H420" s="15" t="s">
        <v>360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102</v>
      </c>
      <c r="B421" s="15" t="s">
        <v>386</v>
      </c>
      <c r="C421" s="15" t="str">
        <f t="shared" si="4"/>
        <v>HSR Center</v>
      </c>
      <c r="D421" s="15" t="s">
        <v>387</v>
      </c>
      <c r="E421" s="15" t="str">
        <f t="shared" si="5"/>
        <v>RADM CEN Grocery RKA+Monetka,Krasnoe i beloe, Kiro</v>
      </c>
      <c r="F421" s="15" t="s">
        <v>436</v>
      </c>
      <c r="G421" s="15"/>
      <c r="H421" s="15" t="s">
        <v>360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156</v>
      </c>
      <c r="B422" s="15" t="s">
        <v>386</v>
      </c>
      <c r="C422" s="15" t="str">
        <f t="shared" si="4"/>
        <v>HSR Center</v>
      </c>
      <c r="D422" s="15" t="s">
        <v>387</v>
      </c>
      <c r="E422" s="15" t="str">
        <f t="shared" si="5"/>
        <v>RADM CEN Grocery RKA+Monetka,Krasnoe i beloe, Kiro</v>
      </c>
      <c r="F422" s="15" t="s">
        <v>436</v>
      </c>
      <c r="G422" s="15"/>
      <c r="H422" s="15" t="s">
        <v>360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346</v>
      </c>
      <c r="B423" s="15" t="s">
        <v>386</v>
      </c>
      <c r="C423" s="15" t="str">
        <f t="shared" si="4"/>
        <v>HSR Center</v>
      </c>
      <c r="D423" s="15" t="s">
        <v>387</v>
      </c>
      <c r="E423" s="15" t="str">
        <f t="shared" si="5"/>
        <v>RADM CEN Grocery RKA+Monetka,Krasnoe i beloe, Kiro</v>
      </c>
      <c r="F423" s="15" t="s">
        <v>436</v>
      </c>
      <c r="G423" s="15"/>
      <c r="H423" s="15" t="s">
        <v>360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118</v>
      </c>
      <c r="B424" s="15" t="s">
        <v>386</v>
      </c>
      <c r="C424" s="15" t="str">
        <f t="shared" si="4"/>
        <v>HSR Center</v>
      </c>
      <c r="D424" s="15" t="s">
        <v>387</v>
      </c>
      <c r="E424" s="15" t="str">
        <f t="shared" si="5"/>
        <v>RADM CEN Grocery RKA+Monetka,Krasnoe i beloe, Kiro</v>
      </c>
      <c r="F424" s="15" t="s">
        <v>436</v>
      </c>
      <c r="G424" s="15"/>
      <c r="H424" s="15" t="s">
        <v>360</v>
      </c>
      <c r="I424" s="15">
        <v>1</v>
      </c>
      <c r="J424" s="15">
        <v>1</v>
      </c>
      <c r="K424" s="15" t="s">
        <v>343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160</v>
      </c>
      <c r="B425" s="15" t="s">
        <v>386</v>
      </c>
      <c r="C425" s="15" t="str">
        <f t="shared" si="4"/>
        <v>HSR Center</v>
      </c>
      <c r="D425" s="15" t="s">
        <v>387</v>
      </c>
      <c r="E425" s="15" t="str">
        <f t="shared" si="5"/>
        <v>RADM CEN Grocery RKA+Monetka,Krasnoe i beloe, Kiro</v>
      </c>
      <c r="F425" s="15" t="s">
        <v>436</v>
      </c>
      <c r="G425" s="15"/>
      <c r="H425" s="15" t="s">
        <v>360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93</v>
      </c>
      <c r="B426" s="15" t="s">
        <v>386</v>
      </c>
      <c r="C426" s="15" t="str">
        <f t="shared" si="4"/>
        <v>HSR Center</v>
      </c>
      <c r="D426" s="15" t="s">
        <v>387</v>
      </c>
      <c r="E426" s="15" t="str">
        <f t="shared" si="5"/>
        <v>RADM CEN Grocery RKA+Monetka,Krasnoe i beloe, Kiro</v>
      </c>
      <c r="F426" s="15" t="s">
        <v>436</v>
      </c>
      <c r="G426" s="15"/>
      <c r="H426" s="15" t="s">
        <v>360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55</v>
      </c>
      <c r="B427" s="15" t="s">
        <v>386</v>
      </c>
      <c r="C427" s="15" t="str">
        <f t="shared" si="4"/>
        <v>HSR Center</v>
      </c>
      <c r="D427" s="15" t="s">
        <v>387</v>
      </c>
      <c r="E427" s="15" t="str">
        <f t="shared" si="5"/>
        <v>RADM CEN Grocery RKA+Monetka,Krasnoe i beloe, Kiro</v>
      </c>
      <c r="F427" s="15" t="s">
        <v>436</v>
      </c>
      <c r="G427" s="15"/>
      <c r="H427" s="15" t="s">
        <v>360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133</v>
      </c>
      <c r="B428" s="15" t="s">
        <v>386</v>
      </c>
      <c r="C428" s="15" t="str">
        <f t="shared" si="4"/>
        <v>HSR Center</v>
      </c>
      <c r="D428" s="15" t="s">
        <v>387</v>
      </c>
      <c r="E428" s="15" t="str">
        <f t="shared" si="5"/>
        <v>RADM CEN Grocery RKA+Monetka,Krasnoe i beloe, Kiro</v>
      </c>
      <c r="F428" s="15" t="s">
        <v>436</v>
      </c>
      <c r="G428" s="15"/>
      <c r="H428" s="15" t="s">
        <v>360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120</v>
      </c>
      <c r="B429" s="15" t="s">
        <v>386</v>
      </c>
      <c r="C429" s="15" t="str">
        <f t="shared" si="4"/>
        <v>HSR Center</v>
      </c>
      <c r="D429" s="15" t="s">
        <v>387</v>
      </c>
      <c r="E429" s="15" t="str">
        <f t="shared" si="5"/>
        <v>RADM CEN Grocery RKA+Monetka,Krasnoe i beloe, Kiro</v>
      </c>
      <c r="F429" s="15" t="s">
        <v>436</v>
      </c>
      <c r="G429" s="15"/>
      <c r="H429" s="15" t="s">
        <v>360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385</v>
      </c>
      <c r="B430" s="15" t="s">
        <v>386</v>
      </c>
      <c r="C430" s="15" t="str">
        <f t="shared" si="4"/>
        <v>HSR Center</v>
      </c>
      <c r="D430" s="15" t="s">
        <v>387</v>
      </c>
      <c r="E430" s="15" t="str">
        <f t="shared" si="5"/>
        <v>RADM CEN Grocery RKA+Monetka,Krasnoe i beloe, Kiro</v>
      </c>
      <c r="F430" s="15" t="s">
        <v>436</v>
      </c>
      <c r="G430" s="15"/>
      <c r="H430" s="15" t="s">
        <v>360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347</v>
      </c>
      <c r="B431" s="15" t="s">
        <v>386</v>
      </c>
      <c r="C431" s="15" t="str">
        <f t="shared" si="4"/>
        <v>HSR Center</v>
      </c>
      <c r="D431" s="15" t="s">
        <v>387</v>
      </c>
      <c r="E431" s="15" t="str">
        <f t="shared" si="5"/>
        <v>RADM CEN Grocery RKA+Monetka,Krasnoe i beloe, Kiro</v>
      </c>
      <c r="F431" s="15" t="s">
        <v>436</v>
      </c>
      <c r="G431" s="15"/>
      <c r="H431" s="15" t="s">
        <v>360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103</v>
      </c>
      <c r="B432" s="15" t="s">
        <v>386</v>
      </c>
      <c r="C432" s="15" t="str">
        <f t="shared" si="4"/>
        <v>HSR Center</v>
      </c>
      <c r="D432" s="15" t="s">
        <v>387</v>
      </c>
      <c r="E432" s="15" t="str">
        <f t="shared" si="5"/>
        <v>RADM CEN Grocery RKA+Monetka,Krasnoe i beloe, Kiro</v>
      </c>
      <c r="F432" s="15" t="s">
        <v>436</v>
      </c>
      <c r="G432" s="15"/>
      <c r="H432" s="15" t="s">
        <v>360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417</v>
      </c>
      <c r="B433" s="15" t="s">
        <v>386</v>
      </c>
      <c r="C433" s="15" t="str">
        <f t="shared" si="4"/>
        <v>HSR Center</v>
      </c>
      <c r="D433" s="15" t="s">
        <v>387</v>
      </c>
      <c r="E433" s="15" t="str">
        <f t="shared" si="5"/>
        <v>RADM CEN Grocery RKA+Monetka,Krasnoe i beloe, Kiro</v>
      </c>
      <c r="F433" s="15" t="s">
        <v>436</v>
      </c>
      <c r="G433" s="15"/>
      <c r="H433" s="15" t="s">
        <v>360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81</v>
      </c>
      <c r="B434" s="15" t="s">
        <v>438</v>
      </c>
      <c r="C434" s="15" t="str">
        <f t="shared" si="4"/>
        <v>HSR RFE</v>
      </c>
      <c r="D434" s="15" t="s">
        <v>439</v>
      </c>
      <c r="E434" s="15" t="str">
        <f t="shared" si="5"/>
        <v>ASM RFE Grocery+SPT Khabarovsk</v>
      </c>
      <c r="F434" s="15" t="s">
        <v>440</v>
      </c>
      <c r="G434" s="15"/>
      <c r="H434" s="15" t="s">
        <v>421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81</v>
      </c>
      <c r="B435" s="15" t="s">
        <v>438</v>
      </c>
      <c r="C435" s="15" t="str">
        <f t="shared" si="4"/>
        <v>HSR RFE</v>
      </c>
      <c r="D435" s="15" t="s">
        <v>439</v>
      </c>
      <c r="E435" s="15" t="str">
        <f t="shared" si="5"/>
        <v>ASM RFE Grocery+SPT Khabarovsk</v>
      </c>
      <c r="F435" s="15" t="s">
        <v>441</v>
      </c>
      <c r="G435" s="15"/>
      <c r="H435" s="15" t="s">
        <v>442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81</v>
      </c>
      <c r="B436" s="15" t="s">
        <v>438</v>
      </c>
      <c r="C436" s="15" t="str">
        <f t="shared" si="4"/>
        <v>HSR RFE</v>
      </c>
      <c r="D436" s="15" t="s">
        <v>439</v>
      </c>
      <c r="E436" s="15" t="str">
        <f t="shared" si="5"/>
        <v>ASM RFE Grocery+SPT Khabarovsk</v>
      </c>
      <c r="F436" s="15" t="s">
        <v>441</v>
      </c>
      <c r="G436" s="15"/>
      <c r="H436" s="15" t="s">
        <v>421</v>
      </c>
      <c r="I436" s="15"/>
      <c r="J436" s="15"/>
      <c r="K436" s="15" t="s">
        <v>343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87</v>
      </c>
      <c r="B437" s="15" t="s">
        <v>438</v>
      </c>
      <c r="C437" s="15" t="str">
        <f t="shared" si="4"/>
        <v>HSR RFE</v>
      </c>
      <c r="D437" s="15" t="s">
        <v>443</v>
      </c>
      <c r="E437" s="15" t="str">
        <f t="shared" si="5"/>
        <v>ASM RFE Grocery+SPT Irkutsk</v>
      </c>
      <c r="F437" s="15" t="s">
        <v>444</v>
      </c>
      <c r="G437" s="15"/>
      <c r="H437" s="15" t="s">
        <v>424</v>
      </c>
      <c r="I437" s="15"/>
      <c r="J437" s="15"/>
      <c r="K437" s="15" t="s">
        <v>377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87</v>
      </c>
      <c r="B438" s="15" t="s">
        <v>438</v>
      </c>
      <c r="C438" s="15" t="str">
        <f t="shared" si="4"/>
        <v>HSR RFE</v>
      </c>
      <c r="D438" s="15" t="s">
        <v>443</v>
      </c>
      <c r="E438" s="15" t="str">
        <f t="shared" si="5"/>
        <v>ASM RFE Grocery+SPT Irkutsk</v>
      </c>
      <c r="F438" s="15" t="s">
        <v>445</v>
      </c>
      <c r="G438" s="15"/>
      <c r="H438" s="15" t="s">
        <v>424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87</v>
      </c>
      <c r="B439" s="15" t="s">
        <v>438</v>
      </c>
      <c r="C439" s="15" t="str">
        <f t="shared" si="4"/>
        <v>HSR RFE</v>
      </c>
      <c r="D439" s="15" t="s">
        <v>443</v>
      </c>
      <c r="E439" s="15" t="str">
        <f t="shared" si="5"/>
        <v>ASM RFE Grocery+SPT Irkutsk</v>
      </c>
      <c r="F439" s="15" t="s">
        <v>446</v>
      </c>
      <c r="G439" s="15"/>
      <c r="H439" s="15" t="s">
        <v>424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87</v>
      </c>
      <c r="B440" s="15" t="s">
        <v>438</v>
      </c>
      <c r="C440" s="15" t="str">
        <f t="shared" si="4"/>
        <v>HSR RFE</v>
      </c>
      <c r="D440" s="15" t="s">
        <v>447</v>
      </c>
      <c r="E440" s="15" t="str">
        <f t="shared" si="5"/>
        <v>RDM RFE Grocery SS</v>
      </c>
      <c r="F440" s="15" t="s">
        <v>448</v>
      </c>
      <c r="G440" s="15"/>
      <c r="H440" s="15" t="s">
        <v>424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449</v>
      </c>
      <c r="B441" s="15" t="s">
        <v>438</v>
      </c>
      <c r="C441" s="15" t="str">
        <f t="shared" si="4"/>
        <v>HSR RFE</v>
      </c>
      <c r="D441" s="15" t="s">
        <v>439</v>
      </c>
      <c r="E441" s="15" t="str">
        <f t="shared" si="5"/>
        <v>ASM RFE Grocery+SPT Khabarovsk</v>
      </c>
      <c r="F441" s="15" t="s">
        <v>440</v>
      </c>
      <c r="G441" s="15"/>
      <c r="H441" s="15" t="s">
        <v>450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449</v>
      </c>
      <c r="B442" s="15" t="s">
        <v>438</v>
      </c>
      <c r="C442" s="15" t="str">
        <f t="shared" si="4"/>
        <v>HSR RFE</v>
      </c>
      <c r="D442" s="15" t="s">
        <v>439</v>
      </c>
      <c r="E442" s="15" t="str">
        <f t="shared" si="5"/>
        <v>ASM RFE Grocery+SPT Khabarovsk</v>
      </c>
      <c r="F442" s="15" t="s">
        <v>451</v>
      </c>
      <c r="G442" s="15"/>
      <c r="H442" s="15" t="s">
        <v>421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449</v>
      </c>
      <c r="B443" s="15" t="s">
        <v>438</v>
      </c>
      <c r="C443" s="15" t="str">
        <f t="shared" si="4"/>
        <v>HSR RFE</v>
      </c>
      <c r="D443" s="15" t="s">
        <v>439</v>
      </c>
      <c r="E443" s="15" t="str">
        <f t="shared" si="5"/>
        <v>ASM RFE Grocery+SPT Khabarovsk</v>
      </c>
      <c r="F443" s="15" t="s">
        <v>440</v>
      </c>
      <c r="G443" s="15"/>
      <c r="H443" s="15" t="s">
        <v>421</v>
      </c>
      <c r="I443" s="15"/>
      <c r="J443" s="15"/>
      <c r="K443" s="15" t="s">
        <v>343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425</v>
      </c>
      <c r="B444" s="15" t="s">
        <v>438</v>
      </c>
      <c r="C444" s="15" t="str">
        <f t="shared" si="4"/>
        <v>HSR RFE</v>
      </c>
      <c r="D444" s="15" t="s">
        <v>443</v>
      </c>
      <c r="E444" s="15" t="str">
        <f t="shared" si="5"/>
        <v>ASM RFE Grocery+SPT Irkutsk</v>
      </c>
      <c r="F444" s="15" t="s">
        <v>452</v>
      </c>
      <c r="G444" s="15"/>
      <c r="H444" s="15" t="s">
        <v>424</v>
      </c>
      <c r="I444" s="15"/>
      <c r="J444" s="15"/>
      <c r="K444" s="15" t="s">
        <v>377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425</v>
      </c>
      <c r="B445" s="15" t="s">
        <v>438</v>
      </c>
      <c r="C445" s="15" t="str">
        <f t="shared" si="4"/>
        <v>HSR RFE</v>
      </c>
      <c r="D445" s="15" t="s">
        <v>447</v>
      </c>
      <c r="E445" s="15" t="str">
        <f t="shared" si="5"/>
        <v>RDM RFE Grocery SS</v>
      </c>
      <c r="F445" s="15" t="s">
        <v>448</v>
      </c>
      <c r="G445" s="15"/>
      <c r="H445" s="15" t="s">
        <v>424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90</v>
      </c>
      <c r="B446" s="15" t="s">
        <v>438</v>
      </c>
      <c r="C446" s="15" t="str">
        <f t="shared" si="4"/>
        <v>HSR RFE</v>
      </c>
      <c r="D446" s="15" t="s">
        <v>443</v>
      </c>
      <c r="E446" s="15" t="str">
        <f t="shared" si="5"/>
        <v>ASM RFE Grocery+SPT Irkutsk</v>
      </c>
      <c r="F446" s="15" t="s">
        <v>444</v>
      </c>
      <c r="G446" s="15"/>
      <c r="H446" s="15" t="s">
        <v>424</v>
      </c>
      <c r="I446" s="15">
        <v>1</v>
      </c>
      <c r="J446" s="15">
        <v>2</v>
      </c>
      <c r="K446" s="15" t="s">
        <v>377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90</v>
      </c>
      <c r="B447" s="15" t="s">
        <v>438</v>
      </c>
      <c r="C447" s="15" t="str">
        <f t="shared" si="4"/>
        <v>HSR RFE</v>
      </c>
      <c r="D447" s="15" t="s">
        <v>443</v>
      </c>
      <c r="E447" s="15" t="str">
        <f t="shared" si="5"/>
        <v>ASM RFE Grocery+SPT Irkutsk</v>
      </c>
      <c r="F447" s="15" t="s">
        <v>445</v>
      </c>
      <c r="G447" s="15"/>
      <c r="H447" s="15" t="s">
        <v>424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90</v>
      </c>
      <c r="B448" s="15" t="s">
        <v>438</v>
      </c>
      <c r="C448" s="15" t="str">
        <f t="shared" si="4"/>
        <v>HSR RFE</v>
      </c>
      <c r="D448" s="15" t="s">
        <v>443</v>
      </c>
      <c r="E448" s="15" t="str">
        <f t="shared" si="5"/>
        <v>ASM RFE Grocery+SPT Irkutsk</v>
      </c>
      <c r="F448" s="15" t="s">
        <v>446</v>
      </c>
      <c r="G448" s="15"/>
      <c r="H448" s="15" t="s">
        <v>424</v>
      </c>
      <c r="I448" s="15"/>
      <c r="J448" s="15"/>
      <c r="K448" s="15" t="s">
        <v>377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90</v>
      </c>
      <c r="B449" s="15" t="s">
        <v>438</v>
      </c>
      <c r="C449" s="15" t="str">
        <f t="shared" si="4"/>
        <v>HSR RFE</v>
      </c>
      <c r="D449" s="15" t="s">
        <v>453</v>
      </c>
      <c r="E449" s="15" t="str">
        <f t="shared" si="5"/>
        <v>ASM RFE Grocery+SPT Vladivostok</v>
      </c>
      <c r="F449" s="15" t="s">
        <v>454</v>
      </c>
      <c r="G449" s="15"/>
      <c r="H449" s="15" t="s">
        <v>424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90</v>
      </c>
      <c r="B450" s="15" t="s">
        <v>438</v>
      </c>
      <c r="C450" s="15" t="str">
        <f t="shared" si="4"/>
        <v>HSR RFE</v>
      </c>
      <c r="D450" s="15" t="s">
        <v>447</v>
      </c>
      <c r="E450" s="15" t="str">
        <f t="shared" si="5"/>
        <v>RDM RFE Grocery SS</v>
      </c>
      <c r="F450" s="15" t="s">
        <v>448</v>
      </c>
      <c r="G450" s="15"/>
      <c r="H450" s="15" t="s">
        <v>424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427</v>
      </c>
      <c r="B451" s="15" t="s">
        <v>438</v>
      </c>
      <c r="C451" s="15" t="str">
        <f t="shared" si="4"/>
        <v>HSR RFE</v>
      </c>
      <c r="D451" s="15" t="s">
        <v>453</v>
      </c>
      <c r="E451" s="15" t="str">
        <f t="shared" si="5"/>
        <v>ASM RFE Grocery+SPT Vladivostok</v>
      </c>
      <c r="F451" s="15" t="s">
        <v>455</v>
      </c>
      <c r="G451" s="15"/>
      <c r="H451" s="15" t="s">
        <v>421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66</v>
      </c>
      <c r="B452" s="15" t="s">
        <v>438</v>
      </c>
      <c r="C452" s="15" t="str">
        <f t="shared" si="4"/>
        <v>HSR RFE</v>
      </c>
      <c r="D452" s="15" t="s">
        <v>453</v>
      </c>
      <c r="E452" s="15" t="str">
        <f t="shared" si="5"/>
        <v>ASM RFE Grocery+SPT Vladivostok</v>
      </c>
      <c r="F452" s="15" t="s">
        <v>454</v>
      </c>
      <c r="G452" s="15"/>
      <c r="H452" s="15" t="s">
        <v>450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66</v>
      </c>
      <c r="B453" s="15" t="s">
        <v>438</v>
      </c>
      <c r="C453" s="15" t="str">
        <f t="shared" ref="C453:C516" si="6">B453</f>
        <v>HSR RFE</v>
      </c>
      <c r="D453" s="15" t="s">
        <v>453</v>
      </c>
      <c r="E453" s="15" t="str">
        <f t="shared" ref="E453:E516" si="7">D453</f>
        <v>ASM RFE Grocery+SPT Vladivostok</v>
      </c>
      <c r="F453" s="15" t="s">
        <v>454</v>
      </c>
      <c r="G453" s="15"/>
      <c r="H453" s="15" t="s">
        <v>421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431</v>
      </c>
      <c r="B454" s="15" t="s">
        <v>438</v>
      </c>
      <c r="C454" s="15" t="str">
        <f t="shared" si="6"/>
        <v>HSR RFE</v>
      </c>
      <c r="D454" s="15" t="s">
        <v>453</v>
      </c>
      <c r="E454" s="15" t="str">
        <f t="shared" si="7"/>
        <v>ASM RFE Grocery+SPT Vladivostok</v>
      </c>
      <c r="F454" s="15" t="s">
        <v>456</v>
      </c>
      <c r="G454" s="15"/>
      <c r="H454" s="15" t="s">
        <v>450</v>
      </c>
      <c r="I454" s="15">
        <v>1</v>
      </c>
      <c r="J454" s="15">
        <v>2</v>
      </c>
      <c r="K454" s="15" t="s">
        <v>343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431</v>
      </c>
      <c r="B455" s="15" t="s">
        <v>438</v>
      </c>
      <c r="C455" s="15" t="str">
        <f t="shared" si="6"/>
        <v>HSR RFE</v>
      </c>
      <c r="D455" s="15" t="s">
        <v>453</v>
      </c>
      <c r="E455" s="15" t="str">
        <f t="shared" si="7"/>
        <v>ASM RFE Grocery+SPT Vladivostok</v>
      </c>
      <c r="F455" s="15" t="s">
        <v>456</v>
      </c>
      <c r="G455" s="15"/>
      <c r="H455" s="15" t="s">
        <v>421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431</v>
      </c>
      <c r="B456" s="15" t="s">
        <v>438</v>
      </c>
      <c r="C456" s="15" t="str">
        <f t="shared" si="6"/>
        <v>HSR RFE</v>
      </c>
      <c r="D456" s="15" t="s">
        <v>453</v>
      </c>
      <c r="E456" s="15" t="str">
        <f t="shared" si="7"/>
        <v>ASM RFE Grocery+SPT Vladivostok</v>
      </c>
      <c r="F456" s="15" t="s">
        <v>457</v>
      </c>
      <c r="G456" s="15"/>
      <c r="H456" s="15" t="s">
        <v>450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431</v>
      </c>
      <c r="B457" s="15" t="s">
        <v>438</v>
      </c>
      <c r="C457" s="15" t="str">
        <f t="shared" si="6"/>
        <v>HSR RFE</v>
      </c>
      <c r="D457" s="15" t="s">
        <v>453</v>
      </c>
      <c r="E457" s="15" t="str">
        <f t="shared" si="7"/>
        <v>ASM RFE Grocery+SPT Vladivostok</v>
      </c>
      <c r="F457" s="15" t="s">
        <v>457</v>
      </c>
      <c r="G457" s="15"/>
      <c r="H457" s="15" t="s">
        <v>421</v>
      </c>
      <c r="I457" s="15"/>
      <c r="J457" s="15"/>
      <c r="K457" s="15" t="s">
        <v>343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431</v>
      </c>
      <c r="B458" s="15" t="s">
        <v>438</v>
      </c>
      <c r="C458" s="15" t="str">
        <f t="shared" si="6"/>
        <v>HSR RFE</v>
      </c>
      <c r="D458" s="15" t="s">
        <v>453</v>
      </c>
      <c r="E458" s="15" t="str">
        <f t="shared" si="7"/>
        <v>ASM RFE Grocery+SPT Vladivostok</v>
      </c>
      <c r="F458" s="15" t="s">
        <v>454</v>
      </c>
      <c r="G458" s="15"/>
      <c r="H458" s="15" t="s">
        <v>450</v>
      </c>
      <c r="I458" s="15"/>
      <c r="J458" s="15"/>
      <c r="K458" s="15" t="s">
        <v>343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431</v>
      </c>
      <c r="B459" s="15" t="s">
        <v>438</v>
      </c>
      <c r="C459" s="15" t="str">
        <f t="shared" si="6"/>
        <v>HSR RFE</v>
      </c>
      <c r="D459" s="15" t="s">
        <v>453</v>
      </c>
      <c r="E459" s="15" t="str">
        <f t="shared" si="7"/>
        <v>ASM RFE Grocery+SPT Vladivostok</v>
      </c>
      <c r="F459" s="15" t="s">
        <v>454</v>
      </c>
      <c r="G459" s="15"/>
      <c r="H459" s="15" t="s">
        <v>421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431</v>
      </c>
      <c r="B460" s="15" t="s">
        <v>438</v>
      </c>
      <c r="C460" s="15" t="str">
        <f t="shared" si="6"/>
        <v>HSR RFE</v>
      </c>
      <c r="D460" s="15" t="s">
        <v>447</v>
      </c>
      <c r="E460" s="15" t="str">
        <f t="shared" si="7"/>
        <v>RDM RFE Grocery SS</v>
      </c>
      <c r="F460" s="15" t="s">
        <v>448</v>
      </c>
      <c r="G460" s="15"/>
      <c r="H460" s="15" t="s">
        <v>450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431</v>
      </c>
      <c r="B461" s="15" t="s">
        <v>438</v>
      </c>
      <c r="C461" s="15" t="str">
        <f t="shared" si="6"/>
        <v>HSR RFE</v>
      </c>
      <c r="D461" s="15" t="s">
        <v>447</v>
      </c>
      <c r="E461" s="15" t="str">
        <f t="shared" si="7"/>
        <v>RDM RFE Grocery SS</v>
      </c>
      <c r="F461" s="15" t="s">
        <v>448</v>
      </c>
      <c r="G461" s="15"/>
      <c r="H461" s="15" t="s">
        <v>421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458</v>
      </c>
      <c r="B462" s="15" t="s">
        <v>438</v>
      </c>
      <c r="C462" s="15" t="str">
        <f t="shared" si="6"/>
        <v>HSR RFE</v>
      </c>
      <c r="D462" s="15" t="s">
        <v>439</v>
      </c>
      <c r="E462" s="15" t="str">
        <f t="shared" si="7"/>
        <v>ASM RFE Grocery+SPT Khabarovsk</v>
      </c>
      <c r="F462" s="15" t="s">
        <v>459</v>
      </c>
      <c r="G462" s="15"/>
      <c r="H462" s="15" t="s">
        <v>442</v>
      </c>
      <c r="I462" s="15">
        <v>1</v>
      </c>
      <c r="J462" s="15"/>
      <c r="K462" s="15" t="s">
        <v>343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458</v>
      </c>
      <c r="B463" s="15" t="s">
        <v>438</v>
      </c>
      <c r="C463" s="15" t="str">
        <f t="shared" si="6"/>
        <v>HSR RFE</v>
      </c>
      <c r="D463" s="15" t="s">
        <v>439</v>
      </c>
      <c r="E463" s="15" t="str">
        <f t="shared" si="7"/>
        <v>ASM RFE Grocery+SPT Khabarovsk</v>
      </c>
      <c r="F463" s="15" t="s">
        <v>459</v>
      </c>
      <c r="G463" s="15"/>
      <c r="H463" s="15" t="s">
        <v>450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458</v>
      </c>
      <c r="B464" s="15" t="s">
        <v>438</v>
      </c>
      <c r="C464" s="15" t="str">
        <f t="shared" si="6"/>
        <v>HSR RFE</v>
      </c>
      <c r="D464" s="15" t="s">
        <v>439</v>
      </c>
      <c r="E464" s="15" t="str">
        <f t="shared" si="7"/>
        <v>ASM RFE Grocery+SPT Khabarovsk</v>
      </c>
      <c r="F464" s="15" t="s">
        <v>459</v>
      </c>
      <c r="G464" s="15"/>
      <c r="H464" s="15" t="s">
        <v>421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65</v>
      </c>
      <c r="B465" s="15" t="s">
        <v>438</v>
      </c>
      <c r="C465" s="15" t="str">
        <f t="shared" si="6"/>
        <v>HSR RFE</v>
      </c>
      <c r="D465" s="15" t="s">
        <v>453</v>
      </c>
      <c r="E465" s="15" t="str">
        <f t="shared" si="7"/>
        <v>ASM RFE Grocery+SPT Vladivostok</v>
      </c>
      <c r="F465" s="15" t="s">
        <v>455</v>
      </c>
      <c r="G465" s="15"/>
      <c r="H465" s="15" t="s">
        <v>450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65</v>
      </c>
      <c r="B466" s="15" t="s">
        <v>438</v>
      </c>
      <c r="C466" s="15" t="str">
        <f t="shared" si="6"/>
        <v>HSR RFE</v>
      </c>
      <c r="D466" s="15" t="s">
        <v>453</v>
      </c>
      <c r="E466" s="15" t="str">
        <f t="shared" si="7"/>
        <v>ASM RFE Grocery+SPT Vladivostok</v>
      </c>
      <c r="F466" s="15" t="s">
        <v>455</v>
      </c>
      <c r="G466" s="15"/>
      <c r="H466" s="15" t="s">
        <v>421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74</v>
      </c>
      <c r="B467" s="15" t="s">
        <v>438</v>
      </c>
      <c r="C467" s="15" t="str">
        <f t="shared" si="6"/>
        <v>HSR RFE</v>
      </c>
      <c r="D467" s="15" t="s">
        <v>439</v>
      </c>
      <c r="E467" s="15" t="str">
        <f t="shared" si="7"/>
        <v>ASM RFE Grocery+SPT Khabarovsk</v>
      </c>
      <c r="F467" s="15" t="s">
        <v>440</v>
      </c>
      <c r="G467" s="15"/>
      <c r="H467" s="15" t="s">
        <v>450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74</v>
      </c>
      <c r="B468" s="15" t="s">
        <v>438</v>
      </c>
      <c r="C468" s="15" t="str">
        <f t="shared" si="6"/>
        <v>HSR RFE</v>
      </c>
      <c r="D468" s="15" t="s">
        <v>439</v>
      </c>
      <c r="E468" s="15" t="str">
        <f t="shared" si="7"/>
        <v>ASM RFE Grocery+SPT Khabarovsk</v>
      </c>
      <c r="F468" s="15" t="s">
        <v>440</v>
      </c>
      <c r="G468" s="15"/>
      <c r="H468" s="15" t="s">
        <v>421</v>
      </c>
      <c r="I468" s="15">
        <v>1</v>
      </c>
      <c r="J468" s="15"/>
      <c r="K468" s="15" t="s">
        <v>343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74</v>
      </c>
      <c r="B469" s="15" t="s">
        <v>438</v>
      </c>
      <c r="C469" s="15" t="str">
        <f t="shared" si="6"/>
        <v>HSR RFE</v>
      </c>
      <c r="D469" s="15" t="s">
        <v>439</v>
      </c>
      <c r="E469" s="15" t="str">
        <f t="shared" si="7"/>
        <v>ASM RFE Grocery+SPT Khabarovsk</v>
      </c>
      <c r="F469" s="15" t="s">
        <v>451</v>
      </c>
      <c r="G469" s="15"/>
      <c r="H469" s="15" t="s">
        <v>450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74</v>
      </c>
      <c r="B470" s="15" t="s">
        <v>438</v>
      </c>
      <c r="C470" s="15" t="str">
        <f t="shared" si="6"/>
        <v>HSR RFE</v>
      </c>
      <c r="D470" s="15" t="s">
        <v>439</v>
      </c>
      <c r="E470" s="15" t="str">
        <f t="shared" si="7"/>
        <v>ASM RFE Grocery+SPT Khabarovsk</v>
      </c>
      <c r="F470" s="15" t="s">
        <v>451</v>
      </c>
      <c r="G470" s="15"/>
      <c r="H470" s="15" t="s">
        <v>421</v>
      </c>
      <c r="I470" s="15"/>
      <c r="J470" s="15"/>
      <c r="K470" s="15" t="s">
        <v>343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74</v>
      </c>
      <c r="B471" s="15" t="s">
        <v>438</v>
      </c>
      <c r="C471" s="15" t="str">
        <f t="shared" si="6"/>
        <v>HSR RFE</v>
      </c>
      <c r="D471" s="15" t="s">
        <v>447</v>
      </c>
      <c r="E471" s="15" t="str">
        <f t="shared" si="7"/>
        <v>RDM RFE Grocery SS</v>
      </c>
      <c r="F471" s="15" t="s">
        <v>448</v>
      </c>
      <c r="G471" s="15"/>
      <c r="H471" s="15" t="s">
        <v>450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74</v>
      </c>
      <c r="B472" s="15" t="s">
        <v>438</v>
      </c>
      <c r="C472" s="15" t="str">
        <f t="shared" si="6"/>
        <v>HSR RFE</v>
      </c>
      <c r="D472" s="15" t="s">
        <v>447</v>
      </c>
      <c r="E472" s="15" t="str">
        <f t="shared" si="7"/>
        <v>RDM RFE Grocery SS</v>
      </c>
      <c r="F472" s="15" t="s">
        <v>448</v>
      </c>
      <c r="G472" s="15"/>
      <c r="H472" s="15" t="s">
        <v>421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460</v>
      </c>
      <c r="B473" s="15" t="s">
        <v>438</v>
      </c>
      <c r="C473" s="15" t="str">
        <f t="shared" si="6"/>
        <v>HSR RFE</v>
      </c>
      <c r="D473" s="15" t="s">
        <v>439</v>
      </c>
      <c r="E473" s="15" t="str">
        <f t="shared" si="7"/>
        <v>ASM RFE Grocery+SPT Khabarovsk</v>
      </c>
      <c r="F473" s="15" t="s">
        <v>440</v>
      </c>
      <c r="G473" s="15"/>
      <c r="H473" s="15" t="s">
        <v>450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460</v>
      </c>
      <c r="B474" s="15" t="s">
        <v>438</v>
      </c>
      <c r="C474" s="15" t="str">
        <f t="shared" si="6"/>
        <v>HSR RFE</v>
      </c>
      <c r="D474" s="15" t="s">
        <v>439</v>
      </c>
      <c r="E474" s="15" t="str">
        <f t="shared" si="7"/>
        <v>ASM RFE Grocery+SPT Khabarovsk</v>
      </c>
      <c r="F474" s="15" t="s">
        <v>440</v>
      </c>
      <c r="G474" s="15"/>
      <c r="H474" s="15" t="s">
        <v>421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81</v>
      </c>
      <c r="B475" s="15" t="s">
        <v>438</v>
      </c>
      <c r="C475" s="15" t="str">
        <f t="shared" si="6"/>
        <v>HSR RFE</v>
      </c>
      <c r="D475" s="15" t="s">
        <v>453</v>
      </c>
      <c r="E475" s="15" t="str">
        <f t="shared" si="7"/>
        <v>ASM RFE Grocery+SPT Vladivostok</v>
      </c>
      <c r="F475" s="15" t="s">
        <v>461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87</v>
      </c>
      <c r="B476" s="15" t="s">
        <v>438</v>
      </c>
      <c r="C476" s="15" t="str">
        <f t="shared" si="6"/>
        <v>HSR RFE</v>
      </c>
      <c r="D476" s="15" t="s">
        <v>453</v>
      </c>
      <c r="E476" s="15" t="str">
        <f t="shared" si="7"/>
        <v>ASM RFE Grocery+SPT Vladivostok</v>
      </c>
      <c r="F476" s="15" t="s">
        <v>461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449</v>
      </c>
      <c r="B477" s="15" t="s">
        <v>438</v>
      </c>
      <c r="C477" s="15" t="str">
        <f t="shared" si="6"/>
        <v>HSR RFE</v>
      </c>
      <c r="D477" s="15" t="s">
        <v>453</v>
      </c>
      <c r="E477" s="15" t="str">
        <f t="shared" si="7"/>
        <v>ASM RFE Grocery+SPT Vladivostok</v>
      </c>
      <c r="F477" s="15" t="s">
        <v>461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425</v>
      </c>
      <c r="B478" s="15" t="s">
        <v>438</v>
      </c>
      <c r="C478" s="15" t="str">
        <f t="shared" si="6"/>
        <v>HSR RFE</v>
      </c>
      <c r="D478" s="15" t="s">
        <v>453</v>
      </c>
      <c r="E478" s="15" t="str">
        <f t="shared" si="7"/>
        <v>ASM RFE Grocery+SPT Vladivostok</v>
      </c>
      <c r="F478" s="15" t="s">
        <v>461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90</v>
      </c>
      <c r="B479" s="15" t="s">
        <v>438</v>
      </c>
      <c r="C479" s="15" t="str">
        <f t="shared" si="6"/>
        <v>HSR RFE</v>
      </c>
      <c r="D479" s="15" t="s">
        <v>453</v>
      </c>
      <c r="E479" s="15" t="str">
        <f t="shared" si="7"/>
        <v>ASM RFE Grocery+SPT Vladivostok</v>
      </c>
      <c r="F479" s="15" t="s">
        <v>461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431</v>
      </c>
      <c r="B480" s="15" t="s">
        <v>438</v>
      </c>
      <c r="C480" s="15" t="str">
        <f t="shared" si="6"/>
        <v>HSR RFE</v>
      </c>
      <c r="D480" s="15" t="s">
        <v>453</v>
      </c>
      <c r="E480" s="15" t="str">
        <f t="shared" si="7"/>
        <v>ASM RFE Grocery+SPT Vladivostok</v>
      </c>
      <c r="F480" s="15" t="s">
        <v>461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458</v>
      </c>
      <c r="B481" s="15" t="s">
        <v>438</v>
      </c>
      <c r="C481" s="15" t="str">
        <f t="shared" si="6"/>
        <v>HSR RFE</v>
      </c>
      <c r="D481" s="15" t="s">
        <v>453</v>
      </c>
      <c r="E481" s="15" t="str">
        <f t="shared" si="7"/>
        <v>ASM RFE Grocery+SPT Vladivostok</v>
      </c>
      <c r="F481" s="15" t="s">
        <v>461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74</v>
      </c>
      <c r="B482" s="15" t="s">
        <v>438</v>
      </c>
      <c r="C482" s="15" t="str">
        <f t="shared" si="6"/>
        <v>HSR RFE</v>
      </c>
      <c r="D482" s="15" t="s">
        <v>453</v>
      </c>
      <c r="E482" s="15" t="str">
        <f t="shared" si="7"/>
        <v>ASM RFE Grocery+SPT Vladivostok</v>
      </c>
      <c r="F482" s="15" t="s">
        <v>461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81</v>
      </c>
      <c r="B483" s="15" t="s">
        <v>438</v>
      </c>
      <c r="C483" s="15" t="str">
        <f t="shared" si="6"/>
        <v>HSR RFE</v>
      </c>
      <c r="D483" s="15" t="s">
        <v>462</v>
      </c>
      <c r="E483" s="15" t="str">
        <f t="shared" si="7"/>
        <v>SPT Manager RFE</v>
      </c>
      <c r="F483" s="15" t="s">
        <v>463</v>
      </c>
      <c r="G483" s="15"/>
      <c r="H483" s="15" t="s">
        <v>421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87</v>
      </c>
      <c r="B484" s="15" t="s">
        <v>438</v>
      </c>
      <c r="C484" s="15" t="str">
        <f t="shared" si="6"/>
        <v>HSR RFE</v>
      </c>
      <c r="D484" s="15" t="s">
        <v>462</v>
      </c>
      <c r="E484" s="15" t="str">
        <f t="shared" si="7"/>
        <v>SPT Manager RFE</v>
      </c>
      <c r="F484" s="15" t="s">
        <v>463</v>
      </c>
      <c r="G484" s="15"/>
      <c r="H484" s="15" t="s">
        <v>424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449</v>
      </c>
      <c r="B485" s="15" t="s">
        <v>438</v>
      </c>
      <c r="C485" s="15" t="str">
        <f t="shared" si="6"/>
        <v>HSR RFE</v>
      </c>
      <c r="D485" s="15" t="s">
        <v>462</v>
      </c>
      <c r="E485" s="15" t="str">
        <f t="shared" si="7"/>
        <v>SPT Manager RFE</v>
      </c>
      <c r="F485" s="15" t="s">
        <v>463</v>
      </c>
      <c r="G485" s="15"/>
      <c r="H485" s="15" t="s">
        <v>421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425</v>
      </c>
      <c r="B486" s="15" t="s">
        <v>438</v>
      </c>
      <c r="C486" s="15" t="str">
        <f t="shared" si="6"/>
        <v>HSR RFE</v>
      </c>
      <c r="D486" s="15" t="s">
        <v>462</v>
      </c>
      <c r="E486" s="15" t="str">
        <f t="shared" si="7"/>
        <v>SPT Manager RFE</v>
      </c>
      <c r="F486" s="15" t="s">
        <v>463</v>
      </c>
      <c r="G486" s="15"/>
      <c r="H486" s="15" t="s">
        <v>424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90</v>
      </c>
      <c r="B487" s="15" t="s">
        <v>438</v>
      </c>
      <c r="C487" s="15" t="str">
        <f t="shared" si="6"/>
        <v>HSR RFE</v>
      </c>
      <c r="D487" s="15" t="s">
        <v>462</v>
      </c>
      <c r="E487" s="15" t="str">
        <f t="shared" si="7"/>
        <v>SPT Manager RFE</v>
      </c>
      <c r="F487" s="15" t="s">
        <v>463</v>
      </c>
      <c r="G487" s="15"/>
      <c r="H487" s="15" t="s">
        <v>424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427</v>
      </c>
      <c r="B488" s="15" t="s">
        <v>438</v>
      </c>
      <c r="C488" s="15" t="str">
        <f t="shared" si="6"/>
        <v>HSR RFE</v>
      </c>
      <c r="D488" s="15" t="s">
        <v>462</v>
      </c>
      <c r="E488" s="15" t="str">
        <f t="shared" si="7"/>
        <v>SPT Manager RFE</v>
      </c>
      <c r="F488" s="15" t="s">
        <v>463</v>
      </c>
      <c r="G488" s="15"/>
      <c r="H488" s="15" t="s">
        <v>421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66</v>
      </c>
      <c r="B489" s="15" t="s">
        <v>438</v>
      </c>
      <c r="C489" s="15" t="str">
        <f t="shared" si="6"/>
        <v>HSR RFE</v>
      </c>
      <c r="D489" s="15" t="s">
        <v>462</v>
      </c>
      <c r="E489" s="15" t="str">
        <f t="shared" si="7"/>
        <v>SPT Manager RFE</v>
      </c>
      <c r="F489" s="15" t="s">
        <v>463</v>
      </c>
      <c r="G489" s="15"/>
      <c r="H489" s="15" t="s">
        <v>421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431</v>
      </c>
      <c r="B490" s="15" t="s">
        <v>438</v>
      </c>
      <c r="C490" s="15" t="str">
        <f t="shared" si="6"/>
        <v>HSR RFE</v>
      </c>
      <c r="D490" s="15" t="s">
        <v>462</v>
      </c>
      <c r="E490" s="15" t="str">
        <f t="shared" si="7"/>
        <v>SPT Manager RFE</v>
      </c>
      <c r="F490" s="15" t="s">
        <v>463</v>
      </c>
      <c r="G490" s="15"/>
      <c r="H490" s="15" t="s">
        <v>450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458</v>
      </c>
      <c r="B491" s="15" t="s">
        <v>438</v>
      </c>
      <c r="C491" s="15" t="str">
        <f t="shared" si="6"/>
        <v>HSR RFE</v>
      </c>
      <c r="D491" s="15" t="s">
        <v>462</v>
      </c>
      <c r="E491" s="15" t="str">
        <f t="shared" si="7"/>
        <v>SPT Manager RFE</v>
      </c>
      <c r="F491" s="15" t="s">
        <v>463</v>
      </c>
      <c r="G491" s="15"/>
      <c r="H491" s="15" t="s">
        <v>442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65</v>
      </c>
      <c r="B492" s="15" t="s">
        <v>438</v>
      </c>
      <c r="C492" s="15" t="str">
        <f t="shared" si="6"/>
        <v>HSR RFE</v>
      </c>
      <c r="D492" s="15" t="s">
        <v>462</v>
      </c>
      <c r="E492" s="15" t="str">
        <f t="shared" si="7"/>
        <v>SPT Manager RFE</v>
      </c>
      <c r="F492" s="15" t="s">
        <v>463</v>
      </c>
      <c r="G492" s="15"/>
      <c r="H492" s="15" t="s">
        <v>421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74</v>
      </c>
      <c r="B493" s="15" t="s">
        <v>438</v>
      </c>
      <c r="C493" s="15" t="str">
        <f t="shared" si="6"/>
        <v>HSR RFE</v>
      </c>
      <c r="D493" s="15" t="s">
        <v>462</v>
      </c>
      <c r="E493" s="15" t="str">
        <f t="shared" si="7"/>
        <v>SPT Manager RFE</v>
      </c>
      <c r="F493" s="15" t="s">
        <v>463</v>
      </c>
      <c r="G493" s="15"/>
      <c r="H493" s="15" t="s">
        <v>450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74</v>
      </c>
      <c r="B494" s="15" t="s">
        <v>438</v>
      </c>
      <c r="C494" s="15" t="str">
        <f t="shared" si="6"/>
        <v>HSR RFE</v>
      </c>
      <c r="D494" s="15" t="s">
        <v>462</v>
      </c>
      <c r="E494" s="15" t="str">
        <f t="shared" si="7"/>
        <v>SPT Manager RFE</v>
      </c>
      <c r="F494" s="15" t="s">
        <v>463</v>
      </c>
      <c r="G494" s="15"/>
      <c r="H494" s="15" t="s">
        <v>421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420</v>
      </c>
      <c r="B495" s="15" t="s">
        <v>464</v>
      </c>
      <c r="C495" s="15" t="str">
        <f t="shared" si="6"/>
        <v>HSR Siberia</v>
      </c>
      <c r="D495" s="15" t="s">
        <v>465</v>
      </c>
      <c r="E495" s="15" t="str">
        <f t="shared" si="7"/>
        <v>TDM Siberia</v>
      </c>
      <c r="F495" s="15" t="s">
        <v>466</v>
      </c>
      <c r="G495" s="15"/>
      <c r="H495" s="15"/>
      <c r="I495" s="15"/>
      <c r="J495" s="15"/>
      <c r="K495" s="15" t="s">
        <v>343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420</v>
      </c>
      <c r="B496" s="15" t="s">
        <v>464</v>
      </c>
      <c r="C496" s="15" t="str">
        <f t="shared" si="6"/>
        <v>HSR Siberia</v>
      </c>
      <c r="D496" s="15" t="s">
        <v>465</v>
      </c>
      <c r="E496" s="15" t="str">
        <f t="shared" si="7"/>
        <v>TDM Siberia</v>
      </c>
      <c r="F496" s="15" t="s">
        <v>467</v>
      </c>
      <c r="G496" s="15"/>
      <c r="H496" s="15"/>
      <c r="I496" s="15"/>
      <c r="J496" s="15"/>
      <c r="K496" s="15" t="s">
        <v>343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383</v>
      </c>
      <c r="B497" s="15" t="s">
        <v>464</v>
      </c>
      <c r="C497" s="15" t="str">
        <f t="shared" si="6"/>
        <v>HSR Siberia</v>
      </c>
      <c r="D497" s="15" t="s">
        <v>465</v>
      </c>
      <c r="E497" s="15" t="str">
        <f t="shared" si="7"/>
        <v>TDM Siberia</v>
      </c>
      <c r="F497" s="15" t="s">
        <v>468</v>
      </c>
      <c r="G497" s="15"/>
      <c r="H497" s="15"/>
      <c r="I497" s="15"/>
      <c r="J497" s="15"/>
      <c r="K497" s="15" t="s">
        <v>343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383</v>
      </c>
      <c r="B498" s="15" t="s">
        <v>464</v>
      </c>
      <c r="C498" s="15" t="str">
        <f t="shared" si="6"/>
        <v>HSR Siberia</v>
      </c>
      <c r="D498" s="15" t="s">
        <v>465</v>
      </c>
      <c r="E498" s="15" t="str">
        <f t="shared" si="7"/>
        <v>TDM Siberia</v>
      </c>
      <c r="F498" s="15" t="s">
        <v>466</v>
      </c>
      <c r="G498" s="15"/>
      <c r="H498" s="15"/>
      <c r="I498" s="15"/>
      <c r="J498" s="15"/>
      <c r="K498" s="15" t="s">
        <v>343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383</v>
      </c>
      <c r="B499" s="15" t="s">
        <v>464</v>
      </c>
      <c r="C499" s="15" t="str">
        <f t="shared" si="6"/>
        <v>HSR Siberia</v>
      </c>
      <c r="D499" s="15" t="s">
        <v>465</v>
      </c>
      <c r="E499" s="15" t="str">
        <f t="shared" si="7"/>
        <v>TDM Siberia</v>
      </c>
      <c r="F499" s="15" t="s">
        <v>467</v>
      </c>
      <c r="G499" s="15"/>
      <c r="H499" s="15"/>
      <c r="I499" s="15"/>
      <c r="J499" s="15"/>
      <c r="K499" s="15" t="s">
        <v>343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344</v>
      </c>
      <c r="B500" s="15" t="s">
        <v>464</v>
      </c>
      <c r="C500" s="15" t="str">
        <f t="shared" si="6"/>
        <v>HSR Siberia</v>
      </c>
      <c r="D500" s="15" t="s">
        <v>465</v>
      </c>
      <c r="E500" s="15" t="str">
        <f t="shared" si="7"/>
        <v>TDM Siberia</v>
      </c>
      <c r="F500" s="15" t="s">
        <v>468</v>
      </c>
      <c r="G500" s="15"/>
      <c r="H500" s="15"/>
      <c r="I500" s="15"/>
      <c r="J500" s="15"/>
      <c r="K500" s="15" t="s">
        <v>343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344</v>
      </c>
      <c r="B501" s="15" t="s">
        <v>464</v>
      </c>
      <c r="C501" s="15" t="str">
        <f t="shared" si="6"/>
        <v>HSR Siberia</v>
      </c>
      <c r="D501" s="15" t="s">
        <v>465</v>
      </c>
      <c r="E501" s="15" t="str">
        <f t="shared" si="7"/>
        <v>TDM Siberia</v>
      </c>
      <c r="F501" s="15" t="s">
        <v>466</v>
      </c>
      <c r="G501" s="15"/>
      <c r="H501" s="15"/>
      <c r="I501" s="15"/>
      <c r="J501" s="15"/>
      <c r="K501" s="15" t="s">
        <v>343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344</v>
      </c>
      <c r="B502" s="15" t="s">
        <v>464</v>
      </c>
      <c r="C502" s="15" t="str">
        <f t="shared" si="6"/>
        <v>HSR Siberia</v>
      </c>
      <c r="D502" s="15" t="s">
        <v>465</v>
      </c>
      <c r="E502" s="15" t="str">
        <f t="shared" si="7"/>
        <v>TDM Siberia</v>
      </c>
      <c r="F502" s="15" t="s">
        <v>467</v>
      </c>
      <c r="G502" s="15"/>
      <c r="H502" s="15"/>
      <c r="I502" s="15"/>
      <c r="J502" s="15"/>
      <c r="K502" s="15" t="s">
        <v>343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135</v>
      </c>
      <c r="B503" s="15" t="s">
        <v>464</v>
      </c>
      <c r="C503" s="15" t="str">
        <f t="shared" si="6"/>
        <v>HSR Siberia</v>
      </c>
      <c r="D503" s="15" t="s">
        <v>465</v>
      </c>
      <c r="E503" s="15" t="str">
        <f t="shared" si="7"/>
        <v>TDM Siberia</v>
      </c>
      <c r="F503" s="15" t="s">
        <v>468</v>
      </c>
      <c r="G503" s="15"/>
      <c r="H503" s="15"/>
      <c r="I503" s="15"/>
      <c r="J503" s="15"/>
      <c r="K503" s="15" t="s">
        <v>343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135</v>
      </c>
      <c r="B504" s="15" t="s">
        <v>464</v>
      </c>
      <c r="C504" s="15" t="str">
        <f t="shared" si="6"/>
        <v>HSR Siberia</v>
      </c>
      <c r="D504" s="15" t="s">
        <v>465</v>
      </c>
      <c r="E504" s="15" t="str">
        <f t="shared" si="7"/>
        <v>TDM Siberia</v>
      </c>
      <c r="F504" s="15" t="s">
        <v>466</v>
      </c>
      <c r="G504" s="15"/>
      <c r="H504" s="15"/>
      <c r="I504" s="15"/>
      <c r="J504" s="15"/>
      <c r="K504" s="15" t="s">
        <v>343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135</v>
      </c>
      <c r="B505" s="15" t="s">
        <v>464</v>
      </c>
      <c r="C505" s="15" t="str">
        <f t="shared" si="6"/>
        <v>HSR Siberia</v>
      </c>
      <c r="D505" s="15" t="s">
        <v>465</v>
      </c>
      <c r="E505" s="15" t="str">
        <f t="shared" si="7"/>
        <v>TDM Siberia</v>
      </c>
      <c r="F505" s="15" t="s">
        <v>467</v>
      </c>
      <c r="G505" s="15"/>
      <c r="H505" s="15"/>
      <c r="I505" s="15"/>
      <c r="J505" s="15"/>
      <c r="K505" s="15" t="s">
        <v>343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127</v>
      </c>
      <c r="B506" s="15" t="s">
        <v>464</v>
      </c>
      <c r="C506" s="15" t="str">
        <f t="shared" si="6"/>
        <v>HSR Siberia</v>
      </c>
      <c r="D506" s="15" t="s">
        <v>465</v>
      </c>
      <c r="E506" s="15" t="str">
        <f t="shared" si="7"/>
        <v>TDM Siberia</v>
      </c>
      <c r="F506" s="15" t="s">
        <v>468</v>
      </c>
      <c r="G506" s="15"/>
      <c r="H506" s="15"/>
      <c r="I506" s="15"/>
      <c r="J506" s="15"/>
      <c r="K506" s="15" t="s">
        <v>343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127</v>
      </c>
      <c r="B507" s="15" t="s">
        <v>464</v>
      </c>
      <c r="C507" s="15" t="str">
        <f t="shared" si="6"/>
        <v>HSR Siberia</v>
      </c>
      <c r="D507" s="15" t="s">
        <v>465</v>
      </c>
      <c r="E507" s="15" t="str">
        <f t="shared" si="7"/>
        <v>TDM Siberia</v>
      </c>
      <c r="F507" s="15" t="s">
        <v>466</v>
      </c>
      <c r="G507" s="15"/>
      <c r="H507" s="15"/>
      <c r="I507" s="15"/>
      <c r="J507" s="15"/>
      <c r="K507" s="15" t="s">
        <v>343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127</v>
      </c>
      <c r="B508" s="15" t="s">
        <v>464</v>
      </c>
      <c r="C508" s="15" t="str">
        <f t="shared" si="6"/>
        <v>HSR Siberia</v>
      </c>
      <c r="D508" s="15" t="s">
        <v>465</v>
      </c>
      <c r="E508" s="15" t="str">
        <f t="shared" si="7"/>
        <v>TDM Siberia</v>
      </c>
      <c r="F508" s="15" t="s">
        <v>467</v>
      </c>
      <c r="G508" s="15"/>
      <c r="H508" s="15"/>
      <c r="I508" s="15"/>
      <c r="J508" s="15"/>
      <c r="K508" s="15" t="s">
        <v>343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123</v>
      </c>
      <c r="B509" s="15" t="s">
        <v>464</v>
      </c>
      <c r="C509" s="15" t="str">
        <f t="shared" si="6"/>
        <v>HSR Siberia</v>
      </c>
      <c r="D509" s="15" t="s">
        <v>465</v>
      </c>
      <c r="E509" s="15" t="str">
        <f t="shared" si="7"/>
        <v>TDM Siberia</v>
      </c>
      <c r="F509" s="15" t="s">
        <v>468</v>
      </c>
      <c r="G509" s="15"/>
      <c r="H509" s="15"/>
      <c r="I509" s="15"/>
      <c r="J509" s="15"/>
      <c r="K509" s="15" t="s">
        <v>343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123</v>
      </c>
      <c r="B510" s="15" t="s">
        <v>464</v>
      </c>
      <c r="C510" s="15" t="str">
        <f t="shared" si="6"/>
        <v>HSR Siberia</v>
      </c>
      <c r="D510" s="15" t="s">
        <v>465</v>
      </c>
      <c r="E510" s="15" t="str">
        <f t="shared" si="7"/>
        <v>TDM Siberia</v>
      </c>
      <c r="F510" s="15" t="s">
        <v>466</v>
      </c>
      <c r="G510" s="15"/>
      <c r="H510" s="15"/>
      <c r="I510" s="15"/>
      <c r="J510" s="15"/>
      <c r="K510" s="15" t="s">
        <v>343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123</v>
      </c>
      <c r="B511" s="15" t="s">
        <v>464</v>
      </c>
      <c r="C511" s="15" t="str">
        <f t="shared" si="6"/>
        <v>HSR Siberia</v>
      </c>
      <c r="D511" s="15" t="s">
        <v>465</v>
      </c>
      <c r="E511" s="15" t="str">
        <f t="shared" si="7"/>
        <v>TDM Siberia</v>
      </c>
      <c r="F511" s="15" t="s">
        <v>467</v>
      </c>
      <c r="G511" s="15"/>
      <c r="H511" s="15"/>
      <c r="I511" s="15"/>
      <c r="J511" s="15"/>
      <c r="K511" s="15" t="s">
        <v>343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133</v>
      </c>
      <c r="B512" s="15" t="s">
        <v>464</v>
      </c>
      <c r="C512" s="15" t="str">
        <f t="shared" si="6"/>
        <v>HSR Siberia</v>
      </c>
      <c r="D512" s="15" t="s">
        <v>465</v>
      </c>
      <c r="E512" s="15" t="str">
        <f t="shared" si="7"/>
        <v>TDM Siberia</v>
      </c>
      <c r="F512" s="15" t="s">
        <v>468</v>
      </c>
      <c r="G512" s="15"/>
      <c r="H512" s="15"/>
      <c r="I512" s="15"/>
      <c r="J512" s="15"/>
      <c r="K512" s="15" t="s">
        <v>343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133</v>
      </c>
      <c r="B513" s="15" t="s">
        <v>464</v>
      </c>
      <c r="C513" s="15" t="str">
        <f t="shared" si="6"/>
        <v>HSR Siberia</v>
      </c>
      <c r="D513" s="15" t="s">
        <v>465</v>
      </c>
      <c r="E513" s="15" t="str">
        <f t="shared" si="7"/>
        <v>TDM Siberia</v>
      </c>
      <c r="F513" s="15" t="s">
        <v>466</v>
      </c>
      <c r="G513" s="15"/>
      <c r="H513" s="15"/>
      <c r="I513" s="15"/>
      <c r="J513" s="15"/>
      <c r="K513" s="15" t="s">
        <v>343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133</v>
      </c>
      <c r="B514" s="15" t="s">
        <v>464</v>
      </c>
      <c r="C514" s="15" t="str">
        <f t="shared" si="6"/>
        <v>HSR Siberia</v>
      </c>
      <c r="D514" s="15" t="s">
        <v>465</v>
      </c>
      <c r="E514" s="15" t="str">
        <f t="shared" si="7"/>
        <v>TDM Siberia</v>
      </c>
      <c r="F514" s="15" t="s">
        <v>467</v>
      </c>
      <c r="G514" s="15"/>
      <c r="H514" s="15"/>
      <c r="I514" s="15"/>
      <c r="J514" s="15"/>
      <c r="K514" s="15" t="s">
        <v>343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139</v>
      </c>
      <c r="B515" s="15" t="s">
        <v>464</v>
      </c>
      <c r="C515" s="15" t="str">
        <f t="shared" si="6"/>
        <v>HSR Siberia</v>
      </c>
      <c r="D515" s="15" t="s">
        <v>465</v>
      </c>
      <c r="E515" s="15" t="str">
        <f t="shared" si="7"/>
        <v>TDM Siberia</v>
      </c>
      <c r="F515" s="15" t="s">
        <v>466</v>
      </c>
      <c r="G515" s="15"/>
      <c r="H515" s="15"/>
      <c r="I515" s="15"/>
      <c r="J515" s="15"/>
      <c r="K515" s="15" t="s">
        <v>343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138</v>
      </c>
      <c r="B516" s="15" t="s">
        <v>464</v>
      </c>
      <c r="C516" s="15" t="str">
        <f t="shared" si="6"/>
        <v>HSR Siberia</v>
      </c>
      <c r="D516" s="15" t="s">
        <v>465</v>
      </c>
      <c r="E516" s="15" t="str">
        <f t="shared" si="7"/>
        <v>TDM Siberia</v>
      </c>
      <c r="F516" s="15" t="s">
        <v>466</v>
      </c>
      <c r="G516" s="15"/>
      <c r="H516" s="15"/>
      <c r="I516" s="15"/>
      <c r="J516" s="15"/>
      <c r="K516" s="15" t="s">
        <v>343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138</v>
      </c>
      <c r="B517" s="15" t="s">
        <v>464</v>
      </c>
      <c r="C517" s="15" t="str">
        <f t="shared" ref="C517:C580" si="8">B517</f>
        <v>HSR Siberia</v>
      </c>
      <c r="D517" s="15" t="s">
        <v>465</v>
      </c>
      <c r="E517" s="15" t="str">
        <f t="shared" ref="E517:E580" si="9">D517</f>
        <v>TDM Siberia</v>
      </c>
      <c r="F517" s="15" t="s">
        <v>467</v>
      </c>
      <c r="G517" s="15"/>
      <c r="H517" s="15"/>
      <c r="I517" s="15"/>
      <c r="J517" s="15"/>
      <c r="K517" s="15" t="s">
        <v>343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148</v>
      </c>
      <c r="B518" s="15" t="s">
        <v>464</v>
      </c>
      <c r="C518" s="15" t="str">
        <f t="shared" si="8"/>
        <v>HSR Siberia</v>
      </c>
      <c r="D518" s="15" t="s">
        <v>469</v>
      </c>
      <c r="E518" s="15" t="str">
        <f t="shared" si="9"/>
        <v>RADM Siberia</v>
      </c>
      <c r="F518" s="15" t="s">
        <v>470</v>
      </c>
      <c r="G518" s="15"/>
      <c r="H518" s="15"/>
      <c r="I518" s="15"/>
      <c r="J518" s="15"/>
      <c r="K518" s="15" t="s">
        <v>343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146</v>
      </c>
      <c r="B519" s="15" t="s">
        <v>464</v>
      </c>
      <c r="C519" s="15" t="str">
        <f t="shared" si="8"/>
        <v>HSR Siberia</v>
      </c>
      <c r="D519" s="15" t="s">
        <v>469</v>
      </c>
      <c r="E519" s="15" t="str">
        <f t="shared" si="9"/>
        <v>RADM Siberia</v>
      </c>
      <c r="F519" s="15" t="s">
        <v>470</v>
      </c>
      <c r="G519" s="15"/>
      <c r="H519" s="15"/>
      <c r="I519" s="15"/>
      <c r="J519" s="15"/>
      <c r="K519" s="15" t="s">
        <v>343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141</v>
      </c>
      <c r="B520" s="15" t="s">
        <v>464</v>
      </c>
      <c r="C520" s="15" t="str">
        <f t="shared" si="8"/>
        <v>HSR Siberia</v>
      </c>
      <c r="D520" s="15" t="s">
        <v>469</v>
      </c>
      <c r="E520" s="15" t="str">
        <f t="shared" si="9"/>
        <v>RADM Siberia</v>
      </c>
      <c r="F520" s="15" t="s">
        <v>470</v>
      </c>
      <c r="G520" s="15"/>
      <c r="H520" s="15"/>
      <c r="I520" s="15"/>
      <c r="J520" s="15"/>
      <c r="K520" s="15" t="s">
        <v>343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145</v>
      </c>
      <c r="B521" s="15" t="s">
        <v>464</v>
      </c>
      <c r="C521" s="15" t="str">
        <f t="shared" si="8"/>
        <v>HSR Siberia</v>
      </c>
      <c r="D521" s="15" t="s">
        <v>469</v>
      </c>
      <c r="E521" s="15" t="str">
        <f t="shared" si="9"/>
        <v>RADM Siberia</v>
      </c>
      <c r="F521" s="15" t="s">
        <v>470</v>
      </c>
      <c r="G521" s="15"/>
      <c r="H521" s="15"/>
      <c r="I521" s="15"/>
      <c r="J521" s="15"/>
      <c r="K521" s="15" t="s">
        <v>343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151</v>
      </c>
      <c r="B522" s="15" t="s">
        <v>464</v>
      </c>
      <c r="C522" s="15" t="str">
        <f t="shared" si="8"/>
        <v>HSR Siberia</v>
      </c>
      <c r="D522" s="15" t="s">
        <v>469</v>
      </c>
      <c r="E522" s="15" t="str">
        <f t="shared" si="9"/>
        <v>RADM Siberia</v>
      </c>
      <c r="F522" s="15" t="s">
        <v>470</v>
      </c>
      <c r="G522" s="15"/>
      <c r="H522" s="15"/>
      <c r="I522" s="15"/>
      <c r="J522" s="15"/>
      <c r="K522" s="15" t="s">
        <v>343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118</v>
      </c>
      <c r="B523" s="15" t="s">
        <v>464</v>
      </c>
      <c r="C523" s="15" t="str">
        <f t="shared" si="8"/>
        <v>HSR Siberia</v>
      </c>
      <c r="D523" s="15" t="s">
        <v>469</v>
      </c>
      <c r="E523" s="15" t="str">
        <f t="shared" si="9"/>
        <v>RADM Siberia</v>
      </c>
      <c r="F523" s="15" t="s">
        <v>470</v>
      </c>
      <c r="G523" s="15"/>
      <c r="H523" s="15"/>
      <c r="I523" s="15"/>
      <c r="J523" s="15"/>
      <c r="K523" s="15" t="s">
        <v>343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120</v>
      </c>
      <c r="B524" s="15" t="s">
        <v>464</v>
      </c>
      <c r="C524" s="15" t="str">
        <f t="shared" si="8"/>
        <v>HSR Siberia</v>
      </c>
      <c r="D524" s="15" t="s">
        <v>469</v>
      </c>
      <c r="E524" s="15" t="str">
        <f t="shared" si="9"/>
        <v>RADM Siberia</v>
      </c>
      <c r="F524" s="15" t="s">
        <v>470</v>
      </c>
      <c r="G524" s="15"/>
      <c r="H524" s="15"/>
      <c r="I524" s="15"/>
      <c r="J524" s="15"/>
      <c r="K524" s="15" t="s">
        <v>343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102</v>
      </c>
      <c r="B525" s="15" t="s">
        <v>464</v>
      </c>
      <c r="C525" s="15" t="str">
        <f t="shared" si="8"/>
        <v>HSR Siberia</v>
      </c>
      <c r="D525" s="15" t="s">
        <v>469</v>
      </c>
      <c r="E525" s="15" t="str">
        <f t="shared" si="9"/>
        <v>RADM Siberia</v>
      </c>
      <c r="F525" s="15" t="s">
        <v>470</v>
      </c>
      <c r="G525" s="15"/>
      <c r="H525" s="15"/>
      <c r="I525" s="15"/>
      <c r="J525" s="15"/>
      <c r="K525" s="15" t="s">
        <v>343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103</v>
      </c>
      <c r="B526" s="15" t="s">
        <v>464</v>
      </c>
      <c r="C526" s="15" t="str">
        <f t="shared" si="8"/>
        <v>HSR Siberia</v>
      </c>
      <c r="D526" s="15" t="s">
        <v>469</v>
      </c>
      <c r="E526" s="15" t="str">
        <f t="shared" si="9"/>
        <v>RADM Siberia</v>
      </c>
      <c r="F526" s="15" t="s">
        <v>470</v>
      </c>
      <c r="G526" s="15"/>
      <c r="H526" s="15"/>
      <c r="I526" s="15"/>
      <c r="J526" s="15"/>
      <c r="K526" s="15" t="s">
        <v>343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105</v>
      </c>
      <c r="B527" s="15" t="s">
        <v>464</v>
      </c>
      <c r="C527" s="15" t="str">
        <f t="shared" si="8"/>
        <v>HSR Siberia</v>
      </c>
      <c r="D527" s="15" t="s">
        <v>469</v>
      </c>
      <c r="E527" s="15" t="str">
        <f t="shared" si="9"/>
        <v>RADM Siberia</v>
      </c>
      <c r="F527" s="15" t="s">
        <v>470</v>
      </c>
      <c r="G527" s="15"/>
      <c r="H527" s="15"/>
      <c r="I527" s="15"/>
      <c r="J527" s="15"/>
      <c r="K527" s="15" t="s">
        <v>343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56</v>
      </c>
      <c r="B528" s="15" t="s">
        <v>464</v>
      </c>
      <c r="C528" s="15" t="str">
        <f t="shared" si="8"/>
        <v>HSR Siberia</v>
      </c>
      <c r="D528" s="15" t="s">
        <v>469</v>
      </c>
      <c r="E528" s="15" t="str">
        <f t="shared" si="9"/>
        <v>RADM Siberia</v>
      </c>
      <c r="F528" s="15" t="s">
        <v>470</v>
      </c>
      <c r="G528" s="15"/>
      <c r="H528" s="15"/>
      <c r="I528" s="15"/>
      <c r="J528" s="15"/>
      <c r="K528" s="15" t="s">
        <v>343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55</v>
      </c>
      <c r="B529" s="15" t="s">
        <v>464</v>
      </c>
      <c r="C529" s="15" t="str">
        <f t="shared" si="8"/>
        <v>HSR Siberia</v>
      </c>
      <c r="D529" s="15" t="s">
        <v>469</v>
      </c>
      <c r="E529" s="15" t="str">
        <f t="shared" si="9"/>
        <v>RADM Siberia</v>
      </c>
      <c r="F529" s="15" t="s">
        <v>470</v>
      </c>
      <c r="G529" s="15"/>
      <c r="H529" s="15"/>
      <c r="I529" s="15"/>
      <c r="J529" s="15"/>
      <c r="K529" s="15" t="s">
        <v>343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51</v>
      </c>
      <c r="B530" s="15" t="s">
        <v>464</v>
      </c>
      <c r="C530" s="15" t="str">
        <f t="shared" si="8"/>
        <v>HSR Siberia</v>
      </c>
      <c r="D530" s="15" t="s">
        <v>469</v>
      </c>
      <c r="E530" s="15" t="str">
        <f t="shared" si="9"/>
        <v>RADM Siberia</v>
      </c>
      <c r="F530" s="15" t="s">
        <v>470</v>
      </c>
      <c r="G530" s="15"/>
      <c r="H530" s="15"/>
      <c r="I530" s="15"/>
      <c r="J530" s="15"/>
      <c r="K530" s="15" t="s">
        <v>343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55</v>
      </c>
      <c r="B531" s="15" t="s">
        <v>464</v>
      </c>
      <c r="C531" s="15" t="str">
        <f t="shared" si="8"/>
        <v>HSR Siberia</v>
      </c>
      <c r="D531" s="15" t="s">
        <v>469</v>
      </c>
      <c r="E531" s="15" t="str">
        <f t="shared" si="9"/>
        <v>RADM Siberia</v>
      </c>
      <c r="F531" s="15" t="s">
        <v>470</v>
      </c>
      <c r="G531" s="15"/>
      <c r="H531" s="15"/>
      <c r="I531" s="15"/>
      <c r="J531" s="15"/>
      <c r="K531" s="15" t="s">
        <v>343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333</v>
      </c>
      <c r="B532" s="15" t="s">
        <v>464</v>
      </c>
      <c r="C532" s="15" t="str">
        <f t="shared" si="8"/>
        <v>HSR Siberia</v>
      </c>
      <c r="D532" s="15" t="s">
        <v>469</v>
      </c>
      <c r="E532" s="15" t="str">
        <f t="shared" si="9"/>
        <v>RADM Siberia</v>
      </c>
      <c r="F532" s="15" t="s">
        <v>470</v>
      </c>
      <c r="G532" s="15"/>
      <c r="H532" s="15"/>
      <c r="I532" s="15"/>
      <c r="J532" s="15"/>
      <c r="K532" s="15" t="s">
        <v>472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22</v>
      </c>
      <c r="B533" s="15" t="s">
        <v>464</v>
      </c>
      <c r="C533" s="15" t="str">
        <f t="shared" si="8"/>
        <v>HSR Siberia</v>
      </c>
      <c r="D533" s="15" t="s">
        <v>469</v>
      </c>
      <c r="E533" s="15" t="str">
        <f t="shared" si="9"/>
        <v>RADM Siberia</v>
      </c>
      <c r="F533" s="15" t="s">
        <v>470</v>
      </c>
      <c r="G533" s="15"/>
      <c r="H533" s="15"/>
      <c r="I533" s="15"/>
      <c r="J533" s="15"/>
      <c r="K533" s="15" t="s">
        <v>472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21</v>
      </c>
      <c r="B534" s="15" t="s">
        <v>464</v>
      </c>
      <c r="C534" s="15" t="str">
        <f t="shared" si="8"/>
        <v>HSR Siberia</v>
      </c>
      <c r="D534" s="15" t="s">
        <v>469</v>
      </c>
      <c r="E534" s="15" t="str">
        <f t="shared" si="9"/>
        <v>RADM Siberia</v>
      </c>
      <c r="F534" s="15" t="s">
        <v>470</v>
      </c>
      <c r="G534" s="15"/>
      <c r="H534" s="15"/>
      <c r="I534" s="15"/>
      <c r="J534" s="15"/>
      <c r="K534" s="15" t="s">
        <v>472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17</v>
      </c>
      <c r="B535" s="15" t="s">
        <v>464</v>
      </c>
      <c r="C535" s="15" t="str">
        <f t="shared" si="8"/>
        <v>HSR Siberia</v>
      </c>
      <c r="D535" s="15" t="s">
        <v>469</v>
      </c>
      <c r="E535" s="15" t="str">
        <f t="shared" si="9"/>
        <v>RADM Siberia</v>
      </c>
      <c r="F535" s="15" t="s">
        <v>470</v>
      </c>
      <c r="G535" s="15"/>
      <c r="H535" s="15"/>
      <c r="I535" s="15"/>
      <c r="J535" s="15"/>
      <c r="K535" s="15" t="s">
        <v>472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20</v>
      </c>
      <c r="B536" s="15" t="s">
        <v>464</v>
      </c>
      <c r="C536" s="15" t="str">
        <f t="shared" si="8"/>
        <v>HSR Siberia</v>
      </c>
      <c r="D536" s="15" t="s">
        <v>469</v>
      </c>
      <c r="E536" s="15" t="str">
        <f t="shared" si="9"/>
        <v>RADM Siberia</v>
      </c>
      <c r="F536" s="15" t="s">
        <v>470</v>
      </c>
      <c r="G536" s="15"/>
      <c r="H536" s="15"/>
      <c r="I536" s="15"/>
      <c r="J536" s="15"/>
      <c r="K536" s="15" t="s">
        <v>472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150</v>
      </c>
      <c r="B537" s="15" t="s">
        <v>464</v>
      </c>
      <c r="C537" s="15" t="str">
        <f t="shared" si="8"/>
        <v>HSR Siberia</v>
      </c>
      <c r="D537" s="15" t="s">
        <v>469</v>
      </c>
      <c r="E537" s="15" t="str">
        <f t="shared" si="9"/>
        <v>RADM Siberia</v>
      </c>
      <c r="F537" s="15" t="s">
        <v>470</v>
      </c>
      <c r="G537" s="15"/>
      <c r="H537" s="15"/>
      <c r="I537" s="15"/>
      <c r="J537" s="15"/>
      <c r="K537" s="15" t="s">
        <v>472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18</v>
      </c>
      <c r="B538" s="15" t="s">
        <v>464</v>
      </c>
      <c r="C538" s="15" t="str">
        <f t="shared" si="8"/>
        <v>HSR Siberia</v>
      </c>
      <c r="D538" s="15" t="s">
        <v>469</v>
      </c>
      <c r="E538" s="15" t="str">
        <f t="shared" si="9"/>
        <v>RADM Siberia</v>
      </c>
      <c r="F538" s="15" t="s">
        <v>470</v>
      </c>
      <c r="G538" s="15"/>
      <c r="H538" s="15"/>
      <c r="I538" s="15"/>
      <c r="J538" s="15"/>
      <c r="K538" s="15" t="s">
        <v>472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383</v>
      </c>
      <c r="B539" s="15" t="s">
        <v>464</v>
      </c>
      <c r="C539" s="15" t="str">
        <f t="shared" si="8"/>
        <v>HSR Siberia</v>
      </c>
      <c r="D539" s="15" t="s">
        <v>469</v>
      </c>
      <c r="E539" s="15" t="str">
        <f t="shared" si="9"/>
        <v>RADM Siberia</v>
      </c>
      <c r="F539" s="15" t="s">
        <v>470</v>
      </c>
      <c r="G539" s="15"/>
      <c r="H539" s="15"/>
      <c r="I539" s="15"/>
      <c r="J539" s="15"/>
      <c r="K539" s="15" t="s">
        <v>343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344</v>
      </c>
      <c r="B540" s="15" t="s">
        <v>464</v>
      </c>
      <c r="C540" s="15" t="str">
        <f t="shared" si="8"/>
        <v>HSR Siberia</v>
      </c>
      <c r="D540" s="15" t="s">
        <v>469</v>
      </c>
      <c r="E540" s="15" t="str">
        <f t="shared" si="9"/>
        <v>RADM Siberia</v>
      </c>
      <c r="F540" s="15" t="s">
        <v>470</v>
      </c>
      <c r="G540" s="15"/>
      <c r="H540" s="15"/>
      <c r="I540" s="15"/>
      <c r="J540" s="15"/>
      <c r="K540" s="15" t="s">
        <v>343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135</v>
      </c>
      <c r="B541" s="15" t="s">
        <v>464</v>
      </c>
      <c r="C541" s="15" t="str">
        <f t="shared" si="8"/>
        <v>HSR Siberia</v>
      </c>
      <c r="D541" s="15" t="s">
        <v>469</v>
      </c>
      <c r="E541" s="15" t="str">
        <f t="shared" si="9"/>
        <v>RADM Siberia</v>
      </c>
      <c r="F541" s="15" t="s">
        <v>470</v>
      </c>
      <c r="G541" s="15"/>
      <c r="H541" s="15"/>
      <c r="I541" s="15"/>
      <c r="J541" s="15"/>
      <c r="K541" s="15" t="s">
        <v>343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127</v>
      </c>
      <c r="B542" s="15" t="s">
        <v>464</v>
      </c>
      <c r="C542" s="15" t="str">
        <f t="shared" si="8"/>
        <v>HSR Siberia</v>
      </c>
      <c r="D542" s="15" t="s">
        <v>469</v>
      </c>
      <c r="E542" s="15" t="str">
        <f t="shared" si="9"/>
        <v>RADM Siberia</v>
      </c>
      <c r="F542" s="15" t="s">
        <v>470</v>
      </c>
      <c r="G542" s="15"/>
      <c r="H542" s="15"/>
      <c r="I542" s="15"/>
      <c r="J542" s="15"/>
      <c r="K542" s="15" t="s">
        <v>343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123</v>
      </c>
      <c r="B543" s="15" t="s">
        <v>464</v>
      </c>
      <c r="C543" s="15" t="str">
        <f t="shared" si="8"/>
        <v>HSR Siberia</v>
      </c>
      <c r="D543" s="15" t="s">
        <v>469</v>
      </c>
      <c r="E543" s="15" t="str">
        <f t="shared" si="9"/>
        <v>RADM Siberia</v>
      </c>
      <c r="F543" s="15" t="s">
        <v>470</v>
      </c>
      <c r="G543" s="15"/>
      <c r="H543" s="15"/>
      <c r="I543" s="15"/>
      <c r="J543" s="15"/>
      <c r="K543" s="15" t="s">
        <v>343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133</v>
      </c>
      <c r="B544" s="15" t="s">
        <v>464</v>
      </c>
      <c r="C544" s="15" t="str">
        <f t="shared" si="8"/>
        <v>HSR Siberia</v>
      </c>
      <c r="D544" s="15" t="s">
        <v>469</v>
      </c>
      <c r="E544" s="15" t="str">
        <f t="shared" si="9"/>
        <v>RADM Siberia</v>
      </c>
      <c r="F544" s="15" t="s">
        <v>470</v>
      </c>
      <c r="G544" s="15"/>
      <c r="H544" s="15"/>
      <c r="I544" s="15"/>
      <c r="J544" s="15">
        <v>1</v>
      </c>
      <c r="K544" s="15" t="s">
        <v>343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383</v>
      </c>
      <c r="B545" s="15" t="s">
        <v>464</v>
      </c>
      <c r="C545" s="15" t="str">
        <f t="shared" si="8"/>
        <v>HSR Siberia</v>
      </c>
      <c r="D545" s="15" t="s">
        <v>465</v>
      </c>
      <c r="E545" s="15" t="str">
        <f t="shared" si="9"/>
        <v>TDM Siberia</v>
      </c>
      <c r="F545" s="15" t="s">
        <v>473</v>
      </c>
      <c r="G545" s="15"/>
      <c r="H545" s="15"/>
      <c r="I545" s="15"/>
      <c r="J545" s="15"/>
      <c r="K545" s="15" t="s">
        <v>343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344</v>
      </c>
      <c r="B546" s="15" t="s">
        <v>464</v>
      </c>
      <c r="C546" s="15" t="str">
        <f t="shared" si="8"/>
        <v>HSR Siberia</v>
      </c>
      <c r="D546" s="15" t="s">
        <v>465</v>
      </c>
      <c r="E546" s="15" t="str">
        <f t="shared" si="9"/>
        <v>TDM Siberia</v>
      </c>
      <c r="F546" s="15" t="s">
        <v>473</v>
      </c>
      <c r="G546" s="15"/>
      <c r="H546" s="15"/>
      <c r="I546" s="15"/>
      <c r="J546" s="15"/>
      <c r="K546" s="15" t="s">
        <v>343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135</v>
      </c>
      <c r="B547" s="15" t="s">
        <v>464</v>
      </c>
      <c r="C547" s="15" t="str">
        <f t="shared" si="8"/>
        <v>HSR Siberia</v>
      </c>
      <c r="D547" s="15" t="s">
        <v>465</v>
      </c>
      <c r="E547" s="15" t="str">
        <f t="shared" si="9"/>
        <v>TDM Siberia</v>
      </c>
      <c r="F547" s="15" t="s">
        <v>473</v>
      </c>
      <c r="G547" s="15"/>
      <c r="H547" s="15"/>
      <c r="I547" s="15"/>
      <c r="J547" s="15"/>
      <c r="K547" s="15" t="s">
        <v>343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127</v>
      </c>
      <c r="B548" s="15" t="s">
        <v>464</v>
      </c>
      <c r="C548" s="15" t="str">
        <f t="shared" si="8"/>
        <v>HSR Siberia</v>
      </c>
      <c r="D548" s="15" t="s">
        <v>465</v>
      </c>
      <c r="E548" s="15" t="str">
        <f t="shared" si="9"/>
        <v>TDM Siberia</v>
      </c>
      <c r="F548" s="15" t="s">
        <v>473</v>
      </c>
      <c r="G548" s="15"/>
      <c r="H548" s="15"/>
      <c r="I548" s="15"/>
      <c r="J548" s="15"/>
      <c r="K548" s="15" t="s">
        <v>343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123</v>
      </c>
      <c r="B549" s="15" t="s">
        <v>464</v>
      </c>
      <c r="C549" s="15" t="str">
        <f t="shared" si="8"/>
        <v>HSR Siberia</v>
      </c>
      <c r="D549" s="15" t="s">
        <v>465</v>
      </c>
      <c r="E549" s="15" t="str">
        <f t="shared" si="9"/>
        <v>TDM Siberia</v>
      </c>
      <c r="F549" s="15" t="s">
        <v>473</v>
      </c>
      <c r="G549" s="15"/>
      <c r="H549" s="15"/>
      <c r="I549" s="15"/>
      <c r="J549" s="15"/>
      <c r="K549" s="15" t="s">
        <v>343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133</v>
      </c>
      <c r="B550" s="15" t="s">
        <v>464</v>
      </c>
      <c r="C550" s="15" t="str">
        <f t="shared" si="8"/>
        <v>HSR Siberia</v>
      </c>
      <c r="D550" s="15" t="s">
        <v>465</v>
      </c>
      <c r="E550" s="15" t="str">
        <f t="shared" si="9"/>
        <v>TDM Siberia</v>
      </c>
      <c r="F550" s="15" t="s">
        <v>473</v>
      </c>
      <c r="G550" s="15"/>
      <c r="H550" s="15"/>
      <c r="I550" s="15"/>
      <c r="J550" s="15"/>
      <c r="K550" s="15" t="s">
        <v>343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383</v>
      </c>
      <c r="B551" s="15" t="s">
        <v>464</v>
      </c>
      <c r="C551" s="15" t="str">
        <f t="shared" si="8"/>
        <v>HSR Siberia</v>
      </c>
      <c r="D551" s="15" t="s">
        <v>469</v>
      </c>
      <c r="E551" s="15" t="str">
        <f t="shared" si="9"/>
        <v>RADM Siberia</v>
      </c>
      <c r="F551" s="15" t="s">
        <v>474</v>
      </c>
      <c r="G551" s="15"/>
      <c r="H551" s="15"/>
      <c r="I551" s="15"/>
      <c r="J551" s="15">
        <v>1</v>
      </c>
      <c r="K551" s="15" t="s">
        <v>343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344</v>
      </c>
      <c r="B552" s="15" t="s">
        <v>464</v>
      </c>
      <c r="C552" s="15" t="str">
        <f t="shared" si="8"/>
        <v>HSR Siberia</v>
      </c>
      <c r="D552" s="15" t="s">
        <v>469</v>
      </c>
      <c r="E552" s="15" t="str">
        <f t="shared" si="9"/>
        <v>RADM Siberia</v>
      </c>
      <c r="F552" s="15" t="s">
        <v>474</v>
      </c>
      <c r="G552" s="15"/>
      <c r="H552" s="15"/>
      <c r="I552" s="15"/>
      <c r="J552" s="15"/>
      <c r="K552" s="15" t="s">
        <v>343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127</v>
      </c>
      <c r="B553" s="15" t="s">
        <v>464</v>
      </c>
      <c r="C553" s="15" t="str">
        <f t="shared" si="8"/>
        <v>HSR Siberia</v>
      </c>
      <c r="D553" s="15" t="s">
        <v>469</v>
      </c>
      <c r="E553" s="15" t="str">
        <f t="shared" si="9"/>
        <v>RADM Siberia</v>
      </c>
      <c r="F553" s="15" t="s">
        <v>474</v>
      </c>
      <c r="G553" s="15"/>
      <c r="H553" s="15"/>
      <c r="I553" s="15"/>
      <c r="J553" s="15"/>
      <c r="K553" s="15" t="s">
        <v>343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133</v>
      </c>
      <c r="B554" s="15" t="s">
        <v>464</v>
      </c>
      <c r="C554" s="15" t="str">
        <f t="shared" si="8"/>
        <v>HSR Siberia</v>
      </c>
      <c r="D554" s="15" t="s">
        <v>469</v>
      </c>
      <c r="E554" s="15" t="str">
        <f t="shared" si="9"/>
        <v>RADM Siberia</v>
      </c>
      <c r="F554" s="15" t="s">
        <v>474</v>
      </c>
      <c r="G554" s="15"/>
      <c r="H554" s="15"/>
      <c r="I554" s="15"/>
      <c r="J554" s="15"/>
      <c r="K554" s="15" t="s">
        <v>343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420</v>
      </c>
      <c r="B555" s="15" t="s">
        <v>464</v>
      </c>
      <c r="C555" s="15" t="str">
        <f t="shared" si="8"/>
        <v>HSR Siberia</v>
      </c>
      <c r="D555" s="15" t="s">
        <v>469</v>
      </c>
      <c r="E555" s="15" t="str">
        <f t="shared" si="9"/>
        <v>RADM Siberia</v>
      </c>
      <c r="F555" s="15" t="s">
        <v>474</v>
      </c>
      <c r="G555" s="15"/>
      <c r="H555" s="15"/>
      <c r="I555" s="15"/>
      <c r="J555" s="15"/>
      <c r="K555" s="15" t="s">
        <v>343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383</v>
      </c>
      <c r="B556" s="15" t="s">
        <v>464</v>
      </c>
      <c r="C556" s="15" t="str">
        <f t="shared" si="8"/>
        <v>HSR Siberia</v>
      </c>
      <c r="D556" s="15" t="s">
        <v>465</v>
      </c>
      <c r="E556" s="15" t="str">
        <f t="shared" si="9"/>
        <v>TDM Siberia</v>
      </c>
      <c r="F556" s="15" t="s">
        <v>473</v>
      </c>
      <c r="G556" s="15"/>
      <c r="H556" s="15"/>
      <c r="I556" s="15"/>
      <c r="J556" s="15"/>
      <c r="K556" s="15" t="s">
        <v>343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344</v>
      </c>
      <c r="B557" s="15" t="s">
        <v>464</v>
      </c>
      <c r="C557" s="15" t="str">
        <f t="shared" si="8"/>
        <v>HSR Siberia</v>
      </c>
      <c r="D557" s="15" t="s">
        <v>465</v>
      </c>
      <c r="E557" s="15" t="str">
        <f t="shared" si="9"/>
        <v>TDM Siberia</v>
      </c>
      <c r="F557" s="15" t="s">
        <v>473</v>
      </c>
      <c r="G557" s="15"/>
      <c r="H557" s="15"/>
      <c r="I557" s="15"/>
      <c r="J557" s="15"/>
      <c r="K557" s="15" t="s">
        <v>343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127</v>
      </c>
      <c r="B558" s="15" t="s">
        <v>464</v>
      </c>
      <c r="C558" s="15" t="str">
        <f t="shared" si="8"/>
        <v>HSR Siberia</v>
      </c>
      <c r="D558" s="15" t="s">
        <v>465</v>
      </c>
      <c r="E558" s="15" t="str">
        <f t="shared" si="9"/>
        <v>TDM Siberia</v>
      </c>
      <c r="F558" s="15" t="s">
        <v>473</v>
      </c>
      <c r="G558" s="15"/>
      <c r="H558" s="15"/>
      <c r="I558" s="15"/>
      <c r="J558" s="15"/>
      <c r="K558" s="15" t="s">
        <v>343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133</v>
      </c>
      <c r="B559" s="15" t="s">
        <v>464</v>
      </c>
      <c r="C559" s="15" t="str">
        <f t="shared" si="8"/>
        <v>HSR Siberia</v>
      </c>
      <c r="D559" s="15" t="s">
        <v>465</v>
      </c>
      <c r="E559" s="15" t="str">
        <f t="shared" si="9"/>
        <v>TDM Siberia</v>
      </c>
      <c r="F559" s="15" t="s">
        <v>473</v>
      </c>
      <c r="G559" s="15"/>
      <c r="H559" s="15"/>
      <c r="I559" s="15"/>
      <c r="J559" s="15"/>
      <c r="K559" s="15" t="s">
        <v>343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420</v>
      </c>
      <c r="B560" s="15" t="s">
        <v>464</v>
      </c>
      <c r="C560" s="15" t="str">
        <f t="shared" si="8"/>
        <v>HSR Siberia</v>
      </c>
      <c r="D560" s="15" t="s">
        <v>465</v>
      </c>
      <c r="E560" s="15" t="str">
        <f t="shared" si="9"/>
        <v>TDM Siberia</v>
      </c>
      <c r="F560" s="15" t="s">
        <v>473</v>
      </c>
      <c r="G560" s="15"/>
      <c r="H560" s="15"/>
      <c r="I560" s="15"/>
      <c r="J560" s="15"/>
      <c r="K560" s="15" t="s">
        <v>343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420</v>
      </c>
      <c r="B561" s="15" t="s">
        <v>464</v>
      </c>
      <c r="C561" s="15" t="str">
        <f t="shared" si="8"/>
        <v>HSR Siberia</v>
      </c>
      <c r="D561" s="15" t="s">
        <v>465</v>
      </c>
      <c r="E561" s="15" t="str">
        <f t="shared" si="9"/>
        <v>TDM Siberia</v>
      </c>
      <c r="F561" s="15" t="s">
        <v>473</v>
      </c>
      <c r="G561" s="15"/>
      <c r="H561" s="15"/>
      <c r="I561" s="15"/>
      <c r="J561" s="15"/>
      <c r="K561" s="15" t="s">
        <v>343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383</v>
      </c>
      <c r="B562" s="15" t="s">
        <v>464</v>
      </c>
      <c r="C562" s="15" t="str">
        <f t="shared" si="8"/>
        <v>HSR Siberia</v>
      </c>
      <c r="D562" s="15" t="s">
        <v>465</v>
      </c>
      <c r="E562" s="15" t="str">
        <f t="shared" si="9"/>
        <v>TDM Siberia</v>
      </c>
      <c r="F562" s="15" t="s">
        <v>473</v>
      </c>
      <c r="G562" s="15"/>
      <c r="H562" s="15"/>
      <c r="I562" s="15"/>
      <c r="J562" s="15"/>
      <c r="K562" s="15" t="s">
        <v>343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344</v>
      </c>
      <c r="B563" s="15" t="s">
        <v>464</v>
      </c>
      <c r="C563" s="15" t="str">
        <f t="shared" si="8"/>
        <v>HSR Siberia</v>
      </c>
      <c r="D563" s="15" t="s">
        <v>465</v>
      </c>
      <c r="E563" s="15" t="str">
        <f t="shared" si="9"/>
        <v>TDM Siberia</v>
      </c>
      <c r="F563" s="15" t="s">
        <v>473</v>
      </c>
      <c r="G563" s="15"/>
      <c r="H563" s="15"/>
      <c r="I563" s="15"/>
      <c r="J563" s="15"/>
      <c r="K563" s="15" t="s">
        <v>343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135</v>
      </c>
      <c r="B564" s="15" t="s">
        <v>464</v>
      </c>
      <c r="C564" s="15" t="str">
        <f t="shared" si="8"/>
        <v>HSR Siberia</v>
      </c>
      <c r="D564" s="15" t="s">
        <v>465</v>
      </c>
      <c r="E564" s="15" t="str">
        <f t="shared" si="9"/>
        <v>TDM Siberia</v>
      </c>
      <c r="F564" s="15" t="s">
        <v>473</v>
      </c>
      <c r="G564" s="15"/>
      <c r="H564" s="15"/>
      <c r="I564" s="15"/>
      <c r="J564" s="15"/>
      <c r="K564" s="15" t="s">
        <v>343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127</v>
      </c>
      <c r="B565" s="15" t="s">
        <v>464</v>
      </c>
      <c r="C565" s="15" t="str">
        <f t="shared" si="8"/>
        <v>HSR Siberia</v>
      </c>
      <c r="D565" s="15" t="s">
        <v>465</v>
      </c>
      <c r="E565" s="15" t="str">
        <f t="shared" si="9"/>
        <v>TDM Siberia</v>
      </c>
      <c r="F565" s="15" t="s">
        <v>473</v>
      </c>
      <c r="G565" s="15"/>
      <c r="H565" s="15"/>
      <c r="I565" s="15"/>
      <c r="J565" s="15"/>
      <c r="K565" s="15" t="s">
        <v>343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123</v>
      </c>
      <c r="B566" s="15" t="s">
        <v>464</v>
      </c>
      <c r="C566" s="15" t="str">
        <f t="shared" si="8"/>
        <v>HSR Siberia</v>
      </c>
      <c r="D566" s="15" t="s">
        <v>465</v>
      </c>
      <c r="E566" s="15" t="str">
        <f t="shared" si="9"/>
        <v>TDM Siberia</v>
      </c>
      <c r="F566" s="15" t="s">
        <v>473</v>
      </c>
      <c r="G566" s="15"/>
      <c r="H566" s="15"/>
      <c r="I566" s="15"/>
      <c r="J566" s="15"/>
      <c r="K566" s="15" t="s">
        <v>343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133</v>
      </c>
      <c r="B567" s="15" t="s">
        <v>464</v>
      </c>
      <c r="C567" s="15" t="str">
        <f t="shared" si="8"/>
        <v>HSR Siberia</v>
      </c>
      <c r="D567" s="15" t="s">
        <v>465</v>
      </c>
      <c r="E567" s="15" t="str">
        <f t="shared" si="9"/>
        <v>TDM Siberia</v>
      </c>
      <c r="F567" s="15" t="s">
        <v>473</v>
      </c>
      <c r="G567" s="15"/>
      <c r="H567" s="15"/>
      <c r="I567" s="15"/>
      <c r="J567" s="15"/>
      <c r="K567" s="15" t="s">
        <v>343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135</v>
      </c>
      <c r="B568" s="15" t="s">
        <v>464</v>
      </c>
      <c r="C568" s="15" t="str">
        <f t="shared" si="8"/>
        <v>HSR Siberia</v>
      </c>
      <c r="D568" s="15" t="s">
        <v>469</v>
      </c>
      <c r="E568" s="15" t="str">
        <f t="shared" si="9"/>
        <v>RADM Siberia</v>
      </c>
      <c r="F568" s="15" t="s">
        <v>477</v>
      </c>
      <c r="G568" s="15"/>
      <c r="H568" s="15" t="s">
        <v>478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138</v>
      </c>
      <c r="B569" s="15" t="s">
        <v>464</v>
      </c>
      <c r="C569" s="15" t="str">
        <f t="shared" si="8"/>
        <v>HSR Siberia</v>
      </c>
      <c r="D569" s="15" t="s">
        <v>469</v>
      </c>
      <c r="E569" s="15" t="str">
        <f t="shared" si="9"/>
        <v>RADM Siberia</v>
      </c>
      <c r="F569" s="15" t="s">
        <v>477</v>
      </c>
      <c r="G569" s="15"/>
      <c r="H569" s="15" t="s">
        <v>478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135</v>
      </c>
      <c r="B570" s="15" t="s">
        <v>464</v>
      </c>
      <c r="C570" s="15" t="str">
        <f t="shared" si="8"/>
        <v>HSR Siberia</v>
      </c>
      <c r="D570" s="15" t="s">
        <v>469</v>
      </c>
      <c r="E570" s="15" t="str">
        <f t="shared" si="9"/>
        <v>RADM Siberia</v>
      </c>
      <c r="F570" s="15" t="s">
        <v>477</v>
      </c>
      <c r="G570" s="15"/>
      <c r="H570" s="15" t="s">
        <v>478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135</v>
      </c>
      <c r="B571" s="15" t="s">
        <v>464</v>
      </c>
      <c r="C571" s="15" t="str">
        <f t="shared" si="8"/>
        <v>HSR Siberia</v>
      </c>
      <c r="D571" s="15" t="s">
        <v>465</v>
      </c>
      <c r="E571" s="15" t="str">
        <f t="shared" si="9"/>
        <v>TDM Siberia</v>
      </c>
      <c r="F571" s="15" t="s">
        <v>473</v>
      </c>
      <c r="G571" s="15"/>
      <c r="H571" s="15"/>
      <c r="I571" s="15"/>
      <c r="J571" s="15"/>
      <c r="K571" s="15" t="s">
        <v>343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138</v>
      </c>
      <c r="B572" s="15" t="s">
        <v>464</v>
      </c>
      <c r="C572" s="15" t="str">
        <f t="shared" si="8"/>
        <v>HSR Siberia</v>
      </c>
      <c r="D572" s="15" t="s">
        <v>465</v>
      </c>
      <c r="E572" s="15" t="str">
        <f t="shared" si="9"/>
        <v>TDM Siberia</v>
      </c>
      <c r="F572" s="15" t="s">
        <v>473</v>
      </c>
      <c r="G572" s="15"/>
      <c r="H572" s="15"/>
      <c r="I572" s="15"/>
      <c r="J572" s="15"/>
      <c r="K572" s="15" t="s">
        <v>343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135</v>
      </c>
      <c r="B573" s="15" t="s">
        <v>464</v>
      </c>
      <c r="C573" s="15" t="str">
        <f t="shared" si="8"/>
        <v>HSR Siberia</v>
      </c>
      <c r="D573" s="15" t="s">
        <v>465</v>
      </c>
      <c r="E573" s="15" t="str">
        <f t="shared" si="9"/>
        <v>TDM Siberia</v>
      </c>
      <c r="F573" s="15" t="s">
        <v>473</v>
      </c>
      <c r="G573" s="15"/>
      <c r="H573" s="15"/>
      <c r="I573" s="15"/>
      <c r="J573" s="15"/>
      <c r="K573" s="15" t="s">
        <v>343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135</v>
      </c>
      <c r="B574" s="15" t="s">
        <v>464</v>
      </c>
      <c r="C574" s="15" t="str">
        <f t="shared" si="8"/>
        <v>HSR Siberia</v>
      </c>
      <c r="D574" s="15" t="s">
        <v>481</v>
      </c>
      <c r="E574" s="15" t="str">
        <f t="shared" si="9"/>
        <v>ASM SIB Krasnoyarsk+Abakan+Tuva+Kuzbass+Norilsk</v>
      </c>
      <c r="F574" s="15" t="s">
        <v>482</v>
      </c>
      <c r="G574" s="15"/>
      <c r="H574" s="15" t="s">
        <v>478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127</v>
      </c>
      <c r="B575" s="15" t="s">
        <v>464</v>
      </c>
      <c r="C575" s="15" t="str">
        <f t="shared" si="8"/>
        <v>HSR Siberia</v>
      </c>
      <c r="D575" s="15" t="s">
        <v>481</v>
      </c>
      <c r="E575" s="15" t="str">
        <f t="shared" si="9"/>
        <v>ASM SIB Krasnoyarsk+Abakan+Tuva+Kuzbass+Norilsk</v>
      </c>
      <c r="F575" s="15" t="s">
        <v>483</v>
      </c>
      <c r="G575" s="15"/>
      <c r="H575" s="15" t="s">
        <v>355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420</v>
      </c>
      <c r="B576" s="15" t="s">
        <v>464</v>
      </c>
      <c r="C576" s="15" t="str">
        <f t="shared" si="8"/>
        <v>HSR Siberia</v>
      </c>
      <c r="D576" s="15" t="s">
        <v>481</v>
      </c>
      <c r="E576" s="15" t="str">
        <f t="shared" si="9"/>
        <v>ASM SIB Krasnoyarsk+Abakan+Tuva+Kuzbass+Norilsk</v>
      </c>
      <c r="F576" s="15" t="s">
        <v>484</v>
      </c>
      <c r="G576" s="15"/>
      <c r="H576" s="15" t="s">
        <v>355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420</v>
      </c>
      <c r="B577" s="15" t="s">
        <v>464</v>
      </c>
      <c r="C577" s="15" t="str">
        <f t="shared" si="8"/>
        <v>HSR Siberia</v>
      </c>
      <c r="D577" s="15" t="s">
        <v>469</v>
      </c>
      <c r="E577" s="15" t="str">
        <f t="shared" si="9"/>
        <v>RADM Siberia</v>
      </c>
      <c r="F577" s="15" t="s">
        <v>485</v>
      </c>
      <c r="G577" s="15"/>
      <c r="H577" s="15" t="s">
        <v>355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383</v>
      </c>
      <c r="B578" s="15" t="s">
        <v>464</v>
      </c>
      <c r="C578" s="15" t="str">
        <f t="shared" si="8"/>
        <v>HSR Siberia</v>
      </c>
      <c r="D578" s="15" t="s">
        <v>481</v>
      </c>
      <c r="E578" s="15" t="str">
        <f t="shared" si="9"/>
        <v>ASM SIB Krasnoyarsk+Abakan+Tuva+Kuzbass+Norilsk</v>
      </c>
      <c r="F578" s="15" t="s">
        <v>484</v>
      </c>
      <c r="G578" s="15"/>
      <c r="H578" s="15" t="s">
        <v>355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383</v>
      </c>
      <c r="B579" s="15" t="s">
        <v>464</v>
      </c>
      <c r="C579" s="15" t="str">
        <f t="shared" si="8"/>
        <v>HSR Siberia</v>
      </c>
      <c r="D579" s="15" t="s">
        <v>481</v>
      </c>
      <c r="E579" s="15" t="str">
        <f t="shared" si="9"/>
        <v>ASM SIB Krasnoyarsk+Abakan+Tuva+Kuzbass+Norilsk</v>
      </c>
      <c r="F579" s="15" t="s">
        <v>482</v>
      </c>
      <c r="G579" s="15"/>
      <c r="H579" s="15" t="s">
        <v>478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383</v>
      </c>
      <c r="B580" s="15" t="s">
        <v>464</v>
      </c>
      <c r="C580" s="15" t="str">
        <f t="shared" si="8"/>
        <v>HSR Siberia</v>
      </c>
      <c r="D580" s="15" t="s">
        <v>481</v>
      </c>
      <c r="E580" s="15" t="str">
        <f t="shared" si="9"/>
        <v>ASM SIB Krasnoyarsk+Abakan+Tuva+Kuzbass+Norilsk</v>
      </c>
      <c r="F580" s="15" t="s">
        <v>486</v>
      </c>
      <c r="G580" s="15"/>
      <c r="H580" s="15" t="s">
        <v>428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383</v>
      </c>
      <c r="B581" s="15" t="s">
        <v>464</v>
      </c>
      <c r="C581" s="15" t="str">
        <f t="shared" ref="C581:C644" si="10">B581</f>
        <v>HSR Siberia</v>
      </c>
      <c r="D581" s="15" t="s">
        <v>469</v>
      </c>
      <c r="E581" s="15" t="str">
        <f t="shared" ref="E581:E644" si="11">D581</f>
        <v>RADM Siberia</v>
      </c>
      <c r="F581" s="15" t="s">
        <v>485</v>
      </c>
      <c r="G581" s="15"/>
      <c r="H581" s="15" t="s">
        <v>355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383</v>
      </c>
      <c r="B582" s="15" t="s">
        <v>464</v>
      </c>
      <c r="C582" s="15" t="str">
        <f t="shared" si="10"/>
        <v>HSR Siberia</v>
      </c>
      <c r="D582" s="15" t="s">
        <v>481</v>
      </c>
      <c r="E582" s="15" t="str">
        <f t="shared" si="11"/>
        <v>ASM SIB Krasnoyarsk+Abakan+Tuva+Kuzbass+Norilsk</v>
      </c>
      <c r="F582" s="15" t="s">
        <v>486</v>
      </c>
      <c r="G582" s="15"/>
      <c r="H582" s="15" t="s">
        <v>430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344</v>
      </c>
      <c r="B583" s="15" t="s">
        <v>464</v>
      </c>
      <c r="C583" s="15" t="str">
        <f t="shared" si="10"/>
        <v>HSR Siberia</v>
      </c>
      <c r="D583" s="15" t="s">
        <v>481</v>
      </c>
      <c r="E583" s="15" t="str">
        <f t="shared" si="11"/>
        <v>ASM SIB Krasnoyarsk+Abakan+Tuva+Kuzbass+Norilsk</v>
      </c>
      <c r="F583" s="15" t="s">
        <v>486</v>
      </c>
      <c r="G583" s="15"/>
      <c r="H583" s="15" t="s">
        <v>428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344</v>
      </c>
      <c r="B584" s="15" t="s">
        <v>464</v>
      </c>
      <c r="C584" s="15" t="str">
        <f t="shared" si="10"/>
        <v>HSR Siberia</v>
      </c>
      <c r="D584" s="15" t="s">
        <v>481</v>
      </c>
      <c r="E584" s="15" t="str">
        <f t="shared" si="11"/>
        <v>ASM SIB Krasnoyarsk+Abakan+Tuva+Kuzbass+Norilsk</v>
      </c>
      <c r="F584" s="15" t="s">
        <v>486</v>
      </c>
      <c r="G584" s="15"/>
      <c r="H584" s="15" t="s">
        <v>430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344</v>
      </c>
      <c r="B585" s="15" t="s">
        <v>464</v>
      </c>
      <c r="C585" s="15" t="str">
        <f t="shared" si="10"/>
        <v>HSR Siberia</v>
      </c>
      <c r="D585" s="15" t="s">
        <v>469</v>
      </c>
      <c r="E585" s="15" t="str">
        <f t="shared" si="11"/>
        <v>RADM Siberia</v>
      </c>
      <c r="F585" s="15" t="s">
        <v>485</v>
      </c>
      <c r="G585" s="15"/>
      <c r="H585" s="15" t="s">
        <v>428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344</v>
      </c>
      <c r="B586" s="15" t="s">
        <v>464</v>
      </c>
      <c r="C586" s="15" t="str">
        <f t="shared" si="10"/>
        <v>HSR Siberia</v>
      </c>
      <c r="D586" s="15" t="s">
        <v>469</v>
      </c>
      <c r="E586" s="15" t="str">
        <f t="shared" si="11"/>
        <v>RADM Siberia</v>
      </c>
      <c r="F586" s="15" t="s">
        <v>485</v>
      </c>
      <c r="G586" s="15"/>
      <c r="H586" s="15" t="s">
        <v>355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344</v>
      </c>
      <c r="B587" s="15" t="s">
        <v>464</v>
      </c>
      <c r="C587" s="15" t="str">
        <f t="shared" si="10"/>
        <v>HSR Siberia</v>
      </c>
      <c r="D587" s="15" t="s">
        <v>481</v>
      </c>
      <c r="E587" s="15" t="str">
        <f t="shared" si="11"/>
        <v>ASM SIB Krasnoyarsk+Abakan+Tuva+Kuzbass+Norilsk</v>
      </c>
      <c r="F587" s="15" t="s">
        <v>486</v>
      </c>
      <c r="G587" s="15"/>
      <c r="H587" s="15" t="s">
        <v>355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344</v>
      </c>
      <c r="B588" s="15" t="s">
        <v>464</v>
      </c>
      <c r="C588" s="15" t="str">
        <f t="shared" si="10"/>
        <v>HSR Siberia</v>
      </c>
      <c r="D588" s="15" t="s">
        <v>481</v>
      </c>
      <c r="E588" s="15" t="str">
        <f t="shared" si="11"/>
        <v>ASM SIB Krasnoyarsk+Abakan+Tuva+Kuzbass+Norilsk</v>
      </c>
      <c r="F588" s="15" t="s">
        <v>482</v>
      </c>
      <c r="G588" s="15"/>
      <c r="H588" s="15" t="s">
        <v>478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344</v>
      </c>
      <c r="B589" s="15" t="s">
        <v>464</v>
      </c>
      <c r="C589" s="15" t="str">
        <f t="shared" si="10"/>
        <v>HSR Siberia</v>
      </c>
      <c r="D589" s="15" t="s">
        <v>481</v>
      </c>
      <c r="E589" s="15" t="str">
        <f t="shared" si="11"/>
        <v>ASM SIB Krasnoyarsk+Abakan+Tuva+Kuzbass+Norilsk</v>
      </c>
      <c r="F589" s="15" t="s">
        <v>483</v>
      </c>
      <c r="G589" s="15"/>
      <c r="H589" s="15" t="s">
        <v>428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135</v>
      </c>
      <c r="B590" s="15" t="s">
        <v>464</v>
      </c>
      <c r="C590" s="15" t="str">
        <f t="shared" si="10"/>
        <v>HSR Siberia</v>
      </c>
      <c r="D590" s="15" t="s">
        <v>481</v>
      </c>
      <c r="E590" s="15" t="str">
        <f t="shared" si="11"/>
        <v>ASM SIB Krasnoyarsk+Abakan+Tuva+Kuzbass+Norilsk</v>
      </c>
      <c r="F590" s="15" t="s">
        <v>482</v>
      </c>
      <c r="G590" s="15"/>
      <c r="H590" s="15" t="s">
        <v>487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135</v>
      </c>
      <c r="B591" s="15" t="s">
        <v>464</v>
      </c>
      <c r="C591" s="15" t="str">
        <f t="shared" si="10"/>
        <v>HSR Siberia</v>
      </c>
      <c r="D591" s="15" t="s">
        <v>481</v>
      </c>
      <c r="E591" s="15" t="str">
        <f t="shared" si="11"/>
        <v>ASM SIB Krasnoyarsk+Abakan+Tuva+Kuzbass+Norilsk</v>
      </c>
      <c r="F591" s="15" t="s">
        <v>483</v>
      </c>
      <c r="G591" s="15"/>
      <c r="H591" s="15" t="s">
        <v>355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135</v>
      </c>
      <c r="B592" s="15" t="s">
        <v>464</v>
      </c>
      <c r="C592" s="15" t="str">
        <f t="shared" si="10"/>
        <v>HSR Siberia</v>
      </c>
      <c r="D592" s="15" t="s">
        <v>481</v>
      </c>
      <c r="E592" s="15" t="str">
        <f t="shared" si="11"/>
        <v>ASM SIB Krasnoyarsk+Abakan+Tuva+Kuzbass+Norilsk</v>
      </c>
      <c r="F592" s="15" t="s">
        <v>483</v>
      </c>
      <c r="G592" s="15"/>
      <c r="H592" s="15" t="s">
        <v>478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127</v>
      </c>
      <c r="B593" s="15" t="s">
        <v>464</v>
      </c>
      <c r="C593" s="15" t="str">
        <f t="shared" si="10"/>
        <v>HSR Siberia</v>
      </c>
      <c r="D593" s="15" t="s">
        <v>481</v>
      </c>
      <c r="E593" s="15" t="str">
        <f t="shared" si="11"/>
        <v>ASM SIB Krasnoyarsk+Abakan+Tuva+Kuzbass+Norilsk</v>
      </c>
      <c r="F593" s="15" t="s">
        <v>484</v>
      </c>
      <c r="G593" s="15"/>
      <c r="H593" s="15" t="s">
        <v>355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127</v>
      </c>
      <c r="B594" s="15" t="s">
        <v>464</v>
      </c>
      <c r="C594" s="15" t="str">
        <f t="shared" si="10"/>
        <v>HSR Siberia</v>
      </c>
      <c r="D594" s="15" t="s">
        <v>469</v>
      </c>
      <c r="E594" s="15" t="str">
        <f t="shared" si="11"/>
        <v>RADM Siberia</v>
      </c>
      <c r="F594" s="15" t="s">
        <v>485</v>
      </c>
      <c r="G594" s="15"/>
      <c r="H594" s="15" t="s">
        <v>355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127</v>
      </c>
      <c r="B595" s="15" t="s">
        <v>464</v>
      </c>
      <c r="C595" s="15" t="str">
        <f t="shared" si="10"/>
        <v>HSR Siberia</v>
      </c>
      <c r="D595" s="15" t="s">
        <v>481</v>
      </c>
      <c r="E595" s="15" t="str">
        <f t="shared" si="11"/>
        <v>ASM SIB Krasnoyarsk+Abakan+Tuva+Kuzbass+Norilsk</v>
      </c>
      <c r="F595" s="15" t="s">
        <v>486</v>
      </c>
      <c r="G595" s="15"/>
      <c r="H595" s="15" t="s">
        <v>430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127</v>
      </c>
      <c r="B596" s="15" t="s">
        <v>464</v>
      </c>
      <c r="C596" s="15" t="str">
        <f t="shared" si="10"/>
        <v>HSR Siberia</v>
      </c>
      <c r="D596" s="15" t="s">
        <v>481</v>
      </c>
      <c r="E596" s="15" t="str">
        <f t="shared" si="11"/>
        <v>ASM SIB Krasnoyarsk+Abakan+Tuva+Kuzbass+Norilsk</v>
      </c>
      <c r="F596" s="15" t="s">
        <v>483</v>
      </c>
      <c r="G596" s="15"/>
      <c r="H596" s="15" t="s">
        <v>478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127</v>
      </c>
      <c r="B597" s="15" t="s">
        <v>464</v>
      </c>
      <c r="C597" s="15" t="str">
        <f t="shared" si="10"/>
        <v>HSR Siberia</v>
      </c>
      <c r="D597" s="15" t="s">
        <v>481</v>
      </c>
      <c r="E597" s="15" t="str">
        <f t="shared" si="11"/>
        <v>ASM SIB Krasnoyarsk+Abakan+Tuva+Kuzbass+Norilsk</v>
      </c>
      <c r="F597" s="15" t="s">
        <v>483</v>
      </c>
      <c r="G597" s="15"/>
      <c r="H597" s="15" t="s">
        <v>428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123</v>
      </c>
      <c r="B598" s="15" t="s">
        <v>464</v>
      </c>
      <c r="C598" s="15" t="str">
        <f t="shared" si="10"/>
        <v>HSR Siberia</v>
      </c>
      <c r="D598" s="15" t="s">
        <v>481</v>
      </c>
      <c r="E598" s="15" t="str">
        <f t="shared" si="11"/>
        <v>ASM SIB Krasnoyarsk+Abakan+Tuva+Kuzbass+Norilsk</v>
      </c>
      <c r="F598" s="15" t="s">
        <v>486</v>
      </c>
      <c r="G598" s="15"/>
      <c r="H598" s="15" t="s">
        <v>430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133</v>
      </c>
      <c r="B599" s="15" t="s">
        <v>464</v>
      </c>
      <c r="C599" s="15" t="str">
        <f t="shared" si="10"/>
        <v>HSR Siberia</v>
      </c>
      <c r="D599" s="15" t="s">
        <v>469</v>
      </c>
      <c r="E599" s="15" t="str">
        <f t="shared" si="11"/>
        <v>RADM Siberia</v>
      </c>
      <c r="F599" s="15" t="s">
        <v>485</v>
      </c>
      <c r="G599" s="15"/>
      <c r="H599" s="15" t="s">
        <v>428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133</v>
      </c>
      <c r="B600" s="15" t="s">
        <v>464</v>
      </c>
      <c r="C600" s="15" t="str">
        <f t="shared" si="10"/>
        <v>HSR Siberia</v>
      </c>
      <c r="D600" s="15" t="s">
        <v>469</v>
      </c>
      <c r="E600" s="15" t="str">
        <f t="shared" si="11"/>
        <v>RADM Siberia</v>
      </c>
      <c r="F600" s="15" t="s">
        <v>485</v>
      </c>
      <c r="G600" s="15"/>
      <c r="H600" s="15" t="s">
        <v>355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133</v>
      </c>
      <c r="B601" s="15" t="s">
        <v>464</v>
      </c>
      <c r="C601" s="15" t="str">
        <f t="shared" si="10"/>
        <v>HSR Siberia</v>
      </c>
      <c r="D601" s="15" t="s">
        <v>481</v>
      </c>
      <c r="E601" s="15" t="str">
        <f t="shared" si="11"/>
        <v>ASM SIB Krasnoyarsk+Abakan+Tuva+Kuzbass+Norilsk</v>
      </c>
      <c r="F601" s="15" t="s">
        <v>483</v>
      </c>
      <c r="G601" s="15"/>
      <c r="H601" s="15" t="s">
        <v>355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133</v>
      </c>
      <c r="B602" s="15" t="s">
        <v>464</v>
      </c>
      <c r="C602" s="15" t="str">
        <f t="shared" si="10"/>
        <v>HSR Siberia</v>
      </c>
      <c r="D602" s="15" t="s">
        <v>481</v>
      </c>
      <c r="E602" s="15" t="str">
        <f t="shared" si="11"/>
        <v>ASM SIB Krasnoyarsk+Abakan+Tuva+Kuzbass+Norilsk</v>
      </c>
      <c r="F602" s="15" t="s">
        <v>486</v>
      </c>
      <c r="G602" s="15"/>
      <c r="H602" s="15" t="s">
        <v>428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133</v>
      </c>
      <c r="B603" s="15" t="s">
        <v>464</v>
      </c>
      <c r="C603" s="15" t="str">
        <f t="shared" si="10"/>
        <v>HSR Siberia</v>
      </c>
      <c r="D603" s="15" t="s">
        <v>481</v>
      </c>
      <c r="E603" s="15" t="str">
        <f t="shared" si="11"/>
        <v>ASM SIB Krasnoyarsk+Abakan+Tuva+Kuzbass+Norilsk</v>
      </c>
      <c r="F603" s="15" t="s">
        <v>483</v>
      </c>
      <c r="G603" s="15"/>
      <c r="H603" s="15" t="s">
        <v>428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139</v>
      </c>
      <c r="B604" s="15" t="s">
        <v>464</v>
      </c>
      <c r="C604" s="15" t="str">
        <f t="shared" si="10"/>
        <v>HSR Siberia</v>
      </c>
      <c r="D604" s="15" t="s">
        <v>481</v>
      </c>
      <c r="E604" s="15" t="str">
        <f t="shared" si="11"/>
        <v>ASM SIB Krasnoyarsk+Abakan+Tuva+Kuzbass+Norilsk</v>
      </c>
      <c r="F604" s="15" t="s">
        <v>482</v>
      </c>
      <c r="G604" s="15"/>
      <c r="H604" s="15" t="s">
        <v>478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138</v>
      </c>
      <c r="B605" s="15" t="s">
        <v>464</v>
      </c>
      <c r="C605" s="15" t="str">
        <f t="shared" si="10"/>
        <v>HSR Siberia</v>
      </c>
      <c r="D605" s="15" t="s">
        <v>481</v>
      </c>
      <c r="E605" s="15" t="str">
        <f t="shared" si="11"/>
        <v>ASM SIB Krasnoyarsk+Abakan+Tuva+Kuzbass+Norilsk</v>
      </c>
      <c r="F605" s="15" t="s">
        <v>482</v>
      </c>
      <c r="G605" s="15"/>
      <c r="H605" s="15" t="s">
        <v>478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90</v>
      </c>
      <c r="B606" s="15" t="s">
        <v>464</v>
      </c>
      <c r="C606" s="15" t="str">
        <f t="shared" si="10"/>
        <v>HSR Siberia</v>
      </c>
      <c r="D606" s="15" t="s">
        <v>469</v>
      </c>
      <c r="E606" s="15" t="str">
        <f t="shared" si="11"/>
        <v>RADM Siberia</v>
      </c>
      <c r="F606" s="15" t="s">
        <v>477</v>
      </c>
      <c r="G606" s="15"/>
      <c r="H606" s="15" t="s">
        <v>424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90</v>
      </c>
      <c r="B607" s="15" t="s">
        <v>464</v>
      </c>
      <c r="C607" s="15" t="str">
        <f t="shared" si="10"/>
        <v>HSR Siberia</v>
      </c>
      <c r="D607" s="15" t="s">
        <v>469</v>
      </c>
      <c r="E607" s="15" t="str">
        <f t="shared" si="11"/>
        <v>RADM Siberia</v>
      </c>
      <c r="F607" s="15" t="s">
        <v>477</v>
      </c>
      <c r="G607" s="15"/>
      <c r="H607" s="15" t="s">
        <v>424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167</v>
      </c>
      <c r="B608" s="15" t="s">
        <v>489</v>
      </c>
      <c r="C608" s="15" t="str">
        <f t="shared" si="10"/>
        <v>HSR SOUTH</v>
      </c>
      <c r="D608" s="15" t="s">
        <v>490</v>
      </c>
      <c r="E608" s="15" t="str">
        <f t="shared" si="11"/>
        <v>ASM SOU Krasnodar</v>
      </c>
      <c r="F608" s="15" t="s">
        <v>491</v>
      </c>
      <c r="G608" s="15"/>
      <c r="H608" s="15" t="s">
        <v>492</v>
      </c>
      <c r="I608" s="15">
        <v>1</v>
      </c>
      <c r="J608" s="15"/>
      <c r="K608" s="15" t="s">
        <v>342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493</v>
      </c>
      <c r="B609" s="15" t="s">
        <v>489</v>
      </c>
      <c r="C609" s="15" t="str">
        <f t="shared" si="10"/>
        <v>HSR SOUTH</v>
      </c>
      <c r="D609" s="15" t="s">
        <v>490</v>
      </c>
      <c r="E609" s="15" t="str">
        <f t="shared" si="11"/>
        <v>ASM SOU Krasnodar</v>
      </c>
      <c r="F609" s="15" t="s">
        <v>491</v>
      </c>
      <c r="G609" s="15"/>
      <c r="H609" s="15" t="s">
        <v>492</v>
      </c>
      <c r="I609" s="15"/>
      <c r="J609" s="15"/>
      <c r="K609" s="15" t="s">
        <v>342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171</v>
      </c>
      <c r="B610" s="15" t="s">
        <v>489</v>
      </c>
      <c r="C610" s="15" t="str">
        <f t="shared" si="10"/>
        <v>HSR SOUTH</v>
      </c>
      <c r="D610" s="15" t="s">
        <v>490</v>
      </c>
      <c r="E610" s="15" t="str">
        <f t="shared" si="11"/>
        <v>ASM SOU Krasnodar</v>
      </c>
      <c r="F610" s="15" t="s">
        <v>491</v>
      </c>
      <c r="G610" s="15"/>
      <c r="H610" s="15" t="s">
        <v>494</v>
      </c>
      <c r="I610" s="15">
        <v>1</v>
      </c>
      <c r="J610" s="15"/>
      <c r="K610" s="15" t="s">
        <v>342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341</v>
      </c>
      <c r="B611" s="15" t="s">
        <v>489</v>
      </c>
      <c r="C611" s="15" t="str">
        <f t="shared" si="10"/>
        <v>HSR SOUTH</v>
      </c>
      <c r="D611" s="15" t="s">
        <v>495</v>
      </c>
      <c r="E611" s="15" t="str">
        <f t="shared" si="11"/>
        <v>ASM SOU Voronezh</v>
      </c>
      <c r="F611" s="15" t="s">
        <v>496</v>
      </c>
      <c r="G611" s="15"/>
      <c r="H611" s="15" t="s">
        <v>497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141</v>
      </c>
      <c r="B612" s="15" t="s">
        <v>489</v>
      </c>
      <c r="C612" s="15" t="str">
        <f t="shared" si="10"/>
        <v>HSR SOUTH</v>
      </c>
      <c r="D612" s="15" t="s">
        <v>495</v>
      </c>
      <c r="E612" s="15" t="str">
        <f t="shared" si="11"/>
        <v>ASM SOU Voronezh</v>
      </c>
      <c r="F612" s="15" t="s">
        <v>496</v>
      </c>
      <c r="G612" s="15"/>
      <c r="H612" s="15" t="s">
        <v>497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148</v>
      </c>
      <c r="B613" s="15" t="s">
        <v>489</v>
      </c>
      <c r="C613" s="15" t="str">
        <f t="shared" si="10"/>
        <v>HSR SOUTH</v>
      </c>
      <c r="D613" s="15" t="s">
        <v>495</v>
      </c>
      <c r="E613" s="15" t="str">
        <f t="shared" si="11"/>
        <v>ASM SOU Voronezh</v>
      </c>
      <c r="F613" s="15" t="s">
        <v>496</v>
      </c>
      <c r="G613" s="15"/>
      <c r="H613" s="15" t="s">
        <v>497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20</v>
      </c>
      <c r="B614" s="15" t="s">
        <v>489</v>
      </c>
      <c r="C614" s="15" t="str">
        <f t="shared" si="10"/>
        <v>HSR SOUTH</v>
      </c>
      <c r="D614" s="15" t="s">
        <v>495</v>
      </c>
      <c r="E614" s="15" t="str">
        <f t="shared" si="11"/>
        <v>ASM SOU Voronezh</v>
      </c>
      <c r="F614" s="15" t="s">
        <v>496</v>
      </c>
      <c r="G614" s="15"/>
      <c r="H614" s="15" t="s">
        <v>497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146</v>
      </c>
      <c r="B615" s="15" t="s">
        <v>489</v>
      </c>
      <c r="C615" s="15" t="str">
        <f t="shared" si="10"/>
        <v>HSR SOUTH</v>
      </c>
      <c r="D615" s="15" t="s">
        <v>495</v>
      </c>
      <c r="E615" s="15" t="str">
        <f t="shared" si="11"/>
        <v>ASM SOU Voronezh</v>
      </c>
      <c r="F615" s="15" t="s">
        <v>496</v>
      </c>
      <c r="G615" s="15"/>
      <c r="H615" s="15" t="s">
        <v>497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150</v>
      </c>
      <c r="B616" s="15" t="s">
        <v>489</v>
      </c>
      <c r="C616" s="15" t="str">
        <f t="shared" si="10"/>
        <v>HSR SOUTH</v>
      </c>
      <c r="D616" s="15" t="s">
        <v>495</v>
      </c>
      <c r="E616" s="15" t="str">
        <f t="shared" si="11"/>
        <v>ASM SOU Voronezh</v>
      </c>
      <c r="F616" s="15" t="s">
        <v>496</v>
      </c>
      <c r="G616" s="15"/>
      <c r="H616" s="15" t="s">
        <v>497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145</v>
      </c>
      <c r="B617" s="15" t="s">
        <v>489</v>
      </c>
      <c r="C617" s="15" t="str">
        <f t="shared" si="10"/>
        <v>HSR SOUTH</v>
      </c>
      <c r="D617" s="15" t="s">
        <v>495</v>
      </c>
      <c r="E617" s="15" t="str">
        <f t="shared" si="11"/>
        <v>ASM SOU Voronezh</v>
      </c>
      <c r="F617" s="15" t="s">
        <v>496</v>
      </c>
      <c r="G617" s="15"/>
      <c r="H617" s="15" t="s">
        <v>497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18</v>
      </c>
      <c r="B618" s="15" t="s">
        <v>489</v>
      </c>
      <c r="C618" s="15" t="str">
        <f t="shared" si="10"/>
        <v>HSR SOUTH</v>
      </c>
      <c r="D618" s="15" t="s">
        <v>495</v>
      </c>
      <c r="E618" s="15" t="str">
        <f t="shared" si="11"/>
        <v>ASM SOU Voronezh</v>
      </c>
      <c r="F618" s="15" t="s">
        <v>496</v>
      </c>
      <c r="G618" s="15"/>
      <c r="H618" s="15" t="s">
        <v>497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58</v>
      </c>
      <c r="B619" s="15" t="s">
        <v>489</v>
      </c>
      <c r="C619" s="15" t="str">
        <f t="shared" si="10"/>
        <v>HSR SOUTH</v>
      </c>
      <c r="D619" s="15" t="s">
        <v>495</v>
      </c>
      <c r="E619" s="15" t="str">
        <f t="shared" si="11"/>
        <v>ASM SOU Voronezh</v>
      </c>
      <c r="F619" s="15" t="s">
        <v>496</v>
      </c>
      <c r="G619" s="15"/>
      <c r="H619" s="15" t="s">
        <v>497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151</v>
      </c>
      <c r="B620" s="15" t="s">
        <v>489</v>
      </c>
      <c r="C620" s="15" t="str">
        <f t="shared" si="10"/>
        <v>HSR SOUTH</v>
      </c>
      <c r="D620" s="15" t="s">
        <v>495</v>
      </c>
      <c r="E620" s="15" t="str">
        <f t="shared" si="11"/>
        <v>ASM SOU Voronezh</v>
      </c>
      <c r="F620" s="15" t="s">
        <v>496</v>
      </c>
      <c r="G620" s="15"/>
      <c r="H620" s="15" t="s">
        <v>497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17</v>
      </c>
      <c r="B621" s="15" t="s">
        <v>489</v>
      </c>
      <c r="C621" s="15" t="str">
        <f t="shared" si="10"/>
        <v>HSR SOUTH</v>
      </c>
      <c r="D621" s="15" t="s">
        <v>495</v>
      </c>
      <c r="E621" s="15" t="str">
        <f t="shared" si="11"/>
        <v>ASM SOU Voronezh</v>
      </c>
      <c r="F621" s="15" t="s">
        <v>496</v>
      </c>
      <c r="G621" s="15"/>
      <c r="H621" s="15" t="s">
        <v>497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141</v>
      </c>
      <c r="B622" s="15" t="s">
        <v>489</v>
      </c>
      <c r="C622" s="15" t="str">
        <f t="shared" si="10"/>
        <v>HSR SOUTH</v>
      </c>
      <c r="D622" s="15" t="s">
        <v>495</v>
      </c>
      <c r="E622" s="15" t="str">
        <f t="shared" si="11"/>
        <v>ASM SOU Voronezh</v>
      </c>
      <c r="F622" s="15" t="s">
        <v>498</v>
      </c>
      <c r="G622" s="15"/>
      <c r="H622" s="15" t="s">
        <v>497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145</v>
      </c>
      <c r="B623" s="15" t="s">
        <v>489</v>
      </c>
      <c r="C623" s="15" t="str">
        <f t="shared" si="10"/>
        <v>HSR SOUTH</v>
      </c>
      <c r="D623" s="15" t="s">
        <v>495</v>
      </c>
      <c r="E623" s="15" t="str">
        <f t="shared" si="11"/>
        <v>ASM SOU Voronezh</v>
      </c>
      <c r="F623" s="15" t="s">
        <v>498</v>
      </c>
      <c r="G623" s="15"/>
      <c r="H623" s="15" t="s">
        <v>497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434</v>
      </c>
      <c r="B624" s="15" t="s">
        <v>489</v>
      </c>
      <c r="C624" s="15" t="str">
        <f t="shared" si="10"/>
        <v>HSR SOUTH</v>
      </c>
      <c r="D624" s="15" t="s">
        <v>490</v>
      </c>
      <c r="E624" s="15" t="str">
        <f t="shared" si="11"/>
        <v>ASM SOU Krasnodar</v>
      </c>
      <c r="F624" s="15" t="s">
        <v>499</v>
      </c>
      <c r="G624" s="15"/>
      <c r="H624" s="15" t="s">
        <v>419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173</v>
      </c>
      <c r="B625" s="15" t="s">
        <v>489</v>
      </c>
      <c r="C625" s="15" t="str">
        <f t="shared" si="10"/>
        <v>HSR SOUTH</v>
      </c>
      <c r="D625" s="15" t="s">
        <v>490</v>
      </c>
      <c r="E625" s="15" t="str">
        <f t="shared" si="11"/>
        <v>ASM SOU Krasnodar</v>
      </c>
      <c r="F625" s="15" t="s">
        <v>499</v>
      </c>
      <c r="G625" s="15"/>
      <c r="H625" s="15" t="s">
        <v>419</v>
      </c>
      <c r="I625" s="15"/>
      <c r="J625" s="15"/>
      <c r="K625" s="15" t="s">
        <v>342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180</v>
      </c>
      <c r="B626" s="15" t="s">
        <v>489</v>
      </c>
      <c r="C626" s="15" t="str">
        <f t="shared" si="10"/>
        <v>HSR SOUTH</v>
      </c>
      <c r="D626" s="15" t="s">
        <v>490</v>
      </c>
      <c r="E626" s="15" t="str">
        <f t="shared" si="11"/>
        <v>ASM SOU Krasnodar</v>
      </c>
      <c r="F626" s="15" t="s">
        <v>499</v>
      </c>
      <c r="G626" s="15"/>
      <c r="H626" s="15" t="s">
        <v>419</v>
      </c>
      <c r="I626" s="15">
        <v>1</v>
      </c>
      <c r="J626" s="15"/>
      <c r="K626" s="15" t="s">
        <v>342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500</v>
      </c>
      <c r="B627" s="15" t="s">
        <v>489</v>
      </c>
      <c r="C627" s="15" t="str">
        <f t="shared" si="10"/>
        <v>HSR SOUTH</v>
      </c>
      <c r="D627" s="15" t="s">
        <v>490</v>
      </c>
      <c r="E627" s="15" t="str">
        <f t="shared" si="11"/>
        <v>ASM SOU Krasnodar</v>
      </c>
      <c r="F627" s="15" t="s">
        <v>499</v>
      </c>
      <c r="G627" s="15"/>
      <c r="H627" s="15" t="s">
        <v>419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432</v>
      </c>
      <c r="B628" s="15" t="s">
        <v>489</v>
      </c>
      <c r="C628" s="15" t="str">
        <f t="shared" si="10"/>
        <v>HSR SOUTH</v>
      </c>
      <c r="D628" s="15" t="s">
        <v>490</v>
      </c>
      <c r="E628" s="15" t="str">
        <f t="shared" si="11"/>
        <v>ASM SOU Krasnodar</v>
      </c>
      <c r="F628" s="15" t="s">
        <v>499</v>
      </c>
      <c r="G628" s="15"/>
      <c r="H628" s="15" t="s">
        <v>419</v>
      </c>
      <c r="I628" s="15"/>
      <c r="J628" s="15"/>
      <c r="K628" s="15" t="s">
        <v>342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180</v>
      </c>
      <c r="B629" s="15" t="s">
        <v>489</v>
      </c>
      <c r="C629" s="15" t="str">
        <f t="shared" si="10"/>
        <v>HSR SOUTH</v>
      </c>
      <c r="D629" s="15" t="s">
        <v>490</v>
      </c>
      <c r="E629" s="15" t="str">
        <f t="shared" si="11"/>
        <v>ASM SOU Krasnodar</v>
      </c>
      <c r="F629" s="15" t="s">
        <v>501</v>
      </c>
      <c r="G629" s="15"/>
      <c r="H629" s="15" t="s">
        <v>419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432</v>
      </c>
      <c r="B630" s="15" t="s">
        <v>489</v>
      </c>
      <c r="C630" s="15" t="str">
        <f t="shared" si="10"/>
        <v>HSR SOUTH</v>
      </c>
      <c r="D630" s="15" t="s">
        <v>490</v>
      </c>
      <c r="E630" s="15" t="str">
        <f t="shared" si="11"/>
        <v>ASM SOU Krasnodar</v>
      </c>
      <c r="F630" s="15" t="s">
        <v>501</v>
      </c>
      <c r="G630" s="15"/>
      <c r="H630" s="15" t="s">
        <v>419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174</v>
      </c>
      <c r="B631" s="15" t="s">
        <v>489</v>
      </c>
      <c r="C631" s="15" t="str">
        <f t="shared" si="10"/>
        <v>HSR SOUTH</v>
      </c>
      <c r="D631" s="15" t="s">
        <v>490</v>
      </c>
      <c r="E631" s="15" t="str">
        <f t="shared" si="11"/>
        <v>ASM SOU Krasnodar</v>
      </c>
      <c r="F631" s="15" t="s">
        <v>502</v>
      </c>
      <c r="G631" s="15"/>
      <c r="H631" s="15" t="s">
        <v>419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434</v>
      </c>
      <c r="B632" s="15" t="s">
        <v>489</v>
      </c>
      <c r="C632" s="15" t="str">
        <f t="shared" si="10"/>
        <v>HSR SOUTH</v>
      </c>
      <c r="D632" s="15" t="s">
        <v>503</v>
      </c>
      <c r="E632" s="15" t="str">
        <f t="shared" si="11"/>
        <v>DDM SOU Rostov-On-Don</v>
      </c>
      <c r="F632" s="15" t="s">
        <v>504</v>
      </c>
      <c r="G632" s="15"/>
      <c r="H632" s="15" t="s">
        <v>354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173</v>
      </c>
      <c r="B633" s="15" t="s">
        <v>489</v>
      </c>
      <c r="C633" s="15" t="str">
        <f t="shared" si="10"/>
        <v>HSR SOUTH</v>
      </c>
      <c r="D633" s="15" t="s">
        <v>503</v>
      </c>
      <c r="E633" s="15" t="str">
        <f t="shared" si="11"/>
        <v>DDM SOU Rostov-On-Don</v>
      </c>
      <c r="F633" s="15" t="s">
        <v>504</v>
      </c>
      <c r="G633" s="15"/>
      <c r="H633" s="15" t="s">
        <v>354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156</v>
      </c>
      <c r="B634" s="15" t="s">
        <v>489</v>
      </c>
      <c r="C634" s="15" t="str">
        <f t="shared" si="10"/>
        <v>HSR SOUTH</v>
      </c>
      <c r="D634" s="15" t="s">
        <v>503</v>
      </c>
      <c r="E634" s="15" t="str">
        <f t="shared" si="11"/>
        <v>DDM SOU Rostov-On-Don</v>
      </c>
      <c r="F634" s="15" t="s">
        <v>504</v>
      </c>
      <c r="G634" s="15"/>
      <c r="H634" s="15" t="s">
        <v>354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165</v>
      </c>
      <c r="B635" s="15" t="s">
        <v>489</v>
      </c>
      <c r="C635" s="15" t="str">
        <f t="shared" si="10"/>
        <v>HSR SOUTH</v>
      </c>
      <c r="D635" s="15" t="s">
        <v>503</v>
      </c>
      <c r="E635" s="15" t="str">
        <f t="shared" si="11"/>
        <v>DDM SOU Rostov-On-Don</v>
      </c>
      <c r="F635" s="15" t="s">
        <v>504</v>
      </c>
      <c r="G635" s="15"/>
      <c r="H635" s="15" t="s">
        <v>354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173</v>
      </c>
      <c r="B636" s="15" t="s">
        <v>489</v>
      </c>
      <c r="C636" s="15" t="str">
        <f t="shared" si="10"/>
        <v>HSR SOUTH</v>
      </c>
      <c r="D636" s="15" t="s">
        <v>503</v>
      </c>
      <c r="E636" s="15" t="str">
        <f t="shared" si="11"/>
        <v>DDM SOU Rostov-On-Don</v>
      </c>
      <c r="F636" s="15" t="s">
        <v>505</v>
      </c>
      <c r="G636" s="15"/>
      <c r="H636" s="15" t="s">
        <v>354</v>
      </c>
      <c r="I636" s="15"/>
      <c r="J636" s="15"/>
      <c r="K636" s="15" t="s">
        <v>342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506</v>
      </c>
      <c r="B637" s="15" t="s">
        <v>489</v>
      </c>
      <c r="C637" s="15" t="str">
        <f t="shared" si="10"/>
        <v>HSR SOUTH</v>
      </c>
      <c r="D637" s="15" t="s">
        <v>503</v>
      </c>
      <c r="E637" s="15" t="str">
        <f t="shared" si="11"/>
        <v>DDM SOU Rostov-On-Don</v>
      </c>
      <c r="F637" s="15" t="s">
        <v>505</v>
      </c>
      <c r="G637" s="15"/>
      <c r="H637" s="15" t="s">
        <v>354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174</v>
      </c>
      <c r="B638" s="15" t="s">
        <v>489</v>
      </c>
      <c r="C638" s="15" t="str">
        <f t="shared" si="10"/>
        <v>HSR SOUTH</v>
      </c>
      <c r="D638" s="15" t="s">
        <v>507</v>
      </c>
      <c r="E638" s="15" t="str">
        <f t="shared" si="11"/>
        <v>TDM SOUTH 1</v>
      </c>
      <c r="F638" s="15" t="s">
        <v>508</v>
      </c>
      <c r="G638" s="15"/>
      <c r="H638" s="15"/>
      <c r="I638" s="15"/>
      <c r="J638" s="15"/>
      <c r="K638" s="15" t="s">
        <v>342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174</v>
      </c>
      <c r="B639" s="15" t="s">
        <v>489</v>
      </c>
      <c r="C639" s="15" t="str">
        <f t="shared" si="10"/>
        <v>HSR SOUTH</v>
      </c>
      <c r="D639" s="15" t="s">
        <v>490</v>
      </c>
      <c r="E639" s="15" t="str">
        <f t="shared" si="11"/>
        <v>ASM SOU Krasnodar</v>
      </c>
      <c r="F639" s="15" t="s">
        <v>491</v>
      </c>
      <c r="G639" s="15"/>
      <c r="H639" s="15" t="s">
        <v>96</v>
      </c>
      <c r="I639" s="15"/>
      <c r="J639" s="15"/>
      <c r="K639" s="15" t="s">
        <v>342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166</v>
      </c>
      <c r="B640" s="15" t="s">
        <v>489</v>
      </c>
      <c r="C640" s="15" t="str">
        <f t="shared" si="10"/>
        <v>HSR SOUTH</v>
      </c>
      <c r="D640" s="15" t="s">
        <v>509</v>
      </c>
      <c r="E640" s="15" t="str">
        <f t="shared" si="11"/>
        <v>TDM SOUTH 2</v>
      </c>
      <c r="F640" s="15" t="s">
        <v>510</v>
      </c>
      <c r="G640" s="15"/>
      <c r="H640" s="15"/>
      <c r="I640" s="15"/>
      <c r="J640" s="15"/>
      <c r="K640" s="15" t="s">
        <v>342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341</v>
      </c>
      <c r="B641" s="15" t="s">
        <v>489</v>
      </c>
      <c r="C641" s="15" t="str">
        <f t="shared" si="10"/>
        <v>HSR SOUTH</v>
      </c>
      <c r="D641" s="15" t="s">
        <v>509</v>
      </c>
      <c r="E641" s="15" t="str">
        <f t="shared" si="11"/>
        <v>TDM SOUTH 2</v>
      </c>
      <c r="F641" s="15" t="s">
        <v>511</v>
      </c>
      <c r="G641" s="15"/>
      <c r="H641" s="15"/>
      <c r="I641" s="15"/>
      <c r="J641" s="15"/>
      <c r="K641" s="15" t="s">
        <v>342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141</v>
      </c>
      <c r="B642" s="15" t="s">
        <v>489</v>
      </c>
      <c r="C642" s="15" t="str">
        <f t="shared" si="10"/>
        <v>HSR SOUTH</v>
      </c>
      <c r="D642" s="15" t="s">
        <v>509</v>
      </c>
      <c r="E642" s="15" t="str">
        <f t="shared" si="11"/>
        <v>TDM SOUTH 2</v>
      </c>
      <c r="F642" s="15" t="s">
        <v>511</v>
      </c>
      <c r="G642" s="15"/>
      <c r="H642" s="15"/>
      <c r="I642" s="15"/>
      <c r="J642" s="15"/>
      <c r="K642" s="15" t="s">
        <v>342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155</v>
      </c>
      <c r="B643" s="15" t="s">
        <v>489</v>
      </c>
      <c r="C643" s="15" t="str">
        <f t="shared" si="10"/>
        <v>HSR SOUTH</v>
      </c>
      <c r="D643" s="15" t="s">
        <v>509</v>
      </c>
      <c r="E643" s="15" t="str">
        <f t="shared" si="11"/>
        <v>TDM SOUTH 2</v>
      </c>
      <c r="F643" s="15" t="s">
        <v>510</v>
      </c>
      <c r="G643" s="15"/>
      <c r="H643" s="15"/>
      <c r="I643" s="15"/>
      <c r="J643" s="15"/>
      <c r="K643" s="15" t="s">
        <v>342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148</v>
      </c>
      <c r="B644" s="15" t="s">
        <v>489</v>
      </c>
      <c r="C644" s="15" t="str">
        <f t="shared" si="10"/>
        <v>HSR SOUTH</v>
      </c>
      <c r="D644" s="15" t="s">
        <v>509</v>
      </c>
      <c r="E644" s="15" t="str">
        <f t="shared" si="11"/>
        <v>TDM SOUTH 2</v>
      </c>
      <c r="F644" s="15" t="s">
        <v>511</v>
      </c>
      <c r="G644" s="15"/>
      <c r="H644" s="15"/>
      <c r="I644" s="15"/>
      <c r="J644" s="15"/>
      <c r="K644" s="15" t="s">
        <v>342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512</v>
      </c>
      <c r="B645" s="15" t="s">
        <v>489</v>
      </c>
      <c r="C645" s="15" t="str">
        <f t="shared" ref="C645:C694" si="12">B645</f>
        <v>HSR SOUTH</v>
      </c>
      <c r="D645" s="15" t="s">
        <v>507</v>
      </c>
      <c r="E645" s="15" t="str">
        <f t="shared" ref="E645:E694" si="13">D645</f>
        <v>TDM SOUTH 1</v>
      </c>
      <c r="F645" s="15" t="s">
        <v>513</v>
      </c>
      <c r="G645" s="15"/>
      <c r="H645" s="15"/>
      <c r="I645" s="15"/>
      <c r="J645" s="15"/>
      <c r="K645" s="15" t="s">
        <v>342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165</v>
      </c>
      <c r="B646" s="15" t="s">
        <v>489</v>
      </c>
      <c r="C646" s="15" t="str">
        <f t="shared" si="12"/>
        <v>HSR SOUTH</v>
      </c>
      <c r="D646" s="15" t="s">
        <v>509</v>
      </c>
      <c r="E646" s="15" t="str">
        <f t="shared" si="13"/>
        <v>TDM SOUTH 2</v>
      </c>
      <c r="F646" s="15" t="s">
        <v>510</v>
      </c>
      <c r="G646" s="15"/>
      <c r="H646" s="15"/>
      <c r="I646" s="15"/>
      <c r="J646" s="15"/>
      <c r="K646" s="15" t="s">
        <v>342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514</v>
      </c>
      <c r="B647" s="15" t="s">
        <v>489</v>
      </c>
      <c r="C647" s="15" t="str">
        <f t="shared" si="12"/>
        <v>HSR SOUTH</v>
      </c>
      <c r="D647" s="15" t="s">
        <v>507</v>
      </c>
      <c r="E647" s="15" t="str">
        <f t="shared" si="13"/>
        <v>TDM SOUTH 1</v>
      </c>
      <c r="F647" s="15" t="s">
        <v>513</v>
      </c>
      <c r="G647" s="15"/>
      <c r="H647" s="15"/>
      <c r="I647" s="15"/>
      <c r="J647" s="15"/>
      <c r="K647" s="15" t="s">
        <v>342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173</v>
      </c>
      <c r="B648" s="15" t="s">
        <v>489</v>
      </c>
      <c r="C648" s="15" t="str">
        <f t="shared" si="12"/>
        <v>HSR SOUTH</v>
      </c>
      <c r="D648" s="15" t="s">
        <v>507</v>
      </c>
      <c r="E648" s="15" t="str">
        <f t="shared" si="13"/>
        <v>TDM SOUTH 1</v>
      </c>
      <c r="F648" s="15" t="s">
        <v>508</v>
      </c>
      <c r="G648" s="15"/>
      <c r="H648" s="15"/>
      <c r="I648" s="15"/>
      <c r="J648" s="15"/>
      <c r="K648" s="15" t="s">
        <v>342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173</v>
      </c>
      <c r="B649" s="15" t="s">
        <v>489</v>
      </c>
      <c r="C649" s="15" t="str">
        <f t="shared" si="12"/>
        <v>HSR SOUTH</v>
      </c>
      <c r="D649" s="15" t="s">
        <v>507</v>
      </c>
      <c r="E649" s="15" t="str">
        <f t="shared" si="13"/>
        <v>TDM SOUTH 1</v>
      </c>
      <c r="F649" s="15" t="s">
        <v>515</v>
      </c>
      <c r="G649" s="15"/>
      <c r="H649" s="15"/>
      <c r="I649" s="15"/>
      <c r="J649" s="15"/>
      <c r="K649" s="15" t="s">
        <v>342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146</v>
      </c>
      <c r="B650" s="15" t="s">
        <v>489</v>
      </c>
      <c r="C650" s="15" t="str">
        <f t="shared" si="12"/>
        <v>HSR SOUTH</v>
      </c>
      <c r="D650" s="15" t="s">
        <v>509</v>
      </c>
      <c r="E650" s="15" t="str">
        <f t="shared" si="13"/>
        <v>TDM SOUTH 2</v>
      </c>
      <c r="F650" s="15" t="s">
        <v>511</v>
      </c>
      <c r="G650" s="15"/>
      <c r="H650" s="15"/>
      <c r="I650" s="15"/>
      <c r="J650" s="15"/>
      <c r="K650" s="15" t="s">
        <v>342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150</v>
      </c>
      <c r="B651" s="15" t="s">
        <v>489</v>
      </c>
      <c r="C651" s="15" t="str">
        <f t="shared" si="12"/>
        <v>HSR SOUTH</v>
      </c>
      <c r="D651" s="15" t="s">
        <v>509</v>
      </c>
      <c r="E651" s="15" t="str">
        <f t="shared" si="13"/>
        <v>TDM SOUTH 2</v>
      </c>
      <c r="F651" s="15" t="s">
        <v>511</v>
      </c>
      <c r="G651" s="15"/>
      <c r="H651" s="15"/>
      <c r="I651" s="15"/>
      <c r="J651" s="15"/>
      <c r="K651" s="15" t="s">
        <v>342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145</v>
      </c>
      <c r="B652" s="15" t="s">
        <v>489</v>
      </c>
      <c r="C652" s="15" t="str">
        <f t="shared" si="12"/>
        <v>HSR SOUTH</v>
      </c>
      <c r="D652" s="15" t="s">
        <v>509</v>
      </c>
      <c r="E652" s="15" t="str">
        <f t="shared" si="13"/>
        <v>TDM SOUTH 2</v>
      </c>
      <c r="F652" s="15" t="s">
        <v>511</v>
      </c>
      <c r="G652" s="15"/>
      <c r="H652" s="15"/>
      <c r="I652" s="15"/>
      <c r="J652" s="15"/>
      <c r="K652" s="15" t="s">
        <v>342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152</v>
      </c>
      <c r="B653" s="15" t="s">
        <v>489</v>
      </c>
      <c r="C653" s="15" t="str">
        <f t="shared" si="12"/>
        <v>HSR SOUTH</v>
      </c>
      <c r="D653" s="15" t="s">
        <v>509</v>
      </c>
      <c r="E653" s="15" t="str">
        <f t="shared" si="13"/>
        <v>TDM SOUTH 2</v>
      </c>
      <c r="F653" s="15" t="s">
        <v>516</v>
      </c>
      <c r="G653" s="15"/>
      <c r="H653" s="15"/>
      <c r="I653" s="15"/>
      <c r="J653" s="15"/>
      <c r="K653" s="15" t="s">
        <v>342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156</v>
      </c>
      <c r="B654" s="15" t="s">
        <v>489</v>
      </c>
      <c r="C654" s="15" t="str">
        <f t="shared" si="12"/>
        <v>HSR SOUTH</v>
      </c>
      <c r="D654" s="15" t="s">
        <v>507</v>
      </c>
      <c r="E654" s="15" t="str">
        <f t="shared" si="13"/>
        <v>TDM SOUTH 1</v>
      </c>
      <c r="F654" s="15" t="s">
        <v>515</v>
      </c>
      <c r="G654" s="15"/>
      <c r="H654" s="15"/>
      <c r="I654" s="15"/>
      <c r="J654" s="15"/>
      <c r="K654" s="15" t="s">
        <v>342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154</v>
      </c>
      <c r="B655" s="15" t="s">
        <v>489</v>
      </c>
      <c r="C655" s="15" t="str">
        <f t="shared" si="12"/>
        <v>HSR SOUTH</v>
      </c>
      <c r="D655" s="15" t="s">
        <v>509</v>
      </c>
      <c r="E655" s="15" t="str">
        <f t="shared" si="13"/>
        <v>TDM SOUTH 2</v>
      </c>
      <c r="F655" s="15" t="s">
        <v>516</v>
      </c>
      <c r="G655" s="15"/>
      <c r="H655" s="15"/>
      <c r="I655" s="15"/>
      <c r="J655" s="15"/>
      <c r="K655" s="15" t="s">
        <v>342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517</v>
      </c>
      <c r="B656" s="15" t="s">
        <v>489</v>
      </c>
      <c r="C656" s="15" t="str">
        <f t="shared" si="12"/>
        <v>HSR SOUTH</v>
      </c>
      <c r="D656" s="15" t="s">
        <v>507</v>
      </c>
      <c r="E656" s="15" t="str">
        <f t="shared" si="13"/>
        <v>TDM SOUTH 1</v>
      </c>
      <c r="F656" s="15" t="s">
        <v>513</v>
      </c>
      <c r="G656" s="15"/>
      <c r="H656" s="15"/>
      <c r="I656" s="15"/>
      <c r="J656" s="15"/>
      <c r="K656" s="15" t="s">
        <v>342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160</v>
      </c>
      <c r="B657" s="15" t="s">
        <v>489</v>
      </c>
      <c r="C657" s="15" t="str">
        <f t="shared" si="12"/>
        <v>HSR SOUTH</v>
      </c>
      <c r="D657" s="15" t="s">
        <v>507</v>
      </c>
      <c r="E657" s="15" t="str">
        <f t="shared" si="13"/>
        <v>TDM SOUTH 1</v>
      </c>
      <c r="F657" s="15" t="s">
        <v>513</v>
      </c>
      <c r="G657" s="15"/>
      <c r="H657" s="15"/>
      <c r="I657" s="15"/>
      <c r="J657" s="15"/>
      <c r="K657" s="15" t="s">
        <v>342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151</v>
      </c>
      <c r="B658" s="15" t="s">
        <v>489</v>
      </c>
      <c r="C658" s="15" t="str">
        <f t="shared" si="12"/>
        <v>HSR SOUTH</v>
      </c>
      <c r="D658" s="15" t="s">
        <v>509</v>
      </c>
      <c r="E658" s="15" t="str">
        <f t="shared" si="13"/>
        <v>TDM SOUTH 2</v>
      </c>
      <c r="F658" s="15" t="s">
        <v>511</v>
      </c>
      <c r="G658" s="15"/>
      <c r="H658" s="15"/>
      <c r="I658" s="15"/>
      <c r="J658" s="15"/>
      <c r="K658" s="15" t="s">
        <v>342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341</v>
      </c>
      <c r="B659" s="15" t="s">
        <v>489</v>
      </c>
      <c r="C659" s="15" t="str">
        <f t="shared" si="12"/>
        <v>HSR SOUTH</v>
      </c>
      <c r="D659" s="15" t="s">
        <v>509</v>
      </c>
      <c r="E659" s="15" t="str">
        <f t="shared" si="13"/>
        <v>TDM SOUTH 2</v>
      </c>
      <c r="F659" s="15" t="s">
        <v>518</v>
      </c>
      <c r="G659" s="15"/>
      <c r="H659" s="15"/>
      <c r="I659" s="15"/>
      <c r="J659" s="15"/>
      <c r="K659" s="15" t="s">
        <v>342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141</v>
      </c>
      <c r="B660" s="15" t="s">
        <v>489</v>
      </c>
      <c r="C660" s="15" t="str">
        <f t="shared" si="12"/>
        <v>HSR SOUTH</v>
      </c>
      <c r="D660" s="15" t="s">
        <v>509</v>
      </c>
      <c r="E660" s="15" t="str">
        <f t="shared" si="13"/>
        <v>TDM SOUTH 2</v>
      </c>
      <c r="F660" s="15" t="s">
        <v>518</v>
      </c>
      <c r="G660" s="15"/>
      <c r="H660" s="15"/>
      <c r="I660" s="15"/>
      <c r="J660" s="15"/>
      <c r="K660" s="15" t="s">
        <v>342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148</v>
      </c>
      <c r="B661" s="15" t="s">
        <v>489</v>
      </c>
      <c r="C661" s="15" t="str">
        <f t="shared" si="12"/>
        <v>HSR SOUTH</v>
      </c>
      <c r="D661" s="15" t="s">
        <v>509</v>
      </c>
      <c r="E661" s="15" t="str">
        <f t="shared" si="13"/>
        <v>TDM SOUTH 2</v>
      </c>
      <c r="F661" s="15" t="s">
        <v>518</v>
      </c>
      <c r="G661" s="15"/>
      <c r="H661" s="15"/>
      <c r="I661" s="15"/>
      <c r="J661" s="15"/>
      <c r="K661" s="15" t="s">
        <v>342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173</v>
      </c>
      <c r="B662" s="15" t="s">
        <v>489</v>
      </c>
      <c r="C662" s="15" t="str">
        <f t="shared" si="12"/>
        <v>HSR SOUTH</v>
      </c>
      <c r="D662" s="15" t="s">
        <v>509</v>
      </c>
      <c r="E662" s="15" t="str">
        <f t="shared" si="13"/>
        <v>TDM SOUTH 2</v>
      </c>
      <c r="F662" s="15" t="s">
        <v>510</v>
      </c>
      <c r="G662" s="15"/>
      <c r="H662" s="15"/>
      <c r="I662" s="15"/>
      <c r="J662" s="15"/>
      <c r="K662" s="15" t="s">
        <v>342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146</v>
      </c>
      <c r="B663" s="15" t="s">
        <v>489</v>
      </c>
      <c r="C663" s="15" t="str">
        <f t="shared" si="12"/>
        <v>HSR SOUTH</v>
      </c>
      <c r="D663" s="15" t="s">
        <v>509</v>
      </c>
      <c r="E663" s="15" t="str">
        <f t="shared" si="13"/>
        <v>TDM SOUTH 2</v>
      </c>
      <c r="F663" s="15" t="s">
        <v>518</v>
      </c>
      <c r="G663" s="15"/>
      <c r="H663" s="15"/>
      <c r="I663" s="15"/>
      <c r="J663" s="15"/>
      <c r="K663" s="15" t="s">
        <v>342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150</v>
      </c>
      <c r="B664" s="15" t="s">
        <v>489</v>
      </c>
      <c r="C664" s="15" t="str">
        <f t="shared" si="12"/>
        <v>HSR SOUTH</v>
      </c>
      <c r="D664" s="15" t="s">
        <v>509</v>
      </c>
      <c r="E664" s="15" t="str">
        <f t="shared" si="13"/>
        <v>TDM SOUTH 2</v>
      </c>
      <c r="F664" s="15" t="s">
        <v>518</v>
      </c>
      <c r="G664" s="15"/>
      <c r="H664" s="15"/>
      <c r="I664" s="15"/>
      <c r="J664" s="15"/>
      <c r="K664" s="15" t="s">
        <v>342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145</v>
      </c>
      <c r="B665" s="15" t="s">
        <v>489</v>
      </c>
      <c r="C665" s="15" t="str">
        <f t="shared" si="12"/>
        <v>HSR SOUTH</v>
      </c>
      <c r="D665" s="15" t="s">
        <v>509</v>
      </c>
      <c r="E665" s="15" t="str">
        <f t="shared" si="13"/>
        <v>TDM SOUTH 2</v>
      </c>
      <c r="F665" s="15" t="s">
        <v>518</v>
      </c>
      <c r="G665" s="15"/>
      <c r="H665" s="15"/>
      <c r="I665" s="15"/>
      <c r="J665" s="15"/>
      <c r="K665" s="15" t="s">
        <v>342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154</v>
      </c>
      <c r="B666" s="15" t="s">
        <v>489</v>
      </c>
      <c r="C666" s="15" t="str">
        <f t="shared" si="12"/>
        <v>HSR SOUTH</v>
      </c>
      <c r="D666" s="15" t="s">
        <v>509</v>
      </c>
      <c r="E666" s="15" t="str">
        <f t="shared" si="13"/>
        <v>TDM SOUTH 2</v>
      </c>
      <c r="F666" s="15" t="s">
        <v>510</v>
      </c>
      <c r="G666" s="15"/>
      <c r="H666" s="15"/>
      <c r="I666" s="15"/>
      <c r="J666" s="15"/>
      <c r="K666" s="15" t="s">
        <v>342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151</v>
      </c>
      <c r="B667" s="15" t="s">
        <v>489</v>
      </c>
      <c r="C667" s="15" t="str">
        <f t="shared" si="12"/>
        <v>HSR SOUTH</v>
      </c>
      <c r="D667" s="15" t="s">
        <v>509</v>
      </c>
      <c r="E667" s="15" t="str">
        <f t="shared" si="13"/>
        <v>TDM SOUTH 2</v>
      </c>
      <c r="F667" s="15" t="s">
        <v>516</v>
      </c>
      <c r="G667" s="15"/>
      <c r="H667" s="15"/>
      <c r="I667" s="15"/>
      <c r="J667" s="15"/>
      <c r="K667" s="15" t="s">
        <v>342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174</v>
      </c>
      <c r="B668" s="15" t="s">
        <v>489</v>
      </c>
      <c r="C668" s="15" t="str">
        <f t="shared" si="12"/>
        <v>HSR SOUTH</v>
      </c>
      <c r="D668" s="15" t="s">
        <v>490</v>
      </c>
      <c r="E668" s="15" t="str">
        <f t="shared" si="13"/>
        <v>ASM SOU Krasnodar</v>
      </c>
      <c r="F668" s="15" t="s">
        <v>502</v>
      </c>
      <c r="G668" s="15"/>
      <c r="H668" s="15" t="s">
        <v>96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341</v>
      </c>
      <c r="B669" s="15" t="s">
        <v>489</v>
      </c>
      <c r="C669" s="15" t="str">
        <f t="shared" si="12"/>
        <v>HSR SOUTH</v>
      </c>
      <c r="D669" s="15" t="s">
        <v>495</v>
      </c>
      <c r="E669" s="15" t="str">
        <f t="shared" si="13"/>
        <v>ASM SOU Voronezh</v>
      </c>
      <c r="F669" s="15" t="s">
        <v>496</v>
      </c>
      <c r="G669" s="15"/>
      <c r="H669" s="15" t="s">
        <v>96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341</v>
      </c>
      <c r="B670" s="15" t="s">
        <v>489</v>
      </c>
      <c r="C670" s="15" t="str">
        <f t="shared" si="12"/>
        <v>HSR SOUTH</v>
      </c>
      <c r="D670" s="15" t="s">
        <v>495</v>
      </c>
      <c r="E670" s="15" t="str">
        <f t="shared" si="13"/>
        <v>ASM SOU Voronezh</v>
      </c>
      <c r="F670" s="15" t="s">
        <v>498</v>
      </c>
      <c r="G670" s="15"/>
      <c r="H670" s="15" t="s">
        <v>96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141</v>
      </c>
      <c r="B671" s="15" t="s">
        <v>489</v>
      </c>
      <c r="C671" s="15" t="str">
        <f t="shared" si="12"/>
        <v>HSR SOUTH</v>
      </c>
      <c r="D671" s="15" t="s">
        <v>495</v>
      </c>
      <c r="E671" s="15" t="str">
        <f t="shared" si="13"/>
        <v>ASM SOU Voronezh</v>
      </c>
      <c r="F671" s="15" t="s">
        <v>496</v>
      </c>
      <c r="G671" s="15"/>
      <c r="H671" s="15" t="s">
        <v>96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148</v>
      </c>
      <c r="B672" s="15" t="s">
        <v>489</v>
      </c>
      <c r="C672" s="15" t="str">
        <f t="shared" si="12"/>
        <v>HSR SOUTH</v>
      </c>
      <c r="D672" s="15" t="s">
        <v>495</v>
      </c>
      <c r="E672" s="15" t="str">
        <f t="shared" si="13"/>
        <v>ASM SOU Voronezh</v>
      </c>
      <c r="F672" s="15" t="s">
        <v>496</v>
      </c>
      <c r="G672" s="15"/>
      <c r="H672" s="15" t="s">
        <v>96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148</v>
      </c>
      <c r="B673" s="15" t="s">
        <v>489</v>
      </c>
      <c r="C673" s="15" t="str">
        <f t="shared" si="12"/>
        <v>HSR SOUTH</v>
      </c>
      <c r="D673" s="15" t="s">
        <v>495</v>
      </c>
      <c r="E673" s="15" t="str">
        <f t="shared" si="13"/>
        <v>ASM SOU Voronezh</v>
      </c>
      <c r="F673" s="15" t="s">
        <v>498</v>
      </c>
      <c r="G673" s="15"/>
      <c r="H673" s="15" t="s">
        <v>96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171</v>
      </c>
      <c r="B674" s="15" t="s">
        <v>489</v>
      </c>
      <c r="C674" s="15" t="str">
        <f t="shared" si="12"/>
        <v>HSR SOUTH</v>
      </c>
      <c r="D674" s="15" t="s">
        <v>490</v>
      </c>
      <c r="E674" s="15" t="str">
        <f t="shared" si="13"/>
        <v>ASM SOU Krasnodar</v>
      </c>
      <c r="F674" s="15" t="s">
        <v>491</v>
      </c>
      <c r="G674" s="15"/>
      <c r="H674" s="15" t="s">
        <v>96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434</v>
      </c>
      <c r="B675" s="15" t="s">
        <v>489</v>
      </c>
      <c r="C675" s="15" t="str">
        <f t="shared" si="12"/>
        <v>HSR SOUTH</v>
      </c>
      <c r="D675" s="15" t="s">
        <v>490</v>
      </c>
      <c r="E675" s="15" t="str">
        <f t="shared" si="13"/>
        <v>ASM SOU Krasnodar</v>
      </c>
      <c r="F675" s="15" t="s">
        <v>502</v>
      </c>
      <c r="G675" s="15"/>
      <c r="H675" s="15" t="s">
        <v>96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20</v>
      </c>
      <c r="B676" s="15" t="s">
        <v>489</v>
      </c>
      <c r="C676" s="15" t="str">
        <f t="shared" si="12"/>
        <v>HSR SOUTH</v>
      </c>
      <c r="D676" s="15" t="s">
        <v>495</v>
      </c>
      <c r="E676" s="15" t="str">
        <f t="shared" si="13"/>
        <v>ASM SOU Voronezh</v>
      </c>
      <c r="F676" s="15" t="s">
        <v>496</v>
      </c>
      <c r="G676" s="15"/>
      <c r="H676" s="15" t="s">
        <v>96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173</v>
      </c>
      <c r="B677" s="15" t="s">
        <v>489</v>
      </c>
      <c r="C677" s="15" t="str">
        <f t="shared" si="12"/>
        <v>HSR SOUTH</v>
      </c>
      <c r="D677" s="15" t="s">
        <v>490</v>
      </c>
      <c r="E677" s="15" t="str">
        <f t="shared" si="13"/>
        <v>ASM SOU Krasnodar</v>
      </c>
      <c r="F677" s="15" t="s">
        <v>499</v>
      </c>
      <c r="G677" s="15"/>
      <c r="H677" s="15" t="s">
        <v>96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173</v>
      </c>
      <c r="B678" s="15" t="s">
        <v>489</v>
      </c>
      <c r="C678" s="15" t="str">
        <f t="shared" si="12"/>
        <v>HSR SOUTH</v>
      </c>
      <c r="D678" s="15" t="s">
        <v>490</v>
      </c>
      <c r="E678" s="15" t="str">
        <f t="shared" si="13"/>
        <v>ASM SOU Krasnodar</v>
      </c>
      <c r="F678" s="15" t="s">
        <v>502</v>
      </c>
      <c r="G678" s="15"/>
      <c r="H678" s="15" t="s">
        <v>96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173</v>
      </c>
      <c r="B679" s="15" t="s">
        <v>489</v>
      </c>
      <c r="C679" s="15" t="str">
        <f t="shared" si="12"/>
        <v>HSR SOUTH</v>
      </c>
      <c r="D679" s="15" t="s">
        <v>503</v>
      </c>
      <c r="E679" s="15" t="str">
        <f t="shared" si="13"/>
        <v>DDM SOU Rostov-On-Don</v>
      </c>
      <c r="F679" s="15" t="s">
        <v>504</v>
      </c>
      <c r="G679" s="15"/>
      <c r="H679" s="15" t="s">
        <v>96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173</v>
      </c>
      <c r="B680" s="15" t="s">
        <v>489</v>
      </c>
      <c r="C680" s="15" t="str">
        <f t="shared" si="12"/>
        <v>HSR SOUTH</v>
      </c>
      <c r="D680" s="15" t="s">
        <v>503</v>
      </c>
      <c r="E680" s="15" t="str">
        <f t="shared" si="13"/>
        <v>DDM SOU Rostov-On-Don</v>
      </c>
      <c r="F680" s="15" t="s">
        <v>505</v>
      </c>
      <c r="G680" s="15"/>
      <c r="H680" s="15" t="s">
        <v>96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173</v>
      </c>
      <c r="B681" s="15" t="s">
        <v>489</v>
      </c>
      <c r="C681" s="15" t="str">
        <f t="shared" si="12"/>
        <v>HSR SOUTH</v>
      </c>
      <c r="D681" s="15" t="s">
        <v>490</v>
      </c>
      <c r="E681" s="15" t="str">
        <f t="shared" si="13"/>
        <v>ASM SOU Krasnodar</v>
      </c>
      <c r="F681" s="15" t="s">
        <v>491</v>
      </c>
      <c r="G681" s="15"/>
      <c r="H681" s="15" t="s">
        <v>96</v>
      </c>
      <c r="I681" s="15"/>
      <c r="J681" s="15"/>
      <c r="K681" s="15" t="s">
        <v>342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180</v>
      </c>
      <c r="B682" s="15" t="s">
        <v>489</v>
      </c>
      <c r="C682" s="15" t="str">
        <f t="shared" si="12"/>
        <v>HSR SOUTH</v>
      </c>
      <c r="D682" s="15" t="s">
        <v>490</v>
      </c>
      <c r="E682" s="15" t="str">
        <f t="shared" si="13"/>
        <v>ASM SOU Krasnodar</v>
      </c>
      <c r="F682" s="15" t="s">
        <v>499</v>
      </c>
      <c r="G682" s="15"/>
      <c r="H682" s="15" t="s">
        <v>96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180</v>
      </c>
      <c r="B683" s="15" t="s">
        <v>489</v>
      </c>
      <c r="C683" s="15" t="str">
        <f t="shared" si="12"/>
        <v>HSR SOUTH</v>
      </c>
      <c r="D683" s="15" t="s">
        <v>490</v>
      </c>
      <c r="E683" s="15" t="str">
        <f t="shared" si="13"/>
        <v>ASM SOU Krasnodar</v>
      </c>
      <c r="F683" s="15" t="s">
        <v>502</v>
      </c>
      <c r="G683" s="15"/>
      <c r="H683" s="15" t="s">
        <v>96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146</v>
      </c>
      <c r="B684" s="15" t="s">
        <v>489</v>
      </c>
      <c r="C684" s="15" t="str">
        <f t="shared" si="12"/>
        <v>HSR SOUTH</v>
      </c>
      <c r="D684" s="15" t="s">
        <v>495</v>
      </c>
      <c r="E684" s="15" t="str">
        <f t="shared" si="13"/>
        <v>ASM SOU Voronezh</v>
      </c>
      <c r="F684" s="15" t="s">
        <v>496</v>
      </c>
      <c r="G684" s="15"/>
      <c r="H684" s="15" t="s">
        <v>96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146</v>
      </c>
      <c r="B685" s="15" t="s">
        <v>489</v>
      </c>
      <c r="C685" s="15" t="str">
        <f t="shared" si="12"/>
        <v>HSR SOUTH</v>
      </c>
      <c r="D685" s="15" t="s">
        <v>495</v>
      </c>
      <c r="E685" s="15" t="str">
        <f t="shared" si="13"/>
        <v>ASM SOU Voronezh</v>
      </c>
      <c r="F685" s="15" t="s">
        <v>498</v>
      </c>
      <c r="G685" s="15"/>
      <c r="H685" s="15" t="s">
        <v>96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150</v>
      </c>
      <c r="B686" s="15" t="s">
        <v>489</v>
      </c>
      <c r="C686" s="15" t="str">
        <f t="shared" si="12"/>
        <v>HSR SOUTH</v>
      </c>
      <c r="D686" s="15" t="s">
        <v>495</v>
      </c>
      <c r="E686" s="15" t="str">
        <f t="shared" si="13"/>
        <v>ASM SOU Voronezh</v>
      </c>
      <c r="F686" s="15" t="s">
        <v>496</v>
      </c>
      <c r="G686" s="15"/>
      <c r="H686" s="15" t="s">
        <v>96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150</v>
      </c>
      <c r="B687" s="15" t="s">
        <v>489</v>
      </c>
      <c r="C687" s="15" t="str">
        <f t="shared" si="12"/>
        <v>HSR SOUTH</v>
      </c>
      <c r="D687" s="15" t="s">
        <v>495</v>
      </c>
      <c r="E687" s="15" t="str">
        <f t="shared" si="13"/>
        <v>ASM SOU Voronezh</v>
      </c>
      <c r="F687" s="15" t="s">
        <v>498</v>
      </c>
      <c r="G687" s="15"/>
      <c r="H687" s="15" t="s">
        <v>96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500</v>
      </c>
      <c r="B688" s="15" t="s">
        <v>489</v>
      </c>
      <c r="C688" s="15" t="str">
        <f t="shared" si="12"/>
        <v>HSR SOUTH</v>
      </c>
      <c r="D688" s="15" t="s">
        <v>490</v>
      </c>
      <c r="E688" s="15" t="str">
        <f t="shared" si="13"/>
        <v>ASM SOU Krasnodar</v>
      </c>
      <c r="F688" s="15" t="s">
        <v>502</v>
      </c>
      <c r="G688" s="15"/>
      <c r="H688" s="15" t="s">
        <v>96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7</v>
      </c>
      <c r="B689" s="15" t="s">
        <v>489</v>
      </c>
      <c r="C689" s="15" t="str">
        <f t="shared" si="12"/>
        <v>HSR SOUTH</v>
      </c>
      <c r="D689" s="15" t="s">
        <v>495</v>
      </c>
      <c r="E689" s="15" t="str">
        <f t="shared" si="13"/>
        <v>ASM SOU Voronezh</v>
      </c>
      <c r="F689" s="15" t="s">
        <v>496</v>
      </c>
      <c r="G689" s="15"/>
      <c r="H689" s="15" t="s">
        <v>96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145</v>
      </c>
      <c r="B690" s="15" t="s">
        <v>489</v>
      </c>
      <c r="C690" s="15" t="str">
        <f t="shared" si="12"/>
        <v>HSR SOUTH</v>
      </c>
      <c r="D690" s="15" t="s">
        <v>495</v>
      </c>
      <c r="E690" s="15" t="str">
        <f t="shared" si="13"/>
        <v>ASM SOU Voronezh</v>
      </c>
      <c r="F690" s="15" t="s">
        <v>496</v>
      </c>
      <c r="G690" s="15"/>
      <c r="H690" s="15" t="s">
        <v>96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145</v>
      </c>
      <c r="B691" s="15" t="s">
        <v>489</v>
      </c>
      <c r="C691" s="15" t="str">
        <f t="shared" si="12"/>
        <v>HSR SOUTH</v>
      </c>
      <c r="D691" s="15" t="s">
        <v>495</v>
      </c>
      <c r="E691" s="15" t="str">
        <f t="shared" si="13"/>
        <v>ASM SOU Voronezh</v>
      </c>
      <c r="F691" s="15" t="s">
        <v>498</v>
      </c>
      <c r="G691" s="15"/>
      <c r="H691" s="15" t="s">
        <v>96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156</v>
      </c>
      <c r="B692" s="15" t="s">
        <v>489</v>
      </c>
      <c r="C692" s="15" t="str">
        <f t="shared" si="12"/>
        <v>HSR SOUTH</v>
      </c>
      <c r="D692" s="15" t="s">
        <v>490</v>
      </c>
      <c r="E692" s="15" t="str">
        <f t="shared" si="13"/>
        <v>ASM SOU Krasnodar</v>
      </c>
      <c r="F692" s="15" t="s">
        <v>502</v>
      </c>
      <c r="G692" s="15"/>
      <c r="H692" s="15" t="s">
        <v>96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156</v>
      </c>
      <c r="B693" s="15" t="s">
        <v>489</v>
      </c>
      <c r="C693" s="15" t="str">
        <f t="shared" si="12"/>
        <v>HSR SOUTH</v>
      </c>
      <c r="D693" s="15" t="s">
        <v>495</v>
      </c>
      <c r="E693" s="15" t="str">
        <f t="shared" si="13"/>
        <v>ASM SOU Voronezh</v>
      </c>
      <c r="F693" s="15" t="s">
        <v>519</v>
      </c>
      <c r="G693" s="15"/>
      <c r="H693" s="15" t="s">
        <v>96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156</v>
      </c>
      <c r="B694" s="15" t="s">
        <v>489</v>
      </c>
      <c r="C694" s="15" t="str">
        <f t="shared" si="12"/>
        <v>HSR SOUTH</v>
      </c>
      <c r="D694" s="15" t="s">
        <v>503</v>
      </c>
      <c r="E694" s="15" t="str">
        <f t="shared" si="13"/>
        <v>DDM SOU Rostov-On-Don</v>
      </c>
      <c r="F694" s="15" t="s">
        <v>504</v>
      </c>
      <c r="G694" s="15"/>
      <c r="H694" s="15" t="s">
        <v>96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18</v>
      </c>
      <c r="B695" s="15" t="s">
        <v>561</v>
      </c>
      <c r="C695" s="15" t="s">
        <v>589</v>
      </c>
      <c r="D695" s="15" t="s">
        <v>318</v>
      </c>
      <c r="E695" s="15" t="s">
        <v>495</v>
      </c>
      <c r="F695" s="15" t="s">
        <v>319</v>
      </c>
      <c r="G695" s="15" t="s">
        <v>319</v>
      </c>
      <c r="H695" s="15" t="s">
        <v>96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432</v>
      </c>
      <c r="B696" s="15" t="s">
        <v>489</v>
      </c>
      <c r="C696" s="15" t="str">
        <f t="shared" ref="C696:C699" si="14">B696</f>
        <v>HSR SOUTH</v>
      </c>
      <c r="D696" s="15" t="s">
        <v>490</v>
      </c>
      <c r="E696" s="15" t="str">
        <f t="shared" ref="E696:E699" si="15">D696</f>
        <v>ASM SOU Krasnodar</v>
      </c>
      <c r="F696" s="15" t="s">
        <v>499</v>
      </c>
      <c r="G696" s="15"/>
      <c r="H696" s="15" t="s">
        <v>96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151</v>
      </c>
      <c r="B697" s="15" t="s">
        <v>489</v>
      </c>
      <c r="C697" s="15" t="str">
        <f t="shared" si="14"/>
        <v>HSR SOUTH</v>
      </c>
      <c r="D697" s="15" t="s">
        <v>495</v>
      </c>
      <c r="E697" s="15" t="str">
        <f t="shared" si="15"/>
        <v>ASM SOU Voronezh</v>
      </c>
      <c r="F697" s="15" t="s">
        <v>496</v>
      </c>
      <c r="G697" s="15"/>
      <c r="H697" s="15" t="s">
        <v>96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151</v>
      </c>
      <c r="B698" s="15" t="s">
        <v>489</v>
      </c>
      <c r="C698" s="15" t="str">
        <f t="shared" si="14"/>
        <v>HSR SOUTH</v>
      </c>
      <c r="D698" s="15" t="s">
        <v>495</v>
      </c>
      <c r="E698" s="15" t="str">
        <f t="shared" si="15"/>
        <v>ASM SOU Voronezh</v>
      </c>
      <c r="F698" s="15" t="s">
        <v>498</v>
      </c>
      <c r="G698" s="15"/>
      <c r="H698" s="15" t="s">
        <v>96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151</v>
      </c>
      <c r="B699" s="15" t="s">
        <v>489</v>
      </c>
      <c r="C699" s="15" t="str">
        <f t="shared" si="14"/>
        <v>HSR SOUTH</v>
      </c>
      <c r="D699" s="15" t="s">
        <v>495</v>
      </c>
      <c r="E699" s="15" t="str">
        <f t="shared" si="15"/>
        <v>ASM SOU Voronezh</v>
      </c>
      <c r="F699" s="15" t="s">
        <v>519</v>
      </c>
      <c r="G699" s="15"/>
      <c r="H699" s="15" t="s">
        <v>96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17</v>
      </c>
      <c r="B700" s="15" t="s">
        <v>561</v>
      </c>
      <c r="C700" s="15" t="s">
        <v>589</v>
      </c>
      <c r="D700" s="15" t="s">
        <v>318</v>
      </c>
      <c r="E700" s="15" t="s">
        <v>495</v>
      </c>
      <c r="F700" s="15" t="s">
        <v>331</v>
      </c>
      <c r="G700" s="15" t="s">
        <v>331</v>
      </c>
      <c r="H700" s="15" t="s">
        <v>96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167</v>
      </c>
      <c r="B701" s="15" t="s">
        <v>489</v>
      </c>
      <c r="C701" s="15" t="str">
        <f t="shared" ref="C701:C714" si="16">B701</f>
        <v>HSR SOUTH</v>
      </c>
      <c r="D701" s="15" t="s">
        <v>490</v>
      </c>
      <c r="E701" s="15" t="str">
        <f t="shared" ref="E701:E714" si="17">D701</f>
        <v>ASM SOU Krasnodar</v>
      </c>
      <c r="F701" s="15" t="s">
        <v>491</v>
      </c>
      <c r="G701" s="15"/>
      <c r="H701" s="15" t="s">
        <v>96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154</v>
      </c>
      <c r="B702" s="15" t="s">
        <v>489</v>
      </c>
      <c r="C702" s="15" t="str">
        <f t="shared" si="16"/>
        <v>HSR SOUTH</v>
      </c>
      <c r="D702" s="15" t="s">
        <v>495</v>
      </c>
      <c r="E702" s="15" t="str">
        <f t="shared" si="17"/>
        <v>ASM SOU Voronezh</v>
      </c>
      <c r="F702" s="15" t="s">
        <v>519</v>
      </c>
      <c r="G702" s="15"/>
      <c r="H702" s="15" t="s">
        <v>96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333</v>
      </c>
      <c r="B703" s="15" t="s">
        <v>489</v>
      </c>
      <c r="C703" s="15" t="str">
        <f t="shared" si="16"/>
        <v>HSR SOUTH</v>
      </c>
      <c r="D703" s="15" t="s">
        <v>495</v>
      </c>
      <c r="E703" s="15" t="str">
        <f t="shared" si="17"/>
        <v>ASM SOU Voronezh</v>
      </c>
      <c r="F703" s="15" t="s">
        <v>496</v>
      </c>
      <c r="G703" s="15"/>
      <c r="H703" s="15" t="s">
        <v>96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152</v>
      </c>
      <c r="B704" s="15" t="s">
        <v>489</v>
      </c>
      <c r="C704" s="15" t="str">
        <f t="shared" si="16"/>
        <v>HSR SOUTH</v>
      </c>
      <c r="D704" s="15" t="s">
        <v>490</v>
      </c>
      <c r="E704" s="15" t="str">
        <f t="shared" si="17"/>
        <v>ASM SOU Krasnodar</v>
      </c>
      <c r="F704" s="15" t="s">
        <v>502</v>
      </c>
      <c r="G704" s="15"/>
      <c r="H704" s="15" t="s">
        <v>96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152</v>
      </c>
      <c r="B705" s="15" t="s">
        <v>489</v>
      </c>
      <c r="C705" s="15" t="str">
        <f t="shared" si="16"/>
        <v>HSR SOUTH</v>
      </c>
      <c r="D705" s="15" t="s">
        <v>495</v>
      </c>
      <c r="E705" s="15" t="str">
        <f t="shared" si="17"/>
        <v>ASM SOU Voronezh</v>
      </c>
      <c r="F705" s="15" t="s">
        <v>519</v>
      </c>
      <c r="G705" s="15"/>
      <c r="H705" s="15" t="s">
        <v>96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107</v>
      </c>
      <c r="B706" s="15" t="s">
        <v>489</v>
      </c>
      <c r="C706" s="15" t="str">
        <f t="shared" si="16"/>
        <v>HSR SOUTH</v>
      </c>
      <c r="D706" s="15" t="s">
        <v>495</v>
      </c>
      <c r="E706" s="15" t="str">
        <f t="shared" si="17"/>
        <v>ASM SOU Voronezh</v>
      </c>
      <c r="F706" s="15" t="s">
        <v>519</v>
      </c>
      <c r="G706" s="15"/>
      <c r="H706" s="15" t="s">
        <v>96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27</v>
      </c>
      <c r="B707" s="15" t="s">
        <v>489</v>
      </c>
      <c r="C707" s="15" t="str">
        <f t="shared" si="16"/>
        <v>HSR SOUTH</v>
      </c>
      <c r="D707" s="15" t="s">
        <v>495</v>
      </c>
      <c r="E707" s="15" t="str">
        <f t="shared" si="17"/>
        <v>ASM SOU Voronezh</v>
      </c>
      <c r="F707" s="15" t="s">
        <v>519</v>
      </c>
      <c r="G707" s="15"/>
      <c r="H707" s="15" t="s">
        <v>96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105</v>
      </c>
      <c r="B708" s="15" t="s">
        <v>489</v>
      </c>
      <c r="C708" s="15" t="str">
        <f t="shared" si="16"/>
        <v>HSR SOUTH</v>
      </c>
      <c r="D708" s="15" t="s">
        <v>495</v>
      </c>
      <c r="E708" s="15" t="str">
        <f t="shared" si="17"/>
        <v>ASM SOU Voronezh</v>
      </c>
      <c r="F708" s="15" t="s">
        <v>519</v>
      </c>
      <c r="G708" s="15"/>
      <c r="H708" s="15" t="s">
        <v>96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512</v>
      </c>
      <c r="B709" s="15" t="s">
        <v>489</v>
      </c>
      <c r="C709" s="15" t="str">
        <f t="shared" si="16"/>
        <v>HSR SOUTH</v>
      </c>
      <c r="D709" s="15" t="s">
        <v>503</v>
      </c>
      <c r="E709" s="15" t="str">
        <f t="shared" si="17"/>
        <v>DDM SOU Rostov-On-Don</v>
      </c>
      <c r="F709" s="15" t="s">
        <v>520</v>
      </c>
      <c r="G709" s="15"/>
      <c r="H709" s="15" t="s">
        <v>96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517</v>
      </c>
      <c r="B710" s="15" t="s">
        <v>489</v>
      </c>
      <c r="C710" s="15" t="str">
        <f t="shared" si="16"/>
        <v>HSR SOUTH</v>
      </c>
      <c r="D710" s="15" t="s">
        <v>503</v>
      </c>
      <c r="E710" s="15" t="str">
        <f t="shared" si="17"/>
        <v>DDM SOU Rostov-On-Don</v>
      </c>
      <c r="F710" s="15" t="s">
        <v>520</v>
      </c>
      <c r="G710" s="15"/>
      <c r="H710" s="15" t="s">
        <v>96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160</v>
      </c>
      <c r="B711" s="15" t="s">
        <v>489</v>
      </c>
      <c r="C711" s="15" t="str">
        <f t="shared" si="16"/>
        <v>HSR SOUTH</v>
      </c>
      <c r="D711" s="15" t="s">
        <v>490</v>
      </c>
      <c r="E711" s="15" t="str">
        <f t="shared" si="17"/>
        <v>ASM SOU Krasnodar</v>
      </c>
      <c r="F711" s="15" t="s">
        <v>502</v>
      </c>
      <c r="G711" s="15"/>
      <c r="H711" s="15" t="s">
        <v>96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160</v>
      </c>
      <c r="B712" s="15" t="s">
        <v>489</v>
      </c>
      <c r="C712" s="15" t="str">
        <f t="shared" si="16"/>
        <v>HSR SOUTH</v>
      </c>
      <c r="D712" s="15" t="s">
        <v>503</v>
      </c>
      <c r="E712" s="15" t="str">
        <f t="shared" si="17"/>
        <v>DDM SOU Rostov-On-Don</v>
      </c>
      <c r="F712" s="15" t="s">
        <v>520</v>
      </c>
      <c r="G712" s="15"/>
      <c r="H712" s="15" t="s">
        <v>96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514</v>
      </c>
      <c r="B713" s="15" t="s">
        <v>489</v>
      </c>
      <c r="C713" s="15" t="str">
        <f t="shared" si="16"/>
        <v>HSR SOUTH</v>
      </c>
      <c r="D713" s="15" t="s">
        <v>503</v>
      </c>
      <c r="E713" s="15" t="str">
        <f t="shared" si="17"/>
        <v>DDM SOU Rostov-On-Don</v>
      </c>
      <c r="F713" s="15" t="s">
        <v>520</v>
      </c>
      <c r="G713" s="15"/>
      <c r="H713" s="15" t="s">
        <v>96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165</v>
      </c>
      <c r="B714" s="15" t="s">
        <v>489</v>
      </c>
      <c r="C714" s="15" t="str">
        <f t="shared" si="16"/>
        <v>HSR SOUTH</v>
      </c>
      <c r="D714" s="15" t="s">
        <v>495</v>
      </c>
      <c r="E714" s="15" t="str">
        <f t="shared" si="17"/>
        <v>ASM SOU Voronezh</v>
      </c>
      <c r="F714" s="15" t="s">
        <v>519</v>
      </c>
      <c r="G714" s="15"/>
      <c r="H714" s="15" t="s">
        <v>96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22</v>
      </c>
      <c r="B715" s="15" t="s">
        <v>561</v>
      </c>
      <c r="C715" s="15" t="s">
        <v>591</v>
      </c>
      <c r="D715" s="15" t="s">
        <v>318</v>
      </c>
      <c r="E715" s="15" t="s">
        <v>318</v>
      </c>
      <c r="F715" s="15" t="s">
        <v>319</v>
      </c>
      <c r="G715" s="15"/>
      <c r="H715" s="15" t="s">
        <v>96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155</v>
      </c>
      <c r="B716" s="15" t="s">
        <v>489</v>
      </c>
      <c r="C716" s="15" t="str">
        <f t="shared" ref="C716:C719" si="18">B716</f>
        <v>HSR SOUTH</v>
      </c>
      <c r="D716" s="15" t="s">
        <v>495</v>
      </c>
      <c r="E716" s="15" t="str">
        <f t="shared" ref="E716:E719" si="19">D716</f>
        <v>ASM SOU Voronezh</v>
      </c>
      <c r="F716" s="15" t="s">
        <v>519</v>
      </c>
      <c r="G716" s="15"/>
      <c r="H716" s="15" t="s">
        <v>96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166</v>
      </c>
      <c r="B717" s="15" t="s">
        <v>489</v>
      </c>
      <c r="C717" s="15" t="str">
        <f t="shared" si="18"/>
        <v>HSR SOUTH</v>
      </c>
      <c r="D717" s="15" t="s">
        <v>495</v>
      </c>
      <c r="E717" s="15" t="str">
        <f t="shared" si="19"/>
        <v>ASM SOU Voronezh</v>
      </c>
      <c r="F717" s="15" t="s">
        <v>519</v>
      </c>
      <c r="G717" s="15"/>
      <c r="H717" s="15" t="s">
        <v>96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435</v>
      </c>
      <c r="B718" s="15" t="s">
        <v>489</v>
      </c>
      <c r="C718" s="15" t="str">
        <f t="shared" si="18"/>
        <v>HSR SOUTH</v>
      </c>
      <c r="D718" s="15" t="s">
        <v>490</v>
      </c>
      <c r="E718" s="15" t="str">
        <f t="shared" si="19"/>
        <v>ASM SOU Krasnodar</v>
      </c>
      <c r="F718" s="15" t="s">
        <v>502</v>
      </c>
      <c r="G718" s="15"/>
      <c r="H718" s="15" t="s">
        <v>96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521</v>
      </c>
      <c r="B719" s="15" t="s">
        <v>489</v>
      </c>
      <c r="C719" s="15" t="str">
        <f t="shared" si="18"/>
        <v>HSR SOUTH</v>
      </c>
      <c r="D719" s="15" t="s">
        <v>490</v>
      </c>
      <c r="E719" s="15" t="str">
        <f t="shared" si="19"/>
        <v>ASM SOU Krasnodar</v>
      </c>
      <c r="F719" s="15" t="s">
        <v>502</v>
      </c>
      <c r="G719" s="15"/>
      <c r="H719" s="15" t="s">
        <v>96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18</v>
      </c>
      <c r="B720" s="15" t="s">
        <v>561</v>
      </c>
      <c r="C720" s="15" t="s">
        <v>589</v>
      </c>
      <c r="D720" s="15" t="s">
        <v>318</v>
      </c>
      <c r="E720" s="15" t="s">
        <v>495</v>
      </c>
      <c r="F720" s="15" t="s">
        <v>319</v>
      </c>
      <c r="G720" s="15" t="s">
        <v>319</v>
      </c>
      <c r="H720" s="15" t="s">
        <v>96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17</v>
      </c>
      <c r="B721" s="15" t="s">
        <v>561</v>
      </c>
      <c r="C721" s="15" t="s">
        <v>589</v>
      </c>
      <c r="D721" s="15" t="s">
        <v>318</v>
      </c>
      <c r="E721" s="15" t="s">
        <v>495</v>
      </c>
      <c r="F721" s="15" t="s">
        <v>522</v>
      </c>
      <c r="G721" s="15" t="s">
        <v>522</v>
      </c>
      <c r="H721" s="15" t="s">
        <v>96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20</v>
      </c>
      <c r="B722" s="15" t="s">
        <v>561</v>
      </c>
      <c r="C722" s="15" t="s">
        <v>589</v>
      </c>
      <c r="D722" s="15" t="s">
        <v>323</v>
      </c>
      <c r="E722" s="15" t="s">
        <v>495</v>
      </c>
      <c r="F722" s="15" t="s">
        <v>324</v>
      </c>
      <c r="G722" s="15"/>
      <c r="H722" s="15" t="s">
        <v>96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525</v>
      </c>
      <c r="B723" s="15" t="s">
        <v>526</v>
      </c>
      <c r="C723" s="15" t="s">
        <v>591</v>
      </c>
      <c r="D723" s="15" t="s">
        <v>527</v>
      </c>
      <c r="E723" s="15" t="str">
        <f t="shared" ref="E723:E786" si="20">D723</f>
        <v>ASM NOR Vector Dendi</v>
      </c>
      <c r="F723" s="15" t="s">
        <v>528</v>
      </c>
      <c r="G723" s="15"/>
      <c r="H723" s="15" t="s">
        <v>423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525</v>
      </c>
      <c r="B724" s="15" t="s">
        <v>526</v>
      </c>
      <c r="C724" s="15" t="s">
        <v>591</v>
      </c>
      <c r="D724" s="15" t="s">
        <v>529</v>
      </c>
      <c r="E724" s="15" t="str">
        <f t="shared" si="20"/>
        <v>DDM NOR Grocery+SPT Spb Nov Pskov</v>
      </c>
      <c r="F724" s="15" t="s">
        <v>530</v>
      </c>
      <c r="G724" s="15"/>
      <c r="H724" s="15" t="s">
        <v>351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531</v>
      </c>
      <c r="B725" s="15" t="s">
        <v>526</v>
      </c>
      <c r="C725" s="15" t="s">
        <v>591</v>
      </c>
      <c r="D725" s="15" t="s">
        <v>527</v>
      </c>
      <c r="E725" s="15" t="str">
        <f t="shared" si="20"/>
        <v>ASM NOR Vector Dendi</v>
      </c>
      <c r="F725" s="15" t="s">
        <v>532</v>
      </c>
      <c r="G725" s="15"/>
      <c r="H725" s="15" t="s">
        <v>426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533</v>
      </c>
      <c r="B726" s="15" t="s">
        <v>526</v>
      </c>
      <c r="C726" s="15" t="s">
        <v>591</v>
      </c>
      <c r="D726" s="15" t="s">
        <v>527</v>
      </c>
      <c r="E726" s="15" t="str">
        <f t="shared" si="20"/>
        <v>ASM NOR Vector Dendi</v>
      </c>
      <c r="F726" s="15" t="s">
        <v>532</v>
      </c>
      <c r="G726" s="15"/>
      <c r="H726" s="15" t="s">
        <v>426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534</v>
      </c>
      <c r="B727" s="15" t="s">
        <v>526</v>
      </c>
      <c r="C727" s="15" t="s">
        <v>591</v>
      </c>
      <c r="D727" s="15" t="s">
        <v>527</v>
      </c>
      <c r="E727" s="15" t="str">
        <f t="shared" si="20"/>
        <v>ASM NOR Vector Dendi</v>
      </c>
      <c r="F727" s="15" t="s">
        <v>532</v>
      </c>
      <c r="G727" s="15"/>
      <c r="H727" s="15" t="s">
        <v>426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534</v>
      </c>
      <c r="B728" s="15" t="s">
        <v>526</v>
      </c>
      <c r="C728" s="15" t="s">
        <v>591</v>
      </c>
      <c r="D728" s="15" t="s">
        <v>527</v>
      </c>
      <c r="E728" s="15" t="str">
        <f t="shared" si="20"/>
        <v>ASM NOR Vector Dendi</v>
      </c>
      <c r="F728" s="15" t="s">
        <v>528</v>
      </c>
      <c r="G728" s="15"/>
      <c r="H728" s="15" t="s">
        <v>423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533</v>
      </c>
      <c r="B729" s="15" t="s">
        <v>526</v>
      </c>
      <c r="C729" s="15" t="s">
        <v>591</v>
      </c>
      <c r="D729" s="15" t="s">
        <v>527</v>
      </c>
      <c r="E729" s="15" t="str">
        <f t="shared" si="20"/>
        <v>ASM NOR Vector Dendi</v>
      </c>
      <c r="F729" s="15" t="s">
        <v>535</v>
      </c>
      <c r="G729" s="15"/>
      <c r="H729" s="15" t="s">
        <v>426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536</v>
      </c>
      <c r="B730" s="15" t="s">
        <v>526</v>
      </c>
      <c r="C730" s="15" t="s">
        <v>591</v>
      </c>
      <c r="D730" s="15" t="s">
        <v>529</v>
      </c>
      <c r="E730" s="15" t="str">
        <f t="shared" si="20"/>
        <v>DDM NOR Grocery+SPT Spb Nov Pskov</v>
      </c>
      <c r="F730" s="15" t="s">
        <v>537</v>
      </c>
      <c r="G730" s="15"/>
      <c r="H730" s="15" t="s">
        <v>538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539</v>
      </c>
      <c r="B731" s="15" t="s">
        <v>526</v>
      </c>
      <c r="C731" s="15" t="s">
        <v>591</v>
      </c>
      <c r="D731" s="15" t="s">
        <v>529</v>
      </c>
      <c r="E731" s="15" t="str">
        <f t="shared" si="20"/>
        <v>DDM NOR Grocery+SPT Spb Nov Pskov</v>
      </c>
      <c r="F731" s="15" t="s">
        <v>530</v>
      </c>
      <c r="G731" s="15"/>
      <c r="H731" s="15" t="s">
        <v>351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539</v>
      </c>
      <c r="B732" s="15" t="s">
        <v>526</v>
      </c>
      <c r="C732" s="15" t="s">
        <v>591</v>
      </c>
      <c r="D732" s="15" t="s">
        <v>529</v>
      </c>
      <c r="E732" s="15" t="str">
        <f t="shared" si="20"/>
        <v>DDM NOR Grocery+SPT Spb Nov Pskov</v>
      </c>
      <c r="F732" s="15" t="s">
        <v>540</v>
      </c>
      <c r="G732" s="15"/>
      <c r="H732" s="15" t="s">
        <v>351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541</v>
      </c>
      <c r="B733" s="15" t="s">
        <v>526</v>
      </c>
      <c r="C733" s="15" t="s">
        <v>591</v>
      </c>
      <c r="D733" s="15" t="s">
        <v>527</v>
      </c>
      <c r="E733" s="15" t="str">
        <f t="shared" si="20"/>
        <v>ASM NOR Vector Dendi</v>
      </c>
      <c r="F733" s="15" t="s">
        <v>528</v>
      </c>
      <c r="G733" s="15"/>
      <c r="H733" s="15" t="s">
        <v>429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542</v>
      </c>
      <c r="B734" s="15" t="s">
        <v>526</v>
      </c>
      <c r="C734" s="15" t="s">
        <v>591</v>
      </c>
      <c r="D734" s="15" t="s">
        <v>527</v>
      </c>
      <c r="E734" s="15" t="str">
        <f t="shared" si="20"/>
        <v>ASM NOR Vector Dendi</v>
      </c>
      <c r="F734" s="15" t="s">
        <v>532</v>
      </c>
      <c r="G734" s="15"/>
      <c r="H734" s="15" t="s">
        <v>426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542</v>
      </c>
      <c r="B735" s="15" t="s">
        <v>526</v>
      </c>
      <c r="C735" s="15" t="s">
        <v>591</v>
      </c>
      <c r="D735" s="15" t="s">
        <v>527</v>
      </c>
      <c r="E735" s="15" t="str">
        <f t="shared" si="20"/>
        <v>ASM NOR Vector Dendi</v>
      </c>
      <c r="F735" s="15" t="s">
        <v>535</v>
      </c>
      <c r="G735" s="15"/>
      <c r="H735" s="15" t="s">
        <v>426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543</v>
      </c>
      <c r="B736" s="15" t="s">
        <v>526</v>
      </c>
      <c r="C736" s="15" t="s">
        <v>591</v>
      </c>
      <c r="D736" s="15" t="s">
        <v>529</v>
      </c>
      <c r="E736" s="15" t="str">
        <f t="shared" si="20"/>
        <v>DDM NOR Grocery+SPT Spb Nov Pskov</v>
      </c>
      <c r="F736" s="15" t="s">
        <v>530</v>
      </c>
      <c r="G736" s="15"/>
      <c r="H736" s="15" t="s">
        <v>351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543</v>
      </c>
      <c r="B737" s="15" t="s">
        <v>526</v>
      </c>
      <c r="C737" s="15" t="s">
        <v>591</v>
      </c>
      <c r="D737" s="15" t="s">
        <v>529</v>
      </c>
      <c r="E737" s="15" t="str">
        <f t="shared" si="20"/>
        <v>DDM NOR Grocery+SPT Spb Nov Pskov</v>
      </c>
      <c r="F737" s="15" t="s">
        <v>540</v>
      </c>
      <c r="G737" s="15"/>
      <c r="H737" s="15" t="s">
        <v>351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543</v>
      </c>
      <c r="B738" s="15" t="s">
        <v>526</v>
      </c>
      <c r="C738" s="15" t="s">
        <v>591</v>
      </c>
      <c r="D738" s="15" t="s">
        <v>529</v>
      </c>
      <c r="E738" s="15" t="str">
        <f t="shared" si="20"/>
        <v>DDM NOR Grocery+SPT Spb Nov Pskov</v>
      </c>
      <c r="F738" s="15" t="s">
        <v>544</v>
      </c>
      <c r="G738" s="15"/>
      <c r="H738" s="15" t="s">
        <v>351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545</v>
      </c>
      <c r="B739" s="15" t="s">
        <v>526</v>
      </c>
      <c r="C739" s="15" t="s">
        <v>591</v>
      </c>
      <c r="D739" s="15" t="s">
        <v>527</v>
      </c>
      <c r="E739" s="15" t="str">
        <f t="shared" si="20"/>
        <v>ASM NOR Vector Dendi</v>
      </c>
      <c r="F739" s="15" t="s">
        <v>532</v>
      </c>
      <c r="G739" s="15"/>
      <c r="H739" s="15" t="s">
        <v>426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545</v>
      </c>
      <c r="B740" s="15" t="s">
        <v>526</v>
      </c>
      <c r="C740" s="15" t="s">
        <v>591</v>
      </c>
      <c r="D740" s="15" t="s">
        <v>527</v>
      </c>
      <c r="E740" s="15" t="str">
        <f t="shared" si="20"/>
        <v>ASM NOR Vector Dendi</v>
      </c>
      <c r="F740" s="15" t="s">
        <v>535</v>
      </c>
      <c r="G740" s="15"/>
      <c r="H740" s="15" t="s">
        <v>426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545</v>
      </c>
      <c r="B741" s="15" t="s">
        <v>526</v>
      </c>
      <c r="C741" s="15" t="s">
        <v>591</v>
      </c>
      <c r="D741" s="15" t="s">
        <v>529</v>
      </c>
      <c r="E741" s="15" t="str">
        <f t="shared" si="20"/>
        <v>DDM NOR Grocery+SPT Spb Nov Pskov</v>
      </c>
      <c r="F741" s="15" t="s">
        <v>544</v>
      </c>
      <c r="G741" s="15"/>
      <c r="H741" s="15" t="s">
        <v>351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545</v>
      </c>
      <c r="B742" s="15" t="s">
        <v>526</v>
      </c>
      <c r="C742" s="15" t="s">
        <v>591</v>
      </c>
      <c r="D742" s="15" t="s">
        <v>527</v>
      </c>
      <c r="E742" s="15" t="str">
        <f t="shared" si="20"/>
        <v>ASM NOR Vector Dendi</v>
      </c>
      <c r="F742" s="15" t="s">
        <v>532</v>
      </c>
      <c r="G742" s="15"/>
      <c r="H742" s="15" t="s">
        <v>426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545</v>
      </c>
      <c r="B743" s="15" t="s">
        <v>526</v>
      </c>
      <c r="C743" s="15" t="s">
        <v>591</v>
      </c>
      <c r="D743" s="15" t="s">
        <v>527</v>
      </c>
      <c r="E743" s="15" t="str">
        <f t="shared" si="20"/>
        <v>ASM NOR Vector Dendi</v>
      </c>
      <c r="F743" s="15" t="s">
        <v>535</v>
      </c>
      <c r="G743" s="15"/>
      <c r="H743" s="15" t="s">
        <v>426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546</v>
      </c>
      <c r="B744" s="15" t="s">
        <v>526</v>
      </c>
      <c r="C744" s="15" t="s">
        <v>591</v>
      </c>
      <c r="D744" s="15" t="s">
        <v>529</v>
      </c>
      <c r="E744" s="15" t="str">
        <f t="shared" si="20"/>
        <v>DDM NOR Grocery+SPT Spb Nov Pskov</v>
      </c>
      <c r="F744" s="15" t="s">
        <v>530</v>
      </c>
      <c r="G744" s="15"/>
      <c r="H744" s="15" t="s">
        <v>351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546</v>
      </c>
      <c r="B745" s="15" t="s">
        <v>526</v>
      </c>
      <c r="C745" s="15" t="s">
        <v>591</v>
      </c>
      <c r="D745" s="15" t="s">
        <v>529</v>
      </c>
      <c r="E745" s="15" t="str">
        <f t="shared" si="20"/>
        <v>DDM NOR Grocery+SPT Spb Nov Pskov</v>
      </c>
      <c r="F745" s="15" t="s">
        <v>544</v>
      </c>
      <c r="G745" s="15"/>
      <c r="H745" s="15" t="s">
        <v>351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547</v>
      </c>
      <c r="B746" s="15" t="s">
        <v>526</v>
      </c>
      <c r="C746" s="15" t="s">
        <v>591</v>
      </c>
      <c r="D746" s="15" t="s">
        <v>529</v>
      </c>
      <c r="E746" s="15" t="str">
        <f t="shared" si="20"/>
        <v>DDM NOR Grocery+SPT Spb Nov Pskov</v>
      </c>
      <c r="F746" s="15" t="s">
        <v>530</v>
      </c>
      <c r="G746" s="15"/>
      <c r="H746" s="15" t="s">
        <v>351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548</v>
      </c>
      <c r="B747" s="15" t="s">
        <v>526</v>
      </c>
      <c r="C747" s="15" t="s">
        <v>591</v>
      </c>
      <c r="D747" s="15" t="s">
        <v>527</v>
      </c>
      <c r="E747" s="15" t="str">
        <f t="shared" si="20"/>
        <v>ASM NOR Vector Dendi</v>
      </c>
      <c r="F747" s="15" t="s">
        <v>528</v>
      </c>
      <c r="G747" s="15"/>
      <c r="H747" s="15" t="s">
        <v>423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548</v>
      </c>
      <c r="B748" s="15" t="s">
        <v>526</v>
      </c>
      <c r="C748" s="15" t="s">
        <v>591</v>
      </c>
      <c r="D748" s="15" t="s">
        <v>527</v>
      </c>
      <c r="E748" s="15" t="str">
        <f t="shared" si="20"/>
        <v>ASM NOR Vector Dendi</v>
      </c>
      <c r="F748" s="15" t="s">
        <v>528</v>
      </c>
      <c r="G748" s="15"/>
      <c r="H748" s="15" t="s">
        <v>429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549</v>
      </c>
      <c r="B749" s="15" t="s">
        <v>526</v>
      </c>
      <c r="C749" s="15" t="s">
        <v>591</v>
      </c>
      <c r="D749" s="15" t="s">
        <v>529</v>
      </c>
      <c r="E749" s="15" t="str">
        <f t="shared" si="20"/>
        <v>DDM NOR Grocery+SPT Spb Nov Pskov</v>
      </c>
      <c r="F749" s="15" t="s">
        <v>530</v>
      </c>
      <c r="G749" s="15"/>
      <c r="H749" s="15" t="s">
        <v>351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546</v>
      </c>
      <c r="B750" s="15" t="s">
        <v>526</v>
      </c>
      <c r="C750" s="15" t="s">
        <v>591</v>
      </c>
      <c r="D750" s="15" t="s">
        <v>527</v>
      </c>
      <c r="E750" s="15" t="str">
        <f t="shared" si="20"/>
        <v>ASM NOR Vector Dendi</v>
      </c>
      <c r="F750" s="15" t="s">
        <v>532</v>
      </c>
      <c r="G750" s="15"/>
      <c r="H750" s="15" t="s">
        <v>426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546</v>
      </c>
      <c r="B751" s="15" t="s">
        <v>526</v>
      </c>
      <c r="C751" s="15" t="s">
        <v>591</v>
      </c>
      <c r="D751" s="15" t="s">
        <v>529</v>
      </c>
      <c r="E751" s="15" t="str">
        <f t="shared" si="20"/>
        <v>DDM NOR Grocery+SPT Spb Nov Pskov</v>
      </c>
      <c r="F751" s="15" t="s">
        <v>544</v>
      </c>
      <c r="G751" s="15"/>
      <c r="H751" s="15" t="s">
        <v>351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346</v>
      </c>
      <c r="B752" s="15" t="s">
        <v>526</v>
      </c>
      <c r="C752" s="15" t="s">
        <v>591</v>
      </c>
      <c r="D752" s="15" t="s">
        <v>529</v>
      </c>
      <c r="E752" s="15" t="str">
        <f t="shared" si="20"/>
        <v>DDM NOR Grocery+SPT Spb Nov Pskov</v>
      </c>
      <c r="F752" s="15" t="s">
        <v>530</v>
      </c>
      <c r="G752" s="15"/>
      <c r="H752" s="15" t="s">
        <v>351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346</v>
      </c>
      <c r="B753" s="15" t="s">
        <v>526</v>
      </c>
      <c r="C753" s="15" t="s">
        <v>591</v>
      </c>
      <c r="D753" s="15" t="s">
        <v>529</v>
      </c>
      <c r="E753" s="15" t="str">
        <f t="shared" si="20"/>
        <v>DDM NOR Grocery+SPT Spb Nov Pskov</v>
      </c>
      <c r="F753" s="15" t="s">
        <v>540</v>
      </c>
      <c r="G753" s="15"/>
      <c r="H753" s="15" t="s">
        <v>351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346</v>
      </c>
      <c r="B754" s="15" t="s">
        <v>526</v>
      </c>
      <c r="C754" s="15" t="s">
        <v>591</v>
      </c>
      <c r="D754" s="15" t="s">
        <v>529</v>
      </c>
      <c r="E754" s="15" t="str">
        <f t="shared" si="20"/>
        <v>DDM NOR Grocery+SPT Spb Nov Pskov</v>
      </c>
      <c r="F754" s="15" t="s">
        <v>544</v>
      </c>
      <c r="G754" s="15"/>
      <c r="H754" s="15" t="s">
        <v>351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531</v>
      </c>
      <c r="B755" s="15" t="s">
        <v>526</v>
      </c>
      <c r="C755" s="15" t="s">
        <v>591</v>
      </c>
      <c r="D755" s="15" t="s">
        <v>527</v>
      </c>
      <c r="E755" s="15" t="str">
        <f t="shared" si="20"/>
        <v>ASM NOR Vector Dendi</v>
      </c>
      <c r="F755" s="15" t="s">
        <v>532</v>
      </c>
      <c r="G755" s="15"/>
      <c r="H755" s="15" t="s">
        <v>426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545</v>
      </c>
      <c r="B756" s="15" t="s">
        <v>526</v>
      </c>
      <c r="C756" s="15" t="s">
        <v>591</v>
      </c>
      <c r="D756" s="15" t="s">
        <v>527</v>
      </c>
      <c r="E756" s="15" t="str">
        <f t="shared" si="20"/>
        <v>ASM NOR Vector Dendi</v>
      </c>
      <c r="F756" s="15" t="s">
        <v>535</v>
      </c>
      <c r="G756" s="15"/>
      <c r="H756" s="15" t="s">
        <v>426</v>
      </c>
      <c r="I756" s="15"/>
      <c r="J756" s="15"/>
      <c r="K756" s="15" t="s">
        <v>377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545</v>
      </c>
      <c r="B757" s="15" t="s">
        <v>526</v>
      </c>
      <c r="C757" s="15" t="s">
        <v>591</v>
      </c>
      <c r="D757" s="15" t="s">
        <v>529</v>
      </c>
      <c r="E757" s="15" t="str">
        <f t="shared" si="20"/>
        <v>DDM NOR Grocery+SPT Spb Nov Pskov</v>
      </c>
      <c r="F757" s="15" t="s">
        <v>540</v>
      </c>
      <c r="G757" s="15"/>
      <c r="H757" s="15" t="s">
        <v>351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417</v>
      </c>
      <c r="B758" s="15" t="s">
        <v>526</v>
      </c>
      <c r="C758" s="15" t="s">
        <v>591</v>
      </c>
      <c r="D758" s="15" t="s">
        <v>527</v>
      </c>
      <c r="E758" s="15" t="str">
        <f t="shared" si="20"/>
        <v>ASM NOR Vector Dendi</v>
      </c>
      <c r="F758" s="15" t="s">
        <v>528</v>
      </c>
      <c r="G758" s="15"/>
      <c r="H758" s="15" t="s">
        <v>429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550</v>
      </c>
      <c r="B759" s="15" t="s">
        <v>526</v>
      </c>
      <c r="C759" s="15" t="s">
        <v>591</v>
      </c>
      <c r="D759" s="15" t="s">
        <v>527</v>
      </c>
      <c r="E759" s="15" t="str">
        <f t="shared" si="20"/>
        <v>ASM NOR Vector Dendi</v>
      </c>
      <c r="F759" s="15" t="s">
        <v>528</v>
      </c>
      <c r="G759" s="15"/>
      <c r="H759" s="15" t="s">
        <v>429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551</v>
      </c>
      <c r="B760" s="15" t="s">
        <v>526</v>
      </c>
      <c r="C760" s="15" t="s">
        <v>591</v>
      </c>
      <c r="D760" s="15" t="s">
        <v>527</v>
      </c>
      <c r="E760" s="15" t="str">
        <f t="shared" si="20"/>
        <v>ASM NOR Vector Dendi</v>
      </c>
      <c r="F760" s="15" t="s">
        <v>532</v>
      </c>
      <c r="G760" s="15"/>
      <c r="H760" s="15" t="s">
        <v>426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551</v>
      </c>
      <c r="B761" s="15" t="s">
        <v>526</v>
      </c>
      <c r="C761" s="15" t="s">
        <v>591</v>
      </c>
      <c r="D761" s="15" t="s">
        <v>527</v>
      </c>
      <c r="E761" s="15" t="str">
        <f t="shared" si="20"/>
        <v>ASM NOR Vector Dendi</v>
      </c>
      <c r="F761" s="15" t="s">
        <v>535</v>
      </c>
      <c r="G761" s="15"/>
      <c r="H761" s="15" t="s">
        <v>426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525</v>
      </c>
      <c r="B762" s="15" t="s">
        <v>526</v>
      </c>
      <c r="C762" s="15" t="s">
        <v>591</v>
      </c>
      <c r="D762" s="15" t="s">
        <v>552</v>
      </c>
      <c r="E762" s="15" t="str">
        <f t="shared" si="20"/>
        <v>TDM NOR Action</v>
      </c>
      <c r="F762" s="15" t="s">
        <v>553</v>
      </c>
      <c r="G762" s="15"/>
      <c r="H762" s="15"/>
      <c r="I762" s="15"/>
      <c r="J762" s="15"/>
      <c r="K762" s="15" t="s">
        <v>377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534</v>
      </c>
      <c r="B763" s="15" t="s">
        <v>526</v>
      </c>
      <c r="C763" s="15" t="s">
        <v>591</v>
      </c>
      <c r="D763" s="15" t="s">
        <v>552</v>
      </c>
      <c r="E763" s="15" t="str">
        <f t="shared" si="20"/>
        <v>TDM NOR Action</v>
      </c>
      <c r="F763" s="15" t="s">
        <v>554</v>
      </c>
      <c r="G763" s="15"/>
      <c r="H763" s="15"/>
      <c r="I763" s="15"/>
      <c r="J763" s="15"/>
      <c r="K763" s="15" t="s">
        <v>377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533</v>
      </c>
      <c r="B764" s="15" t="s">
        <v>526</v>
      </c>
      <c r="C764" s="15" t="s">
        <v>591</v>
      </c>
      <c r="D764" s="15" t="s">
        <v>552</v>
      </c>
      <c r="E764" s="15" t="str">
        <f t="shared" si="20"/>
        <v>TDM NOR Action</v>
      </c>
      <c r="F764" s="15" t="s">
        <v>553</v>
      </c>
      <c r="G764" s="15"/>
      <c r="H764" s="15"/>
      <c r="I764" s="15"/>
      <c r="J764" s="15"/>
      <c r="K764" s="15" t="s">
        <v>377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542</v>
      </c>
      <c r="B765" s="15" t="s">
        <v>526</v>
      </c>
      <c r="C765" s="15" t="s">
        <v>591</v>
      </c>
      <c r="D765" s="15" t="s">
        <v>552</v>
      </c>
      <c r="E765" s="15" t="str">
        <f t="shared" si="20"/>
        <v>TDM NOR Action</v>
      </c>
      <c r="F765" s="15" t="s">
        <v>555</v>
      </c>
      <c r="G765" s="15"/>
      <c r="H765" s="15"/>
      <c r="I765" s="15"/>
      <c r="J765" s="15"/>
      <c r="K765" s="15" t="s">
        <v>377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543</v>
      </c>
      <c r="B766" s="15" t="s">
        <v>526</v>
      </c>
      <c r="C766" s="15" t="s">
        <v>591</v>
      </c>
      <c r="D766" s="15" t="s">
        <v>556</v>
      </c>
      <c r="E766" s="15" t="str">
        <f t="shared" si="20"/>
        <v>TDM NOR Grocery</v>
      </c>
      <c r="F766" s="15" t="s">
        <v>557</v>
      </c>
      <c r="G766" s="15"/>
      <c r="H766" s="15"/>
      <c r="I766" s="15"/>
      <c r="J766" s="15"/>
      <c r="K766" s="15" t="s">
        <v>377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543</v>
      </c>
      <c r="B767" s="15" t="s">
        <v>526</v>
      </c>
      <c r="C767" s="15" t="s">
        <v>591</v>
      </c>
      <c r="D767" s="15" t="s">
        <v>556</v>
      </c>
      <c r="E767" s="15" t="str">
        <f t="shared" si="20"/>
        <v>TDM NOR Grocery</v>
      </c>
      <c r="F767" s="15" t="s">
        <v>558</v>
      </c>
      <c r="G767" s="15"/>
      <c r="H767" s="15"/>
      <c r="I767" s="15"/>
      <c r="J767" s="15"/>
      <c r="K767" s="15" t="s">
        <v>377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547</v>
      </c>
      <c r="B768" s="15" t="s">
        <v>526</v>
      </c>
      <c r="C768" s="15" t="s">
        <v>591</v>
      </c>
      <c r="D768" s="15" t="s">
        <v>552</v>
      </c>
      <c r="E768" s="15" t="str">
        <f t="shared" si="20"/>
        <v>TDM NOR Action</v>
      </c>
      <c r="F768" s="15" t="s">
        <v>553</v>
      </c>
      <c r="G768" s="15"/>
      <c r="H768" s="15"/>
      <c r="I768" s="15"/>
      <c r="J768" s="15"/>
      <c r="K768" s="15" t="s">
        <v>377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547</v>
      </c>
      <c r="B769" s="15" t="s">
        <v>526</v>
      </c>
      <c r="C769" s="15" t="s">
        <v>591</v>
      </c>
      <c r="D769" s="15" t="s">
        <v>556</v>
      </c>
      <c r="E769" s="15" t="str">
        <f t="shared" si="20"/>
        <v>TDM NOR Grocery</v>
      </c>
      <c r="F769" s="15" t="s">
        <v>557</v>
      </c>
      <c r="G769" s="15"/>
      <c r="H769" s="15"/>
      <c r="I769" s="15"/>
      <c r="J769" s="15"/>
      <c r="K769" s="15" t="s">
        <v>377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549</v>
      </c>
      <c r="B770" s="15" t="s">
        <v>526</v>
      </c>
      <c r="C770" s="15" t="s">
        <v>591</v>
      </c>
      <c r="D770" s="15" t="s">
        <v>556</v>
      </c>
      <c r="E770" s="15" t="str">
        <f t="shared" si="20"/>
        <v>TDM NOR Grocery</v>
      </c>
      <c r="F770" s="15" t="s">
        <v>558</v>
      </c>
      <c r="G770" s="15"/>
      <c r="H770" s="15"/>
      <c r="I770" s="15"/>
      <c r="J770" s="15"/>
      <c r="K770" s="15" t="s">
        <v>377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546</v>
      </c>
      <c r="B771" s="15" t="s">
        <v>526</v>
      </c>
      <c r="C771" s="15" t="s">
        <v>591</v>
      </c>
      <c r="D771" s="15" t="s">
        <v>556</v>
      </c>
      <c r="E771" s="15" t="str">
        <f t="shared" si="20"/>
        <v>TDM NOR Grocery</v>
      </c>
      <c r="F771" s="15" t="s">
        <v>558</v>
      </c>
      <c r="G771" s="15"/>
      <c r="H771" s="15"/>
      <c r="I771" s="15"/>
      <c r="J771" s="15"/>
      <c r="K771" s="15" t="s">
        <v>377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539</v>
      </c>
      <c r="B772" s="15" t="s">
        <v>526</v>
      </c>
      <c r="C772" s="15" t="s">
        <v>591</v>
      </c>
      <c r="D772" s="15" t="s">
        <v>552</v>
      </c>
      <c r="E772" s="15" t="str">
        <f t="shared" si="20"/>
        <v>TDM NOR Action</v>
      </c>
      <c r="F772" s="15" t="s">
        <v>554</v>
      </c>
      <c r="G772" s="15"/>
      <c r="H772" s="15"/>
      <c r="I772" s="15"/>
      <c r="J772" s="15"/>
      <c r="K772" s="15" t="s">
        <v>377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541</v>
      </c>
      <c r="B773" s="15" t="s">
        <v>526</v>
      </c>
      <c r="C773" s="15" t="s">
        <v>591</v>
      </c>
      <c r="D773" s="15" t="s">
        <v>552</v>
      </c>
      <c r="E773" s="15" t="str">
        <f t="shared" si="20"/>
        <v>TDM NOR Action</v>
      </c>
      <c r="F773" s="15" t="s">
        <v>554</v>
      </c>
      <c r="G773" s="15"/>
      <c r="H773" s="15"/>
      <c r="I773" s="15"/>
      <c r="J773" s="15"/>
      <c r="K773" s="15" t="s">
        <v>377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346</v>
      </c>
      <c r="B774" s="15" t="s">
        <v>526</v>
      </c>
      <c r="C774" s="15" t="s">
        <v>591</v>
      </c>
      <c r="D774" s="15" t="s">
        <v>556</v>
      </c>
      <c r="E774" s="15" t="str">
        <f t="shared" si="20"/>
        <v>TDM NOR Grocery</v>
      </c>
      <c r="F774" s="15" t="s">
        <v>557</v>
      </c>
      <c r="G774" s="15"/>
      <c r="H774" s="15"/>
      <c r="I774" s="15"/>
      <c r="J774" s="15"/>
      <c r="K774" s="15" t="s">
        <v>377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531</v>
      </c>
      <c r="B775" s="15" t="s">
        <v>526</v>
      </c>
      <c r="C775" s="15" t="s">
        <v>591</v>
      </c>
      <c r="D775" s="15" t="s">
        <v>552</v>
      </c>
      <c r="E775" s="15" t="str">
        <f t="shared" si="20"/>
        <v>TDM NOR Action</v>
      </c>
      <c r="F775" s="15" t="s">
        <v>559</v>
      </c>
      <c r="G775" s="15"/>
      <c r="H775" s="15"/>
      <c r="I775" s="15"/>
      <c r="J775" s="15"/>
      <c r="K775" s="15" t="s">
        <v>377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545</v>
      </c>
      <c r="B776" s="15" t="s">
        <v>526</v>
      </c>
      <c r="C776" s="15" t="s">
        <v>591</v>
      </c>
      <c r="D776" s="15" t="s">
        <v>552</v>
      </c>
      <c r="E776" s="15" t="str">
        <f t="shared" si="20"/>
        <v>TDM NOR Action</v>
      </c>
      <c r="F776" s="15" t="s">
        <v>559</v>
      </c>
      <c r="G776" s="15"/>
      <c r="H776" s="15"/>
      <c r="I776" s="15"/>
      <c r="J776" s="15"/>
      <c r="K776" s="15" t="s">
        <v>377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551</v>
      </c>
      <c r="B777" s="15" t="s">
        <v>526</v>
      </c>
      <c r="C777" s="15" t="s">
        <v>591</v>
      </c>
      <c r="D777" s="15" t="s">
        <v>552</v>
      </c>
      <c r="E777" s="15" t="str">
        <f t="shared" si="20"/>
        <v>TDM NOR Action</v>
      </c>
      <c r="F777" s="15" t="s">
        <v>555</v>
      </c>
      <c r="G777" s="15"/>
      <c r="H777" s="15"/>
      <c r="I777" s="15"/>
      <c r="J777" s="15"/>
      <c r="K777" s="15" t="s">
        <v>377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543</v>
      </c>
      <c r="B778" s="15" t="s">
        <v>526</v>
      </c>
      <c r="C778" s="15" t="s">
        <v>591</v>
      </c>
      <c r="D778" s="15" t="s">
        <v>556</v>
      </c>
      <c r="E778" s="15" t="str">
        <f t="shared" si="20"/>
        <v>TDM NOR Grocery</v>
      </c>
      <c r="F778" s="15" t="s">
        <v>560</v>
      </c>
      <c r="G778" s="15"/>
      <c r="H778" s="15"/>
      <c r="I778" s="15"/>
      <c r="J778" s="15"/>
      <c r="K778" s="15" t="s">
        <v>377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346</v>
      </c>
      <c r="B779" s="15" t="s">
        <v>526</v>
      </c>
      <c r="C779" s="15" t="s">
        <v>591</v>
      </c>
      <c r="D779" s="15" t="s">
        <v>556</v>
      </c>
      <c r="E779" s="15" t="str">
        <f t="shared" si="20"/>
        <v>TDM NOR Grocery</v>
      </c>
      <c r="F779" s="15" t="s">
        <v>560</v>
      </c>
      <c r="G779" s="15"/>
      <c r="H779" s="15"/>
      <c r="I779" s="15"/>
      <c r="J779" s="15"/>
      <c r="K779" s="15" t="s">
        <v>377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545</v>
      </c>
      <c r="B780" s="15" t="s">
        <v>526</v>
      </c>
      <c r="C780" s="15" t="s">
        <v>591</v>
      </c>
      <c r="D780" s="15" t="s">
        <v>552</v>
      </c>
      <c r="E780" s="15" t="str">
        <f t="shared" si="20"/>
        <v>TDM NOR Action</v>
      </c>
      <c r="F780" s="15" t="s">
        <v>555</v>
      </c>
      <c r="G780" s="15"/>
      <c r="H780" s="15"/>
      <c r="I780" s="15"/>
      <c r="J780" s="15"/>
      <c r="K780" s="15" t="s">
        <v>377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346</v>
      </c>
      <c r="B781" s="15" t="s">
        <v>526</v>
      </c>
      <c r="C781" s="15" t="s">
        <v>591</v>
      </c>
      <c r="D781" s="15" t="s">
        <v>556</v>
      </c>
      <c r="E781" s="15" t="str">
        <f t="shared" si="20"/>
        <v>TDM NOR Grocery</v>
      </c>
      <c r="F781" s="15" t="s">
        <v>558</v>
      </c>
      <c r="G781" s="15"/>
      <c r="H781" s="15"/>
      <c r="I781" s="15"/>
      <c r="J781" s="15"/>
      <c r="K781" s="15" t="s">
        <v>377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533</v>
      </c>
      <c r="B782" s="15" t="s">
        <v>526</v>
      </c>
      <c r="C782" s="15" t="s">
        <v>591</v>
      </c>
      <c r="D782" s="15" t="s">
        <v>552</v>
      </c>
      <c r="E782" s="15" t="str">
        <f t="shared" si="20"/>
        <v>TDM NOR Action</v>
      </c>
      <c r="F782" s="15" t="s">
        <v>559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534</v>
      </c>
      <c r="B783" s="15" t="s">
        <v>526</v>
      </c>
      <c r="C783" s="15" t="s">
        <v>591</v>
      </c>
      <c r="D783" s="15" t="s">
        <v>527</v>
      </c>
      <c r="E783" s="15" t="str">
        <f t="shared" si="20"/>
        <v>ASM NOR Vector Dendi</v>
      </c>
      <c r="F783" s="15" t="s">
        <v>528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551</v>
      </c>
      <c r="B784" s="15" t="s">
        <v>526</v>
      </c>
      <c r="C784" s="15" t="s">
        <v>591</v>
      </c>
      <c r="D784" s="15" t="s">
        <v>527</v>
      </c>
      <c r="E784" s="15" t="str">
        <f t="shared" si="20"/>
        <v>ASM NOR Vector Dendi</v>
      </c>
      <c r="F784" s="15" t="s">
        <v>528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547</v>
      </c>
      <c r="B785" s="15" t="s">
        <v>526</v>
      </c>
      <c r="C785" s="15" t="s">
        <v>591</v>
      </c>
      <c r="D785" s="15" t="s">
        <v>529</v>
      </c>
      <c r="E785" s="15" t="str">
        <f t="shared" si="20"/>
        <v>DDM NOR Grocery+SPT Spb Nov Pskov</v>
      </c>
      <c r="F785" s="15" t="s">
        <v>544</v>
      </c>
      <c r="G785" s="15"/>
      <c r="H785" s="15" t="s">
        <v>351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533</v>
      </c>
      <c r="B786" s="15" t="s">
        <v>526</v>
      </c>
      <c r="C786" s="15" t="s">
        <v>591</v>
      </c>
      <c r="D786" s="15" t="s">
        <v>552</v>
      </c>
      <c r="E786" s="15" t="str">
        <f t="shared" si="20"/>
        <v>TDM NOR Action</v>
      </c>
      <c r="F786" s="15" t="s">
        <v>555</v>
      </c>
      <c r="G786" s="15"/>
      <c r="H786" s="15"/>
      <c r="I786" s="15"/>
      <c r="J786" s="15"/>
      <c r="K786" s="15" t="s">
        <v>377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Belarus</vt:lpstr>
      <vt:lpstr>Распределение TSL</vt:lpstr>
      <vt:lpstr>North</vt:lpstr>
      <vt:lpstr>South</vt:lpstr>
      <vt:lpstr>Center</vt:lpstr>
      <vt:lpstr>PIVOT</vt:lpstr>
      <vt:lpstr>Moscow</vt:lpstr>
      <vt:lpstr>Far East</vt:lpstr>
      <vt:lpstr>Siberia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2026-07-03T12:01:51Z</dcterms:modified>
  <cp:category/>
  <cp:contentStatus/>
</cp:coreProperties>
</file>