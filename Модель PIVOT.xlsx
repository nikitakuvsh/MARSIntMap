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world\Desktop\MARSIntMap\"/>
    </mc:Choice>
  </mc:AlternateContent>
  <xr:revisionPtr revIDLastSave="0" documentId="13_ncr:1_{16769535-2AF3-4D5E-A873-67694A917D45}" xr6:coauthVersionLast="47" xr6:coauthVersionMax="47" xr10:uidLastSave="{00000000-0000-0000-0000-000000000000}"/>
  <bookViews>
    <workbookView xWindow="-120" yWindow="-120" windowWidth="38640" windowHeight="21120" activeTab="3" xr2:uid="{557A26C6-F21E-4F13-8F97-2AB80881C4B7}"/>
  </bookViews>
  <sheets>
    <sheet name="Пример" sheetId="1" r:id="rId1"/>
    <sheet name="Belarus" sheetId="5" r:id="rId2"/>
    <sheet name="Center" sheetId="6" r:id="rId3"/>
    <sheet name="Far East" sheetId="7" r:id="rId4"/>
    <sheet name="Siberia" sheetId="2" r:id="rId5"/>
    <sheet name="South" sheetId="4" r:id="rId6"/>
    <sheet name="Moscow" sheetId="10" r:id="rId7"/>
    <sheet name="North " sheetId="8" r:id="rId8"/>
    <sheet name="Pivot" sheetId="9" r:id="rId9"/>
    <sheet name="Лист1" sheetId="11" r:id="rId10"/>
  </sheets>
  <definedNames>
    <definedName name="_xlnm._FilterDatabase" localSheetId="2" hidden="1">Center!$A$3:$AE$177</definedName>
    <definedName name="_xlnm._FilterDatabase" localSheetId="3" hidden="1">'Far East'!$A$3:$AE$64</definedName>
    <definedName name="_xlnm._FilterDatabase" localSheetId="6" hidden="1">Moscow!$A$3:$AG$261</definedName>
    <definedName name="_xlnm._FilterDatabase" localSheetId="7" hidden="1">'North '!$A$6:$AH$70</definedName>
    <definedName name="_xlnm._FilterDatabase" localSheetId="8" hidden="1">Pivot!$A$3:$AP$68</definedName>
    <definedName name="_xlnm._FilterDatabase" localSheetId="4" hidden="1">Siberia!$A$3:$AD$116</definedName>
    <definedName name="_xlnm._FilterDatabase" localSheetId="5" hidden="1">South!$A$3:$AD$118</definedName>
    <definedName name="_xlnm._FilterDatabase" localSheetId="0" hidden="1">Пример!$A$3:$AB$11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X4" i="9" l="1"/>
  <c r="I4" i="9"/>
  <c r="O4" i="9"/>
  <c r="J4" i="9"/>
  <c r="Z2" i="8"/>
  <c r="Y2" i="8"/>
  <c r="X2" i="8"/>
  <c r="Z3" i="8"/>
  <c r="Y3" i="8"/>
  <c r="X3" i="8"/>
  <c r="P1" i="8"/>
  <c r="Q1" i="8"/>
  <c r="R1" i="8"/>
  <c r="S1" i="8"/>
  <c r="T1" i="8"/>
  <c r="U1" i="8"/>
  <c r="V1" i="8"/>
  <c r="W1" i="8"/>
  <c r="X1" i="8"/>
  <c r="Z1" i="8"/>
  <c r="AA1" i="8"/>
  <c r="AB1" i="8"/>
  <c r="O3" i="8"/>
  <c r="P3" i="8"/>
  <c r="Q3" i="8"/>
  <c r="R3" i="8"/>
  <c r="S3" i="8"/>
  <c r="T3" i="8"/>
  <c r="U3" i="8"/>
  <c r="V3" i="8"/>
  <c r="W3" i="8"/>
  <c r="AH3" i="8"/>
  <c r="AG3" i="8"/>
  <c r="AF3" i="8"/>
  <c r="AE3" i="8"/>
  <c r="AD3" i="8"/>
  <c r="AB3" i="8"/>
  <c r="AA3" i="8"/>
  <c r="A261" i="10"/>
  <c r="Y1" i="8" l="1"/>
  <c r="AC3" i="8"/>
  <c r="AC1" i="8" s="1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Z87" i="10" l="1"/>
  <c r="Z46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I5" i="9"/>
  <c r="J5" i="9"/>
  <c r="K5" i="9"/>
  <c r="L5" i="9"/>
  <c r="M5" i="9"/>
  <c r="N5" i="9"/>
  <c r="O5" i="9"/>
  <c r="I6" i="9"/>
  <c r="J6" i="9"/>
  <c r="K6" i="9"/>
  <c r="L6" i="9"/>
  <c r="M6" i="9"/>
  <c r="N6" i="9"/>
  <c r="O6" i="9"/>
  <c r="I7" i="9"/>
  <c r="J7" i="9"/>
  <c r="K7" i="9"/>
  <c r="L7" i="9"/>
  <c r="M7" i="9"/>
  <c r="N7" i="9"/>
  <c r="O7" i="9"/>
  <c r="I8" i="9"/>
  <c r="J8" i="9"/>
  <c r="K8" i="9"/>
  <c r="L8" i="9"/>
  <c r="M8" i="9"/>
  <c r="N8" i="9"/>
  <c r="O8" i="9"/>
  <c r="I9" i="9"/>
  <c r="J9" i="9"/>
  <c r="K9" i="9"/>
  <c r="L9" i="9"/>
  <c r="M9" i="9"/>
  <c r="N9" i="9"/>
  <c r="O9" i="9"/>
  <c r="I10" i="9"/>
  <c r="J10" i="9"/>
  <c r="K10" i="9"/>
  <c r="L10" i="9"/>
  <c r="M10" i="9"/>
  <c r="N10" i="9"/>
  <c r="O10" i="9"/>
  <c r="I11" i="9"/>
  <c r="J11" i="9"/>
  <c r="K11" i="9"/>
  <c r="L11" i="9"/>
  <c r="M11" i="9"/>
  <c r="N11" i="9"/>
  <c r="O11" i="9"/>
  <c r="I12" i="9"/>
  <c r="J12" i="9"/>
  <c r="K12" i="9"/>
  <c r="L12" i="9"/>
  <c r="M12" i="9"/>
  <c r="N12" i="9"/>
  <c r="O12" i="9"/>
  <c r="I13" i="9"/>
  <c r="J13" i="9"/>
  <c r="K13" i="9"/>
  <c r="L13" i="9"/>
  <c r="M13" i="9"/>
  <c r="N13" i="9"/>
  <c r="O13" i="9"/>
  <c r="I14" i="9"/>
  <c r="J14" i="9"/>
  <c r="K14" i="9"/>
  <c r="L14" i="9"/>
  <c r="M14" i="9"/>
  <c r="N14" i="9"/>
  <c r="O14" i="9"/>
  <c r="I15" i="9"/>
  <c r="J15" i="9"/>
  <c r="K15" i="9"/>
  <c r="L15" i="9"/>
  <c r="M15" i="9"/>
  <c r="N15" i="9"/>
  <c r="O15" i="9"/>
  <c r="I16" i="9"/>
  <c r="J16" i="9"/>
  <c r="K16" i="9"/>
  <c r="L16" i="9"/>
  <c r="M16" i="9"/>
  <c r="N16" i="9"/>
  <c r="O16" i="9"/>
  <c r="I17" i="9"/>
  <c r="J17" i="9"/>
  <c r="K17" i="9"/>
  <c r="L17" i="9"/>
  <c r="M17" i="9"/>
  <c r="N17" i="9"/>
  <c r="O17" i="9"/>
  <c r="I18" i="9"/>
  <c r="J18" i="9"/>
  <c r="K18" i="9"/>
  <c r="L18" i="9"/>
  <c r="M18" i="9"/>
  <c r="N18" i="9"/>
  <c r="O18" i="9"/>
  <c r="I19" i="9"/>
  <c r="J19" i="9"/>
  <c r="K19" i="9"/>
  <c r="L19" i="9"/>
  <c r="M19" i="9"/>
  <c r="N19" i="9"/>
  <c r="O19" i="9"/>
  <c r="I20" i="9"/>
  <c r="J20" i="9"/>
  <c r="K20" i="9"/>
  <c r="L20" i="9"/>
  <c r="M20" i="9"/>
  <c r="N20" i="9"/>
  <c r="O20" i="9"/>
  <c r="I21" i="9"/>
  <c r="J21" i="9"/>
  <c r="K21" i="9"/>
  <c r="L21" i="9"/>
  <c r="M21" i="9"/>
  <c r="N21" i="9"/>
  <c r="O21" i="9"/>
  <c r="I22" i="9"/>
  <c r="J22" i="9"/>
  <c r="K22" i="9"/>
  <c r="L22" i="9"/>
  <c r="M22" i="9"/>
  <c r="N22" i="9"/>
  <c r="O22" i="9"/>
  <c r="I23" i="9"/>
  <c r="J23" i="9"/>
  <c r="K23" i="9"/>
  <c r="L23" i="9"/>
  <c r="M23" i="9"/>
  <c r="N23" i="9"/>
  <c r="O23" i="9"/>
  <c r="I24" i="9"/>
  <c r="J24" i="9"/>
  <c r="K24" i="9"/>
  <c r="L24" i="9"/>
  <c r="M24" i="9"/>
  <c r="N24" i="9"/>
  <c r="O24" i="9"/>
  <c r="I25" i="9"/>
  <c r="J25" i="9"/>
  <c r="K25" i="9"/>
  <c r="L25" i="9"/>
  <c r="M25" i="9"/>
  <c r="N25" i="9"/>
  <c r="O25" i="9"/>
  <c r="I26" i="9"/>
  <c r="J26" i="9"/>
  <c r="K26" i="9"/>
  <c r="L26" i="9"/>
  <c r="M26" i="9"/>
  <c r="N26" i="9"/>
  <c r="O26" i="9"/>
  <c r="I27" i="9"/>
  <c r="J27" i="9"/>
  <c r="K27" i="9"/>
  <c r="L27" i="9"/>
  <c r="M27" i="9"/>
  <c r="N27" i="9"/>
  <c r="O27" i="9"/>
  <c r="I28" i="9"/>
  <c r="J28" i="9"/>
  <c r="K28" i="9"/>
  <c r="L28" i="9"/>
  <c r="M28" i="9"/>
  <c r="N28" i="9"/>
  <c r="O28" i="9"/>
  <c r="I29" i="9"/>
  <c r="J29" i="9"/>
  <c r="K29" i="9"/>
  <c r="L29" i="9"/>
  <c r="M29" i="9"/>
  <c r="N29" i="9"/>
  <c r="O29" i="9"/>
  <c r="I30" i="9"/>
  <c r="J30" i="9"/>
  <c r="K30" i="9"/>
  <c r="L30" i="9"/>
  <c r="M30" i="9"/>
  <c r="N30" i="9"/>
  <c r="O30" i="9"/>
  <c r="I31" i="9"/>
  <c r="J31" i="9"/>
  <c r="K31" i="9"/>
  <c r="L31" i="9"/>
  <c r="M31" i="9"/>
  <c r="N31" i="9"/>
  <c r="O31" i="9"/>
  <c r="I32" i="9"/>
  <c r="J32" i="9"/>
  <c r="K32" i="9"/>
  <c r="L32" i="9"/>
  <c r="M32" i="9"/>
  <c r="N32" i="9"/>
  <c r="O32" i="9"/>
  <c r="I33" i="9"/>
  <c r="J33" i="9"/>
  <c r="K33" i="9"/>
  <c r="L33" i="9"/>
  <c r="M33" i="9"/>
  <c r="N33" i="9"/>
  <c r="O33" i="9"/>
  <c r="I34" i="9"/>
  <c r="J34" i="9"/>
  <c r="K34" i="9"/>
  <c r="L34" i="9"/>
  <c r="M34" i="9"/>
  <c r="N34" i="9"/>
  <c r="O34" i="9"/>
  <c r="I35" i="9"/>
  <c r="J35" i="9"/>
  <c r="K35" i="9"/>
  <c r="L35" i="9"/>
  <c r="M35" i="9"/>
  <c r="N35" i="9"/>
  <c r="O35" i="9"/>
  <c r="I36" i="9"/>
  <c r="J36" i="9"/>
  <c r="K36" i="9"/>
  <c r="L36" i="9"/>
  <c r="M36" i="9"/>
  <c r="N36" i="9"/>
  <c r="O36" i="9"/>
  <c r="I37" i="9"/>
  <c r="J37" i="9"/>
  <c r="K37" i="9"/>
  <c r="L37" i="9"/>
  <c r="M37" i="9"/>
  <c r="N37" i="9"/>
  <c r="O37" i="9"/>
  <c r="I38" i="9"/>
  <c r="J38" i="9"/>
  <c r="K38" i="9"/>
  <c r="L38" i="9"/>
  <c r="M38" i="9"/>
  <c r="N38" i="9"/>
  <c r="O38" i="9"/>
  <c r="I39" i="9"/>
  <c r="J39" i="9"/>
  <c r="K39" i="9"/>
  <c r="L39" i="9"/>
  <c r="M39" i="9"/>
  <c r="N39" i="9"/>
  <c r="O39" i="9"/>
  <c r="I40" i="9"/>
  <c r="J40" i="9"/>
  <c r="K40" i="9"/>
  <c r="L40" i="9"/>
  <c r="M40" i="9"/>
  <c r="N40" i="9"/>
  <c r="O40" i="9"/>
  <c r="I41" i="9"/>
  <c r="J41" i="9"/>
  <c r="K41" i="9"/>
  <c r="L41" i="9"/>
  <c r="M41" i="9"/>
  <c r="N41" i="9"/>
  <c r="O41" i="9"/>
  <c r="I42" i="9"/>
  <c r="J42" i="9"/>
  <c r="K42" i="9"/>
  <c r="L42" i="9"/>
  <c r="M42" i="9"/>
  <c r="N42" i="9"/>
  <c r="O42" i="9"/>
  <c r="I43" i="9"/>
  <c r="J43" i="9"/>
  <c r="K43" i="9"/>
  <c r="L43" i="9"/>
  <c r="M43" i="9"/>
  <c r="N43" i="9"/>
  <c r="O43" i="9"/>
  <c r="I44" i="9"/>
  <c r="J44" i="9"/>
  <c r="K44" i="9"/>
  <c r="L44" i="9"/>
  <c r="M44" i="9"/>
  <c r="N44" i="9"/>
  <c r="O44" i="9"/>
  <c r="I45" i="9"/>
  <c r="J45" i="9"/>
  <c r="K45" i="9"/>
  <c r="L45" i="9"/>
  <c r="M45" i="9"/>
  <c r="N45" i="9"/>
  <c r="O45" i="9"/>
  <c r="I46" i="9"/>
  <c r="J46" i="9"/>
  <c r="K46" i="9"/>
  <c r="L46" i="9"/>
  <c r="M46" i="9"/>
  <c r="N46" i="9"/>
  <c r="O46" i="9"/>
  <c r="I47" i="9"/>
  <c r="J47" i="9"/>
  <c r="K47" i="9"/>
  <c r="L47" i="9"/>
  <c r="M47" i="9"/>
  <c r="N47" i="9"/>
  <c r="O47" i="9"/>
  <c r="I48" i="9"/>
  <c r="J48" i="9"/>
  <c r="K48" i="9"/>
  <c r="L48" i="9"/>
  <c r="M48" i="9"/>
  <c r="N48" i="9"/>
  <c r="O48" i="9"/>
  <c r="I49" i="9"/>
  <c r="J49" i="9"/>
  <c r="K49" i="9"/>
  <c r="L49" i="9"/>
  <c r="M49" i="9"/>
  <c r="N49" i="9"/>
  <c r="O49" i="9"/>
  <c r="I50" i="9"/>
  <c r="J50" i="9"/>
  <c r="K50" i="9"/>
  <c r="L50" i="9"/>
  <c r="M50" i="9"/>
  <c r="N50" i="9"/>
  <c r="O50" i="9"/>
  <c r="I51" i="9"/>
  <c r="J51" i="9"/>
  <c r="K51" i="9"/>
  <c r="L51" i="9"/>
  <c r="M51" i="9"/>
  <c r="N51" i="9"/>
  <c r="O51" i="9"/>
  <c r="I52" i="9"/>
  <c r="J52" i="9"/>
  <c r="K52" i="9"/>
  <c r="L52" i="9"/>
  <c r="M52" i="9"/>
  <c r="N52" i="9"/>
  <c r="O52" i="9"/>
  <c r="I53" i="9"/>
  <c r="J53" i="9"/>
  <c r="K53" i="9"/>
  <c r="L53" i="9"/>
  <c r="M53" i="9"/>
  <c r="N53" i="9"/>
  <c r="O53" i="9"/>
  <c r="I54" i="9"/>
  <c r="J54" i="9"/>
  <c r="K54" i="9"/>
  <c r="L54" i="9"/>
  <c r="M54" i="9"/>
  <c r="N54" i="9"/>
  <c r="O54" i="9"/>
  <c r="I55" i="9"/>
  <c r="J55" i="9"/>
  <c r="K55" i="9"/>
  <c r="L55" i="9"/>
  <c r="M55" i="9"/>
  <c r="N55" i="9"/>
  <c r="O55" i="9"/>
  <c r="I56" i="9"/>
  <c r="J56" i="9"/>
  <c r="K56" i="9"/>
  <c r="L56" i="9"/>
  <c r="M56" i="9"/>
  <c r="N56" i="9"/>
  <c r="O56" i="9"/>
  <c r="I57" i="9"/>
  <c r="J57" i="9"/>
  <c r="K57" i="9"/>
  <c r="L57" i="9"/>
  <c r="M57" i="9"/>
  <c r="N57" i="9"/>
  <c r="O57" i="9"/>
  <c r="I58" i="9"/>
  <c r="J58" i="9"/>
  <c r="K58" i="9"/>
  <c r="L58" i="9"/>
  <c r="M58" i="9"/>
  <c r="N58" i="9"/>
  <c r="O58" i="9"/>
  <c r="I59" i="9"/>
  <c r="J59" i="9"/>
  <c r="K59" i="9"/>
  <c r="L59" i="9"/>
  <c r="M59" i="9"/>
  <c r="N59" i="9"/>
  <c r="O59" i="9"/>
  <c r="I60" i="9"/>
  <c r="J60" i="9"/>
  <c r="K60" i="9"/>
  <c r="L60" i="9"/>
  <c r="M60" i="9"/>
  <c r="N60" i="9"/>
  <c r="O60" i="9"/>
  <c r="I61" i="9"/>
  <c r="J61" i="9"/>
  <c r="K61" i="9"/>
  <c r="L61" i="9"/>
  <c r="M61" i="9"/>
  <c r="N61" i="9"/>
  <c r="O61" i="9"/>
  <c r="I62" i="9"/>
  <c r="J62" i="9"/>
  <c r="K62" i="9"/>
  <c r="L62" i="9"/>
  <c r="M62" i="9"/>
  <c r="N62" i="9"/>
  <c r="O62" i="9"/>
  <c r="I63" i="9"/>
  <c r="J63" i="9"/>
  <c r="K63" i="9"/>
  <c r="L63" i="9"/>
  <c r="M63" i="9"/>
  <c r="N63" i="9"/>
  <c r="O63" i="9"/>
  <c r="I64" i="9"/>
  <c r="J64" i="9"/>
  <c r="K64" i="9"/>
  <c r="L64" i="9"/>
  <c r="M64" i="9"/>
  <c r="N64" i="9"/>
  <c r="O64" i="9"/>
  <c r="I65" i="9"/>
  <c r="J65" i="9"/>
  <c r="K65" i="9"/>
  <c r="L65" i="9"/>
  <c r="M65" i="9"/>
  <c r="N65" i="9"/>
  <c r="O65" i="9"/>
  <c r="I66" i="9"/>
  <c r="J66" i="9"/>
  <c r="K66" i="9"/>
  <c r="L66" i="9"/>
  <c r="M66" i="9"/>
  <c r="N66" i="9"/>
  <c r="O66" i="9"/>
  <c r="I67" i="9"/>
  <c r="J67" i="9"/>
  <c r="K67" i="9"/>
  <c r="L67" i="9"/>
  <c r="M67" i="9"/>
  <c r="N67" i="9"/>
  <c r="O67" i="9"/>
  <c r="I68" i="9"/>
  <c r="J68" i="9"/>
  <c r="K68" i="9"/>
  <c r="L68" i="9"/>
  <c r="M68" i="9"/>
  <c r="N68" i="9"/>
  <c r="O68" i="9"/>
  <c r="N4" i="9"/>
  <c r="M4" i="9"/>
  <c r="L4" i="9"/>
  <c r="K4" i="9"/>
  <c r="O1" i="8"/>
  <c r="AE2" i="8"/>
  <c r="AD2" i="8"/>
  <c r="AD1" i="8" s="1"/>
  <c r="N1" i="8"/>
  <c r="M1" i="8"/>
  <c r="L1" i="8"/>
  <c r="K1" i="8"/>
  <c r="J1" i="8"/>
  <c r="I1" i="8"/>
  <c r="G45" i="5"/>
  <c r="G44" i="5"/>
  <c r="G42" i="5"/>
  <c r="G40" i="5"/>
  <c r="AT4" i="9" l="1"/>
  <c r="AW4" i="9"/>
  <c r="AS4" i="9"/>
  <c r="AR4" i="9"/>
  <c r="AQ4" i="9"/>
  <c r="AV4" i="9"/>
  <c r="AU4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E3" authorId="0" shapeId="0" xr:uid="{4B9C4D07-6CB4-498E-BD32-880601F55DEF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F3" authorId="0" shapeId="0" xr:uid="{8AE5B9EC-DF75-4F4C-8842-2CD3FE75AC59}">
      <text>
        <r>
          <rPr>
            <b/>
            <sz val="9"/>
            <color indexed="81"/>
            <rFont val="Tahoma"/>
            <family val="2"/>
            <charset val="204"/>
          </rPr>
          <t>физический офис дистра, с которым федётся работа</t>
        </r>
      </text>
    </comment>
    <comment ref="G3" authorId="0" shapeId="0" xr:uid="{A7A4E2FB-B0E1-4B4F-8F06-15215C7C7605}">
      <text>
        <r>
          <rPr>
            <b/>
            <sz val="9"/>
            <color indexed="81"/>
            <rFont val="Tahoma"/>
            <family val="2"/>
            <charset val="204"/>
          </rPr>
          <t>физическое местонахождение офиса клиента</t>
        </r>
      </text>
    </comment>
    <comment ref="H3" authorId="0" shapeId="0" xr:uid="{6C6C955A-3698-4505-B500-B88416E89543}">
      <text>
        <r>
          <rPr>
            <b/>
            <sz val="9"/>
            <color indexed="81"/>
            <rFont val="Tahoma"/>
            <family val="2"/>
            <charset val="204"/>
          </rPr>
          <t>агентство, покрывающее данную область (только для ролей Execution)</t>
        </r>
      </text>
    </comment>
    <comment ref="I3" authorId="0" shapeId="0" xr:uid="{A61880B1-54AA-4415-931A-A79DB719D3CE}">
      <text>
        <r>
          <rPr>
            <sz val="9"/>
            <color indexed="81"/>
            <rFont val="Tahoma"/>
            <family val="2"/>
            <charset val="204"/>
          </rPr>
          <t>в т.ч. ключевые сети SPT у ряда сотрудников</t>
        </r>
      </text>
    </comment>
    <comment ref="V3" authorId="0" shapeId="0" xr:uid="{8690DC15-1488-4123-AAEE-2B1CD41B68A6}">
      <text>
        <r>
          <rPr>
            <b/>
            <sz val="9"/>
            <color indexed="81"/>
            <rFont val="Tahoma"/>
            <family val="2"/>
            <charset val="204"/>
          </rPr>
          <t>Ашан, Глобус, Дикси, Лента, Метро, ОКЕЙ, Перек</t>
        </r>
      </text>
    </comment>
    <comment ref="X3" authorId="0" shapeId="0" xr:uid="{20031CBF-0798-4D00-9AA7-81E3A7762B6E}">
      <text>
        <r>
          <rPr>
            <b/>
            <sz val="9"/>
            <color indexed="81"/>
            <rFont val="Tahoma"/>
            <family val="2"/>
            <charset val="204"/>
          </rPr>
          <t>Клиенты RKA, с которыми работают мерч-агентства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E3" authorId="0" shapeId="0" xr:uid="{08F650FB-ACEE-461B-A747-BCFC2B9AC3FD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F3" authorId="0" shapeId="0" xr:uid="{A0F50C14-6AA6-4B95-8D7B-62E3404133F3}">
      <text>
        <r>
          <rPr>
            <b/>
            <sz val="9"/>
            <color indexed="81"/>
            <rFont val="Tahoma"/>
            <family val="2"/>
            <charset val="204"/>
          </rPr>
          <t>физический офис дистра, с которым федётся работа</t>
        </r>
      </text>
    </comment>
    <comment ref="G3" authorId="0" shapeId="0" xr:uid="{1127E45B-FA5B-4320-9929-11952FD41485}">
      <text>
        <r>
          <rPr>
            <b/>
            <sz val="9"/>
            <color indexed="81"/>
            <rFont val="Tahoma"/>
            <family val="2"/>
            <charset val="204"/>
          </rPr>
          <t>физическое местонахождение офиса клиента</t>
        </r>
      </text>
    </comment>
    <comment ref="H3" authorId="0" shapeId="0" xr:uid="{CA3C7586-7C30-4FEC-8E41-4D435A5D1CFA}">
      <text>
        <r>
          <rPr>
            <b/>
            <sz val="9"/>
            <color indexed="81"/>
            <rFont val="Tahoma"/>
            <family val="2"/>
            <charset val="204"/>
          </rPr>
          <t>агентство, покрывающее данную область (только для ролей Execution)</t>
        </r>
      </text>
    </comment>
    <comment ref="I3" authorId="0" shapeId="0" xr:uid="{6162BCB3-7788-4C61-B008-8C664C2E7325}">
      <text>
        <r>
          <rPr>
            <sz val="9"/>
            <color indexed="81"/>
            <rFont val="Tahoma"/>
            <family val="2"/>
            <charset val="204"/>
          </rPr>
          <t>в т.ч. ключевые сети SPT у ряда сотрудников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  <author>tc={C248DF6D-E1A7-4327-8781-FCCC0B982B60}</author>
    <author>tc={484B4642-931F-40F6-87C7-D0675070DDA4}</author>
    <author>tc={B8F358E9-A63A-421D-9A52-DE023FF8C1B0}</author>
    <author>tc={AC692992-E353-4984-BB83-5A412B30551D}</author>
    <author>tc={3792FD63-CAD2-4CDC-917E-A510F8FCD3EF}</author>
    <author>tc={DBB3B802-A00F-4F00-A838-36FD4AB68176}</author>
    <author>tc={CEBF160E-C819-4A33-AECD-12782A67F17F}</author>
    <author>tc={FBBE4828-CA74-448E-AADC-64C65C4B7A75}</author>
    <author>tc={3CB35B47-ACF8-41CE-AB1E-54DFD6CCE726}</author>
    <author>tc={3B6D2FFF-E8EB-4846-A583-D6049BBAE7BA}</author>
    <author>tc={E3D5585C-7686-48DD-9861-6E3E41873336}</author>
    <author>tc={BAED7A08-20B2-4DAE-9296-AF7D6361D86F}</author>
    <author>tc={527870FD-2D8F-4BE6-8128-D7289065A0F5}</author>
    <author>tc={73E16D06-8DDC-4F3B-B25C-3BE56CA0EC88}</author>
    <author>tc={A3C3A5EB-98D8-4295-AAC0-BA7CED9628D7}</author>
    <author>tc={1814C06E-3853-4C36-A924-D386C8B3D48E}</author>
    <author>tc={B270F7B0-42F9-4059-AAA4-13C1BCCAB53E}</author>
    <author>tc={25D6369E-AE59-4A33-9CBA-86A963323C5E}</author>
    <author>tc={CC73E22D-A5CB-4A56-8469-BEA3E4215567}</author>
    <author>tc={09F2C565-787F-43A2-9C62-6BA3B85A8496}</author>
    <author>tc={B1E6351B-DC58-4F03-9737-C6D6A0CB74C7}</author>
    <author>tc={CFA50407-C825-48E8-8580-8A48B487F7B2}</author>
    <author>tc={EADB0B9E-14E5-42CF-B7F6-217130C1F220}</author>
  </authors>
  <commentList>
    <comment ref="E3" authorId="0" shapeId="0" xr:uid="{7D34B02F-709B-4B31-AD60-9FEEF19152EE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F3" authorId="0" shapeId="0" xr:uid="{AA242A34-A619-4121-B747-13AEDF62CB24}">
      <text>
        <r>
          <rPr>
            <b/>
            <sz val="9"/>
            <color indexed="81"/>
            <rFont val="Tahoma"/>
            <family val="2"/>
            <charset val="204"/>
          </rPr>
          <t>физический офис дистра, с которым федётся работа</t>
        </r>
      </text>
    </comment>
    <comment ref="G3" authorId="0" shapeId="0" xr:uid="{F810AEC3-A21D-496B-AF32-399C8A173461}">
      <text>
        <r>
          <rPr>
            <b/>
            <sz val="9"/>
            <color indexed="81"/>
            <rFont val="Tahoma"/>
            <family val="2"/>
            <charset val="204"/>
          </rPr>
          <t>физическое местонахождение офиса клиента</t>
        </r>
      </text>
    </comment>
    <comment ref="H3" authorId="0" shapeId="0" xr:uid="{0415CB7A-4420-418E-9EA4-9602CBB04552}">
      <text>
        <r>
          <rPr>
            <b/>
            <sz val="9"/>
            <color indexed="81"/>
            <rFont val="Tahoma"/>
            <family val="2"/>
            <charset val="204"/>
          </rPr>
          <t>агентство, покрывающее данную область (только для ролей Execution)</t>
        </r>
      </text>
    </comment>
    <comment ref="I3" authorId="0" shapeId="0" xr:uid="{A582DE23-5A05-4F0D-AD4A-FC29B2617176}">
      <text>
        <r>
          <rPr>
            <sz val="9"/>
            <color indexed="81"/>
            <rFont val="Tahoma"/>
            <family val="2"/>
            <charset val="204"/>
          </rPr>
          <t>в т.ч. ключевые сети SPT у ряда сотрудников</t>
        </r>
      </text>
    </comment>
    <comment ref="V3" authorId="0" shapeId="0" xr:uid="{69AC4D9E-7707-4BC5-A347-8993C26C9C0C}">
      <text>
        <r>
          <rPr>
            <b/>
            <sz val="9"/>
            <color indexed="81"/>
            <rFont val="Tahoma"/>
            <family val="2"/>
            <charset val="204"/>
          </rPr>
          <t>Ашан, Глобус, Дикси, Лента, Метро, ОКЕЙ, Перек</t>
        </r>
      </text>
    </comment>
    <comment ref="X3" authorId="0" shapeId="0" xr:uid="{342EAE30-FB72-4F4C-8543-8048DFFF52D6}">
      <text>
        <r>
          <rPr>
            <b/>
            <sz val="9"/>
            <color indexed="81"/>
            <rFont val="Tahoma"/>
            <family val="2"/>
            <charset val="204"/>
          </rPr>
          <t>Клиенты RKA, с которыми работают мерч-агентства</t>
        </r>
      </text>
    </comment>
    <comment ref="K4" authorId="1" shapeId="0" xr:uid="{C248DF6D-E1A7-4327-8781-FCCC0B982B6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Метрополис</t>
        </r>
      </text>
    </comment>
    <comment ref="K6" authorId="2" shapeId="0" xr:uid="{484B4642-931F-40F6-87C7-D0675070DDA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Табыш</t>
        </r>
      </text>
    </comment>
    <comment ref="F9" authorId="3" shapeId="0" xr:uid="{B8F358E9-A63A-421D-9A52-DE023FF8C1B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Взаимодействие 4 филиала: Ульяновск,  Воронеж, Краснодар,Волгоград</t>
        </r>
      </text>
    </comment>
    <comment ref="AD11" authorId="4" shapeId="0" xr:uid="{AC692992-E353-4984-BB83-5A412B30551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Верный</t>
        </r>
      </text>
    </comment>
    <comment ref="AD12" authorId="5" shapeId="0" xr:uid="{3792FD63-CAD2-4CDC-917E-A510F8FCD3E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Лента</t>
        </r>
      </text>
    </comment>
    <comment ref="AD15" authorId="6" shapeId="0" xr:uid="{DBB3B802-A00F-4F00-A838-36FD4AB6817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Перекресток</t>
        </r>
      </text>
    </comment>
    <comment ref="AD20" authorId="7" shapeId="0" xr:uid="{CEBF160E-C819-4A33-AECD-12782A67F17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Метро</t>
        </r>
      </text>
    </comment>
    <comment ref="L21" authorId="8" shapeId="0" xr:uid="{FBBE4828-CA74-448E-AADC-64C65C4B7A7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Белый Кролик</t>
        </r>
      </text>
    </comment>
    <comment ref="J27" authorId="9" shapeId="0" xr:uid="{3CB35B47-ACF8-41CE-AB1E-54DFD6CCE72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Кировский</t>
        </r>
      </text>
    </comment>
    <comment ref="X27" authorId="10" shapeId="0" xr:uid="{3B6D2FFF-E8EB-4846-A583-D6049BBAE7B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Кировский</t>
        </r>
      </text>
    </comment>
    <comment ref="Y27" authorId="11" shapeId="0" xr:uid="{E3D5585C-7686-48DD-9861-6E3E4187333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Кировский</t>
        </r>
      </text>
    </comment>
    <comment ref="N29" authorId="12" shapeId="0" xr:uid="{BAED7A08-20B2-4DAE-9296-AF7D6361D86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Лион</t>
        </r>
      </text>
    </comment>
    <comment ref="O31" authorId="13" shapeId="0" xr:uid="{527870FD-2D8F-4BE6-8128-D7289065A0F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Баско, Оптима</t>
        </r>
      </text>
    </comment>
    <comment ref="R31" authorId="14" shapeId="0" xr:uid="{73E16D06-8DDC-4F3B-B25C-3BE56CA0EC8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Баско</t>
        </r>
      </text>
    </comment>
    <comment ref="O32" authorId="15" shapeId="0" xr:uid="{A3C3A5EB-98D8-4295-AAC0-BA7CED9628D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Баско, Оптима</t>
        </r>
      </text>
    </comment>
    <comment ref="R32" authorId="16" shapeId="0" xr:uid="{1814C06E-3853-4C36-A924-D386C8B3D48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Баско</t>
        </r>
      </text>
    </comment>
    <comment ref="N34" authorId="17" shapeId="0" xr:uid="{B270F7B0-42F9-4059-AAA4-13C1BCCAB53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маяк</t>
        </r>
      </text>
    </comment>
    <comment ref="K35" authorId="18" shapeId="0" xr:uid="{25D6369E-AE59-4A33-9CBA-86A963323C5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Метрополис</t>
        </r>
      </text>
    </comment>
    <comment ref="AD38" authorId="19" shapeId="0" xr:uid="{CC73E22D-A5CB-4A56-8469-BEA3E421556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Окей</t>
        </r>
      </text>
    </comment>
    <comment ref="N39" authorId="20" shapeId="0" xr:uid="{09F2C565-787F-43A2-9C62-6BA3B85A849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Сеть Молния продана в 2025г</t>
        </r>
      </text>
    </comment>
    <comment ref="K40" authorId="21" shapeId="0" xr:uid="{B1E6351B-DC58-4F03-9737-C6D6A0CB74C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Метрополис</t>
        </r>
      </text>
    </comment>
    <comment ref="L40" authorId="22" shapeId="0" xr:uid="{CFA50407-C825-48E8-8580-8A48B487F7B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Зоооптторг</t>
        </r>
      </text>
    </comment>
    <comment ref="N41" authorId="23" shapeId="0" xr:uid="{EADB0B9E-14E5-42CF-B7F6-217130C1F22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Маяк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E3" authorId="0" shapeId="0" xr:uid="{B2325BD4-CF11-4753-9EA5-D59E65A597FD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I3" authorId="0" shapeId="0" xr:uid="{2C33A66E-FEEF-465B-BE8D-527915C00087}">
      <text>
        <r>
          <rPr>
            <sz val="9"/>
            <color indexed="81"/>
            <rFont val="Tahoma"/>
            <family val="2"/>
            <charset val="204"/>
          </rPr>
          <t>в т.ч. ключевые сети SPT у ряда сотрудников</t>
        </r>
      </text>
    </comment>
    <comment ref="V3" authorId="0" shapeId="0" xr:uid="{D7CF965E-792B-4C5D-910B-723C3001E0F8}">
      <text>
        <r>
          <rPr>
            <b/>
            <sz val="9"/>
            <color indexed="81"/>
            <rFont val="Tahoma"/>
            <family val="2"/>
            <charset val="204"/>
          </rPr>
          <t>Ашан, Глобус, Дикси, Лента, Метро, ОКЕЙ, Перек</t>
        </r>
      </text>
    </comment>
    <comment ref="X3" authorId="0" shapeId="0" xr:uid="{3A20D2A3-7250-4966-8350-A7949E43B9F9}">
      <text>
        <r>
          <rPr>
            <b/>
            <sz val="9"/>
            <color indexed="81"/>
            <rFont val="Tahoma"/>
            <family val="2"/>
            <charset val="204"/>
          </rPr>
          <t>ТТ Белого кролика, за которые отвечает Лена, но ребята контролируют ситуацию на местах (без г.Владивосток)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E3" authorId="0" shapeId="0" xr:uid="{5950A613-BD5E-4541-80B7-DD2F0D35E077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F3" authorId="0" shapeId="0" xr:uid="{087803C3-75A5-41EA-B4EF-AADA35FB5546}">
      <text>
        <r>
          <rPr>
            <b/>
            <sz val="9"/>
            <color indexed="81"/>
            <rFont val="Tahoma"/>
            <family val="2"/>
            <charset val="204"/>
          </rPr>
          <t>физический офис дистра, с которым федётся работа</t>
        </r>
      </text>
    </comment>
    <comment ref="G3" authorId="0" shapeId="0" xr:uid="{5CDA7005-15A9-4BD4-8717-E4A4FE5A5D71}">
      <text>
        <r>
          <rPr>
            <b/>
            <sz val="9"/>
            <color indexed="81"/>
            <rFont val="Tahoma"/>
            <family val="2"/>
            <charset val="204"/>
          </rPr>
          <t>физическое местонахождение офиса клиента</t>
        </r>
      </text>
    </comment>
    <comment ref="H3" authorId="0" shapeId="0" xr:uid="{69811944-9119-4B41-8FF2-C677DFBD13D9}">
      <text>
        <r>
          <rPr>
            <b/>
            <sz val="9"/>
            <color indexed="81"/>
            <rFont val="Tahoma"/>
            <family val="2"/>
            <charset val="204"/>
          </rPr>
          <t>агентство, покрывающее данную область (только для ролей Execution)</t>
        </r>
      </text>
    </comment>
    <comment ref="I3" authorId="0" shapeId="0" xr:uid="{C476855F-74F3-485A-8EE4-795E9008DB15}">
      <text>
        <r>
          <rPr>
            <sz val="9"/>
            <color indexed="81"/>
            <rFont val="Tahoma"/>
            <family val="2"/>
            <charset val="204"/>
          </rPr>
          <t>в т.ч. ключевые сети SPT у ряда сотрудников</t>
        </r>
      </text>
    </comment>
    <comment ref="V3" authorId="0" shapeId="0" xr:uid="{04E68B10-39FE-4BB5-8570-7F9BE0707EC0}">
      <text>
        <r>
          <rPr>
            <b/>
            <sz val="9"/>
            <color indexed="81"/>
            <rFont val="Tahoma"/>
            <family val="2"/>
            <charset val="204"/>
          </rPr>
          <t>Ашан, Глобус, Дикси, Лента, Метро, ОКЕЙ, Перек</t>
        </r>
      </text>
    </comment>
    <comment ref="X3" authorId="0" shapeId="0" xr:uid="{EDC61733-640B-4732-8A53-C7A1E31009C2}">
      <text>
        <r>
          <rPr>
            <b/>
            <sz val="9"/>
            <color indexed="81"/>
            <rFont val="Tahoma"/>
            <family val="2"/>
            <charset val="204"/>
          </rPr>
          <t>Клиенты RKA, с которыми работают мерч-агентства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  <author>tc={0C05AB44-692B-4E75-AB19-E848DC2F471D}</author>
    <author>tc={E0B744BD-B51E-4777-821C-E4E38254D3FF}</author>
    <author>tc={56DAA161-B1B5-46E9-9631-3C6E2D368086}</author>
    <author>tc={32A78597-2499-4990-A607-B1230ECFA29D}</author>
    <author>tc={79C7AA9A-2680-499B-B5CA-9B869354ADBB}</author>
    <author>tc={7833366F-73AD-4764-85BD-E45756723733}</author>
    <author>tc={D3124B9F-F62F-4FB5-A17C-35D29D8CEBB3}</author>
    <author>tc={56A4E96F-F5C0-40FC-B73D-0EA3DDDEB3DA}</author>
    <author>tc={3C1EC568-6E8A-499F-B5A9-9E989DB01860}</author>
    <author>tc={F7140340-FD2F-4D34-B635-0E5C3F8BF0CE}</author>
    <author>tc={0E96E146-F5EA-4BE0-A514-EB90761E1580}</author>
    <author>tc={35D87E8B-11CC-486A-B0D2-4F2D95248036}</author>
    <author>tc={5FB19028-3C14-464E-BA98-8A7F07416EDF}</author>
    <author>tc={DDD67B2B-9F88-4082-B9BF-76AFCED3ECD3}</author>
    <author>tc={1D6DC542-D9E2-4FCB-8DBF-E3AC76E70B59}</author>
    <author>tc={906FF491-1C35-4F8F-9223-926AFF8A665E}</author>
    <author>tc={77A3F69F-DBC1-4983-97BD-27A4AD1B5612}</author>
    <author>tc={0494B490-016F-4806-9520-5564363FBCDA}</author>
    <author>tc={FA08A940-0553-4FC8-A1B0-149041F37B39}</author>
    <author>tc={60D4B7F7-1C72-4C20-B1BE-685FDE635453}</author>
    <author>tc={6ED9AC52-7614-4B3A-AF21-A16232713F00}</author>
    <author>tc={DC5B3F89-F6B4-47F0-B6C5-E978EEDB9BAA}</author>
    <author>tc={1891CEE3-7F92-4931-B6DC-6EFF4BDC7927}</author>
    <author>tc={AB5989B7-3043-4CDA-B7F7-466B3EED701C}</author>
    <author>tc={A82AF81C-496B-4E5A-94A5-D13A30DA8B95}</author>
    <author>tc={D0909C91-AB58-48BD-BE7A-AF3BE4EDCD8F}</author>
    <author>tc={AF566169-C814-45F2-A9B7-923EC480B185}</author>
    <author>tc={73EAEDA4-EF12-4183-ABBD-60156D200D2E}</author>
    <author>tc={DB5B23D9-9FB0-4EE7-83C6-CD05D62BF185}</author>
    <author>tc={8027281A-6053-47C7-85E1-9A926C3104D1}</author>
    <author>tc={CF70B308-D87D-425E-9363-2223DD657D2C}</author>
    <author>tc={FC01495B-A8AE-44C7-B58C-DC2FEB1AEE61}</author>
    <author>tc={43CFDF0D-8D21-4444-959D-2990FE9D18C3}</author>
    <author>tc={B87CDBBC-5B24-4074-83DC-4A27DAD66746}</author>
    <author>tc={1E51765E-4545-459C-B01A-7214B78511AC}</author>
    <author>tc={2ED27797-C33F-4A4C-8E70-893C312053F4}</author>
    <author>tc={D0EF1E3A-E3D2-4D1C-8F69-D7AFA8CA49A1}</author>
    <author>tc={29B18984-A28F-42DC-B606-73AEFF0DD3E6}</author>
    <author>tc={8D71D16A-C03C-47DE-AF68-655894670B09}</author>
    <author>tc={9665018B-35F1-4F55-BFC3-87FEE0034912}</author>
    <author>tc={6260D6A2-0F1D-42C3-BD0E-64C128B8919D}</author>
    <author>tc={24C8B822-3D64-4B58-B8C0-417FA2F89D00}</author>
    <author>tc={7D0BE1EA-E889-4795-AD88-AE66F68616F8}</author>
    <author>tc={314CD5F0-293F-4676-B3AE-3F8C12004CC4}</author>
    <author>tc={35EFDECF-A2FA-4EEE-8BFC-A450D32FA95E}</author>
    <author>tc={D45A2A03-A9F7-43A2-A93F-AAA9A1F073FE}</author>
    <author>tc={47E88F04-3E29-4CB5-B5D1-456549E8492B}</author>
    <author>tc={57AE027A-4F54-4B7A-8541-C982CE43AB01}</author>
    <author>tc={BC7A2796-7A65-48C6-97EE-3D332C8E3347}</author>
    <author>tc={20D67E70-A85A-4996-9B32-86E0FD418F94}</author>
    <author>tc={C95EFF4C-2F69-4EEC-9C24-65AC1BF1ECAA}</author>
    <author>tc={7EF33799-E2F2-46F6-AC18-4850A0403372}</author>
    <author>tc={C0326890-D75F-4639-85E4-786E29476A7D}</author>
    <author>tc={FEAF0CFB-95EA-4D3C-B177-A31E71364DF9}</author>
    <author>tc={65C0DEB5-7002-4D16-812C-913B6D64A90D}</author>
    <author>tc={B2FCD538-A0EA-4793-BFA9-5F5AECF029D5}</author>
    <author>tc={6674D7AC-0EAD-4C33-BBB1-200C4969F01A}</author>
    <author>tc={29DB8106-F8D9-4C6F-8D38-4872C9E440B7}</author>
    <author>tc={8AB82AA8-3F0B-4B01-9D7A-B582064224DC}</author>
    <author>tc={8A2218B3-CDA9-45A7-B9EC-B069597BF10C}</author>
    <author>tc={53442969-1C65-4AC9-A704-3C91085CF2F8}</author>
    <author>tc={0F12A806-8AFE-4F3E-B3B6-2EF47DBF1D62}</author>
    <author>tc={C3B2257F-FD60-47A4-B24C-C0C3EF37752A}</author>
    <author>tc={4C1C75F2-35C1-4C95-96E8-7A9D93064D63}</author>
    <author>tc={A28F0378-44EE-4112-91A5-8DA405F7E63D}</author>
    <author>tc={52B8D457-AFF2-420F-A553-7CBF6D81F835}</author>
    <author>tc={E56F9193-67F5-4580-B03D-88A5CBCD7B99}</author>
    <author>tc={E53F32E7-2991-4500-9FD3-0465720A64A6}</author>
    <author>tc={E5368664-45BA-44C4-872D-AABD6DE79649}</author>
    <author>tc={A0245BE8-3868-4B93-A45C-7BE0C41EE9BD}</author>
  </authors>
  <commentList>
    <comment ref="E3" authorId="0" shapeId="0" xr:uid="{4A8D756E-B02F-4FE4-8722-74E826467829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F3" authorId="0" shapeId="0" xr:uid="{93AACA17-7996-49BA-86E4-73F078843071}">
      <text>
        <r>
          <rPr>
            <b/>
            <sz val="9"/>
            <color indexed="81"/>
            <rFont val="Tahoma"/>
            <family val="2"/>
            <charset val="204"/>
          </rPr>
          <t>физический офис дистра, с которым федётся работа</t>
        </r>
      </text>
    </comment>
    <comment ref="G3" authorId="0" shapeId="0" xr:uid="{2B6E1F46-E7EB-4E36-BE80-7DCEF2D6C7AD}">
      <text>
        <r>
          <rPr>
            <b/>
            <sz val="9"/>
            <color indexed="81"/>
            <rFont val="Tahoma"/>
            <family val="2"/>
            <charset val="204"/>
          </rPr>
          <t>физическое местонахождение офиса клиента</t>
        </r>
      </text>
    </comment>
    <comment ref="H3" authorId="0" shapeId="0" xr:uid="{D7E118CE-4BF4-47CC-8451-66F093A97B1B}">
      <text>
        <r>
          <rPr>
            <b/>
            <sz val="9"/>
            <color indexed="81"/>
            <rFont val="Tahoma"/>
            <family val="2"/>
            <charset val="204"/>
          </rPr>
          <t>агентство, покрывающее данную область (только для ролей Execution)</t>
        </r>
      </text>
    </comment>
    <comment ref="I3" authorId="0" shapeId="0" xr:uid="{11B1ED3B-59C5-4D3F-BA68-1B2D3741A248}">
      <text>
        <r>
          <rPr>
            <sz val="9"/>
            <color indexed="81"/>
            <rFont val="Tahoma"/>
            <family val="2"/>
            <charset val="204"/>
          </rPr>
          <t>в т.ч. ключевые сети SPT у ряда сотрудников</t>
        </r>
      </text>
    </comment>
    <comment ref="V3" authorId="0" shapeId="0" xr:uid="{1EF7A7F5-3DB7-4D56-BE57-9AF8DADFC132}">
      <text>
        <r>
          <rPr>
            <b/>
            <sz val="9"/>
            <color indexed="81"/>
            <rFont val="Tahoma"/>
            <family val="2"/>
            <charset val="204"/>
          </rPr>
          <t>Ашан, Глобус, Дикси, Лента, Метро, ОКЕЙ, Перек</t>
        </r>
      </text>
    </comment>
    <comment ref="X3" authorId="0" shapeId="0" xr:uid="{054FD3D2-0A82-48CD-B34C-3039EA32EB1C}">
      <text>
        <r>
          <rPr>
            <b/>
            <sz val="9"/>
            <color indexed="81"/>
            <rFont val="Tahoma"/>
            <family val="2"/>
            <charset val="204"/>
          </rPr>
          <t>Клиенты RKA, с которыми работают мерч-агентства</t>
        </r>
      </text>
    </comment>
    <comment ref="G11" authorId="1" shapeId="0" xr:uid="{0C05AB44-692B-4E75-AB19-E848DC2F471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Европа и Линия</t>
        </r>
      </text>
    </comment>
    <comment ref="K21" authorId="2" shapeId="0" xr:uid="{E0B744BD-B51E-4777-821C-E4E38254D3F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  <comment ref="L21" authorId="3" shapeId="0" xr:uid="{56DAA161-B1B5-46E9-9631-3C6E2D36808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ЗООДИСКОНТ
Любимчик убрала</t>
        </r>
      </text>
    </comment>
    <comment ref="K22" authorId="4" shapeId="0" xr:uid="{32A78597-2499-4990-A607-B1230ECFA29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  <comment ref="K24" authorId="5" shapeId="0" xr:uid="{79C7AA9A-2680-499B-B5CA-9B869354ADB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  <comment ref="K25" authorId="6" shapeId="0" xr:uid="{7833366F-73AD-4764-85BD-E4575672373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  <comment ref="K26" authorId="7" shapeId="0" xr:uid="{D3124B9F-F62F-4FB5-A17C-35D29D8CEBB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  <comment ref="K27" authorId="8" shapeId="0" xr:uid="{56A4E96F-F5C0-40FC-B73D-0EA3DDDEB3D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  <comment ref="K30" authorId="9" shapeId="0" xr:uid="{3C1EC568-6E8A-499F-B5A9-9E989DB0186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не отгружается с МД, все отгрузки с Дакорт</t>
        </r>
      </text>
    </comment>
    <comment ref="AD34" authorId="10" shapeId="0" xr:uid="{F7140340-FD2F-4D34-B635-0E5C3F8BF0C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Весь Метро и Перекрёсток на Юге</t>
        </r>
      </text>
    </comment>
    <comment ref="K35" authorId="11" shapeId="0" xr:uid="{0E96E146-F5EA-4BE0-A514-EB90761E158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AC36" authorId="12" shapeId="0" xr:uid="{35D87E8B-11CC-486A-B0D2-4F2D9524803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50% Магнит на Юге</t>
        </r>
      </text>
    </comment>
    <comment ref="AB37" authorId="13" shapeId="0" xr:uid="{5FB19028-3C14-464E-BA98-8A7F07416ED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Вся Пятёрочка на Юге</t>
        </r>
      </text>
    </comment>
    <comment ref="AC45" authorId="14" shapeId="0" xr:uid="{DDD67B2B-9F88-4082-B9BF-76AFCED3ECD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50% Магнит на Юге</t>
        </r>
      </text>
    </comment>
    <comment ref="AD49" authorId="15" shapeId="0" xr:uid="{1D6DC542-D9E2-4FCB-8DBF-E3AC76E70B5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Весь Ашан (+Атак) на Юге</t>
        </r>
      </text>
    </comment>
    <comment ref="AD55" authorId="16" shapeId="0" xr:uid="{906FF491-1C35-4F8F-9223-926AFF8A665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Весь Окей и Лента на Юге</t>
        </r>
      </text>
    </comment>
    <comment ref="K64" authorId="17" shapeId="0" xr:uid="{77A3F69F-DBC1-4983-97BD-27A4AD1B561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64" authorId="18" shapeId="0" xr:uid="{0494B490-016F-4806-9520-5564363FBCD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65" authorId="19" shapeId="0" xr:uid="{FA08A940-0553-4FC8-A1B0-149041F37B3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65" authorId="20" shapeId="0" xr:uid="{60D4B7F7-1C72-4C20-B1BE-685FDE63545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67" authorId="21" shapeId="0" xr:uid="{6ED9AC52-7614-4B3A-AF21-A16232713F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67" authorId="22" shapeId="0" xr:uid="{DC5B3F89-F6B4-47F0-B6C5-E978EEDB9BA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68" authorId="23" shapeId="0" xr:uid="{1891CEE3-7F92-4931-B6DC-6EFF4BDC792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68" authorId="24" shapeId="0" xr:uid="{AB5989B7-3043-4CDA-B7F7-466B3EED701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71" authorId="25" shapeId="0" xr:uid="{A82AF81C-496B-4E5A-94A5-D13A30DA8B9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72" authorId="26" shapeId="0" xr:uid="{D0909C91-AB58-48BD-BE7A-AF3BE4EDCD8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74" authorId="27" shapeId="0" xr:uid="{AF566169-C814-45F2-A9B7-923EC480B18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74" authorId="28" shapeId="0" xr:uid="{73EAEDA4-EF12-4183-ABBD-60156D200D2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75" authorId="29" shapeId="0" xr:uid="{DB5B23D9-9FB0-4EE7-83C6-CD05D62BF18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75" authorId="30" shapeId="0" xr:uid="{8027281A-6053-47C7-85E1-9A926C3104D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76" authorId="31" shapeId="0" xr:uid="{CF70B308-D87D-425E-9363-2223DD657D2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76" authorId="32" shapeId="0" xr:uid="{FC01495B-A8AE-44C7-B58C-DC2FEB1AEE6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77" authorId="33" shapeId="0" xr:uid="{43CFDF0D-8D21-4444-959D-2990FE9D18C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77" authorId="34" shapeId="0" xr:uid="{B87CDBBC-5B24-4074-83DC-4A27DAD6674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78" authorId="35" shapeId="0" xr:uid="{1E51765E-4545-459C-B01A-7214B78511A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79" authorId="36" shapeId="0" xr:uid="{2ED27797-C33F-4A4C-8E70-893C312053F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80" authorId="37" shapeId="0" xr:uid="{D0EF1E3A-E3D2-4D1C-8F69-D7AFA8CA49A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82" authorId="38" shapeId="0" xr:uid="{29B18984-A28F-42DC-B606-73AEFF0DD3E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82" authorId="39" shapeId="0" xr:uid="{8D71D16A-C03C-47DE-AF68-655894670B0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85" authorId="40" shapeId="0" xr:uid="{9665018B-35F1-4F55-BFC3-87FEE003491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86" authorId="41" shapeId="0" xr:uid="{6260D6A2-0F1D-42C3-BD0E-64C128B8919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86" authorId="42" shapeId="0" xr:uid="{24C8B822-3D64-4B58-B8C0-417FA2F89D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88" authorId="43" shapeId="0" xr:uid="{7D0BE1EA-E889-4795-AD88-AE66F68616F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89" authorId="44" shapeId="0" xr:uid="{314CD5F0-293F-4676-B3AE-3F8C12004CC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90" authorId="45" shapeId="0" xr:uid="{35EFDECF-A2FA-4EEE-8BFC-A450D32FA95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91" authorId="46" shapeId="0" xr:uid="{D45A2A03-A9F7-43A2-A93F-AAA9A1F073F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92" authorId="47" shapeId="0" xr:uid="{47E88F04-3E29-4CB5-B5D1-456549E8492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93" authorId="48" shapeId="0" xr:uid="{57AE027A-4F54-4B7A-8541-C982CE43AB0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93" authorId="49" shapeId="0" xr:uid="{BC7A2796-7A65-48C6-97EE-3D332C8E334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96" authorId="50" shapeId="0" xr:uid="{20D67E70-A85A-4996-9B32-86E0FD418F9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98" authorId="51" shapeId="0" xr:uid="{C95EFF4C-2F69-4EEC-9C24-65AC1BF1ECA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98" authorId="52" shapeId="0" xr:uid="{7EF33799-E2F2-46F6-AC18-4850A040337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99" authorId="53" shapeId="0" xr:uid="{C0326890-D75F-4639-85E4-786E29476A7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101" authorId="54" shapeId="0" xr:uid="{FEAF0CFB-95EA-4D3C-B177-A31E71364DF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101" authorId="55" shapeId="0" xr:uid="{65C0DEB5-7002-4D16-812C-913B6D64A90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N102" authorId="56" shapeId="0" xr:uid="{B2FCD538-A0EA-4793-BFA9-5F5AECF029D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Караван Волга</t>
        </r>
      </text>
    </comment>
    <comment ref="N103" authorId="57" shapeId="0" xr:uid="{6674D7AC-0EAD-4C33-BBB1-200C4969F01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Караван Волга</t>
        </r>
      </text>
    </comment>
    <comment ref="N104" authorId="58" shapeId="0" xr:uid="{29DB8106-F8D9-4C6F-8D38-4872C9E440B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Караван Волга</t>
        </r>
      </text>
    </comment>
    <comment ref="X107" authorId="59" shapeId="0" xr:uid="{8AB82AA8-3F0B-4B01-9D7A-B582064224D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108" authorId="60" shapeId="0" xr:uid="{8A2218B3-CDA9-45A7-B9EC-B069597BF10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108" authorId="61" shapeId="0" xr:uid="{53442969-1C65-4AC9-A704-3C91085CF2F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111" authorId="62" shapeId="0" xr:uid="{0F12A806-8AFE-4F3E-B3B6-2EF47DBF1D6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112" authorId="63" shapeId="0" xr:uid="{C3B2257F-FD60-47A4-B24C-C0C3EF37752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112" authorId="64" shapeId="0" xr:uid="{4C1C75F2-35C1-4C95-96E8-7A9D93064D6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113" authorId="65" shapeId="0" xr:uid="{A28F0378-44EE-4112-91A5-8DA405F7E63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113" authorId="66" shapeId="0" xr:uid="{52B8D457-AFF2-420F-A553-7CBF6D81F83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114" authorId="67" shapeId="0" xr:uid="{E56F9193-67F5-4580-B03D-88A5CBCD7B9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116" authorId="68" shapeId="0" xr:uid="{E53F32E7-2991-4500-9FD3-0465720A64A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  <comment ref="X117" authorId="69" shapeId="0" xr:uid="{E5368664-45BA-44C4-872D-AABD6DE7964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  <comment ref="X118" authorId="70" shapeId="0" xr:uid="{A0245BE8-3868-4B93-A45C-7BE0C41EE9B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F3" authorId="0" shapeId="0" xr:uid="{069E982E-04FB-404A-A604-A7DC5B2D8527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G3" authorId="0" shapeId="0" xr:uid="{860DEDD9-1884-420D-B96A-71ABB0B3FB0D}">
      <text>
        <r>
          <rPr>
            <b/>
            <sz val="9"/>
            <color indexed="81"/>
            <rFont val="Tahoma"/>
            <family val="2"/>
            <charset val="204"/>
          </rPr>
          <t>физический офис дистра, с которым федётся работа</t>
        </r>
      </text>
    </comment>
    <comment ref="H3" authorId="0" shapeId="0" xr:uid="{6866DD41-C00B-4D8A-B41F-4F5DEFE097BF}">
      <text>
        <r>
          <rPr>
            <b/>
            <sz val="9"/>
            <color indexed="81"/>
            <rFont val="Tahoma"/>
            <family val="2"/>
            <charset val="204"/>
          </rPr>
          <t>физическое местонахождение офиса клиента</t>
        </r>
      </text>
    </comment>
    <comment ref="I3" authorId="0" shapeId="0" xr:uid="{0EB3331A-D24C-4D14-8F93-B82AF4924FC3}">
      <text>
        <r>
          <rPr>
            <b/>
            <sz val="9"/>
            <color indexed="81"/>
            <rFont val="Tahoma"/>
            <family val="2"/>
            <charset val="204"/>
          </rPr>
          <t>агентство, покрывающее данную область (только для ролей Execution)</t>
        </r>
      </text>
    </comment>
    <comment ref="J3" authorId="0" shapeId="0" xr:uid="{A15C453E-1A4D-4D9C-AA0B-C2B1809FF7DA}">
      <text>
        <r>
          <rPr>
            <sz val="9"/>
            <color indexed="81"/>
            <rFont val="Tahoma"/>
            <family val="2"/>
            <charset val="204"/>
          </rPr>
          <t>в т.ч. ключевые сети SPT у ряда сотрудников</t>
        </r>
      </text>
    </comment>
    <comment ref="W3" authorId="0" shapeId="0" xr:uid="{E794CB80-1B21-4044-A231-C090EFA1F883}">
      <text>
        <r>
          <rPr>
            <b/>
            <sz val="9"/>
            <color indexed="81"/>
            <rFont val="Tahoma"/>
            <family val="2"/>
            <charset val="204"/>
          </rPr>
          <t>Ашан, Глобус, Дикси, Лента, Метро, ОКЕЙ, Перек</t>
        </r>
      </text>
    </comment>
    <comment ref="Y3" authorId="0" shapeId="0" xr:uid="{2A4B3B5D-238E-42B5-A491-5FEC343D048D}">
      <text>
        <r>
          <rPr>
            <b/>
            <sz val="9"/>
            <color indexed="81"/>
            <rFont val="Tahoma"/>
            <family val="2"/>
            <charset val="204"/>
          </rPr>
          <t>Клиенты RKA, с которыми работают мерч-агентства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  <author>Grekova, Anastasiia</author>
  </authors>
  <commentList>
    <comment ref="E6" authorId="0" shapeId="0" xr:uid="{0708D7BD-1CF5-4735-9874-1861285145D8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F6" authorId="0" shapeId="0" xr:uid="{50633629-DB78-46D2-9B84-0CAE07758F68}">
      <text>
        <r>
          <rPr>
            <b/>
            <sz val="9"/>
            <color indexed="81"/>
            <rFont val="Tahoma"/>
            <family val="2"/>
            <charset val="204"/>
          </rPr>
          <t>физический офис дистра, с которым федётся работа</t>
        </r>
      </text>
    </comment>
    <comment ref="G6" authorId="0" shapeId="0" xr:uid="{87AB0E1F-E029-42F6-AE1C-415B863D1CE2}">
      <text>
        <r>
          <rPr>
            <b/>
            <sz val="9"/>
            <color indexed="81"/>
            <rFont val="Tahoma"/>
            <family val="2"/>
            <charset val="204"/>
          </rPr>
          <t>физическое местонахождение офиса клиента</t>
        </r>
      </text>
    </comment>
    <comment ref="H6" authorId="0" shapeId="0" xr:uid="{38D283CB-EF6D-493D-8A7D-79560440734E}">
      <text>
        <r>
          <rPr>
            <b/>
            <sz val="9"/>
            <color indexed="81"/>
            <rFont val="Tahoma"/>
            <family val="2"/>
            <charset val="204"/>
          </rPr>
          <t>агентство, покрывающее данную область (только для ролей Execution)</t>
        </r>
      </text>
    </comment>
    <comment ref="M6" authorId="0" shapeId="0" xr:uid="{1BC5C2BD-B1DD-4930-A811-111375486C3C}">
      <text>
        <r>
          <rPr>
            <sz val="9"/>
            <color indexed="81"/>
            <rFont val="Tahoma"/>
            <family val="2"/>
            <charset val="204"/>
          </rPr>
          <t>-Семь шагов
-Макси
-Заболивые цены</t>
        </r>
      </text>
    </comment>
    <comment ref="Z6" authorId="0" shapeId="0" xr:uid="{6E28B266-0EBD-408D-BB58-666721CC60A2}">
      <text>
        <r>
          <rPr>
            <b/>
            <sz val="9"/>
            <color indexed="81"/>
            <rFont val="Tahoma"/>
            <family val="2"/>
            <charset val="204"/>
          </rPr>
          <t>Ашан, Глобус, Дикси, Лента, Метро, ОКЕЙ, Перек</t>
        </r>
      </text>
    </comment>
    <comment ref="AB6" authorId="0" shapeId="0" xr:uid="{E9951925-235E-4D3B-B795-CFF607766CD1}">
      <text>
        <r>
          <rPr>
            <b/>
            <sz val="9"/>
            <color indexed="81"/>
            <rFont val="Tahoma"/>
            <family val="2"/>
            <charset val="204"/>
          </rPr>
          <t>Клиенты RKA, с которыми работают мерч-агентства</t>
        </r>
      </text>
    </comment>
    <comment ref="AH46" authorId="1" shapeId="0" xr:uid="{EE6F4A88-20CB-4EDB-A1E1-C76E851453CE}">
      <text>
        <r>
          <rPr>
            <b/>
            <sz val="9"/>
            <color indexed="81"/>
            <rFont val="Tahoma"/>
            <family val="2"/>
            <charset val="204"/>
          </rPr>
          <t>Grekova, Anastasiia:</t>
        </r>
        <r>
          <rPr>
            <sz val="9"/>
            <color indexed="81"/>
            <rFont val="Tahoma"/>
            <family val="2"/>
            <charset val="204"/>
          </rPr>
          <t xml:space="preserve">
Metro</t>
        </r>
      </text>
    </comment>
    <comment ref="AH48" authorId="1" shapeId="0" xr:uid="{FE5CFDA2-1631-45EC-A238-E1F5FA0A409B}">
      <text>
        <r>
          <rPr>
            <b/>
            <sz val="9"/>
            <color indexed="81"/>
            <rFont val="Tahoma"/>
            <family val="2"/>
            <charset val="204"/>
          </rPr>
          <t>Grekova, Anastasiia:</t>
        </r>
        <r>
          <rPr>
            <sz val="9"/>
            <color indexed="81"/>
            <rFont val="Tahoma"/>
            <family val="2"/>
            <charset val="204"/>
          </rPr>
          <t xml:space="preserve">
Aushan&amp;Верный</t>
        </r>
      </text>
    </comment>
    <comment ref="AH50" authorId="1" shapeId="0" xr:uid="{CDEF0C63-EE6F-4947-8C6C-1507548C26A7}">
      <text>
        <r>
          <rPr>
            <b/>
            <sz val="9"/>
            <color indexed="81"/>
            <rFont val="Tahoma"/>
            <family val="2"/>
            <charset val="204"/>
          </rPr>
          <t>Grekova, Anastasiia:</t>
        </r>
        <r>
          <rPr>
            <sz val="9"/>
            <color indexed="81"/>
            <rFont val="Tahoma"/>
            <family val="2"/>
            <charset val="204"/>
          </rPr>
          <t xml:space="preserve">
X5 w/o Пятерочка</t>
        </r>
      </text>
    </comment>
    <comment ref="AH51" authorId="1" shapeId="0" xr:uid="{25BF1511-40EB-408D-B25A-CB66FE1E05DA}">
      <text>
        <r>
          <rPr>
            <b/>
            <sz val="9"/>
            <color indexed="81"/>
            <rFont val="Tahoma"/>
            <family val="2"/>
            <charset val="204"/>
          </rPr>
          <t>Grekova, Anastasiia:</t>
        </r>
        <r>
          <rPr>
            <sz val="9"/>
            <color indexed="81"/>
            <rFont val="Tahoma"/>
            <family val="2"/>
            <charset val="204"/>
          </rPr>
          <t xml:space="preserve">
Группа компаний Лента&amp;Okey</t>
        </r>
      </text>
    </comment>
    <comment ref="AH62" authorId="1" shapeId="0" xr:uid="{B09834E3-5CDC-4C3B-8042-ED77063907D1}">
      <text>
        <r>
          <rPr>
            <b/>
            <sz val="9"/>
            <color indexed="81"/>
            <rFont val="Tahoma"/>
            <family val="2"/>
            <charset val="204"/>
          </rPr>
          <t>Grekova, Anastasiia:</t>
        </r>
        <r>
          <rPr>
            <sz val="9"/>
            <color indexed="81"/>
            <rFont val="Tahoma"/>
            <family val="2"/>
            <charset val="204"/>
          </rPr>
          <t xml:space="preserve">
Дикси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  <author>Grekova, Anastasiia</author>
  </authors>
  <commentList>
    <comment ref="E3" authorId="0" shapeId="0" xr:uid="{10181634-A373-493C-9F99-896723E6FDA6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F3" authorId="0" shapeId="0" xr:uid="{0B3AA4F0-C1FD-432C-BE29-F071C67D9B8E}">
      <text>
        <r>
          <rPr>
            <b/>
            <sz val="9"/>
            <color indexed="81"/>
            <rFont val="Tahoma"/>
            <family val="2"/>
            <charset val="204"/>
          </rPr>
          <t>физический офис дистра, с которым федётся работа</t>
        </r>
      </text>
    </comment>
    <comment ref="G3" authorId="0" shapeId="0" xr:uid="{83775BCF-96AB-4683-AF4E-CB830D321974}">
      <text>
        <r>
          <rPr>
            <b/>
            <sz val="9"/>
            <color indexed="81"/>
            <rFont val="Tahoma"/>
            <family val="2"/>
            <charset val="204"/>
          </rPr>
          <t>физическое местонахождение офиса клиента</t>
        </r>
      </text>
    </comment>
    <comment ref="H3" authorId="0" shapeId="0" xr:uid="{5134F1B7-2581-47B1-BA04-F5F6B5FF56AB}">
      <text>
        <r>
          <rPr>
            <b/>
            <sz val="9"/>
            <color indexed="81"/>
            <rFont val="Tahoma"/>
            <family val="2"/>
            <charset val="204"/>
          </rPr>
          <t>агентство, покрывающее данную область (только для ролей Execution)</t>
        </r>
      </text>
    </comment>
    <comment ref="U3" authorId="0" shapeId="0" xr:uid="{0755A9CF-B70B-46C5-9A2B-C1E8A10E7CFD}">
      <text>
        <r>
          <rPr>
            <sz val="9"/>
            <color indexed="81"/>
            <rFont val="Tahoma"/>
            <family val="2"/>
            <charset val="204"/>
          </rPr>
          <t>-Семь шагов
-Макси
-Заболивые цены</t>
        </r>
      </text>
    </comment>
    <comment ref="AH3" authorId="0" shapeId="0" xr:uid="{27E4CBCA-2159-4742-9493-AFA0823B93A8}">
      <text>
        <r>
          <rPr>
            <b/>
            <sz val="9"/>
            <color indexed="81"/>
            <rFont val="Tahoma"/>
            <family val="2"/>
            <charset val="204"/>
          </rPr>
          <t>Ашан, Глобус, Дикси, Лента, Метро, ОКЕЙ, Перек</t>
        </r>
      </text>
    </comment>
    <comment ref="AJ3" authorId="0" shapeId="0" xr:uid="{C88F3529-4C01-4553-8135-D72EE54CBA45}">
      <text>
        <r>
          <rPr>
            <b/>
            <sz val="9"/>
            <color indexed="81"/>
            <rFont val="Tahoma"/>
            <family val="2"/>
            <charset val="204"/>
          </rPr>
          <t>Клиенты RKA, с которыми работают мерч-агентства</t>
        </r>
      </text>
    </comment>
    <comment ref="AP43" authorId="1" shapeId="0" xr:uid="{A8F4AE09-FE11-40DB-BDF2-20942F24B9EF}">
      <text>
        <r>
          <rPr>
            <b/>
            <sz val="9"/>
            <color indexed="81"/>
            <rFont val="Tahoma"/>
            <family val="2"/>
            <charset val="204"/>
          </rPr>
          <t>Grekova, Anastasiia:</t>
        </r>
        <r>
          <rPr>
            <sz val="9"/>
            <color indexed="81"/>
            <rFont val="Tahoma"/>
            <family val="2"/>
            <charset val="204"/>
          </rPr>
          <t xml:space="preserve">
Metro</t>
        </r>
      </text>
    </comment>
    <comment ref="AP45" authorId="1" shapeId="0" xr:uid="{F735FF51-3252-4B98-90C1-3A479F77ED34}">
      <text>
        <r>
          <rPr>
            <b/>
            <sz val="9"/>
            <color indexed="81"/>
            <rFont val="Tahoma"/>
            <family val="2"/>
            <charset val="204"/>
          </rPr>
          <t>Grekova, Anastasiia:</t>
        </r>
        <r>
          <rPr>
            <sz val="9"/>
            <color indexed="81"/>
            <rFont val="Tahoma"/>
            <family val="2"/>
            <charset val="204"/>
          </rPr>
          <t xml:space="preserve">
Aushan&amp;Верный</t>
        </r>
      </text>
    </comment>
    <comment ref="AP47" authorId="1" shapeId="0" xr:uid="{74C1C6F7-DE23-42F9-8CB1-BB3AF99873E3}">
      <text>
        <r>
          <rPr>
            <b/>
            <sz val="9"/>
            <color indexed="81"/>
            <rFont val="Tahoma"/>
            <family val="2"/>
            <charset val="204"/>
          </rPr>
          <t>Grekova, Anastasiia:</t>
        </r>
        <r>
          <rPr>
            <sz val="9"/>
            <color indexed="81"/>
            <rFont val="Tahoma"/>
            <family val="2"/>
            <charset val="204"/>
          </rPr>
          <t xml:space="preserve">
X5 w/o Пятерочка</t>
        </r>
      </text>
    </comment>
    <comment ref="AP48" authorId="1" shapeId="0" xr:uid="{AE5E191B-4507-4696-BBE0-39130E5559EB}">
      <text>
        <r>
          <rPr>
            <b/>
            <sz val="9"/>
            <color indexed="81"/>
            <rFont val="Tahoma"/>
            <family val="2"/>
            <charset val="204"/>
          </rPr>
          <t>Grekova, Anastasiia:</t>
        </r>
        <r>
          <rPr>
            <sz val="9"/>
            <color indexed="81"/>
            <rFont val="Tahoma"/>
            <family val="2"/>
            <charset val="204"/>
          </rPr>
          <t xml:space="preserve">
Группа компаний Лента&amp;Okey</t>
        </r>
      </text>
    </comment>
    <comment ref="AP59" authorId="1" shapeId="0" xr:uid="{1627BBE5-18C8-4812-9205-C5487D9D4B33}">
      <text>
        <r>
          <rPr>
            <b/>
            <sz val="9"/>
            <color indexed="81"/>
            <rFont val="Tahoma"/>
            <family val="2"/>
            <charset val="204"/>
          </rPr>
          <t>Grekova, Anastasiia:</t>
        </r>
        <r>
          <rPr>
            <sz val="9"/>
            <color indexed="81"/>
            <rFont val="Tahoma"/>
            <family val="2"/>
            <charset val="204"/>
          </rPr>
          <t xml:space="preserve">
Дикси</t>
        </r>
      </text>
    </comment>
  </commentList>
</comments>
</file>

<file path=xl/sharedStrings.xml><?xml version="1.0" encoding="utf-8"?>
<sst xmlns="http://schemas.openxmlformats.org/spreadsheetml/2006/main" count="5236" uniqueCount="466">
  <si>
    <t>DL 11.02</t>
  </si>
  <si>
    <t>Блок, в котором учитываем отгрузки (development)</t>
  </si>
  <si>
    <t>Блок, в котором учитываем покрываемые продажи (execution)</t>
  </si>
  <si>
    <t>Продажи в клиентов, управляемых командами RKADM</t>
  </si>
  <si>
    <t>Продажи НЕ Skyline каналов</t>
  </si>
  <si>
    <t>Продажи Skyline каналов</t>
  </si>
  <si>
    <t>Продажи аккаунтов, за экзекьюшен которых отвечает сотрудник на конкретной территории</t>
  </si>
  <si>
    <r>
      <t xml:space="preserve">Продажи аккаунтов, за которые отвечает сотрудник в рамках </t>
    </r>
    <r>
      <rPr>
        <b/>
        <sz val="11"/>
        <color theme="1"/>
        <rFont val="Calibri"/>
        <family val="2"/>
        <charset val="204"/>
        <scheme val="minor"/>
      </rPr>
      <t>лидирования</t>
    </r>
    <r>
      <rPr>
        <sz val="11"/>
        <color theme="1"/>
        <rFont val="Calibri"/>
        <family val="2"/>
        <scheme val="minor"/>
      </rPr>
      <t xml:space="preserve"> в регионе</t>
    </r>
  </si>
  <si>
    <t>District</t>
  </si>
  <si>
    <t>Region / HSR</t>
  </si>
  <si>
    <t>Manager</t>
  </si>
  <si>
    <t>Territory</t>
  </si>
  <si>
    <t>Distributor</t>
  </si>
  <si>
    <t># of distr offices</t>
  </si>
  <si>
    <t># of RKA offices</t>
  </si>
  <si>
    <t>Merch agency</t>
  </si>
  <si>
    <t>Продажи RKA Tier 1-2</t>
  </si>
  <si>
    <t>Продажи прочих RKA</t>
  </si>
  <si>
    <t>Grocery Tier 1-2</t>
  </si>
  <si>
    <t>SPT Tier 1-2</t>
  </si>
  <si>
    <t>E-com Tier 1-2</t>
  </si>
  <si>
    <t>Grocery Tier 3</t>
  </si>
  <si>
    <t>Other SS</t>
  </si>
  <si>
    <t>Other SPT</t>
  </si>
  <si>
    <t>Other E-com</t>
  </si>
  <si>
    <t>BTC</t>
  </si>
  <si>
    <t>Опт</t>
  </si>
  <si>
    <t>Продажи 5-ka (SO)</t>
  </si>
  <si>
    <t>Продажи Magnit (SO)</t>
  </si>
  <si>
    <t>Продажи прочих NA c SO (без Чижика!)</t>
  </si>
  <si>
    <t>Продажи Чижик по SO</t>
  </si>
  <si>
    <t>Продажи RKA c SO</t>
  </si>
  <si>
    <t>Продажи в Merch-model (covered)</t>
  </si>
  <si>
    <t># of 5-ka offices</t>
  </si>
  <si>
    <t># of Magnit offices</t>
  </si>
  <si>
    <t>Продажи прочих NA c SO</t>
  </si>
  <si>
    <t>Нижегородская область</t>
  </si>
  <si>
    <t>HSR Moscow</t>
  </si>
  <si>
    <t>DDM Moscow</t>
  </si>
  <si>
    <t>TSE NN</t>
  </si>
  <si>
    <t>Sladkaya Zhizn NN</t>
  </si>
  <si>
    <t>generalist</t>
  </si>
  <si>
    <t>RADM Moscow</t>
  </si>
  <si>
    <t>RAE Spar</t>
  </si>
  <si>
    <t>nego</t>
  </si>
  <si>
    <t>если привязка</t>
  </si>
  <si>
    <t>RAE SPT</t>
  </si>
  <si>
    <t>TDM 1 Moscow</t>
  </si>
  <si>
    <t>KADL NN</t>
  </si>
  <si>
    <t>Open</t>
  </si>
  <si>
    <t>Владимирская область</t>
  </si>
  <si>
    <t>TR</t>
  </si>
  <si>
    <t>Список сетей, продажи которых не нужно учитывать (управляемые якорными командами, но отгружающиеся с дистров):</t>
  </si>
  <si>
    <t>Фикс-прайс</t>
  </si>
  <si>
    <t>WB</t>
  </si>
  <si>
    <t>Любимчик</t>
  </si>
  <si>
    <t>Вкусвилл</t>
  </si>
  <si>
    <t>Яндекс</t>
  </si>
  <si>
    <t>BYN</t>
  </si>
  <si>
    <t>Продажи RKA Tier 1</t>
  </si>
  <si>
    <t>Grocery Tier 2</t>
  </si>
  <si>
    <t>SPT Tier 1</t>
  </si>
  <si>
    <t>SPT Tier 2</t>
  </si>
  <si>
    <t>Продажи Доброном (SO)</t>
  </si>
  <si>
    <t>Продажи Евроопт (SO)</t>
  </si>
  <si>
    <t>Брестская область</t>
  </si>
  <si>
    <t>Market Head Belarus</t>
  </si>
  <si>
    <t>Senior Customer Development Manager</t>
  </si>
  <si>
    <t>KAM Tier 1</t>
  </si>
  <si>
    <t>Витебская область</t>
  </si>
  <si>
    <t>Гомельская область</t>
  </si>
  <si>
    <t>Гродненская область</t>
  </si>
  <si>
    <t>Минск</t>
  </si>
  <si>
    <t>Минская область</t>
  </si>
  <si>
    <t>Могилевская область</t>
  </si>
  <si>
    <t>KADL Tier 1 Dobronom</t>
  </si>
  <si>
    <t>Гродненская</t>
  </si>
  <si>
    <t>KADL Tier 1 Evroopt</t>
  </si>
  <si>
    <t>Key Account Manager SPT Belarus</t>
  </si>
  <si>
    <t xml:space="preserve">         712 416,22</t>
  </si>
  <si>
    <t xml:space="preserve">         687 142,88</t>
  </si>
  <si>
    <t xml:space="preserve">         469 349,83</t>
  </si>
  <si>
    <t xml:space="preserve">   11 805 739,74</t>
  </si>
  <si>
    <t xml:space="preserve">     3 168 620,80</t>
  </si>
  <si>
    <t xml:space="preserve">         969 637,83</t>
  </si>
  <si>
    <t xml:space="preserve">         684 956,38</t>
  </si>
  <si>
    <t>Key Account Manager Belarus</t>
  </si>
  <si>
    <t xml:space="preserve">     1 519 590,69</t>
  </si>
  <si>
    <t xml:space="preserve">         610 465,75</t>
  </si>
  <si>
    <t xml:space="preserve">         652 726,69</t>
  </si>
  <si>
    <t xml:space="preserve">     9 072 676,64</t>
  </si>
  <si>
    <t xml:space="preserve">     4 573 908,20</t>
  </si>
  <si>
    <t xml:space="preserve">         873 366,23</t>
  </si>
  <si>
    <t xml:space="preserve">         810 662,74</t>
  </si>
  <si>
    <t>Distributor Development Manager</t>
  </si>
  <si>
    <t>TSL Grodno-Brest</t>
  </si>
  <si>
    <t xml:space="preserve">     2 172 671,38</t>
  </si>
  <si>
    <t xml:space="preserve">         399 403,60</t>
  </si>
  <si>
    <t xml:space="preserve">         960 372,74</t>
  </si>
  <si>
    <t xml:space="preserve">     1 332 674,81</t>
  </si>
  <si>
    <t xml:space="preserve">                 166,54</t>
  </si>
  <si>
    <t xml:space="preserve">         925 582,95</t>
  </si>
  <si>
    <t xml:space="preserve">           23 225,07</t>
  </si>
  <si>
    <t xml:space="preserve">     1 059 870,30</t>
  </si>
  <si>
    <t xml:space="preserve">         111 952,36</t>
  </si>
  <si>
    <t xml:space="preserve">     1 189 328,21</t>
  </si>
  <si>
    <t xml:space="preserve">     1 251 835,60</t>
  </si>
  <si>
    <t xml:space="preserve">         771 945,38</t>
  </si>
  <si>
    <t xml:space="preserve">         601 109,14</t>
  </si>
  <si>
    <t>TSL Vitebsk-Minsk</t>
  </si>
  <si>
    <t xml:space="preserve">     2 035 082,17</t>
  </si>
  <si>
    <t xml:space="preserve">         944 397,50</t>
  </si>
  <si>
    <t xml:space="preserve">         774 577,48</t>
  </si>
  <si>
    <t xml:space="preserve">     2 656 713,20</t>
  </si>
  <si>
    <t xml:space="preserve">           12 918,13</t>
  </si>
  <si>
    <t xml:space="preserve">     2 098 831,39</t>
  </si>
  <si>
    <t xml:space="preserve">     1 726 620,74</t>
  </si>
  <si>
    <t xml:space="preserve">     4 769 337,69</t>
  </si>
  <si>
    <t xml:space="preserve">           90 743,34</t>
  </si>
  <si>
    <t xml:space="preserve">         773 303,30</t>
  </si>
  <si>
    <t xml:space="preserve">     2 651 752,79</t>
  </si>
  <si>
    <t xml:space="preserve">             5 980,96</t>
  </si>
  <si>
    <t xml:space="preserve">     1 224 734,59</t>
  </si>
  <si>
    <t xml:space="preserve">     4 048 074,73</t>
  </si>
  <si>
    <t>TSL Minsk North</t>
  </si>
  <si>
    <t xml:space="preserve">     3 110 571,02</t>
  </si>
  <si>
    <t xml:space="preserve">         901 550,38</t>
  </si>
  <si>
    <t xml:space="preserve">         544 524,91</t>
  </si>
  <si>
    <t xml:space="preserve">           88 059,07</t>
  </si>
  <si>
    <t xml:space="preserve">         170 078,71</t>
  </si>
  <si>
    <t xml:space="preserve">         383 306,84</t>
  </si>
  <si>
    <t>TSL Mogilev-Gomel</t>
  </si>
  <si>
    <t xml:space="preserve">     2 707 319,34</t>
  </si>
  <si>
    <t xml:space="preserve">     1 735 992,47</t>
  </si>
  <si>
    <t xml:space="preserve">     2 494 845,06</t>
  </si>
  <si>
    <t xml:space="preserve">     2 455 710,08</t>
  </si>
  <si>
    <t xml:space="preserve">           40 893,91</t>
  </si>
  <si>
    <t xml:space="preserve">     2 082 253,60</t>
  </si>
  <si>
    <t xml:space="preserve">           50 992,87</t>
  </si>
  <si>
    <t xml:space="preserve">     1 012 585,14</t>
  </si>
  <si>
    <t xml:space="preserve">     1 995 412,58</t>
  </si>
  <si>
    <t xml:space="preserve">     1 006 155,67</t>
  </si>
  <si>
    <t xml:space="preserve">           97 101,58</t>
  </si>
  <si>
    <t>Доброцен</t>
  </si>
  <si>
    <t>Курганская</t>
  </si>
  <si>
    <t>HSR Center</t>
  </si>
  <si>
    <t>RADM CEN Grocery RKA+Monetka,Krasnoe i beloe, Kiro</t>
  </si>
  <si>
    <t>TSL CEN Grocery+SPT+NA Kurgan</t>
  </si>
  <si>
    <t>Фуд-Трейд ООО</t>
  </si>
  <si>
    <t>Оренбургская</t>
  </si>
  <si>
    <t>ASM CEN Fud-trade+Reid-21</t>
  </si>
  <si>
    <t>TSL CEN Grocery + SPT Samara 2</t>
  </si>
  <si>
    <t>Марий Эл</t>
  </si>
  <si>
    <t>TSL CEN Kazan</t>
  </si>
  <si>
    <t>TSL CEN Ufa</t>
  </si>
  <si>
    <t>Рэйд-21 ООО</t>
  </si>
  <si>
    <t>Тюменская</t>
  </si>
  <si>
    <t>DDM CEN</t>
  </si>
  <si>
    <t>TSL CEN Tyumen</t>
  </si>
  <si>
    <t>Эвенкс ООО (Тюмень)</t>
  </si>
  <si>
    <t>Ульяновская</t>
  </si>
  <si>
    <t>RAL CEN Gulliver+Pobeda</t>
  </si>
  <si>
    <t>TDM CEN Samara</t>
  </si>
  <si>
    <t>KADL CEN Kazan</t>
  </si>
  <si>
    <t>Татарстан</t>
  </si>
  <si>
    <t>Челябинская</t>
  </si>
  <si>
    <t>TDM CEN Chelyabinsk</t>
  </si>
  <si>
    <t>KADL CEN NA Chelyabinsk</t>
  </si>
  <si>
    <t>Свердловская</t>
  </si>
  <si>
    <t>KADL CEN NA Ekaterinburg</t>
  </si>
  <si>
    <t>KADL CEN NA Ekaterinburg1</t>
  </si>
  <si>
    <t>Пермский</t>
  </si>
  <si>
    <t>KADL CEN NA Perm</t>
  </si>
  <si>
    <t>Удмуртская</t>
  </si>
  <si>
    <t>Самарская</t>
  </si>
  <si>
    <t>KADL CEN Samara</t>
  </si>
  <si>
    <t>Башкортостан</t>
  </si>
  <si>
    <t>KADL CEN Ufa</t>
  </si>
  <si>
    <t>TR-Project</t>
  </si>
  <si>
    <t>TSL CEN NA Orenburg</t>
  </si>
  <si>
    <t>TSL CEN Grocery Perm</t>
  </si>
  <si>
    <t>TSL CEN Grocery DiscSuper Ekaterinburg</t>
  </si>
  <si>
    <t>Эвенкс ООО (Екатеринбург)</t>
  </si>
  <si>
    <t>RAL CEN Grocery RKA Ekaterinburg</t>
  </si>
  <si>
    <t>RAL CEN Grocery RKA Kirovsky Ekaterinburg</t>
  </si>
  <si>
    <t>Томская</t>
  </si>
  <si>
    <t>TSL CEN Grocery+SPT+NA Khanty-Mansiysk</t>
  </si>
  <si>
    <t>Ханты-Мансийский Автономный округ - Югра</t>
  </si>
  <si>
    <t>TSL CEN Chelyabinsk+Mgn</t>
  </si>
  <si>
    <t>29 487 582,43</t>
  </si>
  <si>
    <t>95 076 965,57</t>
  </si>
  <si>
    <t>Ямало-Ненецкий</t>
  </si>
  <si>
    <t>без привязки</t>
  </si>
  <si>
    <t>Дакорт-Юг ООО</t>
  </si>
  <si>
    <t>РП Альянс ООО</t>
  </si>
  <si>
    <t>Адыгея</t>
  </si>
  <si>
    <t>Алтай</t>
  </si>
  <si>
    <t>Алтайский</t>
  </si>
  <si>
    <t>Амурская</t>
  </si>
  <si>
    <t>Эником ООО</t>
  </si>
  <si>
    <t>Архангельская</t>
  </si>
  <si>
    <t>Алколайн ООО</t>
  </si>
  <si>
    <t>Роздухов М.Е. ИП</t>
  </si>
  <si>
    <t>Астраханская</t>
  </si>
  <si>
    <t>Белгородская</t>
  </si>
  <si>
    <t>Брянская</t>
  </si>
  <si>
    <t>Бурятия</t>
  </si>
  <si>
    <t>Проект-Инвест ООО</t>
  </si>
  <si>
    <t>Волгоградская</t>
  </si>
  <si>
    <t>Вологодская</t>
  </si>
  <si>
    <t>Воронежская</t>
  </si>
  <si>
    <t>Забайкальский</t>
  </si>
  <si>
    <t>Ивановская</t>
  </si>
  <si>
    <t>Вектор ООО</t>
  </si>
  <si>
    <t>Иркутская</t>
  </si>
  <si>
    <t>Калужская</t>
  </si>
  <si>
    <t>Камчатский</t>
  </si>
  <si>
    <t>Карелия</t>
  </si>
  <si>
    <t>Денди ЗАО</t>
  </si>
  <si>
    <t>Кемеровская область - Кузбасс</t>
  </si>
  <si>
    <t>ТД Шкуренко ООО (Томск)</t>
  </si>
  <si>
    <t>Кировская</t>
  </si>
  <si>
    <t>Коми</t>
  </si>
  <si>
    <t>Киселенко А.А. ИП</t>
  </si>
  <si>
    <t>Костромская</t>
  </si>
  <si>
    <t>Краснодарский</t>
  </si>
  <si>
    <t>Крым</t>
  </si>
  <si>
    <t>Ленинградская</t>
  </si>
  <si>
    <t>Липецкая</t>
  </si>
  <si>
    <t>Московская</t>
  </si>
  <si>
    <t>Мурманская</t>
  </si>
  <si>
    <t>Новгородская</t>
  </si>
  <si>
    <t>Новосибирская</t>
  </si>
  <si>
    <t>Омская</t>
  </si>
  <si>
    <t>ТД Шкуренко ООО</t>
  </si>
  <si>
    <t>Орловская</t>
  </si>
  <si>
    <t>Пензенская</t>
  </si>
  <si>
    <t>Приморский</t>
  </si>
  <si>
    <t>Псковская</t>
  </si>
  <si>
    <t>Ростовская</t>
  </si>
  <si>
    <t>Миллениум-Дон ООО</t>
  </si>
  <si>
    <t>Рязанская</t>
  </si>
  <si>
    <t>Санкт-Петербург</t>
  </si>
  <si>
    <t>Саратовская</t>
  </si>
  <si>
    <t>Сахалинская</t>
  </si>
  <si>
    <t>Севастополь</t>
  </si>
  <si>
    <t>Ставропольский</t>
  </si>
  <si>
    <t>Тамбовская</t>
  </si>
  <si>
    <t>Тверская</t>
  </si>
  <si>
    <t>Тульская</t>
  </si>
  <si>
    <t>Чувашская Республика -</t>
  </si>
  <si>
    <t>Ярославская</t>
  </si>
  <si>
    <t/>
  </si>
  <si>
    <t>Владимирская</t>
  </si>
  <si>
    <t>Донецкая Народная</t>
  </si>
  <si>
    <t>Курская</t>
  </si>
  <si>
    <t>Мордовия</t>
  </si>
  <si>
    <t>Москва</t>
  </si>
  <si>
    <t>Нижегородская</t>
  </si>
  <si>
    <t>Херсонская</t>
  </si>
  <si>
    <t>RAL CEN Grocery RKA Monetka Ekaterinburg</t>
  </si>
  <si>
    <t>Красноярский</t>
  </si>
  <si>
    <t>Продажи RKA</t>
  </si>
  <si>
    <t>HSR RFE</t>
  </si>
  <si>
    <t>ASM RFE Grocery+SPT Khabarovsk</t>
  </si>
  <si>
    <t>RAL RFE Grocery Khabarovsk</t>
  </si>
  <si>
    <t>TSL RFE Grocery+SPT Blagoveschensk</t>
  </si>
  <si>
    <t>Атика ООО</t>
  </si>
  <si>
    <t>ASM RFE Grocery+SPT Irkutsk</t>
  </si>
  <si>
    <t>RAL RFE Grocery Irkutsk</t>
  </si>
  <si>
    <t>RAL RFE SPT Irkutsk</t>
  </si>
  <si>
    <t>TSL RFE Angarsk</t>
  </si>
  <si>
    <t>RDM RFE Grocery SS</t>
  </si>
  <si>
    <t>Virtual Territory RFE</t>
  </si>
  <si>
    <t>Еврейская</t>
  </si>
  <si>
    <t>Владторг ООО</t>
  </si>
  <si>
    <t>TSL RFE Grocery+SPT Komsomolsk-on-Amur</t>
  </si>
  <si>
    <t>TSL RFE Grocery+SPT Chita</t>
  </si>
  <si>
    <t>ASM RFE Grocery+SPT Vladivostok</t>
  </si>
  <si>
    <t>TSL RFE Grocery+SPT Ussuriysk</t>
  </si>
  <si>
    <t>TSL RFE Grocery+SPT Sakhalin PetCare</t>
  </si>
  <si>
    <t>Магаданская</t>
  </si>
  <si>
    <t>RAL RFE Grocery Vladivostok</t>
  </si>
  <si>
    <t>TSL RFE Grocery+SPT Artem</t>
  </si>
  <si>
    <t>Саха (Якутия)</t>
  </si>
  <si>
    <t>TSL RFE Grocery+SPT Yakutsk</t>
  </si>
  <si>
    <t>Хабаровский</t>
  </si>
  <si>
    <t>Чукотский</t>
  </si>
  <si>
    <t>KADL FE</t>
  </si>
  <si>
    <t>SPT Manager RFE</t>
  </si>
  <si>
    <t>Virtual Territory RFE SPT</t>
  </si>
  <si>
    <t>HSR Siberia</t>
  </si>
  <si>
    <t>TDM Siberia</t>
  </si>
  <si>
    <t>KADL SIB Pyaterochka</t>
  </si>
  <si>
    <t>KADL SIB Tander</t>
  </si>
  <si>
    <t>KADL SIB NA Hyper</t>
  </si>
  <si>
    <t>Тыва</t>
  </si>
  <si>
    <t>Хакасия</t>
  </si>
  <si>
    <t>RADM Siberia</t>
  </si>
  <si>
    <t>RAL Yarche</t>
  </si>
  <si>
    <t>Ярче</t>
  </si>
  <si>
    <t>Action</t>
  </si>
  <si>
    <t>KADL SIB RKA</t>
  </si>
  <si>
    <t>RAL Marya-Ra</t>
  </si>
  <si>
    <t>Мария-Ра</t>
  </si>
  <si>
    <t>Монетка</t>
  </si>
  <si>
    <t>RAL Komandor &amp; Khoroshiy</t>
  </si>
  <si>
    <t>Сервико (Красноярск) ООО</t>
  </si>
  <si>
    <t>Командор</t>
  </si>
  <si>
    <t>Хороший</t>
  </si>
  <si>
    <t>ASM SIB Krasnoyarsk+Abakan+Tuva+Kuzbass+Norilsk</t>
  </si>
  <si>
    <t>TSL SIB Krasnoyarsk-Norilsk</t>
  </si>
  <si>
    <t>TSL SIB SPT Novosibirsk</t>
  </si>
  <si>
    <t>TSL SIB Barnaul</t>
  </si>
  <si>
    <t>TSL SIB Novosibirsk</t>
  </si>
  <si>
    <t>TSL SIB Omsk+Tomsk+Kuzbass</t>
  </si>
  <si>
    <t>Стандарт ООО</t>
  </si>
  <si>
    <t>Хороший (Командор)</t>
  </si>
  <si>
    <t>Чеченская</t>
  </si>
  <si>
    <t>HSR SOUTH</t>
  </si>
  <si>
    <t>ASM SOU Krasnodar</t>
  </si>
  <si>
    <t>TSL SOU Krasnodar 1</t>
  </si>
  <si>
    <t>Малаев Ш. А. ИП</t>
  </si>
  <si>
    <t>Ингушетия</t>
  </si>
  <si>
    <t>Дагестан</t>
  </si>
  <si>
    <t>ТД Майдан ООО</t>
  </si>
  <si>
    <t>ASM SOU Voronezh</t>
  </si>
  <si>
    <t>RAL SOU Voronezh</t>
  </si>
  <si>
    <t>Коробов В.Ю. ИП</t>
  </si>
  <si>
    <t>Смоленская</t>
  </si>
  <si>
    <t>TSL SOU Voronezh</t>
  </si>
  <si>
    <t>TSL SOU Crimea 1</t>
  </si>
  <si>
    <t>Луганская Народная</t>
  </si>
  <si>
    <t>TSL SOU Crimea 2</t>
  </si>
  <si>
    <t>TSL SOU Krasnodar 2</t>
  </si>
  <si>
    <t>DDM SOU Rostov-On-Don</t>
  </si>
  <si>
    <t>TSL SOU Rostov-On-Don 1</t>
  </si>
  <si>
    <t>Калмыкия</t>
  </si>
  <si>
    <t>TSL SOU Sochi</t>
  </si>
  <si>
    <t>Абхазия</t>
  </si>
  <si>
    <t>TDM SOUTH 1</t>
  </si>
  <si>
    <t>KADL SOU Krasnodar</t>
  </si>
  <si>
    <t>Фуд-Трейд</t>
  </si>
  <si>
    <t>TDM SOUTH 2</t>
  </si>
  <si>
    <t>KADL SOU Volgograd - Astrakhan</t>
  </si>
  <si>
    <t>KADL SOU Pyaterochka</t>
  </si>
  <si>
    <t>Кабардино-Балкарская</t>
  </si>
  <si>
    <t>KADL SOU KMV 2</t>
  </si>
  <si>
    <t>Карачаево-Черкесская</t>
  </si>
  <si>
    <t>KADL SOU Rostov-On-Don</t>
  </si>
  <si>
    <t>KADL SOU Saratov - Penza - Tambov</t>
  </si>
  <si>
    <t>Северная Осетия - Алания</t>
  </si>
  <si>
    <t>KADL SOU  Lipetsk Orel</t>
  </si>
  <si>
    <t>TSL SOU Saratov,Penza, Volgograd</t>
  </si>
  <si>
    <t>TSL MOS N.Novgorod</t>
  </si>
  <si>
    <t>TSL MOS  Moscow 1 Sladkaya Zhizn</t>
  </si>
  <si>
    <t>TSL SOU Stavropol</t>
  </si>
  <si>
    <t>Запорожская</t>
  </si>
  <si>
    <t>TSE MOS Grocery+SPT Kaluga</t>
  </si>
  <si>
    <t>TSL MOS SPT Moscow Play Sorso</t>
  </si>
  <si>
    <t>авокадо, динозаврик, ястребков, мираторг, авоська, детский мир</t>
  </si>
  <si>
    <t>коммент</t>
  </si>
  <si>
    <t>продажи по мерчу</t>
  </si>
  <si>
    <t>Moscow</t>
  </si>
  <si>
    <t>DDM MOS Sladkaay Zhizn</t>
  </si>
  <si>
    <t>Сладкая жизнь Плюс ООО</t>
  </si>
  <si>
    <t>продажи rka с SO - Spar, Smart, зоопторг, авокадо</t>
  </si>
  <si>
    <t>Сладкая Жизнь Плюс ООО (Москва)</t>
  </si>
  <si>
    <t>ASM MOS Food Trade+Sorso</t>
  </si>
  <si>
    <t>СОРСО-СТР ООО</t>
  </si>
  <si>
    <t>TSL MOS Cheboksary</t>
  </si>
  <si>
    <t>TSL MOS  Moscow 2 Sladkaya Zhizn</t>
  </si>
  <si>
    <t>продажи rka с SO - Spar, Smart, зоопторг</t>
  </si>
  <si>
    <t>TSL MOS Grocery Mos Obl AS-Market</t>
  </si>
  <si>
    <t>Фуд-Трейд ООО (Москва)</t>
  </si>
  <si>
    <t>продажи rka с SO Бетховен</t>
  </si>
  <si>
    <t>в 2026 году планируются отгрузки 108 млн</t>
  </si>
  <si>
    <t>RAL MOS SPT RKA</t>
  </si>
  <si>
    <t>4 Lapy</t>
  </si>
  <si>
    <t>4 lapy</t>
  </si>
  <si>
    <t>RAL MOS N.Novgorod</t>
  </si>
  <si>
    <t>Spar + Smart</t>
  </si>
  <si>
    <t>Зооопторг</t>
  </si>
  <si>
    <t>Фуд-Трейд ООО (Воронеж)</t>
  </si>
  <si>
    <t>Фуд-Трейд ООО (Новосибирск)</t>
  </si>
  <si>
    <t>Фуд-Трейд ООО (Пермь)</t>
  </si>
  <si>
    <t>Фуд-Трейд ООО (Самара)</t>
  </si>
  <si>
    <t>Бетховен</t>
  </si>
  <si>
    <t>TDM MOS Grocery RKA+NA Moscow North</t>
  </si>
  <si>
    <t>KADL MOS NA Vladimir</t>
  </si>
  <si>
    <t>TDM MOS Grocery RKA+NA Moscow South</t>
  </si>
  <si>
    <t>KADL MOS Grocery RKA+NA Tula+Ryazan-Kaluga</t>
  </si>
  <si>
    <t>KADL MOS NA N.Novgorod</t>
  </si>
  <si>
    <t>у Антона лидерство Магнит по всему мск региону + территория</t>
  </si>
  <si>
    <t>TR/Open</t>
  </si>
  <si>
    <t>KADL MOS Grocery RKA+NA DiscSuper Mos Obl North 2</t>
  </si>
  <si>
    <t>KADL MOS Grocery RKA+NA DiscSuper Moscow East</t>
  </si>
  <si>
    <t>KADL MOS Grocery RKA+NA Hyper Moscow North</t>
  </si>
  <si>
    <t>KADL MOS Grocery Dixy ( вакансия)</t>
  </si>
  <si>
    <t>KADL MOS Grocery Tander South</t>
  </si>
  <si>
    <t>JRAM Verniy</t>
  </si>
  <si>
    <t>TR-Project / Open</t>
  </si>
  <si>
    <t>авокадо</t>
  </si>
  <si>
    <t>Magnolia</t>
  </si>
  <si>
    <t>Open/TR</t>
  </si>
  <si>
    <t xml:space="preserve">Марий Эл </t>
  </si>
  <si>
    <t>KADL MOS WEST</t>
  </si>
  <si>
    <t>все области Москвы, у Иры нет территории, только лидерство аккаунта Пятерочка</t>
  </si>
  <si>
    <t>Авокадо</t>
  </si>
  <si>
    <t>перекмнуть продажи на наши территории</t>
  </si>
  <si>
    <t>5ка (Калининград)</t>
  </si>
  <si>
    <t>Metro (Калининград)</t>
  </si>
  <si>
    <t>Архангельская область</t>
  </si>
  <si>
    <t>HSR NOR</t>
  </si>
  <si>
    <t>ASM NOR Vector Dendi</t>
  </si>
  <si>
    <t>TSL NOR Grocery+SPT Vologda</t>
  </si>
  <si>
    <t>DDM NOR Grocery+SPT Spb Nov Pskov</t>
  </si>
  <si>
    <t>TSL NOR  SPb  North- Murmansk</t>
  </si>
  <si>
    <t>Смоленская область</t>
  </si>
  <si>
    <t>TSL Ivanovo, Smolensk</t>
  </si>
  <si>
    <t>Ивановская область</t>
  </si>
  <si>
    <t>Вологодская область</t>
  </si>
  <si>
    <t>TSL Yaroslavl, Kostroma, Tver</t>
  </si>
  <si>
    <t>Калининградская область</t>
  </si>
  <si>
    <t>TSL NOR  Kaliningrad SPT E-com SPAR</t>
  </si>
  <si>
    <t>Кан Опт ООО</t>
  </si>
  <si>
    <t>республика Карелия</t>
  </si>
  <si>
    <t>TSL NOR Len Obl</t>
  </si>
  <si>
    <t>Республика Коми</t>
  </si>
  <si>
    <t>Костромская область</t>
  </si>
  <si>
    <t>Ленинградская область</t>
  </si>
  <si>
    <t>TSL NOR SPb South</t>
  </si>
  <si>
    <t>Тверская область</t>
  </si>
  <si>
    <t>псковская область</t>
  </si>
  <si>
    <t>Мурманская область</t>
  </si>
  <si>
    <t>Ненецкий</t>
  </si>
  <si>
    <t>Новгородская область</t>
  </si>
  <si>
    <t>Ямало-Ненецкий АО, Ямальский р-н, Новый Порт п, ул Советская 20</t>
  </si>
  <si>
    <t>Ярославская область</t>
  </si>
  <si>
    <t>TDM NOR Action</t>
  </si>
  <si>
    <t>KADL NOR Arkhangelsk,  Murmansk</t>
  </si>
  <si>
    <t>KADL NOR Komi Vologda Petrozavodsk</t>
  </si>
  <si>
    <t>KADL NOR NA Ivanovo Yaroslavl Kostroma</t>
  </si>
  <si>
    <t>TDM NOR Grocery</t>
  </si>
  <si>
    <t>KADL NOR  X5</t>
  </si>
  <si>
    <t>KADL NOR Hyper SPb Novgorod Pskov</t>
  </si>
  <si>
    <t>KADL NOR NA Smolensk Tver</t>
  </si>
  <si>
    <t>KADL NOR Tander Dixy</t>
  </si>
  <si>
    <t>RKA</t>
  </si>
  <si>
    <t>Distr trade</t>
  </si>
  <si>
    <t>Execution</t>
  </si>
  <si>
    <t>Non-Skyline</t>
  </si>
  <si>
    <t>Skyline</t>
  </si>
  <si>
    <t>SO NA (w/o Chizhik)</t>
  </si>
  <si>
    <t>SO RKA (execution)</t>
  </si>
  <si>
    <t>Merch-model SO</t>
  </si>
  <si>
    <t>NA Leading</t>
  </si>
  <si>
    <t>RKA Leading</t>
  </si>
  <si>
    <t>RKA avg</t>
  </si>
  <si>
    <t>Non-Skyline avg</t>
  </si>
  <si>
    <t>Skyline avg</t>
  </si>
  <si>
    <t>SO NA (w/o Chizhik) avg</t>
  </si>
  <si>
    <t>SO RKA (execution) avg</t>
  </si>
  <si>
    <t>Merch-model SO avg</t>
  </si>
  <si>
    <t>NA Leading avg</t>
  </si>
  <si>
    <t>RKA Leading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</si>
</sst>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_(* #,##0_);_(* \(#,##0\);_(* &quot;-&quot;??_);_(@_)"/>
    <numFmt numFmtId="167" formatCode="_-* #,##0.00\ _₽_-;\-* #,##0.00\ _₽_-;_-* &quot;-&quot;??\ _₽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color rgb="FF92D05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0"/>
      <color theme="1"/>
      <name val="Segoe UI"/>
      <family val="2"/>
      <charset val="204"/>
    </font>
    <font>
      <sz val="10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6">
    <xf numFmtId="0" fontId="0" fillId="0" borderId="0"/>
    <xf numFmtId="43" fontId="9" fillId="0" borderId="0" applyFont="0" applyFill="0" applyBorder="0" applyAlignment="0" applyProtection="0"/>
    <xf numFmtId="0" fontId="4" fillId="0" borderId="0"/>
    <xf numFmtId="0" fontId="2" fillId="0" borderId="0"/>
    <xf numFmtId="0" fontId="9" fillId="0" borderId="0"/>
    <xf numFmtId="43" fontId="2" fillId="0" borderId="0" applyFont="0" applyFill="0" applyBorder="0" applyAlignment="0" applyProtection="0"/>
  </cellStyleXfs>
  <cellXfs count="40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2" xfId="0" applyBorder="1" applyAlignment="1">
      <alignment horizontal="center" wrapText="1"/>
    </xf>
    <xf numFmtId="0" fontId="0" fillId="2" borderId="13" xfId="0" applyFill="1" applyBorder="1" applyAlignment="1">
      <alignment horizontal="center" wrapText="1"/>
    </xf>
    <xf numFmtId="0" fontId="0" fillId="2" borderId="13" xfId="0" applyFill="1" applyBorder="1" applyAlignment="1">
      <alignment wrapText="1"/>
    </xf>
    <xf numFmtId="0" fontId="0" fillId="2" borderId="10" xfId="0" applyFill="1" applyBorder="1" applyAlignment="1">
      <alignment wrapText="1"/>
    </xf>
    <xf numFmtId="0" fontId="0" fillId="2" borderId="12" xfId="0" applyFill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2" borderId="16" xfId="0" applyFill="1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2" borderId="17" xfId="0" applyFill="1" applyBorder="1" applyAlignment="1">
      <alignment wrapText="1"/>
    </xf>
    <xf numFmtId="0" fontId="0" fillId="2" borderId="14" xfId="0" applyFill="1" applyBorder="1" applyAlignment="1">
      <alignment wrapText="1"/>
    </xf>
    <xf numFmtId="0" fontId="0" fillId="2" borderId="15" xfId="0" applyFill="1" applyBorder="1" applyAlignment="1">
      <alignment wrapText="1"/>
    </xf>
    <xf numFmtId="0" fontId="0" fillId="2" borderId="16" xfId="0" applyFill="1" applyBorder="1" applyAlignment="1">
      <alignment wrapText="1"/>
    </xf>
    <xf numFmtId="0" fontId="0" fillId="2" borderId="17" xfId="0" applyFill="1" applyBorder="1" applyAlignment="1">
      <alignment horizontal="center" wrapText="1"/>
    </xf>
    <xf numFmtId="0" fontId="0" fillId="0" borderId="17" xfId="0" applyBorder="1" applyAlignment="1">
      <alignment wrapText="1"/>
    </xf>
    <xf numFmtId="0" fontId="0" fillId="0" borderId="16" xfId="0" applyBorder="1" applyAlignment="1">
      <alignment horizontal="center"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2" borderId="18" xfId="0" applyFill="1" applyBorder="1" applyAlignment="1">
      <alignment wrapText="1"/>
    </xf>
    <xf numFmtId="0" fontId="0" fillId="2" borderId="20" xfId="0" applyFill="1" applyBorder="1" applyAlignment="1">
      <alignment horizontal="center" wrapText="1"/>
    </xf>
    <xf numFmtId="0" fontId="0" fillId="2" borderId="21" xfId="0" applyFill="1" applyBorder="1" applyAlignment="1">
      <alignment horizontal="center" wrapText="1"/>
    </xf>
    <xf numFmtId="0" fontId="0" fillId="0" borderId="21" xfId="0" applyBorder="1" applyAlignment="1">
      <alignment wrapText="1"/>
    </xf>
    <xf numFmtId="0" fontId="0" fillId="2" borderId="20" xfId="0" applyFill="1" applyBorder="1" applyAlignment="1">
      <alignment wrapText="1"/>
    </xf>
    <xf numFmtId="0" fontId="5" fillId="0" borderId="0" xfId="0" applyFont="1"/>
    <xf numFmtId="0" fontId="8" fillId="0" borderId="0" xfId="0" applyFont="1"/>
    <xf numFmtId="0" fontId="0" fillId="2" borderId="11" xfId="0" applyFill="1" applyBorder="1" applyAlignment="1">
      <alignment wrapText="1"/>
    </xf>
    <xf numFmtId="0" fontId="5" fillId="3" borderId="0" xfId="0" applyFont="1" applyFill="1" applyAlignment="1">
      <alignment wrapText="1"/>
    </xf>
    <xf numFmtId="0" fontId="0" fillId="0" borderId="22" xfId="0" applyBorder="1" applyAlignment="1">
      <alignment wrapText="1"/>
    </xf>
    <xf numFmtId="0" fontId="0" fillId="0" borderId="24" xfId="0" applyBorder="1" applyAlignment="1">
      <alignment wrapText="1"/>
    </xf>
    <xf numFmtId="0" fontId="5" fillId="0" borderId="23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164" fontId="0" fillId="0" borderId="24" xfId="1" applyNumberFormat="1" applyFont="1" applyBorder="1" applyAlignment="1">
      <alignment wrapText="1"/>
    </xf>
    <xf numFmtId="164" fontId="0" fillId="0" borderId="22" xfId="1" applyNumberFormat="1" applyFont="1" applyBorder="1" applyAlignment="1">
      <alignment wrapText="1"/>
    </xf>
    <xf numFmtId="165" fontId="0" fillId="0" borderId="24" xfId="1" applyNumberFormat="1" applyFont="1" applyBorder="1" applyAlignment="1">
      <alignment wrapText="1"/>
    </xf>
    <xf numFmtId="165" fontId="0" fillId="0" borderId="22" xfId="1" applyNumberFormat="1" applyFont="1" applyBorder="1" applyAlignment="1">
      <alignment wrapText="1"/>
    </xf>
    <xf numFmtId="0" fontId="0" fillId="0" borderId="24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164" fontId="0" fillId="0" borderId="22" xfId="1" applyNumberFormat="1" applyFont="1" applyFill="1" applyBorder="1" applyAlignment="1">
      <alignment wrapText="1"/>
    </xf>
    <xf numFmtId="165" fontId="0" fillId="0" borderId="22" xfId="1" applyNumberFormat="1" applyFont="1" applyFill="1" applyBorder="1" applyAlignment="1">
      <alignment wrapText="1"/>
    </xf>
    <xf numFmtId="165" fontId="0" fillId="0" borderId="22" xfId="0" applyNumberFormat="1" applyBorder="1" applyAlignment="1">
      <alignment wrapText="1"/>
    </xf>
    <xf numFmtId="43" fontId="0" fillId="0" borderId="0" xfId="1" applyFont="1" applyAlignment="1">
      <alignment wrapText="1"/>
    </xf>
    <xf numFmtId="164" fontId="0" fillId="0" borderId="24" xfId="1" applyNumberFormat="1" applyFont="1" applyFill="1" applyBorder="1" applyAlignment="1">
      <alignment wrapText="1"/>
    </xf>
    <xf numFmtId="0" fontId="0" fillId="0" borderId="25" xfId="0" applyBorder="1" applyAlignment="1">
      <alignment wrapText="1"/>
    </xf>
    <xf numFmtId="0" fontId="0" fillId="0" borderId="25" xfId="0" applyBorder="1" applyAlignment="1">
      <alignment horizontal="center" wrapText="1"/>
    </xf>
    <xf numFmtId="165" fontId="0" fillId="0" borderId="25" xfId="1" applyNumberFormat="1" applyFont="1" applyBorder="1" applyAlignment="1">
      <alignment wrapText="1"/>
    </xf>
    <xf numFmtId="0" fontId="0" fillId="0" borderId="27" xfId="0" applyBorder="1" applyAlignment="1">
      <alignment wrapText="1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27" xfId="0" applyBorder="1" applyAlignment="1">
      <alignment horizontal="center" wrapText="1"/>
    </xf>
    <xf numFmtId="165" fontId="0" fillId="0" borderId="29" xfId="1" applyNumberFormat="1" applyFont="1" applyBorder="1" applyAlignment="1">
      <alignment wrapText="1"/>
    </xf>
    <xf numFmtId="165" fontId="0" fillId="0" borderId="30" xfId="1" applyNumberFormat="1" applyFont="1" applyBorder="1" applyAlignment="1">
      <alignment wrapText="1"/>
    </xf>
    <xf numFmtId="165" fontId="0" fillId="0" borderId="27" xfId="1" applyNumberFormat="1" applyFont="1" applyBorder="1" applyAlignment="1">
      <alignment wrapText="1"/>
    </xf>
    <xf numFmtId="165" fontId="0" fillId="0" borderId="28" xfId="1" applyNumberFormat="1" applyFont="1" applyBorder="1" applyAlignment="1">
      <alignment wrapText="1"/>
    </xf>
    <xf numFmtId="0" fontId="12" fillId="3" borderId="0" xfId="0" applyFont="1" applyFill="1" applyAlignment="1">
      <alignment wrapText="1"/>
    </xf>
    <xf numFmtId="0" fontId="13" fillId="4" borderId="0" xfId="0" applyFont="1" applyFill="1" applyAlignment="1">
      <alignment wrapText="1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33" xfId="0" applyFont="1" applyBorder="1"/>
    <xf numFmtId="0" fontId="13" fillId="0" borderId="34" xfId="0" applyFont="1" applyBorder="1"/>
    <xf numFmtId="0" fontId="13" fillId="0" borderId="34" xfId="0" applyFont="1" applyBorder="1" applyAlignment="1">
      <alignment wrapText="1"/>
    </xf>
    <xf numFmtId="0" fontId="13" fillId="0" borderId="7" xfId="0" applyFont="1" applyBorder="1"/>
    <xf numFmtId="165" fontId="13" fillId="0" borderId="7" xfId="1" applyNumberFormat="1" applyFont="1" applyBorder="1"/>
    <xf numFmtId="0" fontId="13" fillId="0" borderId="8" xfId="0" applyFont="1" applyBorder="1"/>
    <xf numFmtId="0" fontId="13" fillId="0" borderId="0" xfId="0" applyFont="1"/>
    <xf numFmtId="0" fontId="13" fillId="0" borderId="35" xfId="0" applyFont="1" applyBorder="1"/>
    <xf numFmtId="0" fontId="13" fillId="0" borderId="22" xfId="0" applyFont="1" applyBorder="1"/>
    <xf numFmtId="0" fontId="13" fillId="0" borderId="22" xfId="0" applyFont="1" applyBorder="1" applyAlignment="1">
      <alignment wrapText="1"/>
    </xf>
    <xf numFmtId="165" fontId="13" fillId="0" borderId="0" xfId="1" applyNumberFormat="1" applyFont="1" applyBorder="1"/>
    <xf numFmtId="0" fontId="13" fillId="0" borderId="5" xfId="0" applyFont="1" applyBorder="1"/>
    <xf numFmtId="0" fontId="13" fillId="0" borderId="36" xfId="0" applyFont="1" applyBorder="1"/>
    <xf numFmtId="0" fontId="13" fillId="0" borderId="37" xfId="0" applyFont="1" applyBorder="1"/>
    <xf numFmtId="0" fontId="13" fillId="0" borderId="37" xfId="0" applyFont="1" applyBorder="1" applyAlignment="1">
      <alignment wrapText="1"/>
    </xf>
    <xf numFmtId="0" fontId="13" fillId="0" borderId="38" xfId="0" applyFont="1" applyBorder="1"/>
    <xf numFmtId="165" fontId="13" fillId="0" borderId="38" xfId="1" applyNumberFormat="1" applyFont="1" applyBorder="1"/>
    <xf numFmtId="0" fontId="13" fillId="0" borderId="39" xfId="0" applyFont="1" applyBorder="1"/>
    <xf numFmtId="0" fontId="13" fillId="2" borderId="0" xfId="0" applyFont="1" applyFill="1"/>
    <xf numFmtId="0" fontId="13" fillId="0" borderId="42" xfId="0" applyFont="1" applyBorder="1"/>
    <xf numFmtId="0" fontId="14" fillId="0" borderId="42" xfId="0" applyFont="1" applyBorder="1"/>
    <xf numFmtId="0" fontId="15" fillId="0" borderId="42" xfId="0" applyFont="1" applyBorder="1"/>
    <xf numFmtId="165" fontId="13" fillId="0" borderId="7" xfId="1" applyNumberFormat="1" applyFont="1" applyFill="1" applyBorder="1"/>
    <xf numFmtId="165" fontId="13" fillId="0" borderId="0" xfId="1" applyNumberFormat="1" applyFont="1" applyFill="1" applyBorder="1"/>
    <xf numFmtId="0" fontId="13" fillId="0" borderId="44" xfId="0" applyFont="1" applyBorder="1"/>
    <xf numFmtId="0" fontId="13" fillId="0" borderId="45" xfId="0" applyFont="1" applyBorder="1"/>
    <xf numFmtId="0" fontId="14" fillId="0" borderId="45" xfId="0" applyFont="1" applyBorder="1"/>
    <xf numFmtId="0" fontId="15" fillId="0" borderId="45" xfId="0" applyFont="1" applyBorder="1"/>
    <xf numFmtId="166" fontId="15" fillId="0" borderId="7" xfId="0" applyNumberFormat="1" applyFont="1" applyBorder="1" applyAlignment="1">
      <alignment horizontal="center"/>
    </xf>
    <xf numFmtId="43" fontId="13" fillId="0" borderId="7" xfId="1" applyFont="1" applyFill="1" applyBorder="1"/>
    <xf numFmtId="43" fontId="15" fillId="0" borderId="7" xfId="1" applyFont="1" applyFill="1" applyBorder="1"/>
    <xf numFmtId="0" fontId="15" fillId="0" borderId="7" xfId="0" applyFont="1" applyBorder="1"/>
    <xf numFmtId="0" fontId="15" fillId="0" borderId="8" xfId="0" applyFont="1" applyBorder="1"/>
    <xf numFmtId="0" fontId="13" fillId="0" borderId="47" xfId="0" applyFont="1" applyBorder="1"/>
    <xf numFmtId="0" fontId="13" fillId="0" borderId="0" xfId="0" applyFont="1" applyAlignment="1">
      <alignment horizontal="center"/>
    </xf>
    <xf numFmtId="166" fontId="15" fillId="0" borderId="0" xfId="0" applyNumberFormat="1" applyFont="1" applyAlignment="1">
      <alignment horizontal="center"/>
    </xf>
    <xf numFmtId="166" fontId="13" fillId="0" borderId="0" xfId="0" applyNumberFormat="1" applyFont="1" applyAlignment="1">
      <alignment horizontal="center"/>
    </xf>
    <xf numFmtId="43" fontId="13" fillId="0" borderId="0" xfId="1" applyFont="1" applyFill="1" applyBorder="1"/>
    <xf numFmtId="43" fontId="15" fillId="0" borderId="0" xfId="1" applyFont="1" applyFill="1" applyBorder="1"/>
    <xf numFmtId="0" fontId="15" fillId="0" borderId="0" xfId="0" applyFont="1"/>
    <xf numFmtId="0" fontId="15" fillId="0" borderId="5" xfId="0" applyFont="1" applyBorder="1"/>
    <xf numFmtId="166" fontId="11" fillId="0" borderId="0" xfId="0" applyNumberFormat="1" applyFont="1" applyAlignment="1">
      <alignment horizontal="center"/>
    </xf>
    <xf numFmtId="0" fontId="11" fillId="0" borderId="0" xfId="0" applyFont="1"/>
    <xf numFmtId="0" fontId="11" fillId="0" borderId="5" xfId="0" applyFont="1" applyBorder="1"/>
    <xf numFmtId="0" fontId="13" fillId="0" borderId="48" xfId="0" applyFont="1" applyBorder="1"/>
    <xf numFmtId="0" fontId="13" fillId="0" borderId="49" xfId="0" applyFont="1" applyBorder="1"/>
    <xf numFmtId="0" fontId="14" fillId="0" borderId="49" xfId="0" applyFont="1" applyBorder="1"/>
    <xf numFmtId="0" fontId="15" fillId="0" borderId="49" xfId="0" applyFont="1" applyBorder="1"/>
    <xf numFmtId="166" fontId="11" fillId="0" borderId="38" xfId="0" applyNumberFormat="1" applyFont="1" applyBorder="1" applyAlignment="1">
      <alignment horizontal="center"/>
    </xf>
    <xf numFmtId="166" fontId="13" fillId="0" borderId="38" xfId="0" applyNumberFormat="1" applyFont="1" applyBorder="1" applyAlignment="1">
      <alignment horizontal="center"/>
    </xf>
    <xf numFmtId="43" fontId="13" fillId="0" borderId="38" xfId="1" applyFont="1" applyFill="1" applyBorder="1"/>
    <xf numFmtId="0" fontId="11" fillId="0" borderId="38" xfId="0" applyFont="1" applyBorder="1"/>
    <xf numFmtId="0" fontId="11" fillId="0" borderId="39" xfId="0" applyFont="1" applyBorder="1"/>
    <xf numFmtId="0" fontId="13" fillId="0" borderId="7" xfId="1" applyNumberFormat="1" applyFont="1" applyFill="1" applyBorder="1"/>
    <xf numFmtId="0" fontId="13" fillId="0" borderId="0" xfId="1" applyNumberFormat="1" applyFont="1" applyFill="1" applyBorder="1"/>
    <xf numFmtId="0" fontId="0" fillId="0" borderId="29" xfId="0" applyBorder="1" applyAlignment="1">
      <alignment wrapText="1"/>
    </xf>
    <xf numFmtId="0" fontId="0" fillId="0" borderId="26" xfId="0" applyBorder="1" applyAlignment="1">
      <alignment wrapText="1"/>
    </xf>
    <xf numFmtId="0" fontId="0" fillId="0" borderId="29" xfId="0" applyBorder="1"/>
    <xf numFmtId="165" fontId="0" fillId="0" borderId="26" xfId="1" applyNumberFormat="1" applyFont="1" applyBorder="1" applyAlignment="1">
      <alignment wrapText="1"/>
    </xf>
    <xf numFmtId="165" fontId="0" fillId="0" borderId="31" xfId="1" applyNumberFormat="1" applyFont="1" applyBorder="1" applyAlignment="1">
      <alignment wrapText="1"/>
    </xf>
    <xf numFmtId="165" fontId="0" fillId="0" borderId="32" xfId="1" applyNumberFormat="1" applyFont="1" applyBorder="1" applyAlignment="1">
      <alignment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5" borderId="10" xfId="0" applyFill="1" applyBorder="1" applyAlignment="1">
      <alignment wrapText="1"/>
    </xf>
    <xf numFmtId="0" fontId="0" fillId="5" borderId="12" xfId="0" applyFill="1" applyBorder="1" applyAlignment="1">
      <alignment wrapText="1"/>
    </xf>
    <xf numFmtId="0" fontId="0" fillId="5" borderId="14" xfId="0" applyFill="1" applyBorder="1" applyAlignment="1">
      <alignment wrapText="1"/>
    </xf>
    <xf numFmtId="0" fontId="0" fillId="5" borderId="16" xfId="0" applyFill="1" applyBorder="1" applyAlignment="1">
      <alignment wrapText="1"/>
    </xf>
    <xf numFmtId="0" fontId="0" fillId="5" borderId="18" xfId="0" applyFill="1" applyBorder="1" applyAlignment="1">
      <alignment wrapText="1"/>
    </xf>
    <xf numFmtId="0" fontId="0" fillId="5" borderId="20" xfId="0" applyFill="1" applyBorder="1" applyAlignment="1">
      <alignment wrapText="1"/>
    </xf>
    <xf numFmtId="0" fontId="0" fillId="5" borderId="0" xfId="0" applyFill="1" applyAlignment="1">
      <alignment wrapText="1"/>
    </xf>
    <xf numFmtId="165" fontId="0" fillId="0" borderId="29" xfId="1" applyNumberFormat="1" applyFont="1" applyFill="1" applyBorder="1" applyAlignment="1">
      <alignment wrapText="1"/>
    </xf>
    <xf numFmtId="165" fontId="0" fillId="0" borderId="26" xfId="1" applyNumberFormat="1" applyFont="1" applyFill="1" applyBorder="1" applyAlignment="1">
      <alignment wrapText="1"/>
    </xf>
    <xf numFmtId="165" fontId="0" fillId="0" borderId="27" xfId="1" applyNumberFormat="1" applyFont="1" applyFill="1" applyBorder="1" applyAlignment="1">
      <alignment wrapText="1"/>
    </xf>
    <xf numFmtId="165" fontId="0" fillId="0" borderId="28" xfId="1" applyNumberFormat="1" applyFont="1" applyFill="1" applyBorder="1" applyAlignment="1">
      <alignment wrapText="1"/>
    </xf>
    <xf numFmtId="165" fontId="0" fillId="0" borderId="25" xfId="1" applyNumberFormat="1" applyFont="1" applyFill="1" applyBorder="1" applyAlignment="1">
      <alignment wrapText="1"/>
    </xf>
    <xf numFmtId="165" fontId="0" fillId="0" borderId="30" xfId="1" applyNumberFormat="1" applyFont="1" applyFill="1" applyBorder="1" applyAlignment="1">
      <alignment wrapText="1"/>
    </xf>
    <xf numFmtId="165" fontId="0" fillId="0" borderId="0" xfId="0" applyNumberFormat="1" applyAlignment="1">
      <alignment wrapText="1"/>
    </xf>
    <xf numFmtId="165" fontId="0" fillId="0" borderId="24" xfId="1" applyNumberFormat="1" applyFont="1" applyFill="1" applyBorder="1" applyAlignment="1">
      <alignment wrapText="1"/>
    </xf>
    <xf numFmtId="3" fontId="0" fillId="0" borderId="22" xfId="1" applyNumberFormat="1" applyFont="1" applyBorder="1" applyAlignment="1">
      <alignment wrapText="1"/>
    </xf>
    <xf numFmtId="3" fontId="0" fillId="0" borderId="22" xfId="0" applyNumberFormat="1" applyBorder="1" applyAlignment="1">
      <alignment wrapText="1"/>
    </xf>
    <xf numFmtId="3" fontId="0" fillId="0" borderId="22" xfId="1" applyNumberFormat="1" applyFont="1" applyFill="1" applyBorder="1" applyAlignment="1">
      <alignment wrapText="1"/>
    </xf>
    <xf numFmtId="0" fontId="5" fillId="3" borderId="0" xfId="0" applyFont="1" applyFill="1"/>
    <xf numFmtId="0" fontId="0" fillId="0" borderId="0" xfId="0" applyAlignment="1">
      <alignment horizontal="center" vertical="center"/>
    </xf>
    <xf numFmtId="0" fontId="0" fillId="0" borderId="22" xfId="0" applyBorder="1"/>
    <xf numFmtId="3" fontId="0" fillId="0" borderId="51" xfId="0" applyNumberFormat="1" applyBorder="1" applyAlignment="1">
      <alignment wrapText="1"/>
    </xf>
    <xf numFmtId="0" fontId="0" fillId="0" borderId="35" xfId="0" applyBorder="1"/>
    <xf numFmtId="0" fontId="0" fillId="0" borderId="52" xfId="0" applyBorder="1" applyAlignment="1">
      <alignment horizontal="center" vertical="center"/>
    </xf>
    <xf numFmtId="0" fontId="0" fillId="0" borderId="52" xfId="0" applyBorder="1"/>
    <xf numFmtId="0" fontId="4" fillId="0" borderId="35" xfId="2" applyBorder="1"/>
    <xf numFmtId="0" fontId="4" fillId="0" borderId="36" xfId="2" applyBorder="1"/>
    <xf numFmtId="0" fontId="0" fillId="0" borderId="37" xfId="0" applyBorder="1"/>
    <xf numFmtId="0" fontId="0" fillId="0" borderId="37" xfId="0" applyBorder="1" applyAlignment="1">
      <alignment horizontal="center" wrapText="1"/>
    </xf>
    <xf numFmtId="0" fontId="0" fillId="0" borderId="53" xfId="0" applyBorder="1"/>
    <xf numFmtId="0" fontId="0" fillId="0" borderId="54" xfId="0" applyBorder="1"/>
    <xf numFmtId="0" fontId="0" fillId="0" borderId="24" xfId="0" applyBorder="1"/>
    <xf numFmtId="0" fontId="0" fillId="0" borderId="55" xfId="0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0" fillId="0" borderId="60" xfId="0" applyBorder="1"/>
    <xf numFmtId="0" fontId="0" fillId="0" borderId="61" xfId="0" applyBorder="1"/>
    <xf numFmtId="0" fontId="4" fillId="0" borderId="61" xfId="2" applyBorder="1"/>
    <xf numFmtId="0" fontId="4" fillId="0" borderId="62" xfId="2" applyBorder="1"/>
    <xf numFmtId="0" fontId="5" fillId="0" borderId="56" xfId="0" applyFont="1" applyBorder="1" applyAlignment="1">
      <alignment horizontal="center" vertical="center" wrapText="1"/>
    </xf>
    <xf numFmtId="0" fontId="0" fillId="0" borderId="54" xfId="0" applyBorder="1" applyAlignment="1">
      <alignment horizontal="center" wrapText="1"/>
    </xf>
    <xf numFmtId="0" fontId="0" fillId="0" borderId="35" xfId="0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3" fontId="0" fillId="0" borderId="35" xfId="1" applyNumberFormat="1" applyFont="1" applyFill="1" applyBorder="1" applyAlignment="1">
      <alignment wrapText="1"/>
    </xf>
    <xf numFmtId="3" fontId="0" fillId="0" borderId="52" xfId="1" applyNumberFormat="1" applyFont="1" applyFill="1" applyBorder="1" applyAlignment="1">
      <alignment wrapText="1"/>
    </xf>
    <xf numFmtId="3" fontId="0" fillId="0" borderId="35" xfId="0" applyNumberFormat="1" applyBorder="1" applyAlignment="1">
      <alignment wrapText="1"/>
    </xf>
    <xf numFmtId="3" fontId="0" fillId="0" borderId="52" xfId="1" applyNumberFormat="1" applyFont="1" applyBorder="1" applyAlignment="1">
      <alignment wrapText="1"/>
    </xf>
    <xf numFmtId="3" fontId="0" fillId="0" borderId="35" xfId="1" applyNumberFormat="1" applyFont="1" applyBorder="1" applyAlignment="1">
      <alignment wrapText="1"/>
    </xf>
    <xf numFmtId="3" fontId="0" fillId="0" borderId="36" xfId="0" applyNumberFormat="1" applyBorder="1" applyAlignment="1">
      <alignment wrapText="1"/>
    </xf>
    <xf numFmtId="3" fontId="0" fillId="0" borderId="53" xfId="1" applyNumberFormat="1" applyFont="1" applyBorder="1" applyAlignment="1">
      <alignment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3" fontId="0" fillId="0" borderId="36" xfId="1" applyNumberFormat="1" applyFont="1" applyBorder="1" applyAlignment="1">
      <alignment wrapText="1"/>
    </xf>
    <xf numFmtId="3" fontId="0" fillId="0" borderId="37" xfId="1" applyNumberFormat="1" applyFont="1" applyBorder="1" applyAlignment="1">
      <alignment wrapText="1"/>
    </xf>
    <xf numFmtId="3" fontId="0" fillId="0" borderId="52" xfId="0" applyNumberFormat="1" applyBorder="1" applyAlignment="1">
      <alignment wrapText="1"/>
    </xf>
    <xf numFmtId="3" fontId="0" fillId="0" borderId="37" xfId="0" applyNumberFormat="1" applyBorder="1" applyAlignment="1">
      <alignment wrapText="1"/>
    </xf>
    <xf numFmtId="3" fontId="0" fillId="0" borderId="53" xfId="0" applyNumberFormat="1" applyBorder="1" applyAlignment="1">
      <alignment wrapText="1"/>
    </xf>
    <xf numFmtId="3" fontId="0" fillId="0" borderId="61" xfId="0" applyNumberFormat="1" applyBorder="1" applyAlignment="1">
      <alignment wrapText="1"/>
    </xf>
    <xf numFmtId="3" fontId="0" fillId="0" borderId="61" xfId="1" applyNumberFormat="1" applyFont="1" applyFill="1" applyBorder="1" applyAlignment="1">
      <alignment wrapText="1"/>
    </xf>
    <xf numFmtId="3" fontId="0" fillId="0" borderId="62" xfId="0" applyNumberFormat="1" applyBorder="1" applyAlignment="1">
      <alignment wrapText="1"/>
    </xf>
    <xf numFmtId="3" fontId="0" fillId="0" borderId="63" xfId="0" applyNumberFormat="1" applyBorder="1" applyAlignment="1">
      <alignment wrapText="1"/>
    </xf>
    <xf numFmtId="3" fontId="0" fillId="0" borderId="17" xfId="0" applyNumberFormat="1" applyBorder="1" applyAlignment="1">
      <alignment wrapText="1"/>
    </xf>
    <xf numFmtId="3" fontId="0" fillId="0" borderId="21" xfId="0" applyNumberFormat="1" applyBorder="1" applyAlignment="1">
      <alignment wrapText="1"/>
    </xf>
    <xf numFmtId="165" fontId="0" fillId="0" borderId="0" xfId="0" applyNumberFormat="1"/>
    <xf numFmtId="0" fontId="5" fillId="7" borderId="0" xfId="0" applyFont="1" applyFill="1"/>
    <xf numFmtId="165" fontId="0" fillId="0" borderId="0" xfId="1" applyNumberFormat="1" applyFont="1" applyBorder="1"/>
    <xf numFmtId="165" fontId="5" fillId="0" borderId="0" xfId="1" applyNumberFormat="1" applyFont="1"/>
    <xf numFmtId="165" fontId="5" fillId="2" borderId="64" xfId="1" applyNumberFormat="1" applyFont="1" applyFill="1" applyBorder="1" applyAlignment="1">
      <alignment wrapText="1"/>
    </xf>
    <xf numFmtId="165" fontId="5" fillId="2" borderId="0" xfId="1" applyNumberFormat="1" applyFont="1" applyFill="1" applyBorder="1"/>
    <xf numFmtId="165" fontId="0" fillId="0" borderId="0" xfId="1" applyNumberFormat="1" applyFont="1"/>
    <xf numFmtId="165" fontId="5" fillId="0" borderId="0" xfId="1" applyNumberFormat="1" applyFont="1" applyFill="1"/>
    <xf numFmtId="0" fontId="0" fillId="0" borderId="64" xfId="0" applyBorder="1"/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5" fillId="0" borderId="66" xfId="0" applyFont="1" applyBorder="1" applyAlignment="1">
      <alignment horizontal="center" vertical="center" wrapText="1"/>
    </xf>
    <xf numFmtId="0" fontId="5" fillId="0" borderId="6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68" xfId="0" applyFont="1" applyBorder="1" applyAlignment="1">
      <alignment horizontal="center" vertical="center" wrapText="1"/>
    </xf>
    <xf numFmtId="0" fontId="5" fillId="0" borderId="69" xfId="0" applyFont="1" applyBorder="1" applyAlignment="1">
      <alignment horizontal="center" vertical="center" wrapText="1"/>
    </xf>
    <xf numFmtId="165" fontId="5" fillId="0" borderId="2" xfId="1" applyNumberFormat="1" applyFont="1" applyFill="1" applyBorder="1" applyAlignment="1">
      <alignment horizontal="center" vertical="center" wrapText="1"/>
    </xf>
    <xf numFmtId="165" fontId="0" fillId="0" borderId="64" xfId="1" applyNumberFormat="1" applyFont="1" applyBorder="1"/>
    <xf numFmtId="164" fontId="0" fillId="0" borderId="64" xfId="1" applyNumberFormat="1" applyFont="1" applyBorder="1"/>
    <xf numFmtId="164" fontId="0" fillId="0" borderId="0" xfId="1" applyNumberFormat="1" applyFont="1"/>
    <xf numFmtId="164" fontId="0" fillId="0" borderId="65" xfId="1" applyNumberFormat="1" applyFont="1" applyBorder="1"/>
    <xf numFmtId="165" fontId="0" fillId="0" borderId="0" xfId="1" applyNumberFormat="1" applyFont="1" applyFill="1"/>
    <xf numFmtId="165" fontId="0" fillId="0" borderId="64" xfId="1" applyNumberFormat="1" applyFont="1" applyFill="1" applyBorder="1"/>
    <xf numFmtId="164" fontId="0" fillId="0" borderId="64" xfId="1" applyNumberFormat="1" applyFont="1" applyFill="1" applyBorder="1"/>
    <xf numFmtId="164" fontId="0" fillId="0" borderId="0" xfId="1" applyNumberFormat="1" applyFont="1" applyFill="1"/>
    <xf numFmtId="164" fontId="0" fillId="0" borderId="65" xfId="1" applyNumberFormat="1" applyFont="1" applyFill="1" applyBorder="1"/>
    <xf numFmtId="0" fontId="0" fillId="0" borderId="65" xfId="0" applyBorder="1"/>
    <xf numFmtId="43" fontId="0" fillId="0" borderId="0" xfId="1" applyFont="1"/>
    <xf numFmtId="0" fontId="0" fillId="0" borderId="70" xfId="0" applyBorder="1"/>
    <xf numFmtId="165" fontId="0" fillId="0" borderId="71" xfId="1" applyNumberFormat="1" applyFont="1" applyBorder="1"/>
    <xf numFmtId="165" fontId="0" fillId="0" borderId="70" xfId="1" applyNumberFormat="1" applyFont="1" applyBorder="1"/>
    <xf numFmtId="0" fontId="0" fillId="0" borderId="71" xfId="0" applyBorder="1"/>
    <xf numFmtId="0" fontId="0" fillId="0" borderId="72" xfId="0" applyBorder="1"/>
    <xf numFmtId="165" fontId="0" fillId="0" borderId="70" xfId="1" applyNumberFormat="1" applyFont="1" applyFill="1" applyBorder="1"/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6" fillId="9" borderId="9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9" borderId="7" xfId="0" applyFont="1" applyFill="1" applyBorder="1" applyAlignment="1">
      <alignment horizontal="center" vertical="center" wrapText="1"/>
    </xf>
    <xf numFmtId="0" fontId="16" fillId="9" borderId="6" xfId="0" applyFont="1" applyFill="1" applyBorder="1" applyAlignment="1">
      <alignment horizontal="center" vertical="center" wrapText="1"/>
    </xf>
    <xf numFmtId="0" fontId="16" fillId="9" borderId="8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22" xfId="0" applyBorder="1" applyAlignment="1">
      <alignment horizontal="center"/>
    </xf>
    <xf numFmtId="165" fontId="0" fillId="0" borderId="22" xfId="1" applyNumberFormat="1" applyFont="1" applyBorder="1" applyAlignment="1"/>
    <xf numFmtId="165" fontId="0" fillId="0" borderId="22" xfId="1" applyNumberFormat="1" applyFont="1" applyFill="1" applyBorder="1" applyAlignment="1"/>
    <xf numFmtId="165" fontId="0" fillId="0" borderId="22" xfId="0" applyNumberFormat="1" applyBorder="1"/>
    <xf numFmtId="165" fontId="0" fillId="0" borderId="22" xfId="1" applyNumberFormat="1" applyFont="1" applyFill="1" applyBorder="1" applyAlignment="1">
      <alignment horizontal="center" vertical="center"/>
    </xf>
    <xf numFmtId="165" fontId="0" fillId="10" borderId="22" xfId="1" applyNumberFormat="1" applyFont="1" applyFill="1" applyBorder="1" applyAlignment="1"/>
    <xf numFmtId="165" fontId="17" fillId="0" borderId="22" xfId="0" applyNumberFormat="1" applyFont="1" applyBorder="1"/>
    <xf numFmtId="165" fontId="18" fillId="11" borderId="22" xfId="1" applyNumberFormat="1" applyFont="1" applyFill="1" applyBorder="1" applyAlignment="1"/>
    <xf numFmtId="0" fontId="0" fillId="8" borderId="22" xfId="0" applyFill="1" applyBorder="1"/>
    <xf numFmtId="165" fontId="19" fillId="0" borderId="22" xfId="0" applyNumberFormat="1" applyFont="1" applyBorder="1"/>
    <xf numFmtId="0" fontId="0" fillId="12" borderId="22" xfId="0" applyFill="1" applyBorder="1"/>
    <xf numFmtId="0" fontId="16" fillId="0" borderId="22" xfId="0" applyFont="1" applyBorder="1" applyAlignment="1">
      <alignment horizontal="center" vertical="center"/>
    </xf>
    <xf numFmtId="43" fontId="0" fillId="0" borderId="22" xfId="1" applyFont="1" applyBorder="1" applyAlignment="1">
      <alignment horizontal="center"/>
    </xf>
    <xf numFmtId="43" fontId="0" fillId="0" borderId="22" xfId="1" applyFont="1" applyFill="1" applyBorder="1" applyAlignment="1"/>
    <xf numFmtId="165" fontId="0" fillId="13" borderId="22" xfId="0" applyNumberFormat="1" applyFill="1" applyBorder="1"/>
    <xf numFmtId="165" fontId="0" fillId="0" borderId="0" xfId="1" applyNumberFormat="1" applyFont="1" applyFill="1" applyBorder="1"/>
    <xf numFmtId="0" fontId="5" fillId="0" borderId="22" xfId="0" applyFont="1" applyBorder="1" applyAlignment="1">
      <alignment horizontal="center" vertical="center" wrapText="1"/>
    </xf>
    <xf numFmtId="164" fontId="0" fillId="0" borderId="22" xfId="0" applyNumberFormat="1" applyBorder="1"/>
    <xf numFmtId="0" fontId="2" fillId="0" borderId="0" xfId="3"/>
    <xf numFmtId="0" fontId="5" fillId="0" borderId="0" xfId="4" applyFont="1" applyAlignment="1">
      <alignment wrapText="1"/>
    </xf>
    <xf numFmtId="0" fontId="9" fillId="0" borderId="0" xfId="4" applyAlignment="1">
      <alignment wrapText="1"/>
    </xf>
    <xf numFmtId="0" fontId="9" fillId="5" borderId="0" xfId="4" applyFill="1" applyAlignment="1">
      <alignment horizontal="center" wrapText="1"/>
    </xf>
    <xf numFmtId="0" fontId="9" fillId="5" borderId="0" xfId="4" applyFill="1" applyAlignment="1">
      <alignment wrapText="1"/>
    </xf>
    <xf numFmtId="0" fontId="9" fillId="0" borderId="0" xfId="4" applyAlignment="1">
      <alignment horizontal="center" vertical="center" wrapText="1"/>
    </xf>
    <xf numFmtId="0" fontId="9" fillId="5" borderId="0" xfId="4" applyFill="1" applyAlignment="1">
      <alignment horizontal="center" vertical="center" wrapText="1"/>
    </xf>
    <xf numFmtId="0" fontId="5" fillId="0" borderId="6" xfId="4" applyFont="1" applyBorder="1" applyAlignment="1">
      <alignment horizontal="center" vertical="center" wrapText="1"/>
    </xf>
    <xf numFmtId="0" fontId="5" fillId="0" borderId="7" xfId="4" applyFont="1" applyBorder="1" applyAlignment="1">
      <alignment horizontal="center" vertical="center" wrapText="1"/>
    </xf>
    <xf numFmtId="0" fontId="5" fillId="0" borderId="8" xfId="4" applyFont="1" applyBorder="1" applyAlignment="1">
      <alignment horizontal="center" vertical="center" wrapText="1"/>
    </xf>
    <xf numFmtId="0" fontId="5" fillId="5" borderId="8" xfId="4" applyFont="1" applyFill="1" applyBorder="1" applyAlignment="1">
      <alignment horizontal="center" vertical="center" wrapText="1"/>
    </xf>
    <xf numFmtId="0" fontId="5" fillId="5" borderId="9" xfId="4" applyFont="1" applyFill="1" applyBorder="1" applyAlignment="1">
      <alignment horizontal="center" vertical="center" wrapText="1"/>
    </xf>
    <xf numFmtId="0" fontId="5" fillId="5" borderId="1" xfId="4" applyFont="1" applyFill="1" applyBorder="1" applyAlignment="1">
      <alignment horizontal="center" vertical="center" wrapText="1"/>
    </xf>
    <xf numFmtId="0" fontId="5" fillId="5" borderId="3" xfId="4" applyFont="1" applyFill="1" applyBorder="1" applyAlignment="1">
      <alignment horizontal="center" vertical="center" wrapText="1"/>
    </xf>
    <xf numFmtId="0" fontId="5" fillId="5" borderId="2" xfId="4" applyFont="1" applyFill="1" applyBorder="1" applyAlignment="1">
      <alignment horizontal="center" vertical="center" wrapText="1"/>
    </xf>
    <xf numFmtId="0" fontId="5" fillId="5" borderId="0" xfId="4" applyFont="1" applyFill="1" applyAlignment="1">
      <alignment horizontal="center" vertical="center" wrapText="1"/>
    </xf>
    <xf numFmtId="0" fontId="9" fillId="0" borderId="14" xfId="4" applyBorder="1" applyAlignment="1">
      <alignment wrapText="1"/>
    </xf>
    <xf numFmtId="0" fontId="9" fillId="0" borderId="15" xfId="4" applyBorder="1" applyAlignment="1">
      <alignment wrapText="1"/>
    </xf>
    <xf numFmtId="0" fontId="9" fillId="0" borderId="16" xfId="4" applyBorder="1" applyAlignment="1">
      <alignment wrapText="1"/>
    </xf>
    <xf numFmtId="0" fontId="9" fillId="0" borderId="22" xfId="4" applyBorder="1" applyAlignment="1">
      <alignment wrapText="1"/>
    </xf>
    <xf numFmtId="0" fontId="2" fillId="0" borderId="22" xfId="3" applyBorder="1"/>
    <xf numFmtId="165" fontId="0" fillId="0" borderId="22" xfId="5" applyNumberFormat="1" applyFont="1" applyBorder="1"/>
    <xf numFmtId="165" fontId="0" fillId="14" borderId="0" xfId="5" applyNumberFormat="1" applyFont="1" applyFill="1"/>
    <xf numFmtId="0" fontId="2" fillId="14" borderId="0" xfId="3" applyFill="1"/>
    <xf numFmtId="165" fontId="0" fillId="0" borderId="0" xfId="5" applyNumberFormat="1" applyFont="1"/>
    <xf numFmtId="165" fontId="16" fillId="14" borderId="0" xfId="5" applyNumberFormat="1" applyFont="1" applyFill="1"/>
    <xf numFmtId="165" fontId="2" fillId="14" borderId="0" xfId="3" applyNumberFormat="1" applyFill="1"/>
    <xf numFmtId="0" fontId="5" fillId="0" borderId="0" xfId="3" applyFont="1"/>
    <xf numFmtId="164" fontId="0" fillId="0" borderId="22" xfId="5" applyNumberFormat="1" applyFont="1" applyBorder="1"/>
    <xf numFmtId="165" fontId="2" fillId="0" borderId="0" xfId="3" applyNumberFormat="1"/>
    <xf numFmtId="0" fontId="9" fillId="0" borderId="74" xfId="4" applyBorder="1" applyAlignment="1">
      <alignment wrapText="1"/>
    </xf>
    <xf numFmtId="0" fontId="5" fillId="0" borderId="75" xfId="3" applyFont="1" applyBorder="1"/>
    <xf numFmtId="43" fontId="0" fillId="0" borderId="0" xfId="5" applyFont="1"/>
    <xf numFmtId="167" fontId="2" fillId="0" borderId="0" xfId="3" applyNumberFormat="1"/>
    <xf numFmtId="165" fontId="2" fillId="0" borderId="0" xfId="1" applyNumberFormat="1" applyFont="1"/>
    <xf numFmtId="43" fontId="2" fillId="0" borderId="0" xfId="3" applyNumberFormat="1"/>
    <xf numFmtId="0" fontId="2" fillId="5" borderId="0" xfId="3" applyFill="1"/>
    <xf numFmtId="165" fontId="9" fillId="0" borderId="4" xfId="1" applyNumberFormat="1" applyFont="1" applyBorder="1" applyAlignment="1">
      <alignment horizontal="center" vertical="center" wrapText="1"/>
    </xf>
    <xf numFmtId="165" fontId="9" fillId="0" borderId="0" xfId="1" applyNumberFormat="1" applyFont="1" applyAlignment="1">
      <alignment horizontal="center" vertical="center" wrapText="1"/>
    </xf>
    <xf numFmtId="165" fontId="9" fillId="0" borderId="5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horizontal="center" vertical="center" wrapText="1"/>
    </xf>
    <xf numFmtId="165" fontId="5" fillId="0" borderId="8" xfId="1" applyNumberFormat="1" applyFont="1" applyBorder="1" applyAlignment="1">
      <alignment horizontal="center" vertical="center" wrapText="1"/>
    </xf>
    <xf numFmtId="165" fontId="5" fillId="0" borderId="1" xfId="1" applyNumberFormat="1" applyFont="1" applyBorder="1" applyAlignment="1">
      <alignment horizontal="center" vertical="center" wrapText="1"/>
    </xf>
    <xf numFmtId="165" fontId="5" fillId="0" borderId="2" xfId="1" applyNumberFormat="1" applyFont="1" applyBorder="1" applyAlignment="1">
      <alignment horizontal="center" vertical="center" wrapText="1"/>
    </xf>
    <xf numFmtId="165" fontId="5" fillId="0" borderId="3" xfId="1" applyNumberFormat="1" applyFont="1" applyBorder="1" applyAlignment="1">
      <alignment horizontal="center" vertical="center" wrapText="1"/>
    </xf>
    <xf numFmtId="165" fontId="0" fillId="0" borderId="22" xfId="1" applyNumberFormat="1" applyFont="1" applyBorder="1"/>
    <xf numFmtId="165" fontId="0" fillId="0" borderId="65" xfId="1" applyNumberFormat="1" applyFont="1" applyBorder="1"/>
    <xf numFmtId="0" fontId="2" fillId="15" borderId="0" xfId="3" applyFill="1"/>
    <xf numFmtId="0" fontId="5" fillId="15" borderId="75" xfId="0" applyFont="1" applyFill="1" applyBorder="1"/>
    <xf numFmtId="0" fontId="9" fillId="15" borderId="15" xfId="4" applyFill="1" applyBorder="1" applyAlignment="1">
      <alignment wrapText="1"/>
    </xf>
    <xf numFmtId="0" fontId="9" fillId="15" borderId="16" xfId="4" applyFill="1" applyBorder="1" applyAlignment="1">
      <alignment wrapText="1"/>
    </xf>
    <xf numFmtId="0" fontId="0" fillId="15" borderId="0" xfId="0" applyFill="1"/>
    <xf numFmtId="165" fontId="0" fillId="15" borderId="0" xfId="5" applyNumberFormat="1" applyFont="1" applyFill="1"/>
    <xf numFmtId="165" fontId="0" fillId="15" borderId="0" xfId="1" applyNumberFormat="1" applyFont="1" applyFill="1"/>
    <xf numFmtId="0" fontId="1" fillId="15" borderId="0" xfId="3" applyFont="1" applyFill="1"/>
    <xf numFmtId="0" fontId="5" fillId="15" borderId="0" xfId="0" applyFont="1" applyFill="1"/>
    <xf numFmtId="167" fontId="2" fillId="0" borderId="22" xfId="3" applyNumberFormat="1" applyBorder="1"/>
    <xf numFmtId="165" fontId="5" fillId="5" borderId="1" xfId="1" applyNumberFormat="1" applyFont="1" applyFill="1" applyBorder="1" applyAlignment="1">
      <alignment horizontal="center" vertical="center" wrapText="1"/>
    </xf>
    <xf numFmtId="165" fontId="5" fillId="5" borderId="3" xfId="1" applyNumberFormat="1" applyFont="1" applyFill="1" applyBorder="1" applyAlignment="1">
      <alignment horizontal="center" vertical="center" wrapText="1"/>
    </xf>
    <xf numFmtId="165" fontId="0" fillId="0" borderId="4" xfId="1" applyNumberFormat="1" applyFont="1" applyBorder="1" applyAlignment="1">
      <alignment horizontal="center" vertical="center" wrapText="1"/>
    </xf>
    <xf numFmtId="165" fontId="0" fillId="0" borderId="0" xfId="1" applyNumberFormat="1" applyFont="1" applyAlignment="1">
      <alignment horizontal="center" vertical="center" wrapText="1"/>
    </xf>
    <xf numFmtId="165" fontId="0" fillId="0" borderId="5" xfId="1" applyNumberFormat="1" applyFont="1" applyBorder="1" applyAlignment="1">
      <alignment horizontal="center" vertical="center" wrapText="1"/>
    </xf>
    <xf numFmtId="165" fontId="16" fillId="0" borderId="6" xfId="1" applyNumberFormat="1" applyFont="1" applyBorder="1" applyAlignment="1">
      <alignment horizontal="center" vertical="center" wrapText="1"/>
    </xf>
    <xf numFmtId="165" fontId="16" fillId="0" borderId="8" xfId="1" applyNumberFormat="1" applyFont="1" applyBorder="1" applyAlignment="1">
      <alignment horizontal="center" vertical="center" wrapText="1"/>
    </xf>
    <xf numFmtId="165" fontId="16" fillId="0" borderId="7" xfId="1" applyNumberFormat="1" applyFont="1" applyBorder="1" applyAlignment="1">
      <alignment horizontal="center" vertical="center" wrapText="1"/>
    </xf>
    <xf numFmtId="165" fontId="0" fillId="10" borderId="0" xfId="5" applyNumberFormat="1" applyFont="1" applyFill="1"/>
    <xf numFmtId="0" fontId="1" fillId="14" borderId="0" xfId="3" applyFont="1" applyFill="1"/>
    <xf numFmtId="165" fontId="0" fillId="0" borderId="72" xfId="1" applyNumberFormat="1" applyFont="1" applyBorder="1"/>
    <xf numFmtId="0" fontId="1" fillId="3" borderId="0" xfId="0" applyFont="1" applyFill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2" xfId="0" applyFont="1" applyBorder="1"/>
    <xf numFmtId="0" fontId="1" fillId="5" borderId="22" xfId="0" applyFont="1" applyFill="1" applyBorder="1"/>
    <xf numFmtId="0" fontId="1" fillId="5" borderId="0" xfId="3" applyFont="1" applyFill="1"/>
    <xf numFmtId="0" fontId="1" fillId="0" borderId="0" xfId="3" applyFont="1"/>
    <xf numFmtId="165" fontId="1" fillId="0" borderId="22" xfId="1" applyNumberFormat="1" applyFont="1" applyBorder="1"/>
    <xf numFmtId="165" fontId="1" fillId="0" borderId="0" xfId="1" applyNumberFormat="1" applyFont="1"/>
    <xf numFmtId="165" fontId="1" fillId="14" borderId="0" xfId="1" applyNumberFormat="1" applyFont="1" applyFill="1"/>
    <xf numFmtId="165" fontId="1" fillId="5" borderId="0" xfId="1" applyNumberFormat="1" applyFont="1" applyFill="1"/>
    <xf numFmtId="165" fontId="1" fillId="15" borderId="0" xfId="1" applyNumberFormat="1" applyFont="1" applyFill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3" fillId="0" borderId="43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38" xfId="0" applyFont="1" applyBorder="1" applyAlignment="1">
      <alignment horizontal="center"/>
    </xf>
    <xf numFmtId="0" fontId="13" fillId="0" borderId="50" xfId="0" applyFont="1" applyBorder="1" applyAlignment="1">
      <alignment horizontal="center"/>
    </xf>
    <xf numFmtId="0" fontId="12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165" fontId="5" fillId="0" borderId="1" xfId="1" applyNumberFormat="1" applyFont="1" applyBorder="1" applyAlignment="1">
      <alignment horizontal="center" wrapText="1"/>
    </xf>
    <xf numFmtId="165" fontId="5" fillId="0" borderId="2" xfId="1" applyNumberFormat="1" applyFont="1" applyBorder="1" applyAlignment="1">
      <alignment horizontal="center" wrapText="1"/>
    </xf>
    <xf numFmtId="165" fontId="5" fillId="0" borderId="3" xfId="1" applyNumberFormat="1" applyFont="1" applyBorder="1" applyAlignment="1">
      <alignment horizontal="center" wrapText="1"/>
    </xf>
    <xf numFmtId="165" fontId="0" fillId="0" borderId="1" xfId="1" applyNumberFormat="1" applyFont="1" applyBorder="1" applyAlignment="1">
      <alignment horizontal="center" vertical="center" wrapText="1"/>
    </xf>
    <xf numFmtId="165" fontId="0" fillId="0" borderId="3" xfId="1" applyNumberFormat="1" applyFont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wrapText="1"/>
    </xf>
    <xf numFmtId="0" fontId="0" fillId="6" borderId="2" xfId="0" applyFill="1" applyBorder="1" applyAlignment="1">
      <alignment horizontal="center" vertical="center" wrapText="1"/>
    </xf>
    <xf numFmtId="0" fontId="5" fillId="0" borderId="2" xfId="4" applyFont="1" applyBorder="1" applyAlignment="1">
      <alignment horizontal="center" wrapText="1"/>
    </xf>
    <xf numFmtId="0" fontId="5" fillId="0" borderId="3" xfId="4" applyFont="1" applyBorder="1" applyAlignment="1">
      <alignment horizontal="center" wrapText="1"/>
    </xf>
    <xf numFmtId="165" fontId="9" fillId="0" borderId="1" xfId="1" applyNumberFormat="1" applyBorder="1" applyAlignment="1">
      <alignment horizontal="center" vertical="center" wrapText="1"/>
    </xf>
    <xf numFmtId="165" fontId="9" fillId="0" borderId="3" xfId="1" applyNumberFormat="1" applyFont="1" applyBorder="1" applyAlignment="1">
      <alignment horizontal="center" vertical="center" wrapText="1"/>
    </xf>
    <xf numFmtId="165" fontId="9" fillId="0" borderId="2" xfId="1" applyNumberFormat="1" applyBorder="1" applyAlignment="1">
      <alignment horizontal="center" vertical="center" wrapText="1"/>
    </xf>
    <xf numFmtId="165" fontId="9" fillId="0" borderId="3" xfId="1" applyNumberFormat="1" applyBorder="1" applyAlignment="1">
      <alignment horizontal="center" vertical="center" wrapText="1"/>
    </xf>
    <xf numFmtId="0" fontId="9" fillId="5" borderId="1" xfId="4" applyFill="1" applyBorder="1" applyAlignment="1">
      <alignment horizontal="center" vertical="center" wrapText="1"/>
    </xf>
    <xf numFmtId="0" fontId="9" fillId="5" borderId="2" xfId="4" applyFill="1" applyBorder="1" applyAlignment="1">
      <alignment horizontal="center" vertical="center" wrapText="1"/>
    </xf>
    <xf numFmtId="0" fontId="9" fillId="5" borderId="3" xfId="4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wrapText="1"/>
    </xf>
    <xf numFmtId="0" fontId="0" fillId="0" borderId="61" xfId="0" applyBorder="1" applyAlignment="1">
      <alignment horizontal="center" vertical="center" wrapText="1"/>
    </xf>
    <xf numFmtId="0" fontId="5" fillId="0" borderId="7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0" fillId="0" borderId="15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5" fillId="0" borderId="73" xfId="0" applyFont="1" applyBorder="1" applyAlignment="1">
      <alignment horizontal="center" vertical="center" wrapText="1"/>
    </xf>
  </cellXfs>
  <cellStyles count="6">
    <cellStyle name="Normal 2" xfId="2" xr:uid="{0BF699D7-947A-4C7B-97F9-AAD9F375786C}"/>
    <cellStyle name="Обычный" xfId="0" builtinId="0"/>
    <cellStyle name="Обычный 2" xfId="3" xr:uid="{6E807F93-5748-4F67-857A-E67F08762EC2}"/>
    <cellStyle name="Обычный 2 2" xfId="4" xr:uid="{7FC972AC-E088-4A53-8FD8-A9452E8FC7D3}"/>
    <cellStyle name="Финансовый" xfId="1" builtinId="3"/>
    <cellStyle name="Финансовый 2" xfId="5" xr:uid="{37F47AA6-CCE4-4A8F-8305-BC8B98153E97}"/>
  </cellStyles>
  <dxfs count="3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iryukova, Anna" id="{22DB85E7-37EA-426C-A631-1B9518DDC50E}" userId="S::anna.biryukova@effem.com::391e7b17-88f3-4966-8f16-140c8c11caa0" providerId="AD"/>
  <person displayName="Kuzmina, Rozaliya" id="{6210F70F-0D40-46C6-A1E4-86F57C39FF76}" userId="S::rozalia.kuzmina@effem.com::802ea2ca-6f4d-4741-9d15-befe3185014e" providerId="AD"/>
  <person displayName="Karakulina, Natalia" id="{E1BFBCE7-BC33-454E-B661-34C9DDEE260E}" userId="S::natalia.karakulina@effem.com::298e19a1-727d-4f1d-964b-e80216d4bbf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4" dT="2026-02-16T03:12:28.22" personId="{E1BFBCE7-BC33-454E-B661-34C9DDEE260E}" id="{C248DF6D-E1A7-4327-8781-FCCC0B982B60}">
    <text>Метрополис</text>
  </threadedComment>
  <threadedComment ref="K6" dT="2026-02-18T08:11:59.19" personId="{E1BFBCE7-BC33-454E-B661-34C9DDEE260E}" id="{484B4642-931F-40F6-87C7-D0675070DDA4}">
    <text>Табыш</text>
  </threadedComment>
  <threadedComment ref="F9" dT="2026-02-17T10:04:54.11" personId="{6210F70F-0D40-46C6-A1E4-86F57C39FF76}" id="{B8F358E9-A63A-421D-9A52-DE023FF8C1B0}">
    <text>Взаимодействие 4 филиала: Ульяновск,  Воронеж, Краснодар,Волгоград</text>
  </threadedComment>
  <threadedComment ref="AD11" dT="2026-02-16T05:16:58.96" personId="{E1BFBCE7-BC33-454E-B661-34C9DDEE260E}" id="{AC692992-E353-4984-BB83-5A412B30551D}">
    <text>Верный</text>
  </threadedComment>
  <threadedComment ref="AD12" dT="2026-02-16T05:12:45.16" personId="{E1BFBCE7-BC33-454E-B661-34C9DDEE260E}" id="{3792FD63-CAD2-4CDC-917E-A510F8FCD3EF}">
    <text>Лента</text>
  </threadedComment>
  <threadedComment ref="AD15" dT="2026-02-16T05:08:00.36" personId="{E1BFBCE7-BC33-454E-B661-34C9DDEE260E}" id="{DBB3B802-A00F-4F00-A838-36FD4AB68176}">
    <text>Перекресток</text>
  </threadedComment>
  <threadedComment ref="AD20" dT="2026-02-16T05:11:26.61" personId="{E1BFBCE7-BC33-454E-B661-34C9DDEE260E}" id="{CEBF160E-C819-4A33-AECD-12782A67F17F}">
    <text>Метро</text>
  </threadedComment>
  <threadedComment ref="L21" dT="2026-02-10T06:40:48.01" personId="{E1BFBCE7-BC33-454E-B661-34C9DDEE260E}" id="{FBBE4828-CA74-448E-AADC-64C65C4B7A75}">
    <text>Белый Кролик</text>
  </threadedComment>
  <threadedComment ref="J27" dT="2026-02-13T04:51:29.46" personId="{E1BFBCE7-BC33-454E-B661-34C9DDEE260E}" id="{3CB35B47-ACF8-41CE-AB1E-54DFD6CCE726}">
    <text>Кировский</text>
  </threadedComment>
  <threadedComment ref="X27" dT="2026-02-16T06:34:12.78" personId="{E1BFBCE7-BC33-454E-B661-34C9DDEE260E}" id="{3B6D2FFF-E8EB-4846-A583-D6049BBAE7BA}">
    <text>Кировский</text>
  </threadedComment>
  <threadedComment ref="Y27" dT="2026-02-13T04:51:29.46" personId="{E1BFBCE7-BC33-454E-B661-34C9DDEE260E}" id="{E3D5585C-7686-48DD-9861-6E3E41873336}">
    <text>Кировский</text>
  </threadedComment>
  <threadedComment ref="N29" dT="2026-02-18T02:22:45.31" personId="{E1BFBCE7-BC33-454E-B661-34C9DDEE260E}" id="{BAED7A08-20B2-4DAE-9296-AF7D6361D86F}">
    <text>Лион</text>
  </threadedComment>
  <threadedComment ref="O31" dT="2026-02-13T05:07:13.45" personId="{E1BFBCE7-BC33-454E-B661-34C9DDEE260E}" id="{527870FD-2D8F-4BE6-8128-D7289065A0F5}">
    <text>Баско, Оптима</text>
  </threadedComment>
  <threadedComment ref="R31" dT="2026-02-13T05:07:24.65" personId="{E1BFBCE7-BC33-454E-B661-34C9DDEE260E}" id="{73E16D06-8DDC-4F3B-B25C-3BE56CA0EC88}">
    <text>Баско</text>
  </threadedComment>
  <threadedComment ref="O32" dT="2026-02-13T05:07:13.45" personId="{E1BFBCE7-BC33-454E-B661-34C9DDEE260E}" id="{A3C3A5EB-98D8-4295-AAC0-BA7CED9628D7}">
    <text>Баско, Оптима</text>
  </threadedComment>
  <threadedComment ref="R32" dT="2026-02-13T05:07:24.65" personId="{E1BFBCE7-BC33-454E-B661-34C9DDEE260E}" id="{1814C06E-3853-4C36-A924-D386C8B3D48E}">
    <text>Баско</text>
  </threadedComment>
  <threadedComment ref="N34" dT="2026-02-13T05:15:06.59" personId="{E1BFBCE7-BC33-454E-B661-34C9DDEE260E}" id="{B270F7B0-42F9-4059-AAA4-13C1BCCAB53E}">
    <text>маяк</text>
  </threadedComment>
  <threadedComment ref="K35" dT="2026-02-13T05:23:04.04" personId="{E1BFBCE7-BC33-454E-B661-34C9DDEE260E}" id="{25D6369E-AE59-4A33-9CBA-86A963323C5E}">
    <text>Метрополис</text>
  </threadedComment>
  <threadedComment ref="AD38" dT="2026-02-16T05:15:42.23" personId="{E1BFBCE7-BC33-454E-B661-34C9DDEE260E}" id="{CC73E22D-A5CB-4A56-8469-BEA3E4215567}">
    <text>Окей</text>
  </threadedComment>
  <threadedComment ref="N39" dT="2026-02-13T05:46:07.35" personId="{E1BFBCE7-BC33-454E-B661-34C9DDEE260E}" id="{09F2C565-787F-43A2-9C62-6BA3B85A8496}">
    <text>Сеть Молния продана в 2025г</text>
  </threadedComment>
  <threadedComment ref="K40" dT="2026-02-13T05:53:25.21" personId="{E1BFBCE7-BC33-454E-B661-34C9DDEE260E}" id="{B1E6351B-DC58-4F03-9737-C6D6A0CB74C7}">
    <text>Метрополис</text>
  </threadedComment>
  <threadedComment ref="L40" dT="2026-02-13T05:48:23.21" personId="{E1BFBCE7-BC33-454E-B661-34C9DDEE260E}" id="{CFA50407-C825-48E8-8580-8A48B487F7B2}">
    <text>Зоооптторг</text>
  </threadedComment>
  <threadedComment ref="N41" dT="2026-02-13T05:49:20.39" personId="{E1BFBCE7-BC33-454E-B661-34C9DDEE260E}" id="{EADB0B9E-14E5-42CF-B7F6-217130C1F220}">
    <text>Маяк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1" dT="2026-02-12T10:00:36.55" personId="{22DB85E7-37EA-426C-A631-1B9518DDC50E}" id="{0C05AB44-692B-4E75-AB19-E848DC2F471D}">
    <text>Европа и Линия</text>
  </threadedComment>
  <threadedComment ref="K21" dT="2026-02-10T08:31:21.72" personId="{22DB85E7-37EA-426C-A631-1B9518DDC50E}" id="{E0B744BD-B51E-4777-821C-E4E38254D3FF}">
    <text>Доброцен</text>
  </threadedComment>
  <threadedComment ref="L21" dT="2026-02-10T08:32:11.10" personId="{22DB85E7-37EA-426C-A631-1B9518DDC50E}" id="{56DAA161-B1B5-46E9-9631-3C6E2D368086}">
    <text>ЗООДИСКОНТ
Любимчик убрала</text>
  </threadedComment>
  <threadedComment ref="K22" dT="2026-02-10T08:31:29.64" personId="{22DB85E7-37EA-426C-A631-1B9518DDC50E}" id="{32A78597-2499-4990-A607-B1230ECFA29D}">
    <text>Доброцен</text>
  </threadedComment>
  <threadedComment ref="K24" dT="2026-02-10T08:31:33.25" personId="{22DB85E7-37EA-426C-A631-1B9518DDC50E}" id="{79C7AA9A-2680-499B-B5CA-9B869354ADBB}">
    <text>Доброцен</text>
  </threadedComment>
  <threadedComment ref="K25" dT="2026-02-10T08:31:36.17" personId="{22DB85E7-37EA-426C-A631-1B9518DDC50E}" id="{7833366F-73AD-4764-85BD-E45756723733}">
    <text>Доброцен</text>
  </threadedComment>
  <threadedComment ref="K26" dT="2026-02-10T08:31:42.05" personId="{22DB85E7-37EA-426C-A631-1B9518DDC50E}" id="{D3124B9F-F62F-4FB5-A17C-35D29D8CEBB3}">
    <text>Доброцен</text>
  </threadedComment>
  <threadedComment ref="K27" dT="2026-02-10T08:31:46.15" personId="{22DB85E7-37EA-426C-A631-1B9518DDC50E}" id="{56A4E96F-F5C0-40FC-B73D-0EA3DDDEB3DA}">
    <text>Доброцен</text>
  </threadedComment>
  <threadedComment ref="K30" dT="2026-02-10T08:20:52.43" personId="{22DB85E7-37EA-426C-A631-1B9518DDC50E}" id="{3C1EC568-6E8A-499F-B5A9-9E989DB01860}">
    <text>Доброцен, больше не отгружается с МД, все отгрузки с Дакорт</text>
  </threadedComment>
  <threadedComment ref="AD34" dT="2026-02-13T08:42:43.96" personId="{22DB85E7-37EA-426C-A631-1B9518DDC50E}" id="{F7140340-FD2F-4D34-B635-0E5C3F8BF0CE}">
    <text>Весь Метро и Перекрёсток на Юге</text>
  </threadedComment>
  <threadedComment ref="K35" dT="2026-02-16T09:12:29.19" personId="{22DB85E7-37EA-426C-A631-1B9518DDC50E}" id="{0E96E146-F5EA-4BE0-A514-EB90761E1580}">
    <text>Доброцен, больше с ФТ не отгружается</text>
  </threadedComment>
  <threadedComment ref="AC36" dT="2026-02-13T08:43:38.40" personId="{22DB85E7-37EA-426C-A631-1B9518DDC50E}" id="{35D87E8B-11CC-486A-B0D2-4F2D95248036}">
    <text>50% Магнит на Юге</text>
  </threadedComment>
  <threadedComment ref="AB37" dT="2026-02-13T08:43:23.83" personId="{22DB85E7-37EA-426C-A631-1B9518DDC50E}" id="{5FB19028-3C14-464E-BA98-8A7F07416EDF}">
    <text>Вся Пятёрочка на Юге</text>
  </threadedComment>
  <threadedComment ref="AC45" dT="2026-02-13T08:43:41.96" personId="{22DB85E7-37EA-426C-A631-1B9518DDC50E}" id="{DDD67B2B-9F88-4082-B9BF-76AFCED3ECD3}">
    <text>50% Магнит на Юге</text>
  </threadedComment>
  <threadedComment ref="AD49" dT="2026-02-13T08:41:48.25" personId="{22DB85E7-37EA-426C-A631-1B9518DDC50E}" id="{1D6DC542-D9E2-4FCB-8DBF-E3AC76E70B59}">
    <text>Весь Ашан (+Атак) на Юге</text>
  </threadedComment>
  <threadedComment ref="AD55" dT="2026-02-13T08:40:43.65" personId="{22DB85E7-37EA-426C-A631-1B9518DDC50E}" id="{906FF491-1C35-4F8F-9223-926AFF8A665E}">
    <text>Весь Окей и Лента на Юге</text>
  </threadedComment>
  <threadedComment ref="K64" dT="2026-02-16T09:13:09.31" personId="{22DB85E7-37EA-426C-A631-1B9518DDC50E}" id="{77A3F69F-DBC1-4983-97BD-27A4AD1B5612}">
    <text>Доброцен, больше с ФТ не отгружается</text>
  </threadedComment>
  <threadedComment ref="X64" dT="2026-02-16T09:12:53.30" personId="{22DB85E7-37EA-426C-A631-1B9518DDC50E}" id="{0494B490-016F-4806-9520-5564363FBCDA}">
    <text>Победа</text>
  </threadedComment>
  <threadedComment ref="K65" dT="2026-02-16T09:35:58.34" personId="{22DB85E7-37EA-426C-A631-1B9518DDC50E}" id="{FA08A940-0553-4FC8-A1B0-149041F37B39}">
    <text>Доброцен, больше с ФТ не отгружается</text>
  </threadedComment>
  <threadedComment ref="X65" dT="2026-02-16T09:37:31.39" personId="{22DB85E7-37EA-426C-A631-1B9518DDC50E}" id="{60D4B7F7-1C72-4C20-B1BE-685FDE635453}">
    <text>Победа</text>
  </threadedComment>
  <threadedComment ref="K67" dT="2026-02-16T09:36:06.66" personId="{22DB85E7-37EA-426C-A631-1B9518DDC50E}" id="{6ED9AC52-7614-4B3A-AF21-A16232713F00}">
    <text>Доброцен, больше с ФТ не отгружается</text>
  </threadedComment>
  <threadedComment ref="X67" dT="2026-02-16T09:37:35.60" personId="{22DB85E7-37EA-426C-A631-1B9518DDC50E}" id="{DC5B3F89-F6B4-47F0-B6C5-E978EEDB9BAA}">
    <text>Победа</text>
  </threadedComment>
  <threadedComment ref="K68" dT="2026-02-16T09:36:09.85" personId="{22DB85E7-37EA-426C-A631-1B9518DDC50E}" id="{1891CEE3-7F92-4931-B6DC-6EFF4BDC7927}">
    <text>Доброцен, больше с ФТ не отгружается</text>
  </threadedComment>
  <threadedComment ref="X68" dT="2026-02-16T09:37:40.96" personId="{22DB85E7-37EA-426C-A631-1B9518DDC50E}" id="{AB5989B7-3043-4CDA-B7F7-466B3EED701C}">
    <text>Победа</text>
  </threadedComment>
  <threadedComment ref="X71" dT="2026-02-16T09:37:43.55" personId="{22DB85E7-37EA-426C-A631-1B9518DDC50E}" id="{A82AF81C-496B-4E5A-94A5-D13A30DA8B95}">
    <text>Победа</text>
  </threadedComment>
  <threadedComment ref="X72" dT="2026-02-16T09:37:46.32" personId="{22DB85E7-37EA-426C-A631-1B9518DDC50E}" id="{D0909C91-AB58-48BD-BE7A-AF3BE4EDCD8F}">
    <text>Победа</text>
  </threadedComment>
  <threadedComment ref="K74" dT="2026-02-16T09:36:13.66" personId="{22DB85E7-37EA-426C-A631-1B9518DDC50E}" id="{AF566169-C814-45F2-A9B7-923EC480B185}">
    <text>Доброцен, больше с ФТ не отгружается</text>
  </threadedComment>
  <threadedComment ref="X74" dT="2026-02-16T09:37:48.64" personId="{22DB85E7-37EA-426C-A631-1B9518DDC50E}" id="{73EAEDA4-EF12-4183-ABBD-60156D200D2E}">
    <text>Победа</text>
  </threadedComment>
  <threadedComment ref="K75" dT="2026-02-16T09:36:20.47" personId="{22DB85E7-37EA-426C-A631-1B9518DDC50E}" id="{DB5B23D9-9FB0-4EE7-83C6-CD05D62BF185}">
    <text>Доброцен, больше с ФТ не отгружается</text>
  </threadedComment>
  <threadedComment ref="X75" dT="2026-02-16T09:37:51.99" personId="{22DB85E7-37EA-426C-A631-1B9518DDC50E}" id="{8027281A-6053-47C7-85E1-9A926C3104D1}">
    <text>Победа</text>
  </threadedComment>
  <threadedComment ref="K76" dT="2026-02-16T09:36:28.35" personId="{22DB85E7-37EA-426C-A631-1B9518DDC50E}" id="{CF70B308-D87D-425E-9363-2223DD657D2C}">
    <text>Доброцен, больше с ФТ не отгружается</text>
  </threadedComment>
  <threadedComment ref="X76" dT="2026-02-16T09:37:56.79" personId="{22DB85E7-37EA-426C-A631-1B9518DDC50E}" id="{FC01495B-A8AE-44C7-B58C-DC2FEB1AEE61}">
    <text>Победа</text>
  </threadedComment>
  <threadedComment ref="K77" dT="2026-02-16T09:36:31.84" personId="{22DB85E7-37EA-426C-A631-1B9518DDC50E}" id="{43CFDF0D-8D21-4444-959D-2990FE9D18C3}">
    <text>Доброцен, больше с ФТ не отгружается</text>
  </threadedComment>
  <threadedComment ref="X77" dT="2026-02-16T09:38:00.74" personId="{22DB85E7-37EA-426C-A631-1B9518DDC50E}" id="{B87CDBBC-5B24-4074-83DC-4A27DAD66746}">
    <text>Победа</text>
  </threadedComment>
  <threadedComment ref="X78" dT="2026-02-16T09:38:13.91" personId="{22DB85E7-37EA-426C-A631-1B9518DDC50E}" id="{1E51765E-4545-459C-B01A-7214B78511AC}">
    <text>Победа</text>
  </threadedComment>
  <threadedComment ref="X79" dT="2026-02-16T09:38:16.32" personId="{22DB85E7-37EA-426C-A631-1B9518DDC50E}" id="{2ED27797-C33F-4A4C-8E70-893C312053F4}">
    <text>Победа</text>
  </threadedComment>
  <threadedComment ref="X80" dT="2026-02-16T09:38:19.38" personId="{22DB85E7-37EA-426C-A631-1B9518DDC50E}" id="{D0EF1E3A-E3D2-4D1C-8F69-D7AFA8CA49A1}">
    <text>Победа</text>
  </threadedComment>
  <threadedComment ref="K82" dT="2026-02-16T09:36:34.70" personId="{22DB85E7-37EA-426C-A631-1B9518DDC50E}" id="{29B18984-A28F-42DC-B606-73AEFF0DD3E6}">
    <text>Доброцен, больше с ФТ не отгружается</text>
  </threadedComment>
  <threadedComment ref="X82" dT="2026-02-16T09:38:22.10" personId="{22DB85E7-37EA-426C-A631-1B9518DDC50E}" id="{8D71D16A-C03C-47DE-AF68-655894670B09}">
    <text>Победа</text>
  </threadedComment>
  <threadedComment ref="X85" dT="2026-02-16T09:38:24.30" personId="{22DB85E7-37EA-426C-A631-1B9518DDC50E}" id="{9665018B-35F1-4F55-BFC3-87FEE0034912}">
    <text>Победа</text>
  </threadedComment>
  <threadedComment ref="K86" dT="2026-02-16T09:36:39.18" personId="{22DB85E7-37EA-426C-A631-1B9518DDC50E}" id="{6260D6A2-0F1D-42C3-BD0E-64C128B8919D}">
    <text>Доброцен, больше с ФТ не отгружается</text>
  </threadedComment>
  <threadedComment ref="X86" dT="2026-02-16T09:38:27.87" personId="{22DB85E7-37EA-426C-A631-1B9518DDC50E}" id="{24C8B822-3D64-4B58-B8C0-417FA2F89D00}">
    <text>Победа</text>
  </threadedComment>
  <threadedComment ref="X88" dT="2026-02-16T09:38:33.76" personId="{22DB85E7-37EA-426C-A631-1B9518DDC50E}" id="{7D0BE1EA-E889-4795-AD88-AE66F68616F8}">
    <text>Победа</text>
  </threadedComment>
  <threadedComment ref="X89" dT="2026-02-16T09:38:36.85" personId="{22DB85E7-37EA-426C-A631-1B9518DDC50E}" id="{314CD5F0-293F-4676-B3AE-3F8C12004CC4}">
    <text>Победа</text>
  </threadedComment>
  <threadedComment ref="X90" dT="2026-02-16T09:38:39.24" personId="{22DB85E7-37EA-426C-A631-1B9518DDC50E}" id="{35EFDECF-A2FA-4EEE-8BFC-A450D32FA95E}">
    <text>Победа</text>
  </threadedComment>
  <threadedComment ref="X91" dT="2026-02-16T09:38:42.01" personId="{22DB85E7-37EA-426C-A631-1B9518DDC50E}" id="{D45A2A03-A9F7-43A2-A93F-AAA9A1F073FE}">
    <text>Победа</text>
  </threadedComment>
  <threadedComment ref="X92" dT="2026-02-16T09:38:45.80" personId="{22DB85E7-37EA-426C-A631-1B9518DDC50E}" id="{47E88F04-3E29-4CB5-B5D1-456549E8492B}">
    <text>Победа</text>
  </threadedComment>
  <threadedComment ref="K93" dT="2026-02-16T09:36:41.75" personId="{22DB85E7-37EA-426C-A631-1B9518DDC50E}" id="{57AE027A-4F54-4B7A-8541-C982CE43AB01}">
    <text>Доброцен, больше с ФТ не отгружается</text>
  </threadedComment>
  <threadedComment ref="X93" dT="2026-02-16T09:38:48.17" personId="{22DB85E7-37EA-426C-A631-1B9518DDC50E}" id="{BC7A2796-7A65-48C6-97EE-3D332C8E3347}">
    <text>Победа</text>
  </threadedComment>
  <threadedComment ref="X96" dT="2026-02-16T09:38:52.67" personId="{22DB85E7-37EA-426C-A631-1B9518DDC50E}" id="{20D67E70-A85A-4996-9B32-86E0FD418F94}">
    <text>Победа</text>
  </threadedComment>
  <threadedComment ref="K98" dT="2026-02-16T09:36:44.74" personId="{22DB85E7-37EA-426C-A631-1B9518DDC50E}" id="{C95EFF4C-2F69-4EEC-9C24-65AC1BF1ECAA}">
    <text>Доброцен, больше с ФТ не отгружается</text>
  </threadedComment>
  <threadedComment ref="X98" dT="2026-02-16T09:38:55.35" personId="{22DB85E7-37EA-426C-A631-1B9518DDC50E}" id="{7EF33799-E2F2-46F6-AC18-4850A0403372}">
    <text>Победа</text>
  </threadedComment>
  <threadedComment ref="X99" dT="2026-02-16T09:39:03.42" personId="{22DB85E7-37EA-426C-A631-1B9518DDC50E}" id="{C0326890-D75F-4639-85E4-786E29476A7D}">
    <text>Победа</text>
  </threadedComment>
  <threadedComment ref="K101" dT="2026-02-16T09:36:47.42" personId="{22DB85E7-37EA-426C-A631-1B9518DDC50E}" id="{FEAF0CFB-95EA-4D3C-B177-A31E71364DF9}">
    <text>Доброцен, больше с ФТ не отгружается</text>
  </threadedComment>
  <threadedComment ref="X101" dT="2026-02-16T09:39:06.52" personId="{22DB85E7-37EA-426C-A631-1B9518DDC50E}" id="{65C0DEB5-7002-4D16-812C-913B6D64A90D}">
    <text>Победа</text>
  </threadedComment>
  <threadedComment ref="N102" dT="2026-02-16T09:42:49.38" personId="{22DB85E7-37EA-426C-A631-1B9518DDC50E}" id="{B2FCD538-A0EA-4793-BFA9-5F5AECF029D5}">
    <text>Караван Волга</text>
  </threadedComment>
  <threadedComment ref="N103" dT="2026-02-16T09:42:52.83" personId="{22DB85E7-37EA-426C-A631-1B9518DDC50E}" id="{6674D7AC-0EAD-4C33-BBB1-200C4969F01A}">
    <text>Караван Волга</text>
  </threadedComment>
  <threadedComment ref="N104" dT="2026-02-16T09:42:56.30" personId="{22DB85E7-37EA-426C-A631-1B9518DDC50E}" id="{29DB8106-F8D9-4C6F-8D38-4872C9E440B7}">
    <text>Караван Волга</text>
  </threadedComment>
  <threadedComment ref="X107" dT="2026-02-16T09:39:09.87" personId="{22DB85E7-37EA-426C-A631-1B9518DDC50E}" id="{8AB82AA8-3F0B-4B01-9D7A-B582064224DC}">
    <text>Победа</text>
  </threadedComment>
  <threadedComment ref="K108" dT="2026-02-16T09:36:49.93" personId="{22DB85E7-37EA-426C-A631-1B9518DDC50E}" id="{8A2218B3-CDA9-45A7-B9EC-B069597BF10C}">
    <text>Доброцен, больше с ФТ не отгружается</text>
  </threadedComment>
  <threadedComment ref="X108" dT="2026-02-16T09:39:16.45" personId="{22DB85E7-37EA-426C-A631-1B9518DDC50E}" id="{53442969-1C65-4AC9-A704-3C91085CF2F8}">
    <text>Победа</text>
  </threadedComment>
  <threadedComment ref="X111" dT="2026-02-16T09:39:19.21" personId="{22DB85E7-37EA-426C-A631-1B9518DDC50E}" id="{0F12A806-8AFE-4F3E-B3B6-2EF47DBF1D62}">
    <text>Победа</text>
  </threadedComment>
  <threadedComment ref="K112" dT="2026-02-16T09:36:52.15" personId="{22DB85E7-37EA-426C-A631-1B9518DDC50E}" id="{C3B2257F-FD60-47A4-B24C-C0C3EF37752A}">
    <text>Доброцен, больше с ФТ не отгружается</text>
  </threadedComment>
  <threadedComment ref="X112" dT="2026-02-16T09:39:25.69" personId="{22DB85E7-37EA-426C-A631-1B9518DDC50E}" id="{4C1C75F2-35C1-4C95-96E8-7A9D93064D63}">
    <text>Победа</text>
  </threadedComment>
  <threadedComment ref="K113" dT="2026-02-16T09:36:55.26" personId="{22DB85E7-37EA-426C-A631-1B9518DDC50E}" id="{A28F0378-44EE-4112-91A5-8DA405F7E63D}">
    <text>Доброцен, больше с ФТ не отгружается</text>
  </threadedComment>
  <threadedComment ref="X113" dT="2026-02-16T09:39:29.07" personId="{22DB85E7-37EA-426C-A631-1B9518DDC50E}" id="{52B8D457-AFF2-420F-A553-7CBF6D81F835}">
    <text>Победа</text>
  </threadedComment>
  <threadedComment ref="X114" dT="2026-02-16T09:39:32.43" personId="{22DB85E7-37EA-426C-A631-1B9518DDC50E}" id="{E56F9193-67F5-4580-B03D-88A5CBCD7B99}">
    <text>Победа</text>
  </threadedComment>
  <threadedComment ref="X116" dT="2026-02-16T09:31:36.60" personId="{22DB85E7-37EA-426C-A631-1B9518DDC50E}" id="{E53F32E7-2991-4500-9FD3-0465720A64A6}">
    <text>Доброцен</text>
  </threadedComment>
  <threadedComment ref="X117" dT="2026-02-16T09:31:42.51" personId="{22DB85E7-37EA-426C-A631-1B9518DDC50E}" id="{E5368664-45BA-44C4-872D-AABD6DE79649}">
    <text>Доброцен</text>
  </threadedComment>
  <threadedComment ref="X118" dT="2026-02-16T09:33:47.33" personId="{22DB85E7-37EA-426C-A631-1B9518DDC50E}" id="{A0245BE8-3868-4B93-A45C-7BE0C41EE9BD}">
    <text>Доброцен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5E534-8241-4FB7-B340-2E09BDB5BDB0}">
  <dimension ref="A1:AD20"/>
  <sheetViews>
    <sheetView topLeftCell="A3" zoomScale="80" zoomScaleNormal="80" workbookViewId="0">
      <selection activeCell="C18" sqref="C18"/>
    </sheetView>
  </sheetViews>
  <sheetFormatPr defaultColWidth="8.85546875" defaultRowHeight="15" x14ac:dyDescent="0.25"/>
  <cols>
    <col min="1" max="1" width="23.140625" style="1" customWidth="1"/>
    <col min="2" max="2" width="12.85546875" style="1" customWidth="1"/>
    <col min="3" max="3" width="16" style="1" customWidth="1"/>
    <col min="4" max="5" width="18.140625" style="1" customWidth="1"/>
    <col min="6" max="7" width="11.140625" style="2" customWidth="1"/>
    <col min="8" max="21" width="11.140625" style="1" customWidth="1"/>
    <col min="22" max="24" width="10.85546875" style="1" customWidth="1"/>
    <col min="25" max="25" width="12" style="1" customWidth="1"/>
    <col min="26" max="26" width="10.85546875" style="157" customWidth="1"/>
    <col min="27" max="27" width="11.85546875" style="157" customWidth="1"/>
    <col min="28" max="16384" width="8.85546875" style="1"/>
  </cols>
  <sheetData>
    <row r="1" spans="1:30" ht="15" customHeight="1" thickBot="1" x14ac:dyDescent="0.3">
      <c r="A1" s="45" t="s">
        <v>0</v>
      </c>
      <c r="I1" s="361" t="s">
        <v>1</v>
      </c>
      <c r="J1" s="362"/>
      <c r="K1" s="362"/>
      <c r="L1" s="362"/>
      <c r="M1" s="362"/>
      <c r="N1" s="362"/>
      <c r="O1" s="362"/>
      <c r="P1" s="362"/>
      <c r="Q1" s="362"/>
      <c r="R1" s="362"/>
      <c r="S1" s="363"/>
      <c r="T1" s="361" t="s">
        <v>2</v>
      </c>
      <c r="U1" s="362"/>
      <c r="V1" s="362"/>
      <c r="W1" s="362"/>
      <c r="X1" s="362"/>
      <c r="Y1" s="362"/>
      <c r="Z1" s="362"/>
      <c r="AA1" s="362"/>
      <c r="AB1" s="362"/>
      <c r="AC1" s="362"/>
      <c r="AD1" s="363"/>
    </row>
    <row r="2" spans="1:30" s="3" customFormat="1" ht="59.45" customHeight="1" thickBot="1" x14ac:dyDescent="0.3">
      <c r="I2" s="364" t="s">
        <v>3</v>
      </c>
      <c r="J2" s="365"/>
      <c r="K2" s="4" t="s">
        <v>4</v>
      </c>
      <c r="L2" s="3" t="s">
        <v>4</v>
      </c>
      <c r="M2" s="5" t="s">
        <v>4</v>
      </c>
      <c r="N2" s="3" t="s">
        <v>5</v>
      </c>
      <c r="O2" s="3" t="s">
        <v>5</v>
      </c>
      <c r="P2" s="3" t="s">
        <v>5</v>
      </c>
      <c r="Q2" s="3" t="s">
        <v>5</v>
      </c>
      <c r="R2" s="3" t="s">
        <v>5</v>
      </c>
      <c r="S2" s="5" t="s">
        <v>5</v>
      </c>
      <c r="T2" s="364" t="s">
        <v>6</v>
      </c>
      <c r="U2" s="366"/>
      <c r="V2" s="366"/>
      <c r="W2" s="366"/>
      <c r="X2" s="366"/>
      <c r="Y2" s="366"/>
      <c r="Z2" s="366"/>
      <c r="AA2" s="365"/>
      <c r="AB2" s="364" t="s">
        <v>7</v>
      </c>
      <c r="AC2" s="366"/>
      <c r="AD2" s="365"/>
    </row>
    <row r="3" spans="1:30" s="13" customFormat="1" ht="60.75" thickBot="1" x14ac:dyDescent="0.3">
      <c r="A3" s="6" t="s">
        <v>8</v>
      </c>
      <c r="B3" s="7" t="s">
        <v>9</v>
      </c>
      <c r="C3" s="7" t="s">
        <v>10</v>
      </c>
      <c r="D3" s="8" t="s">
        <v>11</v>
      </c>
      <c r="E3" s="6" t="s">
        <v>12</v>
      </c>
      <c r="F3" s="8" t="s">
        <v>13</v>
      </c>
      <c r="G3" s="9" t="s">
        <v>14</v>
      </c>
      <c r="H3" s="9" t="s">
        <v>15</v>
      </c>
      <c r="I3" s="6" t="s">
        <v>16</v>
      </c>
      <c r="J3" s="8" t="s">
        <v>17</v>
      </c>
      <c r="K3" s="10" t="s">
        <v>18</v>
      </c>
      <c r="L3" s="11" t="s">
        <v>19</v>
      </c>
      <c r="M3" s="12" t="s">
        <v>20</v>
      </c>
      <c r="N3" s="11" t="s">
        <v>21</v>
      </c>
      <c r="O3" s="11" t="s">
        <v>22</v>
      </c>
      <c r="P3" s="11" t="s">
        <v>23</v>
      </c>
      <c r="Q3" s="11" t="s">
        <v>24</v>
      </c>
      <c r="R3" s="11" t="s">
        <v>25</v>
      </c>
      <c r="S3" s="12" t="s">
        <v>26</v>
      </c>
      <c r="T3" s="10" t="s">
        <v>27</v>
      </c>
      <c r="U3" s="11" t="s">
        <v>28</v>
      </c>
      <c r="V3" s="11" t="s">
        <v>29</v>
      </c>
      <c r="W3" s="11" t="s">
        <v>30</v>
      </c>
      <c r="X3" s="11" t="s">
        <v>31</v>
      </c>
      <c r="Y3" s="10" t="s">
        <v>32</v>
      </c>
      <c r="Z3" s="149" t="s">
        <v>33</v>
      </c>
      <c r="AA3" s="150" t="s">
        <v>34</v>
      </c>
      <c r="AB3" s="10" t="s">
        <v>27</v>
      </c>
      <c r="AC3" s="11" t="s">
        <v>28</v>
      </c>
      <c r="AD3" s="12" t="s">
        <v>35</v>
      </c>
    </row>
    <row r="4" spans="1:30" x14ac:dyDescent="0.25">
      <c r="A4" s="14" t="s">
        <v>36</v>
      </c>
      <c r="B4" s="15" t="s">
        <v>37</v>
      </c>
      <c r="C4" s="15" t="s">
        <v>38</v>
      </c>
      <c r="D4" s="16" t="s">
        <v>39</v>
      </c>
      <c r="E4" s="14" t="s">
        <v>40</v>
      </c>
      <c r="F4" s="17">
        <v>1</v>
      </c>
      <c r="G4" s="18"/>
      <c r="H4" s="19"/>
      <c r="I4" s="20"/>
      <c r="J4" s="21"/>
      <c r="K4" s="14"/>
      <c r="L4" s="15"/>
      <c r="M4" s="16"/>
      <c r="N4" s="15"/>
      <c r="O4" s="15"/>
      <c r="P4" s="15"/>
      <c r="Q4" s="15"/>
      <c r="R4" s="15"/>
      <c r="S4" s="16"/>
      <c r="T4" s="14" t="s">
        <v>41</v>
      </c>
      <c r="U4" s="15" t="s">
        <v>41</v>
      </c>
      <c r="V4" s="15" t="s">
        <v>41</v>
      </c>
      <c r="W4" s="15" t="s">
        <v>41</v>
      </c>
      <c r="X4" s="15" t="s">
        <v>41</v>
      </c>
      <c r="Y4" s="14" t="s">
        <v>41</v>
      </c>
      <c r="Z4" s="151"/>
      <c r="AA4" s="152"/>
      <c r="AB4" s="20"/>
      <c r="AC4" s="44"/>
      <c r="AD4" s="21"/>
    </row>
    <row r="5" spans="1:30" ht="30" x14ac:dyDescent="0.25">
      <c r="A5" s="22" t="s">
        <v>36</v>
      </c>
      <c r="B5" s="23" t="s">
        <v>37</v>
      </c>
      <c r="C5" s="23" t="s">
        <v>42</v>
      </c>
      <c r="D5" s="24" t="s">
        <v>43</v>
      </c>
      <c r="E5" s="22" t="s">
        <v>40</v>
      </c>
      <c r="F5" s="25"/>
      <c r="G5" s="26">
        <v>2</v>
      </c>
      <c r="H5" s="27"/>
      <c r="I5" s="22" t="s">
        <v>44</v>
      </c>
      <c r="J5" s="24" t="s">
        <v>44</v>
      </c>
      <c r="K5" s="28"/>
      <c r="L5" s="29"/>
      <c r="M5" s="30"/>
      <c r="N5" s="29"/>
      <c r="O5" s="29"/>
      <c r="P5" s="29"/>
      <c r="Q5" s="29"/>
      <c r="R5" s="29"/>
      <c r="S5" s="30"/>
      <c r="T5" s="28"/>
      <c r="U5" s="29"/>
      <c r="V5" s="29"/>
      <c r="W5" s="29"/>
      <c r="X5" s="23" t="s">
        <v>45</v>
      </c>
      <c r="Y5" s="22" t="s">
        <v>45</v>
      </c>
      <c r="Z5" s="153"/>
      <c r="AA5" s="154"/>
      <c r="AB5" s="28"/>
      <c r="AC5" s="29"/>
      <c r="AD5" s="30"/>
    </row>
    <row r="6" spans="1:30" ht="30" x14ac:dyDescent="0.25">
      <c r="A6" s="22" t="s">
        <v>36</v>
      </c>
      <c r="B6" s="23" t="s">
        <v>37</v>
      </c>
      <c r="C6" s="23" t="s">
        <v>42</v>
      </c>
      <c r="D6" s="24" t="s">
        <v>46</v>
      </c>
      <c r="E6" s="22"/>
      <c r="F6" s="25"/>
      <c r="G6" s="26">
        <v>0</v>
      </c>
      <c r="H6" s="27"/>
      <c r="I6" s="22" t="s">
        <v>44</v>
      </c>
      <c r="J6" s="24" t="s">
        <v>44</v>
      </c>
      <c r="K6" s="28"/>
      <c r="L6" s="29"/>
      <c r="M6" s="30"/>
      <c r="N6" s="29"/>
      <c r="O6" s="29"/>
      <c r="P6" s="29"/>
      <c r="Q6" s="29"/>
      <c r="R6" s="29"/>
      <c r="S6" s="30"/>
      <c r="T6" s="28"/>
      <c r="U6" s="29"/>
      <c r="V6" s="29"/>
      <c r="W6" s="29"/>
      <c r="X6" s="23" t="s">
        <v>45</v>
      </c>
      <c r="Y6" s="22" t="s">
        <v>45</v>
      </c>
      <c r="Z6" s="153"/>
      <c r="AA6" s="154"/>
      <c r="AB6" s="28"/>
      <c r="AC6" s="29"/>
      <c r="AD6" s="30"/>
    </row>
    <row r="7" spans="1:30" x14ac:dyDescent="0.25">
      <c r="A7" s="22" t="s">
        <v>36</v>
      </c>
      <c r="B7" s="23" t="s">
        <v>37</v>
      </c>
      <c r="C7" s="23" t="s">
        <v>47</v>
      </c>
      <c r="D7" s="24" t="s">
        <v>48</v>
      </c>
      <c r="E7" s="28"/>
      <c r="F7" s="25"/>
      <c r="G7" s="31"/>
      <c r="H7" s="32" t="s">
        <v>49</v>
      </c>
      <c r="I7" s="28"/>
      <c r="J7" s="30"/>
      <c r="K7" s="22" t="s">
        <v>41</v>
      </c>
      <c r="L7" s="23" t="s">
        <v>41</v>
      </c>
      <c r="M7" s="24" t="s">
        <v>41</v>
      </c>
      <c r="N7" s="23" t="s">
        <v>41</v>
      </c>
      <c r="O7" s="23" t="s">
        <v>41</v>
      </c>
      <c r="P7" s="23" t="s">
        <v>41</v>
      </c>
      <c r="Q7" s="23" t="s">
        <v>41</v>
      </c>
      <c r="R7" s="23" t="s">
        <v>41</v>
      </c>
      <c r="S7" s="24" t="s">
        <v>41</v>
      </c>
      <c r="T7" s="22"/>
      <c r="U7" s="23"/>
      <c r="V7" s="23"/>
      <c r="W7" s="23"/>
      <c r="X7" s="23"/>
      <c r="Y7" s="22"/>
      <c r="Z7" s="153"/>
      <c r="AA7" s="154"/>
      <c r="AB7" s="22"/>
      <c r="AC7" s="23"/>
      <c r="AD7" s="24"/>
    </row>
    <row r="8" spans="1:30" x14ac:dyDescent="0.25">
      <c r="A8" s="22" t="s">
        <v>50</v>
      </c>
      <c r="B8" s="23" t="s">
        <v>37</v>
      </c>
      <c r="C8" s="23" t="s">
        <v>38</v>
      </c>
      <c r="D8" s="24" t="s">
        <v>39</v>
      </c>
      <c r="E8" s="22" t="s">
        <v>40</v>
      </c>
      <c r="F8" s="33">
        <v>0</v>
      </c>
      <c r="G8" s="31"/>
      <c r="H8" s="27"/>
      <c r="I8" s="28"/>
      <c r="J8" s="30"/>
      <c r="K8" s="22"/>
      <c r="L8" s="23"/>
      <c r="M8" s="24"/>
      <c r="N8" s="23"/>
      <c r="O8" s="23"/>
      <c r="P8" s="23"/>
      <c r="Q8" s="23"/>
      <c r="R8" s="23"/>
      <c r="S8" s="24"/>
      <c r="T8" s="22" t="s">
        <v>41</v>
      </c>
      <c r="U8" s="23" t="s">
        <v>41</v>
      </c>
      <c r="V8" s="23" t="s">
        <v>41</v>
      </c>
      <c r="W8" s="23" t="s">
        <v>41</v>
      </c>
      <c r="X8" s="23" t="s">
        <v>41</v>
      </c>
      <c r="Y8" s="22" t="s">
        <v>41</v>
      </c>
      <c r="Z8" s="153"/>
      <c r="AA8" s="154"/>
      <c r="AB8" s="28"/>
      <c r="AC8" s="29"/>
      <c r="AD8" s="30"/>
    </row>
    <row r="9" spans="1:30" ht="30" x14ac:dyDescent="0.25">
      <c r="A9" s="22" t="s">
        <v>50</v>
      </c>
      <c r="B9" s="23" t="s">
        <v>37</v>
      </c>
      <c r="C9" s="23" t="s">
        <v>42</v>
      </c>
      <c r="D9" s="24" t="s">
        <v>43</v>
      </c>
      <c r="E9" s="22" t="s">
        <v>40</v>
      </c>
      <c r="F9" s="25"/>
      <c r="G9" s="26">
        <v>0</v>
      </c>
      <c r="H9" s="27"/>
      <c r="I9" s="22" t="s">
        <v>44</v>
      </c>
      <c r="J9" s="24" t="s">
        <v>44</v>
      </c>
      <c r="K9" s="28"/>
      <c r="L9" s="29"/>
      <c r="M9" s="30"/>
      <c r="N9" s="29"/>
      <c r="O9" s="29"/>
      <c r="P9" s="29"/>
      <c r="Q9" s="29"/>
      <c r="R9" s="29"/>
      <c r="S9" s="30"/>
      <c r="T9" s="28"/>
      <c r="U9" s="29"/>
      <c r="V9" s="29"/>
      <c r="W9" s="29"/>
      <c r="X9" s="23" t="s">
        <v>45</v>
      </c>
      <c r="Y9" s="22" t="s">
        <v>45</v>
      </c>
      <c r="Z9" s="153"/>
      <c r="AA9" s="154"/>
      <c r="AB9" s="28"/>
      <c r="AC9" s="29"/>
      <c r="AD9" s="30"/>
    </row>
    <row r="10" spans="1:30" ht="30" x14ac:dyDescent="0.25">
      <c r="A10" s="22" t="s">
        <v>50</v>
      </c>
      <c r="B10" s="23" t="s">
        <v>37</v>
      </c>
      <c r="C10" s="23" t="s">
        <v>42</v>
      </c>
      <c r="D10" s="24" t="s">
        <v>46</v>
      </c>
      <c r="E10" s="22"/>
      <c r="F10" s="25"/>
      <c r="G10" s="26">
        <v>0</v>
      </c>
      <c r="H10" s="27"/>
      <c r="I10" s="22" t="s">
        <v>44</v>
      </c>
      <c r="J10" s="24" t="s">
        <v>44</v>
      </c>
      <c r="K10" s="28"/>
      <c r="L10" s="29"/>
      <c r="M10" s="30"/>
      <c r="N10" s="29"/>
      <c r="O10" s="29"/>
      <c r="P10" s="29"/>
      <c r="Q10" s="29"/>
      <c r="R10" s="29"/>
      <c r="S10" s="30"/>
      <c r="T10" s="28"/>
      <c r="U10" s="29"/>
      <c r="V10" s="29"/>
      <c r="W10" s="29"/>
      <c r="X10" s="23" t="s">
        <v>45</v>
      </c>
      <c r="Y10" s="22" t="s">
        <v>45</v>
      </c>
      <c r="Z10" s="153"/>
      <c r="AA10" s="154"/>
      <c r="AB10" s="28"/>
      <c r="AC10" s="29"/>
      <c r="AD10" s="30"/>
    </row>
    <row r="11" spans="1:30" ht="15.75" thickBot="1" x14ac:dyDescent="0.3">
      <c r="A11" s="34" t="s">
        <v>50</v>
      </c>
      <c r="B11" s="35" t="s">
        <v>37</v>
      </c>
      <c r="C11" s="35" t="s">
        <v>47</v>
      </c>
      <c r="D11" s="36" t="s">
        <v>48</v>
      </c>
      <c r="E11" s="37"/>
      <c r="F11" s="38"/>
      <c r="G11" s="39"/>
      <c r="H11" s="40" t="s">
        <v>51</v>
      </c>
      <c r="I11" s="37"/>
      <c r="J11" s="41"/>
      <c r="K11" s="34" t="s">
        <v>41</v>
      </c>
      <c r="L11" s="35" t="s">
        <v>41</v>
      </c>
      <c r="M11" s="36" t="s">
        <v>41</v>
      </c>
      <c r="N11" s="35" t="s">
        <v>41</v>
      </c>
      <c r="O11" s="35" t="s">
        <v>41</v>
      </c>
      <c r="P11" s="35" t="s">
        <v>41</v>
      </c>
      <c r="Q11" s="35" t="s">
        <v>41</v>
      </c>
      <c r="R11" s="35" t="s">
        <v>41</v>
      </c>
      <c r="S11" s="36" t="s">
        <v>41</v>
      </c>
      <c r="T11" s="34"/>
      <c r="U11" s="35"/>
      <c r="V11" s="35"/>
      <c r="W11" s="35"/>
      <c r="X11" s="35"/>
      <c r="Y11" s="34"/>
      <c r="Z11" s="155"/>
      <c r="AA11" s="156"/>
      <c r="AB11" s="34"/>
      <c r="AC11" s="35"/>
      <c r="AD11" s="36"/>
    </row>
    <row r="13" spans="1:30" x14ac:dyDescent="0.25">
      <c r="A13" s="43"/>
    </row>
    <row r="14" spans="1:30" x14ac:dyDescent="0.25">
      <c r="A14"/>
    </row>
    <row r="15" spans="1:30" x14ac:dyDescent="0.25">
      <c r="A15" s="42" t="s">
        <v>52</v>
      </c>
    </row>
    <row r="16" spans="1:30" x14ac:dyDescent="0.25">
      <c r="A16" s="1" t="s">
        <v>53</v>
      </c>
    </row>
    <row r="17" spans="1:1" x14ac:dyDescent="0.25">
      <c r="A17" s="1" t="s">
        <v>54</v>
      </c>
    </row>
    <row r="18" spans="1:1" x14ac:dyDescent="0.25">
      <c r="A18" s="1" t="s">
        <v>55</v>
      </c>
    </row>
    <row r="19" spans="1:1" x14ac:dyDescent="0.25">
      <c r="A19" s="1" t="s">
        <v>56</v>
      </c>
    </row>
    <row r="20" spans="1:1" x14ac:dyDescent="0.25">
      <c r="A20" s="1" t="s">
        <v>57</v>
      </c>
    </row>
  </sheetData>
  <autoFilter ref="A3:AB11" xr:uid="{C0F5E534-8241-4FB7-B340-2E09BDB5BDB0}"/>
  <mergeCells count="5">
    <mergeCell ref="I1:S1"/>
    <mergeCell ref="I2:J2"/>
    <mergeCell ref="T1:AD1"/>
    <mergeCell ref="AB2:AD2"/>
    <mergeCell ref="T2:AA2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F044A-FCF6-425C-B812-47073DC72B33}">
  <dimension ref="A1:W46"/>
  <sheetViews>
    <sheetView zoomScale="70" zoomScaleNormal="7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I15" sqref="I15"/>
    </sheetView>
  </sheetViews>
  <sheetFormatPr defaultColWidth="8.85546875" defaultRowHeight="12.75" x14ac:dyDescent="0.2"/>
  <cols>
    <col min="1" max="1" width="19.42578125" style="94" bestFit="1" customWidth="1"/>
    <col min="2" max="2" width="19.5703125" style="94" bestFit="1" customWidth="1"/>
    <col min="3" max="3" width="36.140625" style="94" bestFit="1" customWidth="1"/>
    <col min="4" max="4" width="30.140625" style="94" bestFit="1" customWidth="1"/>
    <col min="5" max="5" width="9.42578125" style="94" customWidth="1"/>
    <col min="6" max="8" width="8.85546875" style="94"/>
    <col min="9" max="9" width="17.85546875" style="94" bestFit="1" customWidth="1"/>
    <col min="10" max="10" width="8.85546875" style="94"/>
    <col min="11" max="11" width="11" style="94" bestFit="1" customWidth="1"/>
    <col min="12" max="12" width="8.85546875" style="94"/>
    <col min="13" max="13" width="14.140625" style="94" bestFit="1" customWidth="1"/>
    <col min="14" max="15" width="14.42578125" style="94" bestFit="1" customWidth="1"/>
    <col min="16" max="18" width="14.140625" style="94" bestFit="1" customWidth="1"/>
    <col min="19" max="19" width="14.42578125" style="94" bestFit="1" customWidth="1"/>
    <col min="20" max="21" width="13.85546875" style="94" customWidth="1"/>
    <col min="22" max="23" width="13.140625" style="94" bestFit="1" customWidth="1"/>
    <col min="24" max="16384" width="8.85546875" style="94"/>
  </cols>
  <sheetData>
    <row r="1" spans="1:23" s="75" customFormat="1" ht="15" customHeight="1" thickBot="1" x14ac:dyDescent="0.25">
      <c r="A1" s="73" t="s">
        <v>0</v>
      </c>
      <c r="B1" s="74" t="s">
        <v>58</v>
      </c>
      <c r="F1" s="76"/>
      <c r="G1" s="76"/>
      <c r="I1" s="371" t="s">
        <v>1</v>
      </c>
      <c r="J1" s="372"/>
      <c r="K1" s="372"/>
      <c r="L1" s="372"/>
      <c r="M1" s="372"/>
      <c r="N1" s="372"/>
      <c r="O1" s="372"/>
      <c r="P1" s="372"/>
      <c r="Q1" s="372"/>
      <c r="R1" s="372"/>
      <c r="S1" s="373"/>
      <c r="T1" s="371" t="s">
        <v>2</v>
      </c>
      <c r="U1" s="372"/>
      <c r="V1" s="372"/>
      <c r="W1" s="373"/>
    </row>
    <row r="2" spans="1:23" s="77" customFormat="1" ht="59.45" customHeight="1" thickBot="1" x14ac:dyDescent="0.3">
      <c r="I2" s="78" t="s">
        <v>3</v>
      </c>
      <c r="J2" s="79" t="s">
        <v>4</v>
      </c>
      <c r="K2" s="77" t="s">
        <v>4</v>
      </c>
      <c r="L2" s="80" t="s">
        <v>4</v>
      </c>
      <c r="M2" s="77" t="s">
        <v>5</v>
      </c>
      <c r="N2" s="77" t="s">
        <v>5</v>
      </c>
      <c r="O2" s="77" t="s">
        <v>5</v>
      </c>
      <c r="P2" s="77" t="s">
        <v>5</v>
      </c>
      <c r="Q2" s="77" t="s">
        <v>5</v>
      </c>
      <c r="R2" s="77" t="s">
        <v>5</v>
      </c>
      <c r="S2" s="80" t="s">
        <v>5</v>
      </c>
      <c r="T2" s="374" t="s">
        <v>6</v>
      </c>
      <c r="U2" s="375"/>
      <c r="V2" s="375"/>
      <c r="W2" s="376"/>
    </row>
    <row r="3" spans="1:23" s="87" customFormat="1" ht="26.25" thickBot="1" x14ac:dyDescent="0.3">
      <c r="A3" s="81" t="s">
        <v>8</v>
      </c>
      <c r="B3" s="82" t="s">
        <v>9</v>
      </c>
      <c r="C3" s="82" t="s">
        <v>10</v>
      </c>
      <c r="D3" s="83" t="s">
        <v>11</v>
      </c>
      <c r="E3" s="81" t="s">
        <v>12</v>
      </c>
      <c r="F3" s="83" t="s">
        <v>13</v>
      </c>
      <c r="G3" s="84" t="s">
        <v>14</v>
      </c>
      <c r="H3" s="84" t="s">
        <v>15</v>
      </c>
      <c r="I3" s="81" t="s">
        <v>59</v>
      </c>
      <c r="J3" s="81" t="s">
        <v>60</v>
      </c>
      <c r="K3" s="82" t="s">
        <v>61</v>
      </c>
      <c r="L3" s="83" t="s">
        <v>20</v>
      </c>
      <c r="M3" s="82" t="s">
        <v>21</v>
      </c>
      <c r="N3" s="82" t="s">
        <v>62</v>
      </c>
      <c r="O3" s="82" t="s">
        <v>22</v>
      </c>
      <c r="P3" s="82" t="s">
        <v>23</v>
      </c>
      <c r="Q3" s="82" t="s">
        <v>24</v>
      </c>
      <c r="R3" s="82" t="s">
        <v>25</v>
      </c>
      <c r="S3" s="83" t="s">
        <v>26</v>
      </c>
      <c r="T3" s="81" t="s">
        <v>63</v>
      </c>
      <c r="U3" s="82" t="s">
        <v>64</v>
      </c>
      <c r="V3" s="85" t="s">
        <v>60</v>
      </c>
      <c r="W3" s="86" t="s">
        <v>61</v>
      </c>
    </row>
    <row r="4" spans="1:23" x14ac:dyDescent="0.2">
      <c r="A4" s="88" t="s">
        <v>65</v>
      </c>
      <c r="B4" s="89" t="s">
        <v>66</v>
      </c>
      <c r="C4" s="89" t="s">
        <v>67</v>
      </c>
      <c r="D4" s="90" t="s">
        <v>68</v>
      </c>
      <c r="E4" s="91"/>
      <c r="F4" s="91"/>
      <c r="G4" s="377">
        <v>2</v>
      </c>
      <c r="H4" s="377">
        <v>1</v>
      </c>
      <c r="I4" s="92">
        <v>12474375.440114986</v>
      </c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3"/>
    </row>
    <row r="5" spans="1:23" x14ac:dyDescent="0.2">
      <c r="A5" s="95" t="s">
        <v>69</v>
      </c>
      <c r="B5" s="96" t="s">
        <v>66</v>
      </c>
      <c r="C5" s="96" t="s">
        <v>67</v>
      </c>
      <c r="D5" s="97" t="s">
        <v>68</v>
      </c>
      <c r="G5" s="378"/>
      <c r="H5" s="378"/>
      <c r="I5" s="98">
        <v>13101834.389945012</v>
      </c>
      <c r="W5" s="99"/>
    </row>
    <row r="6" spans="1:23" x14ac:dyDescent="0.2">
      <c r="A6" s="95" t="s">
        <v>70</v>
      </c>
      <c r="B6" s="96" t="s">
        <v>66</v>
      </c>
      <c r="C6" s="96" t="s">
        <v>67</v>
      </c>
      <c r="D6" s="97" t="s">
        <v>68</v>
      </c>
      <c r="G6" s="378"/>
      <c r="H6" s="378"/>
      <c r="I6" s="98">
        <v>12765397.916910024</v>
      </c>
      <c r="W6" s="99"/>
    </row>
    <row r="7" spans="1:23" x14ac:dyDescent="0.2">
      <c r="A7" s="95" t="s">
        <v>71</v>
      </c>
      <c r="B7" s="96" t="s">
        <v>66</v>
      </c>
      <c r="C7" s="96" t="s">
        <v>67</v>
      </c>
      <c r="D7" s="97" t="s">
        <v>68</v>
      </c>
      <c r="G7" s="378"/>
      <c r="H7" s="378"/>
      <c r="I7" s="98">
        <v>9760270.0104750115</v>
      </c>
      <c r="W7" s="99"/>
    </row>
    <row r="8" spans="1:23" x14ac:dyDescent="0.2">
      <c r="A8" s="95" t="s">
        <v>72</v>
      </c>
      <c r="B8" s="96" t="s">
        <v>66</v>
      </c>
      <c r="C8" s="96" t="s">
        <v>67</v>
      </c>
      <c r="D8" s="97" t="s">
        <v>68</v>
      </c>
      <c r="G8" s="378"/>
      <c r="H8" s="378"/>
      <c r="I8" s="98">
        <v>14278538.622679975</v>
      </c>
      <c r="W8" s="99"/>
    </row>
    <row r="9" spans="1:23" x14ac:dyDescent="0.2">
      <c r="A9" s="95" t="s">
        <v>73</v>
      </c>
      <c r="B9" s="96" t="s">
        <v>66</v>
      </c>
      <c r="C9" s="96" t="s">
        <v>67</v>
      </c>
      <c r="D9" s="97" t="s">
        <v>68</v>
      </c>
      <c r="G9" s="378"/>
      <c r="H9" s="378"/>
      <c r="I9" s="98">
        <v>18179410.183660042</v>
      </c>
      <c r="W9" s="99"/>
    </row>
    <row r="10" spans="1:23" ht="13.5" thickBot="1" x14ac:dyDescent="0.25">
      <c r="A10" s="100" t="s">
        <v>74</v>
      </c>
      <c r="B10" s="101" t="s">
        <v>66</v>
      </c>
      <c r="C10" s="101" t="s">
        <v>67</v>
      </c>
      <c r="D10" s="102" t="s">
        <v>68</v>
      </c>
      <c r="E10" s="103"/>
      <c r="F10" s="103"/>
      <c r="G10" s="379"/>
      <c r="H10" s="379"/>
      <c r="I10" s="104">
        <v>10226726.025295002</v>
      </c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5"/>
    </row>
    <row r="11" spans="1:23" x14ac:dyDescent="0.2">
      <c r="A11" s="88" t="s">
        <v>65</v>
      </c>
      <c r="B11" s="89" t="s">
        <v>66</v>
      </c>
      <c r="C11" s="89" t="s">
        <v>67</v>
      </c>
      <c r="D11" s="89" t="s">
        <v>75</v>
      </c>
      <c r="E11" s="91"/>
      <c r="F11" s="91"/>
      <c r="G11" s="377">
        <v>1</v>
      </c>
      <c r="H11" s="91"/>
      <c r="I11" s="92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3"/>
    </row>
    <row r="12" spans="1:23" x14ac:dyDescent="0.2">
      <c r="A12" s="95" t="s">
        <v>69</v>
      </c>
      <c r="B12" s="96" t="s">
        <v>66</v>
      </c>
      <c r="C12" s="96" t="s">
        <v>67</v>
      </c>
      <c r="D12" s="96" t="s">
        <v>75</v>
      </c>
      <c r="G12" s="378"/>
      <c r="I12" s="98"/>
      <c r="W12" s="99"/>
    </row>
    <row r="13" spans="1:23" x14ac:dyDescent="0.2">
      <c r="A13" s="95" t="s">
        <v>70</v>
      </c>
      <c r="B13" s="96" t="s">
        <v>66</v>
      </c>
      <c r="C13" s="96" t="s">
        <v>67</v>
      </c>
      <c r="D13" s="96" t="s">
        <v>75</v>
      </c>
      <c r="G13" s="378"/>
      <c r="I13" s="98"/>
      <c r="W13" s="99"/>
    </row>
    <row r="14" spans="1:23" x14ac:dyDescent="0.2">
      <c r="A14" s="95" t="s">
        <v>76</v>
      </c>
      <c r="B14" s="96" t="s">
        <v>66</v>
      </c>
      <c r="C14" s="96" t="s">
        <v>67</v>
      </c>
      <c r="D14" s="96" t="s">
        <v>75</v>
      </c>
      <c r="G14" s="378"/>
      <c r="I14" s="98"/>
      <c r="W14" s="99"/>
    </row>
    <row r="15" spans="1:23" x14ac:dyDescent="0.2">
      <c r="A15" s="95" t="s">
        <v>72</v>
      </c>
      <c r="B15" s="96" t="s">
        <v>66</v>
      </c>
      <c r="C15" s="96" t="s">
        <v>67</v>
      </c>
      <c r="D15" s="96" t="s">
        <v>75</v>
      </c>
      <c r="G15" s="378"/>
      <c r="I15" s="98"/>
      <c r="T15" s="98">
        <v>3407072.5562050003</v>
      </c>
      <c r="U15" s="98"/>
      <c r="V15" s="98"/>
      <c r="W15" s="99"/>
    </row>
    <row r="16" spans="1:23" x14ac:dyDescent="0.2">
      <c r="A16" s="95" t="s">
        <v>73</v>
      </c>
      <c r="B16" s="96" t="s">
        <v>66</v>
      </c>
      <c r="C16" s="96" t="s">
        <v>67</v>
      </c>
      <c r="D16" s="96" t="s">
        <v>75</v>
      </c>
      <c r="G16" s="378"/>
      <c r="I16" s="98"/>
      <c r="T16" s="98"/>
      <c r="U16" s="98"/>
      <c r="V16" s="98"/>
      <c r="W16" s="99"/>
    </row>
    <row r="17" spans="1:23" ht="13.5" thickBot="1" x14ac:dyDescent="0.25">
      <c r="A17" s="100" t="s">
        <v>74</v>
      </c>
      <c r="B17" s="101" t="s">
        <v>66</v>
      </c>
      <c r="C17" s="101" t="s">
        <v>67</v>
      </c>
      <c r="D17" s="101" t="s">
        <v>75</v>
      </c>
      <c r="E17" s="103"/>
      <c r="F17" s="103"/>
      <c r="G17" s="379"/>
      <c r="H17" s="103"/>
      <c r="I17" s="104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4"/>
      <c r="U17" s="104"/>
      <c r="V17" s="104"/>
      <c r="W17" s="105"/>
    </row>
    <row r="18" spans="1:23" x14ac:dyDescent="0.2">
      <c r="A18" s="88" t="s">
        <v>65</v>
      </c>
      <c r="B18" s="89" t="s">
        <v>66</v>
      </c>
      <c r="C18" s="89" t="s">
        <v>67</v>
      </c>
      <c r="D18" s="89" t="s">
        <v>77</v>
      </c>
      <c r="E18" s="91"/>
      <c r="F18" s="91"/>
      <c r="G18" s="377">
        <v>1</v>
      </c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2"/>
      <c r="U18" s="92"/>
      <c r="V18" s="92"/>
      <c r="W18" s="93"/>
    </row>
    <row r="19" spans="1:23" x14ac:dyDescent="0.2">
      <c r="A19" s="95" t="s">
        <v>69</v>
      </c>
      <c r="B19" s="96" t="s">
        <v>66</v>
      </c>
      <c r="C19" s="96" t="s">
        <v>67</v>
      </c>
      <c r="D19" s="96" t="s">
        <v>77</v>
      </c>
      <c r="G19" s="378"/>
      <c r="T19" s="98"/>
      <c r="U19" s="98"/>
      <c r="V19" s="98"/>
      <c r="W19" s="99"/>
    </row>
    <row r="20" spans="1:23" x14ac:dyDescent="0.2">
      <c r="A20" s="95" t="s">
        <v>70</v>
      </c>
      <c r="B20" s="96" t="s">
        <v>66</v>
      </c>
      <c r="C20" s="96" t="s">
        <v>67</v>
      </c>
      <c r="D20" s="96" t="s">
        <v>77</v>
      </c>
      <c r="G20" s="378"/>
      <c r="T20" s="98"/>
      <c r="U20" s="98"/>
      <c r="V20" s="98"/>
      <c r="W20" s="99"/>
    </row>
    <row r="21" spans="1:23" x14ac:dyDescent="0.2">
      <c r="A21" s="95" t="s">
        <v>71</v>
      </c>
      <c r="B21" s="96" t="s">
        <v>66</v>
      </c>
      <c r="C21" s="96" t="s">
        <v>67</v>
      </c>
      <c r="D21" s="96" t="s">
        <v>77</v>
      </c>
      <c r="G21" s="378"/>
      <c r="T21" s="98"/>
      <c r="U21" s="98"/>
      <c r="V21" s="98"/>
      <c r="W21" s="99"/>
    </row>
    <row r="22" spans="1:23" x14ac:dyDescent="0.2">
      <c r="A22" s="95" t="s">
        <v>72</v>
      </c>
      <c r="B22" s="96" t="s">
        <v>66</v>
      </c>
      <c r="C22" s="96" t="s">
        <v>67</v>
      </c>
      <c r="D22" s="96" t="s">
        <v>77</v>
      </c>
      <c r="G22" s="378"/>
      <c r="T22" s="98">
        <v>10871466.066474997</v>
      </c>
      <c r="U22" s="98"/>
      <c r="V22" s="98"/>
      <c r="W22" s="99"/>
    </row>
    <row r="23" spans="1:23" x14ac:dyDescent="0.2">
      <c r="A23" s="95" t="s">
        <v>73</v>
      </c>
      <c r="B23" s="96" t="s">
        <v>66</v>
      </c>
      <c r="C23" s="96" t="s">
        <v>67</v>
      </c>
      <c r="D23" s="96" t="s">
        <v>77</v>
      </c>
      <c r="G23" s="378"/>
      <c r="W23" s="99"/>
    </row>
    <row r="24" spans="1:23" ht="13.5" thickBot="1" x14ac:dyDescent="0.25">
      <c r="A24" s="100" t="s">
        <v>74</v>
      </c>
      <c r="B24" s="101" t="s">
        <v>66</v>
      </c>
      <c r="C24" s="101" t="s">
        <v>67</v>
      </c>
      <c r="D24" s="101" t="s">
        <v>77</v>
      </c>
      <c r="E24" s="103"/>
      <c r="F24" s="103"/>
      <c r="G24" s="379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5"/>
    </row>
    <row r="25" spans="1:23" x14ac:dyDescent="0.2">
      <c r="A25" s="88" t="s">
        <v>65</v>
      </c>
      <c r="B25" s="89"/>
      <c r="C25" s="89" t="s">
        <v>66</v>
      </c>
      <c r="D25" s="89" t="s">
        <v>78</v>
      </c>
      <c r="E25" s="91"/>
      <c r="F25" s="91"/>
      <c r="G25" s="377">
        <v>2</v>
      </c>
      <c r="H25" s="91"/>
      <c r="I25" s="91"/>
      <c r="J25" s="91"/>
      <c r="K25" s="141" t="s">
        <v>79</v>
      </c>
      <c r="L25" s="91"/>
      <c r="M25" s="91"/>
      <c r="N25" s="110"/>
      <c r="O25" s="91"/>
      <c r="P25" s="91"/>
      <c r="Q25" s="91"/>
      <c r="R25" s="91"/>
      <c r="S25" s="91"/>
      <c r="T25" s="91"/>
      <c r="U25" s="91"/>
      <c r="V25" s="91"/>
      <c r="W25" s="93"/>
    </row>
    <row r="26" spans="1:23" x14ac:dyDescent="0.2">
      <c r="A26" s="95" t="s">
        <v>71</v>
      </c>
      <c r="B26" s="96"/>
      <c r="C26" s="96" t="s">
        <v>66</v>
      </c>
      <c r="D26" s="96" t="s">
        <v>78</v>
      </c>
      <c r="G26" s="378"/>
      <c r="K26" s="142" t="s">
        <v>80</v>
      </c>
      <c r="N26" s="111"/>
      <c r="W26" s="99"/>
    </row>
    <row r="27" spans="1:23" x14ac:dyDescent="0.2">
      <c r="A27" s="95" t="s">
        <v>69</v>
      </c>
      <c r="B27" s="96"/>
      <c r="C27" s="96" t="s">
        <v>66</v>
      </c>
      <c r="D27" s="96" t="s">
        <v>78</v>
      </c>
      <c r="G27" s="378"/>
      <c r="K27" s="142" t="s">
        <v>81</v>
      </c>
      <c r="N27" s="111"/>
      <c r="W27" s="99"/>
    </row>
    <row r="28" spans="1:23" x14ac:dyDescent="0.2">
      <c r="A28" s="95" t="s">
        <v>73</v>
      </c>
      <c r="B28" s="96"/>
      <c r="C28" s="96" t="s">
        <v>66</v>
      </c>
      <c r="D28" s="96" t="s">
        <v>78</v>
      </c>
      <c r="G28" s="378"/>
      <c r="K28" s="142" t="s">
        <v>82</v>
      </c>
      <c r="N28" s="111"/>
      <c r="W28" s="99"/>
    </row>
    <row r="29" spans="1:23" x14ac:dyDescent="0.2">
      <c r="A29" s="95" t="s">
        <v>72</v>
      </c>
      <c r="B29" s="96"/>
      <c r="C29" s="96" t="s">
        <v>66</v>
      </c>
      <c r="D29" s="96" t="s">
        <v>78</v>
      </c>
      <c r="G29" s="378"/>
      <c r="K29" s="142" t="s">
        <v>83</v>
      </c>
      <c r="N29" s="111"/>
      <c r="W29" s="99"/>
    </row>
    <row r="30" spans="1:23" x14ac:dyDescent="0.2">
      <c r="A30" s="95" t="s">
        <v>74</v>
      </c>
      <c r="B30" s="96"/>
      <c r="C30" s="96" t="s">
        <v>66</v>
      </c>
      <c r="D30" s="96" t="s">
        <v>78</v>
      </c>
      <c r="G30" s="378"/>
      <c r="K30" s="142" t="s">
        <v>84</v>
      </c>
      <c r="N30" s="111"/>
      <c r="W30" s="99"/>
    </row>
    <row r="31" spans="1:23" ht="13.5" thickBot="1" x14ac:dyDescent="0.25">
      <c r="A31" s="100" t="s">
        <v>70</v>
      </c>
      <c r="B31" s="101"/>
      <c r="C31" s="101" t="s">
        <v>66</v>
      </c>
      <c r="D31" s="101" t="s">
        <v>78</v>
      </c>
      <c r="G31" s="379"/>
      <c r="K31" s="142" t="s">
        <v>85</v>
      </c>
      <c r="N31" s="111"/>
      <c r="W31" s="99"/>
    </row>
    <row r="32" spans="1:23" x14ac:dyDescent="0.2">
      <c r="A32" s="88" t="s">
        <v>65</v>
      </c>
      <c r="B32" s="89" t="s">
        <v>66</v>
      </c>
      <c r="C32" s="89" t="s">
        <v>67</v>
      </c>
      <c r="D32" s="89" t="s">
        <v>86</v>
      </c>
      <c r="E32" s="91"/>
      <c r="F32" s="91"/>
      <c r="G32" s="377">
        <v>3</v>
      </c>
      <c r="H32" s="91"/>
      <c r="I32" s="91"/>
      <c r="J32" s="91" t="s">
        <v>87</v>
      </c>
      <c r="K32" s="92"/>
      <c r="L32" s="91"/>
      <c r="M32" s="91"/>
      <c r="N32" s="92"/>
      <c r="O32" s="91"/>
      <c r="P32" s="91"/>
      <c r="Q32" s="91"/>
      <c r="R32" s="91"/>
      <c r="S32" s="91"/>
      <c r="T32" s="91"/>
      <c r="U32" s="91"/>
      <c r="V32" s="91"/>
      <c r="W32" s="93"/>
    </row>
    <row r="33" spans="1:23" ht="14.45" customHeight="1" x14ac:dyDescent="0.2">
      <c r="A33" s="95" t="s">
        <v>71</v>
      </c>
      <c r="B33" s="96" t="s">
        <v>66</v>
      </c>
      <c r="C33" s="96" t="s">
        <v>67</v>
      </c>
      <c r="D33" s="96" t="s">
        <v>86</v>
      </c>
      <c r="G33" s="378"/>
      <c r="J33" s="94" t="s">
        <v>88</v>
      </c>
      <c r="K33" s="98"/>
      <c r="N33" s="98"/>
      <c r="W33" s="99"/>
    </row>
    <row r="34" spans="1:23" ht="14.45" customHeight="1" x14ac:dyDescent="0.2">
      <c r="A34" s="95" t="s">
        <v>69</v>
      </c>
      <c r="B34" s="96" t="s">
        <v>66</v>
      </c>
      <c r="C34" s="96" t="s">
        <v>67</v>
      </c>
      <c r="D34" s="96" t="s">
        <v>86</v>
      </c>
      <c r="G34" s="378"/>
      <c r="J34" s="94" t="s">
        <v>89</v>
      </c>
      <c r="K34" s="98"/>
      <c r="N34" s="98"/>
      <c r="W34" s="99"/>
    </row>
    <row r="35" spans="1:23" ht="14.45" customHeight="1" x14ac:dyDescent="0.2">
      <c r="A35" s="95" t="s">
        <v>73</v>
      </c>
      <c r="B35" s="96" t="s">
        <v>66</v>
      </c>
      <c r="C35" s="96" t="s">
        <v>67</v>
      </c>
      <c r="D35" s="96" t="s">
        <v>86</v>
      </c>
      <c r="G35" s="378"/>
      <c r="J35" s="94" t="s">
        <v>90</v>
      </c>
      <c r="K35" s="98"/>
      <c r="N35" s="98"/>
      <c r="W35" s="99"/>
    </row>
    <row r="36" spans="1:23" ht="14.45" customHeight="1" x14ac:dyDescent="0.2">
      <c r="A36" s="95" t="s">
        <v>72</v>
      </c>
      <c r="B36" s="96" t="s">
        <v>66</v>
      </c>
      <c r="C36" s="96" t="s">
        <v>67</v>
      </c>
      <c r="D36" s="96" t="s">
        <v>86</v>
      </c>
      <c r="G36" s="378"/>
      <c r="J36" s="94" t="s">
        <v>91</v>
      </c>
      <c r="K36" s="98"/>
      <c r="N36" s="98"/>
      <c r="W36" s="99"/>
    </row>
    <row r="37" spans="1:23" ht="14.45" customHeight="1" x14ac:dyDescent="0.2">
      <c r="A37" s="95" t="s">
        <v>74</v>
      </c>
      <c r="B37" s="96" t="s">
        <v>66</v>
      </c>
      <c r="C37" s="96" t="s">
        <v>67</v>
      </c>
      <c r="D37" s="96" t="s">
        <v>86</v>
      </c>
      <c r="G37" s="378"/>
      <c r="J37" s="94" t="s">
        <v>92</v>
      </c>
      <c r="K37" s="98"/>
      <c r="N37" s="98"/>
      <c r="W37" s="99"/>
    </row>
    <row r="38" spans="1:23" ht="15" customHeight="1" thickBot="1" x14ac:dyDescent="0.25">
      <c r="A38" s="100" t="s">
        <v>70</v>
      </c>
      <c r="B38" s="101" t="s">
        <v>66</v>
      </c>
      <c r="C38" s="101" t="s">
        <v>67</v>
      </c>
      <c r="D38" s="101" t="s">
        <v>86</v>
      </c>
      <c r="E38" s="103"/>
      <c r="F38" s="103"/>
      <c r="G38" s="379"/>
      <c r="H38" s="103"/>
      <c r="I38" s="103"/>
      <c r="J38" s="103" t="s">
        <v>93</v>
      </c>
      <c r="K38" s="104"/>
      <c r="L38" s="103"/>
      <c r="M38" s="103"/>
      <c r="N38" s="104"/>
      <c r="O38" s="103"/>
      <c r="P38" s="103"/>
      <c r="Q38" s="103"/>
      <c r="R38" s="103"/>
      <c r="S38" s="103"/>
      <c r="T38" s="103"/>
      <c r="U38" s="103"/>
      <c r="V38" s="103"/>
      <c r="W38" s="105"/>
    </row>
    <row r="39" spans="1:23" s="106" customFormat="1" ht="13.5" thickBot="1" x14ac:dyDescent="0.25"/>
    <row r="40" spans="1:23" ht="14.25" x14ac:dyDescent="0.25">
      <c r="A40" s="112" t="s">
        <v>65</v>
      </c>
      <c r="B40" s="113" t="s">
        <v>66</v>
      </c>
      <c r="C40" s="114" t="s">
        <v>94</v>
      </c>
      <c r="D40" s="115" t="s">
        <v>95</v>
      </c>
      <c r="E40" s="380">
        <v>1</v>
      </c>
      <c r="F40" s="381">
        <v>1</v>
      </c>
      <c r="G40" s="381">
        <f>3+6+5</f>
        <v>14</v>
      </c>
      <c r="H40" s="381">
        <v>1</v>
      </c>
      <c r="I40" s="91"/>
      <c r="J40" s="91"/>
      <c r="K40" s="91"/>
      <c r="L40" s="91"/>
      <c r="M40" s="116" t="s">
        <v>96</v>
      </c>
      <c r="N40" s="116" t="s">
        <v>97</v>
      </c>
      <c r="O40" s="116" t="s">
        <v>98</v>
      </c>
      <c r="P40" s="116" t="s">
        <v>99</v>
      </c>
      <c r="Q40" s="116" t="s">
        <v>100</v>
      </c>
      <c r="R40" s="116" t="s">
        <v>101</v>
      </c>
      <c r="S40" s="116" t="s">
        <v>102</v>
      </c>
      <c r="T40" s="117">
        <v>4949280.3224000009</v>
      </c>
      <c r="U40" s="118">
        <v>7525095.1177149983</v>
      </c>
      <c r="V40" s="119" t="s">
        <v>87</v>
      </c>
      <c r="W40" s="120" t="s">
        <v>79</v>
      </c>
    </row>
    <row r="41" spans="1:23" ht="14.25" x14ac:dyDescent="0.25">
      <c r="A41" s="121" t="s">
        <v>71</v>
      </c>
      <c r="B41" s="107" t="s">
        <v>66</v>
      </c>
      <c r="C41" s="108" t="s">
        <v>94</v>
      </c>
      <c r="D41" s="109" t="s">
        <v>95</v>
      </c>
      <c r="E41" s="367"/>
      <c r="F41" s="368"/>
      <c r="G41" s="368"/>
      <c r="H41" s="368"/>
      <c r="M41" s="123" t="s">
        <v>103</v>
      </c>
      <c r="N41" s="123" t="s">
        <v>104</v>
      </c>
      <c r="O41" s="123" t="s">
        <v>105</v>
      </c>
      <c r="P41" s="123" t="s">
        <v>106</v>
      </c>
      <c r="Q41" s="124"/>
      <c r="R41" s="123" t="s">
        <v>107</v>
      </c>
      <c r="S41" s="123" t="s">
        <v>108</v>
      </c>
      <c r="T41" s="125">
        <v>5107980.7902099984</v>
      </c>
      <c r="U41" s="126">
        <v>4652289.220265002</v>
      </c>
      <c r="V41" s="127" t="s">
        <v>88</v>
      </c>
      <c r="W41" s="128" t="s">
        <v>80</v>
      </c>
    </row>
    <row r="42" spans="1:23" ht="15" x14ac:dyDescent="0.25">
      <c r="A42" s="121" t="s">
        <v>69</v>
      </c>
      <c r="B42" s="107" t="s">
        <v>66</v>
      </c>
      <c r="C42" s="108" t="s">
        <v>94</v>
      </c>
      <c r="D42" s="109" t="s">
        <v>109</v>
      </c>
      <c r="E42" s="367">
        <v>1</v>
      </c>
      <c r="F42" s="368">
        <v>1</v>
      </c>
      <c r="G42" s="368">
        <f>3+7+5</f>
        <v>15</v>
      </c>
      <c r="H42" s="368">
        <v>1</v>
      </c>
      <c r="M42" s="129" t="s">
        <v>110</v>
      </c>
      <c r="N42" s="129" t="s">
        <v>111</v>
      </c>
      <c r="O42" s="129" t="s">
        <v>112</v>
      </c>
      <c r="P42" s="129" t="s">
        <v>113</v>
      </c>
      <c r="Q42" s="129" t="s">
        <v>114</v>
      </c>
      <c r="R42" s="129" t="s">
        <v>115</v>
      </c>
      <c r="S42" s="129" t="s">
        <v>116</v>
      </c>
      <c r="T42" s="125">
        <v>6873316.6727850009</v>
      </c>
      <c r="U42" s="125">
        <v>6228517.7171600079</v>
      </c>
      <c r="V42" s="130" t="s">
        <v>89</v>
      </c>
      <c r="W42" s="131" t="s">
        <v>81</v>
      </c>
    </row>
    <row r="43" spans="1:23" ht="15" x14ac:dyDescent="0.25">
      <c r="A43" s="121" t="s">
        <v>73</v>
      </c>
      <c r="B43" s="107" t="s">
        <v>66</v>
      </c>
      <c r="C43" s="108" t="s">
        <v>94</v>
      </c>
      <c r="D43" s="109" t="s">
        <v>109</v>
      </c>
      <c r="E43" s="367"/>
      <c r="F43" s="368"/>
      <c r="G43" s="368"/>
      <c r="H43" s="368"/>
      <c r="M43" s="129" t="s">
        <v>117</v>
      </c>
      <c r="N43" s="129" t="s">
        <v>118</v>
      </c>
      <c r="O43" s="129" t="s">
        <v>119</v>
      </c>
      <c r="P43" s="129" t="s">
        <v>120</v>
      </c>
      <c r="Q43" s="129" t="s">
        <v>121</v>
      </c>
      <c r="R43" s="129" t="s">
        <v>122</v>
      </c>
      <c r="S43" s="129" t="s">
        <v>123</v>
      </c>
      <c r="T43" s="125">
        <v>10034239.804695001</v>
      </c>
      <c r="U43" s="125">
        <v>8145170.3789650053</v>
      </c>
      <c r="V43" s="130" t="s">
        <v>90</v>
      </c>
      <c r="W43" s="131" t="s">
        <v>82</v>
      </c>
    </row>
    <row r="44" spans="1:23" ht="15" x14ac:dyDescent="0.25">
      <c r="A44" s="121" t="s">
        <v>72</v>
      </c>
      <c r="B44" s="107" t="s">
        <v>66</v>
      </c>
      <c r="C44" s="108" t="s">
        <v>94</v>
      </c>
      <c r="D44" s="109" t="s">
        <v>124</v>
      </c>
      <c r="E44" s="122">
        <v>1</v>
      </c>
      <c r="F44" s="122">
        <v>1</v>
      </c>
      <c r="G44" s="122">
        <f>8+5</f>
        <v>13</v>
      </c>
      <c r="H44" s="122"/>
      <c r="M44" s="123" t="s">
        <v>125</v>
      </c>
      <c r="N44" s="124"/>
      <c r="O44" s="123" t="s">
        <v>126</v>
      </c>
      <c r="P44" s="123" t="s">
        <v>127</v>
      </c>
      <c r="Q44" s="123" t="s">
        <v>128</v>
      </c>
      <c r="R44" s="123" t="s">
        <v>129</v>
      </c>
      <c r="S44" s="129" t="s">
        <v>130</v>
      </c>
      <c r="T44" s="125">
        <v>3407072.5562050003</v>
      </c>
      <c r="U44" s="125">
        <v>10871466.066474997</v>
      </c>
      <c r="V44" s="127" t="s">
        <v>91</v>
      </c>
      <c r="W44" s="128" t="s">
        <v>83</v>
      </c>
    </row>
    <row r="45" spans="1:23" ht="15" x14ac:dyDescent="0.25">
      <c r="A45" s="121" t="s">
        <v>74</v>
      </c>
      <c r="B45" s="107" t="s">
        <v>66</v>
      </c>
      <c r="C45" s="108" t="s">
        <v>94</v>
      </c>
      <c r="D45" s="109" t="s">
        <v>131</v>
      </c>
      <c r="E45" s="367">
        <v>1</v>
      </c>
      <c r="F45" s="368">
        <v>1</v>
      </c>
      <c r="G45" s="368">
        <f>6+7+5</f>
        <v>18</v>
      </c>
      <c r="H45" s="368">
        <v>1</v>
      </c>
      <c r="M45" s="129" t="s">
        <v>132</v>
      </c>
      <c r="N45" s="124"/>
      <c r="O45" s="129" t="s">
        <v>133</v>
      </c>
      <c r="P45" s="129" t="s">
        <v>134</v>
      </c>
      <c r="Q45" s="124"/>
      <c r="R45" s="129" t="s">
        <v>135</v>
      </c>
      <c r="S45" s="129" t="s">
        <v>136</v>
      </c>
      <c r="T45" s="125">
        <v>5311641.5904900022</v>
      </c>
      <c r="U45" s="125">
        <v>4915084.4348050067</v>
      </c>
      <c r="V45" s="130" t="s">
        <v>92</v>
      </c>
      <c r="W45" s="131" t="s">
        <v>84</v>
      </c>
    </row>
    <row r="46" spans="1:23" ht="15.75" thickBot="1" x14ac:dyDescent="0.3">
      <c r="A46" s="132" t="s">
        <v>70</v>
      </c>
      <c r="B46" s="133" t="s">
        <v>66</v>
      </c>
      <c r="C46" s="134" t="s">
        <v>94</v>
      </c>
      <c r="D46" s="135" t="s">
        <v>131</v>
      </c>
      <c r="E46" s="370"/>
      <c r="F46" s="369"/>
      <c r="G46" s="369"/>
      <c r="H46" s="369"/>
      <c r="I46" s="103"/>
      <c r="J46" s="103"/>
      <c r="K46" s="103"/>
      <c r="L46" s="103"/>
      <c r="M46" s="136" t="s">
        <v>137</v>
      </c>
      <c r="N46" s="136" t="s">
        <v>138</v>
      </c>
      <c r="O46" s="136" t="s">
        <v>139</v>
      </c>
      <c r="P46" s="136" t="s">
        <v>140</v>
      </c>
      <c r="Q46" s="137"/>
      <c r="R46" s="136" t="s">
        <v>141</v>
      </c>
      <c r="S46" s="136" t="s">
        <v>142</v>
      </c>
      <c r="T46" s="138">
        <v>4982754.1381299971</v>
      </c>
      <c r="U46" s="138">
        <v>7782643.7787800003</v>
      </c>
      <c r="V46" s="139" t="s">
        <v>93</v>
      </c>
      <c r="W46" s="140" t="s">
        <v>85</v>
      </c>
    </row>
  </sheetData>
  <mergeCells count="21">
    <mergeCell ref="T1:W1"/>
    <mergeCell ref="T2:W2"/>
    <mergeCell ref="G32:G38"/>
    <mergeCell ref="G25:G31"/>
    <mergeCell ref="E40:E41"/>
    <mergeCell ref="F40:F41"/>
    <mergeCell ref="G40:G41"/>
    <mergeCell ref="H40:H41"/>
    <mergeCell ref="G11:G17"/>
    <mergeCell ref="G18:G24"/>
    <mergeCell ref="G4:G10"/>
    <mergeCell ref="H4:H10"/>
    <mergeCell ref="I1:S1"/>
    <mergeCell ref="E42:E43"/>
    <mergeCell ref="F42:F43"/>
    <mergeCell ref="G42:G43"/>
    <mergeCell ref="H42:H43"/>
    <mergeCell ref="H45:H46"/>
    <mergeCell ref="G45:G46"/>
    <mergeCell ref="F45:F46"/>
    <mergeCell ref="E45:E46"/>
  </mergeCells>
  <phoneticPr fontId="10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B7BC1-AB84-4C97-A7A0-E851126C3CB4}">
  <dimension ref="A1:AE177"/>
  <sheetViews>
    <sheetView zoomScale="50" zoomScaleNormal="50" workbookViewId="0">
      <selection activeCell="AE1" activeCellId="2" sqref="I1:S1048576 T1:AD1048576 AE1:AE1048576"/>
    </sheetView>
  </sheetViews>
  <sheetFormatPr defaultRowHeight="15" x14ac:dyDescent="0.25"/>
  <cols>
    <col min="1" max="1" width="17.5703125" style="262" customWidth="1"/>
    <col min="2" max="2" width="8.140625" customWidth="1"/>
    <col min="3" max="3" width="25.5703125" customWidth="1"/>
    <col min="4" max="4" width="37.85546875" bestFit="1" customWidth="1"/>
    <col min="5" max="5" width="24.85546875" bestFit="1" customWidth="1"/>
    <col min="9" max="9" width="14.85546875" style="224" bestFit="1" customWidth="1"/>
    <col min="10" max="10" width="12.140625" style="224" bestFit="1" customWidth="1"/>
    <col min="11" max="11" width="13.42578125" style="224" bestFit="1" customWidth="1"/>
    <col min="12" max="13" width="12.140625" style="224" bestFit="1" customWidth="1"/>
    <col min="14" max="14" width="13.42578125" style="224" bestFit="1" customWidth="1"/>
    <col min="15" max="16" width="14.5703125" style="224" bestFit="1" customWidth="1"/>
    <col min="17" max="17" width="11.85546875" style="224" bestFit="1" customWidth="1"/>
    <col min="18" max="19" width="13.85546875" style="224" bestFit="1" customWidth="1"/>
    <col min="20" max="21" width="13.85546875" bestFit="1" customWidth="1"/>
    <col min="22" max="23" width="12.140625" bestFit="1" customWidth="1"/>
    <col min="24" max="24" width="18.28515625" customWidth="1"/>
    <col min="25" max="25" width="13.85546875" bestFit="1" customWidth="1"/>
    <col min="26" max="26" width="8.42578125" bestFit="1" customWidth="1"/>
    <col min="27" max="27" width="7" bestFit="1" customWidth="1"/>
    <col min="28" max="30" width="13.85546875" bestFit="1" customWidth="1"/>
    <col min="31" max="31" width="11.140625" bestFit="1" customWidth="1"/>
  </cols>
  <sheetData>
    <row r="1" spans="1:31" ht="15" customHeight="1" thickBot="1" x14ac:dyDescent="0.3">
      <c r="A1" s="349" t="s">
        <v>0</v>
      </c>
      <c r="B1" s="1"/>
      <c r="C1" s="1"/>
      <c r="D1" s="1"/>
      <c r="E1" s="1"/>
      <c r="F1" s="2"/>
      <c r="G1" s="2"/>
      <c r="H1" s="1"/>
      <c r="I1" s="382" t="s">
        <v>1</v>
      </c>
      <c r="J1" s="383"/>
      <c r="K1" s="383"/>
      <c r="L1" s="383"/>
      <c r="M1" s="383"/>
      <c r="N1" s="383"/>
      <c r="O1" s="383"/>
      <c r="P1" s="383"/>
      <c r="Q1" s="383"/>
      <c r="R1" s="383"/>
      <c r="S1" s="384"/>
      <c r="T1" s="361" t="s">
        <v>2</v>
      </c>
      <c r="U1" s="362"/>
      <c r="V1" s="362"/>
      <c r="W1" s="362"/>
      <c r="X1" s="362"/>
      <c r="Y1" s="362"/>
      <c r="Z1" s="362"/>
      <c r="AA1" s="362"/>
      <c r="AB1" s="362"/>
      <c r="AC1" s="362"/>
      <c r="AD1" s="363"/>
    </row>
    <row r="2" spans="1:31" ht="45.75" thickBot="1" x14ac:dyDescent="0.3">
      <c r="A2" s="350"/>
      <c r="B2" s="3"/>
      <c r="C2" s="3"/>
      <c r="D2" s="3"/>
      <c r="E2" s="3"/>
      <c r="F2" s="3"/>
      <c r="G2" s="3"/>
      <c r="H2" s="3"/>
      <c r="I2" s="385" t="s">
        <v>3</v>
      </c>
      <c r="J2" s="386"/>
      <c r="K2" s="340" t="s">
        <v>4</v>
      </c>
      <c r="L2" s="341" t="s">
        <v>4</v>
      </c>
      <c r="M2" s="342" t="s">
        <v>4</v>
      </c>
      <c r="N2" s="341" t="s">
        <v>5</v>
      </c>
      <c r="O2" s="341" t="s">
        <v>5</v>
      </c>
      <c r="P2" s="341" t="s">
        <v>5</v>
      </c>
      <c r="Q2" s="341" t="s">
        <v>5</v>
      </c>
      <c r="R2" s="341" t="s">
        <v>5</v>
      </c>
      <c r="S2" s="342" t="s">
        <v>5</v>
      </c>
      <c r="T2" s="364" t="s">
        <v>6</v>
      </c>
      <c r="U2" s="366"/>
      <c r="V2" s="366"/>
      <c r="W2" s="366"/>
      <c r="X2" s="366"/>
      <c r="Y2" s="366"/>
      <c r="Z2" s="366"/>
      <c r="AA2" s="365"/>
      <c r="AB2" s="364" t="s">
        <v>7</v>
      </c>
      <c r="AC2" s="366"/>
      <c r="AD2" s="365"/>
    </row>
    <row r="3" spans="1:31" ht="60" x14ac:dyDescent="0.25">
      <c r="A3" s="351" t="s">
        <v>8</v>
      </c>
      <c r="B3" s="252" t="s">
        <v>9</v>
      </c>
      <c r="C3" s="252" t="s">
        <v>10</v>
      </c>
      <c r="D3" s="253" t="s">
        <v>11</v>
      </c>
      <c r="E3" s="254" t="s">
        <v>12</v>
      </c>
      <c r="F3" s="253" t="s">
        <v>13</v>
      </c>
      <c r="G3" s="255" t="s">
        <v>14</v>
      </c>
      <c r="H3" s="256" t="s">
        <v>15</v>
      </c>
      <c r="I3" s="343" t="s">
        <v>16</v>
      </c>
      <c r="J3" s="344" t="s">
        <v>17</v>
      </c>
      <c r="K3" s="343" t="s">
        <v>18</v>
      </c>
      <c r="L3" s="345" t="s">
        <v>19</v>
      </c>
      <c r="M3" s="344" t="s">
        <v>20</v>
      </c>
      <c r="N3" s="345" t="s">
        <v>21</v>
      </c>
      <c r="O3" s="345" t="s">
        <v>22</v>
      </c>
      <c r="P3" s="345" t="s">
        <v>23</v>
      </c>
      <c r="Q3" s="345" t="s">
        <v>24</v>
      </c>
      <c r="R3" s="345" t="s">
        <v>25</v>
      </c>
      <c r="S3" s="344" t="s">
        <v>26</v>
      </c>
      <c r="T3" s="257" t="s">
        <v>27</v>
      </c>
      <c r="U3" s="252" t="s">
        <v>28</v>
      </c>
      <c r="V3" s="252" t="s">
        <v>29</v>
      </c>
      <c r="W3" s="252" t="s">
        <v>30</v>
      </c>
      <c r="X3" s="258" t="s">
        <v>31</v>
      </c>
      <c r="Y3" s="259" t="s">
        <v>32</v>
      </c>
      <c r="Z3" s="259" t="s">
        <v>33</v>
      </c>
      <c r="AA3" s="260" t="s">
        <v>34</v>
      </c>
      <c r="AB3" s="259" t="s">
        <v>27</v>
      </c>
      <c r="AC3" s="258" t="s">
        <v>28</v>
      </c>
      <c r="AD3" s="260" t="s">
        <v>35</v>
      </c>
      <c r="AE3" s="261" t="s">
        <v>143</v>
      </c>
    </row>
    <row r="4" spans="1:31" x14ac:dyDescent="0.25">
      <c r="A4" s="352" t="s">
        <v>144</v>
      </c>
      <c r="B4" s="171" t="s">
        <v>145</v>
      </c>
      <c r="C4" s="171" t="s">
        <v>146</v>
      </c>
      <c r="D4" s="171" t="s">
        <v>147</v>
      </c>
      <c r="E4" s="171" t="s">
        <v>148</v>
      </c>
      <c r="F4" s="263">
        <v>1</v>
      </c>
      <c r="G4" s="263">
        <v>1</v>
      </c>
      <c r="H4" s="171" t="s">
        <v>49</v>
      </c>
      <c r="I4" s="264"/>
      <c r="J4" s="264"/>
      <c r="K4" s="265">
        <v>273375212.92999798</v>
      </c>
      <c r="L4" s="264"/>
      <c r="M4" s="264"/>
      <c r="N4" s="266">
        <v>1308584.48</v>
      </c>
      <c r="O4" s="264">
        <v>835674.26999999979</v>
      </c>
      <c r="P4" s="266">
        <v>1117437.0899999994</v>
      </c>
      <c r="Q4" s="264"/>
      <c r="R4" s="264">
        <v>12997548.62000001</v>
      </c>
      <c r="S4" s="264">
        <v>12807060.290000001</v>
      </c>
      <c r="T4" s="265">
        <v>137212028.23000035</v>
      </c>
      <c r="U4" s="265">
        <v>147326576.93616879</v>
      </c>
      <c r="V4" s="265">
        <v>11330878.619999999</v>
      </c>
      <c r="W4" s="265">
        <v>20719960.789999995</v>
      </c>
      <c r="X4" s="171"/>
      <c r="Y4" s="267">
        <v>136896493.58840001</v>
      </c>
      <c r="Z4" s="171"/>
      <c r="AA4" s="171"/>
      <c r="AB4" s="171"/>
      <c r="AC4" s="264"/>
      <c r="AD4" s="171"/>
      <c r="AE4" s="265">
        <v>18010939.100000001</v>
      </c>
    </row>
    <row r="5" spans="1:31" x14ac:dyDescent="0.25">
      <c r="A5" s="352" t="s">
        <v>149</v>
      </c>
      <c r="B5" s="171" t="s">
        <v>145</v>
      </c>
      <c r="C5" s="171" t="s">
        <v>150</v>
      </c>
      <c r="D5" s="171" t="s">
        <v>151</v>
      </c>
      <c r="E5" s="171" t="s">
        <v>148</v>
      </c>
      <c r="F5" s="263">
        <v>1</v>
      </c>
      <c r="G5" s="263"/>
      <c r="H5" s="171"/>
      <c r="I5" s="265"/>
      <c r="J5" s="265"/>
      <c r="K5" s="265"/>
      <c r="L5" s="265">
        <v>410425.87</v>
      </c>
      <c r="M5" s="265"/>
      <c r="N5" s="265">
        <v>4796203.9399999995</v>
      </c>
      <c r="O5" s="265">
        <v>5893471.6199999992</v>
      </c>
      <c r="P5" s="265">
        <v>615334.52999999991</v>
      </c>
      <c r="Q5" s="265"/>
      <c r="R5" s="265">
        <v>755392.72999999986</v>
      </c>
      <c r="S5" s="265"/>
      <c r="T5" s="265">
        <v>0</v>
      </c>
      <c r="U5" s="265">
        <v>0</v>
      </c>
      <c r="V5" s="265">
        <v>0</v>
      </c>
      <c r="W5" s="265"/>
      <c r="X5" s="171"/>
      <c r="Y5" s="267"/>
      <c r="Z5" s="171"/>
      <c r="AA5" s="171"/>
      <c r="AB5" s="266"/>
      <c r="AC5" s="266"/>
      <c r="AD5" s="171"/>
      <c r="AE5" s="265">
        <v>271516.5</v>
      </c>
    </row>
    <row r="6" spans="1:31" x14ac:dyDescent="0.25">
      <c r="A6" s="352" t="s">
        <v>152</v>
      </c>
      <c r="B6" s="171" t="s">
        <v>145</v>
      </c>
      <c r="C6" s="171" t="s">
        <v>150</v>
      </c>
      <c r="D6" s="171" t="s">
        <v>153</v>
      </c>
      <c r="E6" s="171" t="s">
        <v>148</v>
      </c>
      <c r="F6" s="263"/>
      <c r="G6" s="263"/>
      <c r="H6" s="171"/>
      <c r="I6" s="265"/>
      <c r="J6" s="265"/>
      <c r="K6" s="268">
        <v>500000000</v>
      </c>
      <c r="L6" s="265"/>
      <c r="M6" s="265"/>
      <c r="N6" s="265"/>
      <c r="O6" s="265"/>
      <c r="P6" s="265"/>
      <c r="Q6" s="265"/>
      <c r="R6" s="265"/>
      <c r="S6" s="265"/>
      <c r="T6" s="265">
        <v>0</v>
      </c>
      <c r="U6" s="265">
        <v>0</v>
      </c>
      <c r="V6" s="265">
        <v>0</v>
      </c>
      <c r="W6" s="171"/>
      <c r="X6" s="171"/>
      <c r="Y6" s="267"/>
      <c r="Z6" s="171"/>
      <c r="AA6" s="171"/>
      <c r="AB6" s="171"/>
      <c r="AC6" s="171"/>
      <c r="AD6" s="171"/>
      <c r="AE6" s="265"/>
    </row>
    <row r="7" spans="1:31" x14ac:dyDescent="0.25">
      <c r="A7" s="352" t="s">
        <v>149</v>
      </c>
      <c r="B7" s="171" t="s">
        <v>145</v>
      </c>
      <c r="C7" s="171" t="s">
        <v>150</v>
      </c>
      <c r="D7" s="171" t="s">
        <v>154</v>
      </c>
      <c r="E7" s="171" t="s">
        <v>155</v>
      </c>
      <c r="F7" s="263"/>
      <c r="G7" s="263"/>
      <c r="H7" s="171"/>
      <c r="I7" s="265"/>
      <c r="J7" s="265"/>
      <c r="K7" s="265"/>
      <c r="L7" s="265"/>
      <c r="M7" s="265"/>
      <c r="N7" s="265">
        <v>6859376.6300000027</v>
      </c>
      <c r="O7" s="265">
        <v>338286.39</v>
      </c>
      <c r="P7" s="265">
        <v>43879.85</v>
      </c>
      <c r="Q7" s="265"/>
      <c r="R7" s="265">
        <v>1095379.25</v>
      </c>
      <c r="S7" s="265">
        <v>123309.83</v>
      </c>
      <c r="T7" s="265">
        <v>0</v>
      </c>
      <c r="U7" s="265">
        <v>0</v>
      </c>
      <c r="V7" s="265">
        <v>0</v>
      </c>
      <c r="W7" s="171"/>
      <c r="X7" s="171"/>
      <c r="Y7" s="267"/>
      <c r="Z7" s="171"/>
      <c r="AA7" s="171"/>
      <c r="AB7" s="171"/>
      <c r="AC7" s="171"/>
      <c r="AD7" s="171"/>
      <c r="AE7" s="265">
        <v>98073.75</v>
      </c>
    </row>
    <row r="8" spans="1:31" x14ac:dyDescent="0.25">
      <c r="A8" s="352" t="s">
        <v>156</v>
      </c>
      <c r="B8" s="171" t="s">
        <v>145</v>
      </c>
      <c r="C8" s="171" t="s">
        <v>157</v>
      </c>
      <c r="D8" s="171" t="s">
        <v>158</v>
      </c>
      <c r="E8" s="171" t="s">
        <v>159</v>
      </c>
      <c r="F8" s="263">
        <v>1</v>
      </c>
      <c r="G8" s="263">
        <v>1</v>
      </c>
      <c r="H8" s="171" t="s">
        <v>49</v>
      </c>
      <c r="I8" s="265"/>
      <c r="J8" s="265"/>
      <c r="K8" s="265"/>
      <c r="L8" s="265">
        <v>982481.92999999982</v>
      </c>
      <c r="M8" s="265">
        <v>10714057.130000005</v>
      </c>
      <c r="N8" s="265"/>
      <c r="O8" s="265">
        <v>6962677.3600000003</v>
      </c>
      <c r="P8" s="266">
        <v>7058491.3600000013</v>
      </c>
      <c r="Q8" s="265"/>
      <c r="R8" s="265">
        <v>15080036.960000003</v>
      </c>
      <c r="S8" s="266">
        <v>26224058.589999996</v>
      </c>
      <c r="T8" s="266">
        <v>316578068.54999369</v>
      </c>
      <c r="U8" s="266">
        <v>542792093.10058415</v>
      </c>
      <c r="V8" s="266">
        <v>218008729.89999986</v>
      </c>
      <c r="W8" s="266">
        <v>57242106.320000052</v>
      </c>
      <c r="X8" s="266">
        <v>212080190.04999906</v>
      </c>
      <c r="Y8" s="267">
        <v>748324785.27690029</v>
      </c>
      <c r="Z8" s="171"/>
      <c r="AA8" s="171"/>
      <c r="AB8" s="171"/>
      <c r="AC8" s="265"/>
      <c r="AD8" s="171"/>
      <c r="AE8" s="265">
        <v>21870426.049999997</v>
      </c>
    </row>
    <row r="9" spans="1:31" x14ac:dyDescent="0.25">
      <c r="A9" s="352" t="s">
        <v>160</v>
      </c>
      <c r="B9" s="171" t="s">
        <v>145</v>
      </c>
      <c r="C9" s="171" t="s">
        <v>146</v>
      </c>
      <c r="D9" s="171" t="s">
        <v>161</v>
      </c>
      <c r="E9" s="171" t="s">
        <v>148</v>
      </c>
      <c r="F9" s="263">
        <v>4</v>
      </c>
      <c r="G9" s="263">
        <v>2</v>
      </c>
      <c r="H9" s="171"/>
      <c r="I9" s="269">
        <v>743484501.85000026</v>
      </c>
      <c r="J9" s="171"/>
      <c r="K9" s="265"/>
      <c r="L9" s="265"/>
      <c r="M9" s="265"/>
      <c r="N9" s="265">
        <v>17632294.399999999</v>
      </c>
      <c r="O9" s="265">
        <v>103918.67000000001</v>
      </c>
      <c r="P9" s="265">
        <v>2047973.79</v>
      </c>
      <c r="Q9" s="265"/>
      <c r="R9" s="265">
        <v>7153921.8599999985</v>
      </c>
      <c r="S9" s="265">
        <v>2317327.29</v>
      </c>
      <c r="T9" s="265"/>
      <c r="U9" s="265"/>
      <c r="V9" s="265"/>
      <c r="W9" s="171"/>
      <c r="X9" s="171"/>
      <c r="Y9" s="267"/>
      <c r="Z9" s="171"/>
      <c r="AA9" s="171"/>
      <c r="AB9" s="171"/>
      <c r="AC9" s="171"/>
      <c r="AD9" s="171"/>
      <c r="AE9" s="265">
        <v>1288855.8400000001</v>
      </c>
    </row>
    <row r="10" spans="1:31" x14ac:dyDescent="0.25">
      <c r="A10" s="352" t="s">
        <v>152</v>
      </c>
      <c r="B10" s="171" t="s">
        <v>145</v>
      </c>
      <c r="C10" s="171" t="s">
        <v>162</v>
      </c>
      <c r="D10" s="171" t="s">
        <v>163</v>
      </c>
      <c r="E10" s="171"/>
      <c r="F10" s="263"/>
      <c r="G10" s="263"/>
      <c r="H10" s="171" t="s">
        <v>49</v>
      </c>
      <c r="I10" s="265"/>
      <c r="J10" s="265"/>
      <c r="K10" s="265"/>
      <c r="L10" s="265"/>
      <c r="M10" s="265"/>
      <c r="N10" s="265"/>
      <c r="O10" s="265"/>
      <c r="P10" s="265"/>
      <c r="Q10" s="265"/>
      <c r="R10" s="265"/>
      <c r="S10" s="265"/>
      <c r="T10" s="265">
        <v>27020753.650000017</v>
      </c>
      <c r="U10" s="265">
        <v>29209677.343887962</v>
      </c>
      <c r="V10" s="265">
        <v>2414185.5299999993</v>
      </c>
      <c r="W10" s="265">
        <v>6984523.4099999983</v>
      </c>
      <c r="X10" s="171"/>
      <c r="Y10" s="267"/>
      <c r="Z10" s="171"/>
      <c r="AA10" s="171"/>
      <c r="AB10" s="171"/>
      <c r="AC10" s="265"/>
      <c r="AD10" s="171"/>
      <c r="AE10" s="265"/>
    </row>
    <row r="11" spans="1:31" x14ac:dyDescent="0.25">
      <c r="A11" s="352" t="s">
        <v>164</v>
      </c>
      <c r="B11" s="171" t="s">
        <v>145</v>
      </c>
      <c r="C11" s="171" t="s">
        <v>162</v>
      </c>
      <c r="D11" s="171" t="s">
        <v>163</v>
      </c>
      <c r="E11" s="171"/>
      <c r="F11" s="263"/>
      <c r="G11" s="263"/>
      <c r="H11" s="171" t="s">
        <v>49</v>
      </c>
      <c r="I11" s="265"/>
      <c r="J11" s="265"/>
      <c r="K11" s="265"/>
      <c r="L11" s="265"/>
      <c r="M11" s="265"/>
      <c r="N11" s="265"/>
      <c r="O11" s="265"/>
      <c r="P11" s="265"/>
      <c r="Q11" s="265"/>
      <c r="R11" s="265"/>
      <c r="S11" s="265"/>
      <c r="T11" s="265">
        <v>1141366425.4998622</v>
      </c>
      <c r="U11" s="265">
        <v>831773064.71641517</v>
      </c>
      <c r="V11" s="265">
        <v>504436859.94999987</v>
      </c>
      <c r="W11" s="265">
        <v>103954394.68999988</v>
      </c>
      <c r="X11" s="171"/>
      <c r="Y11" s="267">
        <v>1259436385.0236988</v>
      </c>
      <c r="Z11" s="171"/>
      <c r="AA11" s="171"/>
      <c r="AB11" s="171"/>
      <c r="AC11" s="265"/>
      <c r="AD11" s="265">
        <v>218761180.7299979</v>
      </c>
      <c r="AE11" s="265"/>
    </row>
    <row r="12" spans="1:31" x14ac:dyDescent="0.25">
      <c r="A12" s="352" t="s">
        <v>165</v>
      </c>
      <c r="B12" s="171" t="s">
        <v>145</v>
      </c>
      <c r="C12" s="171" t="s">
        <v>166</v>
      </c>
      <c r="D12" s="171" t="s">
        <v>167</v>
      </c>
      <c r="E12" s="171"/>
      <c r="F12" s="263"/>
      <c r="G12" s="263"/>
      <c r="H12" s="171" t="s">
        <v>49</v>
      </c>
      <c r="I12" s="265"/>
      <c r="J12" s="265"/>
      <c r="K12" s="265"/>
      <c r="L12" s="265"/>
      <c r="M12" s="265"/>
      <c r="N12" s="265"/>
      <c r="O12" s="265"/>
      <c r="P12" s="265"/>
      <c r="Q12" s="265"/>
      <c r="R12" s="265"/>
      <c r="S12" s="265"/>
      <c r="T12" s="265">
        <v>990493865.12990296</v>
      </c>
      <c r="U12" s="265">
        <v>986810307.13806188</v>
      </c>
      <c r="V12" s="265">
        <v>349227375.63</v>
      </c>
      <c r="W12" s="265">
        <v>328556107.32999998</v>
      </c>
      <c r="X12" s="171"/>
      <c r="Y12" s="267">
        <v>1270221008.9855001</v>
      </c>
      <c r="Z12" s="171"/>
      <c r="AA12" s="171"/>
      <c r="AB12" s="171"/>
      <c r="AC12" s="265"/>
      <c r="AD12" s="265">
        <v>1003918901.3799986</v>
      </c>
      <c r="AE12" s="265"/>
    </row>
    <row r="13" spans="1:31" x14ac:dyDescent="0.25">
      <c r="A13" s="352" t="s">
        <v>168</v>
      </c>
      <c r="B13" s="171" t="s">
        <v>145</v>
      </c>
      <c r="C13" s="171" t="s">
        <v>166</v>
      </c>
      <c r="D13" s="171" t="s">
        <v>169</v>
      </c>
      <c r="E13" s="171"/>
      <c r="F13" s="263"/>
      <c r="G13" s="263"/>
      <c r="H13" s="171" t="s">
        <v>49</v>
      </c>
      <c r="I13" s="265"/>
      <c r="J13" s="265"/>
      <c r="K13" s="265"/>
      <c r="L13" s="265"/>
      <c r="M13" s="265"/>
      <c r="N13" s="265"/>
      <c r="O13" s="265"/>
      <c r="P13" s="265"/>
      <c r="Q13" s="265"/>
      <c r="R13" s="265"/>
      <c r="S13" s="265"/>
      <c r="T13" s="265"/>
      <c r="U13" s="265">
        <v>1332240701.0504341</v>
      </c>
      <c r="V13" s="265">
        <v>224492198.25999594</v>
      </c>
      <c r="W13" s="265"/>
      <c r="X13" s="171"/>
      <c r="Y13" s="267">
        <v>809693097.54320014</v>
      </c>
      <c r="Z13" s="171"/>
      <c r="AA13" s="171"/>
      <c r="AB13" s="171"/>
      <c r="AC13" s="265">
        <v>5201309809</v>
      </c>
      <c r="AD13" s="171"/>
      <c r="AE13" s="265"/>
    </row>
    <row r="14" spans="1:31" x14ac:dyDescent="0.25">
      <c r="A14" s="352" t="s">
        <v>168</v>
      </c>
      <c r="B14" s="171" t="s">
        <v>145</v>
      </c>
      <c r="C14" s="171" t="s">
        <v>166</v>
      </c>
      <c r="D14" s="171" t="s">
        <v>170</v>
      </c>
      <c r="E14" s="171"/>
      <c r="F14" s="263"/>
      <c r="G14" s="263"/>
      <c r="H14" s="171" t="s">
        <v>49</v>
      </c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65">
        <v>1166451633.7498777</v>
      </c>
      <c r="U14" s="265"/>
      <c r="V14" s="265">
        <v>265503987.36999959</v>
      </c>
      <c r="W14" s="265">
        <v>326003918.7500006</v>
      </c>
      <c r="X14" s="171"/>
      <c r="Y14" s="267">
        <v>854540439.37340009</v>
      </c>
      <c r="Z14" s="171"/>
      <c r="AA14" s="171"/>
      <c r="AB14" s="266">
        <v>7842292527.5393858</v>
      </c>
      <c r="AC14" s="171"/>
      <c r="AD14" s="171"/>
      <c r="AE14" s="265"/>
    </row>
    <row r="15" spans="1:31" x14ac:dyDescent="0.25">
      <c r="A15" s="352" t="s">
        <v>171</v>
      </c>
      <c r="B15" s="171" t="s">
        <v>145</v>
      </c>
      <c r="C15" s="171" t="s">
        <v>166</v>
      </c>
      <c r="D15" s="171" t="s">
        <v>172</v>
      </c>
      <c r="E15" s="171"/>
      <c r="F15" s="263"/>
      <c r="G15" s="263"/>
      <c r="H15" s="171" t="s">
        <v>49</v>
      </c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>
        <v>838802233.07993758</v>
      </c>
      <c r="U15" s="265">
        <v>913387783.6940912</v>
      </c>
      <c r="V15" s="265">
        <v>203256747.4300001</v>
      </c>
      <c r="W15" s="265">
        <v>246464331.04999992</v>
      </c>
      <c r="X15" s="171"/>
      <c r="Y15" s="267">
        <v>1106109946.8952</v>
      </c>
      <c r="Z15" s="171"/>
      <c r="AA15" s="171"/>
      <c r="AB15" s="171"/>
      <c r="AC15" s="265"/>
      <c r="AD15" s="265">
        <v>261530577.7100001</v>
      </c>
      <c r="AE15" s="265"/>
    </row>
    <row r="16" spans="1:31" x14ac:dyDescent="0.25">
      <c r="A16" s="352" t="s">
        <v>173</v>
      </c>
      <c r="B16" s="171" t="s">
        <v>145</v>
      </c>
      <c r="C16" s="171" t="s">
        <v>166</v>
      </c>
      <c r="D16" s="171" t="s">
        <v>172</v>
      </c>
      <c r="E16" s="171"/>
      <c r="F16" s="263"/>
      <c r="G16" s="263"/>
      <c r="H16" s="171" t="s">
        <v>49</v>
      </c>
      <c r="I16" s="265"/>
      <c r="J16" s="265"/>
      <c r="K16" s="265"/>
      <c r="L16" s="265"/>
      <c r="M16" s="265"/>
      <c r="N16" s="265"/>
      <c r="O16" s="265"/>
      <c r="P16" s="265"/>
      <c r="Q16" s="265"/>
      <c r="R16" s="265"/>
      <c r="S16" s="265"/>
      <c r="T16" s="265">
        <v>392455042.56998897</v>
      </c>
      <c r="U16" s="265">
        <v>549114312.73112428</v>
      </c>
      <c r="V16" s="265">
        <v>147098096.73999995</v>
      </c>
      <c r="W16" s="265">
        <v>54032832.670000046</v>
      </c>
      <c r="X16" s="171"/>
      <c r="Y16" s="267">
        <v>753558814.78799975</v>
      </c>
      <c r="Z16" s="171"/>
      <c r="AA16" s="171"/>
      <c r="AB16" s="171"/>
      <c r="AC16" s="265"/>
      <c r="AD16" s="171"/>
      <c r="AE16" s="265"/>
    </row>
    <row r="17" spans="1:31" x14ac:dyDescent="0.25">
      <c r="A17" s="352" t="s">
        <v>174</v>
      </c>
      <c r="B17" s="171" t="s">
        <v>145</v>
      </c>
      <c r="C17" s="171" t="s">
        <v>162</v>
      </c>
      <c r="D17" s="171" t="s">
        <v>175</v>
      </c>
      <c r="E17" s="171"/>
      <c r="F17" s="263"/>
      <c r="G17" s="263"/>
      <c r="H17" s="171" t="s">
        <v>49</v>
      </c>
      <c r="I17" s="265"/>
      <c r="J17" s="265"/>
      <c r="K17" s="265"/>
      <c r="L17" s="265"/>
      <c r="M17" s="265"/>
      <c r="N17" s="265"/>
      <c r="O17" s="265"/>
      <c r="P17" s="265"/>
      <c r="Q17" s="265"/>
      <c r="R17" s="265"/>
      <c r="S17" s="265"/>
      <c r="T17" s="265">
        <v>1091173958.9998991</v>
      </c>
      <c r="U17" s="265">
        <v>988480924.16214061</v>
      </c>
      <c r="V17" s="265">
        <v>453043500.55999988</v>
      </c>
      <c r="W17" s="265">
        <v>125267081.45000002</v>
      </c>
      <c r="X17" s="171"/>
      <c r="Y17" s="267">
        <v>1635326902.4612002</v>
      </c>
      <c r="Z17" s="171"/>
      <c r="AA17" s="171"/>
      <c r="AB17" s="171"/>
      <c r="AC17" s="265">
        <v>3581306822</v>
      </c>
      <c r="AD17" s="171"/>
      <c r="AE17" s="265"/>
    </row>
    <row r="18" spans="1:31" x14ac:dyDescent="0.25">
      <c r="A18" s="352" t="s">
        <v>160</v>
      </c>
      <c r="B18" s="171" t="s">
        <v>145</v>
      </c>
      <c r="C18" s="171" t="s">
        <v>162</v>
      </c>
      <c r="D18" s="171" t="s">
        <v>175</v>
      </c>
      <c r="E18" s="171"/>
      <c r="F18" s="263"/>
      <c r="G18" s="263"/>
      <c r="H18" s="171" t="s">
        <v>49</v>
      </c>
      <c r="I18" s="265"/>
      <c r="J18" s="265"/>
      <c r="K18" s="265"/>
      <c r="L18" s="265"/>
      <c r="M18" s="265"/>
      <c r="N18" s="265"/>
      <c r="O18" s="265"/>
      <c r="P18" s="265"/>
      <c r="Q18" s="265"/>
      <c r="R18" s="265"/>
      <c r="S18" s="265"/>
      <c r="T18" s="265">
        <v>260453537.58999491</v>
      </c>
      <c r="U18" s="265">
        <v>381298146.37071645</v>
      </c>
      <c r="V18" s="265">
        <v>96093270.139999986</v>
      </c>
      <c r="W18" s="265">
        <v>34517008.459999993</v>
      </c>
      <c r="X18" s="171"/>
      <c r="Y18" s="267">
        <v>473242568.68590033</v>
      </c>
      <c r="Z18" s="171"/>
      <c r="AA18" s="171"/>
      <c r="AB18" s="171"/>
      <c r="AC18" s="265"/>
      <c r="AD18" s="171"/>
      <c r="AE18" s="265"/>
    </row>
    <row r="19" spans="1:31" x14ac:dyDescent="0.25">
      <c r="A19" s="352" t="s">
        <v>176</v>
      </c>
      <c r="B19" s="171" t="s">
        <v>145</v>
      </c>
      <c r="C19" s="171" t="s">
        <v>162</v>
      </c>
      <c r="D19" s="171" t="s">
        <v>177</v>
      </c>
      <c r="E19" s="171"/>
      <c r="F19" s="263"/>
      <c r="G19" s="263"/>
      <c r="H19" s="352" t="s">
        <v>178</v>
      </c>
      <c r="I19" s="265"/>
      <c r="J19" s="265"/>
      <c r="K19" s="265"/>
      <c r="L19" s="265"/>
      <c r="M19" s="265"/>
      <c r="N19" s="265"/>
      <c r="O19" s="265"/>
      <c r="P19" s="265"/>
      <c r="Q19" s="265"/>
      <c r="R19" s="265"/>
      <c r="S19" s="265"/>
      <c r="T19" s="265">
        <v>672417054.23994601</v>
      </c>
      <c r="U19" s="265">
        <v>789949837.49283385</v>
      </c>
      <c r="V19" s="265">
        <v>272057404.15000021</v>
      </c>
      <c r="W19" s="265">
        <v>198265251.02000004</v>
      </c>
      <c r="X19" s="171"/>
      <c r="Y19" s="267">
        <v>911492076.11280048</v>
      </c>
      <c r="Z19" s="171"/>
      <c r="AA19" s="171"/>
      <c r="AB19" s="171"/>
      <c r="AC19" s="265"/>
      <c r="AD19" s="265">
        <v>236932645.48000008</v>
      </c>
      <c r="AE19" s="265"/>
    </row>
    <row r="20" spans="1:31" x14ac:dyDescent="0.25">
      <c r="A20" s="352" t="s">
        <v>149</v>
      </c>
      <c r="B20" s="171" t="s">
        <v>145</v>
      </c>
      <c r="C20" s="171" t="s">
        <v>162</v>
      </c>
      <c r="D20" s="171" t="s">
        <v>179</v>
      </c>
      <c r="E20" s="171" t="s">
        <v>148</v>
      </c>
      <c r="F20" s="263">
        <v>1</v>
      </c>
      <c r="G20" s="263"/>
      <c r="H20" s="171" t="s">
        <v>49</v>
      </c>
      <c r="I20" s="265"/>
      <c r="J20" s="265"/>
      <c r="K20" s="265"/>
      <c r="L20" s="265">
        <v>14118688.039999999</v>
      </c>
      <c r="M20" s="265"/>
      <c r="N20" s="265">
        <v>47082491.349999994</v>
      </c>
      <c r="O20" s="265">
        <v>647885.27000000118</v>
      </c>
      <c r="P20" s="265">
        <v>1061796.5900000001</v>
      </c>
      <c r="Q20" s="265">
        <v>4871.45</v>
      </c>
      <c r="R20" s="265">
        <v>8168258.8400000045</v>
      </c>
      <c r="S20" s="266">
        <v>11887924.869999999</v>
      </c>
      <c r="T20" s="265">
        <v>454925539.60998368</v>
      </c>
      <c r="U20" s="265">
        <v>560595172.06737065</v>
      </c>
      <c r="V20" s="265">
        <v>180287247.96999991</v>
      </c>
      <c r="W20" s="265">
        <v>5243222.2500000009</v>
      </c>
      <c r="X20" s="171"/>
      <c r="Y20" s="267">
        <v>627491536.84229958</v>
      </c>
      <c r="Z20" s="171"/>
      <c r="AA20" s="171"/>
      <c r="AB20" s="171"/>
      <c r="AC20" s="265"/>
      <c r="AD20" s="265">
        <v>1541010962</v>
      </c>
      <c r="AE20" s="265">
        <v>1997857.99</v>
      </c>
    </row>
    <row r="21" spans="1:31" x14ac:dyDescent="0.25">
      <c r="A21" s="352" t="s">
        <v>176</v>
      </c>
      <c r="B21" s="171" t="s">
        <v>145</v>
      </c>
      <c r="C21" s="171" t="s">
        <v>150</v>
      </c>
      <c r="D21" s="171" t="s">
        <v>154</v>
      </c>
      <c r="E21" s="171" t="s">
        <v>155</v>
      </c>
      <c r="F21" s="263">
        <v>1</v>
      </c>
      <c r="G21" s="263">
        <v>1</v>
      </c>
      <c r="H21" s="171"/>
      <c r="I21" s="171"/>
      <c r="J21" s="265"/>
      <c r="K21" s="265"/>
      <c r="L21" s="265">
        <v>569227.75999999989</v>
      </c>
      <c r="M21" s="266">
        <v>6228241.6699999999</v>
      </c>
      <c r="N21" s="265">
        <v>68919637.749999896</v>
      </c>
      <c r="O21" s="265">
        <v>17877144.160000015</v>
      </c>
      <c r="P21" s="266">
        <v>13160033.290000005</v>
      </c>
      <c r="Q21" s="265"/>
      <c r="R21" s="265">
        <v>20344478.109999992</v>
      </c>
      <c r="S21" s="265">
        <v>9042376.2800000012</v>
      </c>
      <c r="T21" s="171"/>
      <c r="U21" s="171"/>
      <c r="V21" s="171"/>
      <c r="W21" s="171"/>
      <c r="X21" s="266">
        <v>255081129.14000046</v>
      </c>
      <c r="Y21" s="266">
        <v>119395924.48810005</v>
      </c>
      <c r="Z21" s="171"/>
      <c r="AA21" s="171"/>
      <c r="AB21" s="171"/>
      <c r="AC21" s="171"/>
      <c r="AD21" s="171"/>
      <c r="AE21" s="265">
        <v>16290350.629999997</v>
      </c>
    </row>
    <row r="22" spans="1:31" x14ac:dyDescent="0.25">
      <c r="A22" s="352" t="s">
        <v>171</v>
      </c>
      <c r="B22" s="171" t="s">
        <v>145</v>
      </c>
      <c r="C22" s="171" t="s">
        <v>150</v>
      </c>
      <c r="D22" s="171" t="s">
        <v>180</v>
      </c>
      <c r="E22" s="171" t="s">
        <v>148</v>
      </c>
      <c r="F22" s="263">
        <v>1</v>
      </c>
      <c r="G22" s="263">
        <v>2</v>
      </c>
      <c r="H22" s="171"/>
      <c r="I22" s="265"/>
      <c r="J22" s="265"/>
      <c r="K22" s="265"/>
      <c r="L22" s="265">
        <v>17566407.939999998</v>
      </c>
      <c r="M22" s="265"/>
      <c r="N22" s="265">
        <v>38383692.549999997</v>
      </c>
      <c r="O22" s="265">
        <v>21673751.88000001</v>
      </c>
      <c r="P22" s="266">
        <v>29747148.459999949</v>
      </c>
      <c r="Q22" s="265">
        <v>11965924.900000002</v>
      </c>
      <c r="R22" s="265">
        <v>23003410.749999933</v>
      </c>
      <c r="S22" s="266">
        <v>68657838.969999969</v>
      </c>
      <c r="T22" s="171"/>
      <c r="U22" s="171"/>
      <c r="V22" s="171"/>
      <c r="W22" s="171"/>
      <c r="X22" s="266">
        <v>399077386.26000172</v>
      </c>
      <c r="Y22" s="266">
        <v>129383535.6268</v>
      </c>
      <c r="Z22" s="171"/>
      <c r="AA22" s="171"/>
      <c r="AB22" s="171"/>
      <c r="AC22" s="171"/>
      <c r="AD22" s="171"/>
      <c r="AE22" s="265">
        <v>36021878.199999981</v>
      </c>
    </row>
    <row r="23" spans="1:31" x14ac:dyDescent="0.25">
      <c r="A23" s="352" t="s">
        <v>171</v>
      </c>
      <c r="B23" s="171" t="s">
        <v>145</v>
      </c>
      <c r="C23" s="171" t="s">
        <v>157</v>
      </c>
      <c r="D23" s="171" t="s">
        <v>181</v>
      </c>
      <c r="E23" s="171" t="s">
        <v>182</v>
      </c>
      <c r="F23" s="263"/>
      <c r="G23" s="263"/>
      <c r="H23" s="171"/>
      <c r="I23" s="265"/>
      <c r="J23" s="265"/>
      <c r="K23" s="265"/>
      <c r="L23" s="265">
        <v>876061.97</v>
      </c>
      <c r="M23" s="265"/>
      <c r="N23" s="265"/>
      <c r="O23" s="265"/>
      <c r="P23" s="265"/>
      <c r="Q23" s="265"/>
      <c r="R23" s="265"/>
      <c r="S23" s="265"/>
      <c r="T23" s="171"/>
      <c r="U23" s="171"/>
      <c r="V23" s="171"/>
      <c r="W23" s="171"/>
      <c r="X23" s="266"/>
      <c r="Y23" s="171"/>
      <c r="Z23" s="171"/>
      <c r="AA23" s="171"/>
      <c r="AB23" s="171"/>
      <c r="AC23" s="171"/>
      <c r="AD23" s="171"/>
      <c r="AE23" s="265"/>
    </row>
    <row r="24" spans="1:31" x14ac:dyDescent="0.25">
      <c r="A24" s="352" t="s">
        <v>174</v>
      </c>
      <c r="B24" s="171" t="s">
        <v>145</v>
      </c>
      <c r="C24" s="171" t="s">
        <v>150</v>
      </c>
      <c r="D24" s="171" t="s">
        <v>151</v>
      </c>
      <c r="E24" s="171" t="s">
        <v>148</v>
      </c>
      <c r="F24" s="263">
        <v>1</v>
      </c>
      <c r="G24" s="263"/>
      <c r="H24" s="171"/>
      <c r="I24" s="265"/>
      <c r="J24" s="265"/>
      <c r="K24" s="265"/>
      <c r="L24" s="265">
        <v>10984382.9</v>
      </c>
      <c r="M24" s="265">
        <v>28055</v>
      </c>
      <c r="N24" s="265">
        <v>218337576.42999807</v>
      </c>
      <c r="O24" s="265">
        <v>9741290.9899999723</v>
      </c>
      <c r="P24" s="266">
        <v>25603094.559999984</v>
      </c>
      <c r="Q24" s="265"/>
      <c r="R24" s="265">
        <v>13049117.839999998</v>
      </c>
      <c r="S24" s="266">
        <v>53083305.619999997</v>
      </c>
      <c r="T24" s="171"/>
      <c r="U24" s="171"/>
      <c r="V24" s="171"/>
      <c r="W24" s="171"/>
      <c r="X24" s="171"/>
      <c r="Y24" s="171"/>
      <c r="Z24" s="171"/>
      <c r="AA24" s="171"/>
      <c r="AB24" s="171"/>
      <c r="AC24" s="171"/>
      <c r="AD24" s="171"/>
      <c r="AE24" s="265">
        <v>6582960</v>
      </c>
    </row>
    <row r="25" spans="1:31" x14ac:dyDescent="0.25">
      <c r="A25" s="352" t="s">
        <v>174</v>
      </c>
      <c r="B25" s="171" t="s">
        <v>145</v>
      </c>
      <c r="C25" s="171" t="s">
        <v>150</v>
      </c>
      <c r="D25" s="171" t="s">
        <v>154</v>
      </c>
      <c r="E25" s="171" t="s">
        <v>155</v>
      </c>
      <c r="F25" s="263"/>
      <c r="G25" s="263"/>
      <c r="H25" s="171"/>
      <c r="I25" s="265"/>
      <c r="J25" s="265"/>
      <c r="K25" s="265"/>
      <c r="L25" s="265"/>
      <c r="M25" s="265"/>
      <c r="N25" s="265">
        <v>778536.94</v>
      </c>
      <c r="O25" s="265"/>
      <c r="P25" s="265"/>
      <c r="Q25" s="265"/>
      <c r="R25" s="265"/>
      <c r="S25" s="265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  <c r="AE25" s="265">
        <v>293012.60000000003</v>
      </c>
    </row>
    <row r="26" spans="1:31" x14ac:dyDescent="0.25">
      <c r="A26" s="352" t="s">
        <v>168</v>
      </c>
      <c r="B26" s="171" t="s">
        <v>145</v>
      </c>
      <c r="C26" s="171" t="s">
        <v>146</v>
      </c>
      <c r="D26" s="171" t="s">
        <v>183</v>
      </c>
      <c r="E26" s="171" t="s">
        <v>182</v>
      </c>
      <c r="F26" s="263"/>
      <c r="G26" s="263">
        <v>1</v>
      </c>
      <c r="H26" s="171"/>
      <c r="I26" s="265"/>
      <c r="J26" s="265"/>
      <c r="K26" s="265"/>
      <c r="L26" s="265"/>
      <c r="M26" s="265"/>
      <c r="N26" s="265">
        <v>26279873.48</v>
      </c>
      <c r="O26" s="265">
        <v>18050152.199999999</v>
      </c>
      <c r="P26" s="265"/>
      <c r="Q26" s="265"/>
      <c r="R26" s="265"/>
      <c r="S26" s="265"/>
      <c r="T26" s="265"/>
      <c r="U26" s="265"/>
      <c r="V26" s="265"/>
      <c r="W26" s="265"/>
      <c r="X26" s="266">
        <v>745246078.51999485</v>
      </c>
      <c r="Y26" s="171"/>
      <c r="Z26" s="171"/>
      <c r="AA26" s="171"/>
      <c r="AB26" s="171"/>
      <c r="AC26" s="171"/>
      <c r="AD26" s="171"/>
      <c r="AE26" s="265">
        <v>63038286.849999949</v>
      </c>
    </row>
    <row r="27" spans="1:31" x14ac:dyDescent="0.25">
      <c r="A27" s="352" t="s">
        <v>168</v>
      </c>
      <c r="B27" s="171" t="s">
        <v>145</v>
      </c>
      <c r="C27" s="171" t="s">
        <v>146</v>
      </c>
      <c r="D27" s="171" t="s">
        <v>184</v>
      </c>
      <c r="E27" s="171" t="s">
        <v>182</v>
      </c>
      <c r="F27" s="263">
        <v>2</v>
      </c>
      <c r="G27" s="263"/>
      <c r="H27" s="171"/>
      <c r="I27" s="269">
        <v>63038286.849999949</v>
      </c>
      <c r="J27" s="265">
        <v>260328241.31999904</v>
      </c>
      <c r="K27" s="265"/>
      <c r="L27" s="265"/>
      <c r="M27" s="265"/>
      <c r="N27" s="265"/>
      <c r="O27" s="265"/>
      <c r="P27" s="265"/>
      <c r="Q27" s="265"/>
      <c r="R27" s="265"/>
      <c r="S27" s="265"/>
      <c r="T27" s="265"/>
      <c r="U27" s="265"/>
      <c r="V27" s="265"/>
      <c r="W27" s="265"/>
      <c r="X27" s="266">
        <v>260328241.31999904</v>
      </c>
      <c r="Y27" s="265">
        <v>260328241.31999904</v>
      </c>
      <c r="Z27" s="171"/>
      <c r="AA27" s="171"/>
      <c r="AB27" s="171"/>
      <c r="AC27" s="171"/>
      <c r="AD27" s="171"/>
      <c r="AE27" s="265"/>
    </row>
    <row r="28" spans="1:31" x14ac:dyDescent="0.25">
      <c r="A28" s="352" t="s">
        <v>168</v>
      </c>
      <c r="B28" s="171" t="s">
        <v>145</v>
      </c>
      <c r="C28" s="171" t="s">
        <v>157</v>
      </c>
      <c r="D28" s="171" t="s">
        <v>181</v>
      </c>
      <c r="E28" s="171" t="s">
        <v>182</v>
      </c>
      <c r="F28" s="263">
        <v>1</v>
      </c>
      <c r="G28" s="263"/>
      <c r="H28" s="171"/>
      <c r="I28" s="265"/>
      <c r="J28" s="265"/>
      <c r="K28" s="265"/>
      <c r="L28" s="265">
        <v>253033509.6100001</v>
      </c>
      <c r="M28" s="265">
        <v>259642023.96000093</v>
      </c>
      <c r="N28" s="265">
        <v>3863402.85</v>
      </c>
      <c r="O28" s="265">
        <v>90651433.769999504</v>
      </c>
      <c r="P28" s="266">
        <v>92876571.19000043</v>
      </c>
      <c r="Q28" s="265">
        <v>57155602.799999982</v>
      </c>
      <c r="R28" s="265">
        <v>39544255.579999804</v>
      </c>
      <c r="S28" s="265">
        <v>32136460.719999984</v>
      </c>
      <c r="T28" s="265"/>
      <c r="U28" s="265"/>
      <c r="V28" s="265"/>
      <c r="W28" s="265"/>
      <c r="X28" s="171"/>
      <c r="Y28" s="171"/>
      <c r="Z28" s="171"/>
      <c r="AA28" s="171"/>
      <c r="AB28" s="171"/>
      <c r="AC28" s="171"/>
      <c r="AD28" s="171"/>
      <c r="AE28" s="265"/>
    </row>
    <row r="29" spans="1:31" x14ac:dyDescent="0.25">
      <c r="A29" s="352" t="s">
        <v>168</v>
      </c>
      <c r="B29" s="171" t="s">
        <v>145</v>
      </c>
      <c r="C29" s="171" t="s">
        <v>150</v>
      </c>
      <c r="D29" s="171" t="s">
        <v>180</v>
      </c>
      <c r="E29" s="171" t="s">
        <v>148</v>
      </c>
      <c r="F29" s="263"/>
      <c r="G29" s="263"/>
      <c r="H29" s="171"/>
      <c r="I29" s="265"/>
      <c r="J29" s="265"/>
      <c r="K29" s="265"/>
      <c r="L29" s="265"/>
      <c r="M29" s="265"/>
      <c r="N29" s="265">
        <v>6631434.7199999923</v>
      </c>
      <c r="O29" s="265"/>
      <c r="P29" s="265"/>
      <c r="Q29" s="265"/>
      <c r="R29" s="265"/>
      <c r="S29" s="265"/>
      <c r="T29" s="265"/>
      <c r="U29" s="265"/>
      <c r="V29" s="265"/>
      <c r="W29" s="265"/>
      <c r="X29" s="171"/>
      <c r="Y29" s="171"/>
      <c r="Z29" s="171"/>
      <c r="AA29" s="171"/>
      <c r="AB29" s="171"/>
      <c r="AC29" s="171"/>
      <c r="AD29" s="171"/>
      <c r="AE29" s="265"/>
    </row>
    <row r="30" spans="1:31" x14ac:dyDescent="0.25">
      <c r="A30" s="352" t="s">
        <v>168</v>
      </c>
      <c r="B30" s="171" t="s">
        <v>145</v>
      </c>
      <c r="C30" s="171" t="s">
        <v>157</v>
      </c>
      <c r="D30" s="171" t="s">
        <v>158</v>
      </c>
      <c r="E30" s="171" t="s">
        <v>159</v>
      </c>
      <c r="F30" s="263"/>
      <c r="G30" s="263"/>
      <c r="H30" s="171"/>
      <c r="I30" s="265"/>
      <c r="J30" s="265"/>
      <c r="K30" s="265"/>
      <c r="L30" s="265"/>
      <c r="M30" s="265"/>
      <c r="N30" s="265"/>
      <c r="O30" s="265">
        <v>396913.57999999996</v>
      </c>
      <c r="P30" s="265">
        <v>1941769.1499999997</v>
      </c>
      <c r="Q30" s="265"/>
      <c r="R30" s="265">
        <v>2629094.6</v>
      </c>
      <c r="S30" s="265">
        <v>1993877.79</v>
      </c>
      <c r="T30" s="265"/>
      <c r="U30" s="265"/>
      <c r="V30" s="265"/>
      <c r="W30" s="265"/>
      <c r="X30" s="171"/>
      <c r="Y30" s="171"/>
      <c r="Z30" s="171"/>
      <c r="AA30" s="171"/>
      <c r="AB30" s="171"/>
      <c r="AC30" s="171"/>
      <c r="AD30" s="171"/>
      <c r="AE30" s="265"/>
    </row>
    <row r="31" spans="1:31" x14ac:dyDescent="0.25">
      <c r="A31" s="352" t="s">
        <v>164</v>
      </c>
      <c r="B31" s="171" t="s">
        <v>145</v>
      </c>
      <c r="C31" s="171" t="s">
        <v>150</v>
      </c>
      <c r="D31" s="171" t="s">
        <v>180</v>
      </c>
      <c r="E31" s="171" t="s">
        <v>148</v>
      </c>
      <c r="F31" s="263"/>
      <c r="G31" s="263"/>
      <c r="H31" s="171"/>
      <c r="I31" s="265"/>
      <c r="J31" s="265"/>
      <c r="K31" s="265"/>
      <c r="L31" s="265"/>
      <c r="M31" s="265"/>
      <c r="N31" s="265"/>
      <c r="O31" s="265">
        <v>400351.99000000005</v>
      </c>
      <c r="P31" s="265">
        <v>64095.290000000008</v>
      </c>
      <c r="Q31" s="265"/>
      <c r="R31" s="265">
        <v>262678.88999999996</v>
      </c>
      <c r="S31" s="265"/>
      <c r="T31" s="265"/>
      <c r="U31" s="265"/>
      <c r="V31" s="265"/>
      <c r="W31" s="265"/>
      <c r="X31" s="171"/>
      <c r="Y31" s="171"/>
      <c r="Z31" s="171"/>
      <c r="AA31" s="171"/>
      <c r="AB31" s="171"/>
      <c r="AC31" s="171"/>
      <c r="AD31" s="171"/>
      <c r="AE31" s="265"/>
    </row>
    <row r="32" spans="1:31" x14ac:dyDescent="0.25">
      <c r="A32" s="352" t="s">
        <v>164</v>
      </c>
      <c r="B32" s="171" t="s">
        <v>145</v>
      </c>
      <c r="C32" s="171" t="s">
        <v>150</v>
      </c>
      <c r="D32" s="171" t="s">
        <v>153</v>
      </c>
      <c r="E32" s="171" t="s">
        <v>148</v>
      </c>
      <c r="F32" s="263">
        <v>1</v>
      </c>
      <c r="G32" s="263"/>
      <c r="H32" s="171"/>
      <c r="I32" s="265"/>
      <c r="J32" s="265"/>
      <c r="K32" s="265"/>
      <c r="L32" s="265"/>
      <c r="M32" s="266">
        <v>37867925.61999999</v>
      </c>
      <c r="N32" s="265">
        <v>48991654.930000298</v>
      </c>
      <c r="O32" s="265">
        <v>54545111.550000042</v>
      </c>
      <c r="P32" s="265">
        <v>6388021.1600000057</v>
      </c>
      <c r="Q32" s="265">
        <v>7488422.9399999995</v>
      </c>
      <c r="R32" s="265">
        <v>9612000.6600000188</v>
      </c>
      <c r="S32" s="266">
        <v>5697680.3099999996</v>
      </c>
      <c r="T32" s="171"/>
      <c r="U32" s="171"/>
      <c r="V32" s="171"/>
      <c r="W32" s="171"/>
      <c r="X32" s="269">
        <v>9452726.7900000159</v>
      </c>
      <c r="Y32" s="266"/>
      <c r="Z32" s="171"/>
      <c r="AA32" s="171"/>
      <c r="AB32" s="171"/>
      <c r="AC32" s="171"/>
      <c r="AD32" s="171"/>
      <c r="AE32" s="265">
        <v>292274.43</v>
      </c>
    </row>
    <row r="33" spans="1:31" x14ac:dyDescent="0.25">
      <c r="A33" s="353" t="s">
        <v>185</v>
      </c>
      <c r="B33" s="171" t="s">
        <v>145</v>
      </c>
      <c r="C33" s="171" t="s">
        <v>157</v>
      </c>
      <c r="D33" s="171" t="s">
        <v>186</v>
      </c>
      <c r="E33" s="171" t="s">
        <v>159</v>
      </c>
      <c r="F33" s="263"/>
      <c r="G33" s="263">
        <v>1</v>
      </c>
      <c r="H33" s="171"/>
      <c r="I33" s="265"/>
      <c r="J33" s="265"/>
      <c r="K33" s="265"/>
      <c r="L33" s="265"/>
      <c r="M33" s="265"/>
      <c r="N33" s="265"/>
      <c r="O33" s="265">
        <v>298420.86</v>
      </c>
      <c r="P33" s="265">
        <v>114375.18000000001</v>
      </c>
      <c r="Q33" s="265"/>
      <c r="R33" s="265">
        <v>455066.8299999999</v>
      </c>
      <c r="S33" s="265"/>
      <c r="T33" s="171"/>
      <c r="U33" s="171"/>
      <c r="V33" s="171"/>
      <c r="W33" s="171"/>
      <c r="X33" s="266">
        <v>9452726.7899999991</v>
      </c>
      <c r="Y33" s="171"/>
      <c r="Z33" s="171"/>
      <c r="AA33" s="171"/>
      <c r="AB33" s="171"/>
      <c r="AC33" s="171"/>
      <c r="AD33" s="171"/>
      <c r="AE33" s="265"/>
    </row>
    <row r="34" spans="1:31" x14ac:dyDescent="0.25">
      <c r="A34" s="352" t="s">
        <v>156</v>
      </c>
      <c r="B34" s="171" t="s">
        <v>145</v>
      </c>
      <c r="C34" s="171" t="s">
        <v>157</v>
      </c>
      <c r="D34" s="171" t="s">
        <v>181</v>
      </c>
      <c r="E34" s="171" t="s">
        <v>182</v>
      </c>
      <c r="F34" s="263"/>
      <c r="G34" s="263"/>
      <c r="H34" s="171"/>
      <c r="I34" s="265"/>
      <c r="J34" s="265"/>
      <c r="K34" s="265"/>
      <c r="L34" s="265"/>
      <c r="M34" s="265"/>
      <c r="N34" s="265">
        <v>1036658.8200000001</v>
      </c>
      <c r="O34" s="265"/>
      <c r="P34" s="265"/>
      <c r="Q34" s="265"/>
      <c r="R34" s="265"/>
      <c r="S34" s="265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265"/>
    </row>
    <row r="35" spans="1:31" x14ac:dyDescent="0.25">
      <c r="A35" s="352" t="s">
        <v>156</v>
      </c>
      <c r="B35" s="171" t="s">
        <v>145</v>
      </c>
      <c r="C35" s="171" t="s">
        <v>146</v>
      </c>
      <c r="D35" s="171" t="s">
        <v>147</v>
      </c>
      <c r="E35" s="171" t="s">
        <v>148</v>
      </c>
      <c r="F35" s="263"/>
      <c r="G35" s="263"/>
      <c r="H35" s="171"/>
      <c r="I35" s="265"/>
      <c r="J35" s="265"/>
      <c r="K35" s="265">
        <v>21095811.210000005</v>
      </c>
      <c r="L35" s="265"/>
      <c r="M35" s="265"/>
      <c r="N35" s="265"/>
      <c r="O35" s="265"/>
      <c r="P35" s="265"/>
      <c r="Q35" s="265"/>
      <c r="R35" s="265"/>
      <c r="S35" s="265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265"/>
    </row>
    <row r="36" spans="1:31" x14ac:dyDescent="0.25">
      <c r="A36" s="352" t="s">
        <v>173</v>
      </c>
      <c r="B36" s="171" t="s">
        <v>145</v>
      </c>
      <c r="C36" s="171" t="s">
        <v>150</v>
      </c>
      <c r="D36" s="171" t="s">
        <v>180</v>
      </c>
      <c r="E36" s="171" t="s">
        <v>148</v>
      </c>
      <c r="F36" s="263">
        <v>1</v>
      </c>
      <c r="G36" s="263"/>
      <c r="H36" s="171"/>
      <c r="I36" s="265"/>
      <c r="J36" s="265"/>
      <c r="K36" s="265"/>
      <c r="L36" s="265"/>
      <c r="M36" s="265"/>
      <c r="N36" s="265">
        <v>3709919.7600000007</v>
      </c>
      <c r="O36" s="265">
        <v>26603039.640000001</v>
      </c>
      <c r="P36" s="265">
        <v>8664182.8400000017</v>
      </c>
      <c r="Q36" s="265"/>
      <c r="R36" s="265">
        <v>11507647.299999991</v>
      </c>
      <c r="S36" s="265">
        <v>14797681.680000002</v>
      </c>
      <c r="T36" s="171"/>
      <c r="U36" s="171"/>
      <c r="V36" s="171"/>
      <c r="W36" s="171"/>
      <c r="X36" s="266">
        <v>33039185.340000033</v>
      </c>
      <c r="Y36" s="266">
        <v>6893112.2441999996</v>
      </c>
      <c r="Z36" s="171"/>
      <c r="AA36" s="171"/>
      <c r="AB36" s="171"/>
      <c r="AC36" s="171"/>
      <c r="AD36" s="171"/>
      <c r="AE36" s="265">
        <v>669466</v>
      </c>
    </row>
    <row r="37" spans="1:31" x14ac:dyDescent="0.25">
      <c r="A37" s="352" t="s">
        <v>173</v>
      </c>
      <c r="B37" s="171" t="s">
        <v>145</v>
      </c>
      <c r="C37" s="171" t="s">
        <v>150</v>
      </c>
      <c r="D37" s="171" t="s">
        <v>154</v>
      </c>
      <c r="E37" s="171" t="s">
        <v>155</v>
      </c>
      <c r="F37" s="263"/>
      <c r="G37" s="263"/>
      <c r="H37" s="171"/>
      <c r="I37" s="265"/>
      <c r="J37" s="265"/>
      <c r="K37" s="265"/>
      <c r="L37" s="265"/>
      <c r="M37" s="265"/>
      <c r="N37" s="265"/>
      <c r="O37" s="265"/>
      <c r="P37" s="265"/>
      <c r="Q37" s="265"/>
      <c r="R37" s="265">
        <v>363411.85</v>
      </c>
      <c r="S37" s="265"/>
      <c r="T37" s="171"/>
      <c r="U37" s="171"/>
      <c r="V37" s="171"/>
      <c r="W37" s="171"/>
      <c r="X37" s="171"/>
      <c r="Y37" s="171"/>
      <c r="Z37" s="171"/>
      <c r="AA37" s="171"/>
      <c r="AB37" s="171"/>
      <c r="AC37" s="171"/>
      <c r="AD37" s="171"/>
      <c r="AE37" s="265"/>
    </row>
    <row r="38" spans="1:31" x14ac:dyDescent="0.25">
      <c r="A38" s="352" t="s">
        <v>187</v>
      </c>
      <c r="B38" s="171" t="s">
        <v>145</v>
      </c>
      <c r="C38" s="171" t="s">
        <v>157</v>
      </c>
      <c r="D38" s="171" t="s">
        <v>186</v>
      </c>
      <c r="E38" s="171" t="s">
        <v>159</v>
      </c>
      <c r="F38" s="263">
        <v>1</v>
      </c>
      <c r="G38" s="263">
        <v>1</v>
      </c>
      <c r="H38" s="171" t="s">
        <v>49</v>
      </c>
      <c r="I38" s="265"/>
      <c r="J38" s="265"/>
      <c r="K38" s="265"/>
      <c r="L38" s="265"/>
      <c r="M38" s="265">
        <v>8722385.4600000009</v>
      </c>
      <c r="N38" s="265">
        <v>656791.19999999995</v>
      </c>
      <c r="O38" s="265">
        <v>9954086.370000001</v>
      </c>
      <c r="P38" s="265">
        <v>33486048.119999997</v>
      </c>
      <c r="Q38" s="265"/>
      <c r="R38" s="265">
        <v>6365058.8499999996</v>
      </c>
      <c r="S38" s="265">
        <v>9121706.870000001</v>
      </c>
      <c r="T38" s="265">
        <v>267169299.61999798</v>
      </c>
      <c r="U38" s="265">
        <v>595335059.91837656</v>
      </c>
      <c r="V38" s="265">
        <v>137553873</v>
      </c>
      <c r="W38" s="265">
        <v>0</v>
      </c>
      <c r="X38" s="266">
        <v>173307347.28000036</v>
      </c>
      <c r="Y38" s="265">
        <v>601796653.87660027</v>
      </c>
      <c r="Z38" s="171"/>
      <c r="AA38" s="171"/>
      <c r="AB38" s="171"/>
      <c r="AC38" s="171"/>
      <c r="AD38" s="265">
        <v>99474719.699999988</v>
      </c>
      <c r="AE38" s="265"/>
    </row>
    <row r="39" spans="1:31" x14ac:dyDescent="0.25">
      <c r="A39" s="352" t="s">
        <v>165</v>
      </c>
      <c r="B39" s="171" t="s">
        <v>145</v>
      </c>
      <c r="C39" s="171" t="s">
        <v>146</v>
      </c>
      <c r="D39" s="171" t="s">
        <v>183</v>
      </c>
      <c r="E39" s="171" t="s">
        <v>182</v>
      </c>
      <c r="F39" s="263"/>
      <c r="G39" s="263"/>
      <c r="H39" s="171"/>
      <c r="I39" s="265"/>
      <c r="J39" s="265"/>
      <c r="K39" s="265"/>
      <c r="L39" s="265"/>
      <c r="M39" s="265"/>
      <c r="N39" s="270">
        <v>77805536.48999998</v>
      </c>
      <c r="O39" s="265"/>
      <c r="P39" s="265"/>
      <c r="Q39" s="265"/>
      <c r="R39" s="265"/>
      <c r="S39" s="265"/>
      <c r="T39" s="171"/>
      <c r="U39" s="171"/>
      <c r="V39" s="171"/>
      <c r="W39" s="171"/>
      <c r="X39" s="171"/>
      <c r="Y39" s="171"/>
      <c r="Z39" s="171"/>
      <c r="AA39" s="171"/>
      <c r="AB39" s="171"/>
      <c r="AC39" s="171"/>
      <c r="AD39" s="171"/>
      <c r="AE39" s="265"/>
    </row>
    <row r="40" spans="1:31" x14ac:dyDescent="0.25">
      <c r="A40" s="352" t="s">
        <v>165</v>
      </c>
      <c r="B40" s="171" t="s">
        <v>145</v>
      </c>
      <c r="C40" s="171" t="s">
        <v>150</v>
      </c>
      <c r="D40" s="171" t="s">
        <v>188</v>
      </c>
      <c r="E40" s="171" t="s">
        <v>148</v>
      </c>
      <c r="F40" s="263">
        <v>1</v>
      </c>
      <c r="G40" s="263">
        <v>1</v>
      </c>
      <c r="H40" s="171"/>
      <c r="I40" s="265"/>
      <c r="J40" s="265"/>
      <c r="K40" s="265">
        <v>4583787.8000000007</v>
      </c>
      <c r="L40" s="265">
        <v>664339.91000000038</v>
      </c>
      <c r="M40" s="265"/>
      <c r="N40" s="265">
        <v>2517076.71</v>
      </c>
      <c r="O40" s="265">
        <v>41145119.170000061</v>
      </c>
      <c r="P40" s="326">
        <v>59960387.319999933</v>
      </c>
      <c r="Q40" s="265">
        <v>134272.48000000001</v>
      </c>
      <c r="R40" s="265" t="s">
        <v>189</v>
      </c>
      <c r="S40" s="265" t="s">
        <v>190</v>
      </c>
      <c r="T40" s="171"/>
      <c r="U40" s="171"/>
      <c r="V40" s="171"/>
      <c r="W40" s="171"/>
      <c r="X40" s="266">
        <v>249482271.56000093</v>
      </c>
      <c r="Y40" s="266">
        <v>92206844.813199982</v>
      </c>
      <c r="Z40" s="171"/>
      <c r="AA40" s="171"/>
      <c r="AB40" s="171"/>
      <c r="AC40" s="171"/>
      <c r="AD40" s="171"/>
      <c r="AE40" s="265">
        <v>59178799.899999954</v>
      </c>
    </row>
    <row r="41" spans="1:31" x14ac:dyDescent="0.25">
      <c r="A41" s="352" t="s">
        <v>165</v>
      </c>
      <c r="B41" s="171" t="s">
        <v>145</v>
      </c>
      <c r="C41" s="171" t="s">
        <v>157</v>
      </c>
      <c r="D41" s="171" t="s">
        <v>181</v>
      </c>
      <c r="E41" s="171" t="s">
        <v>182</v>
      </c>
      <c r="F41" s="263"/>
      <c r="G41" s="263"/>
      <c r="H41" s="171"/>
      <c r="I41" s="265"/>
      <c r="J41" s="265"/>
      <c r="K41" s="265"/>
      <c r="L41" s="265"/>
      <c r="M41" s="265"/>
      <c r="N41" s="265">
        <v>2257325.5700000003</v>
      </c>
      <c r="O41" s="265">
        <v>1224636.3599999999</v>
      </c>
      <c r="P41" s="265">
        <v>18915.36</v>
      </c>
      <c r="Q41" s="265"/>
      <c r="R41" s="265"/>
      <c r="S41" s="265"/>
      <c r="T41" s="171"/>
      <c r="U41" s="171"/>
      <c r="V41" s="171"/>
      <c r="W41" s="171"/>
      <c r="X41" s="171"/>
      <c r="Y41" s="171"/>
      <c r="Z41" s="171"/>
      <c r="AA41" s="171"/>
      <c r="AB41" s="171"/>
      <c r="AC41" s="171"/>
      <c r="AD41" s="171"/>
      <c r="AE41" s="265"/>
    </row>
    <row r="42" spans="1:31" x14ac:dyDescent="0.25">
      <c r="A42" s="352" t="s">
        <v>165</v>
      </c>
      <c r="B42" s="171" t="s">
        <v>145</v>
      </c>
      <c r="C42" s="171" t="s">
        <v>150</v>
      </c>
      <c r="D42" s="171" t="s">
        <v>154</v>
      </c>
      <c r="E42" s="171" t="s">
        <v>155</v>
      </c>
      <c r="F42" s="263"/>
      <c r="G42" s="263"/>
      <c r="H42" s="171"/>
      <c r="I42" s="265"/>
      <c r="J42" s="265"/>
      <c r="K42" s="265"/>
      <c r="L42" s="265"/>
      <c r="M42" s="265"/>
      <c r="N42" s="265"/>
      <c r="O42" s="265"/>
      <c r="P42" s="265">
        <v>156790.96</v>
      </c>
      <c r="Q42" s="265"/>
      <c r="R42" s="265">
        <v>1437079.11</v>
      </c>
      <c r="S42" s="265"/>
      <c r="T42" s="171"/>
      <c r="U42" s="171"/>
      <c r="V42" s="171"/>
      <c r="W42" s="171"/>
      <c r="X42" s="171"/>
      <c r="Y42" s="171"/>
      <c r="Z42" s="171"/>
      <c r="AA42" s="171"/>
      <c r="AB42" s="171"/>
      <c r="AC42" s="171"/>
      <c r="AD42" s="171"/>
      <c r="AE42" s="265"/>
    </row>
    <row r="43" spans="1:31" x14ac:dyDescent="0.25">
      <c r="A43" s="352" t="s">
        <v>191</v>
      </c>
      <c r="B43" s="171" t="s">
        <v>145</v>
      </c>
      <c r="C43" s="171" t="s">
        <v>157</v>
      </c>
      <c r="D43" s="171" t="s">
        <v>186</v>
      </c>
      <c r="E43" s="171" t="s">
        <v>159</v>
      </c>
      <c r="F43" s="263"/>
      <c r="G43" s="263">
        <v>1</v>
      </c>
      <c r="H43" s="171" t="s">
        <v>49</v>
      </c>
      <c r="I43" s="265"/>
      <c r="J43" s="265"/>
      <c r="K43" s="265"/>
      <c r="L43" s="265"/>
      <c r="M43" s="265"/>
      <c r="N43" s="265"/>
      <c r="O43" s="265">
        <v>666222.65999999992</v>
      </c>
      <c r="P43" s="266">
        <v>8706096.9299999997</v>
      </c>
      <c r="Q43" s="265"/>
      <c r="R43" s="265">
        <v>544918.50999999989</v>
      </c>
      <c r="S43" s="265">
        <v>115371.24</v>
      </c>
      <c r="T43" s="265">
        <v>55421510.720000334</v>
      </c>
      <c r="U43" s="265">
        <v>97091470.610000327</v>
      </c>
      <c r="V43" s="265">
        <v>14062801</v>
      </c>
      <c r="W43" s="265">
        <v>0</v>
      </c>
      <c r="X43" s="265">
        <v>69327183.080000117</v>
      </c>
      <c r="Y43" s="265">
        <v>23181716.654200006</v>
      </c>
      <c r="Z43" s="171"/>
      <c r="AA43" s="171"/>
      <c r="AB43" s="171"/>
      <c r="AC43" s="171"/>
      <c r="AD43" s="171"/>
      <c r="AE43" s="265">
        <v>3859752.72</v>
      </c>
    </row>
    <row r="44" spans="1:31" x14ac:dyDescent="0.25">
      <c r="A44" s="352" t="s">
        <v>192</v>
      </c>
      <c r="B44" s="271" t="s">
        <v>145</v>
      </c>
      <c r="C44" s="271" t="s">
        <v>146</v>
      </c>
      <c r="D44" s="171" t="s">
        <v>184</v>
      </c>
      <c r="E44" s="171" t="s">
        <v>193</v>
      </c>
      <c r="F44" s="263"/>
      <c r="G44" s="263"/>
      <c r="H44" s="171"/>
      <c r="I44" s="269">
        <v>835821.95</v>
      </c>
      <c r="J44" s="265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  <c r="AA44" s="171"/>
      <c r="AB44" s="171"/>
      <c r="AC44" s="171"/>
      <c r="AD44" s="171"/>
      <c r="AE44" s="171"/>
    </row>
    <row r="45" spans="1:31" x14ac:dyDescent="0.25">
      <c r="A45" s="352" t="s">
        <v>192</v>
      </c>
      <c r="B45" s="271" t="s">
        <v>145</v>
      </c>
      <c r="C45" s="271" t="s">
        <v>146</v>
      </c>
      <c r="D45" s="171" t="s">
        <v>184</v>
      </c>
      <c r="E45" s="171" t="s">
        <v>194</v>
      </c>
      <c r="F45" s="263"/>
      <c r="G45" s="263"/>
      <c r="H45" s="171"/>
      <c r="I45" s="269">
        <v>836011.14999999991</v>
      </c>
      <c r="J45" s="272"/>
      <c r="K45" s="272"/>
      <c r="L45" s="272"/>
      <c r="M45" s="272"/>
      <c r="N45" s="272"/>
      <c r="O45" s="272"/>
      <c r="P45" s="272"/>
      <c r="Q45" s="272"/>
      <c r="R45" s="272"/>
      <c r="S45" s="272"/>
      <c r="T45" s="272"/>
      <c r="U45" s="272"/>
      <c r="V45" s="272"/>
      <c r="W45" s="272"/>
      <c r="X45" s="272"/>
      <c r="Y45" s="272"/>
      <c r="Z45" s="272"/>
      <c r="AA45" s="272"/>
      <c r="AB45" s="272"/>
      <c r="AC45" s="272"/>
      <c r="AD45" s="272"/>
      <c r="AE45" s="171"/>
    </row>
    <row r="46" spans="1:31" x14ac:dyDescent="0.25">
      <c r="A46" s="352" t="s">
        <v>192</v>
      </c>
      <c r="B46" s="271" t="s">
        <v>145</v>
      </c>
      <c r="C46" s="271" t="s">
        <v>146</v>
      </c>
      <c r="D46" s="171" t="s">
        <v>184</v>
      </c>
      <c r="E46" s="171" t="s">
        <v>148</v>
      </c>
      <c r="F46" s="263"/>
      <c r="G46" s="263"/>
      <c r="H46" s="171"/>
      <c r="I46" s="269">
        <v>228590.15</v>
      </c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  <c r="AC46" s="171"/>
      <c r="AD46" s="171"/>
      <c r="AE46" s="171"/>
    </row>
    <row r="47" spans="1:31" x14ac:dyDescent="0.25">
      <c r="A47" s="352" t="s">
        <v>192</v>
      </c>
      <c r="B47" s="271" t="s">
        <v>145</v>
      </c>
      <c r="C47" s="271" t="s">
        <v>146</v>
      </c>
      <c r="D47" s="171" t="s">
        <v>184</v>
      </c>
      <c r="E47" s="171" t="s">
        <v>148</v>
      </c>
      <c r="F47" s="263"/>
      <c r="G47" s="263"/>
      <c r="H47" s="171"/>
      <c r="I47" s="269">
        <v>688143.6</v>
      </c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273"/>
      <c r="Y47" s="171"/>
      <c r="Z47" s="171"/>
      <c r="AA47" s="171"/>
      <c r="AB47" s="171"/>
      <c r="AC47" s="171"/>
      <c r="AD47" s="171"/>
      <c r="AE47" s="171"/>
    </row>
    <row r="48" spans="1:31" x14ac:dyDescent="0.25">
      <c r="A48" s="352" t="s">
        <v>195</v>
      </c>
      <c r="B48" s="271" t="s">
        <v>145</v>
      </c>
      <c r="C48" s="271" t="s">
        <v>146</v>
      </c>
      <c r="D48" s="171" t="s">
        <v>184</v>
      </c>
      <c r="E48" s="171" t="s">
        <v>193</v>
      </c>
      <c r="F48" s="263"/>
      <c r="G48" s="263"/>
      <c r="H48" s="171"/>
      <c r="I48" s="269">
        <v>44163988.919999994</v>
      </c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71"/>
      <c r="AB48" s="171"/>
      <c r="AC48" s="171"/>
      <c r="AD48" s="171"/>
      <c r="AE48" s="171"/>
    </row>
    <row r="49" spans="1:31" x14ac:dyDescent="0.25">
      <c r="A49" s="352" t="s">
        <v>195</v>
      </c>
      <c r="B49" s="271" t="s">
        <v>145</v>
      </c>
      <c r="C49" s="271" t="s">
        <v>146</v>
      </c>
      <c r="D49" s="171" t="s">
        <v>184</v>
      </c>
      <c r="E49" s="171" t="s">
        <v>148</v>
      </c>
      <c r="F49" s="263"/>
      <c r="G49" s="263"/>
      <c r="H49" s="171"/>
      <c r="I49" s="269">
        <v>4002531.09</v>
      </c>
      <c r="J49" s="274"/>
      <c r="K49" s="274"/>
      <c r="L49" s="274"/>
      <c r="M49" s="274"/>
      <c r="N49" s="274"/>
      <c r="O49" s="274"/>
      <c r="P49" s="274"/>
      <c r="Q49" s="274"/>
      <c r="R49" s="274"/>
      <c r="S49" s="274"/>
      <c r="T49" s="274"/>
      <c r="U49" s="274"/>
      <c r="V49" s="171"/>
      <c r="W49" s="171"/>
      <c r="X49" s="171"/>
      <c r="Y49" s="274"/>
      <c r="Z49" s="274"/>
      <c r="AA49" s="274"/>
      <c r="AB49" s="274"/>
      <c r="AC49" s="274"/>
      <c r="AD49" s="274"/>
      <c r="AE49" s="171"/>
    </row>
    <row r="50" spans="1:31" x14ac:dyDescent="0.25">
      <c r="A50" s="352" t="s">
        <v>196</v>
      </c>
      <c r="B50" s="271" t="s">
        <v>145</v>
      </c>
      <c r="C50" s="271" t="s">
        <v>146</v>
      </c>
      <c r="D50" s="171" t="s">
        <v>184</v>
      </c>
      <c r="E50" s="171" t="s">
        <v>194</v>
      </c>
      <c r="F50" s="263"/>
      <c r="G50" s="263"/>
      <c r="H50" s="171"/>
      <c r="I50" s="269">
        <v>3046694.5799999996</v>
      </c>
      <c r="J50" s="265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171"/>
      <c r="W50" s="171"/>
      <c r="X50" s="171"/>
      <c r="Y50" s="265"/>
      <c r="Z50" s="265"/>
      <c r="AA50" s="265"/>
      <c r="AB50" s="265"/>
      <c r="AC50" s="265"/>
      <c r="AD50" s="265"/>
      <c r="AE50" s="171"/>
    </row>
    <row r="51" spans="1:31" x14ac:dyDescent="0.25">
      <c r="A51" s="352" t="s">
        <v>196</v>
      </c>
      <c r="B51" s="271" t="s">
        <v>145</v>
      </c>
      <c r="C51" s="271" t="s">
        <v>146</v>
      </c>
      <c r="D51" s="171" t="s">
        <v>184</v>
      </c>
      <c r="E51" s="171" t="s">
        <v>148</v>
      </c>
      <c r="F51" s="263"/>
      <c r="G51" s="263"/>
      <c r="H51" s="171"/>
      <c r="I51" s="269">
        <v>2125019.96</v>
      </c>
      <c r="J51" s="265"/>
      <c r="K51" s="265"/>
      <c r="L51" s="265"/>
      <c r="M51" s="265"/>
      <c r="N51" s="265"/>
      <c r="O51" s="265"/>
      <c r="P51" s="265"/>
      <c r="Q51" s="265"/>
      <c r="R51" s="265"/>
      <c r="S51" s="265"/>
      <c r="T51" s="265"/>
      <c r="U51" s="265"/>
      <c r="V51" s="265"/>
      <c r="W51" s="265"/>
      <c r="X51" s="265"/>
      <c r="Y51" s="265"/>
      <c r="Z51" s="265"/>
      <c r="AA51" s="265"/>
      <c r="AB51" s="265"/>
      <c r="AC51" s="265"/>
      <c r="AD51" s="265"/>
      <c r="AE51" s="171"/>
    </row>
    <row r="52" spans="1:31" x14ac:dyDescent="0.25">
      <c r="A52" s="352" t="s">
        <v>197</v>
      </c>
      <c r="B52" s="271" t="s">
        <v>145</v>
      </c>
      <c r="C52" s="271" t="s">
        <v>146</v>
      </c>
      <c r="D52" s="171" t="s">
        <v>184</v>
      </c>
      <c r="E52" s="171" t="s">
        <v>194</v>
      </c>
      <c r="F52" s="263"/>
      <c r="G52" s="263"/>
      <c r="H52" s="171"/>
      <c r="I52" s="269">
        <v>12307302.329999996</v>
      </c>
      <c r="J52" s="265"/>
      <c r="K52" s="265"/>
      <c r="L52" s="265"/>
      <c r="M52" s="265"/>
      <c r="N52" s="265"/>
      <c r="O52" s="265"/>
      <c r="P52" s="265"/>
      <c r="Q52" s="265"/>
      <c r="R52" s="265"/>
      <c r="S52" s="265"/>
      <c r="T52" s="265"/>
      <c r="U52" s="265"/>
      <c r="V52" s="265"/>
      <c r="W52" s="265"/>
      <c r="X52" s="265"/>
      <c r="Y52" s="265"/>
      <c r="Z52" s="265"/>
      <c r="AA52" s="265"/>
      <c r="AB52" s="265"/>
      <c r="AC52" s="265"/>
      <c r="AD52" s="265"/>
      <c r="AE52" s="171"/>
    </row>
    <row r="53" spans="1:31" x14ac:dyDescent="0.25">
      <c r="A53" s="352" t="s">
        <v>197</v>
      </c>
      <c r="B53" s="271" t="s">
        <v>145</v>
      </c>
      <c r="C53" s="271" t="s">
        <v>146</v>
      </c>
      <c r="D53" s="171" t="s">
        <v>184</v>
      </c>
      <c r="E53" s="171" t="s">
        <v>148</v>
      </c>
      <c r="F53" s="263"/>
      <c r="G53" s="263"/>
      <c r="H53" s="171"/>
      <c r="I53" s="269">
        <v>9498768.2299999986</v>
      </c>
      <c r="J53" s="265"/>
      <c r="K53" s="265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  <c r="AA53" s="265"/>
      <c r="AB53" s="265"/>
      <c r="AC53" s="265"/>
      <c r="AD53" s="265"/>
      <c r="AE53" s="171"/>
    </row>
    <row r="54" spans="1:31" x14ac:dyDescent="0.25">
      <c r="A54" s="352" t="s">
        <v>198</v>
      </c>
      <c r="B54" s="271" t="s">
        <v>145</v>
      </c>
      <c r="C54" s="271" t="s">
        <v>146</v>
      </c>
      <c r="D54" s="171" t="s">
        <v>184</v>
      </c>
      <c r="E54" s="171" t="s">
        <v>199</v>
      </c>
      <c r="F54" s="263"/>
      <c r="G54" s="263"/>
      <c r="H54" s="171"/>
      <c r="I54" s="269">
        <v>1850809.5699999998</v>
      </c>
      <c r="J54" s="265"/>
      <c r="K54" s="265"/>
      <c r="L54" s="265"/>
      <c r="M54" s="265"/>
      <c r="N54" s="265"/>
      <c r="O54" s="265"/>
      <c r="P54" s="265"/>
      <c r="Q54" s="265"/>
      <c r="R54" s="265"/>
      <c r="S54" s="265"/>
      <c r="T54" s="265"/>
      <c r="U54" s="265"/>
      <c r="V54" s="265"/>
      <c r="W54" s="265"/>
      <c r="X54" s="265"/>
      <c r="Y54" s="265"/>
      <c r="Z54" s="265"/>
      <c r="AA54" s="265"/>
      <c r="AB54" s="265"/>
      <c r="AC54" s="265"/>
      <c r="AD54" s="265"/>
      <c r="AE54" s="171"/>
    </row>
    <row r="55" spans="1:31" x14ac:dyDescent="0.25">
      <c r="A55" s="352" t="s">
        <v>200</v>
      </c>
      <c r="B55" s="271" t="s">
        <v>145</v>
      </c>
      <c r="C55" s="271" t="s">
        <v>146</v>
      </c>
      <c r="D55" s="171" t="s">
        <v>184</v>
      </c>
      <c r="E55" s="171" t="s">
        <v>201</v>
      </c>
      <c r="F55" s="263"/>
      <c r="G55" s="263"/>
      <c r="H55" s="171"/>
      <c r="I55" s="269">
        <v>3916673.8</v>
      </c>
      <c r="J55" s="265"/>
      <c r="K55" s="265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5"/>
      <c r="W55" s="265"/>
      <c r="X55" s="265"/>
      <c r="Y55" s="265"/>
      <c r="Z55" s="265"/>
      <c r="AA55" s="265"/>
      <c r="AB55" s="265"/>
      <c r="AC55" s="265"/>
      <c r="AD55" s="265"/>
      <c r="AE55" s="171"/>
    </row>
    <row r="56" spans="1:31" x14ac:dyDescent="0.25">
      <c r="A56" s="352" t="s">
        <v>200</v>
      </c>
      <c r="B56" s="271" t="s">
        <v>145</v>
      </c>
      <c r="C56" s="271" t="s">
        <v>146</v>
      </c>
      <c r="D56" s="171" t="s">
        <v>184</v>
      </c>
      <c r="E56" s="171" t="s">
        <v>202</v>
      </c>
      <c r="F56" s="263"/>
      <c r="G56" s="263"/>
      <c r="H56" s="171"/>
      <c r="I56" s="269">
        <v>2292216.67</v>
      </c>
      <c r="J56" s="265"/>
      <c r="K56" s="265"/>
      <c r="L56" s="265"/>
      <c r="M56" s="265"/>
      <c r="N56" s="265"/>
      <c r="O56" s="265"/>
      <c r="P56" s="265"/>
      <c r="Q56" s="265"/>
      <c r="R56" s="265"/>
      <c r="S56" s="265"/>
      <c r="T56" s="265"/>
      <c r="U56" s="265"/>
      <c r="V56" s="265"/>
      <c r="W56" s="265"/>
      <c r="X56" s="265"/>
      <c r="Y56" s="265"/>
      <c r="Z56" s="265"/>
      <c r="AA56" s="265"/>
      <c r="AB56" s="265"/>
      <c r="AC56" s="265"/>
      <c r="AD56" s="265"/>
      <c r="AE56" s="171"/>
    </row>
    <row r="57" spans="1:31" x14ac:dyDescent="0.25">
      <c r="A57" s="352" t="s">
        <v>203</v>
      </c>
      <c r="B57" s="271" t="s">
        <v>145</v>
      </c>
      <c r="C57" s="271" t="s">
        <v>146</v>
      </c>
      <c r="D57" s="171" t="s">
        <v>184</v>
      </c>
      <c r="E57" s="171" t="s">
        <v>148</v>
      </c>
      <c r="F57" s="263"/>
      <c r="G57" s="263"/>
      <c r="H57" s="171"/>
      <c r="I57" s="269">
        <v>1669261.7300000004</v>
      </c>
      <c r="J57" s="265"/>
      <c r="K57" s="265"/>
      <c r="L57" s="265"/>
      <c r="M57" s="265"/>
      <c r="N57" s="265"/>
      <c r="O57" s="265"/>
      <c r="P57" s="265"/>
      <c r="Q57" s="265"/>
      <c r="R57" s="265"/>
      <c r="S57" s="265"/>
      <c r="T57" s="265"/>
      <c r="U57" s="265"/>
      <c r="V57" s="265"/>
      <c r="W57" s="265"/>
      <c r="X57" s="265"/>
      <c r="Y57" s="265"/>
      <c r="Z57" s="265"/>
      <c r="AA57" s="265"/>
      <c r="AB57" s="265"/>
      <c r="AC57" s="265"/>
      <c r="AD57" s="265"/>
      <c r="AE57" s="171"/>
    </row>
    <row r="58" spans="1:31" x14ac:dyDescent="0.25">
      <c r="A58" s="352" t="s">
        <v>176</v>
      </c>
      <c r="B58" s="271" t="s">
        <v>145</v>
      </c>
      <c r="C58" s="271" t="s">
        <v>146</v>
      </c>
      <c r="D58" s="171" t="s">
        <v>184</v>
      </c>
      <c r="E58" s="171" t="s">
        <v>155</v>
      </c>
      <c r="F58" s="263"/>
      <c r="G58" s="263"/>
      <c r="H58" s="171"/>
      <c r="I58" s="269">
        <v>16290350.629999995</v>
      </c>
      <c r="J58" s="265"/>
      <c r="K58" s="265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  <c r="AA58" s="265"/>
      <c r="AB58" s="265"/>
      <c r="AC58" s="265"/>
      <c r="AD58" s="265"/>
      <c r="AE58" s="171"/>
    </row>
    <row r="59" spans="1:31" x14ac:dyDescent="0.25">
      <c r="A59" s="352" t="s">
        <v>204</v>
      </c>
      <c r="B59" s="271" t="s">
        <v>145</v>
      </c>
      <c r="C59" s="271" t="s">
        <v>146</v>
      </c>
      <c r="D59" s="171" t="s">
        <v>184</v>
      </c>
      <c r="E59" s="171" t="s">
        <v>148</v>
      </c>
      <c r="F59" s="263"/>
      <c r="G59" s="263"/>
      <c r="H59" s="171"/>
      <c r="I59" s="269">
        <v>13742490.699999999</v>
      </c>
      <c r="J59" s="265"/>
      <c r="K59" s="265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65"/>
      <c r="W59" s="265"/>
      <c r="X59" s="265"/>
      <c r="Y59" s="265"/>
      <c r="Z59" s="265"/>
      <c r="AA59" s="265"/>
      <c r="AB59" s="265"/>
      <c r="AC59" s="265"/>
      <c r="AD59" s="265"/>
      <c r="AE59" s="171"/>
    </row>
    <row r="60" spans="1:31" x14ac:dyDescent="0.25">
      <c r="A60" s="352" t="s">
        <v>205</v>
      </c>
      <c r="B60" s="271" t="s">
        <v>145</v>
      </c>
      <c r="C60" s="271" t="s">
        <v>146</v>
      </c>
      <c r="D60" s="171" t="s">
        <v>184</v>
      </c>
      <c r="E60" s="171" t="s">
        <v>148</v>
      </c>
      <c r="F60" s="263"/>
      <c r="G60" s="263"/>
      <c r="H60" s="171"/>
      <c r="I60" s="269">
        <v>8182930.8999999994</v>
      </c>
      <c r="J60" s="265"/>
      <c r="K60" s="265"/>
      <c r="L60" s="265"/>
      <c r="M60" s="265"/>
      <c r="N60" s="265"/>
      <c r="O60" s="265"/>
      <c r="P60" s="265"/>
      <c r="Q60" s="265"/>
      <c r="R60" s="265"/>
      <c r="S60" s="265"/>
      <c r="T60" s="265"/>
      <c r="U60" s="265"/>
      <c r="V60" s="265"/>
      <c r="W60" s="265"/>
      <c r="X60" s="265"/>
      <c r="Y60" s="265"/>
      <c r="Z60" s="265"/>
      <c r="AA60" s="265"/>
      <c r="AB60" s="265"/>
      <c r="AC60" s="265"/>
      <c r="AD60" s="265"/>
      <c r="AE60" s="171"/>
    </row>
    <row r="61" spans="1:31" x14ac:dyDescent="0.25">
      <c r="A61" s="352" t="s">
        <v>206</v>
      </c>
      <c r="B61" s="271" t="s">
        <v>145</v>
      </c>
      <c r="C61" s="271" t="s">
        <v>146</v>
      </c>
      <c r="D61" s="171" t="s">
        <v>184</v>
      </c>
      <c r="E61" s="171" t="s">
        <v>207</v>
      </c>
      <c r="F61" s="263"/>
      <c r="G61" s="263"/>
      <c r="H61" s="171"/>
      <c r="I61" s="269">
        <v>1212322.8800000001</v>
      </c>
      <c r="J61" s="265"/>
      <c r="K61" s="265"/>
      <c r="L61" s="265"/>
      <c r="M61" s="265"/>
      <c r="N61" s="265"/>
      <c r="O61" s="265"/>
      <c r="P61" s="265"/>
      <c r="Q61" s="265"/>
      <c r="R61" s="265"/>
      <c r="S61" s="265"/>
      <c r="T61" s="265"/>
      <c r="U61" s="265"/>
      <c r="V61" s="265"/>
      <c r="W61" s="265"/>
      <c r="X61" s="265"/>
      <c r="Y61" s="265"/>
      <c r="Z61" s="265"/>
      <c r="AA61" s="265"/>
      <c r="AB61" s="265"/>
      <c r="AC61" s="265"/>
      <c r="AD61" s="265"/>
      <c r="AE61" s="171"/>
    </row>
    <row r="62" spans="1:31" x14ac:dyDescent="0.25">
      <c r="A62" s="352" t="s">
        <v>208</v>
      </c>
      <c r="B62" s="271" t="s">
        <v>145</v>
      </c>
      <c r="C62" s="271" t="s">
        <v>146</v>
      </c>
      <c r="D62" s="171" t="s">
        <v>184</v>
      </c>
      <c r="E62" s="171" t="s">
        <v>148</v>
      </c>
      <c r="F62" s="263"/>
      <c r="G62" s="263"/>
      <c r="H62" s="171"/>
      <c r="I62" s="269">
        <v>3727231.73</v>
      </c>
      <c r="J62" s="265"/>
      <c r="K62" s="265"/>
      <c r="L62" s="265"/>
      <c r="M62" s="265"/>
      <c r="N62" s="265"/>
      <c r="O62" s="265"/>
      <c r="P62" s="265"/>
      <c r="Q62" s="265"/>
      <c r="R62" s="265"/>
      <c r="S62" s="265"/>
      <c r="T62" s="265"/>
      <c r="U62" s="265"/>
      <c r="V62" s="265"/>
      <c r="W62" s="265"/>
      <c r="X62" s="265"/>
      <c r="Y62" s="265"/>
      <c r="Z62" s="265"/>
      <c r="AA62" s="265"/>
      <c r="AB62" s="265"/>
      <c r="AC62" s="265"/>
      <c r="AD62" s="265"/>
      <c r="AE62" s="171"/>
    </row>
    <row r="63" spans="1:31" x14ac:dyDescent="0.25">
      <c r="A63" s="352" t="s">
        <v>209</v>
      </c>
      <c r="B63" s="271" t="s">
        <v>145</v>
      </c>
      <c r="C63" s="271" t="s">
        <v>146</v>
      </c>
      <c r="D63" s="171" t="s">
        <v>184</v>
      </c>
      <c r="E63" s="171" t="s">
        <v>201</v>
      </c>
      <c r="F63" s="263"/>
      <c r="G63" s="263"/>
      <c r="H63" s="171"/>
      <c r="I63" s="269">
        <v>1282400.56</v>
      </c>
      <c r="J63" s="265"/>
      <c r="K63" s="265"/>
      <c r="L63" s="265"/>
      <c r="M63" s="265"/>
      <c r="N63" s="265"/>
      <c r="O63" s="265"/>
      <c r="P63" s="265"/>
      <c r="Q63" s="265"/>
      <c r="R63" s="265"/>
      <c r="S63" s="265"/>
      <c r="T63" s="265"/>
      <c r="U63" s="265"/>
      <c r="V63" s="265"/>
      <c r="W63" s="265"/>
      <c r="X63" s="265"/>
      <c r="Y63" s="265"/>
      <c r="Z63" s="265"/>
      <c r="AA63" s="265"/>
      <c r="AB63" s="265"/>
      <c r="AC63" s="265"/>
      <c r="AD63" s="265"/>
      <c r="AE63" s="171"/>
    </row>
    <row r="64" spans="1:31" x14ac:dyDescent="0.25">
      <c r="A64" s="352" t="s">
        <v>209</v>
      </c>
      <c r="B64" s="271" t="s">
        <v>145</v>
      </c>
      <c r="C64" s="271" t="s">
        <v>146</v>
      </c>
      <c r="D64" s="171" t="s">
        <v>184</v>
      </c>
      <c r="E64" s="171" t="s">
        <v>202</v>
      </c>
      <c r="F64" s="263"/>
      <c r="G64" s="263"/>
      <c r="H64" s="171"/>
      <c r="I64" s="269">
        <v>551136.82000000007</v>
      </c>
      <c r="J64" s="265"/>
      <c r="K64" s="265"/>
      <c r="L64" s="265"/>
      <c r="M64" s="265"/>
      <c r="N64" s="265"/>
      <c r="O64" s="265"/>
      <c r="P64" s="265"/>
      <c r="Q64" s="265"/>
      <c r="R64" s="265"/>
      <c r="S64" s="265"/>
      <c r="T64" s="265"/>
      <c r="U64" s="265"/>
      <c r="V64" s="265"/>
      <c r="W64" s="265"/>
      <c r="X64" s="265"/>
      <c r="Y64" s="265"/>
      <c r="Z64" s="265"/>
      <c r="AA64" s="265"/>
      <c r="AB64" s="265"/>
      <c r="AC64" s="265"/>
      <c r="AD64" s="265"/>
      <c r="AE64" s="171"/>
    </row>
    <row r="65" spans="1:31" x14ac:dyDescent="0.25">
      <c r="A65" s="352" t="s">
        <v>210</v>
      </c>
      <c r="B65" s="271" t="s">
        <v>145</v>
      </c>
      <c r="C65" s="271" t="s">
        <v>146</v>
      </c>
      <c r="D65" s="171" t="s">
        <v>184</v>
      </c>
      <c r="E65" s="171" t="s">
        <v>148</v>
      </c>
      <c r="F65" s="263"/>
      <c r="G65" s="263"/>
      <c r="H65" s="171"/>
      <c r="I65" s="269">
        <v>526862.52</v>
      </c>
      <c r="J65" s="265"/>
      <c r="K65" s="265"/>
      <c r="L65" s="265"/>
      <c r="M65" s="265"/>
      <c r="N65" s="265"/>
      <c r="O65" s="265"/>
      <c r="P65" s="265"/>
      <c r="Q65" s="265"/>
      <c r="R65" s="265"/>
      <c r="S65" s="265"/>
      <c r="T65" s="265"/>
      <c r="U65" s="265"/>
      <c r="V65" s="265"/>
      <c r="W65" s="265"/>
      <c r="X65" s="265"/>
      <c r="Y65" s="265"/>
      <c r="Z65" s="265"/>
      <c r="AA65" s="265"/>
      <c r="AB65" s="265"/>
      <c r="AC65" s="265"/>
      <c r="AD65" s="265"/>
      <c r="AE65" s="171"/>
    </row>
    <row r="66" spans="1:31" x14ac:dyDescent="0.25">
      <c r="A66" s="352" t="s">
        <v>211</v>
      </c>
      <c r="B66" s="271" t="s">
        <v>145</v>
      </c>
      <c r="C66" s="271" t="s">
        <v>146</v>
      </c>
      <c r="D66" s="171" t="s">
        <v>184</v>
      </c>
      <c r="E66" s="171" t="s">
        <v>207</v>
      </c>
      <c r="F66" s="263"/>
      <c r="G66" s="263"/>
      <c r="H66" s="171"/>
      <c r="I66" s="269">
        <v>6645557.3500000015</v>
      </c>
      <c r="J66" s="265"/>
      <c r="K66" s="265"/>
      <c r="L66" s="265"/>
      <c r="M66" s="265"/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  <c r="Z66" s="265"/>
      <c r="AA66" s="265"/>
      <c r="AB66" s="265"/>
      <c r="AC66" s="265"/>
      <c r="AD66" s="265"/>
      <c r="AE66" s="171"/>
    </row>
    <row r="67" spans="1:31" x14ac:dyDescent="0.25">
      <c r="A67" s="352" t="s">
        <v>212</v>
      </c>
      <c r="B67" s="271" t="s">
        <v>145</v>
      </c>
      <c r="C67" s="271" t="s">
        <v>146</v>
      </c>
      <c r="D67" s="171" t="s">
        <v>184</v>
      </c>
      <c r="E67" s="171" t="s">
        <v>213</v>
      </c>
      <c r="F67" s="275"/>
      <c r="G67" s="275"/>
      <c r="H67" s="276"/>
      <c r="I67" s="269">
        <v>715825.47</v>
      </c>
      <c r="J67" s="276"/>
      <c r="K67" s="276"/>
      <c r="L67" s="276"/>
      <c r="M67" s="276"/>
      <c r="N67" s="276"/>
      <c r="O67" s="276"/>
      <c r="P67" s="276"/>
      <c r="Q67" s="276"/>
      <c r="R67" s="276"/>
      <c r="S67" s="276"/>
      <c r="T67" s="276"/>
      <c r="U67" s="276"/>
      <c r="V67" s="276"/>
      <c r="W67" s="276"/>
      <c r="X67" s="276"/>
      <c r="Y67" s="276"/>
      <c r="Z67" s="276"/>
      <c r="AA67" s="276"/>
      <c r="AB67" s="276"/>
      <c r="AC67" s="276"/>
      <c r="AD67" s="276"/>
      <c r="AE67" s="276"/>
    </row>
    <row r="68" spans="1:31" x14ac:dyDescent="0.25">
      <c r="A68" s="352" t="s">
        <v>214</v>
      </c>
      <c r="B68" s="271" t="s">
        <v>145</v>
      </c>
      <c r="C68" s="271" t="s">
        <v>146</v>
      </c>
      <c r="D68" s="171" t="s">
        <v>184</v>
      </c>
      <c r="E68" s="171" t="s">
        <v>207</v>
      </c>
      <c r="F68" s="263"/>
      <c r="G68" s="263"/>
      <c r="H68" s="171"/>
      <c r="I68" s="269">
        <v>2816299.63</v>
      </c>
      <c r="J68" s="265"/>
      <c r="K68" s="265"/>
      <c r="L68" s="265"/>
      <c r="M68" s="265"/>
      <c r="N68" s="265"/>
      <c r="O68" s="265"/>
      <c r="P68" s="265"/>
      <c r="Q68" s="265"/>
      <c r="R68" s="265"/>
      <c r="S68" s="265"/>
      <c r="T68" s="265"/>
      <c r="U68" s="265"/>
      <c r="V68" s="265"/>
      <c r="W68" s="265"/>
      <c r="X68" s="265"/>
      <c r="Y68" s="265"/>
      <c r="Z68" s="265"/>
      <c r="AA68" s="265"/>
      <c r="AB68" s="265"/>
      <c r="AC68" s="265"/>
      <c r="AD68" s="265"/>
      <c r="AE68" s="171"/>
    </row>
    <row r="69" spans="1:31" x14ac:dyDescent="0.25">
      <c r="A69" s="352" t="s">
        <v>215</v>
      </c>
      <c r="B69" s="271" t="s">
        <v>145</v>
      </c>
      <c r="C69" s="271" t="s">
        <v>146</v>
      </c>
      <c r="D69" s="171" t="s">
        <v>184</v>
      </c>
      <c r="E69" s="171" t="s">
        <v>148</v>
      </c>
      <c r="F69" s="263"/>
      <c r="G69" s="263"/>
      <c r="H69" s="171"/>
      <c r="I69" s="269">
        <v>1402526.35</v>
      </c>
      <c r="J69" s="265"/>
      <c r="K69" s="265"/>
      <c r="L69" s="265"/>
      <c r="M69" s="265"/>
      <c r="N69" s="265"/>
      <c r="O69" s="265"/>
      <c r="P69" s="265"/>
      <c r="Q69" s="265"/>
      <c r="R69" s="265"/>
      <c r="S69" s="265"/>
      <c r="T69" s="265"/>
      <c r="U69" s="265"/>
      <c r="V69" s="265"/>
      <c r="W69" s="265"/>
      <c r="X69" s="265"/>
      <c r="Y69" s="265"/>
      <c r="Z69" s="265"/>
      <c r="AA69" s="265"/>
      <c r="AB69" s="265"/>
      <c r="AC69" s="265"/>
      <c r="AD69" s="265"/>
      <c r="AE69" s="171"/>
    </row>
    <row r="70" spans="1:31" x14ac:dyDescent="0.25">
      <c r="A70" s="352" t="s">
        <v>216</v>
      </c>
      <c r="B70" s="271" t="s">
        <v>145</v>
      </c>
      <c r="C70" s="271" t="s">
        <v>146</v>
      </c>
      <c r="D70" s="171" t="s">
        <v>184</v>
      </c>
      <c r="E70" s="171" t="s">
        <v>199</v>
      </c>
      <c r="F70" s="263"/>
      <c r="G70" s="263"/>
      <c r="H70" s="171"/>
      <c r="I70" s="269">
        <v>342333.51999999996</v>
      </c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Z70" s="265"/>
      <c r="AA70" s="265"/>
      <c r="AB70" s="265"/>
      <c r="AC70" s="265"/>
      <c r="AD70" s="265"/>
      <c r="AE70" s="171"/>
    </row>
    <row r="71" spans="1:31" x14ac:dyDescent="0.25">
      <c r="A71" s="352" t="s">
        <v>217</v>
      </c>
      <c r="B71" s="271" t="s">
        <v>145</v>
      </c>
      <c r="C71" s="271" t="s">
        <v>146</v>
      </c>
      <c r="D71" s="171" t="s">
        <v>184</v>
      </c>
      <c r="E71" s="171" t="s">
        <v>218</v>
      </c>
      <c r="F71" s="263"/>
      <c r="G71" s="263"/>
      <c r="H71" s="171"/>
      <c r="I71" s="269">
        <v>3642683.080000001</v>
      </c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</row>
    <row r="72" spans="1:31" x14ac:dyDescent="0.25">
      <c r="A72" s="352" t="s">
        <v>219</v>
      </c>
      <c r="B72" s="271" t="s">
        <v>145</v>
      </c>
      <c r="C72" s="271" t="s">
        <v>146</v>
      </c>
      <c r="D72" s="171" t="s">
        <v>184</v>
      </c>
      <c r="E72" s="171" t="s">
        <v>220</v>
      </c>
      <c r="F72" s="263"/>
      <c r="G72" s="263"/>
      <c r="H72" s="171"/>
      <c r="I72" s="269">
        <v>16476732.709999997</v>
      </c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71"/>
    </row>
    <row r="73" spans="1:31" x14ac:dyDescent="0.25">
      <c r="A73" s="352" t="s">
        <v>221</v>
      </c>
      <c r="B73" s="271" t="s">
        <v>145</v>
      </c>
      <c r="C73" s="271" t="s">
        <v>146</v>
      </c>
      <c r="D73" s="171" t="s">
        <v>184</v>
      </c>
      <c r="E73" s="171" t="s">
        <v>148</v>
      </c>
      <c r="F73" s="263"/>
      <c r="G73" s="263"/>
      <c r="H73" s="171"/>
      <c r="I73" s="269">
        <v>1067159.2200000002</v>
      </c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</row>
    <row r="74" spans="1:31" x14ac:dyDescent="0.25">
      <c r="A74" s="352" t="s">
        <v>222</v>
      </c>
      <c r="B74" s="271" t="s">
        <v>145</v>
      </c>
      <c r="C74" s="271" t="s">
        <v>146</v>
      </c>
      <c r="D74" s="171" t="s">
        <v>184</v>
      </c>
      <c r="E74" s="171" t="s">
        <v>223</v>
      </c>
      <c r="F74" s="263"/>
      <c r="G74" s="263"/>
      <c r="H74" s="171"/>
      <c r="I74" s="269">
        <v>497928.88</v>
      </c>
      <c r="J74" s="272"/>
      <c r="K74" s="272"/>
      <c r="L74" s="272"/>
      <c r="M74" s="272"/>
      <c r="N74" s="272"/>
      <c r="O74" s="272"/>
      <c r="P74" s="272"/>
      <c r="Q74" s="272"/>
      <c r="R74" s="272"/>
      <c r="S74" s="272"/>
      <c r="T74" s="272"/>
      <c r="U74" s="272"/>
      <c r="V74" s="272"/>
      <c r="W74" s="272"/>
      <c r="X74" s="272"/>
      <c r="Y74" s="272"/>
      <c r="Z74" s="272"/>
      <c r="AA74" s="272"/>
      <c r="AB74" s="272"/>
      <c r="AC74" s="272"/>
      <c r="AD74" s="272"/>
      <c r="AE74" s="171"/>
    </row>
    <row r="75" spans="1:31" x14ac:dyDescent="0.25">
      <c r="A75" s="352" t="s">
        <v>224</v>
      </c>
      <c r="B75" s="271" t="s">
        <v>145</v>
      </c>
      <c r="C75" s="271" t="s">
        <v>146</v>
      </c>
      <c r="D75" s="171" t="s">
        <v>184</v>
      </c>
      <c r="E75" s="171" t="s">
        <v>213</v>
      </c>
      <c r="F75" s="263"/>
      <c r="G75" s="263"/>
      <c r="H75" s="171"/>
      <c r="I75" s="269">
        <v>217936.43</v>
      </c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  <c r="AC75" s="171"/>
      <c r="AD75" s="171"/>
      <c r="AE75" s="171"/>
    </row>
    <row r="76" spans="1:31" x14ac:dyDescent="0.25">
      <c r="A76" s="352" t="s">
        <v>225</v>
      </c>
      <c r="B76" s="271" t="s">
        <v>145</v>
      </c>
      <c r="C76" s="271" t="s">
        <v>146</v>
      </c>
      <c r="D76" s="171" t="s">
        <v>184</v>
      </c>
      <c r="E76" s="171" t="s">
        <v>193</v>
      </c>
      <c r="F76" s="263"/>
      <c r="G76" s="263"/>
      <c r="H76" s="171"/>
      <c r="I76" s="269">
        <v>18206006.04000001</v>
      </c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1"/>
      <c r="AB76" s="171"/>
      <c r="AC76" s="171"/>
      <c r="AD76" s="171"/>
      <c r="AE76" s="171"/>
    </row>
    <row r="77" spans="1:31" x14ac:dyDescent="0.25">
      <c r="A77" s="352" t="s">
        <v>225</v>
      </c>
      <c r="B77" s="271" t="s">
        <v>145</v>
      </c>
      <c r="C77" s="271" t="s">
        <v>146</v>
      </c>
      <c r="D77" s="171" t="s">
        <v>184</v>
      </c>
      <c r="E77" s="171" t="s">
        <v>148</v>
      </c>
      <c r="F77" s="263"/>
      <c r="G77" s="263"/>
      <c r="H77" s="171"/>
      <c r="I77" s="269">
        <v>22305574.450000003</v>
      </c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</row>
    <row r="78" spans="1:31" x14ac:dyDescent="0.25">
      <c r="A78" s="352" t="s">
        <v>226</v>
      </c>
      <c r="B78" s="271" t="s">
        <v>145</v>
      </c>
      <c r="C78" s="271" t="s">
        <v>146</v>
      </c>
      <c r="D78" s="171" t="s">
        <v>184</v>
      </c>
      <c r="E78" s="171" t="s">
        <v>193</v>
      </c>
      <c r="F78" s="263"/>
      <c r="G78" s="263"/>
      <c r="H78" s="171"/>
      <c r="I78" s="269">
        <v>148303293.16999984</v>
      </c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  <c r="AC78" s="171"/>
      <c r="AD78" s="171"/>
      <c r="AE78" s="171"/>
    </row>
    <row r="79" spans="1:31" x14ac:dyDescent="0.25">
      <c r="A79" s="352" t="s">
        <v>144</v>
      </c>
      <c r="B79" s="271" t="s">
        <v>145</v>
      </c>
      <c r="C79" s="271" t="s">
        <v>146</v>
      </c>
      <c r="D79" s="171" t="s">
        <v>184</v>
      </c>
      <c r="E79" s="171" t="s">
        <v>182</v>
      </c>
      <c r="F79" s="263"/>
      <c r="G79" s="263"/>
      <c r="H79" s="171"/>
      <c r="I79" s="269">
        <v>18010939.100000005</v>
      </c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  <c r="AC79" s="171"/>
      <c r="AD79" s="171"/>
      <c r="AE79" s="171"/>
    </row>
    <row r="80" spans="1:31" x14ac:dyDescent="0.25">
      <c r="A80" s="352" t="s">
        <v>227</v>
      </c>
      <c r="B80" s="271" t="s">
        <v>145</v>
      </c>
      <c r="C80" s="271" t="s">
        <v>146</v>
      </c>
      <c r="D80" s="171" t="s">
        <v>184</v>
      </c>
      <c r="E80" s="171" t="s">
        <v>218</v>
      </c>
      <c r="F80" s="263"/>
      <c r="G80" s="263"/>
      <c r="H80" s="171"/>
      <c r="I80" s="269">
        <v>8843623.5500000007</v>
      </c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  <c r="AA80" s="171"/>
      <c r="AB80" s="171"/>
      <c r="AC80" s="171"/>
      <c r="AD80" s="171"/>
      <c r="AE80" s="171"/>
    </row>
    <row r="81" spans="1:31" x14ac:dyDescent="0.25">
      <c r="A81" s="352" t="s">
        <v>228</v>
      </c>
      <c r="B81" s="271" t="s">
        <v>145</v>
      </c>
      <c r="C81" s="271" t="s">
        <v>146</v>
      </c>
      <c r="D81" s="171" t="s">
        <v>184</v>
      </c>
      <c r="E81" s="171" t="s">
        <v>148</v>
      </c>
      <c r="F81" s="263"/>
      <c r="G81" s="263"/>
      <c r="H81" s="171"/>
      <c r="I81" s="269">
        <v>4388912.41</v>
      </c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  <c r="AC81" s="171"/>
      <c r="AD81" s="171"/>
      <c r="AE81" s="171"/>
    </row>
    <row r="82" spans="1:31" x14ac:dyDescent="0.25">
      <c r="A82" s="352" t="s">
        <v>229</v>
      </c>
      <c r="B82" s="271" t="s">
        <v>145</v>
      </c>
      <c r="C82" s="271" t="s">
        <v>146</v>
      </c>
      <c r="D82" s="171" t="s">
        <v>184</v>
      </c>
      <c r="E82" s="171" t="s">
        <v>148</v>
      </c>
      <c r="F82" s="263"/>
      <c r="G82" s="263"/>
      <c r="H82" s="171"/>
      <c r="I82" s="269">
        <v>16865038.440000001</v>
      </c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  <c r="AB82" s="171"/>
      <c r="AC82" s="171"/>
      <c r="AD82" s="171"/>
      <c r="AE82" s="171"/>
    </row>
    <row r="83" spans="1:31" x14ac:dyDescent="0.25">
      <c r="A83" s="352" t="s">
        <v>230</v>
      </c>
      <c r="B83" s="271" t="s">
        <v>145</v>
      </c>
      <c r="C83" s="271" t="s">
        <v>146</v>
      </c>
      <c r="D83" s="171" t="s">
        <v>184</v>
      </c>
      <c r="E83" s="171" t="s">
        <v>218</v>
      </c>
      <c r="F83" s="263"/>
      <c r="G83" s="263"/>
      <c r="H83" s="171"/>
      <c r="I83" s="269">
        <v>2126298.59</v>
      </c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  <c r="AC83" s="171"/>
      <c r="AD83" s="171"/>
      <c r="AE83" s="171"/>
    </row>
    <row r="84" spans="1:31" x14ac:dyDescent="0.25">
      <c r="A84" s="352" t="s">
        <v>231</v>
      </c>
      <c r="B84" s="271" t="s">
        <v>145</v>
      </c>
      <c r="C84" s="271" t="s">
        <v>146</v>
      </c>
      <c r="D84" s="171" t="s">
        <v>184</v>
      </c>
      <c r="E84" s="171" t="s">
        <v>218</v>
      </c>
      <c r="F84" s="263"/>
      <c r="G84" s="263"/>
      <c r="H84" s="171"/>
      <c r="I84" s="269">
        <v>2711752.3</v>
      </c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  <c r="AB84" s="171"/>
      <c r="AC84" s="171"/>
      <c r="AD84" s="171"/>
      <c r="AE84" s="171"/>
    </row>
    <row r="85" spans="1:31" x14ac:dyDescent="0.25">
      <c r="A85" s="352" t="s">
        <v>232</v>
      </c>
      <c r="B85" s="271" t="s">
        <v>145</v>
      </c>
      <c r="C85" s="271" t="s">
        <v>146</v>
      </c>
      <c r="D85" s="171" t="s">
        <v>184</v>
      </c>
      <c r="E85" s="171" t="s">
        <v>194</v>
      </c>
      <c r="F85" s="263"/>
      <c r="G85" s="263"/>
      <c r="H85" s="171"/>
      <c r="I85" s="269">
        <v>6187042.1399999997</v>
      </c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  <c r="AC85" s="171"/>
      <c r="AD85" s="171"/>
      <c r="AE85" s="171"/>
    </row>
    <row r="86" spans="1:31" x14ac:dyDescent="0.25">
      <c r="A86" s="352" t="s">
        <v>232</v>
      </c>
      <c r="B86" s="271" t="s">
        <v>145</v>
      </c>
      <c r="C86" s="271" t="s">
        <v>146</v>
      </c>
      <c r="D86" s="171" t="s">
        <v>184</v>
      </c>
      <c r="E86" s="171" t="s">
        <v>148</v>
      </c>
      <c r="F86" s="263"/>
      <c r="G86" s="263"/>
      <c r="H86" s="171"/>
      <c r="I86" s="269">
        <v>6168560.4500000011</v>
      </c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  <c r="AC86" s="171"/>
      <c r="AD86" s="171"/>
      <c r="AE86" s="171"/>
    </row>
    <row r="87" spans="1:31" x14ac:dyDescent="0.25">
      <c r="A87" s="352" t="s">
        <v>233</v>
      </c>
      <c r="B87" s="271" t="s">
        <v>145</v>
      </c>
      <c r="C87" s="271" t="s">
        <v>146</v>
      </c>
      <c r="D87" s="171" t="s">
        <v>184</v>
      </c>
      <c r="E87" s="171" t="s">
        <v>234</v>
      </c>
      <c r="F87" s="263"/>
      <c r="G87" s="263"/>
      <c r="H87" s="171"/>
      <c r="I87" s="269">
        <v>13379034.709999999</v>
      </c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  <c r="AC87" s="171"/>
      <c r="AD87" s="171"/>
      <c r="AE87" s="171"/>
    </row>
    <row r="88" spans="1:31" x14ac:dyDescent="0.25">
      <c r="A88" s="352" t="s">
        <v>149</v>
      </c>
      <c r="B88" s="271" t="s">
        <v>145</v>
      </c>
      <c r="C88" s="271" t="s">
        <v>146</v>
      </c>
      <c r="D88" s="171" t="s">
        <v>184</v>
      </c>
      <c r="E88" s="171" t="s">
        <v>148</v>
      </c>
      <c r="F88" s="263"/>
      <c r="G88" s="263"/>
      <c r="H88" s="171"/>
      <c r="I88" s="269">
        <v>2367448.2399999998</v>
      </c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  <c r="AB88" s="171"/>
      <c r="AC88" s="171"/>
      <c r="AD88" s="171"/>
      <c r="AE88" s="171"/>
    </row>
    <row r="89" spans="1:31" x14ac:dyDescent="0.25">
      <c r="A89" s="352" t="s">
        <v>235</v>
      </c>
      <c r="B89" s="271" t="s">
        <v>145</v>
      </c>
      <c r="C89" s="271" t="s">
        <v>146</v>
      </c>
      <c r="D89" s="171" t="s">
        <v>184</v>
      </c>
      <c r="E89" s="171" t="s">
        <v>148</v>
      </c>
      <c r="F89" s="263"/>
      <c r="G89" s="263"/>
      <c r="H89" s="171"/>
      <c r="I89" s="269">
        <v>66978.100000000006</v>
      </c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  <c r="AC89" s="171"/>
      <c r="AD89" s="171"/>
      <c r="AE89" s="171"/>
    </row>
    <row r="90" spans="1:31" x14ac:dyDescent="0.25">
      <c r="A90" s="352" t="s">
        <v>236</v>
      </c>
      <c r="B90" s="271" t="s">
        <v>145</v>
      </c>
      <c r="C90" s="271" t="s">
        <v>146</v>
      </c>
      <c r="D90" s="171" t="s">
        <v>184</v>
      </c>
      <c r="E90" s="171" t="s">
        <v>148</v>
      </c>
      <c r="F90" s="263"/>
      <c r="G90" s="263"/>
      <c r="H90" s="171"/>
      <c r="I90" s="269">
        <v>1620898.1300000001</v>
      </c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/>
      <c r="AB90" s="171"/>
      <c r="AC90" s="171"/>
      <c r="AD90" s="171"/>
      <c r="AE90" s="171"/>
    </row>
    <row r="91" spans="1:31" x14ac:dyDescent="0.25">
      <c r="A91" s="352" t="s">
        <v>171</v>
      </c>
      <c r="B91" s="271" t="s">
        <v>145</v>
      </c>
      <c r="C91" s="271" t="s">
        <v>146</v>
      </c>
      <c r="D91" s="171" t="s">
        <v>184</v>
      </c>
      <c r="E91" s="171" t="s">
        <v>182</v>
      </c>
      <c r="F91" s="263"/>
      <c r="G91" s="263"/>
      <c r="H91" s="171"/>
      <c r="I91" s="269">
        <v>36021878.200000018</v>
      </c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  <c r="AE91" s="171"/>
    </row>
    <row r="92" spans="1:31" x14ac:dyDescent="0.25">
      <c r="A92" s="352" t="s">
        <v>237</v>
      </c>
      <c r="B92" s="271" t="s">
        <v>145</v>
      </c>
      <c r="C92" s="271" t="s">
        <v>146</v>
      </c>
      <c r="D92" s="171" t="s">
        <v>184</v>
      </c>
      <c r="E92" s="171" t="s">
        <v>199</v>
      </c>
      <c r="F92" s="263"/>
      <c r="G92" s="263"/>
      <c r="H92" s="171"/>
      <c r="I92" s="269">
        <v>132631.12</v>
      </c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</row>
    <row r="93" spans="1:31" x14ac:dyDescent="0.25">
      <c r="A93" s="352" t="s">
        <v>238</v>
      </c>
      <c r="B93" s="271" t="s">
        <v>145</v>
      </c>
      <c r="C93" s="271" t="s">
        <v>146</v>
      </c>
      <c r="D93" s="171" t="s">
        <v>184</v>
      </c>
      <c r="E93" s="171" t="s">
        <v>218</v>
      </c>
      <c r="F93" s="263"/>
      <c r="G93" s="263"/>
      <c r="H93" s="171"/>
      <c r="I93" s="269">
        <v>7241718.1199999992</v>
      </c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  <c r="AB93" s="171"/>
      <c r="AC93" s="171"/>
      <c r="AD93" s="171"/>
      <c r="AE93" s="171"/>
    </row>
    <row r="94" spans="1:31" x14ac:dyDescent="0.25">
      <c r="A94" s="352" t="s">
        <v>239</v>
      </c>
      <c r="B94" s="271" t="s">
        <v>145</v>
      </c>
      <c r="C94" s="271" t="s">
        <v>146</v>
      </c>
      <c r="D94" s="171" t="s">
        <v>184</v>
      </c>
      <c r="E94" s="171" t="s">
        <v>240</v>
      </c>
      <c r="F94" s="263"/>
      <c r="G94" s="263"/>
      <c r="H94" s="171"/>
      <c r="I94" s="269">
        <v>2537846.2700000005</v>
      </c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  <c r="AA94" s="171"/>
      <c r="AB94" s="171"/>
      <c r="AC94" s="171"/>
      <c r="AD94" s="171"/>
      <c r="AE94" s="171"/>
    </row>
    <row r="95" spans="1:31" x14ac:dyDescent="0.25">
      <c r="A95" s="352" t="s">
        <v>241</v>
      </c>
      <c r="B95" s="271" t="s">
        <v>145</v>
      </c>
      <c r="C95" s="271" t="s">
        <v>146</v>
      </c>
      <c r="D95" s="171" t="s">
        <v>184</v>
      </c>
      <c r="E95" s="171" t="s">
        <v>148</v>
      </c>
      <c r="F95" s="263"/>
      <c r="G95" s="263"/>
      <c r="H95" s="171"/>
      <c r="I95" s="269">
        <v>1761030.05</v>
      </c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  <c r="AB95" s="171"/>
      <c r="AC95" s="171"/>
      <c r="AD95" s="171"/>
      <c r="AE95" s="171"/>
    </row>
    <row r="96" spans="1:31" x14ac:dyDescent="0.25">
      <c r="A96" s="352" t="s">
        <v>174</v>
      </c>
      <c r="B96" s="271" t="s">
        <v>145</v>
      </c>
      <c r="C96" s="271" t="s">
        <v>146</v>
      </c>
      <c r="D96" s="171" t="s">
        <v>184</v>
      </c>
      <c r="E96" s="171" t="s">
        <v>148</v>
      </c>
      <c r="F96" s="263"/>
      <c r="G96" s="263"/>
      <c r="H96" s="171"/>
      <c r="I96" s="269">
        <v>6875972.790000001</v>
      </c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  <c r="AD96" s="171"/>
      <c r="AE96" s="171"/>
    </row>
    <row r="97" spans="1:31" x14ac:dyDescent="0.25">
      <c r="A97" s="352" t="s">
        <v>242</v>
      </c>
      <c r="B97" s="271" t="s">
        <v>145</v>
      </c>
      <c r="C97" s="271" t="s">
        <v>146</v>
      </c>
      <c r="D97" s="171" t="s">
        <v>184</v>
      </c>
      <c r="E97" s="171" t="s">
        <v>218</v>
      </c>
      <c r="F97" s="263"/>
      <c r="G97" s="263"/>
      <c r="H97" s="171"/>
      <c r="I97" s="269">
        <v>166482.5</v>
      </c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</row>
    <row r="98" spans="1:31" x14ac:dyDescent="0.25">
      <c r="A98" s="352" t="s">
        <v>243</v>
      </c>
      <c r="B98" s="271" t="s">
        <v>145</v>
      </c>
      <c r="C98" s="271" t="s">
        <v>146</v>
      </c>
      <c r="D98" s="171" t="s">
        <v>184</v>
      </c>
      <c r="E98" s="171" t="s">
        <v>148</v>
      </c>
      <c r="F98" s="263"/>
      <c r="G98" s="263"/>
      <c r="H98" s="171"/>
      <c r="I98" s="269">
        <v>923748.45000000019</v>
      </c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</row>
    <row r="99" spans="1:31" x14ac:dyDescent="0.25">
      <c r="A99" s="352" t="s">
        <v>244</v>
      </c>
      <c r="B99" s="271" t="s">
        <v>145</v>
      </c>
      <c r="C99" s="271" t="s">
        <v>146</v>
      </c>
      <c r="D99" s="171" t="s">
        <v>184</v>
      </c>
      <c r="E99" s="171" t="s">
        <v>199</v>
      </c>
      <c r="F99" s="263"/>
      <c r="G99" s="263"/>
      <c r="H99" s="171"/>
      <c r="I99" s="269">
        <v>915171.79</v>
      </c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</row>
    <row r="100" spans="1:31" x14ac:dyDescent="0.25">
      <c r="A100" s="352" t="s">
        <v>245</v>
      </c>
      <c r="B100" s="271" t="s">
        <v>145</v>
      </c>
      <c r="C100" s="271" t="s">
        <v>146</v>
      </c>
      <c r="D100" s="171" t="s">
        <v>184</v>
      </c>
      <c r="E100" s="171" t="s">
        <v>193</v>
      </c>
      <c r="F100" s="263"/>
      <c r="G100" s="263"/>
      <c r="H100" s="171"/>
      <c r="I100" s="269">
        <v>24173379.469999999</v>
      </c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</row>
    <row r="101" spans="1:31" x14ac:dyDescent="0.25">
      <c r="A101" s="352" t="s">
        <v>246</v>
      </c>
      <c r="B101" s="271" t="s">
        <v>145</v>
      </c>
      <c r="C101" s="271" t="s">
        <v>146</v>
      </c>
      <c r="D101" s="171" t="s">
        <v>184</v>
      </c>
      <c r="E101" s="171" t="s">
        <v>148</v>
      </c>
      <c r="F101" s="263"/>
      <c r="G101" s="263"/>
      <c r="H101" s="171"/>
      <c r="I101" s="269">
        <v>3460921.04</v>
      </c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</row>
    <row r="102" spans="1:31" x14ac:dyDescent="0.25">
      <c r="A102" s="352" t="s">
        <v>247</v>
      </c>
      <c r="B102" s="271" t="s">
        <v>145</v>
      </c>
      <c r="C102" s="271" t="s">
        <v>146</v>
      </c>
      <c r="D102" s="171" t="s">
        <v>184</v>
      </c>
      <c r="E102" s="171" t="s">
        <v>148</v>
      </c>
      <c r="F102" s="263"/>
      <c r="G102" s="263"/>
      <c r="H102" s="171"/>
      <c r="I102" s="269">
        <v>3728265.5200000005</v>
      </c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</row>
    <row r="103" spans="1:31" x14ac:dyDescent="0.25">
      <c r="A103" s="352" t="s">
        <v>164</v>
      </c>
      <c r="B103" s="271" t="s">
        <v>145</v>
      </c>
      <c r="C103" s="271" t="s">
        <v>146</v>
      </c>
      <c r="D103" s="171" t="s">
        <v>184</v>
      </c>
      <c r="E103" s="171" t="s">
        <v>148</v>
      </c>
      <c r="F103" s="263"/>
      <c r="G103" s="263"/>
      <c r="H103" s="171"/>
      <c r="I103" s="269">
        <v>292274.43</v>
      </c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  <c r="AC103" s="171"/>
      <c r="AD103" s="171"/>
      <c r="AE103" s="171"/>
    </row>
    <row r="104" spans="1:31" x14ac:dyDescent="0.25">
      <c r="A104" s="352" t="s">
        <v>248</v>
      </c>
      <c r="B104" s="271" t="s">
        <v>145</v>
      </c>
      <c r="C104" s="271" t="s">
        <v>146</v>
      </c>
      <c r="D104" s="171" t="s">
        <v>184</v>
      </c>
      <c r="E104" s="171" t="s">
        <v>213</v>
      </c>
      <c r="F104" s="263"/>
      <c r="G104" s="263"/>
      <c r="H104" s="171"/>
      <c r="I104" s="269">
        <v>372200.5</v>
      </c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71"/>
    </row>
    <row r="105" spans="1:31" x14ac:dyDescent="0.25">
      <c r="A105" s="352" t="s">
        <v>185</v>
      </c>
      <c r="B105" s="271" t="s">
        <v>145</v>
      </c>
      <c r="C105" s="271" t="s">
        <v>146</v>
      </c>
      <c r="D105" s="171" t="s">
        <v>184</v>
      </c>
      <c r="E105" s="171" t="s">
        <v>220</v>
      </c>
      <c r="F105" s="263"/>
      <c r="G105" s="263"/>
      <c r="H105" s="171"/>
      <c r="I105" s="269">
        <v>5559329.3000000007</v>
      </c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  <c r="AC105" s="171"/>
      <c r="AD105" s="171"/>
      <c r="AE105" s="171"/>
    </row>
    <row r="106" spans="1:31" x14ac:dyDescent="0.25">
      <c r="A106" s="352" t="s">
        <v>249</v>
      </c>
      <c r="B106" s="271" t="s">
        <v>145</v>
      </c>
      <c r="C106" s="271" t="s">
        <v>146</v>
      </c>
      <c r="D106" s="171" t="s">
        <v>184</v>
      </c>
      <c r="E106" s="171" t="s">
        <v>148</v>
      </c>
      <c r="F106" s="263"/>
      <c r="G106" s="263"/>
      <c r="H106" s="171"/>
      <c r="I106" s="269">
        <v>1871079.9999999998</v>
      </c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  <c r="AC106" s="171"/>
      <c r="AD106" s="171"/>
      <c r="AE106" s="171"/>
    </row>
    <row r="107" spans="1:31" x14ac:dyDescent="0.25">
      <c r="A107" s="352" t="s">
        <v>156</v>
      </c>
      <c r="B107" s="271" t="s">
        <v>145</v>
      </c>
      <c r="C107" s="271" t="s">
        <v>146</v>
      </c>
      <c r="D107" s="171" t="s">
        <v>184</v>
      </c>
      <c r="E107" s="171" t="s">
        <v>182</v>
      </c>
      <c r="F107" s="263"/>
      <c r="G107" s="263"/>
      <c r="H107" s="171"/>
      <c r="I107" s="269">
        <v>21870426.050000016</v>
      </c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/>
      <c r="AE107" s="171"/>
    </row>
    <row r="108" spans="1:31" x14ac:dyDescent="0.25">
      <c r="A108" s="352" t="s">
        <v>173</v>
      </c>
      <c r="B108" s="271" t="s">
        <v>145</v>
      </c>
      <c r="C108" s="271" t="s">
        <v>146</v>
      </c>
      <c r="D108" s="171" t="s">
        <v>184</v>
      </c>
      <c r="E108" s="171" t="s">
        <v>148</v>
      </c>
      <c r="F108" s="263"/>
      <c r="G108" s="263"/>
      <c r="H108" s="171"/>
      <c r="I108" s="269">
        <v>669465.87</v>
      </c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</row>
    <row r="109" spans="1:31" x14ac:dyDescent="0.25">
      <c r="A109" s="352" t="s">
        <v>165</v>
      </c>
      <c r="B109" s="271" t="s">
        <v>145</v>
      </c>
      <c r="C109" s="271" t="s">
        <v>146</v>
      </c>
      <c r="D109" s="171" t="s">
        <v>184</v>
      </c>
      <c r="E109" s="171" t="s">
        <v>182</v>
      </c>
      <c r="F109" s="263"/>
      <c r="G109" s="263"/>
      <c r="H109" s="171"/>
      <c r="I109" s="269">
        <v>59178799.899999708</v>
      </c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/>
    </row>
    <row r="110" spans="1:31" x14ac:dyDescent="0.25">
      <c r="A110" s="352" t="s">
        <v>250</v>
      </c>
      <c r="B110" s="271" t="s">
        <v>145</v>
      </c>
      <c r="C110" s="271" t="s">
        <v>146</v>
      </c>
      <c r="D110" s="171" t="s">
        <v>184</v>
      </c>
      <c r="E110" s="171" t="s">
        <v>148</v>
      </c>
      <c r="F110" s="263"/>
      <c r="G110" s="263"/>
      <c r="H110" s="171"/>
      <c r="I110" s="269">
        <v>221696.62000000002</v>
      </c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</row>
    <row r="111" spans="1:31" x14ac:dyDescent="0.25">
      <c r="A111" s="352" t="s">
        <v>191</v>
      </c>
      <c r="B111" s="271" t="s">
        <v>145</v>
      </c>
      <c r="C111" s="271" t="s">
        <v>146</v>
      </c>
      <c r="D111" s="171" t="s">
        <v>184</v>
      </c>
      <c r="E111" s="171" t="s">
        <v>182</v>
      </c>
      <c r="F111" s="263"/>
      <c r="G111" s="263"/>
      <c r="H111" s="171"/>
      <c r="I111" s="269">
        <v>3859752.7199999997</v>
      </c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1"/>
      <c r="AE111" s="171"/>
    </row>
    <row r="112" spans="1:31" x14ac:dyDescent="0.25">
      <c r="A112" s="352" t="s">
        <v>251</v>
      </c>
      <c r="B112" s="271" t="s">
        <v>145</v>
      </c>
      <c r="C112" s="271" t="s">
        <v>146</v>
      </c>
      <c r="D112" s="171" t="s">
        <v>184</v>
      </c>
      <c r="E112" s="171" t="s">
        <v>213</v>
      </c>
      <c r="F112" s="263"/>
      <c r="G112" s="263"/>
      <c r="H112" s="171"/>
      <c r="I112" s="269">
        <v>1319912.0300000003</v>
      </c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  <c r="AC112" s="171"/>
      <c r="AD112" s="171"/>
      <c r="AE112" s="171"/>
    </row>
    <row r="113" spans="1:31" x14ac:dyDescent="0.25">
      <c r="A113" s="352" t="s">
        <v>252</v>
      </c>
      <c r="B113" s="271" t="s">
        <v>145</v>
      </c>
      <c r="C113" s="271" t="s">
        <v>146</v>
      </c>
      <c r="D113" s="171" t="s">
        <v>161</v>
      </c>
      <c r="E113" s="171" t="s">
        <v>148</v>
      </c>
      <c r="F113" s="263"/>
      <c r="G113" s="263"/>
      <c r="H113" s="171"/>
      <c r="I113" s="269">
        <v>18991406.05999998</v>
      </c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  <c r="AC113" s="171"/>
      <c r="AD113" s="171"/>
      <c r="AE113" s="171"/>
    </row>
    <row r="114" spans="1:31" x14ac:dyDescent="0.25">
      <c r="A114" s="352"/>
      <c r="B114" s="271" t="s">
        <v>145</v>
      </c>
      <c r="C114" s="271" t="s">
        <v>146</v>
      </c>
      <c r="D114" s="171" t="s">
        <v>161</v>
      </c>
      <c r="E114" s="171" t="s">
        <v>148</v>
      </c>
      <c r="F114" s="263"/>
      <c r="G114" s="263"/>
      <c r="H114" s="171"/>
      <c r="I114" s="269">
        <v>1221334.9700000002</v>
      </c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  <c r="AA114" s="171"/>
      <c r="AB114" s="171"/>
      <c r="AC114" s="171"/>
      <c r="AD114" s="171"/>
      <c r="AE114" s="171"/>
    </row>
    <row r="115" spans="1:31" x14ac:dyDescent="0.25">
      <c r="A115" s="352" t="s">
        <v>195</v>
      </c>
      <c r="B115" s="271" t="s">
        <v>145</v>
      </c>
      <c r="C115" s="271" t="s">
        <v>146</v>
      </c>
      <c r="D115" s="171" t="s">
        <v>161</v>
      </c>
      <c r="E115" s="171" t="s">
        <v>148</v>
      </c>
      <c r="F115" s="263"/>
      <c r="G115" s="263"/>
      <c r="H115" s="171"/>
      <c r="I115" s="269">
        <v>90879464.680000007</v>
      </c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  <c r="AA115" s="171"/>
      <c r="AB115" s="171"/>
      <c r="AC115" s="171"/>
      <c r="AD115" s="171"/>
      <c r="AE115" s="171"/>
    </row>
    <row r="116" spans="1:31" x14ac:dyDescent="0.25">
      <c r="A116" s="352" t="s">
        <v>203</v>
      </c>
      <c r="B116" s="271" t="s">
        <v>145</v>
      </c>
      <c r="C116" s="271" t="s">
        <v>146</v>
      </c>
      <c r="D116" s="171" t="s">
        <v>161</v>
      </c>
      <c r="E116" s="171" t="s">
        <v>148</v>
      </c>
      <c r="F116" s="263"/>
      <c r="G116" s="263"/>
      <c r="H116" s="171"/>
      <c r="I116" s="269">
        <v>10828622.959999999</v>
      </c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  <c r="AA116" s="171"/>
      <c r="AB116" s="171"/>
      <c r="AC116" s="171"/>
      <c r="AD116" s="171"/>
      <c r="AE116" s="171"/>
    </row>
    <row r="117" spans="1:31" x14ac:dyDescent="0.25">
      <c r="A117" s="352" t="s">
        <v>176</v>
      </c>
      <c r="B117" s="271" t="s">
        <v>145</v>
      </c>
      <c r="C117" s="271" t="s">
        <v>146</v>
      </c>
      <c r="D117" s="171" t="s">
        <v>161</v>
      </c>
      <c r="E117" s="171" t="s">
        <v>148</v>
      </c>
      <c r="F117" s="263"/>
      <c r="G117" s="263"/>
      <c r="H117" s="171"/>
      <c r="I117" s="269">
        <v>56096761.779999882</v>
      </c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  <c r="AA117" s="171"/>
      <c r="AB117" s="171"/>
      <c r="AC117" s="171"/>
      <c r="AD117" s="171"/>
      <c r="AE117" s="171"/>
    </row>
    <row r="118" spans="1:31" x14ac:dyDescent="0.25">
      <c r="A118" s="352" t="s">
        <v>204</v>
      </c>
      <c r="B118" s="271" t="s">
        <v>145</v>
      </c>
      <c r="C118" s="271" t="s">
        <v>146</v>
      </c>
      <c r="D118" s="171" t="s">
        <v>161</v>
      </c>
      <c r="E118" s="171" t="s">
        <v>148</v>
      </c>
      <c r="F118" s="263"/>
      <c r="G118" s="263"/>
      <c r="H118" s="171"/>
      <c r="I118" s="269">
        <v>42349125.859999932</v>
      </c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  <c r="AA118" s="171"/>
      <c r="AB118" s="171"/>
      <c r="AC118" s="171"/>
      <c r="AD118" s="171"/>
      <c r="AE118" s="171"/>
    </row>
    <row r="119" spans="1:31" x14ac:dyDescent="0.25">
      <c r="A119" s="352" t="s">
        <v>205</v>
      </c>
      <c r="B119" s="271" t="s">
        <v>145</v>
      </c>
      <c r="C119" s="271" t="s">
        <v>146</v>
      </c>
      <c r="D119" s="171" t="s">
        <v>161</v>
      </c>
      <c r="E119" s="171" t="s">
        <v>148</v>
      </c>
      <c r="F119" s="263"/>
      <c r="G119" s="263"/>
      <c r="H119" s="171"/>
      <c r="I119" s="269">
        <v>12460186.710000001</v>
      </c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  <c r="AA119" s="171"/>
      <c r="AB119" s="171"/>
      <c r="AC119" s="171"/>
      <c r="AD119" s="171"/>
      <c r="AE119" s="171"/>
    </row>
    <row r="120" spans="1:31" x14ac:dyDescent="0.25">
      <c r="A120" s="352" t="s">
        <v>253</v>
      </c>
      <c r="B120" s="271" t="s">
        <v>145</v>
      </c>
      <c r="C120" s="271" t="s">
        <v>146</v>
      </c>
      <c r="D120" s="171" t="s">
        <v>161</v>
      </c>
      <c r="E120" s="171" t="s">
        <v>148</v>
      </c>
      <c r="F120" s="263"/>
      <c r="G120" s="263"/>
      <c r="H120" s="171"/>
      <c r="I120" s="269">
        <v>1513833.15</v>
      </c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  <c r="AA120" s="171"/>
      <c r="AB120" s="171"/>
      <c r="AC120" s="171"/>
      <c r="AD120" s="171"/>
      <c r="AE120" s="171"/>
    </row>
    <row r="121" spans="1:31" x14ac:dyDescent="0.25">
      <c r="A121" s="352" t="s">
        <v>208</v>
      </c>
      <c r="B121" s="271" t="s">
        <v>145</v>
      </c>
      <c r="C121" s="271" t="s">
        <v>146</v>
      </c>
      <c r="D121" s="171" t="s">
        <v>161</v>
      </c>
      <c r="E121" s="171" t="s">
        <v>148</v>
      </c>
      <c r="F121" s="263"/>
      <c r="G121" s="263"/>
      <c r="H121" s="171"/>
      <c r="I121" s="269">
        <v>242485214.69000125</v>
      </c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  <c r="AA121" s="171"/>
      <c r="AB121" s="171"/>
      <c r="AC121" s="171"/>
      <c r="AD121" s="171"/>
      <c r="AE121" s="171"/>
    </row>
    <row r="122" spans="1:31" x14ac:dyDescent="0.25">
      <c r="A122" s="352" t="s">
        <v>210</v>
      </c>
      <c r="B122" s="271" t="s">
        <v>145</v>
      </c>
      <c r="C122" s="271" t="s">
        <v>146</v>
      </c>
      <c r="D122" s="171" t="s">
        <v>161</v>
      </c>
      <c r="E122" s="171" t="s">
        <v>148</v>
      </c>
      <c r="F122" s="263"/>
      <c r="G122" s="263"/>
      <c r="H122" s="171"/>
      <c r="I122" s="269">
        <v>130075043.88000013</v>
      </c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  <c r="AA122" s="171"/>
      <c r="AB122" s="171"/>
      <c r="AC122" s="171"/>
      <c r="AD122" s="171"/>
      <c r="AE122" s="171"/>
    </row>
    <row r="123" spans="1:31" x14ac:dyDescent="0.25">
      <c r="A123" s="352" t="s">
        <v>254</v>
      </c>
      <c r="B123" s="271" t="s">
        <v>145</v>
      </c>
      <c r="C123" s="271" t="s">
        <v>146</v>
      </c>
      <c r="D123" s="171" t="s">
        <v>161</v>
      </c>
      <c r="E123" s="171" t="s">
        <v>148</v>
      </c>
      <c r="F123" s="263"/>
      <c r="G123" s="263"/>
      <c r="H123" s="171"/>
      <c r="I123" s="269">
        <v>8317598.129999999</v>
      </c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  <c r="AA123" s="171"/>
      <c r="AB123" s="171"/>
      <c r="AC123" s="171"/>
      <c r="AD123" s="171"/>
      <c r="AE123" s="171"/>
    </row>
    <row r="124" spans="1:31" x14ac:dyDescent="0.25">
      <c r="A124" s="352" t="s">
        <v>215</v>
      </c>
      <c r="B124" s="271" t="s">
        <v>145</v>
      </c>
      <c r="C124" s="271" t="s">
        <v>146</v>
      </c>
      <c r="D124" s="171" t="s">
        <v>161</v>
      </c>
      <c r="E124" s="171" t="s">
        <v>148</v>
      </c>
      <c r="F124" s="263"/>
      <c r="G124" s="263"/>
      <c r="H124" s="171"/>
      <c r="I124" s="269">
        <v>19951807.690000013</v>
      </c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  <c r="AA124" s="171"/>
      <c r="AB124" s="171"/>
      <c r="AC124" s="171"/>
      <c r="AD124" s="171"/>
      <c r="AE124" s="171"/>
    </row>
    <row r="125" spans="1:31" x14ac:dyDescent="0.25">
      <c r="A125" s="352" t="s">
        <v>221</v>
      </c>
      <c r="B125" s="271" t="s">
        <v>145</v>
      </c>
      <c r="C125" s="271" t="s">
        <v>146</v>
      </c>
      <c r="D125" s="171" t="s">
        <v>161</v>
      </c>
      <c r="E125" s="171" t="s">
        <v>148</v>
      </c>
      <c r="F125" s="263"/>
      <c r="G125" s="263"/>
      <c r="H125" s="171"/>
      <c r="I125" s="269">
        <v>3514936.0200000005</v>
      </c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  <c r="AA125" s="171"/>
      <c r="AB125" s="171"/>
      <c r="AC125" s="171"/>
      <c r="AD125" s="171"/>
      <c r="AE125" s="171"/>
    </row>
    <row r="126" spans="1:31" x14ac:dyDescent="0.25">
      <c r="A126" s="352" t="s">
        <v>225</v>
      </c>
      <c r="B126" s="271" t="s">
        <v>145</v>
      </c>
      <c r="C126" s="271" t="s">
        <v>146</v>
      </c>
      <c r="D126" s="171" t="s">
        <v>161</v>
      </c>
      <c r="E126" s="171" t="s">
        <v>148</v>
      </c>
      <c r="F126" s="263"/>
      <c r="G126" s="263"/>
      <c r="H126" s="171"/>
      <c r="I126" s="269">
        <v>579441303.72000396</v>
      </c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  <c r="AA126" s="171"/>
      <c r="AB126" s="171"/>
      <c r="AC126" s="171"/>
      <c r="AD126" s="171"/>
      <c r="AE126" s="171"/>
    </row>
    <row r="127" spans="1:31" x14ac:dyDescent="0.25">
      <c r="A127" s="352" t="s">
        <v>226</v>
      </c>
      <c r="B127" s="271" t="s">
        <v>145</v>
      </c>
      <c r="C127" s="271" t="s">
        <v>146</v>
      </c>
      <c r="D127" s="171" t="s">
        <v>161</v>
      </c>
      <c r="E127" s="171" t="s">
        <v>148</v>
      </c>
      <c r="F127" s="263"/>
      <c r="G127" s="263"/>
      <c r="H127" s="171"/>
      <c r="I127" s="269">
        <v>170025769.98000044</v>
      </c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  <c r="AA127" s="171"/>
      <c r="AB127" s="171"/>
      <c r="AC127" s="171"/>
      <c r="AD127" s="171"/>
      <c r="AE127" s="171"/>
    </row>
    <row r="128" spans="1:31" x14ac:dyDescent="0.25">
      <c r="A128" s="352" t="s">
        <v>255</v>
      </c>
      <c r="B128" s="271" t="s">
        <v>145</v>
      </c>
      <c r="C128" s="271" t="s">
        <v>146</v>
      </c>
      <c r="D128" s="171" t="s">
        <v>161</v>
      </c>
      <c r="E128" s="171" t="s">
        <v>148</v>
      </c>
      <c r="F128" s="263"/>
      <c r="G128" s="263"/>
      <c r="H128" s="171"/>
      <c r="I128" s="269">
        <v>60282489.34999986</v>
      </c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  <c r="AA128" s="171"/>
      <c r="AB128" s="171"/>
      <c r="AC128" s="171"/>
      <c r="AD128" s="171"/>
      <c r="AE128" s="171"/>
    </row>
    <row r="129" spans="1:31" x14ac:dyDescent="0.25">
      <c r="A129" s="352" t="s">
        <v>228</v>
      </c>
      <c r="B129" s="271" t="s">
        <v>145</v>
      </c>
      <c r="C129" s="271" t="s">
        <v>146</v>
      </c>
      <c r="D129" s="171" t="s">
        <v>161</v>
      </c>
      <c r="E129" s="171" t="s">
        <v>148</v>
      </c>
      <c r="F129" s="263"/>
      <c r="G129" s="263"/>
      <c r="H129" s="171"/>
      <c r="I129" s="269">
        <v>103135696.96999992</v>
      </c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  <c r="AA129" s="171"/>
      <c r="AB129" s="171"/>
      <c r="AC129" s="171"/>
      <c r="AD129" s="171"/>
      <c r="AE129" s="171"/>
    </row>
    <row r="130" spans="1:31" x14ac:dyDescent="0.25">
      <c r="A130" s="352" t="s">
        <v>152</v>
      </c>
      <c r="B130" s="271" t="s">
        <v>145</v>
      </c>
      <c r="C130" s="271" t="s">
        <v>146</v>
      </c>
      <c r="D130" s="171" t="s">
        <v>161</v>
      </c>
      <c r="E130" s="171" t="s">
        <v>148</v>
      </c>
      <c r="F130" s="263"/>
      <c r="G130" s="263"/>
      <c r="H130" s="171"/>
      <c r="I130" s="269">
        <v>21394608.250000011</v>
      </c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  <c r="AA130" s="171"/>
      <c r="AB130" s="171"/>
      <c r="AC130" s="171"/>
      <c r="AD130" s="171"/>
      <c r="AE130" s="171"/>
    </row>
    <row r="131" spans="1:31" x14ac:dyDescent="0.25">
      <c r="A131" s="352" t="s">
        <v>256</v>
      </c>
      <c r="B131" s="271" t="s">
        <v>145</v>
      </c>
      <c r="C131" s="271" t="s">
        <v>146</v>
      </c>
      <c r="D131" s="171" t="s">
        <v>161</v>
      </c>
      <c r="E131" s="171" t="s">
        <v>148</v>
      </c>
      <c r="F131" s="263"/>
      <c r="G131" s="263"/>
      <c r="H131" s="171"/>
      <c r="I131" s="269">
        <v>20762694.490000002</v>
      </c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  <c r="AA131" s="171"/>
      <c r="AB131" s="171"/>
      <c r="AC131" s="171"/>
      <c r="AD131" s="171"/>
      <c r="AE131" s="171"/>
    </row>
    <row r="132" spans="1:31" x14ac:dyDescent="0.25">
      <c r="A132" s="352" t="s">
        <v>257</v>
      </c>
      <c r="B132" s="271" t="s">
        <v>145</v>
      </c>
      <c r="C132" s="271" t="s">
        <v>146</v>
      </c>
      <c r="D132" s="171" t="s">
        <v>161</v>
      </c>
      <c r="E132" s="171" t="s">
        <v>148</v>
      </c>
      <c r="F132" s="263"/>
      <c r="G132" s="263"/>
      <c r="H132" s="171"/>
      <c r="I132" s="269">
        <v>5977787.830000001</v>
      </c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</row>
    <row r="133" spans="1:31" x14ac:dyDescent="0.25">
      <c r="A133" s="352" t="s">
        <v>229</v>
      </c>
      <c r="B133" s="271" t="s">
        <v>145</v>
      </c>
      <c r="C133" s="271" t="s">
        <v>146</v>
      </c>
      <c r="D133" s="171" t="s">
        <v>161</v>
      </c>
      <c r="E133" s="171" t="s">
        <v>148</v>
      </c>
      <c r="F133" s="263"/>
      <c r="G133" s="263"/>
      <c r="H133" s="171"/>
      <c r="I133" s="269">
        <v>181352079.10000029</v>
      </c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  <c r="AA133" s="171"/>
      <c r="AB133" s="171"/>
      <c r="AC133" s="171"/>
      <c r="AD133" s="171"/>
      <c r="AE133" s="171"/>
    </row>
    <row r="134" spans="1:31" x14ac:dyDescent="0.25">
      <c r="A134" s="352" t="s">
        <v>258</v>
      </c>
      <c r="B134" s="271" t="s">
        <v>145</v>
      </c>
      <c r="C134" s="271" t="s">
        <v>146</v>
      </c>
      <c r="D134" s="171" t="s">
        <v>161</v>
      </c>
      <c r="E134" s="171" t="s">
        <v>148</v>
      </c>
      <c r="F134" s="263"/>
      <c r="G134" s="263"/>
      <c r="H134" s="171"/>
      <c r="I134" s="269">
        <v>2442669.94</v>
      </c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  <c r="AA134" s="171"/>
      <c r="AB134" s="171"/>
      <c r="AC134" s="171"/>
      <c r="AD134" s="171"/>
      <c r="AE134" s="171"/>
    </row>
    <row r="135" spans="1:31" x14ac:dyDescent="0.25">
      <c r="A135" s="352" t="s">
        <v>149</v>
      </c>
      <c r="B135" s="271" t="s">
        <v>145</v>
      </c>
      <c r="C135" s="271" t="s">
        <v>146</v>
      </c>
      <c r="D135" s="171" t="s">
        <v>161</v>
      </c>
      <c r="E135" s="171" t="s">
        <v>148</v>
      </c>
      <c r="F135" s="263"/>
      <c r="G135" s="263"/>
      <c r="H135" s="171"/>
      <c r="I135" s="269">
        <v>25712040.959999997</v>
      </c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  <c r="AA135" s="171"/>
      <c r="AB135" s="171"/>
      <c r="AC135" s="171"/>
      <c r="AD135" s="171"/>
      <c r="AE135" s="171"/>
    </row>
    <row r="136" spans="1:31" x14ac:dyDescent="0.25">
      <c r="A136" s="352" t="s">
        <v>235</v>
      </c>
      <c r="B136" s="271" t="s">
        <v>145</v>
      </c>
      <c r="C136" s="271" t="s">
        <v>146</v>
      </c>
      <c r="D136" s="171" t="s">
        <v>161</v>
      </c>
      <c r="E136" s="171" t="s">
        <v>148</v>
      </c>
      <c r="F136" s="263"/>
      <c r="G136" s="263"/>
      <c r="H136" s="171"/>
      <c r="I136" s="269">
        <v>36875949.079999946</v>
      </c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  <c r="AA136" s="171"/>
      <c r="AB136" s="171"/>
      <c r="AC136" s="171"/>
      <c r="AD136" s="171"/>
      <c r="AE136" s="171"/>
    </row>
    <row r="137" spans="1:31" x14ac:dyDescent="0.25">
      <c r="A137" s="352" t="s">
        <v>236</v>
      </c>
      <c r="B137" s="271" t="s">
        <v>145</v>
      </c>
      <c r="C137" s="271" t="s">
        <v>146</v>
      </c>
      <c r="D137" s="171" t="s">
        <v>161</v>
      </c>
      <c r="E137" s="171" t="s">
        <v>148</v>
      </c>
      <c r="F137" s="263"/>
      <c r="G137" s="263"/>
      <c r="H137" s="171"/>
      <c r="I137" s="269">
        <v>1009222.1000000001</v>
      </c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  <c r="AA137" s="171"/>
      <c r="AB137" s="171"/>
      <c r="AC137" s="171"/>
      <c r="AD137" s="171"/>
      <c r="AE137" s="171"/>
    </row>
    <row r="138" spans="1:31" x14ac:dyDescent="0.25">
      <c r="A138" s="352" t="s">
        <v>236</v>
      </c>
      <c r="B138" s="271" t="s">
        <v>145</v>
      </c>
      <c r="C138" s="271" t="s">
        <v>146</v>
      </c>
      <c r="D138" s="171" t="s">
        <v>161</v>
      </c>
      <c r="E138" s="171" t="s">
        <v>148</v>
      </c>
      <c r="F138" s="263"/>
      <c r="G138" s="263"/>
      <c r="H138" s="171"/>
      <c r="I138" s="269">
        <v>14656019.640000004</v>
      </c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  <c r="AA138" s="171"/>
      <c r="AB138" s="171"/>
      <c r="AC138" s="171"/>
      <c r="AD138" s="171"/>
      <c r="AE138" s="171"/>
    </row>
    <row r="139" spans="1:31" x14ac:dyDescent="0.25">
      <c r="A139" s="352" t="s">
        <v>171</v>
      </c>
      <c r="B139" s="271" t="s">
        <v>145</v>
      </c>
      <c r="C139" s="271" t="s">
        <v>146</v>
      </c>
      <c r="D139" s="171" t="s">
        <v>161</v>
      </c>
      <c r="E139" s="171" t="s">
        <v>148</v>
      </c>
      <c r="F139" s="263"/>
      <c r="G139" s="263"/>
      <c r="H139" s="171"/>
      <c r="I139" s="269">
        <v>7030017.2700000023</v>
      </c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  <c r="AA139" s="171"/>
      <c r="AB139" s="171"/>
      <c r="AC139" s="171"/>
      <c r="AD139" s="171"/>
      <c r="AE139" s="171"/>
    </row>
    <row r="140" spans="1:31" x14ac:dyDescent="0.25">
      <c r="A140" s="352" t="s">
        <v>239</v>
      </c>
      <c r="B140" s="271" t="s">
        <v>145</v>
      </c>
      <c r="C140" s="271" t="s">
        <v>146</v>
      </c>
      <c r="D140" s="171" t="s">
        <v>161</v>
      </c>
      <c r="E140" s="171" t="s">
        <v>148</v>
      </c>
      <c r="F140" s="263"/>
      <c r="G140" s="263"/>
      <c r="H140" s="171"/>
      <c r="I140" s="269">
        <v>348384027.26000243</v>
      </c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  <c r="AA140" s="171"/>
      <c r="AB140" s="171"/>
      <c r="AC140" s="171"/>
      <c r="AD140" s="171"/>
      <c r="AE140" s="171"/>
    </row>
    <row r="141" spans="1:31" x14ac:dyDescent="0.25">
      <c r="A141" s="352" t="s">
        <v>241</v>
      </c>
      <c r="B141" s="271" t="s">
        <v>145</v>
      </c>
      <c r="C141" s="271" t="s">
        <v>146</v>
      </c>
      <c r="D141" s="171" t="s">
        <v>161</v>
      </c>
      <c r="E141" s="171" t="s">
        <v>148</v>
      </c>
      <c r="F141" s="263"/>
      <c r="G141" s="263"/>
      <c r="H141" s="171"/>
      <c r="I141" s="269">
        <v>66260277.17999991</v>
      </c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  <c r="AA141" s="171"/>
      <c r="AB141" s="171"/>
      <c r="AC141" s="171"/>
      <c r="AD141" s="171"/>
      <c r="AE141" s="171"/>
    </row>
    <row r="142" spans="1:31" x14ac:dyDescent="0.25">
      <c r="A142" s="352" t="s">
        <v>174</v>
      </c>
      <c r="B142" s="271" t="s">
        <v>145</v>
      </c>
      <c r="C142" s="271" t="s">
        <v>146</v>
      </c>
      <c r="D142" s="171" t="s">
        <v>161</v>
      </c>
      <c r="E142" s="171" t="s">
        <v>148</v>
      </c>
      <c r="F142" s="263"/>
      <c r="G142" s="263"/>
      <c r="H142" s="171"/>
      <c r="I142" s="269">
        <v>339032466.54000002</v>
      </c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  <c r="AA142" s="171"/>
      <c r="AB142" s="171"/>
      <c r="AC142" s="171"/>
      <c r="AD142" s="171"/>
      <c r="AE142" s="171"/>
    </row>
    <row r="143" spans="1:31" x14ac:dyDescent="0.25">
      <c r="A143" s="352" t="s">
        <v>243</v>
      </c>
      <c r="B143" s="271" t="s">
        <v>145</v>
      </c>
      <c r="C143" s="271" t="s">
        <v>146</v>
      </c>
      <c r="D143" s="171" t="s">
        <v>161</v>
      </c>
      <c r="E143" s="171" t="s">
        <v>148</v>
      </c>
      <c r="F143" s="263"/>
      <c r="G143" s="263"/>
      <c r="H143" s="171"/>
      <c r="I143" s="269">
        <v>182776693.56999993</v>
      </c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  <c r="AA143" s="171"/>
      <c r="AB143" s="171"/>
      <c r="AC143" s="171"/>
      <c r="AD143" s="171"/>
      <c r="AE143" s="171"/>
    </row>
    <row r="144" spans="1:31" x14ac:dyDescent="0.25">
      <c r="A144" s="352" t="s">
        <v>245</v>
      </c>
      <c r="B144" s="271" t="s">
        <v>145</v>
      </c>
      <c r="C144" s="271" t="s">
        <v>146</v>
      </c>
      <c r="D144" s="171" t="s">
        <v>161</v>
      </c>
      <c r="E144" s="171" t="s">
        <v>148</v>
      </c>
      <c r="F144" s="263"/>
      <c r="G144" s="263"/>
      <c r="H144" s="171"/>
      <c r="I144" s="269">
        <v>614114.75</v>
      </c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  <c r="AA144" s="171"/>
      <c r="AB144" s="171"/>
      <c r="AC144" s="171"/>
      <c r="AD144" s="171"/>
      <c r="AE144" s="171"/>
    </row>
    <row r="145" spans="1:31" x14ac:dyDescent="0.25">
      <c r="A145" s="352" t="s">
        <v>246</v>
      </c>
      <c r="B145" s="271" t="s">
        <v>145</v>
      </c>
      <c r="C145" s="271" t="s">
        <v>146</v>
      </c>
      <c r="D145" s="171" t="s">
        <v>161</v>
      </c>
      <c r="E145" s="171" t="s">
        <v>148</v>
      </c>
      <c r="F145" s="263"/>
      <c r="G145" s="263"/>
      <c r="H145" s="171"/>
      <c r="I145" s="269">
        <v>92721808.929999992</v>
      </c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  <c r="AA145" s="171"/>
      <c r="AB145" s="171"/>
      <c r="AC145" s="171"/>
      <c r="AD145" s="171"/>
      <c r="AE145" s="171"/>
    </row>
    <row r="146" spans="1:31" x14ac:dyDescent="0.25">
      <c r="A146" s="352" t="s">
        <v>247</v>
      </c>
      <c r="B146" s="271" t="s">
        <v>145</v>
      </c>
      <c r="C146" s="271" t="s">
        <v>146</v>
      </c>
      <c r="D146" s="171" t="s">
        <v>161</v>
      </c>
      <c r="E146" s="171" t="s">
        <v>148</v>
      </c>
      <c r="F146" s="263"/>
      <c r="G146" s="263"/>
      <c r="H146" s="171"/>
      <c r="I146" s="269">
        <v>42349125.859999947</v>
      </c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  <c r="AA146" s="171"/>
      <c r="AB146" s="171"/>
      <c r="AC146" s="171"/>
      <c r="AD146" s="171"/>
      <c r="AE146" s="171"/>
    </row>
    <row r="147" spans="1:31" x14ac:dyDescent="0.25">
      <c r="A147" s="352" t="s">
        <v>164</v>
      </c>
      <c r="B147" s="271" t="s">
        <v>145</v>
      </c>
      <c r="C147" s="271" t="s">
        <v>146</v>
      </c>
      <c r="D147" s="171" t="s">
        <v>161</v>
      </c>
      <c r="E147" s="171" t="s">
        <v>148</v>
      </c>
      <c r="F147" s="263"/>
      <c r="G147" s="263"/>
      <c r="H147" s="171"/>
      <c r="I147" s="269">
        <v>139760675.00000012</v>
      </c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  <c r="AA147" s="171"/>
      <c r="AB147" s="171"/>
      <c r="AC147" s="171"/>
      <c r="AD147" s="171"/>
      <c r="AE147" s="171"/>
    </row>
    <row r="148" spans="1:31" x14ac:dyDescent="0.25">
      <c r="A148" s="352" t="s">
        <v>249</v>
      </c>
      <c r="B148" s="271" t="s">
        <v>145</v>
      </c>
      <c r="C148" s="271" t="s">
        <v>146</v>
      </c>
      <c r="D148" s="171" t="s">
        <v>161</v>
      </c>
      <c r="E148" s="171" t="s">
        <v>148</v>
      </c>
      <c r="F148" s="263"/>
      <c r="G148" s="263"/>
      <c r="H148" s="171"/>
      <c r="I148" s="269">
        <v>84690420.809999883</v>
      </c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  <c r="AA148" s="171"/>
      <c r="AB148" s="171"/>
      <c r="AC148" s="171"/>
      <c r="AD148" s="171"/>
      <c r="AE148" s="171"/>
    </row>
    <row r="149" spans="1:31" x14ac:dyDescent="0.25">
      <c r="A149" s="352" t="s">
        <v>259</v>
      </c>
      <c r="B149" s="271" t="s">
        <v>145</v>
      </c>
      <c r="C149" s="271" t="s">
        <v>146</v>
      </c>
      <c r="D149" s="171" t="s">
        <v>161</v>
      </c>
      <c r="E149" s="171" t="s">
        <v>148</v>
      </c>
      <c r="F149" s="263"/>
      <c r="G149" s="263"/>
      <c r="H149" s="171"/>
      <c r="I149" s="269">
        <v>7703483.379999999</v>
      </c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  <c r="AA149" s="171"/>
      <c r="AB149" s="171"/>
      <c r="AC149" s="171"/>
      <c r="AD149" s="171"/>
      <c r="AE149" s="171"/>
    </row>
    <row r="150" spans="1:31" x14ac:dyDescent="0.25">
      <c r="A150" s="352" t="s">
        <v>250</v>
      </c>
      <c r="B150" s="271" t="s">
        <v>145</v>
      </c>
      <c r="C150" s="271" t="s">
        <v>146</v>
      </c>
      <c r="D150" s="171" t="s">
        <v>161</v>
      </c>
      <c r="E150" s="171" t="s">
        <v>148</v>
      </c>
      <c r="F150" s="263"/>
      <c r="G150" s="263"/>
      <c r="H150" s="171"/>
      <c r="I150" s="269">
        <v>32976044.18999996</v>
      </c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  <c r="AA150" s="171"/>
      <c r="AB150" s="171"/>
      <c r="AC150" s="171"/>
      <c r="AD150" s="171"/>
      <c r="AE150" s="171"/>
    </row>
    <row r="151" spans="1:31" x14ac:dyDescent="0.25">
      <c r="A151" s="352" t="s">
        <v>196</v>
      </c>
      <c r="B151" s="171" t="s">
        <v>145</v>
      </c>
      <c r="C151" s="171" t="s">
        <v>146</v>
      </c>
      <c r="D151" s="171" t="s">
        <v>260</v>
      </c>
      <c r="E151" s="171" t="s">
        <v>182</v>
      </c>
      <c r="F151" s="263"/>
      <c r="G151" s="263"/>
      <c r="H151" s="171"/>
      <c r="I151" s="269">
        <v>4386979.9100000029</v>
      </c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  <c r="AA151" s="171"/>
      <c r="AB151" s="171"/>
      <c r="AC151" s="171"/>
      <c r="AD151" s="171"/>
      <c r="AE151" s="171"/>
    </row>
    <row r="152" spans="1:31" x14ac:dyDescent="0.25">
      <c r="A152" s="352" t="s">
        <v>197</v>
      </c>
      <c r="B152" s="171" t="s">
        <v>145</v>
      </c>
      <c r="C152" s="171" t="s">
        <v>146</v>
      </c>
      <c r="D152" s="171" t="s">
        <v>260</v>
      </c>
      <c r="E152" s="171" t="s">
        <v>182</v>
      </c>
      <c r="F152" s="263"/>
      <c r="G152" s="263"/>
      <c r="H152" s="171"/>
      <c r="I152" s="269">
        <v>108629205.9599967</v>
      </c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  <c r="AA152" s="171"/>
      <c r="AB152" s="171"/>
      <c r="AC152" s="171"/>
      <c r="AD152" s="171"/>
      <c r="AE152" s="171"/>
    </row>
    <row r="153" spans="1:31" x14ac:dyDescent="0.25">
      <c r="A153" s="352" t="s">
        <v>176</v>
      </c>
      <c r="B153" s="171" t="s">
        <v>145</v>
      </c>
      <c r="C153" s="171" t="s">
        <v>146</v>
      </c>
      <c r="D153" s="171" t="s">
        <v>260</v>
      </c>
      <c r="E153" s="171" t="s">
        <v>182</v>
      </c>
      <c r="F153" s="263"/>
      <c r="G153" s="263"/>
      <c r="H153" s="171"/>
      <c r="I153" s="269">
        <v>255081129.14003366</v>
      </c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  <c r="AA153" s="171"/>
      <c r="AB153" s="171"/>
      <c r="AC153" s="171"/>
      <c r="AD153" s="171"/>
      <c r="AE153" s="171"/>
    </row>
    <row r="154" spans="1:31" x14ac:dyDescent="0.25">
      <c r="A154" s="352" t="s">
        <v>208</v>
      </c>
      <c r="B154" s="171" t="s">
        <v>145</v>
      </c>
      <c r="C154" s="171" t="s">
        <v>146</v>
      </c>
      <c r="D154" s="171" t="s">
        <v>260</v>
      </c>
      <c r="E154" s="171" t="s">
        <v>182</v>
      </c>
      <c r="F154" s="263"/>
      <c r="G154" s="263"/>
      <c r="H154" s="171"/>
      <c r="I154" s="269">
        <v>1006884.1400000002</v>
      </c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  <c r="AA154" s="171"/>
      <c r="AB154" s="171"/>
      <c r="AC154" s="171"/>
      <c r="AD154" s="171"/>
      <c r="AE154" s="171"/>
    </row>
    <row r="155" spans="1:31" x14ac:dyDescent="0.25">
      <c r="A155" s="352" t="s">
        <v>214</v>
      </c>
      <c r="B155" s="171" t="s">
        <v>145</v>
      </c>
      <c r="C155" s="171" t="s">
        <v>146</v>
      </c>
      <c r="D155" s="171" t="s">
        <v>260</v>
      </c>
      <c r="E155" s="171" t="s">
        <v>182</v>
      </c>
      <c r="F155" s="263"/>
      <c r="G155" s="263"/>
      <c r="H155" s="171"/>
      <c r="I155" s="269">
        <v>1220654.8799999994</v>
      </c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  <c r="AA155" s="171"/>
      <c r="AB155" s="171"/>
      <c r="AC155" s="171"/>
      <c r="AD155" s="171"/>
      <c r="AE155" s="171"/>
    </row>
    <row r="156" spans="1:31" x14ac:dyDescent="0.25">
      <c r="A156" s="352" t="s">
        <v>219</v>
      </c>
      <c r="B156" s="171" t="s">
        <v>145</v>
      </c>
      <c r="C156" s="171" t="s">
        <v>146</v>
      </c>
      <c r="D156" s="171" t="s">
        <v>260</v>
      </c>
      <c r="E156" s="171" t="s">
        <v>182</v>
      </c>
      <c r="F156" s="263"/>
      <c r="G156" s="263"/>
      <c r="H156" s="171"/>
      <c r="I156" s="269">
        <v>238713553.10999355</v>
      </c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  <c r="AA156" s="171"/>
      <c r="AB156" s="171"/>
      <c r="AC156" s="171"/>
      <c r="AD156" s="171"/>
      <c r="AE156" s="171"/>
    </row>
    <row r="157" spans="1:31" x14ac:dyDescent="0.25">
      <c r="A157" s="352" t="s">
        <v>222</v>
      </c>
      <c r="B157" s="171" t="s">
        <v>145</v>
      </c>
      <c r="C157" s="171" t="s">
        <v>146</v>
      </c>
      <c r="D157" s="171" t="s">
        <v>260</v>
      </c>
      <c r="E157" s="171" t="s">
        <v>182</v>
      </c>
      <c r="F157" s="263"/>
      <c r="G157" s="263"/>
      <c r="H157" s="171"/>
      <c r="I157" s="269">
        <v>911585.5900000002</v>
      </c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  <c r="AA157" s="171"/>
      <c r="AB157" s="171"/>
      <c r="AC157" s="171"/>
      <c r="AD157" s="171"/>
      <c r="AE157" s="171"/>
    </row>
    <row r="158" spans="1:31" x14ac:dyDescent="0.25">
      <c r="A158" s="352" t="s">
        <v>225</v>
      </c>
      <c r="B158" s="171" t="s">
        <v>145</v>
      </c>
      <c r="C158" s="171" t="s">
        <v>146</v>
      </c>
      <c r="D158" s="171" t="s">
        <v>260</v>
      </c>
      <c r="E158" s="171" t="s">
        <v>182</v>
      </c>
      <c r="F158" s="263"/>
      <c r="G158" s="263"/>
      <c r="H158" s="171"/>
      <c r="I158" s="269">
        <v>2132240.4700000016</v>
      </c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  <c r="AA158" s="171"/>
      <c r="AB158" s="171"/>
      <c r="AC158" s="171"/>
      <c r="AD158" s="171"/>
      <c r="AE158" s="171"/>
    </row>
    <row r="159" spans="1:31" x14ac:dyDescent="0.25">
      <c r="A159" s="352" t="s">
        <v>261</v>
      </c>
      <c r="B159" s="171" t="s">
        <v>145</v>
      </c>
      <c r="C159" s="171" t="s">
        <v>146</v>
      </c>
      <c r="D159" s="171" t="s">
        <v>260</v>
      </c>
      <c r="E159" s="171" t="s">
        <v>182</v>
      </c>
      <c r="F159" s="263"/>
      <c r="G159" s="263"/>
      <c r="H159" s="171"/>
      <c r="I159" s="269">
        <v>1220654.8799999997</v>
      </c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  <c r="AA159" s="171"/>
      <c r="AB159" s="171"/>
      <c r="AC159" s="171"/>
      <c r="AD159" s="171"/>
      <c r="AE159" s="171"/>
    </row>
    <row r="160" spans="1:31" x14ac:dyDescent="0.25">
      <c r="A160" s="352" t="s">
        <v>144</v>
      </c>
      <c r="B160" s="171" t="s">
        <v>145</v>
      </c>
      <c r="C160" s="171" t="s">
        <v>146</v>
      </c>
      <c r="D160" s="171" t="s">
        <v>260</v>
      </c>
      <c r="E160" s="171" t="s">
        <v>182</v>
      </c>
      <c r="F160" s="263"/>
      <c r="G160" s="263"/>
      <c r="H160" s="171"/>
      <c r="I160" s="269">
        <v>62849378.649999693</v>
      </c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269">
        <v>62849378.649999693</v>
      </c>
      <c r="Y160" s="266"/>
      <c r="Z160" s="171"/>
      <c r="AA160" s="171"/>
      <c r="AB160" s="171"/>
      <c r="AC160" s="171"/>
      <c r="AD160" s="171"/>
      <c r="AE160" s="171"/>
    </row>
    <row r="161" spans="1:31" x14ac:dyDescent="0.25">
      <c r="A161" s="352" t="s">
        <v>227</v>
      </c>
      <c r="B161" s="171" t="s">
        <v>145</v>
      </c>
      <c r="C161" s="171" t="s">
        <v>146</v>
      </c>
      <c r="D161" s="171" t="s">
        <v>260</v>
      </c>
      <c r="E161" s="171" t="s">
        <v>182</v>
      </c>
      <c r="F161" s="263"/>
      <c r="G161" s="263"/>
      <c r="H161" s="171"/>
      <c r="I161" s="269">
        <v>3592537.7499999967</v>
      </c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  <c r="AA161" s="171"/>
      <c r="AB161" s="171"/>
      <c r="AC161" s="171"/>
      <c r="AD161" s="171"/>
      <c r="AE161" s="171"/>
    </row>
    <row r="162" spans="1:31" x14ac:dyDescent="0.25">
      <c r="A162" s="352" t="s">
        <v>229</v>
      </c>
      <c r="B162" s="171" t="s">
        <v>145</v>
      </c>
      <c r="C162" s="171" t="s">
        <v>146</v>
      </c>
      <c r="D162" s="171" t="s">
        <v>260</v>
      </c>
      <c r="E162" s="171" t="s">
        <v>182</v>
      </c>
      <c r="F162" s="263"/>
      <c r="G162" s="263"/>
      <c r="H162" s="171"/>
      <c r="I162" s="269">
        <v>3020652.4200000013</v>
      </c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  <c r="AA162" s="171"/>
      <c r="AB162" s="171"/>
      <c r="AC162" s="171"/>
      <c r="AD162" s="171"/>
      <c r="AE162" s="171"/>
    </row>
    <row r="163" spans="1:31" x14ac:dyDescent="0.25">
      <c r="A163" s="352" t="s">
        <v>232</v>
      </c>
      <c r="B163" s="171" t="s">
        <v>145</v>
      </c>
      <c r="C163" s="171" t="s">
        <v>146</v>
      </c>
      <c r="D163" s="171" t="s">
        <v>260</v>
      </c>
      <c r="E163" s="171" t="s">
        <v>182</v>
      </c>
      <c r="F163" s="263"/>
      <c r="G163" s="263"/>
      <c r="H163" s="171"/>
      <c r="I163" s="269">
        <v>300455001.50000781</v>
      </c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  <c r="AA163" s="171"/>
      <c r="AB163" s="171"/>
      <c r="AC163" s="171"/>
      <c r="AD163" s="171"/>
      <c r="AE163" s="171"/>
    </row>
    <row r="164" spans="1:31" x14ac:dyDescent="0.25">
      <c r="A164" s="352" t="s">
        <v>233</v>
      </c>
      <c r="B164" s="171" t="s">
        <v>145</v>
      </c>
      <c r="C164" s="171" t="s">
        <v>146</v>
      </c>
      <c r="D164" s="171" t="s">
        <v>260</v>
      </c>
      <c r="E164" s="171" t="s">
        <v>182</v>
      </c>
      <c r="F164" s="263"/>
      <c r="G164" s="263"/>
      <c r="H164" s="171"/>
      <c r="I164" s="269">
        <v>1220654.8799999992</v>
      </c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  <c r="AA164" s="171"/>
      <c r="AB164" s="171"/>
      <c r="AC164" s="171"/>
      <c r="AD164" s="171"/>
      <c r="AE164" s="171"/>
    </row>
    <row r="165" spans="1:31" x14ac:dyDescent="0.25">
      <c r="A165" s="352" t="s">
        <v>171</v>
      </c>
      <c r="B165" s="171" t="s">
        <v>145</v>
      </c>
      <c r="C165" s="171" t="s">
        <v>146</v>
      </c>
      <c r="D165" s="171" t="s">
        <v>260</v>
      </c>
      <c r="E165" s="171" t="s">
        <v>182</v>
      </c>
      <c r="F165" s="263"/>
      <c r="G165" s="263"/>
      <c r="H165" s="171"/>
      <c r="I165" s="269">
        <v>399077386.25999945</v>
      </c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  <c r="AA165" s="171"/>
      <c r="AB165" s="171"/>
      <c r="AC165" s="171"/>
      <c r="AD165" s="171"/>
      <c r="AE165" s="171"/>
    </row>
    <row r="166" spans="1:31" x14ac:dyDescent="0.25">
      <c r="A166" s="352" t="s">
        <v>239</v>
      </c>
      <c r="B166" s="171" t="s">
        <v>145</v>
      </c>
      <c r="C166" s="171" t="s">
        <v>146</v>
      </c>
      <c r="D166" s="171" t="s">
        <v>260</v>
      </c>
      <c r="E166" s="171" t="s">
        <v>182</v>
      </c>
      <c r="F166" s="263"/>
      <c r="G166" s="263"/>
      <c r="H166" s="171"/>
      <c r="I166" s="269">
        <v>1006884.1399999999</v>
      </c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  <c r="AA166" s="171"/>
      <c r="AB166" s="171"/>
      <c r="AC166" s="171"/>
      <c r="AD166" s="171"/>
      <c r="AE166" s="171"/>
    </row>
    <row r="167" spans="1:31" x14ac:dyDescent="0.25">
      <c r="A167" s="352" t="s">
        <v>242</v>
      </c>
      <c r="B167" s="171" t="s">
        <v>145</v>
      </c>
      <c r="C167" s="171" t="s">
        <v>146</v>
      </c>
      <c r="D167" s="171" t="s">
        <v>260</v>
      </c>
      <c r="E167" s="171" t="s">
        <v>182</v>
      </c>
      <c r="F167" s="263"/>
      <c r="G167" s="263"/>
      <c r="H167" s="171"/>
      <c r="I167" s="269">
        <v>1006884.1400000001</v>
      </c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  <c r="AA167" s="171"/>
      <c r="AB167" s="171"/>
      <c r="AC167" s="171"/>
      <c r="AD167" s="171"/>
      <c r="AE167" s="171"/>
    </row>
    <row r="168" spans="1:31" x14ac:dyDescent="0.25">
      <c r="A168" s="352" t="s">
        <v>168</v>
      </c>
      <c r="B168" s="171" t="s">
        <v>145</v>
      </c>
      <c r="C168" s="171" t="s">
        <v>146</v>
      </c>
      <c r="D168" s="171" t="s">
        <v>260</v>
      </c>
      <c r="E168" s="171" t="s">
        <v>182</v>
      </c>
      <c r="F168" s="263">
        <v>1</v>
      </c>
      <c r="G168" s="263">
        <v>1</v>
      </c>
      <c r="H168" s="171" t="s">
        <v>49</v>
      </c>
      <c r="I168" s="269">
        <v>745246078.52010083</v>
      </c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277">
        <v>453601227.03999996</v>
      </c>
      <c r="Z168" s="171"/>
      <c r="AA168" s="171"/>
      <c r="AB168" s="171"/>
      <c r="AC168" s="171"/>
      <c r="AD168" s="171"/>
      <c r="AE168" s="171"/>
    </row>
    <row r="169" spans="1:31" x14ac:dyDescent="0.25">
      <c r="A169" s="352" t="s">
        <v>246</v>
      </c>
      <c r="B169" s="171" t="s">
        <v>145</v>
      </c>
      <c r="C169" s="171" t="s">
        <v>146</v>
      </c>
      <c r="D169" s="171" t="s">
        <v>260</v>
      </c>
      <c r="E169" s="171" t="s">
        <v>182</v>
      </c>
      <c r="F169" s="263"/>
      <c r="G169" s="263"/>
      <c r="H169" s="171"/>
      <c r="I169" s="269">
        <v>1006884.1400000001</v>
      </c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  <c r="AA169" s="171"/>
      <c r="AB169" s="171"/>
      <c r="AC169" s="171"/>
      <c r="AD169" s="171"/>
      <c r="AE169" s="171"/>
    </row>
    <row r="170" spans="1:31" x14ac:dyDescent="0.25">
      <c r="A170" s="352" t="s">
        <v>164</v>
      </c>
      <c r="B170" s="171" t="s">
        <v>145</v>
      </c>
      <c r="C170" s="171" t="s">
        <v>146</v>
      </c>
      <c r="D170" s="171" t="s">
        <v>260</v>
      </c>
      <c r="E170" s="171" t="s">
        <v>182</v>
      </c>
      <c r="F170" s="263"/>
      <c r="G170" s="263"/>
      <c r="H170" s="171"/>
      <c r="I170" s="269">
        <v>9452726.7900000159</v>
      </c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  <c r="AA170" s="171"/>
      <c r="AB170" s="171"/>
      <c r="AC170" s="171"/>
      <c r="AD170" s="171"/>
      <c r="AE170" s="171"/>
    </row>
    <row r="171" spans="1:31" x14ac:dyDescent="0.25">
      <c r="A171" s="352" t="s">
        <v>248</v>
      </c>
      <c r="B171" s="171" t="s">
        <v>145</v>
      </c>
      <c r="C171" s="171" t="s">
        <v>146</v>
      </c>
      <c r="D171" s="171" t="s">
        <v>260</v>
      </c>
      <c r="E171" s="171" t="s">
        <v>182</v>
      </c>
      <c r="F171" s="263"/>
      <c r="G171" s="263"/>
      <c r="H171" s="171"/>
      <c r="I171" s="269">
        <v>1006884.1399999999</v>
      </c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  <c r="AA171" s="171"/>
      <c r="AB171" s="171"/>
      <c r="AC171" s="171"/>
      <c r="AD171" s="171"/>
      <c r="AE171" s="171"/>
    </row>
    <row r="172" spans="1:31" x14ac:dyDescent="0.25">
      <c r="A172" s="352" t="s">
        <v>185</v>
      </c>
      <c r="B172" s="171" t="s">
        <v>145</v>
      </c>
      <c r="C172" s="171" t="s">
        <v>146</v>
      </c>
      <c r="D172" s="171" t="s">
        <v>260</v>
      </c>
      <c r="E172" s="171" t="s">
        <v>182</v>
      </c>
      <c r="F172" s="263"/>
      <c r="G172" s="263"/>
      <c r="H172" s="171"/>
      <c r="I172" s="269">
        <v>22106208.609999988</v>
      </c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  <c r="AA172" s="171"/>
      <c r="AB172" s="171"/>
      <c r="AC172" s="171"/>
      <c r="AD172" s="171"/>
      <c r="AE172" s="171"/>
    </row>
    <row r="173" spans="1:31" x14ac:dyDescent="0.25">
      <c r="A173" s="352" t="s">
        <v>156</v>
      </c>
      <c r="B173" s="171" t="s">
        <v>145</v>
      </c>
      <c r="C173" s="171" t="s">
        <v>146</v>
      </c>
      <c r="D173" s="171" t="s">
        <v>260</v>
      </c>
      <c r="E173" s="171" t="s">
        <v>182</v>
      </c>
      <c r="F173" s="263"/>
      <c r="G173" s="263"/>
      <c r="H173" s="171"/>
      <c r="I173" s="269">
        <v>212080190.05000722</v>
      </c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  <c r="AA173" s="171"/>
      <c r="AB173" s="171"/>
      <c r="AC173" s="171"/>
      <c r="AD173" s="171"/>
      <c r="AE173" s="171"/>
    </row>
    <row r="174" spans="1:31" x14ac:dyDescent="0.25">
      <c r="A174" s="352" t="s">
        <v>173</v>
      </c>
      <c r="B174" s="171" t="s">
        <v>145</v>
      </c>
      <c r="C174" s="171" t="s">
        <v>146</v>
      </c>
      <c r="D174" s="171" t="s">
        <v>260</v>
      </c>
      <c r="E174" s="171" t="s">
        <v>182</v>
      </c>
      <c r="F174" s="263"/>
      <c r="G174" s="263"/>
      <c r="H174" s="171"/>
      <c r="I174" s="269">
        <v>33039185.340000134</v>
      </c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  <c r="AA174" s="171"/>
      <c r="AB174" s="171"/>
      <c r="AC174" s="171"/>
      <c r="AD174" s="171"/>
      <c r="AE174" s="171"/>
    </row>
    <row r="175" spans="1:31" x14ac:dyDescent="0.25">
      <c r="A175" s="352" t="s">
        <v>187</v>
      </c>
      <c r="B175" s="171" t="s">
        <v>145</v>
      </c>
      <c r="C175" s="171" t="s">
        <v>146</v>
      </c>
      <c r="D175" s="171" t="s">
        <v>260</v>
      </c>
      <c r="E175" s="171" t="s">
        <v>182</v>
      </c>
      <c r="F175" s="263"/>
      <c r="G175" s="263"/>
      <c r="H175" s="171"/>
      <c r="I175" s="269">
        <v>173307347.28000385</v>
      </c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  <c r="AA175" s="171"/>
      <c r="AB175" s="171"/>
      <c r="AC175" s="171"/>
      <c r="AD175" s="171"/>
      <c r="AE175" s="171"/>
    </row>
    <row r="176" spans="1:31" x14ac:dyDescent="0.25">
      <c r="A176" s="352" t="s">
        <v>165</v>
      </c>
      <c r="B176" s="171" t="s">
        <v>145</v>
      </c>
      <c r="C176" s="171" t="s">
        <v>146</v>
      </c>
      <c r="D176" s="171" t="s">
        <v>260</v>
      </c>
      <c r="E176" s="171" t="s">
        <v>182</v>
      </c>
      <c r="F176" s="263"/>
      <c r="G176" s="263"/>
      <c r="H176" s="171"/>
      <c r="I176" s="269">
        <v>249482271.56004351</v>
      </c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  <c r="AA176" s="171"/>
      <c r="AB176" s="171"/>
      <c r="AC176" s="171"/>
      <c r="AD176" s="171"/>
      <c r="AE176" s="171"/>
    </row>
    <row r="177" spans="1:31" x14ac:dyDescent="0.25">
      <c r="A177" s="352" t="s">
        <v>191</v>
      </c>
      <c r="B177" s="171" t="s">
        <v>145</v>
      </c>
      <c r="C177" s="171" t="s">
        <v>146</v>
      </c>
      <c r="D177" s="171" t="s">
        <v>260</v>
      </c>
      <c r="E177" s="171" t="s">
        <v>182</v>
      </c>
      <c r="F177" s="263"/>
      <c r="G177" s="263"/>
      <c r="H177" s="171"/>
      <c r="I177" s="269">
        <v>69327183.080001146</v>
      </c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  <c r="AA177" s="171"/>
      <c r="AB177" s="171"/>
      <c r="AC177" s="171"/>
      <c r="AD177" s="171"/>
      <c r="AE177" s="171"/>
    </row>
  </sheetData>
  <autoFilter ref="A3:AE177" xr:uid="{BEBB7BC1-AB84-4C97-A7A0-E851126C3CB4}"/>
  <mergeCells count="5">
    <mergeCell ref="I1:S1"/>
    <mergeCell ref="T1:AD1"/>
    <mergeCell ref="I2:J2"/>
    <mergeCell ref="T2:AA2"/>
    <mergeCell ref="AB2:AD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5BF65-6B09-43B1-8177-6B521D4ACFB1}">
  <dimension ref="A1:AE64"/>
  <sheetViews>
    <sheetView tabSelected="1" zoomScale="85" zoomScaleNormal="85" workbookViewId="0">
      <selection activeCell="C8" sqref="C8"/>
    </sheetView>
  </sheetViews>
  <sheetFormatPr defaultRowHeight="15" x14ac:dyDescent="0.25"/>
  <cols>
    <col min="1" max="1" width="13.140625" customWidth="1"/>
    <col min="2" max="2" width="11.85546875" bestFit="1" customWidth="1"/>
    <col min="3" max="3" width="31.140625" bestFit="1" customWidth="1"/>
    <col min="4" max="4" width="39.5703125" bestFit="1" customWidth="1"/>
    <col min="5" max="5" width="18.85546875" bestFit="1" customWidth="1"/>
    <col min="6" max="6" width="8.42578125" bestFit="1" customWidth="1"/>
    <col min="7" max="7" width="8.140625" bestFit="1" customWidth="1"/>
    <col min="8" max="8" width="12.85546875" bestFit="1" customWidth="1"/>
    <col min="9" max="9" width="12.5703125" bestFit="1" customWidth="1"/>
    <col min="11" max="11" width="13.5703125" bestFit="1" customWidth="1"/>
    <col min="12" max="12" width="12.42578125" bestFit="1" customWidth="1"/>
    <col min="13" max="13" width="11.42578125" bestFit="1" customWidth="1"/>
    <col min="14" max="15" width="13.5703125" bestFit="1" customWidth="1"/>
    <col min="16" max="16" width="12.42578125" bestFit="1" customWidth="1"/>
    <col min="17" max="17" width="10.140625" bestFit="1" customWidth="1"/>
    <col min="18" max="18" width="13.5703125" bestFit="1" customWidth="1"/>
    <col min="19" max="19" width="12.42578125" bestFit="1" customWidth="1"/>
    <col min="20" max="20" width="12.5703125" bestFit="1" customWidth="1"/>
    <col min="21" max="21" width="11.5703125" bestFit="1" customWidth="1"/>
    <col min="22" max="22" width="12.5703125" bestFit="1" customWidth="1"/>
    <col min="23" max="23" width="8.5703125" bestFit="1" customWidth="1"/>
    <col min="24" max="25" width="12.5703125" bestFit="1" customWidth="1"/>
    <col min="26" max="26" width="8.42578125" bestFit="1" customWidth="1"/>
    <col min="27" max="27" width="7" bestFit="1" customWidth="1"/>
    <col min="28" max="28" width="12.5703125" bestFit="1" customWidth="1"/>
    <col min="29" max="29" width="8.5703125" bestFit="1" customWidth="1"/>
    <col min="31" max="31" width="12.5703125" bestFit="1" customWidth="1"/>
  </cols>
  <sheetData>
    <row r="1" spans="1:31" ht="15.75" thickBot="1" x14ac:dyDescent="0.3">
      <c r="A1" s="169" t="s">
        <v>0</v>
      </c>
      <c r="F1" s="2"/>
      <c r="G1" s="2"/>
      <c r="I1" s="361" t="s">
        <v>1</v>
      </c>
      <c r="J1" s="362"/>
      <c r="K1" s="362"/>
      <c r="L1" s="362"/>
      <c r="M1" s="362"/>
      <c r="N1" s="362"/>
      <c r="O1" s="362"/>
      <c r="P1" s="362"/>
      <c r="Q1" s="362"/>
      <c r="R1" s="362"/>
      <c r="S1" s="363"/>
      <c r="T1" s="361" t="s">
        <v>2</v>
      </c>
      <c r="U1" s="362"/>
      <c r="V1" s="362"/>
      <c r="W1" s="362"/>
      <c r="X1" s="387"/>
      <c r="Y1" s="362"/>
      <c r="Z1" s="362"/>
      <c r="AA1" s="362"/>
      <c r="AB1" s="362"/>
      <c r="AC1" s="362"/>
      <c r="AD1" s="362"/>
      <c r="AE1" s="363"/>
    </row>
    <row r="2" spans="1:31" ht="45.75" thickBot="1" x14ac:dyDescent="0.3">
      <c r="A2" s="170"/>
      <c r="B2" s="170"/>
      <c r="C2" s="170"/>
      <c r="D2" s="170"/>
      <c r="E2" s="170"/>
      <c r="F2" s="3"/>
      <c r="G2" s="3"/>
      <c r="H2" s="170"/>
      <c r="I2" s="364" t="s">
        <v>3</v>
      </c>
      <c r="J2" s="365"/>
      <c r="K2" s="204" t="s">
        <v>4</v>
      </c>
      <c r="L2" s="205" t="s">
        <v>4</v>
      </c>
      <c r="M2" s="206" t="s">
        <v>4</v>
      </c>
      <c r="N2" s="204" t="s">
        <v>5</v>
      </c>
      <c r="O2" s="205" t="s">
        <v>5</v>
      </c>
      <c r="P2" s="205" t="s">
        <v>5</v>
      </c>
      <c r="Q2" s="205" t="s">
        <v>5</v>
      </c>
      <c r="R2" s="205" t="s">
        <v>5</v>
      </c>
      <c r="S2" s="206" t="s">
        <v>5</v>
      </c>
      <c r="T2" s="364" t="s">
        <v>6</v>
      </c>
      <c r="U2" s="366"/>
      <c r="V2" s="366"/>
      <c r="W2" s="366"/>
      <c r="X2" s="388"/>
      <c r="Y2" s="366"/>
      <c r="Z2" s="366"/>
      <c r="AA2" s="365"/>
      <c r="AB2" s="364" t="s">
        <v>7</v>
      </c>
      <c r="AC2" s="366"/>
      <c r="AD2" s="366"/>
      <c r="AE2" s="365"/>
    </row>
    <row r="3" spans="1:31" ht="60.75" thickBot="1" x14ac:dyDescent="0.3">
      <c r="A3" s="184" t="s">
        <v>8</v>
      </c>
      <c r="B3" s="185" t="s">
        <v>9</v>
      </c>
      <c r="C3" s="185" t="s">
        <v>10</v>
      </c>
      <c r="D3" s="185" t="s">
        <v>11</v>
      </c>
      <c r="E3" s="188" t="s">
        <v>12</v>
      </c>
      <c r="F3" s="193" t="s">
        <v>13</v>
      </c>
      <c r="G3" s="186" t="s">
        <v>14</v>
      </c>
      <c r="H3" s="187" t="s">
        <v>15</v>
      </c>
      <c r="I3" s="10" t="s">
        <v>16</v>
      </c>
      <c r="J3" s="12" t="s">
        <v>17</v>
      </c>
      <c r="K3" s="10" t="s">
        <v>18</v>
      </c>
      <c r="L3" s="11" t="s">
        <v>19</v>
      </c>
      <c r="M3" s="12" t="s">
        <v>20</v>
      </c>
      <c r="N3" s="10" t="s">
        <v>21</v>
      </c>
      <c r="O3" s="11" t="s">
        <v>22</v>
      </c>
      <c r="P3" s="11" t="s">
        <v>23</v>
      </c>
      <c r="Q3" s="11" t="s">
        <v>24</v>
      </c>
      <c r="R3" s="11" t="s">
        <v>25</v>
      </c>
      <c r="S3" s="12" t="s">
        <v>26</v>
      </c>
      <c r="T3" s="10" t="s">
        <v>27</v>
      </c>
      <c r="U3" s="11" t="s">
        <v>28</v>
      </c>
      <c r="V3" s="11" t="s">
        <v>29</v>
      </c>
      <c r="W3" s="11" t="s">
        <v>30</v>
      </c>
      <c r="X3" s="11" t="s">
        <v>31</v>
      </c>
      <c r="Y3" s="48" t="s">
        <v>32</v>
      </c>
      <c r="Z3" s="11" t="s">
        <v>33</v>
      </c>
      <c r="AA3" s="12" t="s">
        <v>34</v>
      </c>
      <c r="AB3" s="10" t="s">
        <v>27</v>
      </c>
      <c r="AC3" s="11" t="s">
        <v>28</v>
      </c>
      <c r="AD3" s="12" t="s">
        <v>35</v>
      </c>
      <c r="AE3" s="12" t="s">
        <v>262</v>
      </c>
    </row>
    <row r="4" spans="1:31" x14ac:dyDescent="0.25">
      <c r="A4" s="181" t="s">
        <v>198</v>
      </c>
      <c r="B4" s="182" t="s">
        <v>263</v>
      </c>
      <c r="C4" s="182" t="s">
        <v>264</v>
      </c>
      <c r="D4" s="182" t="s">
        <v>265</v>
      </c>
      <c r="E4" s="189" t="s">
        <v>199</v>
      </c>
      <c r="F4" s="194"/>
      <c r="G4" s="49"/>
      <c r="H4" s="183"/>
      <c r="I4" s="197"/>
      <c r="J4" s="198"/>
      <c r="K4" s="201">
        <v>0</v>
      </c>
      <c r="L4" s="166">
        <v>0</v>
      </c>
      <c r="M4" s="200">
        <v>0</v>
      </c>
      <c r="N4" s="201">
        <v>0</v>
      </c>
      <c r="O4" s="166">
        <v>0</v>
      </c>
      <c r="P4" s="166">
        <v>0</v>
      </c>
      <c r="Q4" s="166">
        <v>0</v>
      </c>
      <c r="R4" s="166">
        <v>208688.66999999998</v>
      </c>
      <c r="S4" s="200">
        <v>0</v>
      </c>
      <c r="T4" s="201"/>
      <c r="U4" s="166"/>
      <c r="V4" s="166"/>
      <c r="W4" s="166"/>
      <c r="X4" s="212"/>
      <c r="Y4" s="216"/>
      <c r="Z4" s="172"/>
      <c r="AA4" s="209"/>
      <c r="AB4" s="199"/>
      <c r="AC4" s="167"/>
      <c r="AD4" s="167"/>
      <c r="AE4" s="209"/>
    </row>
    <row r="5" spans="1:31" x14ac:dyDescent="0.25">
      <c r="A5" s="173" t="s">
        <v>198</v>
      </c>
      <c r="B5" s="171" t="s">
        <v>263</v>
      </c>
      <c r="C5" s="171" t="s">
        <v>264</v>
      </c>
      <c r="D5" s="171" t="s">
        <v>266</v>
      </c>
      <c r="E5" s="190" t="s">
        <v>267</v>
      </c>
      <c r="F5" s="195"/>
      <c r="G5" s="50"/>
      <c r="H5" s="174"/>
      <c r="I5" s="197"/>
      <c r="J5" s="198"/>
      <c r="K5" s="201">
        <v>0</v>
      </c>
      <c r="L5" s="166">
        <v>0</v>
      </c>
      <c r="M5" s="200">
        <v>0</v>
      </c>
      <c r="N5" s="201">
        <v>0</v>
      </c>
      <c r="O5" s="166">
        <v>0</v>
      </c>
      <c r="P5" s="166">
        <v>0</v>
      </c>
      <c r="Q5" s="166">
        <v>0</v>
      </c>
      <c r="R5" s="166">
        <v>11776760.620000001</v>
      </c>
      <c r="S5" s="200">
        <v>0</v>
      </c>
      <c r="T5" s="201"/>
      <c r="U5" s="166"/>
      <c r="V5" s="166"/>
      <c r="W5" s="166"/>
      <c r="X5" s="212"/>
      <c r="Y5" s="216"/>
      <c r="Z5" s="172"/>
      <c r="AA5" s="209"/>
      <c r="AB5" s="199"/>
      <c r="AC5" s="167"/>
      <c r="AD5" s="167"/>
      <c r="AE5" s="209"/>
    </row>
    <row r="6" spans="1:31" x14ac:dyDescent="0.25">
      <c r="A6" s="173" t="s">
        <v>198</v>
      </c>
      <c r="B6" s="171" t="s">
        <v>263</v>
      </c>
      <c r="C6" s="171" t="s">
        <v>264</v>
      </c>
      <c r="D6" s="171" t="s">
        <v>266</v>
      </c>
      <c r="E6" s="190" t="s">
        <v>199</v>
      </c>
      <c r="F6" s="195"/>
      <c r="G6" s="50"/>
      <c r="H6" s="174" t="s">
        <v>49</v>
      </c>
      <c r="I6" s="197"/>
      <c r="J6" s="198"/>
      <c r="K6" s="201">
        <v>115894189.43999997</v>
      </c>
      <c r="L6" s="166">
        <v>37125393.990000002</v>
      </c>
      <c r="M6" s="200">
        <v>0</v>
      </c>
      <c r="N6" s="201">
        <v>134970165.77000001</v>
      </c>
      <c r="O6" s="166">
        <v>61507257.609999999</v>
      </c>
      <c r="P6" s="166">
        <v>91722032.220000058</v>
      </c>
      <c r="Q6" s="166">
        <v>0</v>
      </c>
      <c r="R6" s="166">
        <v>117376133.46000017</v>
      </c>
      <c r="S6" s="200">
        <v>51523065.519999996</v>
      </c>
      <c r="T6" s="201">
        <v>13117256.509999998</v>
      </c>
      <c r="U6" s="166">
        <v>0</v>
      </c>
      <c r="V6" s="166">
        <v>0</v>
      </c>
      <c r="W6" s="166"/>
      <c r="X6" s="212">
        <v>27361099.270000003</v>
      </c>
      <c r="Y6" s="216">
        <v>1989224.5970999999</v>
      </c>
      <c r="Z6" s="172"/>
      <c r="AA6" s="209"/>
      <c r="AB6" s="199"/>
      <c r="AC6" s="167"/>
      <c r="AD6" s="167"/>
      <c r="AE6" s="209"/>
    </row>
    <row r="7" spans="1:31" x14ac:dyDescent="0.25">
      <c r="A7" s="173" t="s">
        <v>206</v>
      </c>
      <c r="B7" s="171" t="s">
        <v>263</v>
      </c>
      <c r="C7" s="171" t="s">
        <v>268</v>
      </c>
      <c r="D7" s="171" t="s">
        <v>269</v>
      </c>
      <c r="E7" s="190" t="s">
        <v>207</v>
      </c>
      <c r="F7" s="195"/>
      <c r="G7" s="50"/>
      <c r="H7" s="174" t="s">
        <v>178</v>
      </c>
      <c r="I7" s="197"/>
      <c r="J7" s="198"/>
      <c r="K7" s="201">
        <v>6003235.9700000007</v>
      </c>
      <c r="L7" s="166">
        <v>0</v>
      </c>
      <c r="M7" s="200">
        <v>0</v>
      </c>
      <c r="N7" s="201">
        <v>221515033.27000004</v>
      </c>
      <c r="O7" s="166">
        <v>26051285.77999999</v>
      </c>
      <c r="P7" s="166">
        <v>0</v>
      </c>
      <c r="Q7" s="166">
        <v>0</v>
      </c>
      <c r="R7" s="166">
        <v>0</v>
      </c>
      <c r="S7" s="200">
        <v>0</v>
      </c>
      <c r="T7" s="201">
        <v>43675974.810000084</v>
      </c>
      <c r="U7" s="166">
        <v>0</v>
      </c>
      <c r="V7" s="166">
        <v>0</v>
      </c>
      <c r="W7" s="166"/>
      <c r="X7" s="212"/>
      <c r="Y7" s="216">
        <v>43675974.810000084</v>
      </c>
      <c r="Z7" s="172"/>
      <c r="AA7" s="209"/>
      <c r="AB7" s="199"/>
      <c r="AC7" s="167"/>
      <c r="AD7" s="167"/>
      <c r="AE7" s="209"/>
    </row>
    <row r="8" spans="1:31" x14ac:dyDescent="0.25">
      <c r="A8" s="173" t="s">
        <v>206</v>
      </c>
      <c r="B8" s="171" t="s">
        <v>263</v>
      </c>
      <c r="C8" s="171" t="s">
        <v>268</v>
      </c>
      <c r="D8" s="171" t="s">
        <v>270</v>
      </c>
      <c r="E8" s="190" t="s">
        <v>207</v>
      </c>
      <c r="F8" s="195"/>
      <c r="G8" s="50"/>
      <c r="H8" s="174"/>
      <c r="I8" s="197"/>
      <c r="J8" s="198"/>
      <c r="K8" s="201">
        <v>0</v>
      </c>
      <c r="L8" s="166">
        <v>23080630.669999998</v>
      </c>
      <c r="M8" s="200">
        <v>0</v>
      </c>
      <c r="N8" s="201">
        <v>628783.19000000006</v>
      </c>
      <c r="O8" s="166">
        <v>393046.49</v>
      </c>
      <c r="P8" s="166">
        <v>15400189.129999997</v>
      </c>
      <c r="Q8" s="166">
        <v>0</v>
      </c>
      <c r="R8" s="166">
        <v>39059676.37000002</v>
      </c>
      <c r="S8" s="200">
        <v>86826641.980000004</v>
      </c>
      <c r="T8" s="201">
        <v>511490.75000000006</v>
      </c>
      <c r="U8" s="166">
        <v>0</v>
      </c>
      <c r="V8" s="166">
        <v>0</v>
      </c>
      <c r="W8" s="166"/>
      <c r="X8" s="212"/>
      <c r="Y8" s="216"/>
      <c r="Z8" s="172"/>
      <c r="AA8" s="209"/>
      <c r="AB8" s="199"/>
      <c r="AC8" s="167"/>
      <c r="AD8" s="167"/>
      <c r="AE8" s="209"/>
    </row>
    <row r="9" spans="1:31" x14ac:dyDescent="0.25">
      <c r="A9" s="173" t="s">
        <v>206</v>
      </c>
      <c r="B9" s="171" t="s">
        <v>263</v>
      </c>
      <c r="C9" s="171" t="s">
        <v>268</v>
      </c>
      <c r="D9" s="171" t="s">
        <v>271</v>
      </c>
      <c r="E9" s="190" t="s">
        <v>207</v>
      </c>
      <c r="F9" s="195"/>
      <c r="G9" s="50"/>
      <c r="H9" s="174"/>
      <c r="I9" s="197"/>
      <c r="J9" s="198"/>
      <c r="K9" s="201">
        <v>1212322.8800000001</v>
      </c>
      <c r="L9" s="166">
        <v>1835768.1800000006</v>
      </c>
      <c r="M9" s="200">
        <v>0</v>
      </c>
      <c r="N9" s="201">
        <v>2767536.3699999996</v>
      </c>
      <c r="O9" s="166">
        <v>3874285.9299999997</v>
      </c>
      <c r="P9" s="166">
        <v>6783659.339999998</v>
      </c>
      <c r="Q9" s="166">
        <v>0</v>
      </c>
      <c r="R9" s="166">
        <v>9003427.1699999962</v>
      </c>
      <c r="S9" s="200">
        <v>644768.37</v>
      </c>
      <c r="T9" s="201"/>
      <c r="U9" s="166"/>
      <c r="V9" s="166"/>
      <c r="W9" s="166"/>
      <c r="X9" s="212"/>
      <c r="Y9" s="216"/>
      <c r="Z9" s="172"/>
      <c r="AA9" s="209"/>
      <c r="AB9" s="199"/>
      <c r="AC9" s="167"/>
      <c r="AD9" s="167"/>
      <c r="AE9" s="209"/>
    </row>
    <row r="10" spans="1:31" x14ac:dyDescent="0.25">
      <c r="A10" s="173" t="s">
        <v>206</v>
      </c>
      <c r="B10" s="171" t="s">
        <v>263</v>
      </c>
      <c r="C10" s="171" t="s">
        <v>272</v>
      </c>
      <c r="D10" s="171" t="s">
        <v>273</v>
      </c>
      <c r="E10" s="190" t="s">
        <v>207</v>
      </c>
      <c r="F10" s="195"/>
      <c r="G10" s="50"/>
      <c r="H10" s="174"/>
      <c r="I10" s="197"/>
      <c r="J10" s="198"/>
      <c r="K10" s="201"/>
      <c r="L10" s="166"/>
      <c r="M10" s="200"/>
      <c r="N10" s="201"/>
      <c r="O10" s="166"/>
      <c r="P10" s="166"/>
      <c r="Q10" s="166"/>
      <c r="R10" s="166"/>
      <c r="S10" s="200"/>
      <c r="T10" s="201"/>
      <c r="U10" s="166"/>
      <c r="V10" s="166"/>
      <c r="W10" s="166"/>
      <c r="X10" s="212"/>
      <c r="Y10" s="216"/>
      <c r="Z10" s="172"/>
      <c r="AA10" s="209"/>
      <c r="AB10" s="199"/>
      <c r="AC10" s="167"/>
      <c r="AD10" s="167"/>
      <c r="AE10" s="209">
        <v>179038670.03000003</v>
      </c>
    </row>
    <row r="11" spans="1:31" x14ac:dyDescent="0.25">
      <c r="A11" s="173" t="s">
        <v>274</v>
      </c>
      <c r="B11" s="171" t="s">
        <v>263</v>
      </c>
      <c r="C11" s="171" t="s">
        <v>264</v>
      </c>
      <c r="D11" s="171" t="s">
        <v>265</v>
      </c>
      <c r="E11" s="190" t="s">
        <v>275</v>
      </c>
      <c r="F11" s="195"/>
      <c r="G11" s="50"/>
      <c r="H11" s="174"/>
      <c r="I11" s="197"/>
      <c r="J11" s="198"/>
      <c r="K11" s="201">
        <v>0</v>
      </c>
      <c r="L11" s="166">
        <v>0</v>
      </c>
      <c r="M11" s="200">
        <v>0</v>
      </c>
      <c r="N11" s="201">
        <v>0</v>
      </c>
      <c r="O11" s="166">
        <v>0</v>
      </c>
      <c r="P11" s="166">
        <v>0</v>
      </c>
      <c r="Q11" s="166">
        <v>0</v>
      </c>
      <c r="R11" s="166">
        <v>1185678.5599999998</v>
      </c>
      <c r="S11" s="200">
        <v>0</v>
      </c>
      <c r="T11" s="201"/>
      <c r="U11" s="166"/>
      <c r="V11" s="166"/>
      <c r="W11" s="166"/>
      <c r="X11" s="212"/>
      <c r="Y11" s="216"/>
      <c r="Z11" s="172"/>
      <c r="AA11" s="209"/>
      <c r="AB11" s="199"/>
      <c r="AC11" s="167"/>
      <c r="AD11" s="167"/>
      <c r="AE11" s="209"/>
    </row>
    <row r="12" spans="1:31" x14ac:dyDescent="0.25">
      <c r="A12" s="173" t="s">
        <v>274</v>
      </c>
      <c r="B12" s="171" t="s">
        <v>263</v>
      </c>
      <c r="C12" s="171" t="s">
        <v>264</v>
      </c>
      <c r="D12" s="171" t="s">
        <v>276</v>
      </c>
      <c r="E12" s="190" t="s">
        <v>199</v>
      </c>
      <c r="F12" s="195"/>
      <c r="G12" s="50"/>
      <c r="H12" s="174"/>
      <c r="I12" s="197"/>
      <c r="J12" s="198"/>
      <c r="K12" s="201"/>
      <c r="L12" s="166"/>
      <c r="M12" s="200"/>
      <c r="N12" s="201">
        <v>0</v>
      </c>
      <c r="O12" s="166">
        <v>32168011.559999999</v>
      </c>
      <c r="P12" s="166">
        <v>2705635.2199999997</v>
      </c>
      <c r="Q12" s="166">
        <v>0</v>
      </c>
      <c r="R12" s="166">
        <v>22971063.53999998</v>
      </c>
      <c r="S12" s="200">
        <v>2364780.3299999996</v>
      </c>
      <c r="T12" s="201"/>
      <c r="U12" s="166"/>
      <c r="V12" s="166"/>
      <c r="W12" s="166"/>
      <c r="X12" s="212"/>
      <c r="Y12" s="216"/>
      <c r="Z12" s="172"/>
      <c r="AA12" s="209"/>
      <c r="AB12" s="199"/>
      <c r="AC12" s="167"/>
      <c r="AD12" s="167"/>
      <c r="AE12" s="209"/>
    </row>
    <row r="13" spans="1:31" x14ac:dyDescent="0.25">
      <c r="A13" s="173" t="s">
        <v>274</v>
      </c>
      <c r="B13" s="171" t="s">
        <v>263</v>
      </c>
      <c r="C13" s="171" t="s">
        <v>264</v>
      </c>
      <c r="D13" s="171" t="s">
        <v>265</v>
      </c>
      <c r="E13" s="190" t="s">
        <v>199</v>
      </c>
      <c r="F13" s="195"/>
      <c r="G13" s="50"/>
      <c r="H13" s="174" t="s">
        <v>49</v>
      </c>
      <c r="I13" s="197"/>
      <c r="J13" s="198"/>
      <c r="K13" s="201">
        <v>34691444.800000004</v>
      </c>
      <c r="L13" s="166"/>
      <c r="M13" s="200">
        <v>0</v>
      </c>
      <c r="N13" s="201"/>
      <c r="O13" s="166"/>
      <c r="P13" s="166"/>
      <c r="Q13" s="166"/>
      <c r="R13" s="166"/>
      <c r="S13" s="200"/>
      <c r="T13" s="201">
        <v>12714006.299999993</v>
      </c>
      <c r="U13" s="166">
        <v>0</v>
      </c>
      <c r="V13" s="166">
        <v>0</v>
      </c>
      <c r="W13" s="166"/>
      <c r="X13" s="212">
        <v>19653666.589999996</v>
      </c>
      <c r="Y13" s="216">
        <v>650000</v>
      </c>
      <c r="Z13" s="172"/>
      <c r="AA13" s="209"/>
      <c r="AB13" s="199"/>
      <c r="AC13" s="167"/>
      <c r="AD13" s="167"/>
      <c r="AE13" s="209"/>
    </row>
    <row r="14" spans="1:31" x14ac:dyDescent="0.25">
      <c r="A14" s="173" t="s">
        <v>211</v>
      </c>
      <c r="B14" s="171" t="s">
        <v>263</v>
      </c>
      <c r="C14" s="171" t="s">
        <v>268</v>
      </c>
      <c r="D14" s="171" t="s">
        <v>277</v>
      </c>
      <c r="E14" s="190" t="s">
        <v>207</v>
      </c>
      <c r="F14" s="195"/>
      <c r="G14" s="50"/>
      <c r="H14" s="174" t="s">
        <v>178</v>
      </c>
      <c r="I14" s="197"/>
      <c r="J14" s="198"/>
      <c r="K14" s="201">
        <v>105377111.81999998</v>
      </c>
      <c r="L14" s="166">
        <v>16294318.67999999</v>
      </c>
      <c r="M14" s="200">
        <v>0</v>
      </c>
      <c r="N14" s="201">
        <v>183658746.71000001</v>
      </c>
      <c r="O14" s="166">
        <v>36323786.489999995</v>
      </c>
      <c r="P14" s="166">
        <v>28838830.019999992</v>
      </c>
      <c r="Q14" s="166">
        <v>0</v>
      </c>
      <c r="R14" s="166">
        <v>90811721.889999777</v>
      </c>
      <c r="S14" s="200">
        <v>71964563.399999976</v>
      </c>
      <c r="T14" s="201">
        <v>121867232.1300009</v>
      </c>
      <c r="U14" s="166">
        <v>0</v>
      </c>
      <c r="V14" s="166">
        <v>0</v>
      </c>
      <c r="W14" s="166"/>
      <c r="X14" s="212"/>
      <c r="Y14" s="216">
        <v>70488320.631299987</v>
      </c>
      <c r="Z14" s="172"/>
      <c r="AA14" s="209"/>
      <c r="AB14" s="199"/>
      <c r="AC14" s="167"/>
      <c r="AD14" s="167"/>
      <c r="AE14" s="209"/>
    </row>
    <row r="15" spans="1:31" x14ac:dyDescent="0.25">
      <c r="A15" s="173" t="s">
        <v>211</v>
      </c>
      <c r="B15" s="171" t="s">
        <v>263</v>
      </c>
      <c r="C15" s="171" t="s">
        <v>272</v>
      </c>
      <c r="D15" s="171" t="s">
        <v>273</v>
      </c>
      <c r="E15" s="190" t="s">
        <v>207</v>
      </c>
      <c r="F15" s="195"/>
      <c r="G15" s="50"/>
      <c r="H15" s="174"/>
      <c r="I15" s="197"/>
      <c r="J15" s="198"/>
      <c r="K15" s="201"/>
      <c r="L15" s="166"/>
      <c r="M15" s="200"/>
      <c r="N15" s="201"/>
      <c r="O15" s="166"/>
      <c r="P15" s="166"/>
      <c r="Q15" s="166"/>
      <c r="R15" s="166"/>
      <c r="S15" s="200"/>
      <c r="T15" s="201"/>
      <c r="U15" s="166"/>
      <c r="V15" s="166"/>
      <c r="W15" s="166"/>
      <c r="X15" s="212"/>
      <c r="Y15" s="216"/>
      <c r="Z15" s="172"/>
      <c r="AA15" s="209"/>
      <c r="AB15" s="199"/>
      <c r="AC15" s="167"/>
      <c r="AD15" s="167"/>
      <c r="AE15" s="209">
        <v>120850016.12999998</v>
      </c>
    </row>
    <row r="16" spans="1:31" x14ac:dyDescent="0.25">
      <c r="A16" s="173" t="s">
        <v>214</v>
      </c>
      <c r="B16" s="171" t="s">
        <v>263</v>
      </c>
      <c r="C16" s="171" t="s">
        <v>268</v>
      </c>
      <c r="D16" s="171" t="s">
        <v>269</v>
      </c>
      <c r="E16" s="190" t="s">
        <v>207</v>
      </c>
      <c r="F16" s="195">
        <v>1</v>
      </c>
      <c r="G16" s="50">
        <v>2</v>
      </c>
      <c r="H16" s="174" t="s">
        <v>178</v>
      </c>
      <c r="I16" s="197"/>
      <c r="J16" s="198"/>
      <c r="K16" s="201">
        <v>201600905.64000005</v>
      </c>
      <c r="L16" s="166">
        <v>0</v>
      </c>
      <c r="M16" s="200">
        <v>0</v>
      </c>
      <c r="N16" s="201">
        <v>46083759.960000001</v>
      </c>
      <c r="O16" s="166">
        <v>38379886.579999991</v>
      </c>
      <c r="P16" s="166">
        <v>0</v>
      </c>
      <c r="Q16" s="166">
        <v>0</v>
      </c>
      <c r="R16" s="166">
        <v>0</v>
      </c>
      <c r="S16" s="200">
        <v>0</v>
      </c>
      <c r="T16" s="201">
        <v>85954643.570000529</v>
      </c>
      <c r="U16" s="166">
        <v>181235.87999999998</v>
      </c>
      <c r="V16" s="166">
        <v>225289588.10000005</v>
      </c>
      <c r="W16" s="166"/>
      <c r="X16" s="212"/>
      <c r="Y16" s="216">
        <v>296054124.14759994</v>
      </c>
      <c r="Z16" s="172"/>
      <c r="AA16" s="209"/>
      <c r="AB16" s="199"/>
      <c r="AC16" s="167"/>
      <c r="AD16" s="167"/>
      <c r="AE16" s="209"/>
    </row>
    <row r="17" spans="1:31" x14ac:dyDescent="0.25">
      <c r="A17" s="173" t="s">
        <v>214</v>
      </c>
      <c r="B17" s="171" t="s">
        <v>263</v>
      </c>
      <c r="C17" s="171" t="s">
        <v>268</v>
      </c>
      <c r="D17" s="171" t="s">
        <v>270</v>
      </c>
      <c r="E17" s="190" t="s">
        <v>207</v>
      </c>
      <c r="F17" s="195"/>
      <c r="G17" s="50"/>
      <c r="H17" s="174"/>
      <c r="I17" s="197"/>
      <c r="J17" s="198"/>
      <c r="K17" s="201">
        <v>18330426.220000003</v>
      </c>
      <c r="L17" s="166">
        <v>84517520.339999959</v>
      </c>
      <c r="M17" s="200">
        <v>2012632.3499999996</v>
      </c>
      <c r="N17" s="201">
        <v>1722313.4900000002</v>
      </c>
      <c r="O17" s="166">
        <v>6509035.8099999996</v>
      </c>
      <c r="P17" s="166">
        <v>59991572.299999975</v>
      </c>
      <c r="Q17" s="166">
        <v>0</v>
      </c>
      <c r="R17" s="166">
        <v>14138194.830000006</v>
      </c>
      <c r="S17" s="200">
        <v>81479475.429999992</v>
      </c>
      <c r="T17" s="201"/>
      <c r="U17" s="166"/>
      <c r="V17" s="166"/>
      <c r="W17" s="166"/>
      <c r="X17" s="212">
        <v>18110606.940000001</v>
      </c>
      <c r="Y17" s="216"/>
      <c r="Z17" s="172"/>
      <c r="AA17" s="209"/>
      <c r="AB17" s="199"/>
      <c r="AC17" s="167"/>
      <c r="AD17" s="167"/>
      <c r="AE17" s="209"/>
    </row>
    <row r="18" spans="1:31" x14ac:dyDescent="0.25">
      <c r="A18" s="173" t="s">
        <v>214</v>
      </c>
      <c r="B18" s="171" t="s">
        <v>263</v>
      </c>
      <c r="C18" s="171" t="s">
        <v>268</v>
      </c>
      <c r="D18" s="171" t="s">
        <v>271</v>
      </c>
      <c r="E18" s="190" t="s">
        <v>207</v>
      </c>
      <c r="F18" s="195"/>
      <c r="G18" s="50"/>
      <c r="H18" s="174" t="s">
        <v>178</v>
      </c>
      <c r="I18" s="197"/>
      <c r="J18" s="198"/>
      <c r="K18" s="201">
        <v>410949372.68999988</v>
      </c>
      <c r="L18" s="166">
        <v>30499511.729999967</v>
      </c>
      <c r="M18" s="200">
        <v>0</v>
      </c>
      <c r="N18" s="201">
        <v>65985340.409999982</v>
      </c>
      <c r="O18" s="166">
        <v>59783238.489999987</v>
      </c>
      <c r="P18" s="166">
        <v>77904673.86999999</v>
      </c>
      <c r="Q18" s="166">
        <v>0</v>
      </c>
      <c r="R18" s="166">
        <v>77614202.700000063</v>
      </c>
      <c r="S18" s="200">
        <v>47069834.50999999</v>
      </c>
      <c r="T18" s="201">
        <v>218700896.99999976</v>
      </c>
      <c r="U18" s="166">
        <v>16672009.290000001</v>
      </c>
      <c r="V18" s="166">
        <v>40472585.130000003</v>
      </c>
      <c r="W18" s="166"/>
      <c r="X18" s="212"/>
      <c r="Y18" s="216">
        <v>176294026.74129999</v>
      </c>
      <c r="Z18" s="172"/>
      <c r="AA18" s="209"/>
      <c r="AB18" s="199"/>
      <c r="AC18" s="167"/>
      <c r="AD18" s="167"/>
      <c r="AE18" s="209"/>
    </row>
    <row r="19" spans="1:31" x14ac:dyDescent="0.25">
      <c r="A19" s="173" t="s">
        <v>214</v>
      </c>
      <c r="B19" s="171" t="s">
        <v>263</v>
      </c>
      <c r="C19" s="171" t="s">
        <v>278</v>
      </c>
      <c r="D19" s="171" t="s">
        <v>279</v>
      </c>
      <c r="E19" s="190" t="s">
        <v>207</v>
      </c>
      <c r="F19" s="195"/>
      <c r="G19" s="50"/>
      <c r="H19" s="174"/>
      <c r="I19" s="197"/>
      <c r="J19" s="198"/>
      <c r="K19" s="201">
        <v>0</v>
      </c>
      <c r="L19" s="166">
        <v>0</v>
      </c>
      <c r="M19" s="200">
        <v>0</v>
      </c>
      <c r="N19" s="201">
        <v>0</v>
      </c>
      <c r="O19" s="166">
        <v>0</v>
      </c>
      <c r="P19" s="166">
        <v>0</v>
      </c>
      <c r="Q19" s="166">
        <v>0</v>
      </c>
      <c r="R19" s="166">
        <v>0</v>
      </c>
      <c r="S19" s="200">
        <v>99500.459999999992</v>
      </c>
      <c r="T19" s="201"/>
      <c r="U19" s="166"/>
      <c r="V19" s="166"/>
      <c r="W19" s="166"/>
      <c r="X19" s="212"/>
      <c r="Y19" s="216"/>
      <c r="Z19" s="172"/>
      <c r="AA19" s="209"/>
      <c r="AB19" s="199"/>
      <c r="AC19" s="167"/>
      <c r="AD19" s="167"/>
      <c r="AE19" s="209"/>
    </row>
    <row r="20" spans="1:31" x14ac:dyDescent="0.25">
      <c r="A20" s="173" t="s">
        <v>214</v>
      </c>
      <c r="B20" s="171" t="s">
        <v>263</v>
      </c>
      <c r="C20" s="171" t="s">
        <v>272</v>
      </c>
      <c r="D20" s="171" t="s">
        <v>273</v>
      </c>
      <c r="E20" s="190" t="s">
        <v>207</v>
      </c>
      <c r="F20" s="195"/>
      <c r="G20" s="50"/>
      <c r="H20" s="174"/>
      <c r="I20" s="197"/>
      <c r="J20" s="198"/>
      <c r="K20" s="201"/>
      <c r="L20" s="166"/>
      <c r="M20" s="200"/>
      <c r="N20" s="201"/>
      <c r="O20" s="166"/>
      <c r="P20" s="166"/>
      <c r="Q20" s="166"/>
      <c r="R20" s="166"/>
      <c r="S20" s="200"/>
      <c r="T20" s="201"/>
      <c r="U20" s="166"/>
      <c r="V20" s="166"/>
      <c r="W20" s="166"/>
      <c r="X20" s="212"/>
      <c r="Y20" s="216"/>
      <c r="Z20" s="172"/>
      <c r="AA20" s="209"/>
      <c r="AB20" s="199"/>
      <c r="AC20" s="167"/>
      <c r="AD20" s="167"/>
      <c r="AE20" s="209">
        <v>535714473.38999999</v>
      </c>
    </row>
    <row r="21" spans="1:31" x14ac:dyDescent="0.25">
      <c r="A21" s="173" t="s">
        <v>216</v>
      </c>
      <c r="B21" s="171" t="s">
        <v>263</v>
      </c>
      <c r="C21" s="171" t="s">
        <v>278</v>
      </c>
      <c r="D21" s="171" t="s">
        <v>280</v>
      </c>
      <c r="E21" s="190" t="s">
        <v>199</v>
      </c>
      <c r="F21" s="195"/>
      <c r="G21" s="50"/>
      <c r="H21" s="174"/>
      <c r="I21" s="197"/>
      <c r="J21" s="198"/>
      <c r="K21" s="201">
        <v>342333.52</v>
      </c>
      <c r="L21" s="166"/>
      <c r="M21" s="200">
        <v>0</v>
      </c>
      <c r="N21" s="201">
        <v>73470389.230000004</v>
      </c>
      <c r="O21" s="166">
        <v>23682417.420000006</v>
      </c>
      <c r="P21" s="166">
        <v>45849080.889999993</v>
      </c>
      <c r="Q21" s="166">
        <v>0</v>
      </c>
      <c r="R21" s="166">
        <v>35789984.680000015</v>
      </c>
      <c r="S21" s="200">
        <v>24005867.889999997</v>
      </c>
      <c r="T21" s="201"/>
      <c r="U21" s="166"/>
      <c r="V21" s="166"/>
      <c r="W21" s="166"/>
      <c r="X21" s="212">
        <v>51890853.25</v>
      </c>
      <c r="Y21" s="216"/>
      <c r="Z21" s="172"/>
      <c r="AA21" s="209"/>
      <c r="AB21" s="199"/>
      <c r="AC21" s="167"/>
      <c r="AD21" s="167"/>
      <c r="AE21" s="209"/>
    </row>
    <row r="22" spans="1:31" x14ac:dyDescent="0.25">
      <c r="A22" s="173" t="s">
        <v>281</v>
      </c>
      <c r="B22" s="171" t="s">
        <v>263</v>
      </c>
      <c r="C22" s="171" t="s">
        <v>278</v>
      </c>
      <c r="D22" s="171" t="s">
        <v>279</v>
      </c>
      <c r="E22" s="190" t="s">
        <v>275</v>
      </c>
      <c r="F22" s="195"/>
      <c r="G22" s="50"/>
      <c r="H22" s="174"/>
      <c r="I22" s="197"/>
      <c r="J22" s="198"/>
      <c r="K22" s="201">
        <v>0</v>
      </c>
      <c r="L22" s="166">
        <v>0</v>
      </c>
      <c r="M22" s="200">
        <v>0</v>
      </c>
      <c r="N22" s="201">
        <v>0</v>
      </c>
      <c r="O22" s="166">
        <v>0</v>
      </c>
      <c r="P22" s="166">
        <v>0</v>
      </c>
      <c r="Q22" s="166">
        <v>0</v>
      </c>
      <c r="R22" s="166">
        <v>0</v>
      </c>
      <c r="S22" s="200">
        <v>1138102.06</v>
      </c>
      <c r="T22" s="201"/>
      <c r="U22" s="166"/>
      <c r="V22" s="166"/>
      <c r="W22" s="166"/>
      <c r="X22" s="212"/>
      <c r="Y22" s="216"/>
      <c r="Z22" s="172"/>
      <c r="AA22" s="209"/>
      <c r="AB22" s="199"/>
      <c r="AC22" s="167"/>
      <c r="AD22" s="167"/>
      <c r="AE22" s="209"/>
    </row>
    <row r="23" spans="1:31" x14ac:dyDescent="0.25">
      <c r="A23" s="173" t="s">
        <v>281</v>
      </c>
      <c r="B23" s="171" t="s">
        <v>263</v>
      </c>
      <c r="C23" s="171" t="s">
        <v>278</v>
      </c>
      <c r="D23" s="171" t="s">
        <v>279</v>
      </c>
      <c r="E23" s="190" t="s">
        <v>199</v>
      </c>
      <c r="F23" s="195"/>
      <c r="G23" s="50"/>
      <c r="H23" s="174"/>
      <c r="I23" s="197"/>
      <c r="J23" s="198"/>
      <c r="K23" s="201">
        <v>0</v>
      </c>
      <c r="L23" s="166"/>
      <c r="M23" s="200">
        <v>0</v>
      </c>
      <c r="N23" s="201">
        <v>0</v>
      </c>
      <c r="O23" s="166">
        <v>40231047.999999985</v>
      </c>
      <c r="P23" s="166">
        <v>3072676.09</v>
      </c>
      <c r="Q23" s="166">
        <v>0</v>
      </c>
      <c r="R23" s="166">
        <v>18449632.629999995</v>
      </c>
      <c r="S23" s="200">
        <v>23736731.190000005</v>
      </c>
      <c r="T23" s="201"/>
      <c r="U23" s="166"/>
      <c r="V23" s="166"/>
      <c r="W23" s="166"/>
      <c r="X23" s="212">
        <v>18132123.189999998</v>
      </c>
      <c r="Y23" s="216"/>
      <c r="Z23" s="172"/>
      <c r="AA23" s="209"/>
      <c r="AB23" s="199"/>
      <c r="AC23" s="167"/>
      <c r="AD23" s="167"/>
      <c r="AE23" s="209"/>
    </row>
    <row r="24" spans="1:31" x14ac:dyDescent="0.25">
      <c r="A24" s="173" t="s">
        <v>237</v>
      </c>
      <c r="B24" s="171" t="s">
        <v>263</v>
      </c>
      <c r="C24" s="171" t="s">
        <v>278</v>
      </c>
      <c r="D24" s="171" t="s">
        <v>282</v>
      </c>
      <c r="E24" s="190" t="s">
        <v>275</v>
      </c>
      <c r="F24" s="195">
        <v>1</v>
      </c>
      <c r="G24" s="50">
        <v>2</v>
      </c>
      <c r="H24" s="174" t="s">
        <v>49</v>
      </c>
      <c r="I24" s="197"/>
      <c r="J24" s="198"/>
      <c r="K24" s="201">
        <v>149216623.75999999</v>
      </c>
      <c r="L24" s="166">
        <v>13071480.280000031</v>
      </c>
      <c r="M24" s="200">
        <v>0</v>
      </c>
      <c r="N24" s="201">
        <v>2795778.5500000003</v>
      </c>
      <c r="O24" s="166">
        <v>59249726.330000013</v>
      </c>
      <c r="P24" s="166">
        <v>94408122.529999956</v>
      </c>
      <c r="Q24" s="166">
        <v>0</v>
      </c>
      <c r="R24" s="166">
        <v>56598297.840000018</v>
      </c>
      <c r="S24" s="200">
        <v>43208617.809999973</v>
      </c>
      <c r="T24" s="201">
        <v>42057506.110000044</v>
      </c>
      <c r="U24" s="166">
        <v>0</v>
      </c>
      <c r="V24" s="166">
        <v>0</v>
      </c>
      <c r="W24" s="166"/>
      <c r="X24" s="212"/>
      <c r="Y24" s="216">
        <v>42057506.110000044</v>
      </c>
      <c r="Z24" s="172"/>
      <c r="AA24" s="209"/>
      <c r="AB24" s="199"/>
      <c r="AC24" s="167"/>
      <c r="AD24" s="167"/>
      <c r="AE24" s="209"/>
    </row>
    <row r="25" spans="1:31" x14ac:dyDescent="0.25">
      <c r="A25" s="173" t="s">
        <v>237</v>
      </c>
      <c r="B25" s="171" t="s">
        <v>263</v>
      </c>
      <c r="C25" s="171" t="s">
        <v>278</v>
      </c>
      <c r="D25" s="171" t="s">
        <v>282</v>
      </c>
      <c r="E25" s="190" t="s">
        <v>199</v>
      </c>
      <c r="F25" s="195"/>
      <c r="G25" s="50">
        <v>3</v>
      </c>
      <c r="H25" s="174"/>
      <c r="I25" s="197"/>
      <c r="J25" s="198"/>
      <c r="K25" s="201">
        <v>72507901.849999994</v>
      </c>
      <c r="L25" s="166">
        <v>0</v>
      </c>
      <c r="M25" s="200">
        <v>0</v>
      </c>
      <c r="N25" s="201">
        <v>0</v>
      </c>
      <c r="O25" s="166">
        <v>749396.18</v>
      </c>
      <c r="P25" s="166">
        <v>7064177.2299999995</v>
      </c>
      <c r="Q25" s="166">
        <v>0</v>
      </c>
      <c r="R25" s="166">
        <v>2053558.58</v>
      </c>
      <c r="S25" s="200">
        <v>1919921.5499999998</v>
      </c>
      <c r="T25" s="201"/>
      <c r="U25" s="166"/>
      <c r="V25" s="166"/>
      <c r="W25" s="166"/>
      <c r="X25" s="212"/>
      <c r="Y25" s="216"/>
      <c r="Z25" s="172"/>
      <c r="AA25" s="209"/>
      <c r="AB25" s="199"/>
      <c r="AC25" s="167"/>
      <c r="AD25" s="167"/>
      <c r="AE25" s="209"/>
    </row>
    <row r="26" spans="1:31" x14ac:dyDescent="0.25">
      <c r="A26" s="173" t="s">
        <v>237</v>
      </c>
      <c r="B26" s="171" t="s">
        <v>263</v>
      </c>
      <c r="C26" s="171" t="s">
        <v>278</v>
      </c>
      <c r="D26" s="171" t="s">
        <v>283</v>
      </c>
      <c r="E26" s="190" t="s">
        <v>275</v>
      </c>
      <c r="F26" s="195"/>
      <c r="G26" s="50"/>
      <c r="H26" s="174"/>
      <c r="I26" s="197"/>
      <c r="J26" s="198"/>
      <c r="K26" s="201">
        <v>58216616.269999996</v>
      </c>
      <c r="L26" s="166">
        <v>49959813.270000011</v>
      </c>
      <c r="M26" s="200">
        <v>0</v>
      </c>
      <c r="N26" s="201">
        <v>965889.3600000001</v>
      </c>
      <c r="O26" s="166">
        <v>17052737.93</v>
      </c>
      <c r="P26" s="166">
        <v>48293301.269999996</v>
      </c>
      <c r="Q26" s="166">
        <v>0</v>
      </c>
      <c r="R26" s="166">
        <v>67306151.669999957</v>
      </c>
      <c r="S26" s="200">
        <v>20665077.75</v>
      </c>
      <c r="T26" s="201"/>
      <c r="U26" s="166"/>
      <c r="V26" s="166"/>
      <c r="W26" s="166"/>
      <c r="X26" s="212">
        <v>112886230.99000001</v>
      </c>
      <c r="Y26" s="216"/>
      <c r="Z26" s="172"/>
      <c r="AA26" s="209"/>
      <c r="AB26" s="199"/>
      <c r="AC26" s="167"/>
      <c r="AD26" s="167"/>
      <c r="AE26" s="209"/>
    </row>
    <row r="27" spans="1:31" x14ac:dyDescent="0.25">
      <c r="A27" s="173" t="s">
        <v>237</v>
      </c>
      <c r="B27" s="171" t="s">
        <v>263</v>
      </c>
      <c r="C27" s="171" t="s">
        <v>278</v>
      </c>
      <c r="D27" s="171" t="s">
        <v>283</v>
      </c>
      <c r="E27" s="190" t="s">
        <v>199</v>
      </c>
      <c r="F27" s="195"/>
      <c r="G27" s="50"/>
      <c r="H27" s="174" t="s">
        <v>49</v>
      </c>
      <c r="I27" s="197"/>
      <c r="J27" s="198"/>
      <c r="K27" s="201">
        <v>136311684.74000001</v>
      </c>
      <c r="L27" s="166">
        <v>0</v>
      </c>
      <c r="M27" s="200">
        <v>0</v>
      </c>
      <c r="N27" s="201">
        <v>0</v>
      </c>
      <c r="O27" s="166">
        <v>57374877.609999985</v>
      </c>
      <c r="P27" s="166">
        <v>44737891.649999969</v>
      </c>
      <c r="Q27" s="166">
        <v>0</v>
      </c>
      <c r="R27" s="166">
        <v>57161985.790000059</v>
      </c>
      <c r="S27" s="200">
        <v>2054843.9699999997</v>
      </c>
      <c r="T27" s="201">
        <v>85979673.750000238</v>
      </c>
      <c r="U27" s="166">
        <v>0</v>
      </c>
      <c r="V27" s="166">
        <v>0</v>
      </c>
      <c r="W27" s="166"/>
      <c r="X27" s="212"/>
      <c r="Y27" s="216">
        <v>52620015.693699993</v>
      </c>
      <c r="Z27" s="172"/>
      <c r="AA27" s="209"/>
      <c r="AB27" s="199"/>
      <c r="AC27" s="167"/>
      <c r="AD27" s="167"/>
      <c r="AE27" s="209"/>
    </row>
    <row r="28" spans="1:31" x14ac:dyDescent="0.25">
      <c r="A28" s="173" t="s">
        <v>237</v>
      </c>
      <c r="B28" s="171" t="s">
        <v>263</v>
      </c>
      <c r="C28" s="171" t="s">
        <v>278</v>
      </c>
      <c r="D28" s="171" t="s">
        <v>279</v>
      </c>
      <c r="E28" s="190" t="s">
        <v>275</v>
      </c>
      <c r="F28" s="195"/>
      <c r="G28" s="50"/>
      <c r="H28" s="174" t="s">
        <v>49</v>
      </c>
      <c r="I28" s="197"/>
      <c r="J28" s="198"/>
      <c r="K28" s="201">
        <v>99151156.859999999</v>
      </c>
      <c r="L28" s="166">
        <v>24996352.839999974</v>
      </c>
      <c r="M28" s="200">
        <v>0</v>
      </c>
      <c r="N28" s="201">
        <v>1186505.8400000001</v>
      </c>
      <c r="O28" s="166">
        <v>71901010.850000009</v>
      </c>
      <c r="P28" s="166">
        <v>98936087.75999999</v>
      </c>
      <c r="Q28" s="166">
        <v>0</v>
      </c>
      <c r="R28" s="166">
        <v>184969053.07000011</v>
      </c>
      <c r="S28" s="200">
        <v>50249947.269999996</v>
      </c>
      <c r="T28" s="201">
        <v>73076719.090000346</v>
      </c>
      <c r="U28" s="166">
        <v>0</v>
      </c>
      <c r="V28" s="166">
        <v>0</v>
      </c>
      <c r="W28" s="166"/>
      <c r="X28" s="212">
        <v>70473505.910000011</v>
      </c>
      <c r="Y28" s="216">
        <v>44026513.027900003</v>
      </c>
      <c r="Z28" s="172"/>
      <c r="AA28" s="209"/>
      <c r="AB28" s="199"/>
      <c r="AC28" s="167"/>
      <c r="AD28" s="167"/>
      <c r="AE28" s="209"/>
    </row>
    <row r="29" spans="1:31" x14ac:dyDescent="0.25">
      <c r="A29" s="173" t="s">
        <v>237</v>
      </c>
      <c r="B29" s="171" t="s">
        <v>263</v>
      </c>
      <c r="C29" s="171" t="s">
        <v>278</v>
      </c>
      <c r="D29" s="171" t="s">
        <v>279</v>
      </c>
      <c r="E29" s="190" t="s">
        <v>199</v>
      </c>
      <c r="F29" s="195"/>
      <c r="G29" s="50"/>
      <c r="H29" s="174"/>
      <c r="I29" s="197"/>
      <c r="J29" s="198"/>
      <c r="K29" s="201">
        <v>144232227.30999997</v>
      </c>
      <c r="L29" s="166">
        <v>0</v>
      </c>
      <c r="M29" s="200">
        <v>0</v>
      </c>
      <c r="N29" s="201">
        <v>0</v>
      </c>
      <c r="O29" s="166">
        <v>0</v>
      </c>
      <c r="P29" s="166">
        <v>0</v>
      </c>
      <c r="Q29" s="166">
        <v>0</v>
      </c>
      <c r="R29" s="166">
        <v>0</v>
      </c>
      <c r="S29" s="200">
        <v>5910.24</v>
      </c>
      <c r="T29" s="201"/>
      <c r="U29" s="166"/>
      <c r="V29" s="166"/>
      <c r="W29" s="166"/>
      <c r="X29" s="212"/>
      <c r="Y29" s="216"/>
      <c r="Z29" s="172"/>
      <c r="AA29" s="209"/>
      <c r="AB29" s="199"/>
      <c r="AC29" s="167"/>
      <c r="AD29" s="167"/>
      <c r="AE29" s="209"/>
    </row>
    <row r="30" spans="1:31" x14ac:dyDescent="0.25">
      <c r="A30" s="173" t="s">
        <v>237</v>
      </c>
      <c r="B30" s="171" t="s">
        <v>263</v>
      </c>
      <c r="C30" s="171" t="s">
        <v>272</v>
      </c>
      <c r="D30" s="171" t="s">
        <v>273</v>
      </c>
      <c r="E30" s="190" t="s">
        <v>275</v>
      </c>
      <c r="F30" s="195"/>
      <c r="G30" s="50"/>
      <c r="H30" s="174"/>
      <c r="I30" s="197"/>
      <c r="J30" s="198"/>
      <c r="K30" s="201"/>
      <c r="L30" s="166"/>
      <c r="M30" s="200"/>
      <c r="N30" s="201"/>
      <c r="O30" s="166"/>
      <c r="P30" s="166"/>
      <c r="Q30" s="166"/>
      <c r="R30" s="166"/>
      <c r="S30" s="200"/>
      <c r="T30" s="201"/>
      <c r="U30" s="166"/>
      <c r="V30" s="166"/>
      <c r="W30" s="166"/>
      <c r="X30" s="212"/>
      <c r="Y30" s="216"/>
      <c r="Z30" s="172"/>
      <c r="AA30" s="209"/>
      <c r="AB30" s="199"/>
      <c r="AC30" s="167"/>
      <c r="AD30" s="167"/>
      <c r="AE30" s="209">
        <v>306584396.88999999</v>
      </c>
    </row>
    <row r="31" spans="1:31" x14ac:dyDescent="0.25">
      <c r="A31" s="173" t="s">
        <v>237</v>
      </c>
      <c r="B31" s="171" t="s">
        <v>263</v>
      </c>
      <c r="C31" s="171" t="s">
        <v>272</v>
      </c>
      <c r="D31" s="171" t="s">
        <v>273</v>
      </c>
      <c r="E31" s="190" t="s">
        <v>199</v>
      </c>
      <c r="F31" s="195"/>
      <c r="G31" s="50"/>
      <c r="H31" s="174"/>
      <c r="I31" s="197"/>
      <c r="J31" s="198"/>
      <c r="K31" s="201"/>
      <c r="L31" s="166"/>
      <c r="M31" s="200"/>
      <c r="N31" s="201"/>
      <c r="O31" s="166"/>
      <c r="P31" s="166"/>
      <c r="Q31" s="166"/>
      <c r="R31" s="166"/>
      <c r="S31" s="200"/>
      <c r="T31" s="201"/>
      <c r="U31" s="166"/>
      <c r="V31" s="166"/>
      <c r="W31" s="166"/>
      <c r="X31" s="212"/>
      <c r="Y31" s="216"/>
      <c r="Z31" s="172"/>
      <c r="AA31" s="209"/>
      <c r="AB31" s="199"/>
      <c r="AC31" s="167"/>
      <c r="AD31" s="167"/>
      <c r="AE31" s="209">
        <v>133764346.09999998</v>
      </c>
    </row>
    <row r="32" spans="1:31" x14ac:dyDescent="0.25">
      <c r="A32" s="173" t="s">
        <v>284</v>
      </c>
      <c r="B32" s="171" t="s">
        <v>263</v>
      </c>
      <c r="C32" s="171" t="s">
        <v>264</v>
      </c>
      <c r="D32" s="171" t="s">
        <v>285</v>
      </c>
      <c r="E32" s="190" t="s">
        <v>267</v>
      </c>
      <c r="F32" s="195">
        <v>1</v>
      </c>
      <c r="G32" s="50"/>
      <c r="H32" s="174" t="s">
        <v>49</v>
      </c>
      <c r="I32" s="197"/>
      <c r="J32" s="198"/>
      <c r="K32" s="201">
        <v>0</v>
      </c>
      <c r="L32" s="166"/>
      <c r="M32" s="200">
        <v>0</v>
      </c>
      <c r="N32" s="201">
        <v>99588543.879999995</v>
      </c>
      <c r="O32" s="166">
        <v>72114522.719999999</v>
      </c>
      <c r="P32" s="166">
        <v>19156297.930000003</v>
      </c>
      <c r="Q32" s="166">
        <v>0</v>
      </c>
      <c r="R32" s="166">
        <v>164713301.48999986</v>
      </c>
      <c r="S32" s="200">
        <v>48375447.610000014</v>
      </c>
      <c r="T32" s="201">
        <v>10295973.709999979</v>
      </c>
      <c r="U32" s="166">
        <v>0</v>
      </c>
      <c r="V32" s="166">
        <v>0</v>
      </c>
      <c r="W32" s="166"/>
      <c r="X32" s="212">
        <v>41179517.719999999</v>
      </c>
      <c r="Y32" s="216">
        <v>650000</v>
      </c>
      <c r="Z32" s="172"/>
      <c r="AA32" s="209"/>
      <c r="AB32" s="199"/>
      <c r="AC32" s="167"/>
      <c r="AD32" s="167"/>
      <c r="AE32" s="209"/>
    </row>
    <row r="33" spans="1:31" x14ac:dyDescent="0.25">
      <c r="A33" s="173" t="s">
        <v>284</v>
      </c>
      <c r="B33" s="171" t="s">
        <v>263</v>
      </c>
      <c r="C33" s="171" t="s">
        <v>264</v>
      </c>
      <c r="D33" s="171" t="s">
        <v>285</v>
      </c>
      <c r="E33" s="190" t="s">
        <v>275</v>
      </c>
      <c r="F33" s="195"/>
      <c r="G33" s="50"/>
      <c r="H33" s="174"/>
      <c r="I33" s="197"/>
      <c r="J33" s="198"/>
      <c r="K33" s="201">
        <v>0</v>
      </c>
      <c r="L33" s="166">
        <v>0</v>
      </c>
      <c r="M33" s="200">
        <v>0</v>
      </c>
      <c r="N33" s="201">
        <v>0</v>
      </c>
      <c r="O33" s="166">
        <v>3872937.0599999996</v>
      </c>
      <c r="P33" s="166">
        <v>0</v>
      </c>
      <c r="Q33" s="166">
        <v>0</v>
      </c>
      <c r="R33" s="166">
        <v>0</v>
      </c>
      <c r="S33" s="200">
        <v>195235.68</v>
      </c>
      <c r="T33" s="201"/>
      <c r="U33" s="166"/>
      <c r="V33" s="166"/>
      <c r="W33" s="166"/>
      <c r="X33" s="212"/>
      <c r="Y33" s="216"/>
      <c r="Z33" s="172"/>
      <c r="AA33" s="209"/>
      <c r="AB33" s="199"/>
      <c r="AC33" s="167"/>
      <c r="AD33" s="167"/>
      <c r="AE33" s="209"/>
    </row>
    <row r="34" spans="1:31" x14ac:dyDescent="0.25">
      <c r="A34" s="173" t="s">
        <v>284</v>
      </c>
      <c r="B34" s="171" t="s">
        <v>263</v>
      </c>
      <c r="C34" s="171" t="s">
        <v>264</v>
      </c>
      <c r="D34" s="171" t="s">
        <v>285</v>
      </c>
      <c r="E34" s="190" t="s">
        <v>199</v>
      </c>
      <c r="F34" s="195"/>
      <c r="G34" s="50"/>
      <c r="H34" s="174"/>
      <c r="I34" s="197"/>
      <c r="J34" s="198"/>
      <c r="K34" s="201">
        <v>0</v>
      </c>
      <c r="L34" s="166">
        <v>0</v>
      </c>
      <c r="M34" s="200">
        <v>0</v>
      </c>
      <c r="N34" s="201">
        <v>0</v>
      </c>
      <c r="O34" s="166">
        <v>0</v>
      </c>
      <c r="P34" s="166">
        <v>0</v>
      </c>
      <c r="Q34" s="166">
        <v>0</v>
      </c>
      <c r="R34" s="166">
        <v>62121.559999999983</v>
      </c>
      <c r="S34" s="200">
        <v>30551.230000000003</v>
      </c>
      <c r="T34" s="201"/>
      <c r="U34" s="166"/>
      <c r="V34" s="166"/>
      <c r="W34" s="166"/>
      <c r="X34" s="213"/>
      <c r="Y34" s="216"/>
      <c r="Z34" s="172"/>
      <c r="AA34" s="209"/>
      <c r="AB34" s="199"/>
      <c r="AC34" s="167"/>
      <c r="AD34" s="167"/>
      <c r="AE34" s="209"/>
    </row>
    <row r="35" spans="1:31" x14ac:dyDescent="0.25">
      <c r="A35" s="173" t="s">
        <v>244</v>
      </c>
      <c r="B35" s="171" t="s">
        <v>263</v>
      </c>
      <c r="C35" s="171" t="s">
        <v>278</v>
      </c>
      <c r="D35" s="171" t="s">
        <v>280</v>
      </c>
      <c r="E35" s="190" t="s">
        <v>275</v>
      </c>
      <c r="F35" s="195"/>
      <c r="G35" s="50"/>
      <c r="H35" s="174"/>
      <c r="I35" s="197"/>
      <c r="J35" s="198"/>
      <c r="K35" s="201">
        <v>0</v>
      </c>
      <c r="L35" s="166">
        <v>0</v>
      </c>
      <c r="M35" s="200">
        <v>0</v>
      </c>
      <c r="N35" s="201">
        <v>0</v>
      </c>
      <c r="O35" s="166">
        <v>0</v>
      </c>
      <c r="P35" s="166">
        <v>0</v>
      </c>
      <c r="Q35" s="166">
        <v>0</v>
      </c>
      <c r="R35" s="166">
        <v>1571412.16</v>
      </c>
      <c r="S35" s="200">
        <v>0</v>
      </c>
      <c r="T35" s="201"/>
      <c r="U35" s="166"/>
      <c r="V35" s="166"/>
      <c r="W35" s="166"/>
      <c r="X35" s="213"/>
      <c r="Y35" s="216"/>
      <c r="Z35" s="172"/>
      <c r="AA35" s="209"/>
      <c r="AB35" s="199"/>
      <c r="AC35" s="167"/>
      <c r="AD35" s="167"/>
      <c r="AE35" s="209"/>
    </row>
    <row r="36" spans="1:31" x14ac:dyDescent="0.25">
      <c r="A36" s="173" t="s">
        <v>244</v>
      </c>
      <c r="B36" s="171" t="s">
        <v>263</v>
      </c>
      <c r="C36" s="171" t="s">
        <v>278</v>
      </c>
      <c r="D36" s="171" t="s">
        <v>280</v>
      </c>
      <c r="E36" s="190" t="s">
        <v>199</v>
      </c>
      <c r="F36" s="195"/>
      <c r="G36" s="50"/>
      <c r="H36" s="174"/>
      <c r="I36" s="197"/>
      <c r="J36" s="198"/>
      <c r="K36" s="201">
        <v>30486272.169999998</v>
      </c>
      <c r="L36" s="166">
        <v>57027462.479999989</v>
      </c>
      <c r="M36" s="200">
        <v>0</v>
      </c>
      <c r="N36" s="201">
        <v>0</v>
      </c>
      <c r="O36" s="166">
        <v>123283268.79999994</v>
      </c>
      <c r="P36" s="166">
        <v>83777538.189999968</v>
      </c>
      <c r="Q36" s="166">
        <v>118383.87</v>
      </c>
      <c r="R36" s="166">
        <v>84829063.319999918</v>
      </c>
      <c r="S36" s="200">
        <v>30758143.690000005</v>
      </c>
      <c r="T36" s="201"/>
      <c r="U36" s="166"/>
      <c r="V36" s="166"/>
      <c r="W36" s="166"/>
      <c r="X36" s="212">
        <v>107271744.92999998</v>
      </c>
      <c r="Y36" s="216"/>
      <c r="Z36" s="172"/>
      <c r="AA36" s="209"/>
      <c r="AB36" s="199"/>
      <c r="AC36" s="167"/>
      <c r="AD36" s="167"/>
      <c r="AE36" s="209"/>
    </row>
    <row r="37" spans="1:31" x14ac:dyDescent="0.25">
      <c r="A37" s="173" t="s">
        <v>286</v>
      </c>
      <c r="B37" s="171" t="s">
        <v>263</v>
      </c>
      <c r="C37" s="171" t="s">
        <v>264</v>
      </c>
      <c r="D37" s="171" t="s">
        <v>265</v>
      </c>
      <c r="E37" s="190" t="s">
        <v>275</v>
      </c>
      <c r="F37" s="195"/>
      <c r="G37" s="50"/>
      <c r="H37" s="174"/>
      <c r="I37" s="197"/>
      <c r="J37" s="198"/>
      <c r="K37" s="201">
        <v>39536460.18</v>
      </c>
      <c r="L37" s="166">
        <v>33436797.529999971</v>
      </c>
      <c r="M37" s="200">
        <v>0</v>
      </c>
      <c r="N37" s="201">
        <v>1069912.8400000001</v>
      </c>
      <c r="O37" s="166">
        <v>51088520.130000032</v>
      </c>
      <c r="P37" s="166">
        <v>35263831.909999996</v>
      </c>
      <c r="Q37" s="166">
        <v>0</v>
      </c>
      <c r="R37" s="166">
        <v>62817789.979999982</v>
      </c>
      <c r="S37" s="200">
        <v>49996224.220000014</v>
      </c>
      <c r="T37" s="201"/>
      <c r="U37" s="166"/>
      <c r="V37" s="166"/>
      <c r="W37" s="166"/>
      <c r="X37" s="212">
        <v>151412020.53999996</v>
      </c>
      <c r="Y37" s="216"/>
      <c r="Z37" s="172"/>
      <c r="AA37" s="209"/>
      <c r="AB37" s="199"/>
      <c r="AC37" s="167"/>
      <c r="AD37" s="167"/>
      <c r="AE37" s="209"/>
    </row>
    <row r="38" spans="1:31" x14ac:dyDescent="0.25">
      <c r="A38" s="173" t="s">
        <v>286</v>
      </c>
      <c r="B38" s="171" t="s">
        <v>263</v>
      </c>
      <c r="C38" s="171" t="s">
        <v>264</v>
      </c>
      <c r="D38" s="171" t="s">
        <v>265</v>
      </c>
      <c r="E38" s="190" t="s">
        <v>199</v>
      </c>
      <c r="F38" s="195">
        <v>1</v>
      </c>
      <c r="G38" s="50"/>
      <c r="H38" s="174" t="s">
        <v>49</v>
      </c>
      <c r="I38" s="197"/>
      <c r="J38" s="198"/>
      <c r="K38" s="201">
        <v>272667604.43000001</v>
      </c>
      <c r="L38" s="166">
        <v>0</v>
      </c>
      <c r="M38" s="200">
        <v>0</v>
      </c>
      <c r="N38" s="201">
        <v>0</v>
      </c>
      <c r="O38" s="166">
        <v>1375191.4700000002</v>
      </c>
      <c r="P38" s="166">
        <v>0</v>
      </c>
      <c r="Q38" s="166">
        <v>0</v>
      </c>
      <c r="R38" s="166">
        <v>25918781.099999994</v>
      </c>
      <c r="S38" s="200">
        <v>44428275.969999991</v>
      </c>
      <c r="T38" s="201">
        <v>129002635.05000092</v>
      </c>
      <c r="U38" s="166">
        <v>0</v>
      </c>
      <c r="V38" s="166">
        <v>0</v>
      </c>
      <c r="W38" s="166"/>
      <c r="X38" s="212"/>
      <c r="Y38" s="216">
        <v>19381660.741299998</v>
      </c>
      <c r="Z38" s="172"/>
      <c r="AA38" s="209"/>
      <c r="AB38" s="199"/>
      <c r="AC38" s="167"/>
      <c r="AD38" s="167"/>
      <c r="AE38" s="209"/>
    </row>
    <row r="39" spans="1:31" x14ac:dyDescent="0.25">
      <c r="A39" s="173" t="s">
        <v>286</v>
      </c>
      <c r="B39" s="171" t="s">
        <v>263</v>
      </c>
      <c r="C39" s="171" t="s">
        <v>264</v>
      </c>
      <c r="D39" s="171" t="s">
        <v>276</v>
      </c>
      <c r="E39" s="190" t="s">
        <v>275</v>
      </c>
      <c r="F39" s="195"/>
      <c r="G39" s="50"/>
      <c r="H39" s="174"/>
      <c r="I39" s="197"/>
      <c r="J39" s="198"/>
      <c r="K39" s="201">
        <v>0</v>
      </c>
      <c r="L39" s="166">
        <v>0</v>
      </c>
      <c r="M39" s="200">
        <v>0</v>
      </c>
      <c r="N39" s="201">
        <v>0</v>
      </c>
      <c r="O39" s="166">
        <v>3719.8</v>
      </c>
      <c r="P39" s="166">
        <v>0</v>
      </c>
      <c r="Q39" s="166">
        <v>0</v>
      </c>
      <c r="R39" s="166">
        <v>21303.040000000001</v>
      </c>
      <c r="S39" s="200">
        <v>0</v>
      </c>
      <c r="T39" s="201"/>
      <c r="U39" s="166"/>
      <c r="V39" s="166"/>
      <c r="W39" s="166"/>
      <c r="X39" s="213"/>
      <c r="Y39" s="216"/>
      <c r="Z39" s="172"/>
      <c r="AA39" s="209"/>
      <c r="AB39" s="199"/>
      <c r="AC39" s="167"/>
      <c r="AD39" s="167"/>
      <c r="AE39" s="209"/>
    </row>
    <row r="40" spans="1:31" x14ac:dyDescent="0.25">
      <c r="A40" s="173" t="s">
        <v>286</v>
      </c>
      <c r="B40" s="171" t="s">
        <v>263</v>
      </c>
      <c r="C40" s="171" t="s">
        <v>264</v>
      </c>
      <c r="D40" s="171" t="s">
        <v>276</v>
      </c>
      <c r="E40" s="190" t="s">
        <v>199</v>
      </c>
      <c r="F40" s="195"/>
      <c r="G40" s="50"/>
      <c r="H40" s="174" t="s">
        <v>49</v>
      </c>
      <c r="I40" s="197"/>
      <c r="J40" s="198"/>
      <c r="K40" s="201">
        <v>124103105.69999999</v>
      </c>
      <c r="L40" s="166">
        <v>56020149.88000001</v>
      </c>
      <c r="M40" s="200">
        <v>0</v>
      </c>
      <c r="N40" s="201">
        <v>0</v>
      </c>
      <c r="O40" s="166">
        <v>28015153.530000009</v>
      </c>
      <c r="P40" s="166">
        <v>20986038.289999999</v>
      </c>
      <c r="Q40" s="166">
        <v>0</v>
      </c>
      <c r="R40" s="166">
        <v>38685574.419999912</v>
      </c>
      <c r="S40" s="200">
        <v>17478255.559999999</v>
      </c>
      <c r="T40" s="201">
        <v>149308281.99999991</v>
      </c>
      <c r="U40" s="166">
        <v>0</v>
      </c>
      <c r="V40" s="166">
        <v>0</v>
      </c>
      <c r="W40" s="166"/>
      <c r="X40" s="213">
        <v>17840405.869999994</v>
      </c>
      <c r="Y40" s="216">
        <v>107753024.60259996</v>
      </c>
      <c r="Z40" s="172"/>
      <c r="AA40" s="209"/>
      <c r="AB40" s="199"/>
      <c r="AC40" s="167"/>
      <c r="AD40" s="167"/>
      <c r="AE40" s="209"/>
    </row>
    <row r="41" spans="1:31" x14ac:dyDescent="0.25">
      <c r="A41" s="173" t="s">
        <v>286</v>
      </c>
      <c r="B41" s="171" t="s">
        <v>263</v>
      </c>
      <c r="C41" s="171" t="s">
        <v>272</v>
      </c>
      <c r="D41" s="171" t="s">
        <v>273</v>
      </c>
      <c r="E41" s="190" t="s">
        <v>275</v>
      </c>
      <c r="F41" s="195"/>
      <c r="G41" s="50"/>
      <c r="H41" s="174"/>
      <c r="I41" s="197"/>
      <c r="J41" s="198"/>
      <c r="K41" s="201"/>
      <c r="L41" s="166"/>
      <c r="M41" s="200"/>
      <c r="N41" s="201"/>
      <c r="O41" s="166"/>
      <c r="P41" s="166"/>
      <c r="Q41" s="166"/>
      <c r="R41" s="166"/>
      <c r="S41" s="200"/>
      <c r="T41" s="201"/>
      <c r="U41" s="166"/>
      <c r="V41" s="166"/>
      <c r="W41" s="166"/>
      <c r="X41" s="213"/>
      <c r="Y41" s="216"/>
      <c r="Z41" s="172"/>
      <c r="AA41" s="209"/>
      <c r="AB41" s="199"/>
      <c r="AC41" s="167"/>
      <c r="AD41" s="167"/>
      <c r="AE41" s="209">
        <v>39536460.18</v>
      </c>
    </row>
    <row r="42" spans="1:31" x14ac:dyDescent="0.25">
      <c r="A42" s="173" t="s">
        <v>286</v>
      </c>
      <c r="B42" s="171" t="s">
        <v>263</v>
      </c>
      <c r="C42" s="171" t="s">
        <v>272</v>
      </c>
      <c r="D42" s="171" t="s">
        <v>273</v>
      </c>
      <c r="E42" s="190" t="s">
        <v>199</v>
      </c>
      <c r="F42" s="195"/>
      <c r="G42" s="50"/>
      <c r="H42" s="174"/>
      <c r="I42" s="197"/>
      <c r="J42" s="198"/>
      <c r="K42" s="201"/>
      <c r="L42" s="166"/>
      <c r="M42" s="200"/>
      <c r="N42" s="201"/>
      <c r="O42" s="166"/>
      <c r="P42" s="166"/>
      <c r="Q42" s="166"/>
      <c r="R42" s="166"/>
      <c r="S42" s="200"/>
      <c r="T42" s="201"/>
      <c r="U42" s="166"/>
      <c r="V42" s="166"/>
      <c r="W42" s="166"/>
      <c r="X42" s="213"/>
      <c r="Y42" s="216"/>
      <c r="Z42" s="172"/>
      <c r="AA42" s="209"/>
      <c r="AB42" s="199"/>
      <c r="AC42" s="167"/>
      <c r="AD42" s="167"/>
      <c r="AE42" s="209">
        <v>170304571.24000007</v>
      </c>
    </row>
    <row r="43" spans="1:31" x14ac:dyDescent="0.25">
      <c r="A43" s="173" t="s">
        <v>287</v>
      </c>
      <c r="B43" s="171" t="s">
        <v>263</v>
      </c>
      <c r="C43" s="171" t="s">
        <v>264</v>
      </c>
      <c r="D43" s="171" t="s">
        <v>265</v>
      </c>
      <c r="E43" s="190" t="s">
        <v>275</v>
      </c>
      <c r="F43" s="195"/>
      <c r="G43" s="50"/>
      <c r="H43" s="174"/>
      <c r="I43" s="197"/>
      <c r="J43" s="198"/>
      <c r="K43" s="201">
        <v>0</v>
      </c>
      <c r="L43" s="166">
        <v>0</v>
      </c>
      <c r="M43" s="200">
        <v>0</v>
      </c>
      <c r="N43" s="201">
        <v>0</v>
      </c>
      <c r="O43" s="166">
        <v>0</v>
      </c>
      <c r="P43" s="166">
        <v>0</v>
      </c>
      <c r="Q43" s="166">
        <v>0</v>
      </c>
      <c r="R43" s="166">
        <v>0</v>
      </c>
      <c r="S43" s="200">
        <v>1908716.2599999998</v>
      </c>
      <c r="T43" s="201"/>
      <c r="U43" s="166"/>
      <c r="V43" s="166"/>
      <c r="W43" s="166"/>
      <c r="X43" s="213"/>
      <c r="Y43" s="216"/>
      <c r="Z43" s="172"/>
      <c r="AA43" s="209"/>
      <c r="AB43" s="199"/>
      <c r="AC43" s="167"/>
      <c r="AD43" s="167"/>
      <c r="AE43" s="209"/>
    </row>
    <row r="44" spans="1:31" x14ac:dyDescent="0.25">
      <c r="A44" s="173" t="s">
        <v>287</v>
      </c>
      <c r="B44" s="171" t="s">
        <v>263</v>
      </c>
      <c r="C44" s="171" t="s">
        <v>264</v>
      </c>
      <c r="D44" s="171" t="s">
        <v>265</v>
      </c>
      <c r="E44" s="190" t="s">
        <v>199</v>
      </c>
      <c r="F44" s="195"/>
      <c r="G44" s="50"/>
      <c r="H44" s="174"/>
      <c r="I44" s="197"/>
      <c r="J44" s="198"/>
      <c r="K44" s="201">
        <v>0</v>
      </c>
      <c r="L44" s="166">
        <v>0</v>
      </c>
      <c r="M44" s="200">
        <v>0</v>
      </c>
      <c r="N44" s="201">
        <v>0</v>
      </c>
      <c r="O44" s="166">
        <v>0</v>
      </c>
      <c r="P44" s="166">
        <v>0</v>
      </c>
      <c r="Q44" s="166">
        <v>0</v>
      </c>
      <c r="R44" s="166">
        <v>114005.03</v>
      </c>
      <c r="S44" s="200">
        <v>102306.01999999999</v>
      </c>
      <c r="T44" s="201"/>
      <c r="U44" s="166"/>
      <c r="V44" s="166"/>
      <c r="W44" s="166"/>
      <c r="X44" s="213"/>
      <c r="Y44" s="216"/>
      <c r="Z44" s="172"/>
      <c r="AA44" s="209"/>
      <c r="AB44" s="199"/>
      <c r="AC44" s="167"/>
      <c r="AD44" s="167"/>
      <c r="AE44" s="209"/>
    </row>
    <row r="45" spans="1:31" x14ac:dyDescent="0.25">
      <c r="A45" s="173" t="s">
        <v>198</v>
      </c>
      <c r="B45" s="171" t="s">
        <v>263</v>
      </c>
      <c r="C45" s="171" t="s">
        <v>278</v>
      </c>
      <c r="D45" s="171" t="s">
        <v>288</v>
      </c>
      <c r="E45" s="190"/>
      <c r="F45" s="195"/>
      <c r="G45" s="50"/>
      <c r="H45" s="175"/>
      <c r="I45" s="197"/>
      <c r="J45" s="198"/>
      <c r="K45" s="197"/>
      <c r="L45" s="168"/>
      <c r="M45" s="198"/>
      <c r="N45" s="197"/>
      <c r="O45" s="168"/>
      <c r="P45" s="168"/>
      <c r="Q45" s="168"/>
      <c r="R45" s="168"/>
      <c r="S45" s="198"/>
      <c r="T45" s="199"/>
      <c r="U45" s="167"/>
      <c r="V45" s="167"/>
      <c r="W45" s="167"/>
      <c r="X45" s="212"/>
      <c r="Y45" s="216"/>
      <c r="Z45" s="172"/>
      <c r="AA45" s="209"/>
      <c r="AB45" s="197">
        <v>13117256.510000009</v>
      </c>
      <c r="AC45" s="167"/>
      <c r="AD45" s="167"/>
      <c r="AE45" s="209"/>
    </row>
    <row r="46" spans="1:31" x14ac:dyDescent="0.25">
      <c r="A46" s="173" t="s">
        <v>206</v>
      </c>
      <c r="B46" s="171" t="s">
        <v>263</v>
      </c>
      <c r="C46" s="171" t="s">
        <v>278</v>
      </c>
      <c r="D46" s="171" t="s">
        <v>288</v>
      </c>
      <c r="E46" s="190"/>
      <c r="F46" s="195"/>
      <c r="G46" s="50"/>
      <c r="H46" s="175"/>
      <c r="I46" s="197"/>
      <c r="J46" s="198"/>
      <c r="K46" s="197"/>
      <c r="L46" s="168"/>
      <c r="M46" s="198"/>
      <c r="N46" s="197"/>
      <c r="O46" s="168"/>
      <c r="P46" s="168"/>
      <c r="Q46" s="168"/>
      <c r="R46" s="168"/>
      <c r="S46" s="198"/>
      <c r="T46" s="199"/>
      <c r="U46" s="167"/>
      <c r="V46" s="167"/>
      <c r="W46" s="167"/>
      <c r="X46" s="212"/>
      <c r="Y46" s="216"/>
      <c r="Z46" s="172"/>
      <c r="AA46" s="209"/>
      <c r="AB46" s="197">
        <v>44187465.560000092</v>
      </c>
      <c r="AC46" s="167"/>
      <c r="AD46" s="167"/>
      <c r="AE46" s="209"/>
    </row>
    <row r="47" spans="1:31" x14ac:dyDescent="0.25">
      <c r="A47" s="173" t="s">
        <v>274</v>
      </c>
      <c r="B47" s="171" t="s">
        <v>263</v>
      </c>
      <c r="C47" s="171" t="s">
        <v>278</v>
      </c>
      <c r="D47" s="171" t="s">
        <v>288</v>
      </c>
      <c r="E47" s="190"/>
      <c r="F47" s="195"/>
      <c r="G47" s="50"/>
      <c r="H47" s="175"/>
      <c r="I47" s="197"/>
      <c r="J47" s="198"/>
      <c r="K47" s="197"/>
      <c r="L47" s="168"/>
      <c r="M47" s="198"/>
      <c r="N47" s="197"/>
      <c r="O47" s="168"/>
      <c r="P47" s="168"/>
      <c r="Q47" s="168"/>
      <c r="R47" s="168"/>
      <c r="S47" s="198"/>
      <c r="T47" s="199"/>
      <c r="U47" s="167"/>
      <c r="V47" s="167"/>
      <c r="W47" s="167"/>
      <c r="X47" s="212"/>
      <c r="Y47" s="216"/>
      <c r="Z47" s="172"/>
      <c r="AA47" s="209"/>
      <c r="AB47" s="197">
        <v>12714006.299999991</v>
      </c>
      <c r="AC47" s="167"/>
      <c r="AD47" s="167"/>
      <c r="AE47" s="209"/>
    </row>
    <row r="48" spans="1:31" x14ac:dyDescent="0.25">
      <c r="A48" s="173" t="s">
        <v>211</v>
      </c>
      <c r="B48" s="171" t="s">
        <v>263</v>
      </c>
      <c r="C48" s="171" t="s">
        <v>278</v>
      </c>
      <c r="D48" s="171" t="s">
        <v>288</v>
      </c>
      <c r="E48" s="190"/>
      <c r="F48" s="195"/>
      <c r="G48" s="50"/>
      <c r="H48" s="175"/>
      <c r="I48" s="197"/>
      <c r="J48" s="198"/>
      <c r="K48" s="197"/>
      <c r="L48" s="168"/>
      <c r="M48" s="198"/>
      <c r="N48" s="197"/>
      <c r="O48" s="168"/>
      <c r="P48" s="168"/>
      <c r="Q48" s="168"/>
      <c r="R48" s="168"/>
      <c r="S48" s="198"/>
      <c r="T48" s="199"/>
      <c r="U48" s="167"/>
      <c r="V48" s="167"/>
      <c r="W48" s="167"/>
      <c r="X48" s="212"/>
      <c r="Y48" s="216"/>
      <c r="Z48" s="172"/>
      <c r="AA48" s="209"/>
      <c r="AB48" s="197">
        <v>121867232.13000081</v>
      </c>
      <c r="AC48" s="167"/>
      <c r="AD48" s="167"/>
      <c r="AE48" s="209"/>
    </row>
    <row r="49" spans="1:31" x14ac:dyDescent="0.25">
      <c r="A49" s="173" t="s">
        <v>214</v>
      </c>
      <c r="B49" s="171" t="s">
        <v>263</v>
      </c>
      <c r="C49" s="171" t="s">
        <v>278</v>
      </c>
      <c r="D49" s="171" t="s">
        <v>288</v>
      </c>
      <c r="E49" s="190"/>
      <c r="F49" s="195"/>
      <c r="G49" s="50"/>
      <c r="H49" s="175"/>
      <c r="I49" s="197"/>
      <c r="J49" s="198"/>
      <c r="K49" s="197"/>
      <c r="L49" s="168"/>
      <c r="M49" s="198"/>
      <c r="N49" s="197"/>
      <c r="O49" s="168"/>
      <c r="P49" s="168"/>
      <c r="Q49" s="168"/>
      <c r="R49" s="168"/>
      <c r="S49" s="198"/>
      <c r="T49" s="199"/>
      <c r="U49" s="167"/>
      <c r="V49" s="167"/>
      <c r="W49" s="167"/>
      <c r="X49" s="212"/>
      <c r="Y49" s="216"/>
      <c r="Z49" s="172"/>
      <c r="AA49" s="209"/>
      <c r="AB49" s="197">
        <v>304655540.56999564</v>
      </c>
      <c r="AC49" s="167"/>
      <c r="AD49" s="167"/>
      <c r="AE49" s="209"/>
    </row>
    <row r="50" spans="1:31" x14ac:dyDescent="0.25">
      <c r="A50" s="173" t="s">
        <v>237</v>
      </c>
      <c r="B50" s="171" t="s">
        <v>263</v>
      </c>
      <c r="C50" s="171" t="s">
        <v>278</v>
      </c>
      <c r="D50" s="171" t="s">
        <v>288</v>
      </c>
      <c r="E50" s="190"/>
      <c r="F50" s="195"/>
      <c r="G50" s="50"/>
      <c r="H50" s="175"/>
      <c r="I50" s="197"/>
      <c r="J50" s="198"/>
      <c r="K50" s="197"/>
      <c r="L50" s="168"/>
      <c r="M50" s="198"/>
      <c r="N50" s="197"/>
      <c r="O50" s="168"/>
      <c r="P50" s="168"/>
      <c r="Q50" s="168"/>
      <c r="R50" s="168"/>
      <c r="S50" s="198"/>
      <c r="T50" s="199"/>
      <c r="U50" s="167"/>
      <c r="V50" s="167"/>
      <c r="W50" s="167"/>
      <c r="X50" s="212"/>
      <c r="Y50" s="216"/>
      <c r="Z50" s="172"/>
      <c r="AA50" s="209"/>
      <c r="AB50" s="197">
        <v>201113898.94999927</v>
      </c>
      <c r="AC50" s="167"/>
      <c r="AD50" s="167"/>
      <c r="AE50" s="209"/>
    </row>
    <row r="51" spans="1:31" x14ac:dyDescent="0.25">
      <c r="A51" s="173" t="s">
        <v>284</v>
      </c>
      <c r="B51" s="171" t="s">
        <v>263</v>
      </c>
      <c r="C51" s="171" t="s">
        <v>278</v>
      </c>
      <c r="D51" s="171" t="s">
        <v>288</v>
      </c>
      <c r="E51" s="190"/>
      <c r="F51" s="195"/>
      <c r="G51" s="50"/>
      <c r="H51" s="175"/>
      <c r="I51" s="197"/>
      <c r="J51" s="198"/>
      <c r="K51" s="197"/>
      <c r="L51" s="168"/>
      <c r="M51" s="198"/>
      <c r="N51" s="197"/>
      <c r="O51" s="168"/>
      <c r="P51" s="168"/>
      <c r="Q51" s="168"/>
      <c r="R51" s="168"/>
      <c r="S51" s="198"/>
      <c r="T51" s="199"/>
      <c r="U51" s="167"/>
      <c r="V51" s="167"/>
      <c r="W51" s="167"/>
      <c r="X51" s="212"/>
      <c r="Y51" s="216"/>
      <c r="Z51" s="172"/>
      <c r="AA51" s="209"/>
      <c r="AB51" s="197">
        <v>10295973.709999979</v>
      </c>
      <c r="AC51" s="167"/>
      <c r="AD51" s="167"/>
      <c r="AE51" s="209"/>
    </row>
    <row r="52" spans="1:31" x14ac:dyDescent="0.25">
      <c r="A52" s="173" t="s">
        <v>286</v>
      </c>
      <c r="B52" s="171" t="s">
        <v>263</v>
      </c>
      <c r="C52" s="171" t="s">
        <v>278</v>
      </c>
      <c r="D52" s="171" t="s">
        <v>288</v>
      </c>
      <c r="E52" s="190"/>
      <c r="F52" s="195"/>
      <c r="G52" s="50"/>
      <c r="H52" s="175"/>
      <c r="I52" s="197"/>
      <c r="J52" s="198"/>
      <c r="K52" s="197"/>
      <c r="L52" s="168"/>
      <c r="M52" s="198"/>
      <c r="N52" s="197"/>
      <c r="O52" s="168"/>
      <c r="P52" s="168"/>
      <c r="Q52" s="168"/>
      <c r="R52" s="168"/>
      <c r="S52" s="198"/>
      <c r="T52" s="199"/>
      <c r="U52" s="167"/>
      <c r="V52" s="167"/>
      <c r="W52" s="167"/>
      <c r="X52" s="212"/>
      <c r="Y52" s="216"/>
      <c r="Z52" s="172"/>
      <c r="AA52" s="209"/>
      <c r="AB52" s="197">
        <v>278310917.04999495</v>
      </c>
      <c r="AC52" s="167"/>
      <c r="AD52" s="167"/>
      <c r="AE52" s="209"/>
    </row>
    <row r="53" spans="1:31" x14ac:dyDescent="0.25">
      <c r="A53" s="176" t="s">
        <v>198</v>
      </c>
      <c r="B53" s="171" t="s">
        <v>263</v>
      </c>
      <c r="C53" s="171" t="s">
        <v>289</v>
      </c>
      <c r="D53" s="171" t="s">
        <v>290</v>
      </c>
      <c r="E53" s="191" t="s">
        <v>199</v>
      </c>
      <c r="F53" s="195"/>
      <c r="G53" s="50"/>
      <c r="H53" s="175"/>
      <c r="I53" s="199">
        <v>27361099.270000003</v>
      </c>
      <c r="J53" s="200"/>
      <c r="K53" s="201"/>
      <c r="L53" s="166"/>
      <c r="M53" s="200"/>
      <c r="N53" s="201"/>
      <c r="O53" s="166"/>
      <c r="P53" s="166"/>
      <c r="Q53" s="166"/>
      <c r="R53" s="166"/>
      <c r="S53" s="200"/>
      <c r="T53" s="199"/>
      <c r="U53" s="167"/>
      <c r="V53" s="167"/>
      <c r="W53" s="167"/>
      <c r="X53" s="212"/>
      <c r="Y53" s="216"/>
      <c r="Z53" s="172"/>
      <c r="AA53" s="209"/>
      <c r="AB53" s="199"/>
      <c r="AC53" s="167"/>
      <c r="AD53" s="167"/>
      <c r="AE53" s="200">
        <v>37125393.990000002</v>
      </c>
    </row>
    <row r="54" spans="1:31" x14ac:dyDescent="0.25">
      <c r="A54" s="176" t="s">
        <v>206</v>
      </c>
      <c r="B54" s="171" t="s">
        <v>263</v>
      </c>
      <c r="C54" s="171" t="s">
        <v>289</v>
      </c>
      <c r="D54" s="171" t="s">
        <v>290</v>
      </c>
      <c r="E54" s="191" t="s">
        <v>207</v>
      </c>
      <c r="F54" s="195"/>
      <c r="G54" s="50"/>
      <c r="H54" s="175"/>
      <c r="I54" s="199"/>
      <c r="J54" s="200"/>
      <c r="K54" s="201"/>
      <c r="L54" s="166"/>
      <c r="M54" s="200"/>
      <c r="N54" s="201"/>
      <c r="O54" s="166"/>
      <c r="P54" s="166"/>
      <c r="Q54" s="166"/>
      <c r="R54" s="166"/>
      <c r="S54" s="200"/>
      <c r="T54" s="199"/>
      <c r="U54" s="167"/>
      <c r="V54" s="167"/>
      <c r="W54" s="167"/>
      <c r="X54" s="212"/>
      <c r="Y54" s="216"/>
      <c r="Z54" s="172"/>
      <c r="AA54" s="209"/>
      <c r="AB54" s="199"/>
      <c r="AC54" s="167"/>
      <c r="AD54" s="167"/>
      <c r="AE54" s="200">
        <v>24916398.850000013</v>
      </c>
    </row>
    <row r="55" spans="1:31" x14ac:dyDescent="0.25">
      <c r="A55" s="176" t="s">
        <v>274</v>
      </c>
      <c r="B55" s="171" t="s">
        <v>263</v>
      </c>
      <c r="C55" s="171" t="s">
        <v>289</v>
      </c>
      <c r="D55" s="171" t="s">
        <v>290</v>
      </c>
      <c r="E55" s="191" t="s">
        <v>199</v>
      </c>
      <c r="F55" s="195"/>
      <c r="G55" s="50"/>
      <c r="H55" s="175"/>
      <c r="I55" s="199">
        <v>19653666.590000004</v>
      </c>
      <c r="J55" s="200"/>
      <c r="K55" s="201"/>
      <c r="L55" s="166"/>
      <c r="M55" s="200"/>
      <c r="N55" s="201"/>
      <c r="O55" s="166"/>
      <c r="P55" s="166"/>
      <c r="Q55" s="166"/>
      <c r="R55" s="166"/>
      <c r="S55" s="200"/>
      <c r="T55" s="199"/>
      <c r="U55" s="167"/>
      <c r="V55" s="167"/>
      <c r="W55" s="167"/>
      <c r="X55" s="212"/>
      <c r="Y55" s="216"/>
      <c r="Z55" s="172"/>
      <c r="AA55" s="209"/>
      <c r="AB55" s="199"/>
      <c r="AC55" s="167"/>
      <c r="AD55" s="167"/>
      <c r="AE55" s="200"/>
    </row>
    <row r="56" spans="1:31" x14ac:dyDescent="0.25">
      <c r="A56" s="176" t="s">
        <v>211</v>
      </c>
      <c r="B56" s="171" t="s">
        <v>263</v>
      </c>
      <c r="C56" s="171" t="s">
        <v>289</v>
      </c>
      <c r="D56" s="171" t="s">
        <v>290</v>
      </c>
      <c r="E56" s="191" t="s">
        <v>207</v>
      </c>
      <c r="F56" s="195"/>
      <c r="G56" s="50"/>
      <c r="H56" s="175"/>
      <c r="I56" s="199"/>
      <c r="J56" s="200"/>
      <c r="K56" s="201"/>
      <c r="L56" s="166"/>
      <c r="M56" s="200"/>
      <c r="N56" s="201"/>
      <c r="O56" s="166"/>
      <c r="P56" s="166"/>
      <c r="Q56" s="166"/>
      <c r="R56" s="166"/>
      <c r="S56" s="200"/>
      <c r="T56" s="199"/>
      <c r="U56" s="167"/>
      <c r="V56" s="167"/>
      <c r="W56" s="167"/>
      <c r="X56" s="212"/>
      <c r="Y56" s="216"/>
      <c r="Z56" s="172"/>
      <c r="AA56" s="209"/>
      <c r="AB56" s="199"/>
      <c r="AC56" s="167"/>
      <c r="AD56" s="167"/>
      <c r="AE56" s="200">
        <v>16294318.680000011</v>
      </c>
    </row>
    <row r="57" spans="1:31" x14ac:dyDescent="0.25">
      <c r="A57" s="176" t="s">
        <v>214</v>
      </c>
      <c r="B57" s="171" t="s">
        <v>263</v>
      </c>
      <c r="C57" s="171" t="s">
        <v>289</v>
      </c>
      <c r="D57" s="171" t="s">
        <v>290</v>
      </c>
      <c r="E57" s="191" t="s">
        <v>207</v>
      </c>
      <c r="F57" s="195"/>
      <c r="G57" s="50"/>
      <c r="H57" s="175"/>
      <c r="I57" s="199">
        <v>18110606.940000001</v>
      </c>
      <c r="J57" s="200"/>
      <c r="K57" s="201"/>
      <c r="L57" s="166"/>
      <c r="M57" s="200"/>
      <c r="N57" s="201"/>
      <c r="O57" s="166"/>
      <c r="P57" s="166"/>
      <c r="Q57" s="166"/>
      <c r="R57" s="166"/>
      <c r="S57" s="200"/>
      <c r="T57" s="199"/>
      <c r="U57" s="167"/>
      <c r="V57" s="167"/>
      <c r="W57" s="167"/>
      <c r="X57" s="212"/>
      <c r="Y57" s="216"/>
      <c r="Z57" s="172"/>
      <c r="AA57" s="209"/>
      <c r="AB57" s="199"/>
      <c r="AC57" s="167"/>
      <c r="AD57" s="167"/>
      <c r="AE57" s="200">
        <v>115017032.07000068</v>
      </c>
    </row>
    <row r="58" spans="1:31" x14ac:dyDescent="0.25">
      <c r="A58" s="176" t="s">
        <v>216</v>
      </c>
      <c r="B58" s="171" t="s">
        <v>263</v>
      </c>
      <c r="C58" s="171" t="s">
        <v>289</v>
      </c>
      <c r="D58" s="171" t="s">
        <v>290</v>
      </c>
      <c r="E58" s="191" t="s">
        <v>199</v>
      </c>
      <c r="F58" s="195"/>
      <c r="G58" s="50"/>
      <c r="H58" s="175"/>
      <c r="I58" s="199">
        <v>51890853.249999955</v>
      </c>
      <c r="J58" s="200"/>
      <c r="K58" s="201"/>
      <c r="L58" s="166"/>
      <c r="M58" s="200"/>
      <c r="N58" s="201"/>
      <c r="O58" s="166"/>
      <c r="P58" s="166"/>
      <c r="Q58" s="166"/>
      <c r="R58" s="166"/>
      <c r="S58" s="200"/>
      <c r="T58" s="199"/>
      <c r="U58" s="167"/>
      <c r="V58" s="167"/>
      <c r="W58" s="167"/>
      <c r="X58" s="212"/>
      <c r="Y58" s="216"/>
      <c r="Z58" s="172"/>
      <c r="AA58" s="209"/>
      <c r="AB58" s="199"/>
      <c r="AC58" s="167"/>
      <c r="AD58" s="167"/>
      <c r="AE58" s="200"/>
    </row>
    <row r="59" spans="1:31" x14ac:dyDescent="0.25">
      <c r="A59" s="176" t="s">
        <v>281</v>
      </c>
      <c r="B59" s="171" t="s">
        <v>263</v>
      </c>
      <c r="C59" s="171" t="s">
        <v>289</v>
      </c>
      <c r="D59" s="171" t="s">
        <v>290</v>
      </c>
      <c r="E59" s="191" t="s">
        <v>199</v>
      </c>
      <c r="F59" s="195"/>
      <c r="G59" s="50"/>
      <c r="H59" s="175"/>
      <c r="I59" s="199">
        <v>18132123.190000005</v>
      </c>
      <c r="J59" s="200"/>
      <c r="K59" s="201"/>
      <c r="L59" s="166"/>
      <c r="M59" s="200"/>
      <c r="N59" s="201"/>
      <c r="O59" s="166"/>
      <c r="P59" s="166"/>
      <c r="Q59" s="166"/>
      <c r="R59" s="166"/>
      <c r="S59" s="200"/>
      <c r="T59" s="199"/>
      <c r="U59" s="167"/>
      <c r="V59" s="167"/>
      <c r="W59" s="167"/>
      <c r="X59" s="212"/>
      <c r="Y59" s="216"/>
      <c r="Z59" s="172"/>
      <c r="AA59" s="209"/>
      <c r="AB59" s="199"/>
      <c r="AC59" s="167"/>
      <c r="AD59" s="167"/>
      <c r="AE59" s="200"/>
    </row>
    <row r="60" spans="1:31" x14ac:dyDescent="0.25">
      <c r="A60" s="176" t="s">
        <v>237</v>
      </c>
      <c r="B60" s="171" t="s">
        <v>263</v>
      </c>
      <c r="C60" s="171" t="s">
        <v>289</v>
      </c>
      <c r="D60" s="171" t="s">
        <v>290</v>
      </c>
      <c r="E60" s="191" t="s">
        <v>275</v>
      </c>
      <c r="F60" s="195"/>
      <c r="G60" s="50">
        <v>1</v>
      </c>
      <c r="H60" s="175"/>
      <c r="I60" s="201">
        <v>411669864.01999992</v>
      </c>
      <c r="J60" s="200"/>
      <c r="K60" s="201"/>
      <c r="L60" s="166"/>
      <c r="M60" s="200"/>
      <c r="N60" s="201"/>
      <c r="O60" s="166"/>
      <c r="P60" s="166"/>
      <c r="Q60" s="166"/>
      <c r="R60" s="166"/>
      <c r="S60" s="200"/>
      <c r="T60" s="199"/>
      <c r="U60" s="167"/>
      <c r="V60" s="167"/>
      <c r="W60" s="167"/>
      <c r="X60" s="212"/>
      <c r="Y60" s="216"/>
      <c r="Z60" s="172"/>
      <c r="AA60" s="209"/>
      <c r="AB60" s="199"/>
      <c r="AC60" s="167"/>
      <c r="AD60" s="167"/>
      <c r="AE60" s="200">
        <v>88027646.390002668</v>
      </c>
    </row>
    <row r="61" spans="1:31" x14ac:dyDescent="0.25">
      <c r="A61" s="176" t="s">
        <v>284</v>
      </c>
      <c r="B61" s="171" t="s">
        <v>263</v>
      </c>
      <c r="C61" s="171" t="s">
        <v>289</v>
      </c>
      <c r="D61" s="171" t="s">
        <v>290</v>
      </c>
      <c r="E61" s="191" t="s">
        <v>267</v>
      </c>
      <c r="F61" s="195"/>
      <c r="G61" s="50"/>
      <c r="H61" s="175"/>
      <c r="I61" s="199">
        <v>41179517.719999976</v>
      </c>
      <c r="J61" s="200"/>
      <c r="K61" s="201"/>
      <c r="L61" s="166"/>
      <c r="M61" s="200"/>
      <c r="N61" s="201"/>
      <c r="O61" s="166"/>
      <c r="P61" s="166"/>
      <c r="Q61" s="166"/>
      <c r="R61" s="166"/>
      <c r="S61" s="200"/>
      <c r="T61" s="199"/>
      <c r="U61" s="167"/>
      <c r="V61" s="167"/>
      <c r="W61" s="167"/>
      <c r="X61" s="212"/>
      <c r="Y61" s="216"/>
      <c r="Z61" s="172"/>
      <c r="AA61" s="209"/>
      <c r="AB61" s="199"/>
      <c r="AC61" s="167"/>
      <c r="AD61" s="167"/>
      <c r="AE61" s="200"/>
    </row>
    <row r="62" spans="1:31" x14ac:dyDescent="0.25">
      <c r="A62" s="176" t="s">
        <v>244</v>
      </c>
      <c r="B62" s="171" t="s">
        <v>263</v>
      </c>
      <c r="C62" s="171" t="s">
        <v>289</v>
      </c>
      <c r="D62" s="171" t="s">
        <v>290</v>
      </c>
      <c r="E62" s="191" t="s">
        <v>199</v>
      </c>
      <c r="F62" s="195"/>
      <c r="G62" s="50"/>
      <c r="H62" s="175"/>
      <c r="I62" s="199">
        <v>107271744.92999998</v>
      </c>
      <c r="J62" s="200"/>
      <c r="K62" s="201"/>
      <c r="L62" s="166"/>
      <c r="M62" s="200"/>
      <c r="N62" s="201"/>
      <c r="O62" s="166"/>
      <c r="P62" s="166"/>
      <c r="Q62" s="166"/>
      <c r="R62" s="166"/>
      <c r="S62" s="200"/>
      <c r="T62" s="199"/>
      <c r="U62" s="167"/>
      <c r="V62" s="167"/>
      <c r="W62" s="167"/>
      <c r="X62" s="212"/>
      <c r="Y62" s="216"/>
      <c r="Z62" s="172"/>
      <c r="AA62" s="209"/>
      <c r="AB62" s="199"/>
      <c r="AC62" s="167"/>
      <c r="AD62" s="167"/>
      <c r="AE62" s="200">
        <v>57027462.479999512</v>
      </c>
    </row>
    <row r="63" spans="1:31" x14ac:dyDescent="0.25">
      <c r="A63" s="176" t="s">
        <v>286</v>
      </c>
      <c r="B63" s="171" t="s">
        <v>263</v>
      </c>
      <c r="C63" s="171" t="s">
        <v>289</v>
      </c>
      <c r="D63" s="171" t="s">
        <v>290</v>
      </c>
      <c r="E63" s="191" t="s">
        <v>275</v>
      </c>
      <c r="F63" s="195"/>
      <c r="G63" s="50"/>
      <c r="H63" s="175"/>
      <c r="I63" s="199">
        <v>151412020.53999996</v>
      </c>
      <c r="J63" s="200"/>
      <c r="K63" s="201"/>
      <c r="L63" s="166"/>
      <c r="M63" s="200"/>
      <c r="N63" s="201"/>
      <c r="O63" s="166"/>
      <c r="P63" s="166"/>
      <c r="Q63" s="166"/>
      <c r="R63" s="166"/>
      <c r="S63" s="200"/>
      <c r="T63" s="199"/>
      <c r="U63" s="167"/>
      <c r="V63" s="167"/>
      <c r="W63" s="167"/>
      <c r="X63" s="212"/>
      <c r="Y63" s="216"/>
      <c r="Z63" s="172"/>
      <c r="AA63" s="209"/>
      <c r="AB63" s="199"/>
      <c r="AC63" s="167"/>
      <c r="AD63" s="167"/>
      <c r="AE63" s="200">
        <v>33436797.529999971</v>
      </c>
    </row>
    <row r="64" spans="1:31" ht="15.75" thickBot="1" x14ac:dyDescent="0.3">
      <c r="A64" s="177" t="s">
        <v>286</v>
      </c>
      <c r="B64" s="178" t="s">
        <v>263</v>
      </c>
      <c r="C64" s="178" t="s">
        <v>289</v>
      </c>
      <c r="D64" s="178" t="s">
        <v>290</v>
      </c>
      <c r="E64" s="192" t="s">
        <v>199</v>
      </c>
      <c r="F64" s="196"/>
      <c r="G64" s="179"/>
      <c r="H64" s="180"/>
      <c r="I64" s="202">
        <v>17840405.869999994</v>
      </c>
      <c r="J64" s="203"/>
      <c r="K64" s="207"/>
      <c r="L64" s="208"/>
      <c r="M64" s="203"/>
      <c r="N64" s="207"/>
      <c r="O64" s="208"/>
      <c r="P64" s="208"/>
      <c r="Q64" s="208"/>
      <c r="R64" s="208"/>
      <c r="S64" s="203"/>
      <c r="T64" s="202"/>
      <c r="U64" s="210"/>
      <c r="V64" s="210"/>
      <c r="W64" s="210"/>
      <c r="X64" s="214"/>
      <c r="Y64" s="217"/>
      <c r="Z64" s="215"/>
      <c r="AA64" s="211"/>
      <c r="AB64" s="202"/>
      <c r="AC64" s="210"/>
      <c r="AD64" s="210"/>
      <c r="AE64" s="203">
        <v>56020149.88000001</v>
      </c>
    </row>
  </sheetData>
  <autoFilter ref="A3:AE64" xr:uid="{6795BF65-6B09-43B1-8177-6B521D4ACFB1}"/>
  <mergeCells count="5">
    <mergeCell ref="I1:S1"/>
    <mergeCell ref="T1:AE1"/>
    <mergeCell ref="I2:J2"/>
    <mergeCell ref="T2:AA2"/>
    <mergeCell ref="AB2:AE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8479-2A44-483F-8F78-CB6DD0E7E6CC}">
  <dimension ref="A1:AE116"/>
  <sheetViews>
    <sheetView topLeftCell="M1" zoomScale="70" zoomScaleNormal="70" workbookViewId="0">
      <pane ySplit="3" topLeftCell="A4" activePane="bottomLeft" state="frozen"/>
      <selection pane="bottomLeft" activeCell="D68" sqref="D68"/>
    </sheetView>
  </sheetViews>
  <sheetFormatPr defaultColWidth="8.85546875" defaultRowHeight="15" x14ac:dyDescent="0.25"/>
  <cols>
    <col min="1" max="1" width="28.85546875" style="1" customWidth="1"/>
    <col min="2" max="2" width="12.85546875" style="1" customWidth="1"/>
    <col min="3" max="3" width="44" style="1" bestFit="1" customWidth="1"/>
    <col min="4" max="4" width="25.140625" style="1" bestFit="1" customWidth="1"/>
    <col min="5" max="5" width="28.42578125" style="1" hidden="1" customWidth="1"/>
    <col min="6" max="7" width="11.140625" style="2" hidden="1" customWidth="1"/>
    <col min="8" max="8" width="11.140625" style="1" hidden="1" customWidth="1"/>
    <col min="9" max="9" width="17" style="60" hidden="1" customWidth="1"/>
    <col min="10" max="10" width="11.140625" style="60" hidden="1" customWidth="1"/>
    <col min="11" max="11" width="17.140625" style="60" hidden="1" customWidth="1"/>
    <col min="12" max="13" width="21.85546875" style="60" hidden="1" customWidth="1"/>
    <col min="14" max="14" width="19.5703125" style="60" hidden="1" customWidth="1"/>
    <col min="15" max="15" width="20.140625" style="60" hidden="1" customWidth="1"/>
    <col min="16" max="16" width="21.140625" style="60" hidden="1" customWidth="1"/>
    <col min="17" max="17" width="19.85546875" style="60" hidden="1" customWidth="1"/>
    <col min="18" max="18" width="16" style="60" hidden="1" customWidth="1"/>
    <col min="19" max="19" width="16.140625" style="60" hidden="1" customWidth="1"/>
    <col min="20" max="20" width="17.140625" style="1" hidden="1" customWidth="1"/>
    <col min="21" max="21" width="17" style="1" hidden="1" customWidth="1"/>
    <col min="22" max="22" width="16.140625" style="1" hidden="1" customWidth="1"/>
    <col min="23" max="23" width="15.42578125" style="1" hidden="1" customWidth="1"/>
    <col min="24" max="24" width="15.5703125" style="1" hidden="1" customWidth="1"/>
    <col min="25" max="25" width="16.85546875" style="1" bestFit="1" customWidth="1"/>
    <col min="26" max="26" width="10.85546875" style="1" customWidth="1"/>
    <col min="27" max="27" width="11.85546875" style="1" customWidth="1"/>
    <col min="28" max="16384" width="8.85546875" style="1"/>
  </cols>
  <sheetData>
    <row r="1" spans="1:30" ht="15" customHeight="1" thickBot="1" x14ac:dyDescent="0.3">
      <c r="A1" s="45" t="s">
        <v>0</v>
      </c>
      <c r="I1" s="361" t="s">
        <v>1</v>
      </c>
      <c r="J1" s="362"/>
      <c r="K1" s="362"/>
      <c r="L1" s="362"/>
      <c r="M1" s="362"/>
      <c r="N1" s="362"/>
      <c r="O1" s="362"/>
      <c r="P1" s="362"/>
      <c r="Q1" s="362"/>
      <c r="R1" s="362"/>
      <c r="S1" s="363"/>
      <c r="T1" s="361" t="s">
        <v>2</v>
      </c>
      <c r="U1" s="362"/>
      <c r="V1" s="362"/>
      <c r="W1" s="362"/>
      <c r="X1" s="362"/>
      <c r="Y1" s="362"/>
      <c r="Z1" s="362"/>
      <c r="AA1" s="362"/>
      <c r="AB1" s="362"/>
      <c r="AC1" s="362"/>
      <c r="AD1" s="363"/>
    </row>
    <row r="2" spans="1:30" s="3" customFormat="1" ht="59.45" customHeight="1" thickBot="1" x14ac:dyDescent="0.3">
      <c r="I2" s="364" t="s">
        <v>3</v>
      </c>
      <c r="J2" s="365"/>
      <c r="K2" s="4" t="s">
        <v>4</v>
      </c>
      <c r="L2" s="3" t="s">
        <v>4</v>
      </c>
      <c r="M2" s="5" t="s">
        <v>4</v>
      </c>
      <c r="N2" s="3" t="s">
        <v>5</v>
      </c>
      <c r="O2" s="3" t="s">
        <v>5</v>
      </c>
      <c r="P2" s="3" t="s">
        <v>5</v>
      </c>
      <c r="Q2" s="3" t="s">
        <v>5</v>
      </c>
      <c r="R2" s="3" t="s">
        <v>5</v>
      </c>
      <c r="S2" s="5" t="s">
        <v>5</v>
      </c>
      <c r="T2" s="364" t="s">
        <v>6</v>
      </c>
      <c r="U2" s="366"/>
      <c r="V2" s="366"/>
      <c r="W2" s="366"/>
      <c r="X2" s="366"/>
      <c r="Y2" s="366"/>
      <c r="Z2" s="366"/>
      <c r="AA2" s="365"/>
      <c r="AB2" s="364" t="s">
        <v>7</v>
      </c>
      <c r="AC2" s="366"/>
      <c r="AD2" s="365"/>
    </row>
    <row r="3" spans="1:30" s="13" customFormat="1" ht="60.75" thickBot="1" x14ac:dyDescent="0.3">
      <c r="A3" s="10" t="s">
        <v>8</v>
      </c>
      <c r="B3" s="11" t="s">
        <v>9</v>
      </c>
      <c r="C3" s="11" t="s">
        <v>10</v>
      </c>
      <c r="D3" s="12" t="s">
        <v>11</v>
      </c>
      <c r="E3" s="10" t="s">
        <v>12</v>
      </c>
      <c r="F3" s="12" t="s">
        <v>13</v>
      </c>
      <c r="G3" s="48" t="s">
        <v>14</v>
      </c>
      <c r="H3" s="48" t="s">
        <v>15</v>
      </c>
      <c r="I3" s="10" t="s">
        <v>16</v>
      </c>
      <c r="J3" s="12" t="s">
        <v>17</v>
      </c>
      <c r="K3" s="10" t="s">
        <v>18</v>
      </c>
      <c r="L3" s="11" t="s">
        <v>19</v>
      </c>
      <c r="M3" s="12" t="s">
        <v>20</v>
      </c>
      <c r="N3" s="11" t="s">
        <v>21</v>
      </c>
      <c r="O3" s="11" t="s">
        <v>22</v>
      </c>
      <c r="P3" s="11" t="s">
        <v>23</v>
      </c>
      <c r="Q3" s="11" t="s">
        <v>24</v>
      </c>
      <c r="R3" s="11" t="s">
        <v>25</v>
      </c>
      <c r="S3" s="12" t="s">
        <v>26</v>
      </c>
      <c r="T3" s="10" t="s">
        <v>27</v>
      </c>
      <c r="U3" s="11" t="s">
        <v>28</v>
      </c>
      <c r="V3" s="11" t="s">
        <v>29</v>
      </c>
      <c r="W3" s="11" t="s">
        <v>30</v>
      </c>
      <c r="X3" s="11" t="s">
        <v>31</v>
      </c>
      <c r="Y3" s="10" t="s">
        <v>32</v>
      </c>
      <c r="Z3" s="10" t="s">
        <v>33</v>
      </c>
      <c r="AA3" s="12" t="s">
        <v>34</v>
      </c>
      <c r="AB3" s="10" t="s">
        <v>27</v>
      </c>
      <c r="AC3" s="11" t="s">
        <v>28</v>
      </c>
      <c r="AD3" s="12" t="s">
        <v>35</v>
      </c>
    </row>
    <row r="4" spans="1:30" ht="14.1" customHeight="1" x14ac:dyDescent="0.25">
      <c r="A4" s="47" t="s">
        <v>196</v>
      </c>
      <c r="B4" s="47" t="s">
        <v>291</v>
      </c>
      <c r="C4" s="47" t="s">
        <v>292</v>
      </c>
      <c r="D4" s="47" t="s">
        <v>293</v>
      </c>
      <c r="E4" s="47"/>
      <c r="F4" s="49"/>
      <c r="G4" s="49"/>
      <c r="H4" s="55" t="s">
        <v>49</v>
      </c>
      <c r="I4" s="61"/>
      <c r="J4" s="61"/>
      <c r="K4" s="51"/>
      <c r="L4" s="51"/>
      <c r="M4" s="51"/>
      <c r="N4" s="51"/>
      <c r="O4" s="51"/>
      <c r="P4" s="51"/>
      <c r="Q4" s="51"/>
      <c r="R4" s="51"/>
      <c r="S4" s="51"/>
      <c r="T4" s="53">
        <v>26878553.780000001</v>
      </c>
      <c r="U4" s="53">
        <v>0</v>
      </c>
      <c r="V4" s="53">
        <v>0</v>
      </c>
      <c r="W4" s="53"/>
      <c r="X4" s="47"/>
      <c r="Y4" s="165">
        <v>16195212.219508626</v>
      </c>
      <c r="Z4" s="47"/>
      <c r="AA4" s="47"/>
      <c r="AB4" s="47"/>
      <c r="AC4" s="47"/>
      <c r="AD4" s="47"/>
    </row>
    <row r="5" spans="1:30" ht="14.1" customHeight="1" x14ac:dyDescent="0.25">
      <c r="A5" s="46" t="s">
        <v>196</v>
      </c>
      <c r="B5" s="46" t="s">
        <v>291</v>
      </c>
      <c r="C5" s="46" t="s">
        <v>292</v>
      </c>
      <c r="D5" s="46" t="s">
        <v>294</v>
      </c>
      <c r="E5" s="46"/>
      <c r="F5" s="50"/>
      <c r="G5" s="50"/>
      <c r="H5" s="56" t="s">
        <v>49</v>
      </c>
      <c r="I5" s="57"/>
      <c r="J5" s="57"/>
      <c r="K5" s="52"/>
      <c r="L5" s="52"/>
      <c r="M5" s="52"/>
      <c r="N5" s="52"/>
      <c r="O5" s="52"/>
      <c r="P5" s="52"/>
      <c r="Q5" s="52"/>
      <c r="R5" s="52"/>
      <c r="S5" s="52"/>
      <c r="T5" s="54"/>
      <c r="U5" s="54">
        <v>23322433.139999986</v>
      </c>
      <c r="V5" s="54">
        <v>0</v>
      </c>
      <c r="W5" s="54"/>
      <c r="X5" s="46"/>
      <c r="Y5" s="58">
        <v>13664666.418945458</v>
      </c>
      <c r="Z5" s="46"/>
      <c r="AA5" s="46"/>
      <c r="AB5" s="46"/>
      <c r="AC5" s="46"/>
      <c r="AD5" s="46"/>
    </row>
    <row r="6" spans="1:30" ht="14.1" customHeight="1" x14ac:dyDescent="0.25">
      <c r="A6" s="46" t="s">
        <v>197</v>
      </c>
      <c r="B6" s="46" t="s">
        <v>291</v>
      </c>
      <c r="C6" s="46" t="s">
        <v>292</v>
      </c>
      <c r="D6" s="46" t="s">
        <v>295</v>
      </c>
      <c r="E6" s="46"/>
      <c r="F6" s="50"/>
      <c r="G6" s="50"/>
      <c r="H6" s="56" t="s">
        <v>49</v>
      </c>
      <c r="I6" s="57"/>
      <c r="J6" s="57"/>
      <c r="K6" s="52"/>
      <c r="L6" s="52"/>
      <c r="M6" s="52"/>
      <c r="N6" s="52"/>
      <c r="O6" s="52"/>
      <c r="P6" s="52"/>
      <c r="Q6" s="52"/>
      <c r="R6" s="52"/>
      <c r="S6" s="52"/>
      <c r="T6" s="54"/>
      <c r="U6" s="54">
        <v>0</v>
      </c>
      <c r="V6" s="54">
        <v>332413436.29000008</v>
      </c>
      <c r="W6" s="54"/>
      <c r="X6" s="46"/>
      <c r="Y6" s="58">
        <v>174616680.01398039</v>
      </c>
      <c r="Z6" s="46"/>
      <c r="AA6" s="46"/>
      <c r="AB6" s="46"/>
      <c r="AC6" s="46"/>
      <c r="AD6" s="46"/>
    </row>
    <row r="7" spans="1:30" ht="14.1" customHeight="1" x14ac:dyDescent="0.25">
      <c r="A7" s="46" t="s">
        <v>197</v>
      </c>
      <c r="B7" s="46" t="s">
        <v>291</v>
      </c>
      <c r="C7" s="46" t="s">
        <v>292</v>
      </c>
      <c r="D7" s="46" t="s">
        <v>293</v>
      </c>
      <c r="E7" s="46"/>
      <c r="F7" s="50"/>
      <c r="G7" s="50"/>
      <c r="H7" s="56" t="s">
        <v>49</v>
      </c>
      <c r="I7" s="57"/>
      <c r="J7" s="57"/>
      <c r="K7" s="52"/>
      <c r="L7" s="52"/>
      <c r="M7" s="52"/>
      <c r="N7" s="52"/>
      <c r="O7" s="52"/>
      <c r="P7" s="52"/>
      <c r="Q7" s="52"/>
      <c r="R7" s="52"/>
      <c r="S7" s="52"/>
      <c r="T7" s="54">
        <v>240333341.74999815</v>
      </c>
      <c r="U7" s="54">
        <v>0</v>
      </c>
      <c r="V7" s="54">
        <v>0</v>
      </c>
      <c r="W7" s="54">
        <v>68692091.669999957</v>
      </c>
      <c r="X7" s="46"/>
      <c r="Y7" s="58">
        <v>144155161.36722988</v>
      </c>
      <c r="Z7" s="46"/>
      <c r="AA7" s="46"/>
      <c r="AB7" s="46"/>
      <c r="AC7" s="46"/>
      <c r="AD7" s="46"/>
    </row>
    <row r="8" spans="1:30" ht="14.1" customHeight="1" x14ac:dyDescent="0.25">
      <c r="A8" s="46" t="s">
        <v>197</v>
      </c>
      <c r="B8" s="46" t="s">
        <v>291</v>
      </c>
      <c r="C8" s="46" t="s">
        <v>292</v>
      </c>
      <c r="D8" s="46" t="s">
        <v>294</v>
      </c>
      <c r="E8" s="46"/>
      <c r="F8" s="50"/>
      <c r="G8" s="50"/>
      <c r="H8" s="56" t="s">
        <v>49</v>
      </c>
      <c r="I8" s="57"/>
      <c r="J8" s="57"/>
      <c r="K8" s="52"/>
      <c r="L8" s="52"/>
      <c r="M8" s="52"/>
      <c r="N8" s="52"/>
      <c r="O8" s="52"/>
      <c r="P8" s="52"/>
      <c r="Q8" s="52"/>
      <c r="R8" s="52"/>
      <c r="S8" s="52"/>
      <c r="T8" s="54"/>
      <c r="U8" s="54">
        <v>397528163.22705197</v>
      </c>
      <c r="V8" s="54">
        <v>0</v>
      </c>
      <c r="W8" s="54"/>
      <c r="X8" s="46"/>
      <c r="Y8" s="58">
        <v>214707919.45257866</v>
      </c>
      <c r="Z8" s="46"/>
      <c r="AA8" s="46">
        <v>1</v>
      </c>
      <c r="AB8" s="46"/>
      <c r="AC8" s="46"/>
      <c r="AD8" s="46"/>
    </row>
    <row r="9" spans="1:30" ht="14.1" customHeight="1" x14ac:dyDescent="0.25">
      <c r="A9" s="46" t="s">
        <v>219</v>
      </c>
      <c r="B9" s="46" t="s">
        <v>291</v>
      </c>
      <c r="C9" s="46" t="s">
        <v>292</v>
      </c>
      <c r="D9" s="46" t="s">
        <v>295</v>
      </c>
      <c r="E9" s="46"/>
      <c r="F9" s="50"/>
      <c r="G9" s="50"/>
      <c r="H9" s="56" t="s">
        <v>49</v>
      </c>
      <c r="I9" s="57"/>
      <c r="J9" s="57"/>
      <c r="K9" s="52"/>
      <c r="L9" s="52"/>
      <c r="M9" s="52"/>
      <c r="N9" s="52"/>
      <c r="O9" s="52"/>
      <c r="P9" s="52"/>
      <c r="Q9" s="52"/>
      <c r="R9" s="52"/>
      <c r="S9" s="52"/>
      <c r="T9" s="54"/>
      <c r="U9" s="54">
        <v>0</v>
      </c>
      <c r="V9" s="54">
        <v>304780849.35999978</v>
      </c>
      <c r="W9" s="54"/>
      <c r="X9" s="46"/>
      <c r="Y9" s="58">
        <v>256886599.36924022</v>
      </c>
      <c r="Z9" s="46"/>
      <c r="AA9" s="46"/>
      <c r="AB9" s="46"/>
      <c r="AC9" s="46"/>
      <c r="AD9" s="46"/>
    </row>
    <row r="10" spans="1:30" ht="14.1" customHeight="1" x14ac:dyDescent="0.25">
      <c r="A10" s="46" t="s">
        <v>219</v>
      </c>
      <c r="B10" s="46" t="s">
        <v>291</v>
      </c>
      <c r="C10" s="46" t="s">
        <v>292</v>
      </c>
      <c r="D10" s="46" t="s">
        <v>293</v>
      </c>
      <c r="E10" s="46"/>
      <c r="F10" s="50"/>
      <c r="G10" s="50"/>
      <c r="H10" s="56" t="s">
        <v>49</v>
      </c>
      <c r="I10" s="57"/>
      <c r="J10" s="57"/>
      <c r="K10" s="52"/>
      <c r="L10" s="52"/>
      <c r="M10" s="52"/>
      <c r="N10" s="52"/>
      <c r="O10" s="52"/>
      <c r="P10" s="52"/>
      <c r="Q10" s="52"/>
      <c r="R10" s="52"/>
      <c r="S10" s="52"/>
      <c r="T10" s="54">
        <v>495952707.25997794</v>
      </c>
      <c r="U10" s="54">
        <v>0</v>
      </c>
      <c r="V10" s="54">
        <v>0</v>
      </c>
      <c r="W10" s="54">
        <v>150119776.62000006</v>
      </c>
      <c r="X10" s="46"/>
      <c r="Y10" s="58">
        <v>364637232.31962079</v>
      </c>
      <c r="Z10" s="46"/>
      <c r="AA10" s="46"/>
      <c r="AB10" s="46"/>
      <c r="AC10" s="46"/>
      <c r="AD10" s="46"/>
    </row>
    <row r="11" spans="1:30" ht="14.1" customHeight="1" x14ac:dyDescent="0.25">
      <c r="A11" s="46" t="s">
        <v>219</v>
      </c>
      <c r="B11" s="46" t="s">
        <v>291</v>
      </c>
      <c r="C11" s="46" t="s">
        <v>292</v>
      </c>
      <c r="D11" s="46" t="s">
        <v>294</v>
      </c>
      <c r="E11" s="46"/>
      <c r="F11" s="50"/>
      <c r="G11" s="50"/>
      <c r="H11" s="56" t="s">
        <v>49</v>
      </c>
      <c r="I11" s="57"/>
      <c r="J11" s="57"/>
      <c r="K11" s="52"/>
      <c r="L11" s="52"/>
      <c r="M11" s="52"/>
      <c r="N11" s="52"/>
      <c r="O11" s="52"/>
      <c r="P11" s="52"/>
      <c r="Q11" s="52"/>
      <c r="R11" s="52"/>
      <c r="S11" s="52"/>
      <c r="T11" s="54"/>
      <c r="U11" s="54">
        <v>756592001.80682433</v>
      </c>
      <c r="V11" s="54">
        <v>0</v>
      </c>
      <c r="W11" s="54"/>
      <c r="X11" s="46"/>
      <c r="Y11" s="58">
        <v>439291285.33328962</v>
      </c>
      <c r="Z11" s="46"/>
      <c r="AA11" s="46">
        <v>1</v>
      </c>
      <c r="AB11" s="46"/>
      <c r="AC11" s="46"/>
      <c r="AD11" s="46"/>
    </row>
    <row r="12" spans="1:30" ht="14.1" customHeight="1" x14ac:dyDescent="0.25">
      <c r="A12" s="46" t="s">
        <v>261</v>
      </c>
      <c r="B12" s="46" t="s">
        <v>291</v>
      </c>
      <c r="C12" s="46" t="s">
        <v>292</v>
      </c>
      <c r="D12" s="46" t="s">
        <v>295</v>
      </c>
      <c r="E12" s="46"/>
      <c r="F12" s="50"/>
      <c r="G12" s="50"/>
      <c r="H12" s="56" t="s">
        <v>49</v>
      </c>
      <c r="I12" s="57"/>
      <c r="J12" s="57"/>
      <c r="K12" s="52"/>
      <c r="L12" s="52"/>
      <c r="M12" s="52"/>
      <c r="N12" s="52"/>
      <c r="O12" s="52"/>
      <c r="P12" s="52"/>
      <c r="Q12" s="52"/>
      <c r="R12" s="52"/>
      <c r="S12" s="52"/>
      <c r="T12" s="54"/>
      <c r="U12" s="54">
        <v>0</v>
      </c>
      <c r="V12" s="54">
        <v>495583291.13000023</v>
      </c>
      <c r="W12" s="54"/>
      <c r="X12" s="46"/>
      <c r="Y12" s="58">
        <v>376762477.31162196</v>
      </c>
      <c r="Z12" s="46"/>
      <c r="AA12" s="46"/>
      <c r="AB12" s="46"/>
      <c r="AC12" s="46"/>
      <c r="AD12" s="46"/>
    </row>
    <row r="13" spans="1:30" ht="14.1" customHeight="1" x14ac:dyDescent="0.25">
      <c r="A13" s="46" t="s">
        <v>261</v>
      </c>
      <c r="B13" s="46" t="s">
        <v>291</v>
      </c>
      <c r="C13" s="46" t="s">
        <v>292</v>
      </c>
      <c r="D13" s="46" t="s">
        <v>293</v>
      </c>
      <c r="E13" s="46"/>
      <c r="F13" s="50"/>
      <c r="G13" s="50"/>
      <c r="H13" s="56" t="s">
        <v>49</v>
      </c>
      <c r="I13" s="57"/>
      <c r="J13" s="57"/>
      <c r="K13" s="52"/>
      <c r="L13" s="52"/>
      <c r="M13" s="52"/>
      <c r="N13" s="52"/>
      <c r="O13" s="52"/>
      <c r="P13" s="52"/>
      <c r="Q13" s="52"/>
      <c r="R13" s="52"/>
      <c r="S13" s="52"/>
      <c r="T13" s="54">
        <v>412164553.66998988</v>
      </c>
      <c r="U13" s="54">
        <v>0</v>
      </c>
      <c r="V13" s="54">
        <v>0</v>
      </c>
      <c r="W13" s="54"/>
      <c r="X13" s="46"/>
      <c r="Y13" s="58">
        <v>162136070.93284538</v>
      </c>
      <c r="Z13" s="46"/>
      <c r="AA13" s="46"/>
      <c r="AB13" s="46"/>
      <c r="AC13" s="46"/>
      <c r="AD13" s="46"/>
    </row>
    <row r="14" spans="1:30" ht="14.1" customHeight="1" x14ac:dyDescent="0.25">
      <c r="A14" s="46" t="s">
        <v>261</v>
      </c>
      <c r="B14" s="46" t="s">
        <v>291</v>
      </c>
      <c r="C14" s="46" t="s">
        <v>292</v>
      </c>
      <c r="D14" s="46" t="s">
        <v>294</v>
      </c>
      <c r="E14" s="46"/>
      <c r="F14" s="50"/>
      <c r="G14" s="50"/>
      <c r="H14" s="56" t="s">
        <v>49</v>
      </c>
      <c r="I14" s="57"/>
      <c r="J14" s="57"/>
      <c r="K14" s="52"/>
      <c r="L14" s="52"/>
      <c r="M14" s="52"/>
      <c r="N14" s="52"/>
      <c r="O14" s="52"/>
      <c r="P14" s="52"/>
      <c r="Q14" s="52"/>
      <c r="R14" s="52"/>
      <c r="S14" s="52"/>
      <c r="T14" s="54"/>
      <c r="U14" s="54">
        <v>345434227.77508652</v>
      </c>
      <c r="V14" s="54">
        <v>0</v>
      </c>
      <c r="W14" s="54"/>
      <c r="X14" s="46"/>
      <c r="Y14" s="58">
        <v>109997293.42112722</v>
      </c>
      <c r="Z14" s="46"/>
      <c r="AA14" s="46">
        <v>1</v>
      </c>
      <c r="AB14" s="46"/>
      <c r="AC14" s="46"/>
      <c r="AD14" s="46"/>
    </row>
    <row r="15" spans="1:30" ht="14.1" customHeight="1" x14ac:dyDescent="0.25">
      <c r="A15" s="46" t="s">
        <v>232</v>
      </c>
      <c r="B15" s="46" t="s">
        <v>291</v>
      </c>
      <c r="C15" s="46" t="s">
        <v>292</v>
      </c>
      <c r="D15" s="46" t="s">
        <v>295</v>
      </c>
      <c r="E15" s="46"/>
      <c r="F15" s="50"/>
      <c r="G15" s="50"/>
      <c r="H15" s="56" t="s">
        <v>49</v>
      </c>
      <c r="I15" s="57"/>
      <c r="J15" s="57"/>
      <c r="K15" s="52"/>
      <c r="L15" s="52"/>
      <c r="M15" s="52"/>
      <c r="N15" s="52"/>
      <c r="O15" s="52"/>
      <c r="P15" s="52"/>
      <c r="Q15" s="52"/>
      <c r="R15" s="52"/>
      <c r="S15" s="52"/>
      <c r="T15" s="54"/>
      <c r="U15" s="54">
        <v>0</v>
      </c>
      <c r="V15" s="54">
        <v>432450294.59999979</v>
      </c>
      <c r="W15" s="54"/>
      <c r="X15" s="46"/>
      <c r="Y15" s="58">
        <v>399355093.71045363</v>
      </c>
      <c r="Z15" s="46"/>
      <c r="AA15" s="46"/>
      <c r="AB15" s="46"/>
      <c r="AC15" s="46"/>
      <c r="AD15" s="46"/>
    </row>
    <row r="16" spans="1:30" ht="14.1" customHeight="1" x14ac:dyDescent="0.25">
      <c r="A16" s="46" t="s">
        <v>232</v>
      </c>
      <c r="B16" s="46" t="s">
        <v>291</v>
      </c>
      <c r="C16" s="46" t="s">
        <v>292</v>
      </c>
      <c r="D16" s="46" t="s">
        <v>293</v>
      </c>
      <c r="E16" s="46"/>
      <c r="F16" s="50"/>
      <c r="G16" s="50"/>
      <c r="H16" s="56" t="s">
        <v>49</v>
      </c>
      <c r="I16" s="57"/>
      <c r="J16" s="57"/>
      <c r="K16" s="52"/>
      <c r="L16" s="52"/>
      <c r="M16" s="52"/>
      <c r="N16" s="52"/>
      <c r="O16" s="52"/>
      <c r="P16" s="52"/>
      <c r="Q16" s="52"/>
      <c r="R16" s="52"/>
      <c r="S16" s="52"/>
      <c r="T16" s="54">
        <v>720357330.67994857</v>
      </c>
      <c r="U16" s="54">
        <v>0</v>
      </c>
      <c r="V16" s="54">
        <v>0</v>
      </c>
      <c r="W16" s="54">
        <v>177296908.53000015</v>
      </c>
      <c r="X16" s="46"/>
      <c r="Y16" s="58">
        <v>457684038.42423284</v>
      </c>
      <c r="Z16" s="46">
        <v>1</v>
      </c>
      <c r="AA16" s="46"/>
      <c r="AB16" s="46"/>
      <c r="AC16" s="46"/>
      <c r="AD16" s="46"/>
    </row>
    <row r="17" spans="1:31" ht="14.1" customHeight="1" x14ac:dyDescent="0.25">
      <c r="A17" s="46" t="s">
        <v>232</v>
      </c>
      <c r="B17" s="46" t="s">
        <v>291</v>
      </c>
      <c r="C17" s="46" t="s">
        <v>292</v>
      </c>
      <c r="D17" s="46" t="s">
        <v>294</v>
      </c>
      <c r="E17" s="46"/>
      <c r="F17" s="50"/>
      <c r="G17" s="50"/>
      <c r="H17" s="56" t="s">
        <v>49</v>
      </c>
      <c r="I17" s="57"/>
      <c r="J17" s="57"/>
      <c r="K17" s="52"/>
      <c r="L17" s="52"/>
      <c r="M17" s="52"/>
      <c r="N17" s="52"/>
      <c r="O17" s="52"/>
      <c r="P17" s="52"/>
      <c r="Q17" s="52"/>
      <c r="R17" s="52"/>
      <c r="S17" s="52"/>
      <c r="T17" s="54"/>
      <c r="U17" s="54">
        <v>678890851.25582337</v>
      </c>
      <c r="V17" s="54">
        <v>0</v>
      </c>
      <c r="W17" s="54"/>
      <c r="X17" s="46"/>
      <c r="Y17" s="58">
        <v>317998083.97826719</v>
      </c>
      <c r="Z17" s="46"/>
      <c r="AA17" s="46">
        <v>2</v>
      </c>
      <c r="AB17" s="46"/>
      <c r="AC17" s="46"/>
      <c r="AD17" s="46"/>
    </row>
    <row r="18" spans="1:31" ht="14.1" customHeight="1" x14ac:dyDescent="0.25">
      <c r="A18" s="46" t="s">
        <v>233</v>
      </c>
      <c r="B18" s="46" t="s">
        <v>291</v>
      </c>
      <c r="C18" s="46" t="s">
        <v>292</v>
      </c>
      <c r="D18" s="46" t="s">
        <v>295</v>
      </c>
      <c r="E18" s="46"/>
      <c r="F18" s="50"/>
      <c r="G18" s="50"/>
      <c r="H18" s="56" t="s">
        <v>49</v>
      </c>
      <c r="I18" s="57"/>
      <c r="J18" s="57"/>
      <c r="K18" s="52"/>
      <c r="L18" s="52"/>
      <c r="M18" s="52"/>
      <c r="N18" s="52"/>
      <c r="O18" s="52"/>
      <c r="P18" s="52"/>
      <c r="Q18" s="52"/>
      <c r="R18" s="52"/>
      <c r="S18" s="52"/>
      <c r="T18" s="54"/>
      <c r="U18" s="54">
        <v>0</v>
      </c>
      <c r="V18" s="54">
        <v>391069588.05999988</v>
      </c>
      <c r="W18" s="54"/>
      <c r="X18" s="46"/>
      <c r="Y18" s="58">
        <v>270622904.49078172</v>
      </c>
      <c r="Z18" s="46"/>
      <c r="AA18" s="46"/>
      <c r="AB18" s="46"/>
      <c r="AC18" s="46"/>
      <c r="AD18" s="46"/>
    </row>
    <row r="19" spans="1:31" ht="14.1" customHeight="1" x14ac:dyDescent="0.25">
      <c r="A19" s="46" t="s">
        <v>233</v>
      </c>
      <c r="B19" s="46" t="s">
        <v>291</v>
      </c>
      <c r="C19" s="46" t="s">
        <v>292</v>
      </c>
      <c r="D19" s="46" t="s">
        <v>293</v>
      </c>
      <c r="E19" s="46"/>
      <c r="F19" s="50"/>
      <c r="G19" s="50"/>
      <c r="H19" s="56" t="s">
        <v>49</v>
      </c>
      <c r="I19" s="57"/>
      <c r="J19" s="57"/>
      <c r="K19" s="52"/>
      <c r="L19" s="52"/>
      <c r="M19" s="52"/>
      <c r="N19" s="52"/>
      <c r="O19" s="52"/>
      <c r="P19" s="52"/>
      <c r="Q19" s="52"/>
      <c r="R19" s="52"/>
      <c r="S19" s="52"/>
      <c r="T19" s="54">
        <v>405930565.79998654</v>
      </c>
      <c r="U19" s="54">
        <v>0</v>
      </c>
      <c r="V19" s="54">
        <v>0</v>
      </c>
      <c r="W19" s="54"/>
      <c r="X19" s="46"/>
      <c r="Y19" s="58">
        <v>239646523.62898597</v>
      </c>
      <c r="Z19" s="46"/>
      <c r="AA19" s="46"/>
      <c r="AB19" s="46"/>
      <c r="AC19" s="46"/>
      <c r="AD19" s="46"/>
    </row>
    <row r="20" spans="1:31" ht="14.1" customHeight="1" x14ac:dyDescent="0.25">
      <c r="A20" s="46" t="s">
        <v>233</v>
      </c>
      <c r="B20" s="46" t="s">
        <v>291</v>
      </c>
      <c r="C20" s="46" t="s">
        <v>292</v>
      </c>
      <c r="D20" s="46" t="s">
        <v>294</v>
      </c>
      <c r="E20" s="46"/>
      <c r="F20" s="50"/>
      <c r="G20" s="50"/>
      <c r="H20" s="56" t="s">
        <v>49</v>
      </c>
      <c r="I20" s="57"/>
      <c r="J20" s="57"/>
      <c r="K20" s="52"/>
      <c r="L20" s="52"/>
      <c r="M20" s="52"/>
      <c r="N20" s="52"/>
      <c r="O20" s="52"/>
      <c r="P20" s="52"/>
      <c r="Q20" s="52"/>
      <c r="R20" s="52"/>
      <c r="S20" s="52"/>
      <c r="T20" s="54"/>
      <c r="U20" s="54">
        <v>667958742.03163064</v>
      </c>
      <c r="V20" s="54">
        <v>0</v>
      </c>
      <c r="W20" s="54"/>
      <c r="X20" s="46"/>
      <c r="Y20" s="58">
        <v>372755289.98508257</v>
      </c>
      <c r="Z20" s="46"/>
      <c r="AA20" s="46"/>
      <c r="AB20" s="46"/>
      <c r="AC20" s="46"/>
      <c r="AD20" s="46"/>
    </row>
    <row r="21" spans="1:31" ht="14.1" customHeight="1" x14ac:dyDescent="0.25">
      <c r="A21" s="46" t="s">
        <v>185</v>
      </c>
      <c r="B21" s="46" t="s">
        <v>291</v>
      </c>
      <c r="C21" s="46" t="s">
        <v>292</v>
      </c>
      <c r="D21" s="46" t="s">
        <v>295</v>
      </c>
      <c r="E21" s="46"/>
      <c r="F21" s="50"/>
      <c r="G21" s="50"/>
      <c r="H21" s="56" t="s">
        <v>49</v>
      </c>
      <c r="I21" s="57"/>
      <c r="J21" s="57"/>
      <c r="K21" s="52"/>
      <c r="L21" s="52"/>
      <c r="M21" s="52"/>
      <c r="N21" s="52"/>
      <c r="O21" s="52"/>
      <c r="P21" s="52"/>
      <c r="Q21" s="52"/>
      <c r="R21" s="52"/>
      <c r="S21" s="52"/>
      <c r="T21" s="54"/>
      <c r="U21" s="54">
        <v>0</v>
      </c>
      <c r="V21" s="54">
        <v>193965373.34000003</v>
      </c>
      <c r="W21" s="54"/>
      <c r="X21" s="46"/>
      <c r="Y21" s="58">
        <v>92070658.783025026</v>
      </c>
      <c r="Z21" s="46"/>
      <c r="AA21" s="46"/>
      <c r="AB21" s="46"/>
      <c r="AC21" s="46"/>
      <c r="AD21" s="46"/>
    </row>
    <row r="22" spans="1:31" ht="14.1" customHeight="1" x14ac:dyDescent="0.25">
      <c r="A22" s="46" t="s">
        <v>185</v>
      </c>
      <c r="B22" s="46" t="s">
        <v>291</v>
      </c>
      <c r="C22" s="46" t="s">
        <v>292</v>
      </c>
      <c r="D22" s="46" t="s">
        <v>293</v>
      </c>
      <c r="E22" s="46"/>
      <c r="F22" s="50"/>
      <c r="G22" s="50"/>
      <c r="H22" s="56" t="s">
        <v>49</v>
      </c>
      <c r="I22" s="57"/>
      <c r="J22" s="57"/>
      <c r="K22" s="52"/>
      <c r="L22" s="52"/>
      <c r="M22" s="52"/>
      <c r="N22" s="52"/>
      <c r="O22" s="52"/>
      <c r="P22" s="52"/>
      <c r="Q22" s="52"/>
      <c r="R22" s="52"/>
      <c r="S22" s="52"/>
      <c r="T22" s="54">
        <v>174182560.96000022</v>
      </c>
      <c r="U22" s="54">
        <v>0</v>
      </c>
      <c r="V22" s="54">
        <v>0</v>
      </c>
      <c r="W22" s="54">
        <v>39016657.920000002</v>
      </c>
      <c r="X22" s="46"/>
      <c r="Y22" s="58">
        <v>79420634.167939931</v>
      </c>
      <c r="Z22" s="46"/>
      <c r="AA22" s="46"/>
      <c r="AB22" s="46"/>
      <c r="AC22" s="46"/>
      <c r="AD22" s="46"/>
    </row>
    <row r="23" spans="1:31" ht="14.1" customHeight="1" x14ac:dyDescent="0.25">
      <c r="A23" s="46" t="s">
        <v>185</v>
      </c>
      <c r="B23" s="46" t="s">
        <v>291</v>
      </c>
      <c r="C23" s="46" t="s">
        <v>292</v>
      </c>
      <c r="D23" s="46" t="s">
        <v>294</v>
      </c>
      <c r="E23" s="46"/>
      <c r="F23" s="50"/>
      <c r="G23" s="50"/>
      <c r="H23" s="56" t="s">
        <v>49</v>
      </c>
      <c r="I23" s="57"/>
      <c r="J23" s="57"/>
      <c r="K23" s="52"/>
      <c r="L23" s="52"/>
      <c r="M23" s="52"/>
      <c r="N23" s="52"/>
      <c r="O23" s="52"/>
      <c r="P23" s="52"/>
      <c r="Q23" s="52"/>
      <c r="R23" s="52"/>
      <c r="S23" s="52"/>
      <c r="T23" s="54"/>
      <c r="U23" s="54">
        <v>202035965.30119014</v>
      </c>
      <c r="V23" s="54">
        <v>0</v>
      </c>
      <c r="W23" s="54"/>
      <c r="X23" s="46"/>
      <c r="Y23" s="58">
        <v>75843903.12156269</v>
      </c>
      <c r="Z23" s="46"/>
      <c r="AA23" s="46"/>
      <c r="AB23" s="46"/>
      <c r="AC23" s="46"/>
      <c r="AD23" s="46"/>
    </row>
    <row r="24" spans="1:31" ht="14.1" customHeight="1" x14ac:dyDescent="0.25">
      <c r="A24" s="46" t="s">
        <v>296</v>
      </c>
      <c r="B24" s="46" t="s">
        <v>291</v>
      </c>
      <c r="C24" s="46" t="s">
        <v>292</v>
      </c>
      <c r="D24" s="46" t="s">
        <v>293</v>
      </c>
      <c r="E24" s="46"/>
      <c r="F24" s="50"/>
      <c r="G24" s="50"/>
      <c r="H24" s="56" t="s">
        <v>49</v>
      </c>
      <c r="I24" s="57"/>
      <c r="J24" s="57"/>
      <c r="K24" s="52"/>
      <c r="L24" s="52"/>
      <c r="M24" s="52"/>
      <c r="N24" s="52"/>
      <c r="O24" s="52"/>
      <c r="P24" s="52"/>
      <c r="Q24" s="52"/>
      <c r="R24" s="52"/>
      <c r="S24" s="52"/>
      <c r="T24" s="54">
        <v>5973567.5699999966</v>
      </c>
      <c r="U24" s="54">
        <v>0</v>
      </c>
      <c r="V24" s="54">
        <v>0</v>
      </c>
      <c r="W24" s="54"/>
      <c r="X24" s="46"/>
      <c r="Y24" s="58">
        <v>1647175.0264981817</v>
      </c>
      <c r="Z24" s="46"/>
      <c r="AA24" s="46"/>
      <c r="AB24" s="46"/>
      <c r="AC24" s="46"/>
      <c r="AD24" s="46"/>
    </row>
    <row r="25" spans="1:31" ht="14.1" customHeight="1" x14ac:dyDescent="0.25">
      <c r="A25" s="46" t="s">
        <v>297</v>
      </c>
      <c r="B25" s="46" t="s">
        <v>291</v>
      </c>
      <c r="C25" s="46" t="s">
        <v>292</v>
      </c>
      <c r="D25" s="46" t="s">
        <v>293</v>
      </c>
      <c r="E25" s="46"/>
      <c r="F25" s="50"/>
      <c r="G25" s="50"/>
      <c r="H25" s="56" t="s">
        <v>49</v>
      </c>
      <c r="I25" s="57"/>
      <c r="J25" s="57"/>
      <c r="K25" s="52"/>
      <c r="L25" s="52"/>
      <c r="M25" s="52"/>
      <c r="N25" s="52"/>
      <c r="O25" s="52"/>
      <c r="P25" s="52"/>
      <c r="Q25" s="52"/>
      <c r="R25" s="52"/>
      <c r="S25" s="52"/>
      <c r="T25" s="54">
        <v>96871737.75000076</v>
      </c>
      <c r="U25" s="54">
        <v>0</v>
      </c>
      <c r="V25" s="54">
        <v>0</v>
      </c>
      <c r="W25" s="54"/>
      <c r="X25" s="46"/>
      <c r="Y25" s="58">
        <v>58048939.991533652</v>
      </c>
      <c r="Z25" s="46"/>
      <c r="AA25" s="46"/>
      <c r="AB25" s="46"/>
      <c r="AC25" s="46"/>
      <c r="AD25" s="46"/>
    </row>
    <row r="26" spans="1:31" ht="14.1" customHeight="1" x14ac:dyDescent="0.25">
      <c r="A26" s="46" t="s">
        <v>297</v>
      </c>
      <c r="B26" s="46" t="s">
        <v>291</v>
      </c>
      <c r="C26" s="46" t="s">
        <v>292</v>
      </c>
      <c r="D26" s="46" t="s">
        <v>294</v>
      </c>
      <c r="E26" s="46"/>
      <c r="F26" s="50"/>
      <c r="G26" s="50"/>
      <c r="H26" s="56" t="s">
        <v>49</v>
      </c>
      <c r="I26" s="57"/>
      <c r="J26" s="57"/>
      <c r="K26" s="52"/>
      <c r="L26" s="52"/>
      <c r="M26" s="52"/>
      <c r="N26" s="52"/>
      <c r="O26" s="52"/>
      <c r="P26" s="52"/>
      <c r="Q26" s="52"/>
      <c r="R26" s="52"/>
      <c r="S26" s="52"/>
      <c r="T26" s="54"/>
      <c r="U26" s="54">
        <v>39857025.539999969</v>
      </c>
      <c r="V26" s="54">
        <v>0</v>
      </c>
      <c r="W26" s="54"/>
      <c r="X26" s="46"/>
      <c r="Y26" s="58">
        <v>20859020.983254999</v>
      </c>
      <c r="Z26" s="46"/>
      <c r="AA26" s="46"/>
      <c r="AB26" s="46"/>
      <c r="AC26" s="46"/>
      <c r="AD26" s="46"/>
    </row>
    <row r="27" spans="1:31" ht="14.1" customHeight="1" x14ac:dyDescent="0.25">
      <c r="A27" s="46" t="s">
        <v>210</v>
      </c>
      <c r="B27" s="46" t="s">
        <v>291</v>
      </c>
      <c r="C27" s="46" t="s">
        <v>298</v>
      </c>
      <c r="D27" s="46" t="s">
        <v>299</v>
      </c>
      <c r="E27" s="46"/>
      <c r="F27" s="50"/>
      <c r="G27" s="50"/>
      <c r="H27" s="56" t="s">
        <v>49</v>
      </c>
      <c r="I27" s="57">
        <v>973063.07778321125</v>
      </c>
      <c r="J27" s="57"/>
      <c r="K27" s="52"/>
      <c r="L27" s="52"/>
      <c r="M27" s="52"/>
      <c r="N27" s="52"/>
      <c r="O27" s="52"/>
      <c r="P27" s="52"/>
      <c r="Q27" s="52"/>
      <c r="R27" s="52"/>
      <c r="S27" s="52"/>
      <c r="T27" s="54"/>
      <c r="U27" s="54"/>
      <c r="V27" s="54"/>
      <c r="W27" s="54"/>
      <c r="X27" s="46"/>
      <c r="Y27" s="46"/>
      <c r="Z27" s="46"/>
      <c r="AA27" s="46"/>
      <c r="AB27" s="46"/>
      <c r="AC27" s="46"/>
      <c r="AD27" s="46"/>
      <c r="AE27" s="1" t="s">
        <v>300</v>
      </c>
    </row>
    <row r="28" spans="1:31" ht="14.1" customHeight="1" x14ac:dyDescent="0.25">
      <c r="A28" s="46" t="s">
        <v>255</v>
      </c>
      <c r="B28" s="46" t="s">
        <v>291</v>
      </c>
      <c r="C28" s="46" t="s">
        <v>298</v>
      </c>
      <c r="D28" s="46" t="s">
        <v>299</v>
      </c>
      <c r="E28" s="46"/>
      <c r="F28" s="50"/>
      <c r="G28" s="50"/>
      <c r="H28" s="56" t="s">
        <v>49</v>
      </c>
      <c r="I28" s="57">
        <v>1284322.225178503</v>
      </c>
      <c r="J28" s="57"/>
      <c r="K28" s="52"/>
      <c r="L28" s="52"/>
      <c r="M28" s="52"/>
      <c r="N28" s="52"/>
      <c r="O28" s="52"/>
      <c r="P28" s="52"/>
      <c r="Q28" s="52"/>
      <c r="R28" s="52"/>
      <c r="S28" s="52"/>
      <c r="T28" s="54"/>
      <c r="U28" s="54"/>
      <c r="V28" s="54"/>
      <c r="W28" s="54"/>
      <c r="X28" s="46"/>
      <c r="Y28" s="46"/>
      <c r="Z28" s="46"/>
      <c r="AA28" s="46"/>
      <c r="AB28" s="46"/>
      <c r="AC28" s="46"/>
      <c r="AD28" s="46"/>
      <c r="AE28" s="1" t="s">
        <v>300</v>
      </c>
    </row>
    <row r="29" spans="1:31" ht="14.1" customHeight="1" x14ac:dyDescent="0.25">
      <c r="A29" s="46" t="s">
        <v>205</v>
      </c>
      <c r="B29" s="46" t="s">
        <v>291</v>
      </c>
      <c r="C29" s="46" t="s">
        <v>298</v>
      </c>
      <c r="D29" s="46" t="s">
        <v>299</v>
      </c>
      <c r="E29" s="46"/>
      <c r="F29" s="50"/>
      <c r="G29" s="50"/>
      <c r="H29" s="56" t="s">
        <v>49</v>
      </c>
      <c r="I29" s="57">
        <v>1732123.1739566694</v>
      </c>
      <c r="J29" s="57"/>
      <c r="K29" s="52"/>
      <c r="L29" s="52"/>
      <c r="M29" s="52"/>
      <c r="N29" s="52"/>
      <c r="O29" s="52"/>
      <c r="P29" s="52"/>
      <c r="Q29" s="52"/>
      <c r="R29" s="52"/>
      <c r="S29" s="52"/>
      <c r="T29" s="54"/>
      <c r="U29" s="54"/>
      <c r="V29" s="54"/>
      <c r="W29" s="54"/>
      <c r="X29" s="46"/>
      <c r="Y29" s="46"/>
      <c r="Z29" s="46"/>
      <c r="AA29" s="46"/>
      <c r="AB29" s="46"/>
      <c r="AC29" s="46"/>
      <c r="AD29" s="46"/>
      <c r="AE29" s="1" t="s">
        <v>300</v>
      </c>
    </row>
    <row r="30" spans="1:31" ht="14.1" customHeight="1" x14ac:dyDescent="0.25">
      <c r="A30" s="46" t="s">
        <v>235</v>
      </c>
      <c r="B30" s="46" t="s">
        <v>291</v>
      </c>
      <c r="C30" s="46" t="s">
        <v>298</v>
      </c>
      <c r="D30" s="46" t="s">
        <v>299</v>
      </c>
      <c r="E30" s="46"/>
      <c r="F30" s="50"/>
      <c r="G30" s="50"/>
      <c r="H30" s="56" t="s">
        <v>49</v>
      </c>
      <c r="I30" s="57">
        <v>1183998.7546954493</v>
      </c>
      <c r="J30" s="57"/>
      <c r="K30" s="52"/>
      <c r="L30" s="52"/>
      <c r="M30" s="52"/>
      <c r="N30" s="52"/>
      <c r="O30" s="52"/>
      <c r="P30" s="52"/>
      <c r="Q30" s="52"/>
      <c r="R30" s="52"/>
      <c r="S30" s="52"/>
      <c r="T30" s="54"/>
      <c r="U30" s="54"/>
      <c r="V30" s="54"/>
      <c r="W30" s="54"/>
      <c r="X30" s="46"/>
      <c r="Y30" s="46"/>
      <c r="Z30" s="46"/>
      <c r="AA30" s="46"/>
      <c r="AB30" s="46"/>
      <c r="AC30" s="46"/>
      <c r="AD30" s="46"/>
      <c r="AE30" s="1" t="s">
        <v>300</v>
      </c>
    </row>
    <row r="31" spans="1:31" ht="14.1" customHeight="1" x14ac:dyDescent="0.25">
      <c r="A31" s="46" t="s">
        <v>247</v>
      </c>
      <c r="B31" s="46" t="s">
        <v>291</v>
      </c>
      <c r="C31" s="46" t="s">
        <v>298</v>
      </c>
      <c r="D31" s="46" t="s">
        <v>299</v>
      </c>
      <c r="E31" s="46"/>
      <c r="F31" s="50"/>
      <c r="G31" s="50"/>
      <c r="H31" s="56" t="s">
        <v>49</v>
      </c>
      <c r="I31" s="57">
        <v>4528032.3227405883</v>
      </c>
      <c r="J31" s="57"/>
      <c r="K31" s="52"/>
      <c r="L31" s="52"/>
      <c r="M31" s="52"/>
      <c r="N31" s="52"/>
      <c r="O31" s="52"/>
      <c r="P31" s="52"/>
      <c r="Q31" s="52"/>
      <c r="R31" s="52"/>
      <c r="S31" s="52"/>
      <c r="T31" s="54"/>
      <c r="U31" s="54"/>
      <c r="V31" s="54"/>
      <c r="W31" s="54"/>
      <c r="X31" s="46"/>
      <c r="Y31" s="46"/>
      <c r="Z31" s="46"/>
      <c r="AA31" s="46"/>
      <c r="AB31" s="46"/>
      <c r="AC31" s="46"/>
      <c r="AD31" s="46"/>
      <c r="AE31" s="1" t="s">
        <v>300</v>
      </c>
    </row>
    <row r="32" spans="1:31" ht="14.1" customHeight="1" x14ac:dyDescent="0.25">
      <c r="A32" s="46" t="s">
        <v>168</v>
      </c>
      <c r="B32" s="46" t="s">
        <v>291</v>
      </c>
      <c r="C32" s="46" t="s">
        <v>298</v>
      </c>
      <c r="D32" s="46" t="s">
        <v>299</v>
      </c>
      <c r="E32" s="46"/>
      <c r="F32" s="50"/>
      <c r="G32" s="50"/>
      <c r="H32" s="56" t="s">
        <v>49</v>
      </c>
      <c r="I32" s="57">
        <v>2979722.6300543761</v>
      </c>
      <c r="J32" s="57"/>
      <c r="K32" s="52"/>
      <c r="L32" s="52"/>
      <c r="M32" s="52"/>
      <c r="N32" s="52"/>
      <c r="O32" s="52"/>
      <c r="P32" s="52"/>
      <c r="Q32" s="52"/>
      <c r="R32" s="52"/>
      <c r="S32" s="52"/>
      <c r="T32" s="54"/>
      <c r="U32" s="54"/>
      <c r="V32" s="54"/>
      <c r="W32" s="54"/>
      <c r="X32" s="46"/>
      <c r="Y32" s="46"/>
      <c r="Z32" s="46"/>
      <c r="AA32" s="46"/>
      <c r="AB32" s="46"/>
      <c r="AC32" s="46"/>
      <c r="AD32" s="46"/>
      <c r="AE32" s="1" t="s">
        <v>300</v>
      </c>
    </row>
    <row r="33" spans="1:31" ht="14.1" customHeight="1" x14ac:dyDescent="0.25">
      <c r="A33" s="46" t="s">
        <v>156</v>
      </c>
      <c r="B33" s="46" t="s">
        <v>291</v>
      </c>
      <c r="C33" s="46" t="s">
        <v>298</v>
      </c>
      <c r="D33" s="46" t="s">
        <v>299</v>
      </c>
      <c r="E33" s="46"/>
      <c r="F33" s="50"/>
      <c r="G33" s="50"/>
      <c r="H33" s="56" t="s">
        <v>49</v>
      </c>
      <c r="I33" s="57">
        <v>4739026.6542581888</v>
      </c>
      <c r="J33" s="57"/>
      <c r="K33" s="52"/>
      <c r="L33" s="52"/>
      <c r="M33" s="52"/>
      <c r="N33" s="52"/>
      <c r="O33" s="52"/>
      <c r="P33" s="52"/>
      <c r="Q33" s="52"/>
      <c r="R33" s="52"/>
      <c r="S33" s="52"/>
      <c r="T33" s="54"/>
      <c r="U33" s="54"/>
      <c r="V33" s="54"/>
      <c r="W33" s="54"/>
      <c r="X33" s="46"/>
      <c r="Y33" s="46"/>
      <c r="Z33" s="46"/>
      <c r="AA33" s="46"/>
      <c r="AB33" s="46"/>
      <c r="AC33" s="46"/>
      <c r="AD33" s="46"/>
      <c r="AE33" s="1" t="s">
        <v>300</v>
      </c>
    </row>
    <row r="34" spans="1:31" ht="14.1" customHeight="1" x14ac:dyDescent="0.25">
      <c r="A34" s="46" t="s">
        <v>171</v>
      </c>
      <c r="B34" s="46" t="s">
        <v>291</v>
      </c>
      <c r="C34" s="46" t="s">
        <v>298</v>
      </c>
      <c r="D34" s="46" t="s">
        <v>299</v>
      </c>
      <c r="E34" s="46"/>
      <c r="F34" s="50"/>
      <c r="G34" s="50"/>
      <c r="H34" s="56" t="s">
        <v>49</v>
      </c>
      <c r="I34" s="57">
        <v>4968506.8015938709</v>
      </c>
      <c r="J34" s="57"/>
      <c r="K34" s="52"/>
      <c r="L34" s="52"/>
      <c r="M34" s="52"/>
      <c r="N34" s="52"/>
      <c r="O34" s="52"/>
      <c r="P34" s="52"/>
      <c r="Q34" s="52"/>
      <c r="R34" s="52"/>
      <c r="S34" s="52"/>
      <c r="T34" s="54"/>
      <c r="U34" s="54"/>
      <c r="V34" s="54"/>
      <c r="W34" s="54"/>
      <c r="X34" s="46"/>
      <c r="Y34" s="46"/>
      <c r="Z34" s="46"/>
      <c r="AA34" s="46"/>
      <c r="AB34" s="46"/>
      <c r="AC34" s="46"/>
      <c r="AD34" s="46"/>
      <c r="AE34" s="1" t="s">
        <v>300</v>
      </c>
    </row>
    <row r="35" spans="1:31" ht="14.1" customHeight="1" x14ac:dyDescent="0.25">
      <c r="A35" s="46" t="s">
        <v>165</v>
      </c>
      <c r="B35" s="46" t="s">
        <v>291</v>
      </c>
      <c r="C35" s="46" t="s">
        <v>298</v>
      </c>
      <c r="D35" s="46" t="s">
        <v>299</v>
      </c>
      <c r="E35" s="46"/>
      <c r="F35" s="50"/>
      <c r="G35" s="50"/>
      <c r="H35" s="56" t="s">
        <v>49</v>
      </c>
      <c r="I35" s="57">
        <v>2203885.0860657538</v>
      </c>
      <c r="J35" s="57"/>
      <c r="K35" s="52"/>
      <c r="L35" s="52"/>
      <c r="M35" s="52"/>
      <c r="N35" s="52"/>
      <c r="O35" s="52"/>
      <c r="P35" s="52"/>
      <c r="Q35" s="52"/>
      <c r="R35" s="52"/>
      <c r="S35" s="52"/>
      <c r="T35" s="54"/>
      <c r="U35" s="54"/>
      <c r="V35" s="54"/>
      <c r="W35" s="54"/>
      <c r="X35" s="46"/>
      <c r="Y35" s="46"/>
      <c r="Z35" s="46"/>
      <c r="AA35" s="46"/>
      <c r="AB35" s="46"/>
      <c r="AC35" s="46"/>
      <c r="AD35" s="46"/>
      <c r="AE35" s="1" t="s">
        <v>300</v>
      </c>
    </row>
    <row r="36" spans="1:31" ht="14.1" customHeight="1" x14ac:dyDescent="0.25">
      <c r="A36" s="46" t="s">
        <v>174</v>
      </c>
      <c r="B36" s="46" t="s">
        <v>291</v>
      </c>
      <c r="C36" s="46" t="s">
        <v>298</v>
      </c>
      <c r="D36" s="46" t="s">
        <v>299</v>
      </c>
      <c r="E36" s="46"/>
      <c r="F36" s="50"/>
      <c r="G36" s="50"/>
      <c r="H36" s="56" t="s">
        <v>49</v>
      </c>
      <c r="I36" s="57">
        <v>3042784.7210369534</v>
      </c>
      <c r="J36" s="57"/>
      <c r="K36" s="52"/>
      <c r="L36" s="52"/>
      <c r="M36" s="52"/>
      <c r="N36" s="52"/>
      <c r="O36" s="52"/>
      <c r="P36" s="52"/>
      <c r="Q36" s="52"/>
      <c r="R36" s="52"/>
      <c r="S36" s="52"/>
      <c r="T36" s="54"/>
      <c r="U36" s="54"/>
      <c r="V36" s="54"/>
      <c r="W36" s="54"/>
      <c r="X36" s="46"/>
      <c r="Y36" s="46"/>
      <c r="Z36" s="46"/>
      <c r="AA36" s="46"/>
      <c r="AB36" s="46"/>
      <c r="AC36" s="46"/>
      <c r="AD36" s="46"/>
      <c r="AE36" s="1" t="s">
        <v>300</v>
      </c>
    </row>
    <row r="37" spans="1:31" ht="14.1" customHeight="1" x14ac:dyDescent="0.25">
      <c r="A37" s="46" t="s">
        <v>212</v>
      </c>
      <c r="B37" s="46" t="s">
        <v>291</v>
      </c>
      <c r="C37" s="46" t="s">
        <v>298</v>
      </c>
      <c r="D37" s="46" t="s">
        <v>299</v>
      </c>
      <c r="E37" s="46"/>
      <c r="F37" s="50"/>
      <c r="G37" s="50"/>
      <c r="H37" s="56" t="s">
        <v>49</v>
      </c>
      <c r="I37" s="57">
        <v>4023682.8871393208</v>
      </c>
      <c r="J37" s="57"/>
      <c r="K37" s="52"/>
      <c r="L37" s="52"/>
      <c r="M37" s="52"/>
      <c r="N37" s="52"/>
      <c r="O37" s="52"/>
      <c r="P37" s="52"/>
      <c r="Q37" s="52"/>
      <c r="R37" s="52"/>
      <c r="S37" s="52"/>
      <c r="T37" s="54"/>
      <c r="U37" s="54"/>
      <c r="V37" s="54"/>
      <c r="W37" s="54"/>
      <c r="X37" s="46"/>
      <c r="Y37" s="46"/>
      <c r="Z37" s="46"/>
      <c r="AA37" s="46"/>
      <c r="AB37" s="46"/>
      <c r="AC37" s="46"/>
      <c r="AD37" s="46"/>
      <c r="AE37" s="1" t="s">
        <v>300</v>
      </c>
    </row>
    <row r="38" spans="1:31" ht="14.1" customHeight="1" x14ac:dyDescent="0.25">
      <c r="A38" s="46" t="s">
        <v>248</v>
      </c>
      <c r="B38" s="46" t="s">
        <v>291</v>
      </c>
      <c r="C38" s="46" t="s">
        <v>298</v>
      </c>
      <c r="D38" s="46" t="s">
        <v>299</v>
      </c>
      <c r="E38" s="46"/>
      <c r="F38" s="50"/>
      <c r="G38" s="50"/>
      <c r="H38" s="56" t="s">
        <v>49</v>
      </c>
      <c r="I38" s="57">
        <v>1880421.7924100675</v>
      </c>
      <c r="J38" s="57"/>
      <c r="K38" s="52"/>
      <c r="L38" s="52"/>
      <c r="M38" s="52"/>
      <c r="N38" s="52"/>
      <c r="O38" s="52"/>
      <c r="P38" s="52"/>
      <c r="Q38" s="52"/>
      <c r="R38" s="52"/>
      <c r="S38" s="52"/>
      <c r="T38" s="54"/>
      <c r="U38" s="54"/>
      <c r="V38" s="54"/>
      <c r="W38" s="54"/>
      <c r="X38" s="46"/>
      <c r="Y38" s="46"/>
      <c r="Z38" s="46"/>
      <c r="AA38" s="46"/>
      <c r="AB38" s="46"/>
      <c r="AC38" s="46"/>
      <c r="AD38" s="46"/>
      <c r="AE38" s="1" t="s">
        <v>300</v>
      </c>
    </row>
    <row r="39" spans="1:31" ht="14.1" customHeight="1" x14ac:dyDescent="0.25">
      <c r="A39" s="46" t="s">
        <v>251</v>
      </c>
      <c r="B39" s="46" t="s">
        <v>291</v>
      </c>
      <c r="C39" s="46" t="s">
        <v>298</v>
      </c>
      <c r="D39" s="46" t="s">
        <v>299</v>
      </c>
      <c r="E39" s="46"/>
      <c r="F39" s="50"/>
      <c r="G39" s="50"/>
      <c r="H39" s="56" t="s">
        <v>49</v>
      </c>
      <c r="I39" s="57">
        <v>27130505.840957616</v>
      </c>
      <c r="J39" s="57"/>
      <c r="K39" s="52"/>
      <c r="L39" s="52"/>
      <c r="M39" s="52"/>
      <c r="N39" s="52"/>
      <c r="O39" s="52"/>
      <c r="P39" s="52"/>
      <c r="Q39" s="52"/>
      <c r="R39" s="52"/>
      <c r="S39" s="52"/>
      <c r="T39" s="54"/>
      <c r="U39" s="54"/>
      <c r="V39" s="54"/>
      <c r="W39" s="54"/>
      <c r="X39" s="46"/>
      <c r="Y39" s="46"/>
      <c r="Z39" s="46"/>
      <c r="AA39" s="46"/>
      <c r="AB39" s="46"/>
      <c r="AC39" s="46"/>
      <c r="AD39" s="46"/>
      <c r="AE39" s="1" t="s">
        <v>300</v>
      </c>
    </row>
    <row r="40" spans="1:31" ht="14.1" customHeight="1" x14ac:dyDescent="0.25">
      <c r="A40" s="46" t="s">
        <v>248</v>
      </c>
      <c r="B40" s="46" t="s">
        <v>291</v>
      </c>
      <c r="C40" s="46" t="s">
        <v>298</v>
      </c>
      <c r="D40" s="46" t="s">
        <v>299</v>
      </c>
      <c r="E40" s="46"/>
      <c r="F40" s="50"/>
      <c r="G40" s="50"/>
      <c r="H40" s="56" t="s">
        <v>49</v>
      </c>
      <c r="I40" s="57">
        <v>8930720.8169237953</v>
      </c>
      <c r="J40" s="57"/>
      <c r="K40" s="52"/>
      <c r="L40" s="52"/>
      <c r="M40" s="52"/>
      <c r="N40" s="52"/>
      <c r="O40" s="52"/>
      <c r="P40" s="52"/>
      <c r="Q40" s="52"/>
      <c r="R40" s="52"/>
      <c r="S40" s="52"/>
      <c r="T40" s="54"/>
      <c r="U40" s="54"/>
      <c r="V40" s="54"/>
      <c r="W40" s="54"/>
      <c r="X40" s="46"/>
      <c r="Y40" s="46"/>
      <c r="Z40" s="46"/>
      <c r="AA40" s="46"/>
      <c r="AB40" s="46"/>
      <c r="AC40" s="46"/>
      <c r="AD40" s="46"/>
      <c r="AE40" s="1" t="s">
        <v>300</v>
      </c>
    </row>
    <row r="41" spans="1:31" ht="14.1" customHeight="1" x14ac:dyDescent="0.25">
      <c r="A41" s="46" t="s">
        <v>229</v>
      </c>
      <c r="B41" s="46" t="s">
        <v>291</v>
      </c>
      <c r="C41" s="46" t="s">
        <v>298</v>
      </c>
      <c r="D41" s="46" t="s">
        <v>299</v>
      </c>
      <c r="E41" s="46"/>
      <c r="F41" s="50"/>
      <c r="G41" s="50"/>
      <c r="H41" s="56" t="s">
        <v>301</v>
      </c>
      <c r="I41" s="57">
        <v>193413695.79842499</v>
      </c>
      <c r="J41" s="57"/>
      <c r="K41" s="52"/>
      <c r="L41" s="52"/>
      <c r="M41" s="52"/>
      <c r="N41" s="52"/>
      <c r="O41" s="52"/>
      <c r="P41" s="52"/>
      <c r="Q41" s="52"/>
      <c r="R41" s="52"/>
      <c r="S41" s="52"/>
      <c r="T41" s="54"/>
      <c r="U41" s="54"/>
      <c r="V41" s="54"/>
      <c r="W41" s="54"/>
      <c r="X41" s="46"/>
      <c r="Y41" s="46"/>
      <c r="Z41" s="46"/>
      <c r="AA41" s="46"/>
      <c r="AB41" s="46"/>
      <c r="AC41" s="46"/>
      <c r="AD41" s="46"/>
      <c r="AE41" s="1" t="s">
        <v>300</v>
      </c>
    </row>
    <row r="42" spans="1:31" ht="14.1" customHeight="1" x14ac:dyDescent="0.25">
      <c r="A42" s="46" t="s">
        <v>253</v>
      </c>
      <c r="B42" s="46" t="s">
        <v>291</v>
      </c>
      <c r="C42" s="46" t="s">
        <v>298</v>
      </c>
      <c r="D42" s="46" t="s">
        <v>299</v>
      </c>
      <c r="E42" s="46"/>
      <c r="F42" s="50"/>
      <c r="G42" s="50"/>
      <c r="H42" s="56" t="s">
        <v>301</v>
      </c>
      <c r="I42" s="57">
        <v>28521750.036892459</v>
      </c>
      <c r="J42" s="57"/>
      <c r="K42" s="52"/>
      <c r="L42" s="52"/>
      <c r="M42" s="52"/>
      <c r="N42" s="52"/>
      <c r="O42" s="52"/>
      <c r="P42" s="52"/>
      <c r="Q42" s="52"/>
      <c r="R42" s="52"/>
      <c r="S42" s="52"/>
      <c r="T42" s="54"/>
      <c r="U42" s="54"/>
      <c r="V42" s="54"/>
      <c r="W42" s="54"/>
      <c r="X42" s="46"/>
      <c r="Y42" s="46"/>
      <c r="Z42" s="46"/>
      <c r="AA42" s="46"/>
      <c r="AB42" s="46"/>
      <c r="AC42" s="46"/>
      <c r="AD42" s="46"/>
      <c r="AE42" s="1" t="s">
        <v>300</v>
      </c>
    </row>
    <row r="43" spans="1:31" ht="14.1" customHeight="1" x14ac:dyDescent="0.25">
      <c r="A43" s="46" t="s">
        <v>258</v>
      </c>
      <c r="B43" s="46" t="s">
        <v>291</v>
      </c>
      <c r="C43" s="46" t="s">
        <v>298</v>
      </c>
      <c r="D43" s="46" t="s">
        <v>299</v>
      </c>
      <c r="E43" s="46"/>
      <c r="F43" s="50"/>
      <c r="G43" s="50"/>
      <c r="H43" s="56" t="s">
        <v>301</v>
      </c>
      <c r="I43" s="57">
        <v>1384314.2112077558</v>
      </c>
      <c r="J43" s="57"/>
      <c r="K43" s="52"/>
      <c r="L43" s="52"/>
      <c r="M43" s="52"/>
      <c r="N43" s="52"/>
      <c r="O43" s="52"/>
      <c r="P43" s="52"/>
      <c r="Q43" s="52"/>
      <c r="R43" s="52"/>
      <c r="S43" s="52"/>
      <c r="T43" s="54"/>
      <c r="U43" s="54"/>
      <c r="V43" s="54"/>
      <c r="W43" s="54"/>
      <c r="X43" s="46"/>
      <c r="Y43" s="46"/>
      <c r="Z43" s="46"/>
      <c r="AA43" s="46"/>
      <c r="AB43" s="46"/>
      <c r="AC43" s="46"/>
      <c r="AD43" s="46"/>
      <c r="AE43" s="1" t="s">
        <v>300</v>
      </c>
    </row>
    <row r="44" spans="1:31" ht="14.1" customHeight="1" x14ac:dyDescent="0.25">
      <c r="A44" s="46" t="s">
        <v>249</v>
      </c>
      <c r="B44" s="46" t="s">
        <v>291</v>
      </c>
      <c r="C44" s="46" t="s">
        <v>298</v>
      </c>
      <c r="D44" s="46" t="s">
        <v>299</v>
      </c>
      <c r="E44" s="46"/>
      <c r="F44" s="50"/>
      <c r="G44" s="50"/>
      <c r="H44" s="56" t="s">
        <v>301</v>
      </c>
      <c r="I44" s="57">
        <v>22746542.853066351</v>
      </c>
      <c r="J44" s="57"/>
      <c r="K44" s="52"/>
      <c r="L44" s="52"/>
      <c r="M44" s="52"/>
      <c r="N44" s="52"/>
      <c r="O44" s="52"/>
      <c r="P44" s="52"/>
      <c r="Q44" s="52"/>
      <c r="R44" s="52"/>
      <c r="S44" s="52"/>
      <c r="T44" s="54"/>
      <c r="U44" s="54"/>
      <c r="V44" s="54"/>
      <c r="W44" s="54"/>
      <c r="X44" s="46"/>
      <c r="Y44" s="46"/>
      <c r="Z44" s="46"/>
      <c r="AA44" s="46"/>
      <c r="AB44" s="46"/>
      <c r="AC44" s="46"/>
      <c r="AD44" s="46"/>
      <c r="AE44" s="1" t="s">
        <v>300</v>
      </c>
    </row>
    <row r="45" spans="1:31" ht="14.1" customHeight="1" x14ac:dyDescent="0.25">
      <c r="A45" s="46" t="s">
        <v>215</v>
      </c>
      <c r="B45" s="46" t="s">
        <v>291</v>
      </c>
      <c r="C45" s="46" t="s">
        <v>298</v>
      </c>
      <c r="D45" s="46" t="s">
        <v>299</v>
      </c>
      <c r="E45" s="46"/>
      <c r="F45" s="50"/>
      <c r="G45" s="50"/>
      <c r="H45" s="56" t="s">
        <v>301</v>
      </c>
      <c r="I45" s="57">
        <v>2348828.3742962028</v>
      </c>
      <c r="J45" s="57"/>
      <c r="K45" s="52"/>
      <c r="L45" s="52"/>
      <c r="M45" s="52"/>
      <c r="N45" s="52"/>
      <c r="O45" s="52"/>
      <c r="P45" s="52"/>
      <c r="Q45" s="52"/>
      <c r="R45" s="52"/>
      <c r="S45" s="52"/>
      <c r="T45" s="54"/>
      <c r="U45" s="54"/>
      <c r="V45" s="54"/>
      <c r="W45" s="54"/>
      <c r="X45" s="46"/>
      <c r="Y45" s="46"/>
      <c r="Z45" s="46"/>
      <c r="AA45" s="46"/>
      <c r="AB45" s="46"/>
      <c r="AC45" s="46"/>
      <c r="AD45" s="46"/>
      <c r="AE45" s="1" t="s">
        <v>300</v>
      </c>
    </row>
    <row r="46" spans="1:31" ht="14.1" customHeight="1" x14ac:dyDescent="0.25">
      <c r="A46" s="46" t="s">
        <v>228</v>
      </c>
      <c r="B46" s="46" t="s">
        <v>291</v>
      </c>
      <c r="C46" s="46" t="s">
        <v>298</v>
      </c>
      <c r="D46" s="46" t="s">
        <v>299</v>
      </c>
      <c r="E46" s="46"/>
      <c r="F46" s="50"/>
      <c r="G46" s="50"/>
      <c r="H46" s="56" t="s">
        <v>301</v>
      </c>
      <c r="I46" s="57">
        <v>1595653.2482846803</v>
      </c>
      <c r="J46" s="57"/>
      <c r="K46" s="52"/>
      <c r="L46" s="52"/>
      <c r="M46" s="52"/>
      <c r="N46" s="52"/>
      <c r="O46" s="52"/>
      <c r="P46" s="52"/>
      <c r="Q46" s="52"/>
      <c r="R46" s="52"/>
      <c r="S46" s="52"/>
      <c r="T46" s="54"/>
      <c r="U46" s="54"/>
      <c r="V46" s="54"/>
      <c r="W46" s="54"/>
      <c r="X46" s="46"/>
      <c r="Y46" s="46"/>
      <c r="Z46" s="46"/>
      <c r="AA46" s="46"/>
      <c r="AB46" s="46"/>
      <c r="AC46" s="46"/>
      <c r="AD46" s="46"/>
      <c r="AE46" s="1" t="s">
        <v>300</v>
      </c>
    </row>
    <row r="47" spans="1:31" ht="14.1" customHeight="1" x14ac:dyDescent="0.25">
      <c r="A47" s="46" t="s">
        <v>241</v>
      </c>
      <c r="B47" s="46" t="s">
        <v>291</v>
      </c>
      <c r="C47" s="46" t="s">
        <v>298</v>
      </c>
      <c r="D47" s="46" t="s">
        <v>299</v>
      </c>
      <c r="E47" s="46"/>
      <c r="F47" s="50"/>
      <c r="G47" s="50"/>
      <c r="H47" s="56" t="s">
        <v>301</v>
      </c>
      <c r="I47" s="57">
        <v>11732044.909700001</v>
      </c>
      <c r="J47" s="57"/>
      <c r="K47" s="52"/>
      <c r="L47" s="52"/>
      <c r="M47" s="52"/>
      <c r="N47" s="52"/>
      <c r="O47" s="52"/>
      <c r="P47" s="52"/>
      <c r="Q47" s="52"/>
      <c r="R47" s="52"/>
      <c r="S47" s="52"/>
      <c r="T47" s="54"/>
      <c r="U47" s="54"/>
      <c r="V47" s="54"/>
      <c r="W47" s="54"/>
      <c r="X47" s="46"/>
      <c r="Y47" s="46"/>
      <c r="Z47" s="46"/>
      <c r="AA47" s="46"/>
      <c r="AB47" s="46"/>
      <c r="AC47" s="46"/>
      <c r="AD47" s="46"/>
      <c r="AE47" s="1" t="s">
        <v>300</v>
      </c>
    </row>
    <row r="48" spans="1:31" ht="14.1" customHeight="1" x14ac:dyDescent="0.25">
      <c r="A48" s="46" t="s">
        <v>197</v>
      </c>
      <c r="B48" s="46" t="s">
        <v>291</v>
      </c>
      <c r="C48" s="46" t="s">
        <v>298</v>
      </c>
      <c r="D48" s="46" t="s">
        <v>299</v>
      </c>
      <c r="E48" s="46"/>
      <c r="F48" s="50"/>
      <c r="G48" s="50"/>
      <c r="H48" s="56" t="s">
        <v>49</v>
      </c>
      <c r="I48" s="57">
        <v>153865470.28550819</v>
      </c>
      <c r="J48" s="57"/>
      <c r="K48" s="52"/>
      <c r="L48" s="52"/>
      <c r="M48" s="52"/>
      <c r="N48" s="52"/>
      <c r="O48" s="52"/>
      <c r="P48" s="52"/>
      <c r="Q48" s="52"/>
      <c r="R48" s="52"/>
      <c r="S48" s="52"/>
      <c r="T48" s="54"/>
      <c r="U48" s="54"/>
      <c r="V48" s="54"/>
      <c r="W48" s="54"/>
      <c r="X48" s="46"/>
      <c r="Y48" s="46"/>
      <c r="Z48" s="46"/>
      <c r="AA48" s="46"/>
      <c r="AB48" s="46"/>
      <c r="AC48" s="46"/>
      <c r="AD48" s="46"/>
      <c r="AE48" s="1" t="s">
        <v>300</v>
      </c>
    </row>
    <row r="49" spans="1:31" ht="14.1" customHeight="1" x14ac:dyDescent="0.25">
      <c r="A49" s="46" t="s">
        <v>219</v>
      </c>
      <c r="B49" s="46" t="s">
        <v>291</v>
      </c>
      <c r="C49" s="46" t="s">
        <v>298</v>
      </c>
      <c r="D49" s="46" t="s">
        <v>299</v>
      </c>
      <c r="E49" s="46"/>
      <c r="F49" s="50"/>
      <c r="G49" s="50"/>
      <c r="H49" s="56" t="s">
        <v>49</v>
      </c>
      <c r="I49" s="57">
        <v>300562568.50841665</v>
      </c>
      <c r="J49" s="57"/>
      <c r="K49" s="52"/>
      <c r="L49" s="52"/>
      <c r="M49" s="52"/>
      <c r="N49" s="52"/>
      <c r="O49" s="52"/>
      <c r="P49" s="52"/>
      <c r="Q49" s="52"/>
      <c r="R49" s="52"/>
      <c r="S49" s="52"/>
      <c r="T49" s="54"/>
      <c r="U49" s="54"/>
      <c r="V49" s="54"/>
      <c r="W49" s="54"/>
      <c r="X49" s="46"/>
      <c r="Y49" s="46"/>
      <c r="Z49" s="46"/>
      <c r="AA49" s="46"/>
      <c r="AB49" s="46"/>
      <c r="AC49" s="46"/>
      <c r="AD49" s="46"/>
      <c r="AE49" s="1" t="s">
        <v>300</v>
      </c>
    </row>
    <row r="50" spans="1:31" ht="14.1" customHeight="1" x14ac:dyDescent="0.25">
      <c r="A50" s="46" t="s">
        <v>261</v>
      </c>
      <c r="B50" s="46" t="s">
        <v>291</v>
      </c>
      <c r="C50" s="46" t="s">
        <v>298</v>
      </c>
      <c r="D50" s="46" t="s">
        <v>299</v>
      </c>
      <c r="E50" s="46"/>
      <c r="F50" s="50"/>
      <c r="G50" s="50"/>
      <c r="H50" s="56" t="s">
        <v>49</v>
      </c>
      <c r="I50" s="57">
        <v>49400893.391934566</v>
      </c>
      <c r="J50" s="57"/>
      <c r="K50" s="52"/>
      <c r="L50" s="52"/>
      <c r="M50" s="52"/>
      <c r="N50" s="52"/>
      <c r="O50" s="52"/>
      <c r="P50" s="52"/>
      <c r="Q50" s="52"/>
      <c r="R50" s="52"/>
      <c r="S50" s="52"/>
      <c r="T50" s="54"/>
      <c r="U50" s="54"/>
      <c r="V50" s="54"/>
      <c r="W50" s="54"/>
      <c r="X50" s="46"/>
      <c r="Y50" s="46"/>
      <c r="Z50" s="46"/>
      <c r="AA50" s="46"/>
      <c r="AB50" s="46"/>
      <c r="AC50" s="46"/>
      <c r="AD50" s="46"/>
      <c r="AE50" s="1" t="s">
        <v>300</v>
      </c>
    </row>
    <row r="51" spans="1:31" ht="14.1" customHeight="1" x14ac:dyDescent="0.25">
      <c r="A51" s="46" t="s">
        <v>232</v>
      </c>
      <c r="B51" s="46" t="s">
        <v>291</v>
      </c>
      <c r="C51" s="46" t="s">
        <v>298</v>
      </c>
      <c r="D51" s="46" t="s">
        <v>299</v>
      </c>
      <c r="E51" s="46"/>
      <c r="F51" s="50"/>
      <c r="G51" s="50"/>
      <c r="H51" s="56" t="s">
        <v>49</v>
      </c>
      <c r="I51" s="57">
        <v>282709671.91138828</v>
      </c>
      <c r="J51" s="57"/>
      <c r="K51" s="52"/>
      <c r="L51" s="52"/>
      <c r="M51" s="52"/>
      <c r="N51" s="52"/>
      <c r="O51" s="52"/>
      <c r="P51" s="52"/>
      <c r="Q51" s="52"/>
      <c r="R51" s="52"/>
      <c r="S51" s="52"/>
      <c r="T51" s="54"/>
      <c r="U51" s="54"/>
      <c r="V51" s="54"/>
      <c r="W51" s="54"/>
      <c r="X51" s="46"/>
      <c r="Y51" s="46"/>
      <c r="Z51" s="46"/>
      <c r="AA51" s="46"/>
      <c r="AB51" s="46"/>
      <c r="AC51" s="46"/>
      <c r="AD51" s="46"/>
      <c r="AE51" s="1" t="s">
        <v>300</v>
      </c>
    </row>
    <row r="52" spans="1:31" ht="14.1" customHeight="1" x14ac:dyDescent="0.25">
      <c r="A52" s="46" t="s">
        <v>233</v>
      </c>
      <c r="B52" s="46" t="s">
        <v>291</v>
      </c>
      <c r="C52" s="46" t="s">
        <v>298</v>
      </c>
      <c r="D52" s="46" t="s">
        <v>299</v>
      </c>
      <c r="E52" s="46"/>
      <c r="F52" s="50"/>
      <c r="G52" s="50"/>
      <c r="H52" s="56" t="s">
        <v>49</v>
      </c>
      <c r="I52" s="57">
        <v>117114145.83411548</v>
      </c>
      <c r="J52" s="57"/>
      <c r="K52" s="52"/>
      <c r="L52" s="52"/>
      <c r="M52" s="52"/>
      <c r="N52" s="52"/>
      <c r="O52" s="52"/>
      <c r="P52" s="52"/>
      <c r="Q52" s="52"/>
      <c r="R52" s="52"/>
      <c r="S52" s="52"/>
      <c r="T52" s="54"/>
      <c r="U52" s="54"/>
      <c r="V52" s="54"/>
      <c r="W52" s="54"/>
      <c r="X52" s="46"/>
      <c r="Y52" s="46"/>
      <c r="Z52" s="46"/>
      <c r="AA52" s="46"/>
      <c r="AB52" s="46"/>
      <c r="AC52" s="46"/>
      <c r="AD52" s="46"/>
      <c r="AE52" s="1" t="s">
        <v>300</v>
      </c>
    </row>
    <row r="53" spans="1:31" ht="14.1" customHeight="1" x14ac:dyDescent="0.25">
      <c r="A53" s="46" t="s">
        <v>185</v>
      </c>
      <c r="B53" s="46" t="s">
        <v>291</v>
      </c>
      <c r="C53" s="46" t="s">
        <v>298</v>
      </c>
      <c r="D53" s="46" t="s">
        <v>299</v>
      </c>
      <c r="E53" s="46"/>
      <c r="F53" s="50"/>
      <c r="G53" s="50">
        <v>1</v>
      </c>
      <c r="H53" s="56" t="s">
        <v>49</v>
      </c>
      <c r="I53" s="57">
        <v>228502433.21530333</v>
      </c>
      <c r="J53" s="57"/>
      <c r="K53" s="52"/>
      <c r="L53" s="52"/>
      <c r="M53" s="52"/>
      <c r="N53" s="52"/>
      <c r="O53" s="52"/>
      <c r="P53" s="52"/>
      <c r="Q53" s="52"/>
      <c r="R53" s="52"/>
      <c r="S53" s="52"/>
      <c r="T53" s="54"/>
      <c r="U53" s="54"/>
      <c r="V53" s="54"/>
      <c r="W53" s="54"/>
      <c r="X53" s="46"/>
      <c r="Y53" s="46"/>
      <c r="Z53" s="46"/>
      <c r="AA53" s="46"/>
      <c r="AB53" s="46"/>
      <c r="AC53" s="46"/>
      <c r="AD53" s="46"/>
      <c r="AE53" s="1" t="s">
        <v>300</v>
      </c>
    </row>
    <row r="54" spans="1:31" ht="14.1" customHeight="1" x14ac:dyDescent="0.25">
      <c r="A54" s="46" t="s">
        <v>197</v>
      </c>
      <c r="B54" s="46" t="s">
        <v>291</v>
      </c>
      <c r="C54" s="46" t="s">
        <v>292</v>
      </c>
      <c r="D54" s="46" t="s">
        <v>302</v>
      </c>
      <c r="E54" s="46"/>
      <c r="F54" s="50"/>
      <c r="G54" s="50"/>
      <c r="H54" s="56" t="s">
        <v>49</v>
      </c>
      <c r="I54" s="57"/>
      <c r="J54" s="57"/>
      <c r="K54" s="52"/>
      <c r="L54" s="52"/>
      <c r="M54" s="52"/>
      <c r="N54" s="52"/>
      <c r="O54" s="52"/>
      <c r="P54" s="52"/>
      <c r="Q54" s="52"/>
      <c r="R54" s="52"/>
      <c r="S54" s="52"/>
      <c r="T54" s="54"/>
      <c r="U54" s="54"/>
      <c r="V54" s="54"/>
      <c r="W54" s="54"/>
      <c r="X54" s="58">
        <v>153865470.28550819</v>
      </c>
      <c r="Y54" s="58">
        <v>116547393.0289679</v>
      </c>
      <c r="Z54" s="46"/>
      <c r="AA54" s="46"/>
      <c r="AB54" s="46"/>
      <c r="AC54" s="46"/>
      <c r="AD54" s="46"/>
      <c r="AE54" s="1" t="s">
        <v>300</v>
      </c>
    </row>
    <row r="55" spans="1:31" ht="14.1" customHeight="1" x14ac:dyDescent="0.25">
      <c r="A55" s="46" t="s">
        <v>219</v>
      </c>
      <c r="B55" s="46" t="s">
        <v>291</v>
      </c>
      <c r="C55" s="46" t="s">
        <v>292</v>
      </c>
      <c r="D55" s="46" t="s">
        <v>302</v>
      </c>
      <c r="E55" s="46"/>
      <c r="F55" s="50"/>
      <c r="G55" s="50"/>
      <c r="H55" s="56" t="s">
        <v>49</v>
      </c>
      <c r="I55" s="57"/>
      <c r="J55" s="57"/>
      <c r="K55" s="52"/>
      <c r="L55" s="52"/>
      <c r="M55" s="52"/>
      <c r="N55" s="52"/>
      <c r="O55" s="52"/>
      <c r="P55" s="52"/>
      <c r="Q55" s="52"/>
      <c r="R55" s="52"/>
      <c r="S55" s="52"/>
      <c r="T55" s="54"/>
      <c r="U55" s="54"/>
      <c r="V55" s="54"/>
      <c r="W55" s="54"/>
      <c r="X55" s="58">
        <v>300562568.50841665</v>
      </c>
      <c r="Y55" s="58">
        <v>231806702.65685073</v>
      </c>
      <c r="Z55" s="46"/>
      <c r="AA55" s="46"/>
      <c r="AB55" s="46"/>
      <c r="AC55" s="46"/>
      <c r="AD55" s="46"/>
      <c r="AE55" s="1" t="s">
        <v>300</v>
      </c>
    </row>
    <row r="56" spans="1:31" ht="14.1" customHeight="1" x14ac:dyDescent="0.25">
      <c r="A56" s="46" t="s">
        <v>261</v>
      </c>
      <c r="B56" s="46" t="s">
        <v>291</v>
      </c>
      <c r="C56" s="46" t="s">
        <v>292</v>
      </c>
      <c r="D56" s="46" t="s">
        <v>302</v>
      </c>
      <c r="E56" s="46"/>
      <c r="F56" s="50"/>
      <c r="G56" s="50"/>
      <c r="H56" s="56" t="s">
        <v>49</v>
      </c>
      <c r="I56" s="57"/>
      <c r="J56" s="57"/>
      <c r="K56" s="52"/>
      <c r="L56" s="52"/>
      <c r="M56" s="52"/>
      <c r="N56" s="52"/>
      <c r="O56" s="52"/>
      <c r="P56" s="52"/>
      <c r="Q56" s="52"/>
      <c r="R56" s="52"/>
      <c r="S56" s="52"/>
      <c r="T56" s="54"/>
      <c r="U56" s="54"/>
      <c r="V56" s="54"/>
      <c r="W56" s="54"/>
      <c r="X56" s="58">
        <v>49400893.391934566</v>
      </c>
      <c r="Y56" s="58">
        <v>13861067.77554908</v>
      </c>
      <c r="Z56" s="46"/>
      <c r="AA56" s="46"/>
      <c r="AB56" s="46"/>
      <c r="AC56" s="46"/>
      <c r="AD56" s="46"/>
      <c r="AE56" s="1" t="s">
        <v>300</v>
      </c>
    </row>
    <row r="57" spans="1:31" ht="14.1" customHeight="1" x14ac:dyDescent="0.25">
      <c r="A57" s="46" t="s">
        <v>232</v>
      </c>
      <c r="B57" s="46" t="s">
        <v>291</v>
      </c>
      <c r="C57" s="46" t="s">
        <v>292</v>
      </c>
      <c r="D57" s="46" t="s">
        <v>302</v>
      </c>
      <c r="E57" s="46"/>
      <c r="F57" s="50"/>
      <c r="G57" s="50"/>
      <c r="H57" s="56" t="s">
        <v>49</v>
      </c>
      <c r="I57" s="57"/>
      <c r="J57" s="57"/>
      <c r="K57" s="52"/>
      <c r="L57" s="52"/>
      <c r="M57" s="52"/>
      <c r="N57" s="52"/>
      <c r="O57" s="52"/>
      <c r="P57" s="52"/>
      <c r="Q57" s="52"/>
      <c r="R57" s="52"/>
      <c r="S57" s="52"/>
      <c r="T57" s="54"/>
      <c r="U57" s="54"/>
      <c r="V57" s="54"/>
      <c r="W57" s="54"/>
      <c r="X57" s="58">
        <v>282709671.91138828</v>
      </c>
      <c r="Y57" s="58">
        <v>217785764.00050426</v>
      </c>
      <c r="Z57" s="46"/>
      <c r="AA57" s="46"/>
      <c r="AB57" s="46"/>
      <c r="AC57" s="46"/>
      <c r="AD57" s="46"/>
      <c r="AE57" s="1" t="s">
        <v>300</v>
      </c>
    </row>
    <row r="58" spans="1:31" ht="14.1" customHeight="1" x14ac:dyDescent="0.25">
      <c r="A58" s="46" t="s">
        <v>233</v>
      </c>
      <c r="B58" s="46" t="s">
        <v>291</v>
      </c>
      <c r="C58" s="46" t="s">
        <v>292</v>
      </c>
      <c r="D58" s="46" t="s">
        <v>302</v>
      </c>
      <c r="E58" s="46"/>
      <c r="F58" s="50"/>
      <c r="G58" s="50"/>
      <c r="H58" s="56" t="s">
        <v>49</v>
      </c>
      <c r="I58" s="57"/>
      <c r="J58" s="57"/>
      <c r="K58" s="52"/>
      <c r="L58" s="52"/>
      <c r="M58" s="52"/>
      <c r="N58" s="52"/>
      <c r="O58" s="52"/>
      <c r="P58" s="52"/>
      <c r="Q58" s="52"/>
      <c r="R58" s="52"/>
      <c r="S58" s="52"/>
      <c r="T58" s="54"/>
      <c r="U58" s="54"/>
      <c r="V58" s="54"/>
      <c r="W58" s="54"/>
      <c r="X58" s="58">
        <v>117114145.83411548</v>
      </c>
      <c r="Y58" s="58">
        <v>76132782.152658641</v>
      </c>
      <c r="Z58" s="46"/>
      <c r="AA58" s="46"/>
      <c r="AB58" s="46"/>
      <c r="AC58" s="46"/>
      <c r="AD58" s="46"/>
      <c r="AE58" s="1" t="s">
        <v>300</v>
      </c>
    </row>
    <row r="59" spans="1:31" ht="14.1" customHeight="1" x14ac:dyDescent="0.25">
      <c r="A59" s="46" t="s">
        <v>185</v>
      </c>
      <c r="B59" s="46" t="s">
        <v>291</v>
      </c>
      <c r="C59" s="46" t="s">
        <v>292</v>
      </c>
      <c r="D59" s="46" t="s">
        <v>302</v>
      </c>
      <c r="E59" s="46"/>
      <c r="F59" s="50"/>
      <c r="G59" s="50"/>
      <c r="H59" s="56" t="s">
        <v>49</v>
      </c>
      <c r="I59" s="57"/>
      <c r="J59" s="57"/>
      <c r="K59" s="52"/>
      <c r="L59" s="52"/>
      <c r="M59" s="52"/>
      <c r="N59" s="52"/>
      <c r="O59" s="52"/>
      <c r="P59" s="52"/>
      <c r="Q59" s="52"/>
      <c r="R59" s="52"/>
      <c r="S59" s="52"/>
      <c r="T59" s="54"/>
      <c r="U59" s="54"/>
      <c r="V59" s="54"/>
      <c r="W59" s="54"/>
      <c r="X59" s="58">
        <v>228502433.21530333</v>
      </c>
      <c r="Y59" s="58">
        <v>132744789.49687061</v>
      </c>
      <c r="Z59" s="46"/>
      <c r="AA59" s="46"/>
      <c r="AB59" s="46"/>
      <c r="AC59" s="46"/>
      <c r="AD59" s="46"/>
      <c r="AE59" s="1" t="s">
        <v>300</v>
      </c>
    </row>
    <row r="60" spans="1:31" ht="14.1" customHeight="1" x14ac:dyDescent="0.25">
      <c r="A60" s="46" t="s">
        <v>197</v>
      </c>
      <c r="B60" s="46" t="s">
        <v>291</v>
      </c>
      <c r="C60" s="46" t="s">
        <v>298</v>
      </c>
      <c r="D60" s="46" t="s">
        <v>303</v>
      </c>
      <c r="E60" s="46"/>
      <c r="F60" s="50"/>
      <c r="G60" s="50">
        <v>1</v>
      </c>
      <c r="H60" s="56" t="s">
        <v>49</v>
      </c>
      <c r="I60" s="57">
        <v>594299663.16174626</v>
      </c>
      <c r="J60" s="57"/>
      <c r="K60" s="52"/>
      <c r="L60" s="52"/>
      <c r="M60" s="52"/>
      <c r="N60" s="52"/>
      <c r="O60" s="52"/>
      <c r="P60" s="52"/>
      <c r="Q60" s="52"/>
      <c r="R60" s="52"/>
      <c r="S60" s="52"/>
      <c r="T60" s="54"/>
      <c r="U60" s="54"/>
      <c r="V60" s="54"/>
      <c r="W60" s="54"/>
      <c r="X60" s="46"/>
      <c r="Y60" s="46"/>
      <c r="Z60" s="46"/>
      <c r="AA60" s="46"/>
      <c r="AB60" s="46"/>
      <c r="AC60" s="46"/>
      <c r="AD60" s="46"/>
      <c r="AE60" s="1" t="s">
        <v>304</v>
      </c>
    </row>
    <row r="61" spans="1:31" ht="14.1" customHeight="1" x14ac:dyDescent="0.25">
      <c r="A61" s="46" t="s">
        <v>219</v>
      </c>
      <c r="B61" s="46" t="s">
        <v>291</v>
      </c>
      <c r="C61" s="46" t="s">
        <v>298</v>
      </c>
      <c r="D61" s="46" t="s">
        <v>303</v>
      </c>
      <c r="E61" s="46"/>
      <c r="F61" s="50"/>
      <c r="G61" s="50"/>
      <c r="H61" s="56" t="s">
        <v>49</v>
      </c>
      <c r="I61" s="57">
        <v>491515278.56228167</v>
      </c>
      <c r="J61" s="57"/>
      <c r="K61" s="52"/>
      <c r="L61" s="52"/>
      <c r="M61" s="52"/>
      <c r="N61" s="52"/>
      <c r="O61" s="52"/>
      <c r="P61" s="52"/>
      <c r="Q61" s="52"/>
      <c r="R61" s="52"/>
      <c r="S61" s="52"/>
      <c r="T61" s="54"/>
      <c r="U61" s="54"/>
      <c r="V61" s="54"/>
      <c r="W61" s="54"/>
      <c r="X61" s="46"/>
      <c r="Y61" s="46"/>
      <c r="Z61" s="46"/>
      <c r="AA61" s="46"/>
      <c r="AB61" s="46"/>
      <c r="AC61" s="46"/>
      <c r="AD61" s="46"/>
      <c r="AE61" s="1" t="s">
        <v>304</v>
      </c>
    </row>
    <row r="62" spans="1:31" ht="14.1" customHeight="1" x14ac:dyDescent="0.25">
      <c r="A62" s="46" t="s">
        <v>232</v>
      </c>
      <c r="B62" s="46" t="s">
        <v>291</v>
      </c>
      <c r="C62" s="46" t="s">
        <v>298</v>
      </c>
      <c r="D62" s="46" t="s">
        <v>303</v>
      </c>
      <c r="E62" s="46"/>
      <c r="F62" s="50"/>
      <c r="G62" s="50"/>
      <c r="H62" s="56" t="s">
        <v>49</v>
      </c>
      <c r="I62" s="57">
        <v>321261802.06234795</v>
      </c>
      <c r="J62" s="57"/>
      <c r="K62" s="52"/>
      <c r="L62" s="52"/>
      <c r="M62" s="52"/>
      <c r="N62" s="52"/>
      <c r="O62" s="52"/>
      <c r="P62" s="52"/>
      <c r="Q62" s="52"/>
      <c r="R62" s="52"/>
      <c r="S62" s="52"/>
      <c r="T62" s="54"/>
      <c r="U62" s="54"/>
      <c r="V62" s="54"/>
      <c r="W62" s="54"/>
      <c r="X62" s="46"/>
      <c r="Y62" s="46"/>
      <c r="Z62" s="46"/>
      <c r="AA62" s="46"/>
      <c r="AB62" s="46"/>
      <c r="AC62" s="46"/>
      <c r="AD62" s="46"/>
      <c r="AE62" s="1" t="s">
        <v>304</v>
      </c>
    </row>
    <row r="63" spans="1:31" ht="14.1" customHeight="1" x14ac:dyDescent="0.25">
      <c r="A63" s="46" t="s">
        <v>185</v>
      </c>
      <c r="B63" s="46" t="s">
        <v>291</v>
      </c>
      <c r="C63" s="46" t="s">
        <v>298</v>
      </c>
      <c r="D63" s="46" t="s">
        <v>303</v>
      </c>
      <c r="E63" s="46"/>
      <c r="F63" s="50"/>
      <c r="G63" s="50"/>
      <c r="H63" s="56" t="s">
        <v>49</v>
      </c>
      <c r="I63" s="57">
        <v>114883267.42855136</v>
      </c>
      <c r="J63" s="57"/>
      <c r="K63" s="52"/>
      <c r="L63" s="52"/>
      <c r="M63" s="52"/>
      <c r="N63" s="52"/>
      <c r="O63" s="52"/>
      <c r="P63" s="52"/>
      <c r="Q63" s="52"/>
      <c r="R63" s="52"/>
      <c r="S63" s="52"/>
      <c r="T63" s="54"/>
      <c r="U63" s="54"/>
      <c r="V63" s="54"/>
      <c r="W63" s="54"/>
      <c r="X63" s="46"/>
      <c r="Y63" s="46"/>
      <c r="Z63" s="46"/>
      <c r="AA63" s="46"/>
      <c r="AB63" s="46"/>
      <c r="AC63" s="46"/>
      <c r="AD63" s="46"/>
      <c r="AE63" s="1" t="s">
        <v>304</v>
      </c>
    </row>
    <row r="64" spans="1:31" ht="14.1" customHeight="1" x14ac:dyDescent="0.25">
      <c r="A64" s="46" t="s">
        <v>196</v>
      </c>
      <c r="B64" s="46" t="s">
        <v>291</v>
      </c>
      <c r="C64" s="46" t="s">
        <v>298</v>
      </c>
      <c r="D64" s="46" t="s">
        <v>303</v>
      </c>
      <c r="E64" s="46"/>
      <c r="F64" s="50"/>
      <c r="G64" s="50"/>
      <c r="H64" s="56" t="s">
        <v>49</v>
      </c>
      <c r="I64" s="57">
        <v>24762485.965072762</v>
      </c>
      <c r="J64" s="57"/>
      <c r="K64" s="52"/>
      <c r="L64" s="52"/>
      <c r="M64" s="52"/>
      <c r="N64" s="52"/>
      <c r="O64" s="52"/>
      <c r="P64" s="52"/>
      <c r="Q64" s="52"/>
      <c r="R64" s="52"/>
      <c r="S64" s="52"/>
      <c r="T64" s="54"/>
      <c r="U64" s="54"/>
      <c r="V64" s="54"/>
      <c r="W64" s="54"/>
      <c r="X64" s="46"/>
      <c r="Y64" s="46"/>
      <c r="Z64" s="46"/>
      <c r="AA64" s="46"/>
      <c r="AB64" s="46"/>
      <c r="AC64" s="46"/>
      <c r="AD64" s="46"/>
      <c r="AE64" s="1" t="s">
        <v>304</v>
      </c>
    </row>
    <row r="65" spans="1:31" ht="14.1" customHeight="1" x14ac:dyDescent="0.25">
      <c r="A65" s="46" t="s">
        <v>197</v>
      </c>
      <c r="B65" s="46" t="s">
        <v>291</v>
      </c>
      <c r="C65" s="46" t="s">
        <v>292</v>
      </c>
      <c r="D65" s="46" t="s">
        <v>302</v>
      </c>
      <c r="E65" s="46"/>
      <c r="F65" s="50"/>
      <c r="G65" s="50"/>
      <c r="H65" s="56" t="s">
        <v>49</v>
      </c>
      <c r="I65" s="57"/>
      <c r="J65" s="57"/>
      <c r="K65" s="52"/>
      <c r="L65" s="52"/>
      <c r="M65" s="52"/>
      <c r="N65" s="52"/>
      <c r="O65" s="52"/>
      <c r="P65" s="52"/>
      <c r="Q65" s="52"/>
      <c r="R65" s="52"/>
      <c r="S65" s="52"/>
      <c r="T65" s="54"/>
      <c r="U65" s="54"/>
      <c r="V65" s="54"/>
      <c r="W65" s="54"/>
      <c r="X65" s="58">
        <v>594299663.16174626</v>
      </c>
      <c r="Y65" s="58">
        <v>461572470.0557043</v>
      </c>
      <c r="Z65" s="46"/>
      <c r="AA65" s="46"/>
      <c r="AB65" s="46"/>
      <c r="AC65" s="46"/>
      <c r="AD65" s="46"/>
      <c r="AE65" s="1" t="s">
        <v>304</v>
      </c>
    </row>
    <row r="66" spans="1:31" ht="14.1" customHeight="1" x14ac:dyDescent="0.25">
      <c r="A66" s="46" t="s">
        <v>219</v>
      </c>
      <c r="B66" s="46" t="s">
        <v>291</v>
      </c>
      <c r="C66" s="46" t="s">
        <v>292</v>
      </c>
      <c r="D66" s="46" t="s">
        <v>302</v>
      </c>
      <c r="E66" s="46"/>
      <c r="F66" s="50"/>
      <c r="G66" s="50"/>
      <c r="H66" s="56" t="s">
        <v>49</v>
      </c>
      <c r="I66" s="57"/>
      <c r="J66" s="57"/>
      <c r="K66" s="52"/>
      <c r="L66" s="52"/>
      <c r="M66" s="52"/>
      <c r="N66" s="52"/>
      <c r="O66" s="52"/>
      <c r="P66" s="52"/>
      <c r="Q66" s="52"/>
      <c r="R66" s="52"/>
      <c r="S66" s="52"/>
      <c r="T66" s="54"/>
      <c r="U66" s="54"/>
      <c r="V66" s="54"/>
      <c r="W66" s="54"/>
      <c r="X66" s="58">
        <v>491515278.56228167</v>
      </c>
      <c r="Y66" s="58">
        <v>368676205.98230016</v>
      </c>
      <c r="Z66" s="46"/>
      <c r="AA66" s="46"/>
      <c r="AB66" s="46"/>
      <c r="AC66" s="46"/>
      <c r="AD66" s="46"/>
      <c r="AE66" s="1" t="s">
        <v>304</v>
      </c>
    </row>
    <row r="67" spans="1:31" ht="14.1" customHeight="1" x14ac:dyDescent="0.25">
      <c r="A67" s="46" t="s">
        <v>232</v>
      </c>
      <c r="B67" s="46" t="s">
        <v>291</v>
      </c>
      <c r="C67" s="46" t="s">
        <v>292</v>
      </c>
      <c r="D67" s="46" t="s">
        <v>302</v>
      </c>
      <c r="E67" s="46"/>
      <c r="F67" s="50"/>
      <c r="G67" s="50"/>
      <c r="H67" s="56" t="s">
        <v>49</v>
      </c>
      <c r="I67" s="57"/>
      <c r="J67" s="57"/>
      <c r="K67" s="52"/>
      <c r="L67" s="52"/>
      <c r="M67" s="52"/>
      <c r="N67" s="52"/>
      <c r="O67" s="52"/>
      <c r="P67" s="52"/>
      <c r="Q67" s="52"/>
      <c r="R67" s="52"/>
      <c r="S67" s="52"/>
      <c r="T67" s="54"/>
      <c r="U67" s="54"/>
      <c r="V67" s="54"/>
      <c r="W67" s="54"/>
      <c r="X67" s="58">
        <v>321261802.06234795</v>
      </c>
      <c r="Y67" s="58">
        <v>256180909.35876647</v>
      </c>
      <c r="Z67" s="46"/>
      <c r="AA67" s="46"/>
      <c r="AB67" s="46"/>
      <c r="AC67" s="46"/>
      <c r="AD67" s="46"/>
      <c r="AE67" s="1" t="s">
        <v>304</v>
      </c>
    </row>
    <row r="68" spans="1:31" ht="14.1" customHeight="1" x14ac:dyDescent="0.25">
      <c r="A68" s="46" t="s">
        <v>185</v>
      </c>
      <c r="B68" s="46" t="s">
        <v>291</v>
      </c>
      <c r="C68" s="46" t="s">
        <v>292</v>
      </c>
      <c r="D68" s="46" t="s">
        <v>302</v>
      </c>
      <c r="E68" s="46"/>
      <c r="F68" s="50"/>
      <c r="G68" s="50"/>
      <c r="H68" s="56" t="s">
        <v>49</v>
      </c>
      <c r="I68" s="57"/>
      <c r="J68" s="57"/>
      <c r="K68" s="52"/>
      <c r="L68" s="52"/>
      <c r="M68" s="52"/>
      <c r="N68" s="52"/>
      <c r="O68" s="52"/>
      <c r="P68" s="52"/>
      <c r="Q68" s="52"/>
      <c r="R68" s="52"/>
      <c r="S68" s="52"/>
      <c r="T68" s="54"/>
      <c r="U68" s="54"/>
      <c r="V68" s="54"/>
      <c r="W68" s="54"/>
      <c r="X68" s="58">
        <v>114883267.42855136</v>
      </c>
      <c r="Y68" s="58">
        <v>68437168.244202793</v>
      </c>
      <c r="Z68" s="46"/>
      <c r="AA68" s="46"/>
      <c r="AB68" s="46"/>
      <c r="AC68" s="46"/>
      <c r="AD68" s="46"/>
      <c r="AE68" s="1" t="s">
        <v>304</v>
      </c>
    </row>
    <row r="69" spans="1:31" ht="14.1" customHeight="1" x14ac:dyDescent="0.25">
      <c r="A69" s="46" t="s">
        <v>196</v>
      </c>
      <c r="B69" s="46" t="s">
        <v>291</v>
      </c>
      <c r="C69" s="46" t="s">
        <v>292</v>
      </c>
      <c r="D69" s="46" t="s">
        <v>302</v>
      </c>
      <c r="E69" s="46"/>
      <c r="F69" s="50"/>
      <c r="G69" s="50"/>
      <c r="H69" s="56" t="s">
        <v>49</v>
      </c>
      <c r="I69" s="57"/>
      <c r="J69" s="57"/>
      <c r="K69" s="52"/>
      <c r="L69" s="52"/>
      <c r="M69" s="52"/>
      <c r="N69" s="52"/>
      <c r="O69" s="52"/>
      <c r="P69" s="52"/>
      <c r="Q69" s="52"/>
      <c r="R69" s="52"/>
      <c r="S69" s="52"/>
      <c r="T69" s="54"/>
      <c r="U69" s="54"/>
      <c r="V69" s="54"/>
      <c r="W69" s="54"/>
      <c r="X69" s="59">
        <v>24762485.965072762</v>
      </c>
      <c r="Y69" s="58">
        <v>0</v>
      </c>
      <c r="Z69" s="46"/>
      <c r="AA69" s="46"/>
      <c r="AB69" s="46"/>
      <c r="AC69" s="46"/>
      <c r="AD69" s="46"/>
      <c r="AE69" s="1" t="s">
        <v>304</v>
      </c>
    </row>
    <row r="70" spans="1:31" ht="14.1" customHeight="1" x14ac:dyDescent="0.25">
      <c r="A70" s="46" t="s">
        <v>196</v>
      </c>
      <c r="B70" s="46" t="s">
        <v>291</v>
      </c>
      <c r="C70" s="46" t="s">
        <v>292</v>
      </c>
      <c r="D70" s="46" t="s">
        <v>302</v>
      </c>
      <c r="E70" s="46"/>
      <c r="F70" s="50"/>
      <c r="G70" s="50"/>
      <c r="H70" s="56" t="s">
        <v>49</v>
      </c>
      <c r="I70" s="57"/>
      <c r="J70" s="57"/>
      <c r="K70" s="52"/>
      <c r="L70" s="52"/>
      <c r="M70" s="52"/>
      <c r="N70" s="52"/>
      <c r="O70" s="52"/>
      <c r="P70" s="52"/>
      <c r="Q70" s="52"/>
      <c r="R70" s="52"/>
      <c r="S70" s="52"/>
      <c r="T70" s="54"/>
      <c r="U70" s="54"/>
      <c r="V70" s="54"/>
      <c r="W70" s="54"/>
      <c r="X70" s="58">
        <v>4386979.91</v>
      </c>
      <c r="Y70" s="58">
        <v>0</v>
      </c>
      <c r="Z70" s="46"/>
      <c r="AA70" s="46"/>
      <c r="AB70" s="46"/>
      <c r="AC70" s="46"/>
      <c r="AD70" s="46"/>
      <c r="AE70" s="1" t="s">
        <v>305</v>
      </c>
    </row>
    <row r="71" spans="1:31" ht="14.1" customHeight="1" x14ac:dyDescent="0.25">
      <c r="A71" s="46" t="s">
        <v>197</v>
      </c>
      <c r="B71" s="46" t="s">
        <v>291</v>
      </c>
      <c r="C71" s="46" t="s">
        <v>292</v>
      </c>
      <c r="D71" s="46" t="s">
        <v>302</v>
      </c>
      <c r="E71" s="46"/>
      <c r="F71" s="50"/>
      <c r="G71" s="50"/>
      <c r="H71" s="56" t="s">
        <v>49</v>
      </c>
      <c r="I71" s="57"/>
      <c r="J71" s="57"/>
      <c r="K71" s="52"/>
      <c r="L71" s="52"/>
      <c r="M71" s="52"/>
      <c r="N71" s="52"/>
      <c r="O71" s="52"/>
      <c r="P71" s="52"/>
      <c r="Q71" s="52"/>
      <c r="R71" s="52"/>
      <c r="S71" s="52"/>
      <c r="T71" s="54"/>
      <c r="U71" s="54"/>
      <c r="V71" s="54"/>
      <c r="W71" s="54"/>
      <c r="X71" s="58">
        <v>108629205.9599995</v>
      </c>
      <c r="Y71" s="58">
        <v>27587077.313190907</v>
      </c>
      <c r="Z71" s="46"/>
      <c r="AA71" s="46"/>
      <c r="AB71" s="46"/>
      <c r="AC71" s="46"/>
      <c r="AD71" s="46"/>
      <c r="AE71" s="1" t="s">
        <v>305</v>
      </c>
    </row>
    <row r="72" spans="1:31" ht="14.1" customHeight="1" x14ac:dyDescent="0.25">
      <c r="A72" s="46" t="s">
        <v>219</v>
      </c>
      <c r="B72" s="46" t="s">
        <v>291</v>
      </c>
      <c r="C72" s="46" t="s">
        <v>292</v>
      </c>
      <c r="D72" s="46" t="s">
        <v>302</v>
      </c>
      <c r="E72" s="46"/>
      <c r="F72" s="50"/>
      <c r="G72" s="50"/>
      <c r="H72" s="56" t="s">
        <v>49</v>
      </c>
      <c r="I72" s="57"/>
      <c r="J72" s="57"/>
      <c r="K72" s="52"/>
      <c r="L72" s="52"/>
      <c r="M72" s="52"/>
      <c r="N72" s="52"/>
      <c r="O72" s="52"/>
      <c r="P72" s="52"/>
      <c r="Q72" s="52"/>
      <c r="R72" s="52"/>
      <c r="S72" s="52"/>
      <c r="T72" s="54"/>
      <c r="U72" s="54"/>
      <c r="V72" s="54"/>
      <c r="W72" s="54"/>
      <c r="X72" s="58">
        <v>238713553.10999873</v>
      </c>
      <c r="Y72" s="58">
        <v>160342343.65884095</v>
      </c>
      <c r="Z72" s="46"/>
      <c r="AA72" s="46"/>
      <c r="AB72" s="46"/>
      <c r="AC72" s="46"/>
      <c r="AD72" s="46"/>
      <c r="AE72" s="1" t="s">
        <v>305</v>
      </c>
    </row>
    <row r="73" spans="1:31" ht="14.1" customHeight="1" x14ac:dyDescent="0.25">
      <c r="A73" s="46" t="s">
        <v>261</v>
      </c>
      <c r="B73" s="46" t="s">
        <v>291</v>
      </c>
      <c r="C73" s="46" t="s">
        <v>292</v>
      </c>
      <c r="D73" s="46" t="s">
        <v>302</v>
      </c>
      <c r="E73" s="46"/>
      <c r="F73" s="50"/>
      <c r="G73" s="50"/>
      <c r="H73" s="56" t="s">
        <v>49</v>
      </c>
      <c r="I73" s="57"/>
      <c r="J73" s="57"/>
      <c r="K73" s="52"/>
      <c r="L73" s="52"/>
      <c r="M73" s="52"/>
      <c r="N73" s="52"/>
      <c r="O73" s="52"/>
      <c r="P73" s="52"/>
      <c r="Q73" s="52"/>
      <c r="R73" s="52"/>
      <c r="S73" s="52"/>
      <c r="T73" s="54"/>
      <c r="U73" s="54"/>
      <c r="V73" s="54"/>
      <c r="W73" s="54"/>
      <c r="X73" s="58">
        <v>1220654.8799999997</v>
      </c>
      <c r="Y73" s="58">
        <v>0</v>
      </c>
      <c r="Z73" s="46"/>
      <c r="AA73" s="46"/>
      <c r="AB73" s="46"/>
      <c r="AC73" s="46"/>
      <c r="AD73" s="46"/>
      <c r="AE73" s="1" t="s">
        <v>305</v>
      </c>
    </row>
    <row r="74" spans="1:31" ht="14.1" customHeight="1" x14ac:dyDescent="0.25">
      <c r="A74" s="46" t="s">
        <v>232</v>
      </c>
      <c r="B74" s="46" t="s">
        <v>291</v>
      </c>
      <c r="C74" s="46" t="s">
        <v>292</v>
      </c>
      <c r="D74" s="46" t="s">
        <v>302</v>
      </c>
      <c r="E74" s="46"/>
      <c r="F74" s="50"/>
      <c r="G74" s="50"/>
      <c r="H74" s="56" t="s">
        <v>49</v>
      </c>
      <c r="I74" s="57"/>
      <c r="J74" s="57"/>
      <c r="K74" s="52"/>
      <c r="L74" s="52"/>
      <c r="M74" s="52"/>
      <c r="N74" s="52"/>
      <c r="O74" s="52"/>
      <c r="P74" s="52"/>
      <c r="Q74" s="52"/>
      <c r="R74" s="52"/>
      <c r="S74" s="52"/>
      <c r="T74" s="54"/>
      <c r="U74" s="54"/>
      <c r="V74" s="54"/>
      <c r="W74" s="54"/>
      <c r="X74" s="58">
        <v>300455001.49999845</v>
      </c>
      <c r="Y74" s="58">
        <v>77923810.478209168</v>
      </c>
      <c r="Z74" s="46"/>
      <c r="AA74" s="46"/>
      <c r="AB74" s="46"/>
      <c r="AC74" s="46"/>
      <c r="AD74" s="46"/>
      <c r="AE74" s="1" t="s">
        <v>305</v>
      </c>
    </row>
    <row r="75" spans="1:31" ht="14.1" customHeight="1" x14ac:dyDescent="0.25">
      <c r="A75" s="46" t="s">
        <v>233</v>
      </c>
      <c r="B75" s="46" t="s">
        <v>291</v>
      </c>
      <c r="C75" s="46" t="s">
        <v>292</v>
      </c>
      <c r="D75" s="46" t="s">
        <v>302</v>
      </c>
      <c r="E75" s="46"/>
      <c r="F75" s="50"/>
      <c r="G75" s="50"/>
      <c r="H75" s="56" t="s">
        <v>49</v>
      </c>
      <c r="I75" s="57"/>
      <c r="J75" s="57"/>
      <c r="K75" s="52"/>
      <c r="L75" s="52"/>
      <c r="M75" s="52"/>
      <c r="N75" s="52"/>
      <c r="O75" s="52"/>
      <c r="P75" s="52"/>
      <c r="Q75" s="52"/>
      <c r="R75" s="52"/>
      <c r="S75" s="52"/>
      <c r="T75" s="54"/>
      <c r="U75" s="54"/>
      <c r="V75" s="54"/>
      <c r="W75" s="54"/>
      <c r="X75" s="58">
        <v>1220654.8799999999</v>
      </c>
      <c r="Y75" s="58">
        <v>0</v>
      </c>
      <c r="Z75" s="46"/>
      <c r="AA75" s="46"/>
      <c r="AB75" s="46"/>
      <c r="AC75" s="46"/>
      <c r="AD75" s="46"/>
      <c r="AE75" s="1" t="s">
        <v>305</v>
      </c>
    </row>
    <row r="76" spans="1:31" ht="14.1" customHeight="1" x14ac:dyDescent="0.25">
      <c r="A76" s="46" t="s">
        <v>185</v>
      </c>
      <c r="B76" s="46" t="s">
        <v>291</v>
      </c>
      <c r="C76" s="46" t="s">
        <v>292</v>
      </c>
      <c r="D76" s="46" t="s">
        <v>302</v>
      </c>
      <c r="E76" s="46"/>
      <c r="F76" s="50"/>
      <c r="G76" s="50"/>
      <c r="H76" s="56" t="s">
        <v>49</v>
      </c>
      <c r="I76" s="57"/>
      <c r="J76" s="57"/>
      <c r="K76" s="52"/>
      <c r="L76" s="52"/>
      <c r="M76" s="52"/>
      <c r="N76" s="52"/>
      <c r="O76" s="52"/>
      <c r="P76" s="52"/>
      <c r="Q76" s="52"/>
      <c r="R76" s="52"/>
      <c r="S76" s="52"/>
      <c r="T76" s="54"/>
      <c r="U76" s="54"/>
      <c r="V76" s="54"/>
      <c r="W76" s="54"/>
      <c r="X76" s="58">
        <v>22106208.609999988</v>
      </c>
      <c r="Y76" s="58">
        <v>0</v>
      </c>
      <c r="Z76" s="46"/>
      <c r="AA76" s="46"/>
      <c r="AB76" s="46"/>
      <c r="AC76" s="46"/>
      <c r="AD76" s="46"/>
      <c r="AE76" s="1" t="s">
        <v>305</v>
      </c>
    </row>
    <row r="77" spans="1:31" ht="14.1" customHeight="1" x14ac:dyDescent="0.25">
      <c r="A77" s="46" t="s">
        <v>261</v>
      </c>
      <c r="B77" s="46" t="s">
        <v>291</v>
      </c>
      <c r="C77" s="46" t="s">
        <v>298</v>
      </c>
      <c r="D77" s="46" t="s">
        <v>306</v>
      </c>
      <c r="E77" s="46" t="s">
        <v>307</v>
      </c>
      <c r="F77" s="50"/>
      <c r="G77" s="50">
        <v>1</v>
      </c>
      <c r="H77" s="56"/>
      <c r="I77" s="57">
        <v>190260307.72000337</v>
      </c>
      <c r="J77" s="57"/>
      <c r="K77" s="52"/>
      <c r="L77" s="52"/>
      <c r="M77" s="52"/>
      <c r="N77" s="52"/>
      <c r="O77" s="52"/>
      <c r="P77" s="52"/>
      <c r="Q77" s="52"/>
      <c r="R77" s="52"/>
      <c r="S77" s="52"/>
      <c r="T77" s="54"/>
      <c r="U77" s="54"/>
      <c r="V77" s="54"/>
      <c r="W77" s="54"/>
      <c r="X77" s="46"/>
      <c r="Y77" s="46"/>
      <c r="Z77" s="46"/>
      <c r="AA77" s="46"/>
      <c r="AB77" s="46"/>
      <c r="AC77" s="46"/>
      <c r="AD77" s="46"/>
      <c r="AE77" s="1" t="s">
        <v>308</v>
      </c>
    </row>
    <row r="78" spans="1:31" ht="14.1" customHeight="1" x14ac:dyDescent="0.25">
      <c r="A78" s="46" t="s">
        <v>297</v>
      </c>
      <c r="B78" s="46" t="s">
        <v>291</v>
      </c>
      <c r="C78" s="46" t="s">
        <v>298</v>
      </c>
      <c r="D78" s="46" t="s">
        <v>306</v>
      </c>
      <c r="E78" s="46" t="s">
        <v>307</v>
      </c>
      <c r="F78" s="50"/>
      <c r="G78" s="50"/>
      <c r="H78" s="56"/>
      <c r="I78" s="57">
        <v>29062463.519999985</v>
      </c>
      <c r="J78" s="57"/>
      <c r="K78" s="52"/>
      <c r="L78" s="52"/>
      <c r="M78" s="52"/>
      <c r="N78" s="52"/>
      <c r="O78" s="52"/>
      <c r="P78" s="52"/>
      <c r="Q78" s="52"/>
      <c r="R78" s="52"/>
      <c r="S78" s="52"/>
      <c r="T78" s="54"/>
      <c r="U78" s="54"/>
      <c r="V78" s="54"/>
      <c r="W78" s="54"/>
      <c r="X78" s="46"/>
      <c r="Y78" s="46"/>
      <c r="Z78" s="46"/>
      <c r="AA78" s="46"/>
      <c r="AB78" s="46"/>
      <c r="AC78" s="46"/>
      <c r="AD78" s="46"/>
      <c r="AE78" s="1" t="s">
        <v>308</v>
      </c>
    </row>
    <row r="79" spans="1:31" ht="14.1" customHeight="1" x14ac:dyDescent="0.25">
      <c r="A79" s="46" t="s">
        <v>261</v>
      </c>
      <c r="B79" s="46" t="s">
        <v>291</v>
      </c>
      <c r="C79" s="46" t="s">
        <v>298</v>
      </c>
      <c r="D79" s="46" t="s">
        <v>306</v>
      </c>
      <c r="E79" s="46" t="s">
        <v>307</v>
      </c>
      <c r="F79" s="50"/>
      <c r="G79" s="50">
        <v>1</v>
      </c>
      <c r="H79" s="56"/>
      <c r="I79" s="57">
        <v>398858193.26999992</v>
      </c>
      <c r="J79" s="57"/>
      <c r="K79" s="52"/>
      <c r="L79" s="52"/>
      <c r="M79" s="52"/>
      <c r="N79" s="52"/>
      <c r="O79" s="52"/>
      <c r="P79" s="52"/>
      <c r="Q79" s="52"/>
      <c r="R79" s="52"/>
      <c r="S79" s="52"/>
      <c r="T79" s="54"/>
      <c r="U79" s="54"/>
      <c r="V79" s="54"/>
      <c r="W79" s="54"/>
      <c r="X79" s="46"/>
      <c r="Y79" s="46"/>
      <c r="Z79" s="46"/>
      <c r="AA79" s="46"/>
      <c r="AB79" s="46"/>
      <c r="AC79" s="46"/>
      <c r="AD79" s="46"/>
      <c r="AE79" s="1" t="s">
        <v>309</v>
      </c>
    </row>
    <row r="80" spans="1:31" ht="14.1" customHeight="1" x14ac:dyDescent="0.25">
      <c r="A80" s="46" t="s">
        <v>261</v>
      </c>
      <c r="B80" s="46" t="s">
        <v>291</v>
      </c>
      <c r="C80" s="46" t="s">
        <v>292</v>
      </c>
      <c r="D80" s="46" t="s">
        <v>302</v>
      </c>
      <c r="E80" s="46"/>
      <c r="F80" s="50"/>
      <c r="G80" s="50"/>
      <c r="H80" s="56" t="s">
        <v>49</v>
      </c>
      <c r="I80" s="57"/>
      <c r="J80" s="57"/>
      <c r="K80" s="52"/>
      <c r="L80" s="52"/>
      <c r="M80" s="52"/>
      <c r="N80" s="52"/>
      <c r="O80" s="52"/>
      <c r="P80" s="52"/>
      <c r="Q80" s="52"/>
      <c r="R80" s="52"/>
      <c r="S80" s="52"/>
      <c r="T80" s="54"/>
      <c r="U80" s="54"/>
      <c r="V80" s="54"/>
      <c r="W80" s="54"/>
      <c r="X80" s="58">
        <v>190260307.72000337</v>
      </c>
      <c r="Y80" s="58"/>
      <c r="Z80" s="46"/>
      <c r="AA80" s="46"/>
      <c r="AB80" s="46"/>
      <c r="AC80" s="46"/>
      <c r="AD80" s="46"/>
    </row>
    <row r="81" spans="1:30" ht="14.1" customHeight="1" x14ac:dyDescent="0.25">
      <c r="A81" s="46" t="s">
        <v>297</v>
      </c>
      <c r="B81" s="46" t="s">
        <v>291</v>
      </c>
      <c r="C81" s="46" t="s">
        <v>292</v>
      </c>
      <c r="D81" s="46" t="s">
        <v>302</v>
      </c>
      <c r="E81" s="46"/>
      <c r="F81" s="50"/>
      <c r="G81" s="50"/>
      <c r="H81" s="56" t="s">
        <v>49</v>
      </c>
      <c r="I81" s="57"/>
      <c r="J81" s="57"/>
      <c r="K81" s="52"/>
      <c r="L81" s="52"/>
      <c r="M81" s="52"/>
      <c r="N81" s="52"/>
      <c r="O81" s="52"/>
      <c r="P81" s="52"/>
      <c r="Q81" s="52"/>
      <c r="R81" s="52"/>
      <c r="S81" s="52"/>
      <c r="T81" s="54"/>
      <c r="U81" s="54"/>
      <c r="V81" s="54"/>
      <c r="W81" s="54"/>
      <c r="X81" s="58">
        <v>29062463.519999985</v>
      </c>
      <c r="Y81" s="58"/>
      <c r="Z81" s="46"/>
      <c r="AA81" s="46"/>
      <c r="AB81" s="46"/>
      <c r="AC81" s="46"/>
      <c r="AD81" s="46"/>
    </row>
    <row r="82" spans="1:30" ht="14.1" customHeight="1" x14ac:dyDescent="0.25">
      <c r="A82" s="46" t="s">
        <v>261</v>
      </c>
      <c r="B82" s="46" t="s">
        <v>291</v>
      </c>
      <c r="C82" s="46" t="s">
        <v>292</v>
      </c>
      <c r="D82" s="46" t="s">
        <v>302</v>
      </c>
      <c r="E82" s="46"/>
      <c r="F82" s="50"/>
      <c r="G82" s="50"/>
      <c r="H82" s="56" t="s">
        <v>49</v>
      </c>
      <c r="I82" s="57"/>
      <c r="J82" s="57"/>
      <c r="K82" s="52"/>
      <c r="L82" s="52"/>
      <c r="M82" s="52"/>
      <c r="N82" s="52"/>
      <c r="O82" s="52"/>
      <c r="P82" s="52"/>
      <c r="Q82" s="52"/>
      <c r="R82" s="52"/>
      <c r="S82" s="52"/>
      <c r="T82" s="54"/>
      <c r="U82" s="54"/>
      <c r="V82" s="54"/>
      <c r="W82" s="54"/>
      <c r="X82" s="58">
        <v>398858193.26999992</v>
      </c>
      <c r="Y82" s="58"/>
      <c r="Z82" s="46"/>
      <c r="AA82" s="46"/>
      <c r="AB82" s="46"/>
      <c r="AC82" s="46"/>
      <c r="AD82" s="46"/>
    </row>
    <row r="83" spans="1:30" ht="14.1" customHeight="1" x14ac:dyDescent="0.25">
      <c r="A83" s="46" t="s">
        <v>261</v>
      </c>
      <c r="B83" s="46" t="s">
        <v>291</v>
      </c>
      <c r="C83" s="46" t="s">
        <v>310</v>
      </c>
      <c r="D83" s="46" t="s">
        <v>311</v>
      </c>
      <c r="E83" s="46" t="s">
        <v>307</v>
      </c>
      <c r="F83" s="50">
        <v>1</v>
      </c>
      <c r="G83" s="50"/>
      <c r="H83" s="56"/>
      <c r="I83" s="57"/>
      <c r="J83" s="57"/>
      <c r="K83" s="52">
        <v>276632979.85000002</v>
      </c>
      <c r="L83" s="52">
        <v>6824039.9799999986</v>
      </c>
      <c r="M83" s="52">
        <v>0</v>
      </c>
      <c r="N83" s="52">
        <v>14201168.000000009</v>
      </c>
      <c r="O83" s="52">
        <v>15696080.730000002</v>
      </c>
      <c r="P83" s="52">
        <v>17635733.169999998</v>
      </c>
      <c r="Q83" s="52">
        <v>0</v>
      </c>
      <c r="R83" s="52">
        <v>56507335.220000096</v>
      </c>
      <c r="S83" s="52">
        <v>106479477.76999995</v>
      </c>
      <c r="T83" s="54"/>
      <c r="U83" s="54"/>
      <c r="V83" s="54"/>
      <c r="W83" s="54"/>
      <c r="X83" s="46"/>
      <c r="Y83" s="46"/>
      <c r="Z83" s="46"/>
      <c r="AA83" s="46"/>
      <c r="AB83" s="46"/>
      <c r="AC83" s="46"/>
      <c r="AD83" s="46"/>
    </row>
    <row r="84" spans="1:30" ht="14.1" customHeight="1" x14ac:dyDescent="0.25">
      <c r="A84" s="46" t="s">
        <v>232</v>
      </c>
      <c r="B84" s="46" t="s">
        <v>291</v>
      </c>
      <c r="C84" s="46" t="s">
        <v>310</v>
      </c>
      <c r="D84" s="46" t="s">
        <v>312</v>
      </c>
      <c r="E84" s="46" t="s">
        <v>194</v>
      </c>
      <c r="F84" s="50">
        <v>1</v>
      </c>
      <c r="G84" s="50"/>
      <c r="H84" s="56"/>
      <c r="I84" s="57"/>
      <c r="J84" s="57"/>
      <c r="K84" s="52">
        <v>13879757.34</v>
      </c>
      <c r="L84" s="52">
        <v>11217073.379999999</v>
      </c>
      <c r="M84" s="52">
        <v>9783728.0899999999</v>
      </c>
      <c r="N84" s="52">
        <v>2091125.26</v>
      </c>
      <c r="O84" s="52">
        <v>8331156.3100000024</v>
      </c>
      <c r="P84" s="52">
        <v>12428283.960000001</v>
      </c>
      <c r="Q84" s="52">
        <v>310139.44999999995</v>
      </c>
      <c r="R84" s="52">
        <v>10678521.919999968</v>
      </c>
      <c r="S84" s="52">
        <v>108067849.32000001</v>
      </c>
      <c r="T84" s="54"/>
      <c r="U84" s="54"/>
      <c r="V84" s="54"/>
      <c r="W84" s="54"/>
      <c r="X84" s="46"/>
      <c r="Y84" s="46"/>
      <c r="Z84" s="46"/>
      <c r="AA84" s="46"/>
      <c r="AB84" s="46"/>
      <c r="AC84" s="46"/>
      <c r="AD84" s="46"/>
    </row>
    <row r="85" spans="1:30" ht="14.1" customHeight="1" x14ac:dyDescent="0.25">
      <c r="A85" s="46" t="s">
        <v>196</v>
      </c>
      <c r="B85" s="46" t="s">
        <v>291</v>
      </c>
      <c r="C85" s="46" t="s">
        <v>310</v>
      </c>
      <c r="D85" s="46" t="s">
        <v>313</v>
      </c>
      <c r="E85" s="46" t="s">
        <v>194</v>
      </c>
      <c r="F85" s="50"/>
      <c r="G85" s="50"/>
      <c r="H85" s="56"/>
      <c r="I85" s="57"/>
      <c r="J85" s="57"/>
      <c r="K85" s="52">
        <v>5171714.540000001</v>
      </c>
      <c r="L85" s="52">
        <v>2387565.7399999993</v>
      </c>
      <c r="M85" s="52">
        <v>0</v>
      </c>
      <c r="N85" s="52">
        <v>293180.96000000002</v>
      </c>
      <c r="O85" s="52">
        <v>2958596.0900000003</v>
      </c>
      <c r="P85" s="52">
        <v>157219.89000000001</v>
      </c>
      <c r="Q85" s="52">
        <v>0</v>
      </c>
      <c r="R85" s="52">
        <v>2570081.4799999995</v>
      </c>
      <c r="S85" s="52">
        <v>584113.33999999985</v>
      </c>
      <c r="T85" s="54"/>
      <c r="U85" s="54"/>
      <c r="V85" s="54"/>
      <c r="W85" s="54"/>
      <c r="X85" s="46"/>
      <c r="Y85" s="46"/>
      <c r="Z85" s="46"/>
      <c r="AA85" s="46"/>
      <c r="AB85" s="46"/>
      <c r="AC85" s="46"/>
      <c r="AD85" s="46"/>
    </row>
    <row r="86" spans="1:30" ht="14.1" customHeight="1" x14ac:dyDescent="0.25">
      <c r="A86" s="46" t="s">
        <v>196</v>
      </c>
      <c r="B86" s="46" t="s">
        <v>291</v>
      </c>
      <c r="C86" s="46" t="s">
        <v>298</v>
      </c>
      <c r="D86" s="46" t="s">
        <v>314</v>
      </c>
      <c r="E86" s="46" t="s">
        <v>194</v>
      </c>
      <c r="F86" s="50"/>
      <c r="G86" s="50"/>
      <c r="H86" s="56"/>
      <c r="I86" s="57"/>
      <c r="J86" s="57"/>
      <c r="K86" s="52">
        <v>0</v>
      </c>
      <c r="L86" s="52">
        <v>0</v>
      </c>
      <c r="M86" s="52">
        <v>0</v>
      </c>
      <c r="N86" s="52">
        <v>8338655.9999999981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4"/>
      <c r="U86" s="54"/>
      <c r="V86" s="54"/>
      <c r="W86" s="54"/>
      <c r="X86" s="54">
        <v>8338655.9999999981</v>
      </c>
      <c r="Y86" s="46"/>
      <c r="Z86" s="46"/>
      <c r="AA86" s="46"/>
      <c r="AB86" s="46"/>
      <c r="AC86" s="46"/>
      <c r="AD86" s="46"/>
    </row>
    <row r="87" spans="1:30" ht="14.1" customHeight="1" x14ac:dyDescent="0.25">
      <c r="A87" s="46" t="s">
        <v>197</v>
      </c>
      <c r="B87" s="46" t="s">
        <v>291</v>
      </c>
      <c r="C87" s="46" t="s">
        <v>310</v>
      </c>
      <c r="D87" s="46" t="s">
        <v>313</v>
      </c>
      <c r="E87" s="46" t="s">
        <v>194</v>
      </c>
      <c r="F87" s="50">
        <v>1</v>
      </c>
      <c r="G87" s="50"/>
      <c r="H87" s="56"/>
      <c r="I87" s="57"/>
      <c r="J87" s="57"/>
      <c r="K87" s="52">
        <v>21806119.280000001</v>
      </c>
      <c r="L87" s="52">
        <v>60639841.979999997</v>
      </c>
      <c r="M87" s="52">
        <v>3656126.1299999985</v>
      </c>
      <c r="N87" s="52">
        <v>2997710.13</v>
      </c>
      <c r="O87" s="52">
        <v>29385599.409999996</v>
      </c>
      <c r="P87" s="52">
        <v>8385257.7099999981</v>
      </c>
      <c r="Q87" s="52">
        <v>150462.06</v>
      </c>
      <c r="R87" s="52">
        <v>24113920.040000062</v>
      </c>
      <c r="S87" s="52">
        <v>49600697.450000003</v>
      </c>
      <c r="T87" s="54"/>
      <c r="U87" s="54"/>
      <c r="V87" s="54"/>
      <c r="W87" s="54"/>
      <c r="X87" s="46"/>
      <c r="Y87" s="46"/>
      <c r="Z87" s="46"/>
      <c r="AA87" s="46"/>
      <c r="AB87" s="46"/>
      <c r="AC87" s="46"/>
      <c r="AD87" s="46"/>
    </row>
    <row r="88" spans="1:30" ht="14.1" customHeight="1" x14ac:dyDescent="0.25">
      <c r="A88" s="46" t="s">
        <v>197</v>
      </c>
      <c r="B88" s="46" t="s">
        <v>291</v>
      </c>
      <c r="C88" s="46" t="s">
        <v>310</v>
      </c>
      <c r="D88" s="46" t="s">
        <v>311</v>
      </c>
      <c r="E88" s="46" t="s">
        <v>307</v>
      </c>
      <c r="F88" s="50"/>
      <c r="G88" s="50"/>
      <c r="H88" s="56"/>
      <c r="I88" s="57"/>
      <c r="J88" s="57"/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28433.079999999998</v>
      </c>
      <c r="S88" s="52">
        <v>0</v>
      </c>
      <c r="T88" s="54"/>
      <c r="U88" s="54"/>
      <c r="V88" s="54"/>
      <c r="W88" s="54"/>
      <c r="X88" s="46"/>
      <c r="Y88" s="46"/>
      <c r="Z88" s="46"/>
      <c r="AA88" s="46"/>
      <c r="AB88" s="46"/>
      <c r="AC88" s="46"/>
      <c r="AD88" s="46"/>
    </row>
    <row r="89" spans="1:30" ht="14.1" customHeight="1" x14ac:dyDescent="0.25">
      <c r="A89" s="46" t="s">
        <v>197</v>
      </c>
      <c r="B89" s="46" t="s">
        <v>291</v>
      </c>
      <c r="C89" s="46" t="s">
        <v>310</v>
      </c>
      <c r="D89" s="46" t="s">
        <v>315</v>
      </c>
      <c r="E89" s="46" t="s">
        <v>220</v>
      </c>
      <c r="F89" s="50"/>
      <c r="G89" s="50"/>
      <c r="H89" s="56"/>
      <c r="I89" s="57"/>
      <c r="J89" s="57"/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6889610.7199999969</v>
      </c>
      <c r="T89" s="54"/>
      <c r="U89" s="54"/>
      <c r="V89" s="54"/>
      <c r="W89" s="54"/>
      <c r="X89" s="46"/>
      <c r="Y89" s="46"/>
      <c r="Z89" s="46"/>
      <c r="AA89" s="46"/>
      <c r="AB89" s="46"/>
      <c r="AC89" s="46"/>
      <c r="AD89" s="46"/>
    </row>
    <row r="90" spans="1:30" ht="14.1" customHeight="1" x14ac:dyDescent="0.25">
      <c r="A90" s="46" t="s">
        <v>197</v>
      </c>
      <c r="B90" s="46" t="s">
        <v>291</v>
      </c>
      <c r="C90" s="46" t="s">
        <v>298</v>
      </c>
      <c r="D90" s="46" t="s">
        <v>314</v>
      </c>
      <c r="E90" s="46" t="s">
        <v>194</v>
      </c>
      <c r="F90" s="50">
        <v>1</v>
      </c>
      <c r="G90" s="50"/>
      <c r="H90" s="56"/>
      <c r="I90" s="57"/>
      <c r="J90" s="57"/>
      <c r="K90" s="52">
        <v>0</v>
      </c>
      <c r="L90" s="52">
        <v>0</v>
      </c>
      <c r="M90" s="52">
        <v>0</v>
      </c>
      <c r="N90" s="52">
        <v>55786787.809999935</v>
      </c>
      <c r="O90" s="52">
        <v>0</v>
      </c>
      <c r="P90" s="52">
        <v>0</v>
      </c>
      <c r="Q90" s="52">
        <v>0</v>
      </c>
      <c r="R90" s="52">
        <v>0</v>
      </c>
      <c r="S90" s="52">
        <v>0</v>
      </c>
      <c r="T90" s="54"/>
      <c r="U90" s="54"/>
      <c r="V90" s="54"/>
      <c r="W90" s="54"/>
      <c r="X90" s="52">
        <v>55786787.809999935</v>
      </c>
      <c r="Y90" s="46"/>
      <c r="Z90" s="46"/>
      <c r="AA90" s="46"/>
      <c r="AB90" s="46"/>
      <c r="AC90" s="46"/>
      <c r="AD90" s="46"/>
    </row>
    <row r="91" spans="1:30" ht="14.1" customHeight="1" x14ac:dyDescent="0.25">
      <c r="A91" s="46" t="s">
        <v>197</v>
      </c>
      <c r="B91" s="46" t="s">
        <v>291</v>
      </c>
      <c r="C91" s="46" t="s">
        <v>310</v>
      </c>
      <c r="D91" s="46" t="s">
        <v>315</v>
      </c>
      <c r="E91" s="46" t="s">
        <v>234</v>
      </c>
      <c r="F91" s="50"/>
      <c r="G91" s="50"/>
      <c r="H91" s="56"/>
      <c r="I91" s="57"/>
      <c r="J91" s="57"/>
      <c r="K91" s="52">
        <v>0</v>
      </c>
      <c r="L91" s="52">
        <v>0</v>
      </c>
      <c r="M91" s="52">
        <v>0</v>
      </c>
      <c r="N91" s="52">
        <v>2201971.15</v>
      </c>
      <c r="O91" s="52">
        <v>0</v>
      </c>
      <c r="P91" s="52">
        <v>0</v>
      </c>
      <c r="Q91" s="52">
        <v>0</v>
      </c>
      <c r="R91" s="52">
        <v>0</v>
      </c>
      <c r="S91" s="52">
        <v>0</v>
      </c>
      <c r="T91" s="54"/>
      <c r="U91" s="54"/>
      <c r="V91" s="54"/>
      <c r="W91" s="54"/>
      <c r="X91" s="54"/>
      <c r="Y91" s="46"/>
      <c r="Z91" s="46"/>
      <c r="AA91" s="46"/>
      <c r="AB91" s="46"/>
      <c r="AC91" s="46"/>
      <c r="AD91" s="46"/>
    </row>
    <row r="92" spans="1:30" ht="14.1" customHeight="1" x14ac:dyDescent="0.25">
      <c r="A92" s="46" t="s">
        <v>219</v>
      </c>
      <c r="B92" s="46" t="s">
        <v>291</v>
      </c>
      <c r="C92" s="46" t="s">
        <v>310</v>
      </c>
      <c r="D92" s="46" t="s">
        <v>315</v>
      </c>
      <c r="E92" s="46" t="s">
        <v>220</v>
      </c>
      <c r="F92" s="50">
        <v>1</v>
      </c>
      <c r="G92" s="50"/>
      <c r="H92" s="56"/>
      <c r="I92" s="57"/>
      <c r="J92" s="57"/>
      <c r="K92" s="52">
        <v>16476732.709999999</v>
      </c>
      <c r="L92" s="52">
        <v>0</v>
      </c>
      <c r="M92" s="52">
        <v>0</v>
      </c>
      <c r="N92" s="52">
        <v>4822398.8600000003</v>
      </c>
      <c r="O92" s="52">
        <v>4066794.26</v>
      </c>
      <c r="P92" s="52">
        <v>11509027.369999997</v>
      </c>
      <c r="Q92" s="52">
        <v>1244835.1199999999</v>
      </c>
      <c r="R92" s="52">
        <v>23564487.640000045</v>
      </c>
      <c r="S92" s="52">
        <v>18474854.170000002</v>
      </c>
      <c r="T92" s="54"/>
      <c r="U92" s="54"/>
      <c r="V92" s="54"/>
      <c r="W92" s="54"/>
      <c r="X92" s="54"/>
      <c r="Y92" s="46"/>
      <c r="Z92" s="46"/>
      <c r="AA92" s="46"/>
      <c r="AB92" s="46"/>
      <c r="AC92" s="46"/>
      <c r="AD92" s="46"/>
    </row>
    <row r="93" spans="1:30" ht="14.1" customHeight="1" x14ac:dyDescent="0.25">
      <c r="A93" s="46" t="s">
        <v>219</v>
      </c>
      <c r="B93" s="46" t="s">
        <v>291</v>
      </c>
      <c r="C93" s="46" t="s">
        <v>310</v>
      </c>
      <c r="D93" s="46" t="s">
        <v>315</v>
      </c>
      <c r="E93" s="46" t="s">
        <v>234</v>
      </c>
      <c r="F93" s="50"/>
      <c r="G93" s="50"/>
      <c r="H93" s="56"/>
      <c r="I93" s="57"/>
      <c r="J93" s="57"/>
      <c r="K93" s="52">
        <v>0</v>
      </c>
      <c r="L93" s="52">
        <v>0</v>
      </c>
      <c r="M93" s="52">
        <v>0</v>
      </c>
      <c r="N93" s="52">
        <v>390935.39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4"/>
      <c r="U93" s="54"/>
      <c r="V93" s="54"/>
      <c r="W93" s="54"/>
      <c r="X93" s="54"/>
      <c r="Y93" s="46"/>
      <c r="Z93" s="46"/>
      <c r="AA93" s="46"/>
      <c r="AB93" s="46"/>
      <c r="AC93" s="46"/>
      <c r="AD93" s="46"/>
    </row>
    <row r="94" spans="1:30" ht="14.1" customHeight="1" x14ac:dyDescent="0.25">
      <c r="A94" s="46" t="s">
        <v>219</v>
      </c>
      <c r="B94" s="46" t="s">
        <v>291</v>
      </c>
      <c r="C94" s="46" t="s">
        <v>298</v>
      </c>
      <c r="D94" s="46" t="s">
        <v>314</v>
      </c>
      <c r="E94" s="46" t="s">
        <v>220</v>
      </c>
      <c r="F94" s="50">
        <v>1</v>
      </c>
      <c r="G94" s="50"/>
      <c r="H94" s="56"/>
      <c r="I94" s="57"/>
      <c r="J94" s="57"/>
      <c r="K94" s="52">
        <v>0</v>
      </c>
      <c r="L94" s="52">
        <v>0</v>
      </c>
      <c r="M94" s="52">
        <v>0</v>
      </c>
      <c r="N94" s="52">
        <v>26885692.90000001</v>
      </c>
      <c r="O94" s="52">
        <v>0</v>
      </c>
      <c r="P94" s="52">
        <v>0</v>
      </c>
      <c r="Q94" s="52">
        <v>0</v>
      </c>
      <c r="R94" s="52">
        <v>0</v>
      </c>
      <c r="S94" s="52">
        <v>0</v>
      </c>
      <c r="T94" s="54"/>
      <c r="U94" s="54"/>
      <c r="V94" s="54"/>
      <c r="W94" s="54"/>
      <c r="X94" s="52">
        <v>26885692.90000001</v>
      </c>
      <c r="Y94" s="46"/>
      <c r="Z94" s="46"/>
      <c r="AA94" s="46"/>
      <c r="AB94" s="46"/>
      <c r="AC94" s="46"/>
      <c r="AD94" s="46"/>
    </row>
    <row r="95" spans="1:30" ht="14.1" customHeight="1" x14ac:dyDescent="0.25">
      <c r="A95" s="46" t="s">
        <v>219</v>
      </c>
      <c r="B95" s="46" t="s">
        <v>291</v>
      </c>
      <c r="C95" s="46" t="s">
        <v>298</v>
      </c>
      <c r="D95" s="46" t="s">
        <v>314</v>
      </c>
      <c r="E95" s="46" t="s">
        <v>194</v>
      </c>
      <c r="F95" s="50"/>
      <c r="G95" s="50"/>
      <c r="H95" s="56"/>
      <c r="I95" s="57"/>
      <c r="J95" s="57"/>
      <c r="K95" s="52">
        <v>0</v>
      </c>
      <c r="L95" s="52">
        <v>0</v>
      </c>
      <c r="M95" s="52">
        <v>0</v>
      </c>
      <c r="N95" s="52">
        <v>47364394.949999921</v>
      </c>
      <c r="O95" s="52">
        <v>0</v>
      </c>
      <c r="P95" s="52">
        <v>0</v>
      </c>
      <c r="Q95" s="52">
        <v>0</v>
      </c>
      <c r="R95" s="52">
        <v>0</v>
      </c>
      <c r="S95" s="52">
        <v>0</v>
      </c>
      <c r="T95" s="54"/>
      <c r="U95" s="54"/>
      <c r="V95" s="54"/>
      <c r="W95" s="54"/>
      <c r="X95" s="52">
        <v>47364394.949999921</v>
      </c>
      <c r="Y95" s="46"/>
      <c r="Z95" s="46"/>
      <c r="AA95" s="46"/>
      <c r="AB95" s="46"/>
      <c r="AC95" s="46"/>
      <c r="AD95" s="46"/>
    </row>
    <row r="96" spans="1:30" ht="14.1" customHeight="1" x14ac:dyDescent="0.25">
      <c r="A96" s="46" t="s">
        <v>219</v>
      </c>
      <c r="B96" s="46" t="s">
        <v>291</v>
      </c>
      <c r="C96" s="46" t="s">
        <v>310</v>
      </c>
      <c r="D96" s="46" t="s">
        <v>315</v>
      </c>
      <c r="E96" s="46" t="s">
        <v>194</v>
      </c>
      <c r="F96" s="50"/>
      <c r="G96" s="50"/>
      <c r="H96" s="56"/>
      <c r="I96" s="57"/>
      <c r="J96" s="57"/>
      <c r="K96" s="52">
        <v>0</v>
      </c>
      <c r="L96" s="52">
        <v>0</v>
      </c>
      <c r="M96" s="52">
        <v>0</v>
      </c>
      <c r="N96" s="52">
        <v>0</v>
      </c>
      <c r="O96" s="52">
        <v>4504874.2200000007</v>
      </c>
      <c r="P96" s="52">
        <v>0</v>
      </c>
      <c r="Q96" s="52">
        <v>0</v>
      </c>
      <c r="R96" s="52">
        <v>720451.83</v>
      </c>
      <c r="S96" s="52">
        <v>0</v>
      </c>
      <c r="T96" s="54"/>
      <c r="U96" s="54"/>
      <c r="V96" s="54"/>
      <c r="W96" s="54"/>
      <c r="X96" s="54"/>
      <c r="Y96" s="46"/>
      <c r="Z96" s="46"/>
      <c r="AA96" s="46"/>
      <c r="AB96" s="46"/>
      <c r="AC96" s="46"/>
      <c r="AD96" s="46"/>
    </row>
    <row r="97" spans="1:30" ht="14.1" customHeight="1" x14ac:dyDescent="0.25">
      <c r="A97" s="46" t="s">
        <v>219</v>
      </c>
      <c r="B97" s="46" t="s">
        <v>291</v>
      </c>
      <c r="C97" s="46" t="s">
        <v>310</v>
      </c>
      <c r="D97" s="46" t="s">
        <v>311</v>
      </c>
      <c r="E97" s="46" t="s">
        <v>307</v>
      </c>
      <c r="F97" s="50"/>
      <c r="G97" s="50"/>
      <c r="H97" s="56"/>
      <c r="I97" s="57"/>
      <c r="J97" s="57"/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9909.8700000000008</v>
      </c>
      <c r="S97" s="52">
        <v>0</v>
      </c>
      <c r="T97" s="54"/>
      <c r="U97" s="54"/>
      <c r="V97" s="54"/>
      <c r="W97" s="54"/>
      <c r="X97" s="54"/>
      <c r="Y97" s="46"/>
      <c r="Z97" s="46"/>
      <c r="AA97" s="46"/>
      <c r="AB97" s="46"/>
      <c r="AC97" s="46"/>
      <c r="AD97" s="46"/>
    </row>
    <row r="98" spans="1:30" ht="14.1" customHeight="1" x14ac:dyDescent="0.25">
      <c r="A98" s="46" t="s">
        <v>219</v>
      </c>
      <c r="B98" s="46" t="s">
        <v>291</v>
      </c>
      <c r="C98" s="46" t="s">
        <v>310</v>
      </c>
      <c r="D98" s="46" t="s">
        <v>312</v>
      </c>
      <c r="E98" s="46" t="s">
        <v>220</v>
      </c>
      <c r="F98" s="50"/>
      <c r="G98" s="50"/>
      <c r="H98" s="56"/>
      <c r="I98" s="57"/>
      <c r="J98" s="57"/>
      <c r="K98" s="52">
        <v>0</v>
      </c>
      <c r="L98" s="52">
        <v>0</v>
      </c>
      <c r="M98" s="52">
        <v>0</v>
      </c>
      <c r="N98" s="52">
        <v>0</v>
      </c>
      <c r="O98" s="52">
        <v>0</v>
      </c>
      <c r="P98" s="52">
        <v>7785298.8700000001</v>
      </c>
      <c r="Q98" s="52">
        <v>0</v>
      </c>
      <c r="R98" s="52">
        <v>0</v>
      </c>
      <c r="S98" s="52">
        <v>0</v>
      </c>
      <c r="T98" s="54"/>
      <c r="U98" s="54"/>
      <c r="V98" s="54"/>
      <c r="W98" s="54"/>
      <c r="X98" s="54"/>
      <c r="Y98" s="46"/>
      <c r="Z98" s="46"/>
      <c r="AA98" s="46"/>
      <c r="AB98" s="46"/>
      <c r="AC98" s="46"/>
      <c r="AD98" s="46"/>
    </row>
    <row r="99" spans="1:30" ht="14.1" customHeight="1" x14ac:dyDescent="0.25">
      <c r="A99" s="46" t="s">
        <v>261</v>
      </c>
      <c r="B99" s="46" t="s">
        <v>291</v>
      </c>
      <c r="C99" s="46" t="s">
        <v>310</v>
      </c>
      <c r="D99" s="46" t="s">
        <v>311</v>
      </c>
      <c r="E99" s="46" t="s">
        <v>316</v>
      </c>
      <c r="F99" s="50">
        <v>1</v>
      </c>
      <c r="G99" s="50"/>
      <c r="H99" s="56"/>
      <c r="I99" s="57"/>
      <c r="J99" s="57"/>
      <c r="K99" s="52">
        <v>0</v>
      </c>
      <c r="L99" s="52">
        <v>0</v>
      </c>
      <c r="M99" s="52">
        <v>0</v>
      </c>
      <c r="N99" s="52">
        <v>0</v>
      </c>
      <c r="O99" s="52">
        <v>86692869.090000033</v>
      </c>
      <c r="P99" s="52">
        <v>4301816.5600000005</v>
      </c>
      <c r="Q99" s="52">
        <v>0</v>
      </c>
      <c r="R99" s="52">
        <v>18523428.060000002</v>
      </c>
      <c r="S99" s="52">
        <v>0</v>
      </c>
      <c r="T99" s="54"/>
      <c r="U99" s="54"/>
      <c r="V99" s="54"/>
      <c r="W99" s="54"/>
      <c r="X99" s="54"/>
      <c r="Y99" s="46"/>
      <c r="Z99" s="46"/>
      <c r="AA99" s="46"/>
      <c r="AB99" s="46"/>
      <c r="AC99" s="46"/>
      <c r="AD99" s="46"/>
    </row>
    <row r="100" spans="1:30" ht="14.1" customHeight="1" x14ac:dyDescent="0.25">
      <c r="A100" s="46" t="s">
        <v>261</v>
      </c>
      <c r="B100" s="46" t="s">
        <v>291</v>
      </c>
      <c r="C100" s="46" t="s">
        <v>310</v>
      </c>
      <c r="D100" s="46" t="s">
        <v>312</v>
      </c>
      <c r="E100" s="46" t="s">
        <v>194</v>
      </c>
      <c r="F100" s="50"/>
      <c r="G100" s="50"/>
      <c r="H100" s="56"/>
      <c r="I100" s="57"/>
      <c r="J100" s="57"/>
      <c r="K100" s="52">
        <v>0</v>
      </c>
      <c r="L100" s="52">
        <v>0</v>
      </c>
      <c r="M100" s="52">
        <v>0</v>
      </c>
      <c r="N100" s="52">
        <v>0</v>
      </c>
      <c r="O100" s="52">
        <v>0</v>
      </c>
      <c r="P100" s="52">
        <v>0</v>
      </c>
      <c r="Q100" s="52">
        <v>0</v>
      </c>
      <c r="R100" s="52">
        <v>0</v>
      </c>
      <c r="S100" s="52">
        <v>3302547.12</v>
      </c>
      <c r="T100" s="54"/>
      <c r="U100" s="54"/>
      <c r="V100" s="54"/>
      <c r="W100" s="54"/>
      <c r="X100" s="54"/>
      <c r="Y100" s="46"/>
      <c r="Z100" s="46"/>
      <c r="AA100" s="46"/>
      <c r="AB100" s="46"/>
      <c r="AC100" s="46"/>
      <c r="AD100" s="46"/>
    </row>
    <row r="101" spans="1:30" ht="14.1" customHeight="1" x14ac:dyDescent="0.25">
      <c r="A101" s="46" t="s">
        <v>261</v>
      </c>
      <c r="B101" s="46" t="s">
        <v>291</v>
      </c>
      <c r="C101" s="46" t="s">
        <v>310</v>
      </c>
      <c r="D101" s="46" t="s">
        <v>312</v>
      </c>
      <c r="E101" s="46" t="s">
        <v>307</v>
      </c>
      <c r="F101" s="50"/>
      <c r="G101" s="50"/>
      <c r="H101" s="56"/>
      <c r="I101" s="57"/>
      <c r="J101" s="57"/>
      <c r="K101" s="52">
        <v>0</v>
      </c>
      <c r="L101" s="52">
        <v>19524447.250000004</v>
      </c>
      <c r="M101" s="52">
        <v>0</v>
      </c>
      <c r="N101" s="52">
        <v>0</v>
      </c>
      <c r="O101" s="52">
        <v>0</v>
      </c>
      <c r="P101" s="52">
        <v>65665.02</v>
      </c>
      <c r="Q101" s="52">
        <v>0</v>
      </c>
      <c r="R101" s="52">
        <v>0</v>
      </c>
      <c r="S101" s="52">
        <v>0</v>
      </c>
      <c r="T101" s="54"/>
      <c r="U101" s="54"/>
      <c r="V101" s="54"/>
      <c r="W101" s="54"/>
      <c r="X101" s="54"/>
      <c r="Y101" s="46"/>
      <c r="Z101" s="46"/>
      <c r="AA101" s="46"/>
      <c r="AB101" s="46"/>
      <c r="AC101" s="46"/>
      <c r="AD101" s="46"/>
    </row>
    <row r="102" spans="1:30" ht="14.1" customHeight="1" x14ac:dyDescent="0.25">
      <c r="A102" s="46" t="s">
        <v>232</v>
      </c>
      <c r="B102" s="46" t="s">
        <v>291</v>
      </c>
      <c r="C102" s="46" t="s">
        <v>310</v>
      </c>
      <c r="D102" s="46" t="s">
        <v>313</v>
      </c>
      <c r="E102" s="46" t="s">
        <v>194</v>
      </c>
      <c r="F102" s="50"/>
      <c r="G102" s="50"/>
      <c r="H102" s="56"/>
      <c r="I102" s="57"/>
      <c r="J102" s="57"/>
      <c r="K102" s="52">
        <v>0</v>
      </c>
      <c r="L102" s="52">
        <v>0</v>
      </c>
      <c r="M102" s="52">
        <v>0</v>
      </c>
      <c r="N102" s="52">
        <v>0</v>
      </c>
      <c r="O102" s="52">
        <v>10775322.740000002</v>
      </c>
      <c r="P102" s="52">
        <v>0</v>
      </c>
      <c r="Q102" s="52">
        <v>0</v>
      </c>
      <c r="R102" s="52">
        <v>0</v>
      </c>
      <c r="S102" s="52">
        <v>0</v>
      </c>
      <c r="T102" s="54"/>
      <c r="U102" s="54"/>
      <c r="V102" s="54"/>
      <c r="W102" s="54"/>
      <c r="X102" s="54"/>
      <c r="Y102" s="46"/>
      <c r="Z102" s="46"/>
      <c r="AA102" s="46"/>
      <c r="AB102" s="46"/>
      <c r="AC102" s="46"/>
      <c r="AD102" s="46"/>
    </row>
    <row r="103" spans="1:30" ht="14.1" customHeight="1" x14ac:dyDescent="0.25">
      <c r="A103" s="46" t="s">
        <v>232</v>
      </c>
      <c r="B103" s="46" t="s">
        <v>291</v>
      </c>
      <c r="C103" s="46" t="s">
        <v>298</v>
      </c>
      <c r="D103" s="46" t="s">
        <v>314</v>
      </c>
      <c r="E103" s="46" t="s">
        <v>194</v>
      </c>
      <c r="F103" s="50">
        <v>1</v>
      </c>
      <c r="G103" s="50"/>
      <c r="H103" s="56"/>
      <c r="I103" s="57"/>
      <c r="J103" s="57"/>
      <c r="K103" s="52">
        <v>0</v>
      </c>
      <c r="L103" s="52">
        <v>0</v>
      </c>
      <c r="M103" s="52">
        <v>0</v>
      </c>
      <c r="N103" s="52">
        <v>31316449.110000011</v>
      </c>
      <c r="O103" s="52">
        <v>0</v>
      </c>
      <c r="P103" s="52">
        <v>0</v>
      </c>
      <c r="Q103" s="52">
        <v>0</v>
      </c>
      <c r="R103" s="52">
        <v>0</v>
      </c>
      <c r="S103" s="52">
        <v>0</v>
      </c>
      <c r="T103" s="54"/>
      <c r="U103" s="54"/>
      <c r="V103" s="54"/>
      <c r="W103" s="54"/>
      <c r="X103" s="52">
        <v>31316449.110000011</v>
      </c>
      <c r="Y103" s="46"/>
      <c r="Z103" s="46"/>
      <c r="AA103" s="46"/>
      <c r="AB103" s="46"/>
      <c r="AC103" s="46"/>
      <c r="AD103" s="46"/>
    </row>
    <row r="104" spans="1:30" ht="14.1" customHeight="1" x14ac:dyDescent="0.25">
      <c r="A104" s="46" t="s">
        <v>232</v>
      </c>
      <c r="B104" s="46" t="s">
        <v>291</v>
      </c>
      <c r="C104" s="46" t="s">
        <v>310</v>
      </c>
      <c r="D104" s="46" t="s">
        <v>315</v>
      </c>
      <c r="E104" s="46" t="s">
        <v>234</v>
      </c>
      <c r="F104" s="50"/>
      <c r="G104" s="50"/>
      <c r="H104" s="56"/>
      <c r="I104" s="57"/>
      <c r="J104" s="57"/>
      <c r="K104" s="52">
        <v>0</v>
      </c>
      <c r="L104" s="52">
        <v>0</v>
      </c>
      <c r="M104" s="52">
        <v>0</v>
      </c>
      <c r="N104" s="52">
        <v>16367163.050000001</v>
      </c>
      <c r="O104" s="52">
        <v>0</v>
      </c>
      <c r="P104" s="52">
        <v>0</v>
      </c>
      <c r="Q104" s="52">
        <v>0</v>
      </c>
      <c r="R104" s="52">
        <v>0</v>
      </c>
      <c r="S104" s="52">
        <v>0</v>
      </c>
      <c r="T104" s="54"/>
      <c r="U104" s="54"/>
      <c r="V104" s="54"/>
      <c r="W104" s="54"/>
      <c r="X104" s="54"/>
      <c r="Y104" s="46"/>
      <c r="Z104" s="46"/>
      <c r="AA104" s="46"/>
      <c r="AB104" s="46"/>
      <c r="AC104" s="46"/>
      <c r="AD104" s="46"/>
    </row>
    <row r="105" spans="1:30" ht="14.1" customHeight="1" x14ac:dyDescent="0.25">
      <c r="A105" s="46" t="s">
        <v>232</v>
      </c>
      <c r="B105" s="46" t="s">
        <v>291</v>
      </c>
      <c r="C105" s="46" t="s">
        <v>310</v>
      </c>
      <c r="D105" s="46" t="s">
        <v>312</v>
      </c>
      <c r="E105" s="46" t="s">
        <v>307</v>
      </c>
      <c r="F105" s="50"/>
      <c r="G105" s="50"/>
      <c r="H105" s="56"/>
      <c r="I105" s="57"/>
      <c r="J105" s="57"/>
      <c r="K105" s="52">
        <v>0</v>
      </c>
      <c r="L105" s="52">
        <v>0</v>
      </c>
      <c r="M105" s="52">
        <v>0</v>
      </c>
      <c r="N105" s="52">
        <v>0</v>
      </c>
      <c r="O105" s="52">
        <v>0</v>
      </c>
      <c r="P105" s="52">
        <v>0</v>
      </c>
      <c r="Q105" s="52">
        <v>0</v>
      </c>
      <c r="R105" s="52">
        <v>15694.580000000002</v>
      </c>
      <c r="S105" s="52">
        <v>0</v>
      </c>
      <c r="T105" s="54"/>
      <c r="U105" s="54"/>
      <c r="V105" s="54"/>
      <c r="W105" s="54"/>
      <c r="X105" s="54"/>
      <c r="Y105" s="46"/>
      <c r="Z105" s="46"/>
      <c r="AA105" s="46"/>
      <c r="AB105" s="46"/>
      <c r="AC105" s="46"/>
      <c r="AD105" s="46"/>
    </row>
    <row r="106" spans="1:30" ht="14.1" customHeight="1" x14ac:dyDescent="0.25">
      <c r="A106" s="46" t="s">
        <v>232</v>
      </c>
      <c r="B106" s="46" t="s">
        <v>291</v>
      </c>
      <c r="C106" s="46" t="s">
        <v>310</v>
      </c>
      <c r="D106" s="46" t="s">
        <v>312</v>
      </c>
      <c r="E106" s="46" t="s">
        <v>220</v>
      </c>
      <c r="F106" s="50"/>
      <c r="G106" s="50"/>
      <c r="H106" s="56"/>
      <c r="I106" s="57"/>
      <c r="J106" s="57"/>
      <c r="K106" s="52">
        <v>0</v>
      </c>
      <c r="L106" s="52">
        <v>0</v>
      </c>
      <c r="M106" s="52">
        <v>0</v>
      </c>
      <c r="N106" s="52">
        <v>0</v>
      </c>
      <c r="O106" s="52">
        <v>0</v>
      </c>
      <c r="P106" s="52">
        <v>0</v>
      </c>
      <c r="Q106" s="52">
        <v>0</v>
      </c>
      <c r="R106" s="52">
        <v>78903.149999999994</v>
      </c>
      <c r="S106" s="52">
        <v>31037118.419999994</v>
      </c>
      <c r="T106" s="54"/>
      <c r="U106" s="54"/>
      <c r="V106" s="54"/>
      <c r="W106" s="54"/>
      <c r="X106" s="54"/>
      <c r="Y106" s="46"/>
      <c r="Z106" s="46"/>
      <c r="AA106" s="46"/>
      <c r="AB106" s="46"/>
      <c r="AC106" s="46"/>
      <c r="AD106" s="46"/>
    </row>
    <row r="107" spans="1:30" ht="14.1" customHeight="1" x14ac:dyDescent="0.25">
      <c r="A107" s="46" t="s">
        <v>233</v>
      </c>
      <c r="B107" s="46" t="s">
        <v>291</v>
      </c>
      <c r="C107" s="46" t="s">
        <v>310</v>
      </c>
      <c r="D107" s="46" t="s">
        <v>315</v>
      </c>
      <c r="E107" s="46" t="s">
        <v>234</v>
      </c>
      <c r="F107" s="50">
        <v>1</v>
      </c>
      <c r="G107" s="50"/>
      <c r="H107" s="56"/>
      <c r="I107" s="57"/>
      <c r="J107" s="57"/>
      <c r="K107" s="52">
        <v>13379034.709999997</v>
      </c>
      <c r="L107" s="52">
        <v>1208636.9000000001</v>
      </c>
      <c r="M107" s="52">
        <v>0</v>
      </c>
      <c r="N107" s="52">
        <v>84991549.110000074</v>
      </c>
      <c r="O107" s="52">
        <v>903403.1100000001</v>
      </c>
      <c r="P107" s="52">
        <v>17161031.190000001</v>
      </c>
      <c r="Q107" s="52">
        <v>0</v>
      </c>
      <c r="R107" s="52">
        <v>8152832.7700000051</v>
      </c>
      <c r="S107" s="52">
        <v>35014427.390000008</v>
      </c>
      <c r="T107" s="54"/>
      <c r="U107" s="54"/>
      <c r="V107" s="54"/>
      <c r="W107" s="54"/>
      <c r="X107" s="54"/>
      <c r="Y107" s="46"/>
      <c r="Z107" s="46"/>
      <c r="AA107" s="46"/>
      <c r="AB107" s="46"/>
      <c r="AC107" s="46"/>
      <c r="AD107" s="46"/>
    </row>
    <row r="108" spans="1:30" ht="14.1" customHeight="1" x14ac:dyDescent="0.25">
      <c r="A108" s="46" t="s">
        <v>185</v>
      </c>
      <c r="B108" s="46" t="s">
        <v>291</v>
      </c>
      <c r="C108" s="46" t="s">
        <v>298</v>
      </c>
      <c r="D108" s="46" t="s">
        <v>314</v>
      </c>
      <c r="E108" s="46" t="s">
        <v>220</v>
      </c>
      <c r="F108" s="50">
        <v>1</v>
      </c>
      <c r="G108" s="50"/>
      <c r="H108" s="56"/>
      <c r="I108" s="57"/>
      <c r="J108" s="57"/>
      <c r="K108" s="52">
        <v>0</v>
      </c>
      <c r="L108" s="52">
        <v>0</v>
      </c>
      <c r="M108" s="52">
        <v>0</v>
      </c>
      <c r="N108" s="52">
        <v>87333646.37999998</v>
      </c>
      <c r="O108" s="52">
        <v>0</v>
      </c>
      <c r="P108" s="52">
        <v>0</v>
      </c>
      <c r="Q108" s="52">
        <v>0</v>
      </c>
      <c r="R108" s="52">
        <v>0</v>
      </c>
      <c r="S108" s="52">
        <v>0</v>
      </c>
      <c r="T108" s="54"/>
      <c r="U108" s="54"/>
      <c r="V108" s="54"/>
      <c r="W108" s="54"/>
      <c r="X108" s="52">
        <v>87333646.37999998</v>
      </c>
      <c r="Y108" s="46"/>
      <c r="Z108" s="46"/>
      <c r="AA108" s="46"/>
      <c r="AB108" s="46"/>
      <c r="AC108" s="46"/>
      <c r="AD108" s="46"/>
    </row>
    <row r="109" spans="1:30" ht="14.1" customHeight="1" x14ac:dyDescent="0.25">
      <c r="A109" s="46" t="s">
        <v>185</v>
      </c>
      <c r="B109" s="46" t="s">
        <v>291</v>
      </c>
      <c r="C109" s="46" t="s">
        <v>298</v>
      </c>
      <c r="D109" s="46" t="s">
        <v>314</v>
      </c>
      <c r="E109" s="46" t="s">
        <v>194</v>
      </c>
      <c r="F109" s="50"/>
      <c r="G109" s="50"/>
      <c r="H109" s="56"/>
      <c r="I109" s="57"/>
      <c r="J109" s="57"/>
      <c r="K109" s="52">
        <v>0</v>
      </c>
      <c r="L109" s="52">
        <v>0</v>
      </c>
      <c r="M109" s="52">
        <v>0</v>
      </c>
      <c r="N109" s="52">
        <v>855691.44000000006</v>
      </c>
      <c r="O109" s="52">
        <v>0</v>
      </c>
      <c r="P109" s="52">
        <v>0</v>
      </c>
      <c r="Q109" s="52">
        <v>0</v>
      </c>
      <c r="R109" s="52">
        <v>0</v>
      </c>
      <c r="S109" s="52">
        <v>0</v>
      </c>
      <c r="T109" s="54"/>
      <c r="U109" s="54"/>
      <c r="V109" s="54"/>
      <c r="W109" s="54"/>
      <c r="X109" s="52">
        <v>855691.44000000006</v>
      </c>
      <c r="Y109" s="46"/>
      <c r="Z109" s="46"/>
      <c r="AA109" s="46"/>
      <c r="AB109" s="46"/>
      <c r="AC109" s="46"/>
      <c r="AD109" s="46"/>
    </row>
    <row r="110" spans="1:30" ht="14.1" customHeight="1" x14ac:dyDescent="0.25">
      <c r="A110" s="46" t="s">
        <v>185</v>
      </c>
      <c r="B110" s="46" t="s">
        <v>291</v>
      </c>
      <c r="C110" s="46" t="s">
        <v>310</v>
      </c>
      <c r="D110" s="46" t="s">
        <v>312</v>
      </c>
      <c r="E110" s="46" t="s">
        <v>194</v>
      </c>
      <c r="F110" s="50"/>
      <c r="G110" s="50"/>
      <c r="H110" s="56"/>
      <c r="I110" s="57"/>
      <c r="J110" s="57"/>
      <c r="K110" s="52">
        <v>0</v>
      </c>
      <c r="L110" s="52">
        <v>0</v>
      </c>
      <c r="M110" s="52">
        <v>0</v>
      </c>
      <c r="N110" s="52">
        <v>0</v>
      </c>
      <c r="O110" s="52">
        <v>508431.55999999994</v>
      </c>
      <c r="P110" s="52">
        <v>0</v>
      </c>
      <c r="Q110" s="52">
        <v>0</v>
      </c>
      <c r="R110" s="52">
        <v>0</v>
      </c>
      <c r="S110" s="52">
        <v>0</v>
      </c>
      <c r="T110" s="54"/>
      <c r="U110" s="54"/>
      <c r="V110" s="54"/>
      <c r="W110" s="54"/>
      <c r="X110" s="46"/>
      <c r="Y110" s="46"/>
      <c r="Z110" s="46"/>
      <c r="AA110" s="46"/>
      <c r="AB110" s="46"/>
      <c r="AC110" s="46"/>
      <c r="AD110" s="46"/>
    </row>
    <row r="111" spans="1:30" ht="14.1" customHeight="1" x14ac:dyDescent="0.25">
      <c r="A111" s="46" t="s">
        <v>185</v>
      </c>
      <c r="B111" s="46" t="s">
        <v>291</v>
      </c>
      <c r="C111" s="46" t="s">
        <v>310</v>
      </c>
      <c r="D111" s="46" t="s">
        <v>315</v>
      </c>
      <c r="E111" s="46" t="s">
        <v>220</v>
      </c>
      <c r="F111" s="50">
        <v>1</v>
      </c>
      <c r="G111" s="50"/>
      <c r="H111" s="56"/>
      <c r="I111" s="57"/>
      <c r="J111" s="57"/>
      <c r="K111" s="52">
        <v>6077749.5899999999</v>
      </c>
      <c r="L111" s="52">
        <v>0</v>
      </c>
      <c r="M111" s="52">
        <v>0</v>
      </c>
      <c r="N111" s="52">
        <v>982012.08</v>
      </c>
      <c r="O111" s="52">
        <v>3443212.4599999995</v>
      </c>
      <c r="P111" s="52">
        <v>6989677.290000001</v>
      </c>
      <c r="Q111" s="52">
        <v>2037874.27</v>
      </c>
      <c r="R111" s="52">
        <v>15762558.589999992</v>
      </c>
      <c r="S111" s="52">
        <v>18955229.350000005</v>
      </c>
      <c r="T111" s="54"/>
      <c r="U111" s="54"/>
      <c r="V111" s="54"/>
      <c r="W111" s="54"/>
      <c r="X111" s="46"/>
      <c r="Y111" s="46"/>
      <c r="Z111" s="46"/>
      <c r="AA111" s="46"/>
      <c r="AB111" s="46"/>
      <c r="AC111" s="46"/>
      <c r="AD111" s="46"/>
    </row>
    <row r="112" spans="1:30" ht="14.1" customHeight="1" x14ac:dyDescent="0.25">
      <c r="A112" s="46" t="s">
        <v>185</v>
      </c>
      <c r="B112" s="46" t="s">
        <v>291</v>
      </c>
      <c r="C112" s="46" t="s">
        <v>310</v>
      </c>
      <c r="D112" s="46" t="s">
        <v>312</v>
      </c>
      <c r="E112" s="46" t="s">
        <v>220</v>
      </c>
      <c r="F112" s="50"/>
      <c r="G112" s="50"/>
      <c r="H112" s="56"/>
      <c r="I112" s="57"/>
      <c r="J112" s="57"/>
      <c r="K112" s="52">
        <v>0</v>
      </c>
      <c r="L112" s="52">
        <v>6196445.6400000006</v>
      </c>
      <c r="M112" s="52">
        <v>0</v>
      </c>
      <c r="N112" s="52">
        <v>0</v>
      </c>
      <c r="O112" s="52">
        <v>0</v>
      </c>
      <c r="P112" s="52">
        <v>1588019.9799999997</v>
      </c>
      <c r="Q112" s="52">
        <v>0</v>
      </c>
      <c r="R112" s="52">
        <v>0</v>
      </c>
      <c r="S112" s="52">
        <v>0</v>
      </c>
      <c r="T112" s="54"/>
      <c r="U112" s="54"/>
      <c r="V112" s="54"/>
      <c r="W112" s="54"/>
      <c r="X112" s="46"/>
      <c r="Y112" s="46"/>
      <c r="Z112" s="46"/>
      <c r="AA112" s="46"/>
      <c r="AB112" s="46"/>
      <c r="AC112" s="46"/>
      <c r="AD112" s="46"/>
    </row>
    <row r="113" spans="1:31" ht="14.1" customHeight="1" x14ac:dyDescent="0.25">
      <c r="A113" s="46" t="s">
        <v>296</v>
      </c>
      <c r="B113" s="46" t="s">
        <v>291</v>
      </c>
      <c r="C113" s="46" t="s">
        <v>310</v>
      </c>
      <c r="D113" s="46" t="s">
        <v>311</v>
      </c>
      <c r="E113" s="46" t="s">
        <v>307</v>
      </c>
      <c r="F113" s="50"/>
      <c r="G113" s="50"/>
      <c r="H113" s="56"/>
      <c r="I113" s="57"/>
      <c r="J113" s="57"/>
      <c r="K113" s="52">
        <v>7522983.4700000007</v>
      </c>
      <c r="L113" s="52"/>
      <c r="M113" s="52"/>
      <c r="N113" s="52">
        <v>98786.069999999992</v>
      </c>
      <c r="O113" s="52">
        <v>2126318.75</v>
      </c>
      <c r="P113" s="52">
        <v>34862.129999999997</v>
      </c>
      <c r="Q113" s="52">
        <v>0</v>
      </c>
      <c r="R113" s="52">
        <v>3804085.9099999997</v>
      </c>
      <c r="S113" s="52">
        <v>3964789.5199999996</v>
      </c>
      <c r="T113" s="54"/>
      <c r="U113" s="54"/>
      <c r="V113" s="54"/>
      <c r="W113" s="54"/>
      <c r="X113" s="46"/>
      <c r="Y113" s="46"/>
      <c r="Z113" s="46"/>
      <c r="AA113" s="46"/>
      <c r="AB113" s="46"/>
      <c r="AC113" s="46"/>
      <c r="AD113" s="46"/>
    </row>
    <row r="114" spans="1:31" ht="14.1" customHeight="1" x14ac:dyDescent="0.25">
      <c r="A114" s="46" t="s">
        <v>297</v>
      </c>
      <c r="B114" s="46" t="s">
        <v>291</v>
      </c>
      <c r="C114" s="46" t="s">
        <v>310</v>
      </c>
      <c r="D114" s="46" t="s">
        <v>311</v>
      </c>
      <c r="E114" s="46" t="s">
        <v>307</v>
      </c>
      <c r="F114" s="50">
        <v>1</v>
      </c>
      <c r="G114" s="50"/>
      <c r="H114" s="56"/>
      <c r="I114" s="57"/>
      <c r="J114" s="57"/>
      <c r="K114" s="52">
        <v>31451267.149999999</v>
      </c>
      <c r="L114" s="52">
        <v>0</v>
      </c>
      <c r="M114" s="52">
        <v>0</v>
      </c>
      <c r="N114" s="52">
        <v>1880603.23</v>
      </c>
      <c r="O114" s="52">
        <v>5776037.3800000008</v>
      </c>
      <c r="P114" s="52">
        <v>7732129.9400000023</v>
      </c>
      <c r="Q114" s="52">
        <v>0</v>
      </c>
      <c r="R114" s="52">
        <v>17829784.870000005</v>
      </c>
      <c r="S114" s="52">
        <v>63316068.730000012</v>
      </c>
      <c r="T114" s="54"/>
      <c r="U114" s="54"/>
      <c r="V114" s="54"/>
      <c r="W114" s="54"/>
      <c r="X114" s="46"/>
      <c r="Y114" s="46"/>
      <c r="Z114" s="46"/>
      <c r="AA114" s="46"/>
      <c r="AB114" s="46"/>
      <c r="AC114" s="46"/>
      <c r="AD114" s="46"/>
    </row>
    <row r="115" spans="1:31" ht="14.1" customHeight="1" x14ac:dyDescent="0.25">
      <c r="A115" s="46" t="s">
        <v>214</v>
      </c>
      <c r="B115" s="46" t="s">
        <v>291</v>
      </c>
      <c r="C115" s="46" t="s">
        <v>298</v>
      </c>
      <c r="D115" s="46" t="s">
        <v>306</v>
      </c>
      <c r="E115" s="46" t="s">
        <v>207</v>
      </c>
      <c r="F115" s="50"/>
      <c r="G115" s="50"/>
      <c r="H115" s="56"/>
      <c r="I115" s="52">
        <v>34087387.920000017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4"/>
      <c r="U115" s="54"/>
      <c r="V115" s="54"/>
      <c r="W115" s="54"/>
      <c r="X115" s="46"/>
      <c r="Y115" s="46"/>
      <c r="Z115" s="46"/>
      <c r="AA115" s="46"/>
      <c r="AB115" s="46"/>
      <c r="AC115" s="46"/>
      <c r="AD115" s="46"/>
      <c r="AE115" s="1" t="s">
        <v>308</v>
      </c>
    </row>
    <row r="116" spans="1:31" ht="14.1" customHeight="1" x14ac:dyDescent="0.25">
      <c r="A116" s="46" t="s">
        <v>214</v>
      </c>
      <c r="B116" s="46" t="s">
        <v>291</v>
      </c>
      <c r="C116" s="46" t="s">
        <v>298</v>
      </c>
      <c r="D116" s="46" t="s">
        <v>306</v>
      </c>
      <c r="E116" s="46" t="s">
        <v>207</v>
      </c>
      <c r="F116" s="50"/>
      <c r="G116" s="50"/>
      <c r="H116" s="56"/>
      <c r="I116" s="52">
        <v>100115674.67999995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4"/>
      <c r="U116" s="54"/>
      <c r="V116" s="54"/>
      <c r="W116" s="54"/>
      <c r="X116" s="46"/>
      <c r="Y116" s="46"/>
      <c r="Z116" s="46"/>
      <c r="AA116" s="46"/>
      <c r="AB116" s="46"/>
      <c r="AC116" s="46"/>
      <c r="AD116" s="46"/>
      <c r="AE116" s="1" t="s">
        <v>317</v>
      </c>
    </row>
  </sheetData>
  <autoFilter ref="A3:AD116" xr:uid="{C2C58479-2A44-483F-8F78-CB6DD0E7E6CC}"/>
  <mergeCells count="5">
    <mergeCell ref="I1:S1"/>
    <mergeCell ref="T1:AD1"/>
    <mergeCell ref="I2:J2"/>
    <mergeCell ref="T2:AA2"/>
    <mergeCell ref="AB2:AD2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A5EC-B68E-4623-A1FB-A5A8DEC1FA6B}">
  <dimension ref="A1:AD122"/>
  <sheetViews>
    <sheetView zoomScale="70" zoomScaleNormal="7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L40" sqref="L40"/>
    </sheetView>
  </sheetViews>
  <sheetFormatPr defaultColWidth="8.85546875" defaultRowHeight="15" x14ac:dyDescent="0.25"/>
  <cols>
    <col min="1" max="1" width="26.85546875" style="1" customWidth="1"/>
    <col min="2" max="2" width="20.42578125" style="1" customWidth="1"/>
    <col min="3" max="3" width="27.85546875" style="1" customWidth="1"/>
    <col min="4" max="4" width="32.85546875" style="1" customWidth="1"/>
    <col min="5" max="5" width="31.5703125" style="1" customWidth="1"/>
    <col min="6" max="7" width="11.140625" style="2" customWidth="1"/>
    <col min="8" max="10" width="11.140625" style="1" customWidth="1"/>
    <col min="11" max="11" width="26.85546875" style="1" bestFit="1" customWidth="1"/>
    <col min="12" max="12" width="21.85546875" style="1" bestFit="1" customWidth="1"/>
    <col min="13" max="13" width="24" style="1" bestFit="1" customWidth="1"/>
    <col min="14" max="14" width="24.85546875" style="1" bestFit="1" customWidth="1"/>
    <col min="15" max="15" width="20.140625" style="1" bestFit="1" customWidth="1"/>
    <col min="16" max="16" width="21.140625" style="1" bestFit="1" customWidth="1"/>
    <col min="17" max="17" width="19.85546875" style="1" bestFit="1" customWidth="1"/>
    <col min="18" max="18" width="16" style="1" bestFit="1" customWidth="1"/>
    <col min="19" max="19" width="16.140625" style="1" bestFit="1" customWidth="1"/>
    <col min="20" max="20" width="25.42578125" style="1" bestFit="1" customWidth="1"/>
    <col min="21" max="21" width="17.140625" style="1" bestFit="1" customWidth="1"/>
    <col min="22" max="22" width="16.140625" style="1" bestFit="1" customWidth="1"/>
    <col min="23" max="23" width="21.42578125" style="1" bestFit="1" customWidth="1"/>
    <col min="24" max="24" width="13" style="1" bestFit="1" customWidth="1"/>
    <col min="25" max="25" width="12" style="1" customWidth="1"/>
    <col min="26" max="26" width="10.85546875" style="1" customWidth="1"/>
    <col min="27" max="27" width="11.85546875" style="1" customWidth="1"/>
    <col min="28" max="28" width="15.85546875" style="1" bestFit="1" customWidth="1"/>
    <col min="29" max="30" width="15.140625" style="1" bestFit="1" customWidth="1"/>
    <col min="31" max="16384" width="8.85546875" style="1"/>
  </cols>
  <sheetData>
    <row r="1" spans="1:30" ht="15" customHeight="1" thickBot="1" x14ac:dyDescent="0.3">
      <c r="A1" s="45" t="s">
        <v>0</v>
      </c>
      <c r="I1" s="361" t="s">
        <v>1</v>
      </c>
      <c r="J1" s="361"/>
      <c r="K1" s="361"/>
      <c r="L1" s="361"/>
      <c r="M1" s="361"/>
      <c r="N1" s="361"/>
      <c r="O1" s="361"/>
      <c r="P1" s="361"/>
      <c r="Q1" s="361"/>
      <c r="R1" s="361"/>
      <c r="S1" s="361"/>
      <c r="T1" s="361" t="s">
        <v>2</v>
      </c>
      <c r="U1" s="361"/>
      <c r="V1" s="361"/>
      <c r="W1" s="361"/>
      <c r="X1" s="361"/>
      <c r="Y1" s="361"/>
      <c r="Z1" s="361"/>
      <c r="AA1" s="361"/>
      <c r="AB1" s="361"/>
      <c r="AC1" s="361"/>
      <c r="AD1" s="361"/>
    </row>
    <row r="2" spans="1:30" s="3" customFormat="1" ht="59.45" customHeight="1" thickBot="1" x14ac:dyDescent="0.3">
      <c r="I2" s="364" t="s">
        <v>3</v>
      </c>
      <c r="J2" s="364"/>
      <c r="K2" s="4" t="s">
        <v>4</v>
      </c>
      <c r="L2" s="3" t="s">
        <v>4</v>
      </c>
      <c r="M2" s="5" t="s">
        <v>4</v>
      </c>
      <c r="N2" s="3" t="s">
        <v>5</v>
      </c>
      <c r="O2" s="3" t="s">
        <v>5</v>
      </c>
      <c r="P2" s="3" t="s">
        <v>5</v>
      </c>
      <c r="Q2" s="3" t="s">
        <v>5</v>
      </c>
      <c r="R2" s="3" t="s">
        <v>5</v>
      </c>
      <c r="S2" s="5" t="s">
        <v>5</v>
      </c>
      <c r="T2" s="364" t="s">
        <v>6</v>
      </c>
      <c r="U2" s="364"/>
      <c r="V2" s="364"/>
      <c r="W2" s="364"/>
      <c r="X2" s="364"/>
      <c r="Y2" s="364"/>
      <c r="Z2" s="364"/>
      <c r="AA2" s="364"/>
      <c r="AB2" s="364" t="s">
        <v>7</v>
      </c>
      <c r="AC2" s="364"/>
      <c r="AD2" s="364"/>
    </row>
    <row r="3" spans="1:30" s="13" customFormat="1" ht="60.75" thickBot="1" x14ac:dyDescent="0.3">
      <c r="A3" s="6" t="s">
        <v>8</v>
      </c>
      <c r="B3" s="7" t="s">
        <v>9</v>
      </c>
      <c r="C3" s="7" t="s">
        <v>10</v>
      </c>
      <c r="D3" s="8" t="s">
        <v>11</v>
      </c>
      <c r="E3" s="6" t="s">
        <v>12</v>
      </c>
      <c r="F3" s="8" t="s">
        <v>13</v>
      </c>
      <c r="G3" s="9" t="s">
        <v>14</v>
      </c>
      <c r="H3" s="9" t="s">
        <v>15</v>
      </c>
      <c r="I3" s="6" t="s">
        <v>16</v>
      </c>
      <c r="J3" s="8" t="s">
        <v>17</v>
      </c>
      <c r="K3" s="10" t="s">
        <v>18</v>
      </c>
      <c r="L3" s="11" t="s">
        <v>19</v>
      </c>
      <c r="M3" s="12" t="s">
        <v>20</v>
      </c>
      <c r="N3" s="11" t="s">
        <v>21</v>
      </c>
      <c r="O3" s="11" t="s">
        <v>22</v>
      </c>
      <c r="P3" s="11" t="s">
        <v>23</v>
      </c>
      <c r="Q3" s="11" t="s">
        <v>24</v>
      </c>
      <c r="R3" s="11" t="s">
        <v>25</v>
      </c>
      <c r="S3" s="12" t="s">
        <v>26</v>
      </c>
      <c r="T3" s="10" t="s">
        <v>27</v>
      </c>
      <c r="U3" s="11" t="s">
        <v>28</v>
      </c>
      <c r="V3" s="11" t="s">
        <v>29</v>
      </c>
      <c r="W3" s="11" t="s">
        <v>30</v>
      </c>
      <c r="X3" s="11" t="s">
        <v>31</v>
      </c>
      <c r="Y3" s="10" t="s">
        <v>32</v>
      </c>
      <c r="Z3" s="10" t="s">
        <v>33</v>
      </c>
      <c r="AA3" s="12" t="s">
        <v>34</v>
      </c>
      <c r="AB3" s="10" t="s">
        <v>27</v>
      </c>
      <c r="AC3" s="11" t="s">
        <v>28</v>
      </c>
      <c r="AD3" s="12" t="s">
        <v>35</v>
      </c>
    </row>
    <row r="4" spans="1:30" x14ac:dyDescent="0.25">
      <c r="A4" s="144" t="s">
        <v>318</v>
      </c>
      <c r="B4" s="65" t="s">
        <v>319</v>
      </c>
      <c r="C4" s="65" t="s">
        <v>320</v>
      </c>
      <c r="D4" s="67" t="s">
        <v>321</v>
      </c>
      <c r="E4" s="144" t="s">
        <v>322</v>
      </c>
      <c r="F4" s="68">
        <v>1</v>
      </c>
      <c r="G4" s="68"/>
      <c r="H4" s="62" t="s">
        <v>51</v>
      </c>
      <c r="I4" s="65"/>
      <c r="J4" s="66"/>
      <c r="K4" s="159"/>
      <c r="L4" s="160"/>
      <c r="M4" s="161"/>
      <c r="N4" s="146"/>
      <c r="O4" s="71">
        <v>162284782.97000009</v>
      </c>
      <c r="P4" s="71">
        <v>13879794.710000001</v>
      </c>
      <c r="Q4" s="71"/>
      <c r="R4" s="71">
        <v>43444971.360000089</v>
      </c>
      <c r="S4" s="72">
        <v>7653712.7299999995</v>
      </c>
      <c r="T4" s="146"/>
      <c r="U4" s="71"/>
      <c r="V4" s="64">
        <v>1176382.5</v>
      </c>
      <c r="W4" s="71"/>
      <c r="X4" s="72"/>
      <c r="Y4" s="147"/>
      <c r="Z4" s="146"/>
      <c r="AA4" s="72"/>
      <c r="AB4" s="146"/>
      <c r="AC4" s="71"/>
      <c r="AD4" s="72"/>
    </row>
    <row r="5" spans="1:30" x14ac:dyDescent="0.25">
      <c r="A5" s="145" t="s">
        <v>323</v>
      </c>
      <c r="B5" s="62" t="s">
        <v>319</v>
      </c>
      <c r="C5" s="62" t="s">
        <v>320</v>
      </c>
      <c r="D5" s="67" t="s">
        <v>321</v>
      </c>
      <c r="E5" s="143" t="s">
        <v>322</v>
      </c>
      <c r="F5" s="63"/>
      <c r="G5" s="63"/>
      <c r="H5" s="62" t="s">
        <v>51</v>
      </c>
      <c r="I5" s="62"/>
      <c r="J5" s="67"/>
      <c r="K5" s="158"/>
      <c r="L5" s="162"/>
      <c r="M5" s="163"/>
      <c r="N5" s="69"/>
      <c r="O5" s="64">
        <v>9084415.049999997</v>
      </c>
      <c r="P5" s="64">
        <v>2459715.16</v>
      </c>
      <c r="Q5" s="64"/>
      <c r="R5" s="64">
        <v>4918608.9900000012</v>
      </c>
      <c r="S5" s="70"/>
      <c r="T5" s="69"/>
      <c r="U5" s="64">
        <v>30322114.23</v>
      </c>
      <c r="V5" s="64"/>
      <c r="W5" s="64"/>
      <c r="X5" s="70"/>
      <c r="Y5" s="148"/>
      <c r="Z5" s="69"/>
      <c r="AA5" s="70"/>
      <c r="AB5" s="69"/>
      <c r="AC5" s="64"/>
      <c r="AD5" s="70"/>
    </row>
    <row r="6" spans="1:30" x14ac:dyDescent="0.25">
      <c r="A6" s="145" t="s">
        <v>324</v>
      </c>
      <c r="B6" s="62" t="s">
        <v>319</v>
      </c>
      <c r="C6" s="62" t="s">
        <v>320</v>
      </c>
      <c r="D6" s="67" t="s">
        <v>321</v>
      </c>
      <c r="E6" s="143" t="s">
        <v>325</v>
      </c>
      <c r="F6" s="63">
        <v>1</v>
      </c>
      <c r="G6" s="63"/>
      <c r="H6" s="62" t="s">
        <v>51</v>
      </c>
      <c r="I6" s="62"/>
      <c r="J6" s="67"/>
      <c r="K6" s="158"/>
      <c r="L6" s="162"/>
      <c r="M6" s="163"/>
      <c r="N6" s="69"/>
      <c r="O6" s="64">
        <v>142070910.15999967</v>
      </c>
      <c r="P6" s="64">
        <v>19849104.020000003</v>
      </c>
      <c r="Q6" s="64">
        <v>2956053.0700000008</v>
      </c>
      <c r="R6" s="64">
        <v>3390240.3300000029</v>
      </c>
      <c r="S6" s="70">
        <v>1713757.79</v>
      </c>
      <c r="T6" s="69"/>
      <c r="U6" s="64">
        <v>231789435.21883488</v>
      </c>
      <c r="V6" s="64"/>
      <c r="W6" s="64"/>
      <c r="X6" s="70"/>
      <c r="Y6" s="148"/>
      <c r="Z6" s="69"/>
      <c r="AA6" s="70"/>
      <c r="AB6" s="69"/>
      <c r="AC6" s="64"/>
      <c r="AD6" s="70"/>
    </row>
    <row r="7" spans="1:30" x14ac:dyDescent="0.25">
      <c r="A7" s="145" t="s">
        <v>204</v>
      </c>
      <c r="B7" s="62" t="s">
        <v>319</v>
      </c>
      <c r="C7" s="62" t="s">
        <v>326</v>
      </c>
      <c r="D7" s="67" t="s">
        <v>327</v>
      </c>
      <c r="E7" s="143" t="s">
        <v>328</v>
      </c>
      <c r="F7" s="63"/>
      <c r="G7" s="63"/>
      <c r="H7" s="62"/>
      <c r="I7" s="62"/>
      <c r="J7" s="67"/>
      <c r="K7" s="158">
        <v>9630012.4900000021</v>
      </c>
      <c r="L7" s="162"/>
      <c r="M7" s="163"/>
      <c r="N7" s="69">
        <v>17548196.280000009</v>
      </c>
      <c r="O7" s="64">
        <v>18391495.599999998</v>
      </c>
      <c r="P7" s="64">
        <v>6074514.0800000001</v>
      </c>
      <c r="Q7" s="64"/>
      <c r="R7" s="64">
        <v>20645375.910000026</v>
      </c>
      <c r="S7" s="70">
        <v>20631854.43</v>
      </c>
      <c r="T7" s="69"/>
      <c r="U7" s="64"/>
      <c r="V7" s="64"/>
      <c r="W7" s="64"/>
      <c r="X7" s="70"/>
      <c r="Y7" s="148"/>
      <c r="Z7" s="69"/>
      <c r="AA7" s="70"/>
      <c r="AB7" s="69"/>
      <c r="AC7" s="64"/>
      <c r="AD7" s="70"/>
    </row>
    <row r="8" spans="1:30" x14ac:dyDescent="0.25">
      <c r="A8" s="145" t="s">
        <v>205</v>
      </c>
      <c r="B8" s="62" t="s">
        <v>319</v>
      </c>
      <c r="C8" s="62" t="s">
        <v>326</v>
      </c>
      <c r="D8" s="67" t="s">
        <v>327</v>
      </c>
      <c r="E8" s="143" t="s">
        <v>328</v>
      </c>
      <c r="F8" s="63"/>
      <c r="G8" s="63"/>
      <c r="H8" s="62"/>
      <c r="I8" s="62"/>
      <c r="J8" s="67"/>
      <c r="K8" s="158">
        <v>4048926.66</v>
      </c>
      <c r="L8" s="162"/>
      <c r="M8" s="163"/>
      <c r="N8" s="69">
        <v>9623118.0900000036</v>
      </c>
      <c r="O8" s="64"/>
      <c r="P8" s="64"/>
      <c r="Q8" s="64"/>
      <c r="R8" s="64"/>
      <c r="S8" s="70"/>
      <c r="T8" s="69"/>
      <c r="U8" s="64"/>
      <c r="V8" s="64"/>
      <c r="W8" s="64"/>
      <c r="X8" s="70"/>
      <c r="Y8" s="148"/>
      <c r="Z8" s="69"/>
      <c r="AA8" s="70"/>
      <c r="AB8" s="69"/>
      <c r="AC8" s="64"/>
      <c r="AD8" s="70"/>
    </row>
    <row r="9" spans="1:30" x14ac:dyDescent="0.25">
      <c r="A9" s="145" t="s">
        <v>210</v>
      </c>
      <c r="B9" s="62" t="s">
        <v>319</v>
      </c>
      <c r="C9" s="62" t="s">
        <v>326</v>
      </c>
      <c r="D9" s="67" t="s">
        <v>327</v>
      </c>
      <c r="E9" s="143" t="s">
        <v>328</v>
      </c>
      <c r="F9" s="63"/>
      <c r="G9" s="63"/>
      <c r="H9" s="62"/>
      <c r="I9" s="62"/>
      <c r="J9" s="67"/>
      <c r="K9" s="158">
        <v>5071280.9400000013</v>
      </c>
      <c r="L9" s="162"/>
      <c r="M9" s="163"/>
      <c r="N9" s="69">
        <v>5044642.3100000024</v>
      </c>
      <c r="O9" s="64">
        <v>423235.34</v>
      </c>
      <c r="P9" s="64"/>
      <c r="Q9" s="64"/>
      <c r="R9" s="64"/>
      <c r="S9" s="70"/>
      <c r="T9" s="69"/>
      <c r="U9" s="64"/>
      <c r="V9" s="64"/>
      <c r="W9" s="64"/>
      <c r="X9" s="70"/>
      <c r="Y9" s="148"/>
      <c r="Z9" s="69"/>
      <c r="AA9" s="70"/>
      <c r="AB9" s="69"/>
      <c r="AC9" s="64"/>
      <c r="AD9" s="70"/>
    </row>
    <row r="10" spans="1:30" x14ac:dyDescent="0.25">
      <c r="A10" s="145" t="s">
        <v>215</v>
      </c>
      <c r="B10" s="62" t="s">
        <v>319</v>
      </c>
      <c r="C10" s="62" t="s">
        <v>326</v>
      </c>
      <c r="D10" s="67" t="s">
        <v>327</v>
      </c>
      <c r="E10" s="143" t="s">
        <v>328</v>
      </c>
      <c r="F10" s="63"/>
      <c r="G10" s="63"/>
      <c r="H10" s="62"/>
      <c r="I10" s="62"/>
      <c r="J10" s="67"/>
      <c r="K10" s="158"/>
      <c r="L10" s="162"/>
      <c r="M10" s="163"/>
      <c r="N10" s="69">
        <v>1842842.9100000006</v>
      </c>
      <c r="O10" s="64"/>
      <c r="P10" s="64"/>
      <c r="Q10" s="64"/>
      <c r="R10" s="64"/>
      <c r="S10" s="70"/>
      <c r="T10" s="69"/>
      <c r="U10" s="64"/>
      <c r="V10" s="64"/>
      <c r="W10" s="64"/>
      <c r="X10" s="70"/>
      <c r="Y10" s="148"/>
      <c r="Z10" s="69"/>
      <c r="AA10" s="70"/>
      <c r="AB10" s="69"/>
      <c r="AC10" s="64"/>
      <c r="AD10" s="70"/>
    </row>
    <row r="11" spans="1:30" x14ac:dyDescent="0.25">
      <c r="A11" s="145" t="s">
        <v>255</v>
      </c>
      <c r="B11" s="62" t="s">
        <v>319</v>
      </c>
      <c r="C11" s="62" t="s">
        <v>326</v>
      </c>
      <c r="D11" s="67" t="s">
        <v>327</v>
      </c>
      <c r="E11" s="143" t="s">
        <v>328</v>
      </c>
      <c r="F11" s="63">
        <v>1</v>
      </c>
      <c r="G11" s="63">
        <v>1</v>
      </c>
      <c r="H11" s="62"/>
      <c r="I11" s="62"/>
      <c r="J11" s="67"/>
      <c r="K11" s="158">
        <v>331967808.94</v>
      </c>
      <c r="L11" s="162"/>
      <c r="M11" s="163"/>
      <c r="N11" s="69">
        <v>22487563.250000011</v>
      </c>
      <c r="O11" s="64">
        <v>6834051.2299999995</v>
      </c>
      <c r="P11" s="64">
        <v>4319296.3999999994</v>
      </c>
      <c r="Q11" s="64">
        <v>16132212.840000005</v>
      </c>
      <c r="R11" s="64">
        <v>9708619.5500000063</v>
      </c>
      <c r="S11" s="70">
        <v>17780702.789999999</v>
      </c>
      <c r="T11" s="69"/>
      <c r="U11" s="64"/>
      <c r="V11" s="64"/>
      <c r="W11" s="64"/>
      <c r="X11" s="70"/>
      <c r="Y11" s="148"/>
      <c r="Z11" s="69"/>
      <c r="AA11" s="70"/>
      <c r="AB11" s="69"/>
      <c r="AC11" s="64"/>
      <c r="AD11" s="70"/>
    </row>
    <row r="12" spans="1:30" x14ac:dyDescent="0.25">
      <c r="A12" s="145" t="s">
        <v>228</v>
      </c>
      <c r="B12" s="62" t="s">
        <v>319</v>
      </c>
      <c r="C12" s="62" t="s">
        <v>326</v>
      </c>
      <c r="D12" s="67" t="s">
        <v>327</v>
      </c>
      <c r="E12" s="143" t="s">
        <v>328</v>
      </c>
      <c r="F12" s="63"/>
      <c r="G12" s="63"/>
      <c r="H12" s="62"/>
      <c r="I12" s="62"/>
      <c r="J12" s="67"/>
      <c r="K12" s="158">
        <v>5013011.4000000013</v>
      </c>
      <c r="L12" s="162"/>
      <c r="M12" s="163"/>
      <c r="N12" s="69">
        <v>8840937.0700000059</v>
      </c>
      <c r="O12" s="64">
        <v>51865.83</v>
      </c>
      <c r="P12" s="64"/>
      <c r="Q12" s="64"/>
      <c r="R12" s="64"/>
      <c r="S12" s="70"/>
      <c r="T12" s="69"/>
      <c r="U12" s="64"/>
      <c r="V12" s="64"/>
      <c r="W12" s="64"/>
      <c r="X12" s="70"/>
      <c r="Y12" s="148"/>
      <c r="Z12" s="69"/>
      <c r="AA12" s="70"/>
      <c r="AB12" s="69"/>
      <c r="AC12" s="64"/>
      <c r="AD12" s="70"/>
    </row>
    <row r="13" spans="1:30" x14ac:dyDescent="0.25">
      <c r="A13" s="145" t="s">
        <v>235</v>
      </c>
      <c r="B13" s="62" t="s">
        <v>319</v>
      </c>
      <c r="C13" s="62" t="s">
        <v>326</v>
      </c>
      <c r="D13" s="67" t="s">
        <v>327</v>
      </c>
      <c r="E13" s="143" t="s">
        <v>328</v>
      </c>
      <c r="F13" s="63"/>
      <c r="G13" s="63"/>
      <c r="H13" s="62"/>
      <c r="I13" s="62"/>
      <c r="J13" s="67"/>
      <c r="K13" s="158">
        <v>10686714.570000002</v>
      </c>
      <c r="L13" s="162"/>
      <c r="M13" s="163"/>
      <c r="N13" s="69">
        <v>7538965.8100000042</v>
      </c>
      <c r="O13" s="64"/>
      <c r="P13" s="64"/>
      <c r="Q13" s="64"/>
      <c r="R13" s="64"/>
      <c r="S13" s="70"/>
      <c r="T13" s="69"/>
      <c r="U13" s="64"/>
      <c r="V13" s="64"/>
      <c r="W13" s="64"/>
      <c r="X13" s="70"/>
      <c r="Y13" s="148"/>
      <c r="Z13" s="69"/>
      <c r="AA13" s="70"/>
      <c r="AB13" s="69"/>
      <c r="AC13" s="64"/>
      <c r="AD13" s="70"/>
    </row>
    <row r="14" spans="1:30" x14ac:dyDescent="0.25">
      <c r="A14" s="145" t="s">
        <v>241</v>
      </c>
      <c r="B14" s="62" t="s">
        <v>319</v>
      </c>
      <c r="C14" s="62" t="s">
        <v>326</v>
      </c>
      <c r="D14" s="67" t="s">
        <v>327</v>
      </c>
      <c r="E14" s="143" t="s">
        <v>328</v>
      </c>
      <c r="F14" s="63"/>
      <c r="G14" s="63"/>
      <c r="H14" s="62"/>
      <c r="I14" s="62"/>
      <c r="J14" s="67"/>
      <c r="K14" s="158">
        <v>2385267.1800000006</v>
      </c>
      <c r="L14" s="162"/>
      <c r="M14" s="163"/>
      <c r="N14" s="69"/>
      <c r="O14" s="64"/>
      <c r="P14" s="64"/>
      <c r="Q14" s="64"/>
      <c r="R14" s="64"/>
      <c r="S14" s="70"/>
      <c r="T14" s="69"/>
      <c r="U14" s="64"/>
      <c r="V14" s="64"/>
      <c r="W14" s="64"/>
      <c r="X14" s="70"/>
      <c r="Y14" s="148"/>
      <c r="Z14" s="69"/>
      <c r="AA14" s="70"/>
      <c r="AB14" s="69"/>
      <c r="AC14" s="64"/>
      <c r="AD14" s="70"/>
    </row>
    <row r="15" spans="1:30" x14ac:dyDescent="0.25">
      <c r="A15" s="145" t="s">
        <v>329</v>
      </c>
      <c r="B15" s="62" t="s">
        <v>319</v>
      </c>
      <c r="C15" s="62" t="s">
        <v>326</v>
      </c>
      <c r="D15" s="67" t="s">
        <v>327</v>
      </c>
      <c r="E15" s="143" t="s">
        <v>328</v>
      </c>
      <c r="F15" s="63"/>
      <c r="G15" s="63"/>
      <c r="H15" s="62"/>
      <c r="I15" s="62"/>
      <c r="J15" s="67"/>
      <c r="K15" s="158"/>
      <c r="L15" s="162"/>
      <c r="M15" s="163"/>
      <c r="N15" s="69">
        <v>3476324.0200000023</v>
      </c>
      <c r="O15" s="64"/>
      <c r="P15" s="64"/>
      <c r="Q15" s="64"/>
      <c r="R15" s="64"/>
      <c r="S15" s="70"/>
      <c r="T15" s="69"/>
      <c r="U15" s="64"/>
      <c r="V15" s="64"/>
      <c r="W15" s="64"/>
      <c r="X15" s="70"/>
      <c r="Y15" s="148"/>
      <c r="Z15" s="69"/>
      <c r="AA15" s="70"/>
      <c r="AB15" s="69"/>
      <c r="AC15" s="64"/>
      <c r="AD15" s="70"/>
    </row>
    <row r="16" spans="1:30" x14ac:dyDescent="0.25">
      <c r="A16" s="145" t="s">
        <v>247</v>
      </c>
      <c r="B16" s="62" t="s">
        <v>319</v>
      </c>
      <c r="C16" s="62" t="s">
        <v>326</v>
      </c>
      <c r="D16" s="67" t="s">
        <v>327</v>
      </c>
      <c r="E16" s="143" t="s">
        <v>328</v>
      </c>
      <c r="F16" s="63"/>
      <c r="G16" s="63"/>
      <c r="H16" s="62"/>
      <c r="I16" s="62"/>
      <c r="J16" s="67"/>
      <c r="K16" s="158">
        <v>4475652.3499999996</v>
      </c>
      <c r="L16" s="162"/>
      <c r="M16" s="163"/>
      <c r="N16" s="69">
        <v>2618541.3100000019</v>
      </c>
      <c r="O16" s="64"/>
      <c r="P16" s="64"/>
      <c r="Q16" s="64"/>
      <c r="R16" s="64"/>
      <c r="S16" s="70"/>
      <c r="T16" s="69"/>
      <c r="U16" s="64"/>
      <c r="V16" s="64"/>
      <c r="W16" s="64"/>
      <c r="X16" s="70"/>
      <c r="Y16" s="148"/>
      <c r="Z16" s="69"/>
      <c r="AA16" s="70"/>
      <c r="AB16" s="69"/>
      <c r="AC16" s="64"/>
      <c r="AD16" s="70"/>
    </row>
    <row r="17" spans="1:30" x14ac:dyDescent="0.25">
      <c r="A17" s="145" t="s">
        <v>249</v>
      </c>
      <c r="B17" s="62" t="s">
        <v>319</v>
      </c>
      <c r="C17" s="62" t="s">
        <v>326</v>
      </c>
      <c r="D17" s="67" t="s">
        <v>327</v>
      </c>
      <c r="E17" s="143" t="s">
        <v>328</v>
      </c>
      <c r="F17" s="63"/>
      <c r="G17" s="63"/>
      <c r="H17" s="62"/>
      <c r="I17" s="62"/>
      <c r="J17" s="67"/>
      <c r="K17" s="158"/>
      <c r="L17" s="162"/>
      <c r="M17" s="163"/>
      <c r="N17" s="69">
        <v>4029235.5400000019</v>
      </c>
      <c r="O17" s="64"/>
      <c r="P17" s="64"/>
      <c r="Q17" s="64"/>
      <c r="R17" s="64"/>
      <c r="S17" s="70"/>
      <c r="T17" s="69"/>
      <c r="U17" s="64"/>
      <c r="V17" s="64"/>
      <c r="W17" s="64"/>
      <c r="X17" s="70"/>
      <c r="Y17" s="148"/>
      <c r="Z17" s="69"/>
      <c r="AA17" s="70"/>
      <c r="AB17" s="69"/>
      <c r="AC17" s="64"/>
      <c r="AD17" s="70"/>
    </row>
    <row r="18" spans="1:30" x14ac:dyDescent="0.25">
      <c r="A18" s="145" t="s">
        <v>205</v>
      </c>
      <c r="B18" s="62" t="s">
        <v>319</v>
      </c>
      <c r="C18" s="62" t="s">
        <v>326</v>
      </c>
      <c r="D18" s="67" t="s">
        <v>330</v>
      </c>
      <c r="E18" s="143" t="s">
        <v>328</v>
      </c>
      <c r="F18" s="63"/>
      <c r="G18" s="63"/>
      <c r="H18" s="62"/>
      <c r="I18" s="62"/>
      <c r="J18" s="67"/>
      <c r="K18" s="158"/>
      <c r="L18" s="162"/>
      <c r="M18" s="163"/>
      <c r="N18" s="69"/>
      <c r="O18" s="64">
        <v>13351681.419999998</v>
      </c>
      <c r="P18" s="64">
        <v>16223974.159999996</v>
      </c>
      <c r="Q18" s="64"/>
      <c r="R18" s="64">
        <v>10857036.890000004</v>
      </c>
      <c r="S18" s="70">
        <v>18076768.280000005</v>
      </c>
      <c r="T18" s="69"/>
      <c r="U18" s="64"/>
      <c r="V18" s="64"/>
      <c r="W18" s="64"/>
      <c r="X18" s="70"/>
      <c r="Y18" s="148"/>
      <c r="Z18" s="69"/>
      <c r="AA18" s="70"/>
      <c r="AB18" s="69"/>
      <c r="AC18" s="64"/>
      <c r="AD18" s="70"/>
    </row>
    <row r="19" spans="1:30" x14ac:dyDescent="0.25">
      <c r="A19" s="145" t="s">
        <v>235</v>
      </c>
      <c r="B19" s="62" t="s">
        <v>319</v>
      </c>
      <c r="C19" s="62" t="s">
        <v>326</v>
      </c>
      <c r="D19" s="67" t="s">
        <v>330</v>
      </c>
      <c r="E19" s="143" t="s">
        <v>328</v>
      </c>
      <c r="F19" s="63"/>
      <c r="G19" s="63"/>
      <c r="H19" s="62"/>
      <c r="I19" s="62"/>
      <c r="J19" s="67"/>
      <c r="K19" s="158"/>
      <c r="L19" s="162"/>
      <c r="M19" s="163"/>
      <c r="N19" s="69"/>
      <c r="O19" s="64">
        <v>6263956.2399999974</v>
      </c>
      <c r="P19" s="64">
        <v>4889304.74</v>
      </c>
      <c r="Q19" s="64"/>
      <c r="R19" s="64">
        <v>10003897.180000005</v>
      </c>
      <c r="S19" s="70">
        <v>21533676.669999998</v>
      </c>
      <c r="T19" s="69"/>
      <c r="U19" s="64"/>
      <c r="V19" s="64"/>
      <c r="W19" s="64"/>
      <c r="X19" s="70"/>
      <c r="Y19" s="148"/>
      <c r="Z19" s="69"/>
      <c r="AA19" s="70"/>
      <c r="AB19" s="69"/>
      <c r="AC19" s="64"/>
      <c r="AD19" s="70"/>
    </row>
    <row r="20" spans="1:30" x14ac:dyDescent="0.25">
      <c r="A20" s="145" t="s">
        <v>254</v>
      </c>
      <c r="B20" s="62" t="s">
        <v>319</v>
      </c>
      <c r="C20" s="62" t="s">
        <v>320</v>
      </c>
      <c r="D20" s="67" t="s">
        <v>331</v>
      </c>
      <c r="E20" s="143" t="s">
        <v>193</v>
      </c>
      <c r="F20" s="63"/>
      <c r="G20" s="63"/>
      <c r="H20" s="62"/>
      <c r="I20" s="62"/>
      <c r="J20" s="67"/>
      <c r="K20" s="158"/>
      <c r="L20" s="162"/>
      <c r="M20" s="163"/>
      <c r="N20" s="69">
        <v>9007988.3699999992</v>
      </c>
      <c r="O20" s="64"/>
      <c r="P20" s="64"/>
      <c r="Q20" s="64"/>
      <c r="R20" s="64"/>
      <c r="S20" s="70"/>
      <c r="T20" s="69"/>
      <c r="U20" s="64"/>
      <c r="V20" s="64"/>
      <c r="W20" s="64"/>
      <c r="X20" s="70"/>
      <c r="Y20" s="148"/>
      <c r="Z20" s="69"/>
      <c r="AA20" s="70"/>
      <c r="AB20" s="69"/>
      <c r="AC20" s="64"/>
      <c r="AD20" s="70"/>
    </row>
    <row r="21" spans="1:30" x14ac:dyDescent="0.25">
      <c r="A21" s="145" t="s">
        <v>225</v>
      </c>
      <c r="B21" s="62" t="s">
        <v>319</v>
      </c>
      <c r="C21" s="62" t="s">
        <v>320</v>
      </c>
      <c r="D21" s="67" t="s">
        <v>331</v>
      </c>
      <c r="E21" s="143" t="s">
        <v>193</v>
      </c>
      <c r="F21" s="63"/>
      <c r="G21" s="63"/>
      <c r="H21" s="62" t="s">
        <v>51</v>
      </c>
      <c r="I21" s="62"/>
      <c r="J21" s="67"/>
      <c r="K21" s="158">
        <v>18206006.039999999</v>
      </c>
      <c r="L21" s="162">
        <v>1404063.4499999997</v>
      </c>
      <c r="M21" s="163"/>
      <c r="N21" s="69"/>
      <c r="O21" s="64">
        <v>23473762.219999973</v>
      </c>
      <c r="P21" s="64">
        <v>21370348.470000003</v>
      </c>
      <c r="Q21" s="64"/>
      <c r="R21" s="64">
        <v>16490619.559999997</v>
      </c>
      <c r="S21" s="70">
        <v>26118296.060000002</v>
      </c>
      <c r="T21" s="69"/>
      <c r="U21" s="64"/>
      <c r="V21" s="64"/>
      <c r="W21" s="64">
        <v>6204655.0300000012</v>
      </c>
      <c r="X21" s="70"/>
      <c r="Y21" s="148"/>
      <c r="Z21" s="69"/>
      <c r="AA21" s="70"/>
      <c r="AB21" s="69"/>
      <c r="AC21" s="64"/>
      <c r="AD21" s="70"/>
    </row>
    <row r="22" spans="1:30" x14ac:dyDescent="0.25">
      <c r="A22" s="145" t="s">
        <v>226</v>
      </c>
      <c r="B22" s="62" t="s">
        <v>319</v>
      </c>
      <c r="C22" s="62" t="s">
        <v>320</v>
      </c>
      <c r="D22" s="67" t="s">
        <v>331</v>
      </c>
      <c r="E22" s="143" t="s">
        <v>193</v>
      </c>
      <c r="F22" s="63">
        <v>1</v>
      </c>
      <c r="G22" s="63"/>
      <c r="H22" s="62" t="s">
        <v>51</v>
      </c>
      <c r="I22" s="62"/>
      <c r="J22" s="67"/>
      <c r="K22" s="158">
        <v>8664932.9100000001</v>
      </c>
      <c r="L22" s="162"/>
      <c r="M22" s="163"/>
      <c r="N22" s="69"/>
      <c r="O22" s="64">
        <v>70755129.350000039</v>
      </c>
      <c r="P22" s="64">
        <v>75271191.830000013</v>
      </c>
      <c r="Q22" s="64"/>
      <c r="R22" s="64">
        <v>27202321.940000009</v>
      </c>
      <c r="S22" s="70">
        <v>3261746.01</v>
      </c>
      <c r="T22" s="69"/>
      <c r="U22" s="64"/>
      <c r="V22" s="64">
        <v>108346020.1999999</v>
      </c>
      <c r="W22" s="64"/>
      <c r="X22" s="70"/>
      <c r="Y22" s="148"/>
      <c r="Z22" s="69"/>
      <c r="AA22" s="70"/>
      <c r="AB22" s="69"/>
      <c r="AC22" s="64"/>
      <c r="AD22" s="70"/>
    </row>
    <row r="23" spans="1:30" x14ac:dyDescent="0.25">
      <c r="A23" s="145" t="s">
        <v>332</v>
      </c>
      <c r="B23" s="62" t="s">
        <v>319</v>
      </c>
      <c r="C23" s="62" t="s">
        <v>320</v>
      </c>
      <c r="D23" s="67" t="s">
        <v>331</v>
      </c>
      <c r="E23" s="143" t="s">
        <v>193</v>
      </c>
      <c r="F23" s="63"/>
      <c r="G23" s="63"/>
      <c r="H23" s="62"/>
      <c r="I23" s="62"/>
      <c r="J23" s="67"/>
      <c r="K23" s="158"/>
      <c r="L23" s="162"/>
      <c r="M23" s="163"/>
      <c r="N23" s="69">
        <v>862676.57000000007</v>
      </c>
      <c r="O23" s="64"/>
      <c r="P23" s="64"/>
      <c r="Q23" s="64"/>
      <c r="R23" s="64"/>
      <c r="S23" s="70"/>
      <c r="T23" s="69"/>
      <c r="U23" s="64"/>
      <c r="V23" s="64"/>
      <c r="W23" s="64"/>
      <c r="X23" s="70"/>
      <c r="Y23" s="148"/>
      <c r="Z23" s="69"/>
      <c r="AA23" s="70"/>
      <c r="AB23" s="69"/>
      <c r="AC23" s="64"/>
      <c r="AD23" s="70"/>
    </row>
    <row r="24" spans="1:30" x14ac:dyDescent="0.25">
      <c r="A24" s="145" t="s">
        <v>245</v>
      </c>
      <c r="B24" s="62" t="s">
        <v>319</v>
      </c>
      <c r="C24" s="62" t="s">
        <v>320</v>
      </c>
      <c r="D24" s="67" t="s">
        <v>331</v>
      </c>
      <c r="E24" s="143" t="s">
        <v>193</v>
      </c>
      <c r="F24" s="63"/>
      <c r="G24" s="63"/>
      <c r="H24" s="62" t="s">
        <v>51</v>
      </c>
      <c r="I24" s="62"/>
      <c r="J24" s="67"/>
      <c r="K24" s="158">
        <v>926090.49</v>
      </c>
      <c r="L24" s="162"/>
      <c r="M24" s="163"/>
      <c r="N24" s="69">
        <v>1738562.6699999997</v>
      </c>
      <c r="O24" s="64">
        <v>65350301.859999955</v>
      </c>
      <c r="P24" s="64">
        <v>52824769.860000037</v>
      </c>
      <c r="Q24" s="64">
        <v>241594.69999999998</v>
      </c>
      <c r="R24" s="64">
        <v>9926034.8000000026</v>
      </c>
      <c r="S24" s="70"/>
      <c r="T24" s="69"/>
      <c r="U24" s="64"/>
      <c r="V24" s="64">
        <v>22129635.599999979</v>
      </c>
      <c r="W24" s="64"/>
      <c r="X24" s="70"/>
      <c r="Y24" s="148"/>
      <c r="Z24" s="69"/>
      <c r="AA24" s="70"/>
      <c r="AB24" s="69"/>
      <c r="AC24" s="64"/>
      <c r="AD24" s="70"/>
    </row>
    <row r="25" spans="1:30" x14ac:dyDescent="0.25">
      <c r="A25" s="145" t="s">
        <v>226</v>
      </c>
      <c r="B25" s="62" t="s">
        <v>319</v>
      </c>
      <c r="C25" s="62" t="s">
        <v>320</v>
      </c>
      <c r="D25" s="67" t="s">
        <v>333</v>
      </c>
      <c r="E25" s="143" t="s">
        <v>193</v>
      </c>
      <c r="F25" s="63"/>
      <c r="G25" s="63"/>
      <c r="H25" s="62"/>
      <c r="I25" s="62"/>
      <c r="J25" s="67"/>
      <c r="K25" s="158">
        <v>140474182.20999998</v>
      </c>
      <c r="L25" s="162"/>
      <c r="M25" s="163"/>
      <c r="N25" s="69">
        <v>452439335.18000209</v>
      </c>
      <c r="O25" s="64"/>
      <c r="P25" s="64"/>
      <c r="Q25" s="64"/>
      <c r="R25" s="64"/>
      <c r="S25" s="70"/>
      <c r="T25" s="69"/>
      <c r="U25" s="64"/>
      <c r="V25" s="64"/>
      <c r="W25" s="64"/>
      <c r="X25" s="70"/>
      <c r="Y25" s="148"/>
      <c r="Z25" s="69"/>
      <c r="AA25" s="70"/>
      <c r="AB25" s="69"/>
      <c r="AC25" s="64"/>
      <c r="AD25" s="70"/>
    </row>
    <row r="26" spans="1:30" x14ac:dyDescent="0.25">
      <c r="A26" s="145" t="s">
        <v>245</v>
      </c>
      <c r="B26" s="62" t="s">
        <v>319</v>
      </c>
      <c r="C26" s="62" t="s">
        <v>320</v>
      </c>
      <c r="D26" s="67" t="s">
        <v>333</v>
      </c>
      <c r="E26" s="143" t="s">
        <v>193</v>
      </c>
      <c r="F26" s="63"/>
      <c r="G26" s="63"/>
      <c r="H26" s="62"/>
      <c r="I26" s="62"/>
      <c r="J26" s="67"/>
      <c r="K26" s="158">
        <v>23247288.98</v>
      </c>
      <c r="L26" s="162"/>
      <c r="M26" s="163"/>
      <c r="N26" s="69">
        <v>133489459.22000003</v>
      </c>
      <c r="O26" s="64"/>
      <c r="P26" s="64"/>
      <c r="Q26" s="64"/>
      <c r="R26" s="64"/>
      <c r="S26" s="70"/>
      <c r="T26" s="69"/>
      <c r="U26" s="64"/>
      <c r="V26" s="64"/>
      <c r="W26" s="64"/>
      <c r="X26" s="70"/>
      <c r="Y26" s="148"/>
      <c r="Z26" s="69"/>
      <c r="AA26" s="70"/>
      <c r="AB26" s="69"/>
      <c r="AC26" s="64"/>
      <c r="AD26" s="70"/>
    </row>
    <row r="27" spans="1:30" x14ac:dyDescent="0.25">
      <c r="A27" s="145" t="s">
        <v>195</v>
      </c>
      <c r="B27" s="62" t="s">
        <v>319</v>
      </c>
      <c r="C27" s="62" t="s">
        <v>320</v>
      </c>
      <c r="D27" s="67" t="s">
        <v>334</v>
      </c>
      <c r="E27" s="143" t="s">
        <v>193</v>
      </c>
      <c r="F27" s="63"/>
      <c r="G27" s="63"/>
      <c r="H27" s="62"/>
      <c r="I27" s="62"/>
      <c r="J27" s="67"/>
      <c r="K27" s="158">
        <v>44163988.920000002</v>
      </c>
      <c r="L27" s="162"/>
      <c r="M27" s="163"/>
      <c r="N27" s="69"/>
      <c r="O27" s="64"/>
      <c r="P27" s="64"/>
      <c r="Q27" s="64"/>
      <c r="R27" s="64"/>
      <c r="S27" s="70"/>
      <c r="T27" s="69"/>
      <c r="U27" s="64"/>
      <c r="V27" s="64"/>
      <c r="W27" s="64"/>
      <c r="X27" s="70"/>
      <c r="Y27" s="148"/>
      <c r="Z27" s="69"/>
      <c r="AA27" s="70"/>
      <c r="AB27" s="69"/>
      <c r="AC27" s="64"/>
      <c r="AD27" s="70"/>
    </row>
    <row r="28" spans="1:30" x14ac:dyDescent="0.25">
      <c r="A28" s="145" t="s">
        <v>254</v>
      </c>
      <c r="B28" s="62" t="s">
        <v>319</v>
      </c>
      <c r="C28" s="62" t="s">
        <v>335</v>
      </c>
      <c r="D28" s="67" t="s">
        <v>336</v>
      </c>
      <c r="E28" s="143" t="s">
        <v>240</v>
      </c>
      <c r="F28" s="63"/>
      <c r="G28" s="63"/>
      <c r="H28" s="62"/>
      <c r="I28" s="62"/>
      <c r="J28" s="67"/>
      <c r="K28" s="158"/>
      <c r="L28" s="162"/>
      <c r="M28" s="163"/>
      <c r="N28" s="69"/>
      <c r="O28" s="64">
        <v>1104480.68</v>
      </c>
      <c r="P28" s="64"/>
      <c r="Q28" s="64"/>
      <c r="R28" s="64"/>
      <c r="S28" s="70"/>
      <c r="T28" s="69"/>
      <c r="U28" s="64"/>
      <c r="V28" s="64"/>
      <c r="W28" s="64"/>
      <c r="X28" s="70"/>
      <c r="Y28" s="148"/>
      <c r="Z28" s="69"/>
      <c r="AA28" s="70"/>
      <c r="AB28" s="69"/>
      <c r="AC28" s="64"/>
      <c r="AD28" s="70"/>
    </row>
    <row r="29" spans="1:30" x14ac:dyDescent="0.25">
      <c r="A29" s="145" t="s">
        <v>225</v>
      </c>
      <c r="B29" s="62" t="s">
        <v>319</v>
      </c>
      <c r="C29" s="62" t="s">
        <v>335</v>
      </c>
      <c r="D29" s="67" t="s">
        <v>336</v>
      </c>
      <c r="E29" s="143" t="s">
        <v>240</v>
      </c>
      <c r="F29" s="63"/>
      <c r="G29" s="63"/>
      <c r="H29" s="62"/>
      <c r="I29" s="62"/>
      <c r="J29" s="67"/>
      <c r="K29" s="158"/>
      <c r="L29" s="162"/>
      <c r="M29" s="163"/>
      <c r="N29" s="69"/>
      <c r="O29" s="64">
        <v>535869.95000000007</v>
      </c>
      <c r="P29" s="64">
        <v>8111591.6599999992</v>
      </c>
      <c r="Q29" s="64"/>
      <c r="R29" s="64">
        <v>16344274.75999999</v>
      </c>
      <c r="S29" s="70"/>
      <c r="T29" s="69"/>
      <c r="U29" s="64"/>
      <c r="V29" s="64"/>
      <c r="W29" s="64"/>
      <c r="X29" s="70"/>
      <c r="Y29" s="148"/>
      <c r="Z29" s="69"/>
      <c r="AA29" s="70"/>
      <c r="AB29" s="69"/>
      <c r="AC29" s="64"/>
      <c r="AD29" s="70"/>
    </row>
    <row r="30" spans="1:30" x14ac:dyDescent="0.25">
      <c r="A30" s="145" t="s">
        <v>239</v>
      </c>
      <c r="B30" s="62" t="s">
        <v>319</v>
      </c>
      <c r="C30" s="62" t="s">
        <v>335</v>
      </c>
      <c r="D30" s="67" t="s">
        <v>336</v>
      </c>
      <c r="E30" s="143" t="s">
        <v>240</v>
      </c>
      <c r="F30" s="63">
        <v>1</v>
      </c>
      <c r="G30" s="63"/>
      <c r="H30" s="62"/>
      <c r="I30" s="62"/>
      <c r="J30" s="67"/>
      <c r="K30" s="158">
        <v>2537846.2700000005</v>
      </c>
      <c r="L30" s="162">
        <v>107112582.13999999</v>
      </c>
      <c r="M30" s="163"/>
      <c r="N30" s="69">
        <v>178509407.2299999</v>
      </c>
      <c r="O30" s="64">
        <v>21894998.45999999</v>
      </c>
      <c r="P30" s="64">
        <v>47532670.88000004</v>
      </c>
      <c r="Q30" s="64"/>
      <c r="R30" s="64">
        <v>48966044.049999967</v>
      </c>
      <c r="S30" s="70">
        <v>16067137.259999998</v>
      </c>
      <c r="T30" s="69"/>
      <c r="U30" s="64"/>
      <c r="V30" s="64"/>
      <c r="W30" s="64"/>
      <c r="X30" s="70"/>
      <c r="Y30" s="148"/>
      <c r="Z30" s="69"/>
      <c r="AA30" s="70"/>
      <c r="AB30" s="69"/>
      <c r="AC30" s="64"/>
      <c r="AD30" s="70"/>
    </row>
    <row r="31" spans="1:30" x14ac:dyDescent="0.25">
      <c r="A31" s="145" t="s">
        <v>337</v>
      </c>
      <c r="B31" s="62" t="s">
        <v>319</v>
      </c>
      <c r="C31" s="62" t="s">
        <v>335</v>
      </c>
      <c r="D31" s="67" t="s">
        <v>336</v>
      </c>
      <c r="E31" s="143" t="s">
        <v>240</v>
      </c>
      <c r="F31" s="63"/>
      <c r="G31" s="63"/>
      <c r="H31" s="62"/>
      <c r="I31" s="62"/>
      <c r="J31" s="67"/>
      <c r="K31" s="158"/>
      <c r="L31" s="162"/>
      <c r="M31" s="163"/>
      <c r="N31" s="69"/>
      <c r="O31" s="64"/>
      <c r="P31" s="64"/>
      <c r="Q31" s="64"/>
      <c r="R31" s="64">
        <v>335637.49</v>
      </c>
      <c r="S31" s="70"/>
      <c r="T31" s="69"/>
      <c r="U31" s="64"/>
      <c r="V31" s="64"/>
      <c r="W31" s="64"/>
      <c r="X31" s="70"/>
      <c r="Y31" s="148"/>
      <c r="Z31" s="69"/>
      <c r="AA31" s="70"/>
      <c r="AB31" s="69"/>
      <c r="AC31" s="64"/>
      <c r="AD31" s="70"/>
    </row>
    <row r="32" spans="1:30" x14ac:dyDescent="0.25">
      <c r="A32" s="145" t="s">
        <v>225</v>
      </c>
      <c r="B32" s="62" t="s">
        <v>319</v>
      </c>
      <c r="C32" s="62" t="s">
        <v>335</v>
      </c>
      <c r="D32" s="67" t="s">
        <v>338</v>
      </c>
      <c r="E32" s="143" t="s">
        <v>240</v>
      </c>
      <c r="F32" s="63"/>
      <c r="G32" s="63"/>
      <c r="H32" s="62" t="s">
        <v>51</v>
      </c>
      <c r="I32" s="62"/>
      <c r="J32" s="67"/>
      <c r="K32" s="158"/>
      <c r="L32" s="162"/>
      <c r="M32" s="163"/>
      <c r="N32" s="69">
        <v>11059.08</v>
      </c>
      <c r="O32" s="64">
        <v>9563854.700000003</v>
      </c>
      <c r="P32" s="64">
        <v>31637754.599999998</v>
      </c>
      <c r="Q32" s="64"/>
      <c r="R32" s="64">
        <v>23287474.359999999</v>
      </c>
      <c r="S32" s="70">
        <v>871569.85000000009</v>
      </c>
      <c r="T32" s="69">
        <v>282876919.39999896</v>
      </c>
      <c r="U32" s="64">
        <v>582055814.19997954</v>
      </c>
      <c r="V32" s="64">
        <v>24642061.060000051</v>
      </c>
      <c r="W32" s="64">
        <v>5411077.1999999993</v>
      </c>
      <c r="X32" s="70"/>
      <c r="Y32" s="148">
        <v>577762884.74320006</v>
      </c>
      <c r="Z32" s="69"/>
      <c r="AA32" s="70"/>
      <c r="AB32" s="69"/>
      <c r="AC32" s="64"/>
      <c r="AD32" s="70"/>
    </row>
    <row r="33" spans="1:30" x14ac:dyDescent="0.25">
      <c r="A33" s="145" t="s">
        <v>339</v>
      </c>
      <c r="B33" s="62" t="s">
        <v>319</v>
      </c>
      <c r="C33" s="62" t="s">
        <v>335</v>
      </c>
      <c r="D33" s="67" t="s">
        <v>338</v>
      </c>
      <c r="E33" s="143" t="s">
        <v>240</v>
      </c>
      <c r="F33" s="63"/>
      <c r="G33" s="63"/>
      <c r="H33" s="62"/>
      <c r="I33" s="62"/>
      <c r="J33" s="67"/>
      <c r="K33" s="158"/>
      <c r="L33" s="162"/>
      <c r="M33" s="163"/>
      <c r="N33" s="69"/>
      <c r="O33" s="64"/>
      <c r="P33" s="64">
        <v>366946.42000000004</v>
      </c>
      <c r="Q33" s="64"/>
      <c r="R33" s="64">
        <v>3896973.7900000014</v>
      </c>
      <c r="S33" s="70"/>
      <c r="T33" s="69"/>
      <c r="U33" s="64"/>
      <c r="V33" s="64"/>
      <c r="W33" s="64"/>
      <c r="X33" s="70"/>
      <c r="Y33" s="148"/>
      <c r="Z33" s="69"/>
      <c r="AA33" s="70"/>
      <c r="AB33" s="69"/>
      <c r="AC33" s="64"/>
      <c r="AD33" s="70"/>
    </row>
    <row r="34" spans="1:30" x14ac:dyDescent="0.25">
      <c r="A34" s="145" t="s">
        <v>195</v>
      </c>
      <c r="B34" s="62" t="s">
        <v>319</v>
      </c>
      <c r="C34" s="62" t="s">
        <v>340</v>
      </c>
      <c r="D34" s="67" t="s">
        <v>341</v>
      </c>
      <c r="E34" s="143"/>
      <c r="F34" s="63"/>
      <c r="G34" s="63"/>
      <c r="H34" s="62" t="s">
        <v>51</v>
      </c>
      <c r="I34" s="62"/>
      <c r="J34" s="67"/>
      <c r="K34" s="158"/>
      <c r="L34" s="162"/>
      <c r="M34" s="163"/>
      <c r="N34" s="69"/>
      <c r="O34" s="64"/>
      <c r="P34" s="64"/>
      <c r="Q34" s="64"/>
      <c r="R34" s="64"/>
      <c r="S34" s="70"/>
      <c r="T34" s="69">
        <v>5143938.5699999966</v>
      </c>
      <c r="U34" s="64">
        <v>5169481.6899999976</v>
      </c>
      <c r="V34" s="64">
        <v>49627445.329999968</v>
      </c>
      <c r="W34" s="64"/>
      <c r="X34" s="70"/>
      <c r="Y34" s="148">
        <v>23887809.095800001</v>
      </c>
      <c r="Z34" s="69"/>
      <c r="AA34" s="70"/>
      <c r="AB34" s="69"/>
      <c r="AC34" s="64"/>
      <c r="AD34" s="70">
        <v>2065790674.7799973</v>
      </c>
    </row>
    <row r="35" spans="1:30" x14ac:dyDescent="0.25">
      <c r="A35" s="145" t="s">
        <v>195</v>
      </c>
      <c r="B35" s="62" t="s">
        <v>319</v>
      </c>
      <c r="C35" s="62" t="s">
        <v>320</v>
      </c>
      <c r="D35" s="67" t="s">
        <v>321</v>
      </c>
      <c r="E35" s="143" t="s">
        <v>342</v>
      </c>
      <c r="F35" s="63"/>
      <c r="G35" s="63"/>
      <c r="H35" s="62" t="s">
        <v>51</v>
      </c>
      <c r="I35" s="62"/>
      <c r="J35" s="67"/>
      <c r="K35" s="158">
        <v>1673944.2999999998</v>
      </c>
      <c r="L35" s="162"/>
      <c r="M35" s="163"/>
      <c r="N35" s="69">
        <v>5644864.1600000011</v>
      </c>
      <c r="O35" s="64">
        <v>249437.87</v>
      </c>
      <c r="P35" s="64">
        <v>14233760.609999999</v>
      </c>
      <c r="Q35" s="64"/>
      <c r="R35" s="64">
        <v>3479771.3499999996</v>
      </c>
      <c r="S35" s="70"/>
      <c r="T35" s="69">
        <v>114571907.50000097</v>
      </c>
      <c r="U35" s="64">
        <v>149772285.60481951</v>
      </c>
      <c r="V35" s="64">
        <v>15068631.240000006</v>
      </c>
      <c r="W35" s="64">
        <v>23998207.120000001</v>
      </c>
      <c r="X35" s="70"/>
      <c r="Y35" s="148">
        <v>147977785.23060003</v>
      </c>
      <c r="Z35" s="69"/>
      <c r="AA35" s="70"/>
      <c r="AB35" s="69"/>
      <c r="AC35" s="64"/>
      <c r="AD35" s="70"/>
    </row>
    <row r="36" spans="1:30" x14ac:dyDescent="0.25">
      <c r="A36" s="145" t="s">
        <v>203</v>
      </c>
      <c r="B36" s="62" t="s">
        <v>319</v>
      </c>
      <c r="C36" s="62" t="s">
        <v>343</v>
      </c>
      <c r="D36" s="67" t="s">
        <v>344</v>
      </c>
      <c r="E36" s="143"/>
      <c r="F36" s="63"/>
      <c r="G36" s="63"/>
      <c r="H36" s="62" t="s">
        <v>51</v>
      </c>
      <c r="I36" s="62"/>
      <c r="J36" s="67"/>
      <c r="K36" s="158"/>
      <c r="L36" s="162"/>
      <c r="M36" s="163"/>
      <c r="N36" s="69"/>
      <c r="O36" s="64"/>
      <c r="P36" s="64"/>
      <c r="Q36" s="64"/>
      <c r="R36" s="64"/>
      <c r="S36" s="70"/>
      <c r="T36" s="69">
        <v>242802302.30999792</v>
      </c>
      <c r="U36" s="64">
        <v>423455544.42475772</v>
      </c>
      <c r="V36" s="64">
        <v>124558005.79000004</v>
      </c>
      <c r="W36" s="64">
        <v>10661838.449999999</v>
      </c>
      <c r="X36" s="70"/>
      <c r="Y36" s="148">
        <v>544184205.98619974</v>
      </c>
      <c r="Z36" s="69"/>
      <c r="AA36" s="70"/>
      <c r="AB36" s="69"/>
      <c r="AC36" s="64">
        <v>6441328980.5292301</v>
      </c>
      <c r="AD36" s="70"/>
    </row>
    <row r="37" spans="1:30" x14ac:dyDescent="0.25">
      <c r="A37" s="145" t="s">
        <v>204</v>
      </c>
      <c r="B37" s="62" t="s">
        <v>319</v>
      </c>
      <c r="C37" s="62" t="s">
        <v>343</v>
      </c>
      <c r="D37" s="67" t="s">
        <v>345</v>
      </c>
      <c r="E37" s="143"/>
      <c r="F37" s="63"/>
      <c r="G37" s="63"/>
      <c r="H37" s="62" t="s">
        <v>51</v>
      </c>
      <c r="I37" s="62"/>
      <c r="J37" s="67"/>
      <c r="K37" s="158"/>
      <c r="L37" s="162"/>
      <c r="M37" s="163"/>
      <c r="N37" s="69"/>
      <c r="O37" s="64"/>
      <c r="P37" s="64"/>
      <c r="Q37" s="64"/>
      <c r="R37" s="64"/>
      <c r="S37" s="70"/>
      <c r="T37" s="69">
        <v>506111051.7499826</v>
      </c>
      <c r="U37" s="64"/>
      <c r="V37" s="64"/>
      <c r="W37" s="64"/>
      <c r="X37" s="70"/>
      <c r="Y37" s="148">
        <v>280737179.26800001</v>
      </c>
      <c r="Z37" s="69"/>
      <c r="AA37" s="70"/>
      <c r="AB37" s="69">
        <v>8562904904.0596447</v>
      </c>
      <c r="AC37" s="64"/>
      <c r="AD37" s="70"/>
    </row>
    <row r="38" spans="1:30" x14ac:dyDescent="0.25">
      <c r="A38" s="145" t="s">
        <v>205</v>
      </c>
      <c r="B38" s="62" t="s">
        <v>319</v>
      </c>
      <c r="C38" s="62" t="s">
        <v>343</v>
      </c>
      <c r="D38" s="67" t="s">
        <v>345</v>
      </c>
      <c r="E38" s="143"/>
      <c r="F38" s="63"/>
      <c r="G38" s="63"/>
      <c r="H38" s="62" t="s">
        <v>51</v>
      </c>
      <c r="I38" s="62"/>
      <c r="J38" s="67"/>
      <c r="K38" s="158"/>
      <c r="L38" s="162"/>
      <c r="M38" s="163"/>
      <c r="N38" s="69"/>
      <c r="O38" s="64"/>
      <c r="P38" s="64"/>
      <c r="Q38" s="64"/>
      <c r="R38" s="64"/>
      <c r="S38" s="70"/>
      <c r="T38" s="69">
        <v>363427541.97998726</v>
      </c>
      <c r="U38" s="64"/>
      <c r="V38" s="64"/>
      <c r="W38" s="64"/>
      <c r="X38" s="70"/>
      <c r="Y38" s="148">
        <v>221090062.43870005</v>
      </c>
      <c r="Z38" s="69"/>
      <c r="AA38" s="70"/>
      <c r="AB38" s="69"/>
      <c r="AC38" s="64"/>
      <c r="AD38" s="70"/>
    </row>
    <row r="39" spans="1:30" x14ac:dyDescent="0.25">
      <c r="A39" s="145" t="s">
        <v>208</v>
      </c>
      <c r="B39" s="62" t="s">
        <v>319</v>
      </c>
      <c r="C39" s="62" t="s">
        <v>343</v>
      </c>
      <c r="D39" s="67" t="s">
        <v>344</v>
      </c>
      <c r="E39" s="143"/>
      <c r="F39" s="63"/>
      <c r="G39" s="63"/>
      <c r="H39" s="62" t="s">
        <v>51</v>
      </c>
      <c r="I39" s="62"/>
      <c r="J39" s="67"/>
      <c r="K39" s="158"/>
      <c r="L39" s="162"/>
      <c r="M39" s="163"/>
      <c r="N39" s="69"/>
      <c r="O39" s="64"/>
      <c r="P39" s="64"/>
      <c r="Q39" s="64"/>
      <c r="R39" s="64"/>
      <c r="S39" s="70"/>
      <c r="T39" s="69">
        <v>555275872.96997058</v>
      </c>
      <c r="U39" s="64">
        <v>971861147.09508145</v>
      </c>
      <c r="V39" s="64">
        <v>177280270.22999993</v>
      </c>
      <c r="W39" s="64">
        <v>152845345.06999978</v>
      </c>
      <c r="X39" s="70"/>
      <c r="Y39" s="148">
        <v>1131603727.040801</v>
      </c>
      <c r="Z39" s="69"/>
      <c r="AA39" s="70"/>
      <c r="AB39" s="69"/>
      <c r="AC39" s="64"/>
      <c r="AD39" s="70"/>
    </row>
    <row r="40" spans="1:30" x14ac:dyDescent="0.25">
      <c r="A40" s="145" t="s">
        <v>210</v>
      </c>
      <c r="B40" s="62" t="s">
        <v>319</v>
      </c>
      <c r="C40" s="62" t="s">
        <v>343</v>
      </c>
      <c r="D40" s="67" t="s">
        <v>345</v>
      </c>
      <c r="E40" s="143"/>
      <c r="F40" s="63"/>
      <c r="G40" s="63"/>
      <c r="H40" s="62" t="s">
        <v>51</v>
      </c>
      <c r="I40" s="62"/>
      <c r="J40" s="67"/>
      <c r="K40" s="158"/>
      <c r="L40" s="162"/>
      <c r="M40" s="163"/>
      <c r="N40" s="69"/>
      <c r="O40" s="64"/>
      <c r="P40" s="64"/>
      <c r="Q40" s="64"/>
      <c r="R40" s="64"/>
      <c r="S40" s="70"/>
      <c r="T40" s="69">
        <v>794455738.63996136</v>
      </c>
      <c r="U40" s="64"/>
      <c r="V40" s="64"/>
      <c r="W40" s="64"/>
      <c r="X40" s="70"/>
      <c r="Y40" s="148">
        <v>573647981.04380012</v>
      </c>
      <c r="Z40" s="69"/>
      <c r="AA40" s="70"/>
      <c r="AB40" s="69"/>
      <c r="AC40" s="64"/>
      <c r="AD40" s="70"/>
    </row>
    <row r="41" spans="1:30" x14ac:dyDescent="0.25">
      <c r="A41" s="145" t="s">
        <v>346</v>
      </c>
      <c r="B41" s="62" t="s">
        <v>319</v>
      </c>
      <c r="C41" s="62" t="s">
        <v>340</v>
      </c>
      <c r="D41" s="67" t="s">
        <v>347</v>
      </c>
      <c r="E41" s="143"/>
      <c r="F41" s="63"/>
      <c r="G41" s="63"/>
      <c r="H41" s="62" t="s">
        <v>51</v>
      </c>
      <c r="I41" s="62"/>
      <c r="J41" s="67"/>
      <c r="K41" s="158"/>
      <c r="L41" s="162"/>
      <c r="M41" s="163"/>
      <c r="N41" s="69"/>
      <c r="O41" s="64"/>
      <c r="P41" s="64"/>
      <c r="Q41" s="64"/>
      <c r="R41" s="64"/>
      <c r="S41" s="70"/>
      <c r="T41" s="69">
        <v>55056563.070000201</v>
      </c>
      <c r="U41" s="64">
        <v>201611029.92931628</v>
      </c>
      <c r="V41" s="64"/>
      <c r="W41" s="64"/>
      <c r="X41" s="70"/>
      <c r="Y41" s="148">
        <v>136655603.58450004</v>
      </c>
      <c r="Z41" s="69"/>
      <c r="AA41" s="70"/>
      <c r="AB41" s="69"/>
      <c r="AC41" s="64"/>
      <c r="AD41" s="70"/>
    </row>
    <row r="42" spans="1:30" x14ac:dyDescent="0.25">
      <c r="A42" s="145" t="s">
        <v>337</v>
      </c>
      <c r="B42" s="62" t="s">
        <v>319</v>
      </c>
      <c r="C42" s="62" t="s">
        <v>343</v>
      </c>
      <c r="D42" s="67" t="s">
        <v>344</v>
      </c>
      <c r="E42" s="143"/>
      <c r="F42" s="63"/>
      <c r="G42" s="63"/>
      <c r="H42" s="62" t="s">
        <v>51</v>
      </c>
      <c r="I42" s="62"/>
      <c r="J42" s="67"/>
      <c r="K42" s="158"/>
      <c r="L42" s="162"/>
      <c r="M42" s="163"/>
      <c r="N42" s="69"/>
      <c r="O42" s="64"/>
      <c r="P42" s="64"/>
      <c r="Q42" s="64"/>
      <c r="R42" s="64"/>
      <c r="S42" s="70"/>
      <c r="T42" s="69">
        <v>39901309.520000055</v>
      </c>
      <c r="U42" s="64">
        <v>53053597.294622146</v>
      </c>
      <c r="V42" s="64"/>
      <c r="W42" s="64"/>
      <c r="X42" s="70"/>
      <c r="Y42" s="148">
        <v>51890148.134499997</v>
      </c>
      <c r="Z42" s="69"/>
      <c r="AA42" s="70"/>
      <c r="AB42" s="69"/>
      <c r="AC42" s="64"/>
      <c r="AD42" s="70"/>
    </row>
    <row r="43" spans="1:30" x14ac:dyDescent="0.25">
      <c r="A43" s="145" t="s">
        <v>348</v>
      </c>
      <c r="B43" s="62" t="s">
        <v>319</v>
      </c>
      <c r="C43" s="62" t="s">
        <v>340</v>
      </c>
      <c r="D43" s="67" t="s">
        <v>347</v>
      </c>
      <c r="E43" s="143"/>
      <c r="F43" s="63"/>
      <c r="G43" s="63"/>
      <c r="H43" s="62" t="s">
        <v>51</v>
      </c>
      <c r="I43" s="62"/>
      <c r="J43" s="67"/>
      <c r="K43" s="158"/>
      <c r="L43" s="162"/>
      <c r="M43" s="163"/>
      <c r="N43" s="69"/>
      <c r="O43" s="64"/>
      <c r="P43" s="64"/>
      <c r="Q43" s="64"/>
      <c r="R43" s="64"/>
      <c r="S43" s="70"/>
      <c r="T43" s="69">
        <v>33013433.410000037</v>
      </c>
      <c r="U43" s="64">
        <v>98499085.502824664</v>
      </c>
      <c r="V43" s="64">
        <v>13257748.400000002</v>
      </c>
      <c r="W43" s="64"/>
      <c r="X43" s="70"/>
      <c r="Y43" s="148">
        <v>85552599.98739998</v>
      </c>
      <c r="Z43" s="69"/>
      <c r="AA43" s="70"/>
      <c r="AB43" s="69"/>
      <c r="AC43" s="64"/>
      <c r="AD43" s="70"/>
    </row>
    <row r="44" spans="1:30" x14ac:dyDescent="0.25">
      <c r="A44" s="145" t="s">
        <v>225</v>
      </c>
      <c r="B44" s="62" t="s">
        <v>319</v>
      </c>
      <c r="C44" s="62" t="s">
        <v>340</v>
      </c>
      <c r="D44" s="67" t="s">
        <v>341</v>
      </c>
      <c r="E44" s="143"/>
      <c r="F44" s="63"/>
      <c r="G44" s="63"/>
      <c r="H44" s="62" t="s">
        <v>51</v>
      </c>
      <c r="I44" s="62"/>
      <c r="J44" s="67"/>
      <c r="K44" s="158"/>
      <c r="L44" s="162"/>
      <c r="M44" s="163"/>
      <c r="N44" s="69"/>
      <c r="O44" s="64"/>
      <c r="P44" s="64"/>
      <c r="Q44" s="64"/>
      <c r="R44" s="64"/>
      <c r="S44" s="70"/>
      <c r="T44" s="69">
        <v>713164968.75995326</v>
      </c>
      <c r="U44" s="64">
        <v>1564978771.4342816</v>
      </c>
      <c r="V44" s="64">
        <v>443100114.96999943</v>
      </c>
      <c r="W44" s="64">
        <v>109918676.57000001</v>
      </c>
      <c r="X44" s="70"/>
      <c r="Y44" s="148">
        <v>1938906834.9962986</v>
      </c>
      <c r="Z44" s="69"/>
      <c r="AA44" s="70"/>
      <c r="AB44" s="69"/>
      <c r="AC44" s="64"/>
      <c r="AD44" s="70"/>
    </row>
    <row r="45" spans="1:30" x14ac:dyDescent="0.25">
      <c r="A45" s="145" t="s">
        <v>225</v>
      </c>
      <c r="B45" s="62" t="s">
        <v>319</v>
      </c>
      <c r="C45" s="62" t="s">
        <v>340</v>
      </c>
      <c r="D45" s="67" t="s">
        <v>349</v>
      </c>
      <c r="E45" s="143"/>
      <c r="F45" s="63"/>
      <c r="G45" s="63"/>
      <c r="H45" s="62" t="s">
        <v>51</v>
      </c>
      <c r="I45" s="62"/>
      <c r="J45" s="67"/>
      <c r="K45" s="158"/>
      <c r="L45" s="162"/>
      <c r="M45" s="163"/>
      <c r="N45" s="69"/>
      <c r="O45" s="64"/>
      <c r="P45" s="64"/>
      <c r="Q45" s="64"/>
      <c r="R45" s="64"/>
      <c r="S45" s="70"/>
      <c r="T45" s="69">
        <v>91745114.070000693</v>
      </c>
      <c r="U45" s="64">
        <v>169659756.12377515</v>
      </c>
      <c r="V45" s="64"/>
      <c r="W45" s="64">
        <v>18758194.669999998</v>
      </c>
      <c r="X45" s="70"/>
      <c r="Y45" s="148">
        <v>105970379.57999998</v>
      </c>
      <c r="Z45" s="69"/>
      <c r="AA45" s="70"/>
      <c r="AB45" s="69"/>
      <c r="AC45" s="64">
        <v>6441328980.5292301</v>
      </c>
      <c r="AD45" s="70"/>
    </row>
    <row r="46" spans="1:30" x14ac:dyDescent="0.25">
      <c r="A46" s="145" t="s">
        <v>255</v>
      </c>
      <c r="B46" s="62" t="s">
        <v>319</v>
      </c>
      <c r="C46" s="62" t="s">
        <v>343</v>
      </c>
      <c r="D46" s="67" t="s">
        <v>345</v>
      </c>
      <c r="E46" s="143"/>
      <c r="F46" s="63"/>
      <c r="G46" s="63"/>
      <c r="H46" s="62" t="s">
        <v>51</v>
      </c>
      <c r="I46" s="62"/>
      <c r="J46" s="67"/>
      <c r="K46" s="158"/>
      <c r="L46" s="162"/>
      <c r="M46" s="163"/>
      <c r="N46" s="69"/>
      <c r="O46" s="64"/>
      <c r="P46" s="64"/>
      <c r="Q46" s="64"/>
      <c r="R46" s="64"/>
      <c r="S46" s="70"/>
      <c r="T46" s="69">
        <v>407168168.51999384</v>
      </c>
      <c r="U46" s="64"/>
      <c r="V46" s="64"/>
      <c r="W46" s="64"/>
      <c r="X46" s="70"/>
      <c r="Y46" s="148">
        <v>242263446.25079992</v>
      </c>
      <c r="Z46" s="69"/>
      <c r="AA46" s="70"/>
      <c r="AB46" s="69"/>
      <c r="AC46" s="64"/>
      <c r="AD46" s="70"/>
    </row>
    <row r="47" spans="1:30" x14ac:dyDescent="0.25">
      <c r="A47" s="145" t="s">
        <v>228</v>
      </c>
      <c r="B47" s="62" t="s">
        <v>319</v>
      </c>
      <c r="C47" s="62" t="s">
        <v>343</v>
      </c>
      <c r="D47" s="67" t="s">
        <v>345</v>
      </c>
      <c r="E47" s="143"/>
      <c r="F47" s="63"/>
      <c r="G47" s="63"/>
      <c r="H47" s="62" t="s">
        <v>51</v>
      </c>
      <c r="I47" s="62"/>
      <c r="J47" s="67"/>
      <c r="K47" s="158"/>
      <c r="L47" s="162"/>
      <c r="M47" s="163"/>
      <c r="N47" s="69"/>
      <c r="O47" s="64"/>
      <c r="P47" s="64"/>
      <c r="Q47" s="64"/>
      <c r="R47" s="64"/>
      <c r="S47" s="70"/>
      <c r="T47" s="69">
        <v>482326588.95998514</v>
      </c>
      <c r="U47" s="64"/>
      <c r="V47" s="64"/>
      <c r="W47" s="64"/>
      <c r="X47" s="70"/>
      <c r="Y47" s="148">
        <v>362534982.53960001</v>
      </c>
      <c r="Z47" s="69"/>
      <c r="AA47" s="70"/>
      <c r="AB47" s="69"/>
      <c r="AC47" s="64"/>
      <c r="AD47" s="70"/>
    </row>
    <row r="48" spans="1:30" x14ac:dyDescent="0.25">
      <c r="A48" s="145" t="s">
        <v>235</v>
      </c>
      <c r="B48" s="62" t="s">
        <v>319</v>
      </c>
      <c r="C48" s="62" t="s">
        <v>343</v>
      </c>
      <c r="D48" s="67" t="s">
        <v>345</v>
      </c>
      <c r="E48" s="143"/>
      <c r="F48" s="63"/>
      <c r="G48" s="63"/>
      <c r="H48" s="62" t="s">
        <v>51</v>
      </c>
      <c r="I48" s="62"/>
      <c r="J48" s="67"/>
      <c r="K48" s="158"/>
      <c r="L48" s="162"/>
      <c r="M48" s="163"/>
      <c r="N48" s="69"/>
      <c r="O48" s="64"/>
      <c r="P48" s="64"/>
      <c r="Q48" s="64"/>
      <c r="R48" s="64"/>
      <c r="S48" s="70"/>
      <c r="T48" s="69">
        <v>274661986.03999752</v>
      </c>
      <c r="U48" s="64"/>
      <c r="V48" s="64"/>
      <c r="W48" s="64"/>
      <c r="X48" s="70"/>
      <c r="Y48" s="148">
        <v>181023400.17449993</v>
      </c>
      <c r="Z48" s="69"/>
      <c r="AA48" s="70"/>
      <c r="AB48" s="69"/>
      <c r="AC48" s="64"/>
      <c r="AD48" s="70"/>
    </row>
    <row r="49" spans="1:30" x14ac:dyDescent="0.25">
      <c r="A49" s="145" t="s">
        <v>236</v>
      </c>
      <c r="B49" s="62" t="s">
        <v>319</v>
      </c>
      <c r="C49" s="62" t="s">
        <v>343</v>
      </c>
      <c r="D49" s="67" t="s">
        <v>350</v>
      </c>
      <c r="E49" s="143"/>
      <c r="F49" s="63"/>
      <c r="G49" s="63"/>
      <c r="H49" s="62" t="s">
        <v>51</v>
      </c>
      <c r="I49" s="62"/>
      <c r="J49" s="67"/>
      <c r="K49" s="158"/>
      <c r="L49" s="162"/>
      <c r="M49" s="163"/>
      <c r="N49" s="69"/>
      <c r="O49" s="64"/>
      <c r="P49" s="64"/>
      <c r="Q49" s="64"/>
      <c r="R49" s="64"/>
      <c r="S49" s="70"/>
      <c r="T49" s="69">
        <v>251392591.79999802</v>
      </c>
      <c r="U49" s="64">
        <v>458922888.58837456</v>
      </c>
      <c r="V49" s="64">
        <v>67269886.530000016</v>
      </c>
      <c r="W49" s="64">
        <v>17956965.07</v>
      </c>
      <c r="X49" s="70"/>
      <c r="Y49" s="148">
        <v>381960960.90099984</v>
      </c>
      <c r="Z49" s="69"/>
      <c r="AA49" s="70"/>
      <c r="AB49" s="69"/>
      <c r="AC49" s="64"/>
      <c r="AD49" s="70">
        <v>333354165.76000047</v>
      </c>
    </row>
    <row r="50" spans="1:30" x14ac:dyDescent="0.25">
      <c r="A50" s="145" t="s">
        <v>239</v>
      </c>
      <c r="B50" s="62" t="s">
        <v>319</v>
      </c>
      <c r="C50" s="62" t="s">
        <v>340</v>
      </c>
      <c r="D50" s="67" t="s">
        <v>349</v>
      </c>
      <c r="E50" s="143"/>
      <c r="F50" s="63"/>
      <c r="G50" s="63"/>
      <c r="H50" s="62" t="s">
        <v>51</v>
      </c>
      <c r="I50" s="62"/>
      <c r="J50" s="67"/>
      <c r="K50" s="158"/>
      <c r="L50" s="162"/>
      <c r="M50" s="163"/>
      <c r="N50" s="69"/>
      <c r="O50" s="64"/>
      <c r="P50" s="64"/>
      <c r="Q50" s="64"/>
      <c r="R50" s="64"/>
      <c r="S50" s="70"/>
      <c r="T50" s="69">
        <v>1375233024.5099015</v>
      </c>
      <c r="U50" s="64">
        <v>1922227780.3893392</v>
      </c>
      <c r="V50" s="64">
        <v>1333972349.0699999</v>
      </c>
      <c r="W50" s="64">
        <v>315942050.65999991</v>
      </c>
      <c r="X50" s="70"/>
      <c r="Y50" s="148">
        <v>2969791621.8204007</v>
      </c>
      <c r="Z50" s="69"/>
      <c r="AA50" s="70"/>
      <c r="AB50" s="69"/>
      <c r="AC50" s="64"/>
      <c r="AD50" s="70"/>
    </row>
    <row r="51" spans="1:30" x14ac:dyDescent="0.25">
      <c r="A51" s="145" t="s">
        <v>243</v>
      </c>
      <c r="B51" s="62" t="s">
        <v>319</v>
      </c>
      <c r="C51" s="62" t="s">
        <v>343</v>
      </c>
      <c r="D51" s="67" t="s">
        <v>350</v>
      </c>
      <c r="E51" s="143"/>
      <c r="F51" s="63"/>
      <c r="G51" s="63"/>
      <c r="H51" s="62" t="s">
        <v>51</v>
      </c>
      <c r="I51" s="62"/>
      <c r="J51" s="67"/>
      <c r="K51" s="158"/>
      <c r="L51" s="162"/>
      <c r="M51" s="163"/>
      <c r="N51" s="69"/>
      <c r="O51" s="64"/>
      <c r="P51" s="64"/>
      <c r="Q51" s="64"/>
      <c r="R51" s="64"/>
      <c r="S51" s="70"/>
      <c r="T51" s="69">
        <v>577918799.36996722</v>
      </c>
      <c r="U51" s="64">
        <v>926072520.85157287</v>
      </c>
      <c r="V51" s="64">
        <v>186571605.79000005</v>
      </c>
      <c r="W51" s="64">
        <v>139341345.23000014</v>
      </c>
      <c r="X51" s="70"/>
      <c r="Y51" s="148">
        <v>1050024310.0880005</v>
      </c>
      <c r="Z51" s="69"/>
      <c r="AA51" s="70"/>
      <c r="AB51" s="69"/>
      <c r="AC51" s="64"/>
      <c r="AD51" s="70"/>
    </row>
    <row r="52" spans="1:30" x14ac:dyDescent="0.25">
      <c r="A52" s="145" t="s">
        <v>351</v>
      </c>
      <c r="B52" s="62" t="s">
        <v>319</v>
      </c>
      <c r="C52" s="62" t="s">
        <v>340</v>
      </c>
      <c r="D52" s="67" t="s">
        <v>347</v>
      </c>
      <c r="E52" s="143"/>
      <c r="F52" s="63"/>
      <c r="G52" s="63"/>
      <c r="H52" s="62" t="s">
        <v>51</v>
      </c>
      <c r="I52" s="62"/>
      <c r="J52" s="67"/>
      <c r="K52" s="158"/>
      <c r="L52" s="162"/>
      <c r="M52" s="163"/>
      <c r="N52" s="69"/>
      <c r="O52" s="64"/>
      <c r="P52" s="64"/>
      <c r="Q52" s="64"/>
      <c r="R52" s="64"/>
      <c r="S52" s="70"/>
      <c r="T52" s="69">
        <v>53763378.580000177</v>
      </c>
      <c r="U52" s="64">
        <v>140822409.14183936</v>
      </c>
      <c r="V52" s="64">
        <v>105777639.67</v>
      </c>
      <c r="W52" s="64"/>
      <c r="X52" s="70"/>
      <c r="Y52" s="148">
        <v>195799301.25860009</v>
      </c>
      <c r="Z52" s="69"/>
      <c r="AA52" s="70"/>
      <c r="AB52" s="69"/>
      <c r="AC52" s="64"/>
      <c r="AD52" s="70"/>
    </row>
    <row r="53" spans="1:30" x14ac:dyDescent="0.25">
      <c r="A53" s="145" t="s">
        <v>246</v>
      </c>
      <c r="B53" s="62" t="s">
        <v>319</v>
      </c>
      <c r="C53" s="62" t="s">
        <v>340</v>
      </c>
      <c r="D53" s="67" t="s">
        <v>347</v>
      </c>
      <c r="E53" s="143"/>
      <c r="F53" s="63"/>
      <c r="G53" s="63"/>
      <c r="H53" s="62" t="s">
        <v>51</v>
      </c>
      <c r="I53" s="62"/>
      <c r="J53" s="67"/>
      <c r="K53" s="158"/>
      <c r="L53" s="162"/>
      <c r="M53" s="163"/>
      <c r="N53" s="69"/>
      <c r="O53" s="64"/>
      <c r="P53" s="64"/>
      <c r="Q53" s="64"/>
      <c r="R53" s="64"/>
      <c r="S53" s="70"/>
      <c r="T53" s="69">
        <v>546116475.02997375</v>
      </c>
      <c r="U53" s="64">
        <v>857314508.23496246</v>
      </c>
      <c r="V53" s="64">
        <v>345384608.68999982</v>
      </c>
      <c r="W53" s="64">
        <v>38601838.269999988</v>
      </c>
      <c r="X53" s="70"/>
      <c r="Y53" s="148">
        <v>1113203080.3724992</v>
      </c>
      <c r="Z53" s="69"/>
      <c r="AA53" s="70"/>
      <c r="AB53" s="69"/>
      <c r="AC53" s="64"/>
      <c r="AD53" s="70"/>
    </row>
    <row r="54" spans="1:30" x14ac:dyDescent="0.25">
      <c r="A54" s="145" t="s">
        <v>247</v>
      </c>
      <c r="B54" s="62" t="s">
        <v>319</v>
      </c>
      <c r="C54" s="62" t="s">
        <v>343</v>
      </c>
      <c r="D54" s="67" t="s">
        <v>345</v>
      </c>
      <c r="E54" s="143"/>
      <c r="F54" s="63"/>
      <c r="G54" s="63"/>
      <c r="H54" s="62" t="s">
        <v>51</v>
      </c>
      <c r="I54" s="62"/>
      <c r="J54" s="67"/>
      <c r="K54" s="158"/>
      <c r="L54" s="162"/>
      <c r="M54" s="163"/>
      <c r="N54" s="69"/>
      <c r="O54" s="64"/>
      <c r="P54" s="64"/>
      <c r="Q54" s="64"/>
      <c r="R54" s="64"/>
      <c r="S54" s="70"/>
      <c r="T54" s="69">
        <v>320497709.13999486</v>
      </c>
      <c r="U54" s="64"/>
      <c r="V54" s="64"/>
      <c r="W54" s="64"/>
      <c r="X54" s="70"/>
      <c r="Y54" s="148">
        <v>193982358.73899996</v>
      </c>
      <c r="Z54" s="69"/>
      <c r="AA54" s="70"/>
      <c r="AB54" s="69"/>
      <c r="AC54" s="64"/>
      <c r="AD54" s="70"/>
    </row>
    <row r="55" spans="1:30" x14ac:dyDescent="0.25">
      <c r="A55" s="145" t="s">
        <v>204</v>
      </c>
      <c r="B55" s="62" t="s">
        <v>319</v>
      </c>
      <c r="C55" s="62" t="s">
        <v>343</v>
      </c>
      <c r="D55" s="67" t="s">
        <v>352</v>
      </c>
      <c r="E55" s="143"/>
      <c r="F55" s="63"/>
      <c r="G55" s="63"/>
      <c r="H55" s="62" t="s">
        <v>51</v>
      </c>
      <c r="I55" s="62"/>
      <c r="J55" s="67"/>
      <c r="K55" s="158"/>
      <c r="L55" s="162"/>
      <c r="M55" s="163"/>
      <c r="N55" s="69"/>
      <c r="O55" s="64"/>
      <c r="P55" s="64"/>
      <c r="Q55" s="64"/>
      <c r="R55" s="64"/>
      <c r="S55" s="70"/>
      <c r="T55" s="69"/>
      <c r="U55" s="64">
        <v>608093059.37362909</v>
      </c>
      <c r="V55" s="64">
        <v>78340467.379999995</v>
      </c>
      <c r="W55" s="64">
        <v>26550482.920000002</v>
      </c>
      <c r="X55" s="70"/>
      <c r="Y55" s="148">
        <v>383589624.24380004</v>
      </c>
      <c r="Z55" s="69"/>
      <c r="AA55" s="70"/>
      <c r="AB55" s="69"/>
      <c r="AC55" s="64"/>
      <c r="AD55" s="70">
        <v>1264255297.0799983</v>
      </c>
    </row>
    <row r="56" spans="1:30" x14ac:dyDescent="0.25">
      <c r="A56" s="145" t="s">
        <v>205</v>
      </c>
      <c r="B56" s="62" t="s">
        <v>319</v>
      </c>
      <c r="C56" s="62" t="s">
        <v>343</v>
      </c>
      <c r="D56" s="67" t="s">
        <v>352</v>
      </c>
      <c r="E56" s="143"/>
      <c r="F56" s="63"/>
      <c r="G56" s="63"/>
      <c r="H56" s="62" t="s">
        <v>51</v>
      </c>
      <c r="I56" s="62"/>
      <c r="J56" s="67"/>
      <c r="K56" s="158"/>
      <c r="L56" s="162"/>
      <c r="M56" s="163"/>
      <c r="N56" s="69"/>
      <c r="O56" s="64"/>
      <c r="P56" s="64"/>
      <c r="Q56" s="64"/>
      <c r="R56" s="64"/>
      <c r="S56" s="70"/>
      <c r="T56" s="69"/>
      <c r="U56" s="64">
        <v>463234155.12052619</v>
      </c>
      <c r="V56" s="64">
        <v>124785343.58000028</v>
      </c>
      <c r="W56" s="64"/>
      <c r="X56" s="70"/>
      <c r="Y56" s="148">
        <v>319467848.86250019</v>
      </c>
      <c r="Z56" s="69"/>
      <c r="AA56" s="70"/>
      <c r="AB56" s="69"/>
      <c r="AC56" s="64"/>
      <c r="AD56" s="70"/>
    </row>
    <row r="57" spans="1:30" x14ac:dyDescent="0.25">
      <c r="A57" s="145" t="s">
        <v>210</v>
      </c>
      <c r="B57" s="62" t="s">
        <v>319</v>
      </c>
      <c r="C57" s="62" t="s">
        <v>343</v>
      </c>
      <c r="D57" s="67" t="s">
        <v>352</v>
      </c>
      <c r="E57" s="143"/>
      <c r="F57" s="63"/>
      <c r="G57" s="63"/>
      <c r="H57" s="62" t="s">
        <v>51</v>
      </c>
      <c r="I57" s="62"/>
      <c r="J57" s="67"/>
      <c r="K57" s="158"/>
      <c r="L57" s="162"/>
      <c r="M57" s="163"/>
      <c r="N57" s="69"/>
      <c r="O57" s="64"/>
      <c r="P57" s="64"/>
      <c r="Q57" s="64"/>
      <c r="R57" s="64"/>
      <c r="S57" s="70"/>
      <c r="T57" s="69"/>
      <c r="U57" s="64">
        <v>745566909.85218537</v>
      </c>
      <c r="V57" s="64">
        <v>204054380.34000009</v>
      </c>
      <c r="W57" s="64">
        <v>127970840.33999988</v>
      </c>
      <c r="X57" s="70"/>
      <c r="Y57" s="148">
        <v>577722381.09299958</v>
      </c>
      <c r="Z57" s="69"/>
      <c r="AA57" s="70"/>
      <c r="AB57" s="69"/>
      <c r="AC57" s="64"/>
      <c r="AD57" s="70"/>
    </row>
    <row r="58" spans="1:30" x14ac:dyDescent="0.25">
      <c r="A58" s="145" t="s">
        <v>225</v>
      </c>
      <c r="B58" s="62" t="s">
        <v>319</v>
      </c>
      <c r="C58" s="62" t="s">
        <v>343</v>
      </c>
      <c r="D58" s="67" t="s">
        <v>344</v>
      </c>
      <c r="E58" s="143"/>
      <c r="F58" s="63"/>
      <c r="G58" s="63"/>
      <c r="H58" s="62" t="s">
        <v>51</v>
      </c>
      <c r="I58" s="62"/>
      <c r="J58" s="67"/>
      <c r="K58" s="158"/>
      <c r="L58" s="162"/>
      <c r="M58" s="163"/>
      <c r="N58" s="69"/>
      <c r="O58" s="64"/>
      <c r="P58" s="64"/>
      <c r="Q58" s="64"/>
      <c r="R58" s="64"/>
      <c r="S58" s="70"/>
      <c r="T58" s="69"/>
      <c r="U58" s="64">
        <v>1494673.280976</v>
      </c>
      <c r="V58" s="64"/>
      <c r="W58" s="64"/>
      <c r="X58" s="70"/>
      <c r="Y58" s="148"/>
      <c r="Z58" s="69"/>
      <c r="AA58" s="70"/>
      <c r="AB58" s="69"/>
      <c r="AC58" s="64"/>
      <c r="AD58" s="70"/>
    </row>
    <row r="59" spans="1:30" x14ac:dyDescent="0.25">
      <c r="A59" s="145" t="s">
        <v>255</v>
      </c>
      <c r="B59" s="62" t="s">
        <v>319</v>
      </c>
      <c r="C59" s="62" t="s">
        <v>343</v>
      </c>
      <c r="D59" s="67" t="s">
        <v>352</v>
      </c>
      <c r="E59" s="143"/>
      <c r="F59" s="63"/>
      <c r="G59" s="63"/>
      <c r="H59" s="62" t="s">
        <v>51</v>
      </c>
      <c r="I59" s="62"/>
      <c r="J59" s="67"/>
      <c r="K59" s="158"/>
      <c r="L59" s="162"/>
      <c r="M59" s="163"/>
      <c r="N59" s="69"/>
      <c r="O59" s="64"/>
      <c r="P59" s="64"/>
      <c r="Q59" s="64"/>
      <c r="R59" s="64"/>
      <c r="S59" s="70"/>
      <c r="T59" s="69"/>
      <c r="U59" s="64">
        <v>370989922.18708414</v>
      </c>
      <c r="V59" s="64">
        <v>68525312.430000022</v>
      </c>
      <c r="W59" s="64">
        <v>35561982.350000009</v>
      </c>
      <c r="X59" s="70"/>
      <c r="Y59" s="148">
        <v>244595402.85570005</v>
      </c>
      <c r="Z59" s="69"/>
      <c r="AA59" s="70"/>
      <c r="AB59" s="69"/>
      <c r="AC59" s="64"/>
      <c r="AD59" s="70"/>
    </row>
    <row r="60" spans="1:30" x14ac:dyDescent="0.25">
      <c r="A60" s="145" t="s">
        <v>228</v>
      </c>
      <c r="B60" s="62" t="s">
        <v>319</v>
      </c>
      <c r="C60" s="62" t="s">
        <v>343</v>
      </c>
      <c r="D60" s="67" t="s">
        <v>352</v>
      </c>
      <c r="E60" s="143"/>
      <c r="F60" s="63"/>
      <c r="G60" s="63"/>
      <c r="H60" s="62" t="s">
        <v>51</v>
      </c>
      <c r="I60" s="62"/>
      <c r="J60" s="67"/>
      <c r="K60" s="158"/>
      <c r="L60" s="162"/>
      <c r="M60" s="163"/>
      <c r="N60" s="69"/>
      <c r="O60" s="64"/>
      <c r="P60" s="64"/>
      <c r="Q60" s="64"/>
      <c r="R60" s="64"/>
      <c r="S60" s="70"/>
      <c r="T60" s="69"/>
      <c r="U60" s="64">
        <v>304122504.64932662</v>
      </c>
      <c r="V60" s="64">
        <v>80844831.330000043</v>
      </c>
      <c r="W60" s="64">
        <v>56410368.599999987</v>
      </c>
      <c r="X60" s="70"/>
      <c r="Y60" s="148">
        <v>238600337.93050003</v>
      </c>
      <c r="Z60" s="69"/>
      <c r="AA60" s="70"/>
      <c r="AB60" s="69"/>
      <c r="AC60" s="64"/>
      <c r="AD60" s="70"/>
    </row>
    <row r="61" spans="1:30" x14ac:dyDescent="0.25">
      <c r="A61" s="145" t="s">
        <v>235</v>
      </c>
      <c r="B61" s="62" t="s">
        <v>319</v>
      </c>
      <c r="C61" s="62" t="s">
        <v>343</v>
      </c>
      <c r="D61" s="67" t="s">
        <v>352</v>
      </c>
      <c r="E61" s="143"/>
      <c r="F61" s="63"/>
      <c r="G61" s="63"/>
      <c r="H61" s="62" t="s">
        <v>51</v>
      </c>
      <c r="I61" s="62"/>
      <c r="J61" s="67"/>
      <c r="K61" s="158"/>
      <c r="L61" s="162"/>
      <c r="M61" s="163"/>
      <c r="N61" s="69"/>
      <c r="O61" s="64"/>
      <c r="P61" s="64"/>
      <c r="Q61" s="64"/>
      <c r="R61" s="64"/>
      <c r="S61" s="70"/>
      <c r="T61" s="69"/>
      <c r="U61" s="64">
        <v>270062232.78513151</v>
      </c>
      <c r="V61" s="64">
        <v>62521918.880000062</v>
      </c>
      <c r="W61" s="64">
        <v>19372133.820000004</v>
      </c>
      <c r="X61" s="70"/>
      <c r="Y61" s="148">
        <v>175410934.04640001</v>
      </c>
      <c r="Z61" s="69"/>
      <c r="AA61" s="70"/>
      <c r="AB61" s="69"/>
      <c r="AC61" s="64"/>
      <c r="AD61" s="70"/>
    </row>
    <row r="62" spans="1:30" x14ac:dyDescent="0.25">
      <c r="A62" s="145" t="s">
        <v>243</v>
      </c>
      <c r="B62" s="62" t="s">
        <v>319</v>
      </c>
      <c r="C62" s="62" t="s">
        <v>343</v>
      </c>
      <c r="D62" s="67" t="s">
        <v>344</v>
      </c>
      <c r="E62" s="143"/>
      <c r="F62" s="63"/>
      <c r="G62" s="63"/>
      <c r="H62" s="62" t="s">
        <v>51</v>
      </c>
      <c r="I62" s="62"/>
      <c r="J62" s="67"/>
      <c r="K62" s="158"/>
      <c r="L62" s="162"/>
      <c r="M62" s="163"/>
      <c r="N62" s="69"/>
      <c r="O62" s="64"/>
      <c r="P62" s="64"/>
      <c r="Q62" s="64"/>
      <c r="R62" s="64"/>
      <c r="S62" s="70"/>
      <c r="T62" s="69"/>
      <c r="U62" s="64">
        <v>347336.67000000004</v>
      </c>
      <c r="V62" s="64"/>
      <c r="W62" s="64"/>
      <c r="X62" s="70"/>
      <c r="Y62" s="148">
        <v>3357900</v>
      </c>
      <c r="Z62" s="69"/>
      <c r="AA62" s="70"/>
      <c r="AB62" s="69"/>
      <c r="AC62" s="64"/>
      <c r="AD62" s="70"/>
    </row>
    <row r="63" spans="1:30" x14ac:dyDescent="0.25">
      <c r="A63" s="145" t="s">
        <v>247</v>
      </c>
      <c r="B63" s="62" t="s">
        <v>319</v>
      </c>
      <c r="C63" s="62" t="s">
        <v>343</v>
      </c>
      <c r="D63" s="67" t="s">
        <v>350</v>
      </c>
      <c r="E63" s="143"/>
      <c r="F63" s="63"/>
      <c r="G63" s="63"/>
      <c r="H63" s="62" t="s">
        <v>51</v>
      </c>
      <c r="I63" s="62"/>
      <c r="J63" s="67"/>
      <c r="K63" s="158"/>
      <c r="L63" s="162"/>
      <c r="M63" s="163"/>
      <c r="N63" s="69"/>
      <c r="O63" s="64"/>
      <c r="P63" s="64"/>
      <c r="Q63" s="64"/>
      <c r="R63" s="64"/>
      <c r="S63" s="70"/>
      <c r="T63" s="69"/>
      <c r="U63" s="64">
        <v>360062948.58538592</v>
      </c>
      <c r="V63" s="64">
        <v>22250758.790000007</v>
      </c>
      <c r="W63" s="64">
        <v>22280541.27</v>
      </c>
      <c r="X63" s="70"/>
      <c r="Y63" s="148">
        <v>191982465.48129994</v>
      </c>
      <c r="Z63" s="69"/>
      <c r="AA63" s="70"/>
      <c r="AB63" s="69"/>
      <c r="AC63" s="64"/>
      <c r="AD63" s="70"/>
    </row>
    <row r="64" spans="1:30" x14ac:dyDescent="0.25">
      <c r="A64" s="145" t="s">
        <v>195</v>
      </c>
      <c r="B64" s="62" t="s">
        <v>319</v>
      </c>
      <c r="C64" s="62" t="s">
        <v>320</v>
      </c>
      <c r="D64" s="67" t="s">
        <v>334</v>
      </c>
      <c r="E64" s="143" t="s">
        <v>342</v>
      </c>
      <c r="F64" s="63"/>
      <c r="G64" s="63"/>
      <c r="H64" s="62"/>
      <c r="I64" s="62"/>
      <c r="J64" s="67"/>
      <c r="K64" s="158">
        <v>2328586.79</v>
      </c>
      <c r="L64" s="162"/>
      <c r="M64" s="163"/>
      <c r="N64" s="69">
        <v>13130.27</v>
      </c>
      <c r="O64" s="64">
        <v>48478.11</v>
      </c>
      <c r="P64" s="64">
        <v>325962.57999999996</v>
      </c>
      <c r="Q64" s="64"/>
      <c r="R64" s="64">
        <v>432028.43999999989</v>
      </c>
      <c r="S64" s="70"/>
      <c r="T64" s="69"/>
      <c r="U64" s="64"/>
      <c r="V64" s="64"/>
      <c r="W64" s="64"/>
      <c r="X64" s="70">
        <v>90879464.679999992</v>
      </c>
      <c r="Y64" s="148"/>
      <c r="Z64" s="69"/>
      <c r="AA64" s="70"/>
      <c r="AB64" s="69"/>
      <c r="AC64" s="64"/>
      <c r="AD64" s="70"/>
    </row>
    <row r="65" spans="1:30" x14ac:dyDescent="0.25">
      <c r="A65" s="145" t="s">
        <v>204</v>
      </c>
      <c r="B65" s="62" t="s">
        <v>319</v>
      </c>
      <c r="C65" s="62" t="s">
        <v>326</v>
      </c>
      <c r="D65" s="67" t="s">
        <v>327</v>
      </c>
      <c r="E65" s="143" t="s">
        <v>342</v>
      </c>
      <c r="F65" s="63"/>
      <c r="G65" s="63"/>
      <c r="H65" s="62"/>
      <c r="I65" s="62"/>
      <c r="J65" s="67"/>
      <c r="K65" s="158">
        <v>13742490.699999999</v>
      </c>
      <c r="L65" s="162"/>
      <c r="M65" s="163"/>
      <c r="N65" s="69">
        <v>3022022.7600000002</v>
      </c>
      <c r="O65" s="64">
        <v>400453.30999999994</v>
      </c>
      <c r="P65" s="64"/>
      <c r="Q65" s="64"/>
      <c r="R65" s="64"/>
      <c r="S65" s="70"/>
      <c r="T65" s="69"/>
      <c r="U65" s="64"/>
      <c r="V65" s="64"/>
      <c r="W65" s="64"/>
      <c r="X65" s="70">
        <v>42349125.859999992</v>
      </c>
      <c r="Y65" s="148"/>
      <c r="Z65" s="69"/>
      <c r="AA65" s="70"/>
      <c r="AB65" s="69"/>
      <c r="AC65" s="64"/>
      <c r="AD65" s="70"/>
    </row>
    <row r="66" spans="1:30" x14ac:dyDescent="0.25">
      <c r="A66" s="145" t="s">
        <v>204</v>
      </c>
      <c r="B66" s="62" t="s">
        <v>319</v>
      </c>
      <c r="C66" s="62" t="s">
        <v>326</v>
      </c>
      <c r="D66" s="67" t="s">
        <v>330</v>
      </c>
      <c r="E66" s="143" t="s">
        <v>342</v>
      </c>
      <c r="F66" s="63"/>
      <c r="G66" s="63"/>
      <c r="H66" s="62"/>
      <c r="I66" s="62"/>
      <c r="J66" s="67"/>
      <c r="K66" s="158"/>
      <c r="L66" s="162"/>
      <c r="M66" s="163"/>
      <c r="N66" s="69"/>
      <c r="O66" s="64"/>
      <c r="P66" s="64"/>
      <c r="Q66" s="64"/>
      <c r="R66" s="64">
        <v>1361356.9399999995</v>
      </c>
      <c r="S66" s="70"/>
      <c r="T66" s="69"/>
      <c r="U66" s="64"/>
      <c r="V66" s="64"/>
      <c r="W66" s="64"/>
      <c r="X66" s="70"/>
      <c r="Y66" s="148"/>
      <c r="Z66" s="69"/>
      <c r="AA66" s="70"/>
      <c r="AB66" s="69"/>
      <c r="AC66" s="64"/>
      <c r="AD66" s="70"/>
    </row>
    <row r="67" spans="1:30" x14ac:dyDescent="0.25">
      <c r="A67" s="145" t="s">
        <v>205</v>
      </c>
      <c r="B67" s="62" t="s">
        <v>319</v>
      </c>
      <c r="C67" s="62" t="s">
        <v>326</v>
      </c>
      <c r="D67" s="67" t="s">
        <v>327</v>
      </c>
      <c r="E67" s="143" t="s">
        <v>342</v>
      </c>
      <c r="F67" s="63"/>
      <c r="G67" s="63"/>
      <c r="H67" s="62"/>
      <c r="I67" s="62"/>
      <c r="J67" s="67"/>
      <c r="K67" s="158">
        <v>8182930.8999999994</v>
      </c>
      <c r="L67" s="162"/>
      <c r="M67" s="163"/>
      <c r="N67" s="69"/>
      <c r="O67" s="64"/>
      <c r="P67" s="64"/>
      <c r="Q67" s="64"/>
      <c r="R67" s="64"/>
      <c r="S67" s="70"/>
      <c r="T67" s="69"/>
      <c r="U67" s="64"/>
      <c r="V67" s="64"/>
      <c r="W67" s="64"/>
      <c r="X67" s="70">
        <v>12460186.710000001</v>
      </c>
      <c r="Y67" s="148"/>
      <c r="Z67" s="69"/>
      <c r="AA67" s="70"/>
      <c r="AB67" s="69"/>
      <c r="AC67" s="64"/>
      <c r="AD67" s="70"/>
    </row>
    <row r="68" spans="1:30" x14ac:dyDescent="0.25">
      <c r="A68" s="145" t="s">
        <v>210</v>
      </c>
      <c r="B68" s="62" t="s">
        <v>319</v>
      </c>
      <c r="C68" s="62" t="s">
        <v>326</v>
      </c>
      <c r="D68" s="67" t="s">
        <v>327</v>
      </c>
      <c r="E68" s="143" t="s">
        <v>342</v>
      </c>
      <c r="F68" s="63">
        <v>1</v>
      </c>
      <c r="G68" s="63"/>
      <c r="H68" s="62"/>
      <c r="I68" s="62"/>
      <c r="J68" s="67"/>
      <c r="K68" s="158">
        <v>526862.52</v>
      </c>
      <c r="L68" s="162"/>
      <c r="M68" s="163"/>
      <c r="N68" s="69"/>
      <c r="O68" s="64">
        <v>1241115.1800000004</v>
      </c>
      <c r="P68" s="64"/>
      <c r="Q68" s="64"/>
      <c r="R68" s="64"/>
      <c r="S68" s="70"/>
      <c r="T68" s="69"/>
      <c r="U68" s="64"/>
      <c r="V68" s="64"/>
      <c r="W68" s="64"/>
      <c r="X68" s="70">
        <v>130075043.87999995</v>
      </c>
      <c r="Y68" s="148"/>
      <c r="Z68" s="69"/>
      <c r="AA68" s="70"/>
      <c r="AB68" s="69"/>
      <c r="AC68" s="64"/>
      <c r="AD68" s="70"/>
    </row>
    <row r="69" spans="1:30" x14ac:dyDescent="0.25">
      <c r="A69" s="145" t="s">
        <v>210</v>
      </c>
      <c r="B69" s="62" t="s">
        <v>319</v>
      </c>
      <c r="C69" s="62" t="s">
        <v>326</v>
      </c>
      <c r="D69" s="67" t="s">
        <v>330</v>
      </c>
      <c r="E69" s="143" t="s">
        <v>342</v>
      </c>
      <c r="F69" s="63"/>
      <c r="G69" s="63"/>
      <c r="H69" s="62"/>
      <c r="I69" s="62"/>
      <c r="J69" s="67"/>
      <c r="K69" s="158"/>
      <c r="L69" s="162">
        <v>8536955.5500000007</v>
      </c>
      <c r="M69" s="163"/>
      <c r="N69" s="69">
        <v>5757796.0499999989</v>
      </c>
      <c r="O69" s="64">
        <v>12123306.51</v>
      </c>
      <c r="P69" s="64">
        <v>23447652.07</v>
      </c>
      <c r="Q69" s="64"/>
      <c r="R69" s="64">
        <v>17483504.639999986</v>
      </c>
      <c r="S69" s="70">
        <v>25707160.229999978</v>
      </c>
      <c r="T69" s="69"/>
      <c r="U69" s="64"/>
      <c r="V69" s="64"/>
      <c r="W69" s="64"/>
      <c r="X69" s="70"/>
      <c r="Y69" s="148"/>
      <c r="Z69" s="69"/>
      <c r="AA69" s="70"/>
      <c r="AB69" s="69"/>
      <c r="AC69" s="64"/>
      <c r="AD69" s="70"/>
    </row>
    <row r="70" spans="1:30" x14ac:dyDescent="0.25">
      <c r="A70" s="145" t="s">
        <v>324</v>
      </c>
      <c r="B70" s="62" t="s">
        <v>319</v>
      </c>
      <c r="C70" s="62" t="s">
        <v>320</v>
      </c>
      <c r="D70" s="67" t="s">
        <v>321</v>
      </c>
      <c r="E70" s="143" t="s">
        <v>342</v>
      </c>
      <c r="F70" s="63"/>
      <c r="G70" s="63"/>
      <c r="H70" s="62"/>
      <c r="I70" s="62"/>
      <c r="J70" s="67"/>
      <c r="K70" s="158"/>
      <c r="L70" s="162"/>
      <c r="M70" s="163"/>
      <c r="N70" s="69"/>
      <c r="O70" s="64"/>
      <c r="P70" s="64">
        <v>492352.85000000003</v>
      </c>
      <c r="Q70" s="64"/>
      <c r="R70" s="64"/>
      <c r="S70" s="70"/>
      <c r="T70" s="69"/>
      <c r="U70" s="64"/>
      <c r="V70" s="64"/>
      <c r="W70" s="64"/>
      <c r="X70" s="70"/>
      <c r="Y70" s="148">
        <v>104971901.41360001</v>
      </c>
      <c r="Z70" s="69"/>
      <c r="AA70" s="70"/>
      <c r="AB70" s="69"/>
      <c r="AC70" s="64"/>
      <c r="AD70" s="70"/>
    </row>
    <row r="71" spans="1:30" x14ac:dyDescent="0.25">
      <c r="A71" s="145" t="s">
        <v>254</v>
      </c>
      <c r="B71" s="62" t="s">
        <v>319</v>
      </c>
      <c r="C71" s="62" t="s">
        <v>320</v>
      </c>
      <c r="D71" s="67" t="s">
        <v>334</v>
      </c>
      <c r="E71" s="143" t="s">
        <v>342</v>
      </c>
      <c r="F71" s="63"/>
      <c r="G71" s="63"/>
      <c r="H71" s="62"/>
      <c r="I71" s="62"/>
      <c r="J71" s="67"/>
      <c r="K71" s="158"/>
      <c r="L71" s="162"/>
      <c r="M71" s="163"/>
      <c r="N71" s="69"/>
      <c r="O71" s="64"/>
      <c r="P71" s="64"/>
      <c r="Q71" s="64"/>
      <c r="R71" s="64"/>
      <c r="S71" s="70">
        <v>2874266.73</v>
      </c>
      <c r="T71" s="69"/>
      <c r="U71" s="64"/>
      <c r="V71" s="64"/>
      <c r="W71" s="64"/>
      <c r="X71" s="70">
        <v>8317598.1300000008</v>
      </c>
      <c r="Y71" s="148"/>
      <c r="Z71" s="69"/>
      <c r="AA71" s="70"/>
      <c r="AB71" s="69"/>
      <c r="AC71" s="64"/>
      <c r="AD71" s="70"/>
    </row>
    <row r="72" spans="1:30" x14ac:dyDescent="0.25">
      <c r="A72" s="145" t="s">
        <v>215</v>
      </c>
      <c r="B72" s="62" t="s">
        <v>319</v>
      </c>
      <c r="C72" s="62" t="s">
        <v>326</v>
      </c>
      <c r="D72" s="67" t="s">
        <v>327</v>
      </c>
      <c r="E72" s="143" t="s">
        <v>342</v>
      </c>
      <c r="F72" s="63"/>
      <c r="G72" s="63"/>
      <c r="H72" s="62"/>
      <c r="I72" s="62"/>
      <c r="J72" s="67"/>
      <c r="K72" s="158"/>
      <c r="L72" s="162"/>
      <c r="M72" s="163"/>
      <c r="N72" s="69"/>
      <c r="O72" s="64"/>
      <c r="P72" s="64"/>
      <c r="Q72" s="64"/>
      <c r="R72" s="64"/>
      <c r="S72" s="70"/>
      <c r="T72" s="69"/>
      <c r="U72" s="64"/>
      <c r="V72" s="64"/>
      <c r="W72" s="64"/>
      <c r="X72" s="70">
        <v>19951807.690000005</v>
      </c>
      <c r="Y72" s="148"/>
      <c r="Z72" s="69"/>
      <c r="AA72" s="70"/>
      <c r="AB72" s="69"/>
      <c r="AC72" s="64"/>
      <c r="AD72" s="70"/>
    </row>
    <row r="73" spans="1:30" x14ac:dyDescent="0.25">
      <c r="A73" s="145" t="s">
        <v>225</v>
      </c>
      <c r="B73" s="62" t="s">
        <v>319</v>
      </c>
      <c r="C73" s="62" t="s">
        <v>320</v>
      </c>
      <c r="D73" s="67" t="s">
        <v>331</v>
      </c>
      <c r="E73" s="143" t="s">
        <v>342</v>
      </c>
      <c r="F73" s="63">
        <v>1</v>
      </c>
      <c r="G73" s="63"/>
      <c r="H73" s="62"/>
      <c r="I73" s="62"/>
      <c r="J73" s="67"/>
      <c r="K73" s="158"/>
      <c r="L73" s="162"/>
      <c r="M73" s="163"/>
      <c r="N73" s="69"/>
      <c r="O73" s="64">
        <v>31968.34</v>
      </c>
      <c r="P73" s="64">
        <v>1489333.62</v>
      </c>
      <c r="Q73" s="64"/>
      <c r="R73" s="64"/>
      <c r="S73" s="70">
        <v>8774341.3400000017</v>
      </c>
      <c r="T73" s="69"/>
      <c r="U73" s="64"/>
      <c r="V73" s="64"/>
      <c r="W73" s="64"/>
      <c r="X73" s="70"/>
      <c r="Y73" s="148"/>
      <c r="Z73" s="69"/>
      <c r="AA73" s="70"/>
      <c r="AB73" s="69"/>
      <c r="AC73" s="64"/>
      <c r="AD73" s="70"/>
    </row>
    <row r="74" spans="1:30" x14ac:dyDescent="0.25">
      <c r="A74" s="145" t="s">
        <v>225</v>
      </c>
      <c r="B74" s="62" t="s">
        <v>319</v>
      </c>
      <c r="C74" s="62" t="s">
        <v>320</v>
      </c>
      <c r="D74" s="67" t="s">
        <v>334</v>
      </c>
      <c r="E74" s="143" t="s">
        <v>342</v>
      </c>
      <c r="F74" s="63"/>
      <c r="G74" s="63"/>
      <c r="H74" s="62"/>
      <c r="I74" s="62"/>
      <c r="J74" s="67"/>
      <c r="K74" s="158">
        <v>4270575.3600000003</v>
      </c>
      <c r="L74" s="162"/>
      <c r="M74" s="163"/>
      <c r="N74" s="69">
        <v>111221156.59</v>
      </c>
      <c r="O74" s="64">
        <v>30461776.29000001</v>
      </c>
      <c r="P74" s="64">
        <v>13024013.529999997</v>
      </c>
      <c r="Q74" s="64"/>
      <c r="R74" s="64">
        <v>32425978.98000006</v>
      </c>
      <c r="S74" s="70">
        <v>562069844.10000002</v>
      </c>
      <c r="T74" s="69"/>
      <c r="U74" s="64"/>
      <c r="V74" s="64"/>
      <c r="W74" s="64"/>
      <c r="X74" s="70">
        <v>541872107.94999981</v>
      </c>
      <c r="Y74" s="148"/>
      <c r="Z74" s="69"/>
      <c r="AA74" s="70"/>
      <c r="AB74" s="69"/>
      <c r="AC74" s="64"/>
      <c r="AD74" s="70"/>
    </row>
    <row r="75" spans="1:30" x14ac:dyDescent="0.25">
      <c r="A75" s="145" t="s">
        <v>225</v>
      </c>
      <c r="B75" s="62" t="s">
        <v>319</v>
      </c>
      <c r="C75" s="62" t="s">
        <v>335</v>
      </c>
      <c r="D75" s="67" t="s">
        <v>336</v>
      </c>
      <c r="E75" s="143" t="s">
        <v>342</v>
      </c>
      <c r="F75" s="63"/>
      <c r="G75" s="63"/>
      <c r="H75" s="62"/>
      <c r="I75" s="62"/>
      <c r="J75" s="67"/>
      <c r="K75" s="158">
        <v>8978605.0899999999</v>
      </c>
      <c r="L75" s="162"/>
      <c r="M75" s="163"/>
      <c r="N75" s="69"/>
      <c r="O75" s="64"/>
      <c r="P75" s="64">
        <v>1849561.63</v>
      </c>
      <c r="Q75" s="64"/>
      <c r="R75" s="64"/>
      <c r="S75" s="70"/>
      <c r="T75" s="69"/>
      <c r="U75" s="64"/>
      <c r="V75" s="64"/>
      <c r="W75" s="64"/>
      <c r="X75" s="70">
        <v>8931712.879999999</v>
      </c>
      <c r="Y75" s="148"/>
      <c r="Z75" s="69"/>
      <c r="AA75" s="70"/>
      <c r="AB75" s="69"/>
      <c r="AC75" s="64"/>
      <c r="AD75" s="70"/>
    </row>
    <row r="76" spans="1:30" x14ac:dyDescent="0.25">
      <c r="A76" s="145" t="s">
        <v>225</v>
      </c>
      <c r="B76" s="62" t="s">
        <v>319</v>
      </c>
      <c r="C76" s="62" t="s">
        <v>335</v>
      </c>
      <c r="D76" s="67" t="s">
        <v>338</v>
      </c>
      <c r="E76" s="143" t="s">
        <v>342</v>
      </c>
      <c r="F76" s="63"/>
      <c r="G76" s="63"/>
      <c r="H76" s="62"/>
      <c r="I76" s="62"/>
      <c r="J76" s="67"/>
      <c r="K76" s="158">
        <v>3701884.3000000007</v>
      </c>
      <c r="L76" s="162"/>
      <c r="M76" s="163"/>
      <c r="N76" s="69">
        <v>1630364.4800000007</v>
      </c>
      <c r="O76" s="64">
        <v>289110.48</v>
      </c>
      <c r="P76" s="64">
        <v>832018.92999999993</v>
      </c>
      <c r="Q76" s="64"/>
      <c r="R76" s="64"/>
      <c r="S76" s="70"/>
      <c r="T76" s="69"/>
      <c r="U76" s="64"/>
      <c r="V76" s="64"/>
      <c r="W76" s="64"/>
      <c r="X76" s="70">
        <v>614114.75</v>
      </c>
      <c r="Y76" s="148"/>
      <c r="Z76" s="69"/>
      <c r="AA76" s="70"/>
      <c r="AB76" s="69"/>
      <c r="AC76" s="64"/>
      <c r="AD76" s="70"/>
    </row>
    <row r="77" spans="1:30" x14ac:dyDescent="0.25">
      <c r="A77" s="145" t="s">
        <v>225</v>
      </c>
      <c r="B77" s="62" t="s">
        <v>319</v>
      </c>
      <c r="C77" s="62" t="s">
        <v>320</v>
      </c>
      <c r="D77" s="67" t="s">
        <v>321</v>
      </c>
      <c r="E77" s="143" t="s">
        <v>342</v>
      </c>
      <c r="F77" s="63"/>
      <c r="G77" s="63"/>
      <c r="H77" s="62" t="s">
        <v>51</v>
      </c>
      <c r="I77" s="62"/>
      <c r="J77" s="67"/>
      <c r="K77" s="158">
        <v>5354509.6999999993</v>
      </c>
      <c r="L77" s="162">
        <v>10671112.189999999</v>
      </c>
      <c r="M77" s="163"/>
      <c r="N77" s="69">
        <v>9900680.1600000001</v>
      </c>
      <c r="O77" s="64">
        <v>12059001.859999994</v>
      </c>
      <c r="P77" s="64">
        <v>126491598.41999994</v>
      </c>
      <c r="Q77" s="64">
        <v>63899.7</v>
      </c>
      <c r="R77" s="64">
        <v>16725330.930000018</v>
      </c>
      <c r="S77" s="70">
        <v>8016940.5599999996</v>
      </c>
      <c r="T77" s="69">
        <v>476279520.15997899</v>
      </c>
      <c r="U77" s="64">
        <v>971096048.59983242</v>
      </c>
      <c r="V77" s="64">
        <v>20063864.830000009</v>
      </c>
      <c r="W77" s="64">
        <v>165283912.92000011</v>
      </c>
      <c r="X77" s="70">
        <v>10774057.129999999</v>
      </c>
      <c r="Y77" s="148">
        <v>663558106.29289997</v>
      </c>
      <c r="Z77" s="69"/>
      <c r="AA77" s="70"/>
      <c r="AB77" s="69"/>
      <c r="AC77" s="64"/>
      <c r="AD77" s="70"/>
    </row>
    <row r="78" spans="1:30" x14ac:dyDescent="0.25">
      <c r="A78" s="145" t="s">
        <v>226</v>
      </c>
      <c r="B78" s="62" t="s">
        <v>319</v>
      </c>
      <c r="C78" s="62" t="s">
        <v>320</v>
      </c>
      <c r="D78" s="67" t="s">
        <v>331</v>
      </c>
      <c r="E78" s="143" t="s">
        <v>342</v>
      </c>
      <c r="F78" s="63"/>
      <c r="G78" s="63"/>
      <c r="H78" s="62"/>
      <c r="I78" s="62"/>
      <c r="J78" s="67"/>
      <c r="K78" s="158"/>
      <c r="L78" s="162"/>
      <c r="M78" s="163"/>
      <c r="N78" s="69"/>
      <c r="O78" s="64"/>
      <c r="P78" s="64"/>
      <c r="Q78" s="64"/>
      <c r="R78" s="64"/>
      <c r="S78" s="70"/>
      <c r="T78" s="69"/>
      <c r="U78" s="64"/>
      <c r="V78" s="64"/>
      <c r="W78" s="64"/>
      <c r="X78" s="70">
        <v>4912918.0000000009</v>
      </c>
      <c r="Y78" s="148">
        <v>162486690.05530003</v>
      </c>
      <c r="Z78" s="69"/>
      <c r="AA78" s="70"/>
      <c r="AB78" s="69"/>
      <c r="AC78" s="64"/>
      <c r="AD78" s="70"/>
    </row>
    <row r="79" spans="1:30" x14ac:dyDescent="0.25">
      <c r="A79" s="145" t="s">
        <v>226</v>
      </c>
      <c r="B79" s="62" t="s">
        <v>319</v>
      </c>
      <c r="C79" s="62" t="s">
        <v>320</v>
      </c>
      <c r="D79" s="67" t="s">
        <v>334</v>
      </c>
      <c r="E79" s="143" t="s">
        <v>342</v>
      </c>
      <c r="F79" s="63"/>
      <c r="G79" s="63"/>
      <c r="H79" s="62"/>
      <c r="I79" s="62"/>
      <c r="J79" s="67"/>
      <c r="K79" s="158"/>
      <c r="L79" s="162"/>
      <c r="M79" s="163"/>
      <c r="N79" s="69"/>
      <c r="O79" s="64"/>
      <c r="P79" s="64">
        <v>173787.44</v>
      </c>
      <c r="Q79" s="64"/>
      <c r="R79" s="64"/>
      <c r="S79" s="70"/>
      <c r="T79" s="69"/>
      <c r="U79" s="64"/>
      <c r="V79" s="64"/>
      <c r="W79" s="64"/>
      <c r="X79" s="70">
        <v>165112851.97999996</v>
      </c>
      <c r="Y79" s="148"/>
      <c r="Z79" s="69"/>
      <c r="AA79" s="70"/>
      <c r="AB79" s="69"/>
      <c r="AC79" s="64"/>
      <c r="AD79" s="70"/>
    </row>
    <row r="80" spans="1:30" x14ac:dyDescent="0.25">
      <c r="A80" s="145" t="s">
        <v>255</v>
      </c>
      <c r="B80" s="62" t="s">
        <v>319</v>
      </c>
      <c r="C80" s="62" t="s">
        <v>326</v>
      </c>
      <c r="D80" s="67" t="s">
        <v>327</v>
      </c>
      <c r="E80" s="143" t="s">
        <v>342</v>
      </c>
      <c r="F80" s="63"/>
      <c r="G80" s="63"/>
      <c r="H80" s="62"/>
      <c r="I80" s="62"/>
      <c r="J80" s="67"/>
      <c r="K80" s="158"/>
      <c r="L80" s="162"/>
      <c r="M80" s="163"/>
      <c r="N80" s="69">
        <v>313148.25</v>
      </c>
      <c r="O80" s="64"/>
      <c r="P80" s="64"/>
      <c r="Q80" s="64"/>
      <c r="R80" s="64"/>
      <c r="S80" s="70"/>
      <c r="T80" s="69"/>
      <c r="U80" s="64"/>
      <c r="V80" s="64"/>
      <c r="W80" s="64"/>
      <c r="X80" s="70">
        <v>60282489.349999987</v>
      </c>
      <c r="Y80" s="148"/>
      <c r="Z80" s="69"/>
      <c r="AA80" s="70"/>
      <c r="AB80" s="69"/>
      <c r="AC80" s="64"/>
      <c r="AD80" s="70"/>
    </row>
    <row r="81" spans="1:30" x14ac:dyDescent="0.25">
      <c r="A81" s="145" t="s">
        <v>255</v>
      </c>
      <c r="B81" s="62" t="s">
        <v>319</v>
      </c>
      <c r="C81" s="62" t="s">
        <v>326</v>
      </c>
      <c r="D81" s="67" t="s">
        <v>330</v>
      </c>
      <c r="E81" s="143" t="s">
        <v>342</v>
      </c>
      <c r="F81" s="63"/>
      <c r="G81" s="63"/>
      <c r="H81" s="62"/>
      <c r="I81" s="62"/>
      <c r="J81" s="67"/>
      <c r="K81" s="158"/>
      <c r="L81" s="162"/>
      <c r="M81" s="163"/>
      <c r="N81" s="69"/>
      <c r="O81" s="64"/>
      <c r="P81" s="64"/>
      <c r="Q81" s="64"/>
      <c r="R81" s="64">
        <v>21807.65</v>
      </c>
      <c r="S81" s="70"/>
      <c r="T81" s="69"/>
      <c r="U81" s="64"/>
      <c r="V81" s="64"/>
      <c r="W81" s="64"/>
      <c r="X81" s="70"/>
      <c r="Y81" s="148"/>
      <c r="Z81" s="69"/>
      <c r="AA81" s="70"/>
      <c r="AB81" s="69"/>
      <c r="AC81" s="64"/>
      <c r="AD81" s="70"/>
    </row>
    <row r="82" spans="1:30" x14ac:dyDescent="0.25">
      <c r="A82" s="145" t="s">
        <v>228</v>
      </c>
      <c r="B82" s="62" t="s">
        <v>319</v>
      </c>
      <c r="C82" s="62" t="s">
        <v>326</v>
      </c>
      <c r="D82" s="67" t="s">
        <v>327</v>
      </c>
      <c r="E82" s="143" t="s">
        <v>342</v>
      </c>
      <c r="F82" s="63"/>
      <c r="G82" s="63"/>
      <c r="H82" s="62"/>
      <c r="I82" s="62"/>
      <c r="J82" s="67"/>
      <c r="K82" s="158">
        <v>4388912.41</v>
      </c>
      <c r="L82" s="162"/>
      <c r="M82" s="163"/>
      <c r="N82" s="69">
        <v>1236435.1200000001</v>
      </c>
      <c r="O82" s="64">
        <v>2294897.2300000004</v>
      </c>
      <c r="P82" s="64"/>
      <c r="Q82" s="64"/>
      <c r="R82" s="64"/>
      <c r="S82" s="70"/>
      <c r="T82" s="69"/>
      <c r="U82" s="64"/>
      <c r="V82" s="64"/>
      <c r="W82" s="64"/>
      <c r="X82" s="70">
        <v>103135696.96999998</v>
      </c>
      <c r="Y82" s="148"/>
      <c r="Z82" s="69"/>
      <c r="AA82" s="70"/>
      <c r="AB82" s="69"/>
      <c r="AC82" s="64"/>
      <c r="AD82" s="70"/>
    </row>
    <row r="83" spans="1:30" x14ac:dyDescent="0.25">
      <c r="A83" s="145" t="s">
        <v>228</v>
      </c>
      <c r="B83" s="62" t="s">
        <v>319</v>
      </c>
      <c r="C83" s="62" t="s">
        <v>326</v>
      </c>
      <c r="D83" s="67" t="s">
        <v>330</v>
      </c>
      <c r="E83" s="143" t="s">
        <v>342</v>
      </c>
      <c r="F83" s="63"/>
      <c r="G83" s="63"/>
      <c r="H83" s="62"/>
      <c r="I83" s="62"/>
      <c r="J83" s="67"/>
      <c r="K83" s="158"/>
      <c r="L83" s="162"/>
      <c r="M83" s="163"/>
      <c r="N83" s="69"/>
      <c r="O83" s="64">
        <v>234763.23000000004</v>
      </c>
      <c r="P83" s="64">
        <v>5784109.0800000001</v>
      </c>
      <c r="Q83" s="64"/>
      <c r="R83" s="64">
        <v>4698187.3200000031</v>
      </c>
      <c r="S83" s="70">
        <v>2438816.1699999995</v>
      </c>
      <c r="T83" s="69"/>
      <c r="U83" s="64"/>
      <c r="V83" s="64"/>
      <c r="W83" s="64"/>
      <c r="X83" s="70"/>
      <c r="Y83" s="148"/>
      <c r="Z83" s="69"/>
      <c r="AA83" s="70"/>
      <c r="AB83" s="69"/>
      <c r="AC83" s="64"/>
      <c r="AD83" s="70"/>
    </row>
    <row r="84" spans="1:30" x14ac:dyDescent="0.25">
      <c r="A84" s="145" t="s">
        <v>332</v>
      </c>
      <c r="B84" s="62" t="s">
        <v>319</v>
      </c>
      <c r="C84" s="62" t="s">
        <v>320</v>
      </c>
      <c r="D84" s="67" t="s">
        <v>334</v>
      </c>
      <c r="E84" s="143" t="s">
        <v>342</v>
      </c>
      <c r="F84" s="63"/>
      <c r="G84" s="63"/>
      <c r="H84" s="62"/>
      <c r="I84" s="62"/>
      <c r="J84" s="67"/>
      <c r="K84" s="158"/>
      <c r="L84" s="162"/>
      <c r="M84" s="163"/>
      <c r="N84" s="69"/>
      <c r="O84" s="64"/>
      <c r="P84" s="64"/>
      <c r="Q84" s="64"/>
      <c r="R84" s="64"/>
      <c r="S84" s="70">
        <v>16108388.52</v>
      </c>
      <c r="T84" s="69"/>
      <c r="U84" s="64"/>
      <c r="V84" s="64"/>
      <c r="W84" s="64"/>
      <c r="X84" s="70"/>
      <c r="Y84" s="148"/>
      <c r="Z84" s="69"/>
      <c r="AA84" s="70"/>
      <c r="AB84" s="69"/>
      <c r="AC84" s="64"/>
      <c r="AD84" s="70"/>
    </row>
    <row r="85" spans="1:30" x14ac:dyDescent="0.25">
      <c r="A85" s="145" t="s">
        <v>257</v>
      </c>
      <c r="B85" s="62" t="s">
        <v>319</v>
      </c>
      <c r="C85" s="62" t="s">
        <v>326</v>
      </c>
      <c r="D85" s="67" t="s">
        <v>327</v>
      </c>
      <c r="E85" s="143" t="s">
        <v>342</v>
      </c>
      <c r="F85" s="63"/>
      <c r="G85" s="63"/>
      <c r="H85" s="62"/>
      <c r="I85" s="62"/>
      <c r="J85" s="67"/>
      <c r="K85" s="158"/>
      <c r="L85" s="162"/>
      <c r="M85" s="163"/>
      <c r="N85" s="69"/>
      <c r="O85" s="64"/>
      <c r="P85" s="64"/>
      <c r="Q85" s="64"/>
      <c r="R85" s="64"/>
      <c r="S85" s="70"/>
      <c r="T85" s="69"/>
      <c r="U85" s="64"/>
      <c r="V85" s="64"/>
      <c r="W85" s="64"/>
      <c r="X85" s="70">
        <v>5977787.8299999991</v>
      </c>
      <c r="Y85" s="148"/>
      <c r="Z85" s="69"/>
      <c r="AA85" s="70"/>
      <c r="AB85" s="69"/>
      <c r="AC85" s="64"/>
      <c r="AD85" s="70"/>
    </row>
    <row r="86" spans="1:30" x14ac:dyDescent="0.25">
      <c r="A86" s="145" t="s">
        <v>235</v>
      </c>
      <c r="B86" s="62" t="s">
        <v>319</v>
      </c>
      <c r="C86" s="62" t="s">
        <v>326</v>
      </c>
      <c r="D86" s="67" t="s">
        <v>327</v>
      </c>
      <c r="E86" s="143" t="s">
        <v>342</v>
      </c>
      <c r="F86" s="63"/>
      <c r="G86" s="63"/>
      <c r="H86" s="62"/>
      <c r="I86" s="62"/>
      <c r="J86" s="67"/>
      <c r="K86" s="158">
        <v>66978.099999999991</v>
      </c>
      <c r="L86" s="162"/>
      <c r="M86" s="163"/>
      <c r="N86" s="69"/>
      <c r="O86" s="64"/>
      <c r="P86" s="64"/>
      <c r="Q86" s="64"/>
      <c r="R86" s="64"/>
      <c r="S86" s="70"/>
      <c r="T86" s="69"/>
      <c r="U86" s="64"/>
      <c r="V86" s="64"/>
      <c r="W86" s="64"/>
      <c r="X86" s="70">
        <v>36875949.079999991</v>
      </c>
      <c r="Y86" s="148"/>
      <c r="Z86" s="69"/>
      <c r="AA86" s="70"/>
      <c r="AB86" s="69"/>
      <c r="AC86" s="64"/>
      <c r="AD86" s="70"/>
    </row>
    <row r="87" spans="1:30" x14ac:dyDescent="0.25">
      <c r="A87" s="145" t="s">
        <v>235</v>
      </c>
      <c r="B87" s="62" t="s">
        <v>319</v>
      </c>
      <c r="C87" s="62" t="s">
        <v>326</v>
      </c>
      <c r="D87" s="67" t="s">
        <v>330</v>
      </c>
      <c r="E87" s="143" t="s">
        <v>342</v>
      </c>
      <c r="F87" s="63"/>
      <c r="G87" s="63"/>
      <c r="H87" s="62"/>
      <c r="I87" s="62"/>
      <c r="J87" s="67"/>
      <c r="K87" s="158"/>
      <c r="L87" s="162"/>
      <c r="M87" s="163"/>
      <c r="N87" s="69"/>
      <c r="O87" s="64"/>
      <c r="P87" s="64"/>
      <c r="Q87" s="64"/>
      <c r="R87" s="64">
        <v>9206.41</v>
      </c>
      <c r="S87" s="70">
        <v>956225.6399999999</v>
      </c>
      <c r="T87" s="69"/>
      <c r="U87" s="64"/>
      <c r="V87" s="64"/>
      <c r="W87" s="64"/>
      <c r="X87" s="70"/>
      <c r="Y87" s="148"/>
      <c r="Z87" s="69"/>
      <c r="AA87" s="70"/>
      <c r="AB87" s="69"/>
      <c r="AC87" s="64"/>
      <c r="AD87" s="70"/>
    </row>
    <row r="88" spans="1:30" x14ac:dyDescent="0.25">
      <c r="A88" s="145" t="s">
        <v>239</v>
      </c>
      <c r="B88" s="62" t="s">
        <v>319</v>
      </c>
      <c r="C88" s="62" t="s">
        <v>320</v>
      </c>
      <c r="D88" s="67" t="s">
        <v>334</v>
      </c>
      <c r="E88" s="143" t="s">
        <v>342</v>
      </c>
      <c r="F88" s="63"/>
      <c r="G88" s="63"/>
      <c r="H88" s="62"/>
      <c r="I88" s="62"/>
      <c r="J88" s="67"/>
      <c r="K88" s="158"/>
      <c r="L88" s="162"/>
      <c r="M88" s="163"/>
      <c r="N88" s="69"/>
      <c r="O88" s="64"/>
      <c r="P88" s="64"/>
      <c r="Q88" s="64"/>
      <c r="R88" s="64"/>
      <c r="S88" s="70"/>
      <c r="T88" s="69"/>
      <c r="U88" s="64"/>
      <c r="V88" s="64"/>
      <c r="W88" s="64"/>
      <c r="X88" s="70">
        <v>154349675.96999997</v>
      </c>
      <c r="Y88" s="148"/>
      <c r="Z88" s="69"/>
      <c r="AA88" s="70"/>
      <c r="AB88" s="69"/>
      <c r="AC88" s="64"/>
      <c r="AD88" s="70"/>
    </row>
    <row r="89" spans="1:30" x14ac:dyDescent="0.25">
      <c r="A89" s="145" t="s">
        <v>239</v>
      </c>
      <c r="B89" s="62" t="s">
        <v>319</v>
      </c>
      <c r="C89" s="62" t="s">
        <v>326</v>
      </c>
      <c r="D89" s="67" t="s">
        <v>353</v>
      </c>
      <c r="E89" s="143" t="s">
        <v>342</v>
      </c>
      <c r="F89" s="63"/>
      <c r="G89" s="63"/>
      <c r="H89" s="62"/>
      <c r="I89" s="62"/>
      <c r="J89" s="67"/>
      <c r="K89" s="158"/>
      <c r="L89" s="162"/>
      <c r="M89" s="163"/>
      <c r="N89" s="69"/>
      <c r="O89" s="64"/>
      <c r="P89" s="64"/>
      <c r="Q89" s="64"/>
      <c r="R89" s="64"/>
      <c r="S89" s="70"/>
      <c r="T89" s="69"/>
      <c r="U89" s="64"/>
      <c r="V89" s="64"/>
      <c r="W89" s="64"/>
      <c r="X89" s="70">
        <v>97457606.640000045</v>
      </c>
      <c r="Y89" s="148"/>
      <c r="Z89" s="69"/>
      <c r="AA89" s="70"/>
      <c r="AB89" s="69"/>
      <c r="AC89" s="64"/>
      <c r="AD89" s="70"/>
    </row>
    <row r="90" spans="1:30" x14ac:dyDescent="0.25">
      <c r="A90" s="145" t="s">
        <v>239</v>
      </c>
      <c r="B90" s="62" t="s">
        <v>319</v>
      </c>
      <c r="C90" s="62" t="s">
        <v>335</v>
      </c>
      <c r="D90" s="67" t="s">
        <v>336</v>
      </c>
      <c r="E90" s="143" t="s">
        <v>342</v>
      </c>
      <c r="F90" s="63"/>
      <c r="G90" s="63"/>
      <c r="H90" s="62"/>
      <c r="I90" s="62"/>
      <c r="J90" s="67"/>
      <c r="K90" s="158"/>
      <c r="L90" s="162">
        <v>647650.96</v>
      </c>
      <c r="M90" s="163"/>
      <c r="N90" s="69"/>
      <c r="O90" s="64"/>
      <c r="P90" s="64">
        <v>2343202.3099999996</v>
      </c>
      <c r="Q90" s="64"/>
      <c r="R90" s="64"/>
      <c r="S90" s="70"/>
      <c r="T90" s="69"/>
      <c r="U90" s="64"/>
      <c r="V90" s="64"/>
      <c r="W90" s="64"/>
      <c r="X90" s="70">
        <v>96576744.649999991</v>
      </c>
      <c r="Y90" s="148"/>
      <c r="Z90" s="69"/>
      <c r="AA90" s="70"/>
      <c r="AB90" s="69"/>
      <c r="AC90" s="64"/>
      <c r="AD90" s="70"/>
    </row>
    <row r="91" spans="1:30" x14ac:dyDescent="0.25">
      <c r="A91" s="145" t="s">
        <v>241</v>
      </c>
      <c r="B91" s="62"/>
      <c r="C91" s="62"/>
      <c r="D91" s="67" t="s">
        <v>354</v>
      </c>
      <c r="E91" s="143" t="s">
        <v>342</v>
      </c>
      <c r="F91" s="63"/>
      <c r="G91" s="63"/>
      <c r="H91" s="62"/>
      <c r="I91" s="62"/>
      <c r="J91" s="67"/>
      <c r="K91" s="158"/>
      <c r="L91" s="162"/>
      <c r="M91" s="163"/>
      <c r="N91" s="69"/>
      <c r="O91" s="64"/>
      <c r="P91" s="64"/>
      <c r="Q91" s="64"/>
      <c r="R91" s="64"/>
      <c r="S91" s="70"/>
      <c r="T91" s="69"/>
      <c r="U91" s="64"/>
      <c r="V91" s="64"/>
      <c r="W91" s="64"/>
      <c r="X91" s="70">
        <v>66260277.179999992</v>
      </c>
      <c r="Y91" s="148"/>
      <c r="Z91" s="69"/>
      <c r="AA91" s="70"/>
      <c r="AB91" s="69"/>
      <c r="AC91" s="64"/>
      <c r="AD91" s="70"/>
    </row>
    <row r="92" spans="1:30" x14ac:dyDescent="0.25">
      <c r="A92" s="145" t="s">
        <v>245</v>
      </c>
      <c r="B92" s="62" t="s">
        <v>319</v>
      </c>
      <c r="C92" s="62" t="s">
        <v>320</v>
      </c>
      <c r="D92" s="67" t="s">
        <v>331</v>
      </c>
      <c r="E92" s="143" t="s">
        <v>342</v>
      </c>
      <c r="F92" s="63"/>
      <c r="G92" s="63"/>
      <c r="H92" s="62"/>
      <c r="I92" s="62"/>
      <c r="J92" s="67"/>
      <c r="K92" s="158"/>
      <c r="L92" s="162"/>
      <c r="M92" s="163"/>
      <c r="N92" s="69"/>
      <c r="O92" s="64"/>
      <c r="P92" s="64"/>
      <c r="Q92" s="64"/>
      <c r="R92" s="64"/>
      <c r="S92" s="70"/>
      <c r="T92" s="69"/>
      <c r="U92" s="64"/>
      <c r="V92" s="64"/>
      <c r="W92" s="64"/>
      <c r="X92" s="70">
        <v>614114.75000000012</v>
      </c>
      <c r="Y92" s="148"/>
      <c r="Z92" s="69"/>
      <c r="AA92" s="70"/>
      <c r="AB92" s="69"/>
      <c r="AC92" s="64"/>
      <c r="AD92" s="70"/>
    </row>
    <row r="93" spans="1:30" x14ac:dyDescent="0.25">
      <c r="A93" s="145" t="s">
        <v>247</v>
      </c>
      <c r="B93" s="62" t="s">
        <v>319</v>
      </c>
      <c r="C93" s="62" t="s">
        <v>326</v>
      </c>
      <c r="D93" s="67" t="s">
        <v>327</v>
      </c>
      <c r="E93" s="143" t="s">
        <v>342</v>
      </c>
      <c r="F93" s="63"/>
      <c r="G93" s="63"/>
      <c r="H93" s="62"/>
      <c r="I93" s="62"/>
      <c r="J93" s="67"/>
      <c r="K93" s="158">
        <v>3728265.5199999996</v>
      </c>
      <c r="L93" s="162"/>
      <c r="M93" s="163"/>
      <c r="N93" s="69">
        <v>690778.12</v>
      </c>
      <c r="O93" s="64">
        <v>14242540.309999997</v>
      </c>
      <c r="P93" s="64"/>
      <c r="Q93" s="64"/>
      <c r="R93" s="64"/>
      <c r="S93" s="70"/>
      <c r="T93" s="69"/>
      <c r="U93" s="64"/>
      <c r="V93" s="64"/>
      <c r="W93" s="64"/>
      <c r="X93" s="70">
        <v>42349125.859999992</v>
      </c>
      <c r="Y93" s="148"/>
      <c r="Z93" s="69"/>
      <c r="AA93" s="70"/>
      <c r="AB93" s="69"/>
      <c r="AC93" s="64"/>
      <c r="AD93" s="70"/>
    </row>
    <row r="94" spans="1:30" x14ac:dyDescent="0.25">
      <c r="A94" s="145" t="s">
        <v>247</v>
      </c>
      <c r="B94" s="62" t="s">
        <v>319</v>
      </c>
      <c r="C94" s="62" t="s">
        <v>326</v>
      </c>
      <c r="D94" s="67" t="s">
        <v>330</v>
      </c>
      <c r="E94" s="143" t="s">
        <v>342</v>
      </c>
      <c r="F94" s="63"/>
      <c r="G94" s="63"/>
      <c r="H94" s="62"/>
      <c r="I94" s="62"/>
      <c r="J94" s="67"/>
      <c r="K94" s="158"/>
      <c r="L94" s="162"/>
      <c r="M94" s="163"/>
      <c r="N94" s="69"/>
      <c r="O94" s="64">
        <v>69230.34</v>
      </c>
      <c r="P94" s="64">
        <v>6089153.1999999983</v>
      </c>
      <c r="Q94" s="64"/>
      <c r="R94" s="64">
        <v>6798674.6099999966</v>
      </c>
      <c r="S94" s="70">
        <v>7260821.419999999</v>
      </c>
      <c r="T94" s="69"/>
      <c r="U94" s="64"/>
      <c r="V94" s="64"/>
      <c r="W94" s="64"/>
      <c r="X94" s="70"/>
      <c r="Y94" s="148"/>
      <c r="Z94" s="69"/>
      <c r="AA94" s="70"/>
      <c r="AB94" s="69"/>
      <c r="AC94" s="64"/>
      <c r="AD94" s="70"/>
    </row>
    <row r="95" spans="1:30" x14ac:dyDescent="0.25">
      <c r="A95" s="145" t="s">
        <v>247</v>
      </c>
      <c r="B95" s="62" t="s">
        <v>319</v>
      </c>
      <c r="C95" s="62" t="s">
        <v>326</v>
      </c>
      <c r="D95" s="67" t="s">
        <v>353</v>
      </c>
      <c r="E95" s="143" t="s">
        <v>342</v>
      </c>
      <c r="F95" s="63"/>
      <c r="G95" s="63"/>
      <c r="H95" s="62"/>
      <c r="I95" s="62"/>
      <c r="J95" s="67"/>
      <c r="K95" s="158"/>
      <c r="L95" s="162"/>
      <c r="M95" s="163"/>
      <c r="N95" s="69">
        <v>915017.40000000014</v>
      </c>
      <c r="O95" s="64"/>
      <c r="P95" s="64"/>
      <c r="Q95" s="64"/>
      <c r="R95" s="64"/>
      <c r="S95" s="70"/>
      <c r="T95" s="69"/>
      <c r="U95" s="64"/>
      <c r="V95" s="64"/>
      <c r="W95" s="64"/>
      <c r="X95" s="70"/>
      <c r="Y95" s="148"/>
      <c r="Z95" s="69"/>
      <c r="AA95" s="70"/>
      <c r="AB95" s="69"/>
      <c r="AC95" s="64"/>
      <c r="AD95" s="70"/>
    </row>
    <row r="96" spans="1:30" x14ac:dyDescent="0.25">
      <c r="A96" s="145" t="s">
        <v>249</v>
      </c>
      <c r="B96" s="62"/>
      <c r="C96" s="62"/>
      <c r="D96" s="67" t="s">
        <v>355</v>
      </c>
      <c r="E96" s="143" t="s">
        <v>342</v>
      </c>
      <c r="F96" s="63"/>
      <c r="G96" s="63"/>
      <c r="H96" s="62"/>
      <c r="I96" s="62"/>
      <c r="J96" s="67"/>
      <c r="K96" s="158"/>
      <c r="L96" s="162"/>
      <c r="M96" s="163"/>
      <c r="N96" s="69"/>
      <c r="O96" s="64"/>
      <c r="P96" s="64"/>
      <c r="Q96" s="64"/>
      <c r="R96" s="64"/>
      <c r="S96" s="70"/>
      <c r="T96" s="69"/>
      <c r="U96" s="64"/>
      <c r="V96" s="64"/>
      <c r="W96" s="64"/>
      <c r="X96" s="70">
        <v>84690420.809999987</v>
      </c>
      <c r="Y96" s="148"/>
      <c r="Z96" s="69"/>
      <c r="AA96" s="70"/>
      <c r="AB96" s="69"/>
      <c r="AC96" s="64"/>
      <c r="AD96" s="70"/>
    </row>
    <row r="97" spans="1:30" x14ac:dyDescent="0.25">
      <c r="A97" s="145" t="s">
        <v>318</v>
      </c>
      <c r="B97" s="62" t="s">
        <v>319</v>
      </c>
      <c r="C97" s="62" t="s">
        <v>320</v>
      </c>
      <c r="D97" s="67" t="s">
        <v>321</v>
      </c>
      <c r="E97" s="143" t="s">
        <v>342</v>
      </c>
      <c r="F97" s="63"/>
      <c r="G97" s="63"/>
      <c r="H97" s="62"/>
      <c r="I97" s="62"/>
      <c r="J97" s="67"/>
      <c r="K97" s="158"/>
      <c r="L97" s="162"/>
      <c r="M97" s="163"/>
      <c r="N97" s="69"/>
      <c r="O97" s="64"/>
      <c r="P97" s="64">
        <v>258674.95999999996</v>
      </c>
      <c r="Q97" s="64"/>
      <c r="R97" s="64"/>
      <c r="S97" s="70">
        <v>6841648.8000000007</v>
      </c>
      <c r="T97" s="69"/>
      <c r="U97" s="64"/>
      <c r="V97" s="64"/>
      <c r="W97" s="64"/>
      <c r="X97" s="70"/>
      <c r="Y97" s="148"/>
      <c r="Z97" s="69"/>
      <c r="AA97" s="70"/>
      <c r="AB97" s="69"/>
      <c r="AC97" s="64"/>
      <c r="AD97" s="70"/>
    </row>
    <row r="98" spans="1:30" x14ac:dyDescent="0.25">
      <c r="A98" s="145" t="s">
        <v>243</v>
      </c>
      <c r="B98" s="62" t="s">
        <v>319</v>
      </c>
      <c r="C98" s="62" t="s">
        <v>326</v>
      </c>
      <c r="D98" s="67" t="s">
        <v>353</v>
      </c>
      <c r="E98" s="143" t="s">
        <v>342</v>
      </c>
      <c r="F98" s="63">
        <v>1</v>
      </c>
      <c r="G98" s="63"/>
      <c r="H98" s="62"/>
      <c r="I98" s="62"/>
      <c r="J98" s="67"/>
      <c r="K98" s="158">
        <v>923748.45000000007</v>
      </c>
      <c r="L98" s="162">
        <v>4282666.66</v>
      </c>
      <c r="M98" s="163"/>
      <c r="N98" s="69">
        <v>19855977.530000001</v>
      </c>
      <c r="O98" s="64">
        <v>7118152.6999999983</v>
      </c>
      <c r="P98" s="64">
        <v>10432731.61999999</v>
      </c>
      <c r="Q98" s="64"/>
      <c r="R98" s="64">
        <v>4202797.730000006</v>
      </c>
      <c r="S98" s="70">
        <v>33504989.260000005</v>
      </c>
      <c r="T98" s="69"/>
      <c r="U98" s="64"/>
      <c r="V98" s="64"/>
      <c r="W98" s="64"/>
      <c r="X98" s="70">
        <v>88824023.780000031</v>
      </c>
      <c r="Y98" s="148"/>
      <c r="Z98" s="69"/>
      <c r="AA98" s="70"/>
      <c r="AB98" s="69"/>
      <c r="AC98" s="64"/>
      <c r="AD98" s="70"/>
    </row>
    <row r="99" spans="1:30" x14ac:dyDescent="0.25">
      <c r="A99" s="145" t="s">
        <v>229</v>
      </c>
      <c r="B99" s="62" t="s">
        <v>319</v>
      </c>
      <c r="C99" s="62" t="s">
        <v>326</v>
      </c>
      <c r="D99" s="67" t="s">
        <v>327</v>
      </c>
      <c r="E99" s="143" t="s">
        <v>342</v>
      </c>
      <c r="F99" s="63"/>
      <c r="G99" s="63"/>
      <c r="H99" s="62"/>
      <c r="I99" s="62"/>
      <c r="J99" s="67"/>
      <c r="K99" s="158"/>
      <c r="L99" s="162"/>
      <c r="M99" s="163"/>
      <c r="N99" s="69"/>
      <c r="O99" s="64"/>
      <c r="P99" s="64"/>
      <c r="Q99" s="64"/>
      <c r="R99" s="64"/>
      <c r="S99" s="70"/>
      <c r="T99" s="69"/>
      <c r="U99" s="64"/>
      <c r="V99" s="64"/>
      <c r="W99" s="64"/>
      <c r="X99" s="70">
        <v>181352079.10000005</v>
      </c>
      <c r="Y99" s="148"/>
      <c r="Z99" s="69"/>
      <c r="AA99" s="70"/>
      <c r="AB99" s="69"/>
      <c r="AC99" s="64"/>
      <c r="AD99" s="70"/>
    </row>
    <row r="100" spans="1:30" x14ac:dyDescent="0.25">
      <c r="A100" s="145" t="s">
        <v>236</v>
      </c>
      <c r="B100" s="62" t="s">
        <v>319</v>
      </c>
      <c r="C100" s="62" t="s">
        <v>320</v>
      </c>
      <c r="D100" s="67" t="s">
        <v>334</v>
      </c>
      <c r="E100" s="143" t="s">
        <v>342</v>
      </c>
      <c r="F100" s="63">
        <v>1</v>
      </c>
      <c r="G100" s="63"/>
      <c r="H100" s="62"/>
      <c r="I100" s="62"/>
      <c r="J100" s="67"/>
      <c r="K100" s="158"/>
      <c r="L100" s="162"/>
      <c r="M100" s="163"/>
      <c r="N100" s="69"/>
      <c r="O100" s="64"/>
      <c r="P100" s="64"/>
      <c r="Q100" s="64"/>
      <c r="R100" s="64"/>
      <c r="S100" s="70">
        <v>11634677.039999999</v>
      </c>
      <c r="T100" s="69"/>
      <c r="U100" s="64"/>
      <c r="V100" s="64"/>
      <c r="W100" s="64"/>
      <c r="X100" s="70"/>
      <c r="Y100" s="148"/>
      <c r="Z100" s="69"/>
      <c r="AA100" s="70"/>
      <c r="AB100" s="69"/>
      <c r="AC100" s="64"/>
      <c r="AD100" s="70"/>
    </row>
    <row r="101" spans="1:30" x14ac:dyDescent="0.25">
      <c r="A101" s="145" t="s">
        <v>236</v>
      </c>
      <c r="B101" s="62" t="s">
        <v>319</v>
      </c>
      <c r="C101" s="62" t="s">
        <v>326</v>
      </c>
      <c r="D101" s="67" t="s">
        <v>353</v>
      </c>
      <c r="E101" s="143" t="s">
        <v>342</v>
      </c>
      <c r="F101" s="63"/>
      <c r="G101" s="63"/>
      <c r="H101" s="62"/>
      <c r="I101" s="62"/>
      <c r="J101" s="67"/>
      <c r="K101" s="158">
        <v>1620898.13</v>
      </c>
      <c r="L101" s="162"/>
      <c r="M101" s="163"/>
      <c r="N101" s="69">
        <v>124765002.74000025</v>
      </c>
      <c r="O101" s="64">
        <v>19332598.690000039</v>
      </c>
      <c r="P101" s="64">
        <v>3437309.6799999988</v>
      </c>
      <c r="Q101" s="64"/>
      <c r="R101" s="64">
        <v>5265409.5500000129</v>
      </c>
      <c r="S101" s="70">
        <v>202910208.18000001</v>
      </c>
      <c r="T101" s="69"/>
      <c r="U101" s="64"/>
      <c r="V101" s="64"/>
      <c r="W101" s="64"/>
      <c r="X101" s="70">
        <v>1009222.0999999999</v>
      </c>
      <c r="Y101" s="148">
        <v>1117306.8829000001</v>
      </c>
      <c r="Z101" s="69"/>
      <c r="AA101" s="70"/>
      <c r="AB101" s="69"/>
      <c r="AC101" s="64"/>
      <c r="AD101" s="70"/>
    </row>
    <row r="102" spans="1:30" x14ac:dyDescent="0.25">
      <c r="A102" s="145" t="s">
        <v>160</v>
      </c>
      <c r="B102" s="62" t="s">
        <v>319</v>
      </c>
      <c r="C102" s="62" t="s">
        <v>326</v>
      </c>
      <c r="D102" s="67" t="s">
        <v>353</v>
      </c>
      <c r="E102" s="143" t="s">
        <v>342</v>
      </c>
      <c r="F102" s="63"/>
      <c r="G102" s="63"/>
      <c r="H102" s="62"/>
      <c r="I102" s="62"/>
      <c r="J102" s="67"/>
      <c r="K102" s="158"/>
      <c r="L102" s="162"/>
      <c r="M102" s="163"/>
      <c r="N102" s="69">
        <v>11906702.150000004</v>
      </c>
      <c r="O102" s="64"/>
      <c r="P102" s="64"/>
      <c r="Q102" s="64"/>
      <c r="R102" s="64"/>
      <c r="S102" s="70"/>
      <c r="T102" s="69"/>
      <c r="U102" s="64"/>
      <c r="V102" s="64"/>
      <c r="W102" s="64"/>
      <c r="X102" s="70"/>
      <c r="Y102" s="148"/>
      <c r="Z102" s="69"/>
      <c r="AA102" s="70"/>
      <c r="AB102" s="69"/>
      <c r="AC102" s="64"/>
      <c r="AD102" s="70"/>
    </row>
    <row r="103" spans="1:30" x14ac:dyDescent="0.25">
      <c r="A103" s="145" t="s">
        <v>256</v>
      </c>
      <c r="B103" s="62" t="s">
        <v>319</v>
      </c>
      <c r="C103" s="62" t="s">
        <v>326</v>
      </c>
      <c r="D103" s="67" t="s">
        <v>353</v>
      </c>
      <c r="E103" s="143" t="s">
        <v>342</v>
      </c>
      <c r="F103" s="63"/>
      <c r="G103" s="63"/>
      <c r="H103" s="62"/>
      <c r="I103" s="62"/>
      <c r="J103" s="67"/>
      <c r="K103" s="158"/>
      <c r="L103" s="162"/>
      <c r="M103" s="163"/>
      <c r="N103" s="69">
        <v>6405121.8000000017</v>
      </c>
      <c r="O103" s="64"/>
      <c r="P103" s="64"/>
      <c r="Q103" s="64"/>
      <c r="R103" s="64"/>
      <c r="S103" s="70"/>
      <c r="T103" s="69"/>
      <c r="U103" s="64"/>
      <c r="V103" s="64"/>
      <c r="W103" s="64"/>
      <c r="X103" s="70"/>
      <c r="Y103" s="148"/>
      <c r="Z103" s="69"/>
      <c r="AA103" s="70"/>
      <c r="AB103" s="69"/>
      <c r="AC103" s="64"/>
      <c r="AD103" s="70"/>
    </row>
    <row r="104" spans="1:30" x14ac:dyDescent="0.25">
      <c r="A104" s="145" t="s">
        <v>174</v>
      </c>
      <c r="B104" s="62" t="s">
        <v>319</v>
      </c>
      <c r="C104" s="62" t="s">
        <v>326</v>
      </c>
      <c r="D104" s="67" t="s">
        <v>353</v>
      </c>
      <c r="E104" s="143" t="s">
        <v>342</v>
      </c>
      <c r="F104" s="63"/>
      <c r="G104" s="63"/>
      <c r="H104" s="62"/>
      <c r="I104" s="62"/>
      <c r="J104" s="67"/>
      <c r="K104" s="158"/>
      <c r="L104" s="162"/>
      <c r="M104" s="163"/>
      <c r="N104" s="69">
        <v>12810243.600000003</v>
      </c>
      <c r="O104" s="64"/>
      <c r="P104" s="64"/>
      <c r="Q104" s="64"/>
      <c r="R104" s="64"/>
      <c r="S104" s="70"/>
      <c r="T104" s="69"/>
      <c r="U104" s="64"/>
      <c r="V104" s="64"/>
      <c r="W104" s="64"/>
      <c r="X104" s="70"/>
      <c r="Y104" s="148"/>
      <c r="Z104" s="69"/>
      <c r="AA104" s="70"/>
      <c r="AB104" s="69"/>
      <c r="AC104" s="64"/>
      <c r="AD104" s="70"/>
    </row>
    <row r="105" spans="1:30" x14ac:dyDescent="0.25">
      <c r="A105" s="145" t="s">
        <v>346</v>
      </c>
      <c r="B105" s="62" t="s">
        <v>319</v>
      </c>
      <c r="C105" s="62" t="s">
        <v>335</v>
      </c>
      <c r="D105" s="67" t="s">
        <v>356</v>
      </c>
      <c r="E105" s="143" t="s">
        <v>342</v>
      </c>
      <c r="F105" s="63"/>
      <c r="G105" s="63"/>
      <c r="H105" s="62"/>
      <c r="I105" s="62"/>
      <c r="J105" s="67"/>
      <c r="K105" s="158"/>
      <c r="L105" s="162"/>
      <c r="M105" s="163"/>
      <c r="N105" s="69"/>
      <c r="O105" s="64">
        <v>11745833.409999998</v>
      </c>
      <c r="P105" s="64">
        <v>1560380.66</v>
      </c>
      <c r="Q105" s="64"/>
      <c r="R105" s="64">
        <v>2728035.1099999938</v>
      </c>
      <c r="S105" s="70">
        <v>8873219.6499999985</v>
      </c>
      <c r="T105" s="69"/>
      <c r="U105" s="64"/>
      <c r="V105" s="64"/>
      <c r="W105" s="64"/>
      <c r="X105" s="70"/>
      <c r="Y105" s="148"/>
      <c r="Z105" s="69"/>
      <c r="AA105" s="70"/>
      <c r="AB105" s="69"/>
      <c r="AC105" s="64"/>
      <c r="AD105" s="70"/>
    </row>
    <row r="106" spans="1:30" x14ac:dyDescent="0.25">
      <c r="A106" s="145" t="s">
        <v>351</v>
      </c>
      <c r="B106" s="62" t="s">
        <v>319</v>
      </c>
      <c r="C106" s="62" t="s">
        <v>335</v>
      </c>
      <c r="D106" s="67" t="s">
        <v>356</v>
      </c>
      <c r="E106" s="143" t="s">
        <v>342</v>
      </c>
      <c r="F106" s="63"/>
      <c r="G106" s="63"/>
      <c r="H106" s="62"/>
      <c r="I106" s="62"/>
      <c r="J106" s="67"/>
      <c r="K106" s="158"/>
      <c r="L106" s="162"/>
      <c r="M106" s="163"/>
      <c r="N106" s="69"/>
      <c r="O106" s="64">
        <v>6610092.3699999992</v>
      </c>
      <c r="P106" s="64">
        <v>9649401.4800000004</v>
      </c>
      <c r="Q106" s="64"/>
      <c r="R106" s="64">
        <v>4741557.7299999883</v>
      </c>
      <c r="S106" s="70">
        <v>9154084.870000001</v>
      </c>
      <c r="T106" s="69"/>
      <c r="U106" s="64"/>
      <c r="V106" s="64"/>
      <c r="W106" s="64"/>
      <c r="X106" s="70"/>
      <c r="Y106" s="148"/>
      <c r="Z106" s="69"/>
      <c r="AA106" s="70"/>
      <c r="AB106" s="69"/>
      <c r="AC106" s="64"/>
      <c r="AD106" s="70"/>
    </row>
    <row r="107" spans="1:30" x14ac:dyDescent="0.25">
      <c r="A107" s="145" t="s">
        <v>246</v>
      </c>
      <c r="B107" s="62" t="s">
        <v>319</v>
      </c>
      <c r="C107" s="62" t="s">
        <v>320</v>
      </c>
      <c r="D107" s="67" t="s">
        <v>334</v>
      </c>
      <c r="E107" s="143" t="s">
        <v>342</v>
      </c>
      <c r="F107" s="63">
        <v>1</v>
      </c>
      <c r="G107" s="63"/>
      <c r="H107" s="62"/>
      <c r="I107" s="62"/>
      <c r="J107" s="67"/>
      <c r="K107" s="158"/>
      <c r="L107" s="162"/>
      <c r="M107" s="163"/>
      <c r="N107" s="69"/>
      <c r="O107" s="64"/>
      <c r="P107" s="64"/>
      <c r="Q107" s="64"/>
      <c r="R107" s="64"/>
      <c r="S107" s="70"/>
      <c r="T107" s="69"/>
      <c r="U107" s="64"/>
      <c r="V107" s="64"/>
      <c r="W107" s="64"/>
      <c r="X107" s="70">
        <v>89037120.429999992</v>
      </c>
      <c r="Y107" s="148"/>
      <c r="Z107" s="69"/>
      <c r="AA107" s="70"/>
      <c r="AB107" s="69"/>
      <c r="AC107" s="64"/>
      <c r="AD107" s="70"/>
    </row>
    <row r="108" spans="1:30" x14ac:dyDescent="0.25">
      <c r="A108" s="145" t="s">
        <v>246</v>
      </c>
      <c r="B108" s="62" t="s">
        <v>319</v>
      </c>
      <c r="C108" s="62" t="s">
        <v>335</v>
      </c>
      <c r="D108" s="67" t="s">
        <v>356</v>
      </c>
      <c r="E108" s="143" t="s">
        <v>342</v>
      </c>
      <c r="F108" s="63"/>
      <c r="G108" s="63"/>
      <c r="H108" s="62"/>
      <c r="I108" s="62"/>
      <c r="J108" s="67"/>
      <c r="K108" s="158">
        <v>3460921.0400000005</v>
      </c>
      <c r="L108" s="162">
        <v>6853605.1999999909</v>
      </c>
      <c r="M108" s="163"/>
      <c r="N108" s="69">
        <v>24605835.830000002</v>
      </c>
      <c r="O108" s="64">
        <v>18923095.229999993</v>
      </c>
      <c r="P108" s="64">
        <v>23555172.340000007</v>
      </c>
      <c r="Q108" s="64"/>
      <c r="R108" s="64">
        <v>29770692.620000035</v>
      </c>
      <c r="S108" s="70">
        <v>37711936.170000002</v>
      </c>
      <c r="T108" s="69"/>
      <c r="U108" s="64"/>
      <c r="V108" s="64"/>
      <c r="W108" s="64"/>
      <c r="X108" s="70">
        <v>3684688.5000000005</v>
      </c>
      <c r="Y108" s="148"/>
      <c r="Z108" s="69"/>
      <c r="AA108" s="70"/>
      <c r="AB108" s="69"/>
      <c r="AC108" s="64"/>
      <c r="AD108" s="70"/>
    </row>
    <row r="109" spans="1:30" x14ac:dyDescent="0.25">
      <c r="A109" s="145" t="s">
        <v>348</v>
      </c>
      <c r="B109" s="62" t="s">
        <v>319</v>
      </c>
      <c r="C109" s="62" t="s">
        <v>335</v>
      </c>
      <c r="D109" s="67" t="s">
        <v>356</v>
      </c>
      <c r="E109" s="143" t="s">
        <v>342</v>
      </c>
      <c r="F109" s="63"/>
      <c r="G109" s="63"/>
      <c r="H109" s="62"/>
      <c r="I109" s="62"/>
      <c r="J109" s="67"/>
      <c r="K109" s="158"/>
      <c r="L109" s="162"/>
      <c r="M109" s="163"/>
      <c r="N109" s="69"/>
      <c r="O109" s="64">
        <v>3559634.669999999</v>
      </c>
      <c r="P109" s="64">
        <v>854891.04</v>
      </c>
      <c r="Q109" s="64"/>
      <c r="R109" s="64">
        <v>6864800.3600000069</v>
      </c>
      <c r="S109" s="70">
        <v>3422915.2</v>
      </c>
      <c r="T109" s="69"/>
      <c r="U109" s="64"/>
      <c r="V109" s="64"/>
      <c r="W109" s="64"/>
      <c r="X109" s="70"/>
      <c r="Y109" s="148"/>
      <c r="Z109" s="69"/>
      <c r="AA109" s="70"/>
      <c r="AB109" s="69"/>
      <c r="AC109" s="64"/>
      <c r="AD109" s="70"/>
    </row>
    <row r="110" spans="1:30" x14ac:dyDescent="0.25">
      <c r="A110" s="145" t="s">
        <v>337</v>
      </c>
      <c r="B110" s="62" t="s">
        <v>319</v>
      </c>
      <c r="C110" s="62" t="s">
        <v>326</v>
      </c>
      <c r="D110" s="67" t="s">
        <v>353</v>
      </c>
      <c r="E110" s="143" t="s">
        <v>342</v>
      </c>
      <c r="F110" s="63"/>
      <c r="G110" s="63"/>
      <c r="H110" s="62"/>
      <c r="I110" s="62"/>
      <c r="J110" s="67"/>
      <c r="K110" s="158"/>
      <c r="L110" s="162"/>
      <c r="M110" s="163"/>
      <c r="N110" s="69">
        <v>237522.24999999997</v>
      </c>
      <c r="O110" s="64">
        <v>64673.33</v>
      </c>
      <c r="P110" s="64">
        <v>854968.79999999993</v>
      </c>
      <c r="Q110" s="64"/>
      <c r="R110" s="64">
        <v>1559431.2299999995</v>
      </c>
      <c r="S110" s="70"/>
      <c r="T110" s="69"/>
      <c r="U110" s="64"/>
      <c r="V110" s="64"/>
      <c r="W110" s="64"/>
      <c r="X110" s="70"/>
      <c r="Y110" s="148"/>
      <c r="Z110" s="69"/>
      <c r="AA110" s="70"/>
      <c r="AB110" s="69"/>
      <c r="AC110" s="64"/>
      <c r="AD110" s="70"/>
    </row>
    <row r="111" spans="1:30" x14ac:dyDescent="0.25">
      <c r="A111" s="145" t="s">
        <v>253</v>
      </c>
      <c r="B111" s="62"/>
      <c r="C111" s="62"/>
      <c r="D111" s="67" t="s">
        <v>354</v>
      </c>
      <c r="E111" s="143" t="s">
        <v>342</v>
      </c>
      <c r="F111" s="63"/>
      <c r="G111" s="63"/>
      <c r="H111" s="62"/>
      <c r="I111" s="62"/>
      <c r="J111" s="67"/>
      <c r="K111" s="158"/>
      <c r="L111" s="162"/>
      <c r="M111" s="163"/>
      <c r="N111" s="69"/>
      <c r="O111" s="64"/>
      <c r="P111" s="64"/>
      <c r="Q111" s="64"/>
      <c r="R111" s="64"/>
      <c r="S111" s="70"/>
      <c r="T111" s="69"/>
      <c r="U111" s="64"/>
      <c r="V111" s="64"/>
      <c r="W111" s="64"/>
      <c r="X111" s="70">
        <v>1513833.15</v>
      </c>
      <c r="Y111" s="148"/>
      <c r="Z111" s="69"/>
      <c r="AA111" s="70"/>
      <c r="AB111" s="69"/>
      <c r="AC111" s="64"/>
      <c r="AD111" s="70"/>
    </row>
    <row r="112" spans="1:30" x14ac:dyDescent="0.25">
      <c r="A112" s="145" t="s">
        <v>208</v>
      </c>
      <c r="B112" s="62" t="s">
        <v>319</v>
      </c>
      <c r="C112" s="62" t="s">
        <v>326</v>
      </c>
      <c r="D112" s="67" t="s">
        <v>353</v>
      </c>
      <c r="E112" s="143" t="s">
        <v>342</v>
      </c>
      <c r="F112" s="63">
        <v>1</v>
      </c>
      <c r="G112" s="63"/>
      <c r="H112" s="62"/>
      <c r="I112" s="62"/>
      <c r="J112" s="67"/>
      <c r="K112" s="158">
        <v>3727231.7300000004</v>
      </c>
      <c r="L112" s="162"/>
      <c r="M112" s="163"/>
      <c r="N112" s="69">
        <v>10856478.960000003</v>
      </c>
      <c r="O112" s="64">
        <v>1016935.2700000001</v>
      </c>
      <c r="P112" s="64">
        <v>22433538.530000016</v>
      </c>
      <c r="Q112" s="64"/>
      <c r="R112" s="64">
        <v>14975817.280000024</v>
      </c>
      <c r="S112" s="70">
        <v>12096568.710000001</v>
      </c>
      <c r="T112" s="69"/>
      <c r="U112" s="64"/>
      <c r="V112" s="64"/>
      <c r="W112" s="64"/>
      <c r="X112" s="70">
        <v>242485214.68999997</v>
      </c>
      <c r="Y112" s="148"/>
      <c r="Z112" s="69"/>
      <c r="AA112" s="70"/>
      <c r="AB112" s="69"/>
      <c r="AC112" s="64"/>
      <c r="AD112" s="70"/>
    </row>
    <row r="113" spans="1:30" x14ac:dyDescent="0.25">
      <c r="A113" s="145" t="s">
        <v>203</v>
      </c>
      <c r="B113" s="62" t="s">
        <v>319</v>
      </c>
      <c r="C113" s="62" t="s">
        <v>326</v>
      </c>
      <c r="D113" s="67" t="s">
        <v>353</v>
      </c>
      <c r="E113" s="143" t="s">
        <v>342</v>
      </c>
      <c r="F113" s="63"/>
      <c r="G113" s="63"/>
      <c r="H113" s="62"/>
      <c r="I113" s="62"/>
      <c r="J113" s="67"/>
      <c r="K113" s="158">
        <v>1669261.73</v>
      </c>
      <c r="L113" s="162"/>
      <c r="M113" s="163"/>
      <c r="N113" s="69">
        <v>1934370.9699999997</v>
      </c>
      <c r="O113" s="64">
        <v>1670485.4199999997</v>
      </c>
      <c r="P113" s="64">
        <v>19130825.150000002</v>
      </c>
      <c r="Q113" s="64"/>
      <c r="R113" s="64">
        <v>7788521.54</v>
      </c>
      <c r="S113" s="70">
        <v>13324328.860000001</v>
      </c>
      <c r="T113" s="69"/>
      <c r="U113" s="64"/>
      <c r="V113" s="64"/>
      <c r="W113" s="64"/>
      <c r="X113" s="70">
        <v>10828622.960000001</v>
      </c>
      <c r="Y113" s="148">
        <v>2678030.1171000004</v>
      </c>
      <c r="Z113" s="69"/>
      <c r="AA113" s="70"/>
      <c r="AB113" s="69"/>
      <c r="AC113" s="64"/>
      <c r="AD113" s="70"/>
    </row>
    <row r="114" spans="1:30" x14ac:dyDescent="0.25">
      <c r="A114" s="145" t="s">
        <v>259</v>
      </c>
      <c r="B114" s="62" t="s">
        <v>319</v>
      </c>
      <c r="C114" s="62" t="s">
        <v>320</v>
      </c>
      <c r="D114" s="67" t="s">
        <v>334</v>
      </c>
      <c r="E114" s="143" t="s">
        <v>342</v>
      </c>
      <c r="F114" s="63"/>
      <c r="G114" s="63"/>
      <c r="H114" s="62"/>
      <c r="I114" s="62"/>
      <c r="J114" s="67"/>
      <c r="K114" s="158"/>
      <c r="L114" s="162"/>
      <c r="M114" s="163"/>
      <c r="N114" s="69"/>
      <c r="O114" s="64"/>
      <c r="P114" s="64"/>
      <c r="Q114" s="64"/>
      <c r="R114" s="64"/>
      <c r="S114" s="70">
        <v>899894.52</v>
      </c>
      <c r="T114" s="69"/>
      <c r="U114" s="64"/>
      <c r="V114" s="64"/>
      <c r="W114" s="64"/>
      <c r="X114" s="70">
        <v>7703483.3799999999</v>
      </c>
      <c r="Y114" s="148"/>
      <c r="Z114" s="69"/>
      <c r="AA114" s="70"/>
      <c r="AB114" s="69"/>
      <c r="AC114" s="64"/>
      <c r="AD114" s="70"/>
    </row>
    <row r="115" spans="1:30" x14ac:dyDescent="0.25">
      <c r="A115" s="145" t="s">
        <v>357</v>
      </c>
      <c r="B115" s="62" t="s">
        <v>319</v>
      </c>
      <c r="C115" s="62" t="s">
        <v>320</v>
      </c>
      <c r="D115" s="67" t="s">
        <v>334</v>
      </c>
      <c r="E115" s="143" t="s">
        <v>342</v>
      </c>
      <c r="F115" s="63"/>
      <c r="G115" s="63"/>
      <c r="H115" s="62"/>
      <c r="I115" s="62"/>
      <c r="J115" s="67"/>
      <c r="K115" s="158"/>
      <c r="L115" s="162"/>
      <c r="M115" s="163"/>
      <c r="N115" s="69"/>
      <c r="O115" s="64"/>
      <c r="P115" s="64"/>
      <c r="Q115" s="64"/>
      <c r="R115" s="64"/>
      <c r="S115" s="70">
        <v>3774807.22</v>
      </c>
      <c r="T115" s="69"/>
      <c r="U115" s="64"/>
      <c r="V115" s="64"/>
      <c r="W115" s="64"/>
      <c r="X115" s="70"/>
      <c r="Y115" s="148"/>
      <c r="Z115" s="69"/>
      <c r="AA115" s="70"/>
      <c r="AB115" s="69"/>
      <c r="AC115" s="64"/>
      <c r="AD115" s="70"/>
    </row>
    <row r="116" spans="1:30" x14ac:dyDescent="0.25">
      <c r="A116" s="145" t="s">
        <v>241</v>
      </c>
      <c r="B116" s="62"/>
      <c r="C116" s="62"/>
      <c r="D116" s="67" t="s">
        <v>354</v>
      </c>
      <c r="E116" s="143" t="s">
        <v>342</v>
      </c>
      <c r="F116" s="63"/>
      <c r="G116" s="63"/>
      <c r="H116" s="62"/>
      <c r="I116" s="62"/>
      <c r="J116" s="67"/>
      <c r="K116" s="158"/>
      <c r="L116" s="162"/>
      <c r="M116" s="163"/>
      <c r="N116" s="69"/>
      <c r="O116" s="64"/>
      <c r="P116" s="64"/>
      <c r="Q116" s="64"/>
      <c r="R116" s="64"/>
      <c r="S116" s="70"/>
      <c r="T116" s="69"/>
      <c r="U116" s="64"/>
      <c r="V116" s="64"/>
      <c r="W116" s="64"/>
      <c r="X116" s="70">
        <v>1761030.0499999998</v>
      </c>
      <c r="Y116" s="148"/>
      <c r="Z116" s="69"/>
      <c r="AA116" s="70"/>
      <c r="AB116" s="69"/>
      <c r="AC116" s="64"/>
      <c r="AD116" s="70"/>
    </row>
    <row r="117" spans="1:30" x14ac:dyDescent="0.25">
      <c r="A117" s="145" t="s">
        <v>249</v>
      </c>
      <c r="B117" s="62"/>
      <c r="C117" s="62"/>
      <c r="D117" s="67" t="s">
        <v>358</v>
      </c>
      <c r="E117" s="143" t="s">
        <v>342</v>
      </c>
      <c r="F117" s="63"/>
      <c r="G117" s="63"/>
      <c r="H117" s="62"/>
      <c r="I117" s="62"/>
      <c r="J117" s="67"/>
      <c r="K117" s="158"/>
      <c r="L117" s="162"/>
      <c r="M117" s="163"/>
      <c r="N117" s="69"/>
      <c r="O117" s="64"/>
      <c r="P117" s="64"/>
      <c r="Q117" s="64"/>
      <c r="R117" s="64"/>
      <c r="S117" s="70"/>
      <c r="T117" s="69"/>
      <c r="U117" s="64"/>
      <c r="V117" s="64"/>
      <c r="W117" s="64"/>
      <c r="X117" s="70">
        <v>1871080</v>
      </c>
      <c r="Y117" s="148"/>
      <c r="Z117" s="69"/>
      <c r="AA117" s="70"/>
      <c r="AB117" s="69"/>
      <c r="AC117" s="64"/>
      <c r="AD117" s="70"/>
    </row>
    <row r="118" spans="1:30" x14ac:dyDescent="0.25">
      <c r="A118" s="145" t="s">
        <v>215</v>
      </c>
      <c r="B118" s="62"/>
      <c r="C118" s="62"/>
      <c r="D118" s="67" t="s">
        <v>359</v>
      </c>
      <c r="E118" s="143" t="s">
        <v>342</v>
      </c>
      <c r="F118" s="63"/>
      <c r="G118" s="63"/>
      <c r="H118" s="62"/>
      <c r="I118" s="62"/>
      <c r="J118" s="67"/>
      <c r="K118" s="158"/>
      <c r="L118" s="162"/>
      <c r="M118" s="163"/>
      <c r="N118" s="69"/>
      <c r="O118" s="64"/>
      <c r="P118" s="64"/>
      <c r="Q118" s="64"/>
      <c r="R118" s="64"/>
      <c r="S118" s="70"/>
      <c r="T118" s="69"/>
      <c r="U118" s="64"/>
      <c r="V118" s="64"/>
      <c r="W118" s="64"/>
      <c r="X118" s="70">
        <v>1402526.35</v>
      </c>
      <c r="Y118" s="148"/>
      <c r="Z118" s="69"/>
      <c r="AA118" s="70"/>
      <c r="AB118" s="69"/>
      <c r="AC118" s="64"/>
      <c r="AD118" s="70"/>
    </row>
    <row r="120" spans="1:30" x14ac:dyDescent="0.25">
      <c r="S120" s="164"/>
    </row>
    <row r="121" spans="1:30" x14ac:dyDescent="0.25">
      <c r="S121" s="164"/>
    </row>
    <row r="122" spans="1:30" x14ac:dyDescent="0.25">
      <c r="S122" s="164"/>
    </row>
  </sheetData>
  <mergeCells count="5">
    <mergeCell ref="I1:S1"/>
    <mergeCell ref="T1:AD1"/>
    <mergeCell ref="I2:J2"/>
    <mergeCell ref="T2:AA2"/>
    <mergeCell ref="AB2:AD2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78800-1EE8-4823-9747-33876C8399FB}">
  <sheetPr>
    <tabColor theme="9" tint="0.79998168889431442"/>
  </sheetPr>
  <dimension ref="A1:AH261"/>
  <sheetViews>
    <sheetView zoomScale="70" zoomScaleNormal="70" workbookViewId="0">
      <pane xSplit="6" ySplit="3" topLeftCell="I48" activePane="bottomRight" state="frozen"/>
      <selection pane="topRight" activeCell="G1" sqref="G1"/>
      <selection pane="bottomLeft" activeCell="A4" sqref="A4"/>
      <selection pane="bottomRight" activeCell="E57" sqref="E57"/>
    </sheetView>
  </sheetViews>
  <sheetFormatPr defaultColWidth="8.7109375" defaultRowHeight="15" x14ac:dyDescent="0.25"/>
  <cols>
    <col min="1" max="1" width="8.7109375" style="281"/>
    <col min="2" max="2" width="23.140625" style="281" customWidth="1"/>
    <col min="3" max="3" width="12.85546875" style="281" customWidth="1"/>
    <col min="4" max="4" width="35.5703125" style="281" bestFit="1" customWidth="1"/>
    <col min="5" max="5" width="43.140625" style="281" bestFit="1" customWidth="1"/>
    <col min="6" max="6" width="31.7109375" style="281" bestFit="1" customWidth="1"/>
    <col min="7" max="8" width="11.28515625" style="281" customWidth="1"/>
    <col min="9" max="9" width="37.140625" style="281" customWidth="1"/>
    <col min="10" max="10" width="32.5703125" style="305" customWidth="1"/>
    <col min="11" max="11" width="14" style="224" customWidth="1"/>
    <col min="12" max="12" width="16.140625" style="224" customWidth="1"/>
    <col min="13" max="14" width="11.28515625" style="224" customWidth="1"/>
    <col min="15" max="15" width="18.5703125" style="224" customWidth="1"/>
    <col min="16" max="16" width="11.28515625" style="224" customWidth="1"/>
    <col min="17" max="17" width="15.42578125" style="224" customWidth="1"/>
    <col min="18" max="20" width="11.28515625" style="224" customWidth="1"/>
    <col min="21" max="21" width="15.85546875" style="315" customWidth="1"/>
    <col min="22" max="22" width="14.140625" style="315" customWidth="1"/>
    <col min="23" max="23" width="14.85546875" style="315" customWidth="1"/>
    <col min="24" max="24" width="13.5703125" style="315" customWidth="1"/>
    <col min="25" max="25" width="16.85546875" style="224" customWidth="1"/>
    <col min="26" max="26" width="14.42578125" style="315" customWidth="1"/>
    <col min="27" max="27" width="15.5703125" style="315" customWidth="1"/>
    <col min="28" max="28" width="16.85546875" style="315" customWidth="1"/>
    <col min="29" max="29" width="18.28515625" style="281" bestFit="1" customWidth="1"/>
    <col min="30" max="30" width="14.140625" style="281" customWidth="1"/>
    <col min="31" max="33" width="8.7109375" style="281"/>
    <col min="34" max="34" width="10.5703125" style="281" bestFit="1" customWidth="1"/>
    <col min="35" max="16384" width="8.7109375" style="281"/>
  </cols>
  <sheetData>
    <row r="1" spans="1:34" ht="15.75" thickBot="1" x14ac:dyDescent="0.3">
      <c r="B1" s="282"/>
      <c r="C1" s="283"/>
      <c r="D1"/>
      <c r="E1" s="283"/>
      <c r="F1" s="283"/>
      <c r="G1" s="284"/>
      <c r="H1" s="284"/>
      <c r="I1" s="285"/>
      <c r="J1" s="382" t="s">
        <v>1</v>
      </c>
      <c r="K1" s="383"/>
      <c r="L1" s="383"/>
      <c r="M1" s="383"/>
      <c r="N1" s="383"/>
      <c r="O1" s="383"/>
      <c r="P1" s="383"/>
      <c r="Q1" s="383"/>
      <c r="R1" s="383"/>
      <c r="S1" s="383"/>
      <c r="T1" s="384"/>
      <c r="U1" s="382" t="s">
        <v>2</v>
      </c>
      <c r="V1" s="383"/>
      <c r="W1" s="383"/>
      <c r="X1" s="383"/>
      <c r="Y1" s="383"/>
      <c r="Z1" s="383"/>
      <c r="AA1" s="383"/>
      <c r="AB1" s="383"/>
      <c r="AC1" s="389"/>
      <c r="AD1" s="389"/>
      <c r="AE1" s="390"/>
      <c r="AH1" s="354" t="s">
        <v>360</v>
      </c>
    </row>
    <row r="2" spans="1:34" ht="54.6" customHeight="1" thickBot="1" x14ac:dyDescent="0.3">
      <c r="B2" s="286"/>
      <c r="C2" s="286"/>
      <c r="D2" s="286"/>
      <c r="E2" s="286"/>
      <c r="F2" s="286"/>
      <c r="G2" s="287"/>
      <c r="H2" s="287"/>
      <c r="I2" s="287"/>
      <c r="J2" s="391" t="s">
        <v>3</v>
      </c>
      <c r="K2" s="392"/>
      <c r="L2" s="318" t="s">
        <v>4</v>
      </c>
      <c r="M2" s="319" t="s">
        <v>4</v>
      </c>
      <c r="N2" s="320" t="s">
        <v>4</v>
      </c>
      <c r="O2" s="319" t="s">
        <v>5</v>
      </c>
      <c r="P2" s="319" t="s">
        <v>5</v>
      </c>
      <c r="Q2" s="319" t="s">
        <v>5</v>
      </c>
      <c r="R2" s="319" t="s">
        <v>5</v>
      </c>
      <c r="S2" s="319" t="s">
        <v>5</v>
      </c>
      <c r="T2" s="320" t="s">
        <v>5</v>
      </c>
      <c r="U2" s="391" t="s">
        <v>6</v>
      </c>
      <c r="V2" s="393"/>
      <c r="W2" s="393"/>
      <c r="X2" s="393"/>
      <c r="Y2" s="393"/>
      <c r="Z2" s="393"/>
      <c r="AA2" s="393"/>
      <c r="AB2" s="394"/>
      <c r="AC2" s="395" t="s">
        <v>7</v>
      </c>
      <c r="AD2" s="396"/>
      <c r="AE2" s="397"/>
    </row>
    <row r="3" spans="1:34" ht="60.75" thickBot="1" x14ac:dyDescent="0.3">
      <c r="B3" s="288" t="s">
        <v>8</v>
      </c>
      <c r="C3" s="289" t="s">
        <v>9</v>
      </c>
      <c r="D3" s="289" t="s">
        <v>10</v>
      </c>
      <c r="E3" s="290" t="s">
        <v>11</v>
      </c>
      <c r="F3" s="288" t="s">
        <v>12</v>
      </c>
      <c r="G3" s="291" t="s">
        <v>13</v>
      </c>
      <c r="H3" s="292" t="s">
        <v>14</v>
      </c>
      <c r="I3" s="292" t="s">
        <v>15</v>
      </c>
      <c r="J3" s="321" t="s">
        <v>16</v>
      </c>
      <c r="K3" s="322" t="s">
        <v>17</v>
      </c>
      <c r="L3" s="323" t="s">
        <v>18</v>
      </c>
      <c r="M3" s="324" t="s">
        <v>19</v>
      </c>
      <c r="N3" s="325" t="s">
        <v>20</v>
      </c>
      <c r="O3" s="324" t="s">
        <v>21</v>
      </c>
      <c r="P3" s="324" t="s">
        <v>22</v>
      </c>
      <c r="Q3" s="324" t="s">
        <v>23</v>
      </c>
      <c r="R3" s="324" t="s">
        <v>24</v>
      </c>
      <c r="S3" s="324" t="s">
        <v>25</v>
      </c>
      <c r="T3" s="325" t="s">
        <v>26</v>
      </c>
      <c r="U3" s="323" t="s">
        <v>27</v>
      </c>
      <c r="V3" s="324" t="s">
        <v>28</v>
      </c>
      <c r="W3" s="324" t="s">
        <v>29</v>
      </c>
      <c r="X3" s="324" t="s">
        <v>30</v>
      </c>
      <c r="Y3" s="324" t="s">
        <v>31</v>
      </c>
      <c r="Z3" s="323" t="s">
        <v>32</v>
      </c>
      <c r="AA3" s="338" t="s">
        <v>33</v>
      </c>
      <c r="AB3" s="339" t="s">
        <v>34</v>
      </c>
      <c r="AC3" s="293" t="s">
        <v>27</v>
      </c>
      <c r="AD3" s="295" t="s">
        <v>28</v>
      </c>
      <c r="AE3" s="294" t="s">
        <v>35</v>
      </c>
      <c r="AF3" s="296" t="s">
        <v>361</v>
      </c>
      <c r="AH3" s="355" t="s">
        <v>362</v>
      </c>
    </row>
    <row r="4" spans="1:34" ht="14.45" customHeight="1" x14ac:dyDescent="0.25">
      <c r="A4" s="281" t="str">
        <f t="shared" ref="A4:A67" si="0">B4&amp;D4&amp;E4</f>
        <v>ВладимирскаяDDM MOS Sladkaay ZhiznTSL MOS N.Novgorod</v>
      </c>
      <c r="B4" s="297" t="s">
        <v>253</v>
      </c>
      <c r="C4" s="298" t="s">
        <v>363</v>
      </c>
      <c r="D4" s="298" t="s">
        <v>364</v>
      </c>
      <c r="E4" s="299" t="s">
        <v>354</v>
      </c>
      <c r="F4" s="300" t="s">
        <v>365</v>
      </c>
      <c r="G4" s="301">
        <v>1</v>
      </c>
      <c r="H4" s="301"/>
      <c r="I4" s="301"/>
      <c r="J4" s="326"/>
      <c r="K4" s="356"/>
      <c r="L4" s="356">
        <v>0</v>
      </c>
      <c r="M4" s="356">
        <v>0</v>
      </c>
      <c r="N4" s="356">
        <v>0</v>
      </c>
      <c r="P4" s="356">
        <v>10571962.099999998</v>
      </c>
      <c r="Q4" s="356">
        <v>48724054.519999996</v>
      </c>
      <c r="R4" s="356">
        <v>0</v>
      </c>
      <c r="S4" s="356">
        <v>22322163.200000044</v>
      </c>
      <c r="T4" s="356">
        <v>13587784.859999998</v>
      </c>
      <c r="U4" s="281"/>
      <c r="V4" s="281"/>
      <c r="W4" s="281"/>
      <c r="X4" s="281"/>
      <c r="Y4" s="356">
        <v>21794935.420000013</v>
      </c>
      <c r="Z4" s="281"/>
      <c r="AA4" s="281"/>
      <c r="AB4" s="281"/>
      <c r="AF4" s="347" t="s">
        <v>366</v>
      </c>
    </row>
    <row r="5" spans="1:34" ht="14.45" customHeight="1" x14ac:dyDescent="0.25">
      <c r="A5" s="281" t="str">
        <f t="shared" si="0"/>
        <v>ВладимирскаяDDM MOS Sladkaay ZhiznTSL MOS N.Novgorod</v>
      </c>
      <c r="B5" s="297" t="s">
        <v>253</v>
      </c>
      <c r="C5" s="298" t="s">
        <v>363</v>
      </c>
      <c r="D5" s="298" t="s">
        <v>364</v>
      </c>
      <c r="E5" s="299" t="s">
        <v>354</v>
      </c>
      <c r="F5" s="300" t="s">
        <v>367</v>
      </c>
      <c r="G5" s="301"/>
      <c r="H5" s="301"/>
      <c r="I5" s="301"/>
      <c r="J5" s="326"/>
      <c r="K5" s="356"/>
      <c r="L5" s="356">
        <v>0</v>
      </c>
      <c r="M5" s="356">
        <v>0</v>
      </c>
      <c r="N5" s="356">
        <v>0</v>
      </c>
      <c r="O5" s="356">
        <v>0</v>
      </c>
      <c r="P5" s="356">
        <v>0</v>
      </c>
      <c r="Q5" s="356">
        <v>48837.25</v>
      </c>
      <c r="R5" s="356">
        <v>0</v>
      </c>
      <c r="S5" s="356">
        <v>1197.23</v>
      </c>
      <c r="T5" s="356">
        <v>0</v>
      </c>
      <c r="U5" s="281"/>
      <c r="V5" s="281"/>
      <c r="W5" s="281"/>
      <c r="X5" s="281"/>
      <c r="Y5" s="346">
        <v>34922534.530000046</v>
      </c>
      <c r="Z5" s="281"/>
      <c r="AA5" s="281"/>
      <c r="AB5" s="281"/>
      <c r="AF5" s="347" t="s">
        <v>366</v>
      </c>
    </row>
    <row r="6" spans="1:34" ht="14.45" customHeight="1" x14ac:dyDescent="0.25">
      <c r="A6" s="281" t="str">
        <f t="shared" si="0"/>
        <v>ВладимирскаяASM MOS Food Trade+SorsoTSL MOS SPT Moscow Play Sorso</v>
      </c>
      <c r="B6" s="297" t="s">
        <v>253</v>
      </c>
      <c r="C6" s="298" t="s">
        <v>363</v>
      </c>
      <c r="D6" s="298" t="s">
        <v>368</v>
      </c>
      <c r="E6" s="281" t="s">
        <v>359</v>
      </c>
      <c r="F6" s="300" t="s">
        <v>369</v>
      </c>
      <c r="G6" s="301"/>
      <c r="H6" s="301"/>
      <c r="I6" s="301"/>
      <c r="J6" s="302"/>
      <c r="K6" s="301"/>
      <c r="L6" s="302">
        <v>0</v>
      </c>
      <c r="M6" s="302">
        <v>0</v>
      </c>
      <c r="N6" s="302">
        <v>0</v>
      </c>
      <c r="O6" s="302">
        <v>0</v>
      </c>
      <c r="P6" s="302">
        <v>0</v>
      </c>
      <c r="Q6" s="302">
        <v>1201332.8999999999</v>
      </c>
      <c r="R6" s="302">
        <v>0</v>
      </c>
      <c r="S6" s="302">
        <v>0</v>
      </c>
      <c r="T6" s="302">
        <v>0</v>
      </c>
      <c r="U6" s="281"/>
      <c r="V6" s="281"/>
      <c r="W6" s="281"/>
      <c r="X6" s="281"/>
      <c r="Y6" s="305"/>
      <c r="Z6" s="281"/>
      <c r="AA6" s="281"/>
      <c r="AB6" s="281"/>
    </row>
    <row r="7" spans="1:34" ht="14.45" customHeight="1" x14ac:dyDescent="0.25">
      <c r="A7" s="281" t="str">
        <f t="shared" si="0"/>
        <v>ВладимирскаяDDM MOS Sladkaay ZhiznTSL MOS N.Novgorod</v>
      </c>
      <c r="B7" s="297" t="s">
        <v>253</v>
      </c>
      <c r="C7" s="298" t="s">
        <v>363</v>
      </c>
      <c r="D7" s="298" t="s">
        <v>364</v>
      </c>
      <c r="E7" s="299" t="s">
        <v>354</v>
      </c>
      <c r="F7" s="300" t="s">
        <v>365</v>
      </c>
      <c r="G7" s="301"/>
      <c r="H7" s="301"/>
      <c r="I7" s="301"/>
      <c r="J7" s="326"/>
      <c r="K7" s="356"/>
      <c r="L7" s="356">
        <v>0</v>
      </c>
      <c r="M7" s="356">
        <v>0</v>
      </c>
      <c r="N7" s="356">
        <v>0</v>
      </c>
      <c r="O7" s="356">
        <v>0</v>
      </c>
      <c r="P7" s="356">
        <v>0</v>
      </c>
      <c r="Q7" s="356">
        <v>0</v>
      </c>
      <c r="R7" s="356">
        <v>0</v>
      </c>
      <c r="S7" s="356">
        <v>16388.569999999996</v>
      </c>
      <c r="T7" s="356">
        <v>0</v>
      </c>
      <c r="U7" s="281"/>
      <c r="V7" s="281"/>
      <c r="W7" s="281"/>
      <c r="X7" s="281"/>
      <c r="Y7" s="305"/>
      <c r="Z7" s="281"/>
      <c r="AA7" s="281"/>
      <c r="AB7" s="281"/>
    </row>
    <row r="8" spans="1:34" ht="14.45" customHeight="1" x14ac:dyDescent="0.25">
      <c r="A8" s="281" t="str">
        <f t="shared" si="0"/>
        <v>ВладимирскаяDDM MOS Sladkaay ZhiznTSL MOS Cheboksary</v>
      </c>
      <c r="B8" s="297" t="s">
        <v>253</v>
      </c>
      <c r="C8" s="298" t="s">
        <v>363</v>
      </c>
      <c r="D8" s="298" t="s">
        <v>364</v>
      </c>
      <c r="E8" s="299" t="s">
        <v>370</v>
      </c>
      <c r="F8" s="300" t="s">
        <v>365</v>
      </c>
      <c r="G8" s="301"/>
      <c r="H8" s="301"/>
      <c r="I8" s="301"/>
      <c r="J8" s="302"/>
      <c r="K8" s="301"/>
      <c r="L8" s="356">
        <v>0</v>
      </c>
      <c r="M8" s="356">
        <v>0</v>
      </c>
      <c r="N8" s="356">
        <v>0</v>
      </c>
      <c r="O8" s="356">
        <v>0</v>
      </c>
      <c r="P8" s="356">
        <v>0</v>
      </c>
      <c r="Q8" s="356">
        <v>0</v>
      </c>
      <c r="R8" s="356">
        <v>0</v>
      </c>
      <c r="S8" s="356">
        <v>16388.569999999996</v>
      </c>
      <c r="T8" s="356">
        <v>0</v>
      </c>
      <c r="U8" s="281"/>
      <c r="V8" s="281"/>
      <c r="W8" s="281"/>
      <c r="X8" s="281"/>
      <c r="Y8" s="305"/>
      <c r="Z8" s="281"/>
      <c r="AA8" s="281"/>
      <c r="AB8" s="281"/>
    </row>
    <row r="9" spans="1:34" ht="14.45" customHeight="1" x14ac:dyDescent="0.25">
      <c r="A9" s="281" t="str">
        <f t="shared" si="0"/>
        <v>КалужскаяASM MOS Food Trade+SorsoTSL MOS SPT Moscow Play Sorso</v>
      </c>
      <c r="B9" s="297" t="s">
        <v>215</v>
      </c>
      <c r="C9" s="298" t="s">
        <v>363</v>
      </c>
      <c r="D9" s="298" t="s">
        <v>368</v>
      </c>
      <c r="E9" s="281" t="s">
        <v>359</v>
      </c>
      <c r="F9" s="300" t="s">
        <v>369</v>
      </c>
      <c r="G9" s="301"/>
      <c r="H9" s="301"/>
      <c r="I9" s="301"/>
      <c r="J9" s="302"/>
      <c r="K9" s="301"/>
      <c r="L9" s="302">
        <v>0</v>
      </c>
      <c r="M9" s="302">
        <v>0</v>
      </c>
      <c r="N9" s="302">
        <v>0</v>
      </c>
      <c r="O9" s="302">
        <v>0</v>
      </c>
      <c r="P9" s="302">
        <v>0</v>
      </c>
      <c r="Q9" s="302">
        <v>167213.97</v>
      </c>
      <c r="R9" s="302">
        <v>0</v>
      </c>
      <c r="S9" s="302">
        <v>0</v>
      </c>
      <c r="T9" s="302">
        <v>0</v>
      </c>
      <c r="U9" s="281"/>
      <c r="V9" s="281"/>
      <c r="W9" s="281"/>
      <c r="X9" s="281"/>
      <c r="Y9" s="305"/>
      <c r="Z9" s="281"/>
      <c r="AA9" s="281"/>
      <c r="AB9" s="281"/>
    </row>
    <row r="10" spans="1:34" ht="14.45" customHeight="1" x14ac:dyDescent="0.25">
      <c r="A10" s="281" t="str">
        <f t="shared" si="0"/>
        <v>КалужскаяASM MOS Food Trade+SorsoTSL MOS SPT Moscow Play Sorso</v>
      </c>
      <c r="B10" s="297" t="s">
        <v>215</v>
      </c>
      <c r="C10" s="298" t="s">
        <v>363</v>
      </c>
      <c r="D10" s="298" t="s">
        <v>368</v>
      </c>
      <c r="E10" s="281" t="s">
        <v>359</v>
      </c>
      <c r="F10" s="300" t="s">
        <v>369</v>
      </c>
      <c r="G10" s="301"/>
      <c r="H10" s="301"/>
      <c r="I10" s="301"/>
      <c r="J10" s="302"/>
      <c r="K10" s="301"/>
      <c r="L10" s="302">
        <v>0</v>
      </c>
      <c r="M10" s="302">
        <v>0</v>
      </c>
      <c r="N10" s="302">
        <v>0</v>
      </c>
      <c r="O10" s="302">
        <v>0</v>
      </c>
      <c r="P10" s="302">
        <v>0</v>
      </c>
      <c r="Q10" s="302">
        <v>4921.2</v>
      </c>
      <c r="R10" s="302">
        <v>0</v>
      </c>
      <c r="S10" s="302">
        <v>0</v>
      </c>
      <c r="T10" s="302">
        <v>0</v>
      </c>
      <c r="U10" s="281"/>
      <c r="V10" s="281"/>
      <c r="W10" s="281"/>
      <c r="X10" s="281"/>
      <c r="Y10" s="305"/>
      <c r="Z10" s="281"/>
      <c r="AA10" s="281"/>
      <c r="AB10" s="281"/>
    </row>
    <row r="11" spans="1:34" ht="14.45" customHeight="1" x14ac:dyDescent="0.25">
      <c r="A11" s="281" t="str">
        <f t="shared" si="0"/>
        <v>КалужскаяDDM MOS Sladkaay ZhiznTSL MOS  Moscow 2 Sladkaya Zhizn</v>
      </c>
      <c r="B11" s="297" t="s">
        <v>215</v>
      </c>
      <c r="C11" s="298" t="s">
        <v>363</v>
      </c>
      <c r="D11" s="298" t="s">
        <v>364</v>
      </c>
      <c r="E11" s="299" t="s">
        <v>371</v>
      </c>
      <c r="F11" s="300" t="s">
        <v>365</v>
      </c>
      <c r="G11" s="301"/>
      <c r="H11" s="301"/>
      <c r="I11" s="301"/>
      <c r="J11" s="302"/>
      <c r="K11" s="301"/>
      <c r="L11" s="301">
        <v>0</v>
      </c>
      <c r="M11" s="301">
        <v>0</v>
      </c>
      <c r="N11" s="301">
        <v>0</v>
      </c>
      <c r="O11" s="356">
        <v>0</v>
      </c>
      <c r="P11" s="301">
        <v>0</v>
      </c>
      <c r="Q11" s="301">
        <v>0</v>
      </c>
      <c r="R11" s="301">
        <v>0</v>
      </c>
      <c r="S11" s="301">
        <v>74443.789999999994</v>
      </c>
      <c r="T11" s="301">
        <v>0</v>
      </c>
      <c r="U11" s="281"/>
      <c r="V11" s="281"/>
      <c r="W11" s="281"/>
      <c r="X11" s="281"/>
      <c r="Y11" s="306"/>
      <c r="Z11" s="281"/>
      <c r="AA11" s="281"/>
      <c r="AB11" s="281"/>
      <c r="AF11" s="304" t="s">
        <v>372</v>
      </c>
    </row>
    <row r="12" spans="1:34" ht="14.45" customHeight="1" x14ac:dyDescent="0.25">
      <c r="A12" s="281" t="str">
        <f t="shared" si="0"/>
        <v>КалужскаяDDM MOS Sladkaay ZhiznTSL MOS  Moscow 2 Sladkaya Zhizn</v>
      </c>
      <c r="B12" s="297" t="s">
        <v>215</v>
      </c>
      <c r="C12" s="298" t="s">
        <v>363</v>
      </c>
      <c r="D12" s="298" t="s">
        <v>364</v>
      </c>
      <c r="E12" s="299" t="s">
        <v>371</v>
      </c>
      <c r="F12" s="300" t="s">
        <v>367</v>
      </c>
      <c r="G12" s="301"/>
      <c r="H12" s="301"/>
      <c r="I12" s="301"/>
      <c r="J12" s="302"/>
      <c r="K12" s="301"/>
      <c r="L12" s="301">
        <v>0</v>
      </c>
      <c r="M12" s="301">
        <v>0</v>
      </c>
      <c r="N12" s="301">
        <v>0</v>
      </c>
      <c r="O12" s="356">
        <v>0</v>
      </c>
      <c r="P12" s="301">
        <v>4441060.0200000014</v>
      </c>
      <c r="Q12" s="301">
        <v>37076803.579999991</v>
      </c>
      <c r="R12" s="301">
        <v>0</v>
      </c>
      <c r="S12" s="301">
        <v>7022776.2000000011</v>
      </c>
      <c r="T12" s="301">
        <v>13010033.380000003</v>
      </c>
      <c r="U12" s="281"/>
      <c r="V12" s="281"/>
      <c r="W12" s="281"/>
      <c r="X12" s="281"/>
      <c r="Y12" s="305"/>
      <c r="Z12" s="281"/>
      <c r="AA12" s="281"/>
      <c r="AB12" s="281"/>
    </row>
    <row r="13" spans="1:34" ht="14.45" customHeight="1" x14ac:dyDescent="0.25">
      <c r="A13" s="281" t="str">
        <f t="shared" si="0"/>
        <v>КалужскаяASM MOS Food Trade+SorsoTSL MOS SPT Moscow Play Sorso</v>
      </c>
      <c r="B13" s="297" t="s">
        <v>215</v>
      </c>
      <c r="C13" s="298" t="s">
        <v>363</v>
      </c>
      <c r="D13" s="298" t="s">
        <v>368</v>
      </c>
      <c r="E13" s="281" t="s">
        <v>359</v>
      </c>
      <c r="F13" s="300" t="s">
        <v>369</v>
      </c>
      <c r="G13" s="301"/>
      <c r="H13" s="301"/>
      <c r="I13" s="301"/>
      <c r="J13" s="302"/>
      <c r="K13" s="301"/>
      <c r="L13" s="302">
        <v>0</v>
      </c>
      <c r="M13" s="302">
        <v>0</v>
      </c>
      <c r="N13" s="302">
        <v>0</v>
      </c>
      <c r="O13" s="302">
        <v>0</v>
      </c>
      <c r="P13" s="302">
        <v>0</v>
      </c>
      <c r="Q13" s="302">
        <v>793480.71000000031</v>
      </c>
      <c r="R13" s="302">
        <v>0</v>
      </c>
      <c r="S13" s="302">
        <v>0</v>
      </c>
      <c r="T13" s="302">
        <v>0</v>
      </c>
      <c r="U13" s="281"/>
      <c r="V13" s="281"/>
      <c r="W13" s="281"/>
      <c r="X13" s="281"/>
      <c r="Y13" s="305"/>
      <c r="Z13" s="281"/>
      <c r="AA13" s="281"/>
      <c r="AB13" s="281"/>
    </row>
    <row r="14" spans="1:34" ht="14.45" customHeight="1" x14ac:dyDescent="0.25">
      <c r="A14" s="281" t="str">
        <f t="shared" si="0"/>
        <v>КалужскаяASM MOS Food Trade+SorsoTSL MOS Grocery Mos Obl AS-Market</v>
      </c>
      <c r="B14" s="297" t="s">
        <v>215</v>
      </c>
      <c r="C14" s="298" t="s">
        <v>363</v>
      </c>
      <c r="D14" s="298" t="s">
        <v>368</v>
      </c>
      <c r="E14" s="299" t="s">
        <v>373</v>
      </c>
      <c r="F14" s="300" t="s">
        <v>374</v>
      </c>
      <c r="G14" s="301"/>
      <c r="H14" s="301"/>
      <c r="I14" s="301"/>
      <c r="J14" s="302"/>
      <c r="K14" s="356"/>
      <c r="L14" s="356">
        <v>0</v>
      </c>
      <c r="M14" s="356">
        <v>0</v>
      </c>
      <c r="N14" s="356">
        <v>0</v>
      </c>
      <c r="O14" s="356">
        <v>0</v>
      </c>
      <c r="P14" s="356">
        <v>1086.7</v>
      </c>
      <c r="Q14" s="356">
        <v>0</v>
      </c>
      <c r="R14" s="356">
        <v>0</v>
      </c>
      <c r="S14" s="356">
        <v>641.52</v>
      </c>
      <c r="T14" s="356">
        <v>0</v>
      </c>
      <c r="U14" s="357"/>
      <c r="V14" s="357"/>
      <c r="W14" s="357"/>
      <c r="X14" s="357"/>
      <c r="Z14" s="357"/>
      <c r="AA14" s="357"/>
      <c r="AB14" s="357"/>
    </row>
    <row r="15" spans="1:34" ht="14.45" customHeight="1" x14ac:dyDescent="0.25">
      <c r="A15" s="281" t="str">
        <f t="shared" si="0"/>
        <v>КалужскаяDDM MOS Sladkaay ZhiznTSL MOS  Moscow 1 Sladkaya Zhizn</v>
      </c>
      <c r="B15" s="297" t="s">
        <v>215</v>
      </c>
      <c r="C15" s="298" t="s">
        <v>363</v>
      </c>
      <c r="D15" s="298" t="s">
        <v>364</v>
      </c>
      <c r="E15" s="299" t="s">
        <v>355</v>
      </c>
      <c r="F15" s="300" t="s">
        <v>365</v>
      </c>
      <c r="G15" s="301"/>
      <c r="H15" s="301"/>
      <c r="I15" s="301"/>
      <c r="J15" s="302"/>
      <c r="K15" s="301"/>
      <c r="L15" s="301">
        <v>0</v>
      </c>
      <c r="M15" s="301">
        <v>0</v>
      </c>
      <c r="N15" s="301">
        <v>0</v>
      </c>
      <c r="P15" s="301">
        <v>0</v>
      </c>
      <c r="Q15" s="301">
        <v>0</v>
      </c>
      <c r="R15" s="301">
        <v>0</v>
      </c>
      <c r="S15" s="301">
        <v>0</v>
      </c>
      <c r="T15" s="301">
        <v>0</v>
      </c>
      <c r="U15" s="281"/>
      <c r="V15" s="281"/>
      <c r="W15" s="281"/>
      <c r="X15" s="281"/>
      <c r="Y15" s="356">
        <v>152696.56</v>
      </c>
      <c r="Z15" s="281"/>
      <c r="AA15" s="281"/>
      <c r="AB15" s="281"/>
      <c r="AF15" s="347" t="s">
        <v>366</v>
      </c>
    </row>
    <row r="16" spans="1:34" ht="14.45" customHeight="1" x14ac:dyDescent="0.25">
      <c r="A16" s="281" t="str">
        <f t="shared" si="0"/>
        <v>КалужскаяDDM MOS Sladkaay ZhiznTSL MOS  Moscow 1 Sladkaya Zhizn</v>
      </c>
      <c r="B16" s="297" t="s">
        <v>215</v>
      </c>
      <c r="C16" s="298" t="s">
        <v>363</v>
      </c>
      <c r="D16" s="298" t="s">
        <v>364</v>
      </c>
      <c r="E16" s="299" t="s">
        <v>355</v>
      </c>
      <c r="F16" s="300" t="s">
        <v>367</v>
      </c>
      <c r="G16" s="301"/>
      <c r="H16" s="301"/>
      <c r="I16" s="301"/>
      <c r="J16" s="302"/>
      <c r="K16" s="301"/>
      <c r="L16" s="301">
        <v>0</v>
      </c>
      <c r="M16" s="301">
        <v>0</v>
      </c>
      <c r="N16" s="301">
        <v>0</v>
      </c>
      <c r="P16" s="301">
        <v>0</v>
      </c>
      <c r="Q16" s="301">
        <v>50519.01</v>
      </c>
      <c r="R16" s="301">
        <v>0</v>
      </c>
      <c r="S16" s="301">
        <v>11547.2</v>
      </c>
      <c r="T16" s="301">
        <v>0</v>
      </c>
      <c r="U16" s="281"/>
      <c r="V16" s="281"/>
      <c r="W16" s="281"/>
      <c r="X16" s="281"/>
      <c r="Y16" s="356">
        <v>12675102.270000005</v>
      </c>
      <c r="Z16" s="281"/>
      <c r="AA16" s="281"/>
      <c r="AB16" s="281"/>
      <c r="AF16" s="347" t="s">
        <v>366</v>
      </c>
    </row>
    <row r="17" spans="1:32" ht="14.45" customHeight="1" x14ac:dyDescent="0.25">
      <c r="A17" s="281" t="str">
        <f t="shared" si="0"/>
        <v>КалужскаяDDM MOS Sladkaay ZhiznTSL MOS  Moscow 2 Sladkaya Zhizn</v>
      </c>
      <c r="B17" s="297" t="s">
        <v>215</v>
      </c>
      <c r="C17" s="298" t="s">
        <v>363</v>
      </c>
      <c r="D17" s="298" t="s">
        <v>364</v>
      </c>
      <c r="E17" s="299" t="s">
        <v>371</v>
      </c>
      <c r="F17" s="300" t="s">
        <v>367</v>
      </c>
      <c r="G17" s="301"/>
      <c r="H17" s="301"/>
      <c r="I17" s="301"/>
      <c r="J17" s="302"/>
      <c r="K17" s="301"/>
      <c r="L17" s="301">
        <v>0</v>
      </c>
      <c r="M17" s="301">
        <v>0</v>
      </c>
      <c r="N17" s="301">
        <v>0</v>
      </c>
      <c r="O17" s="356">
        <v>50540.084999999999</v>
      </c>
      <c r="P17" s="301">
        <v>0</v>
      </c>
      <c r="Q17" s="301">
        <v>0</v>
      </c>
      <c r="R17" s="301">
        <v>0</v>
      </c>
      <c r="S17" s="301">
        <v>0</v>
      </c>
      <c r="T17" s="301">
        <v>0</v>
      </c>
      <c r="U17" s="281"/>
      <c r="V17" s="281"/>
      <c r="W17" s="281"/>
      <c r="X17" s="281"/>
      <c r="Z17" s="281"/>
      <c r="AA17" s="281"/>
      <c r="AB17" s="281"/>
    </row>
    <row r="18" spans="1:32" ht="14.45" customHeight="1" x14ac:dyDescent="0.25">
      <c r="A18" s="281" t="str">
        <f t="shared" si="0"/>
        <v>КалужскаяDDM MOS Sladkaay ZhiznTSL MOS  Moscow 1 Sladkaya Zhizn</v>
      </c>
      <c r="B18" s="297" t="s">
        <v>215</v>
      </c>
      <c r="C18" s="298" t="s">
        <v>363</v>
      </c>
      <c r="D18" s="298" t="s">
        <v>364</v>
      </c>
      <c r="E18" s="299" t="s">
        <v>355</v>
      </c>
      <c r="F18" s="300" t="s">
        <v>367</v>
      </c>
      <c r="G18" s="301"/>
      <c r="H18" s="301"/>
      <c r="I18" s="301"/>
      <c r="J18" s="302"/>
      <c r="K18" s="301"/>
      <c r="L18" s="301">
        <v>0</v>
      </c>
      <c r="M18" s="301">
        <v>0</v>
      </c>
      <c r="N18" s="301">
        <v>0</v>
      </c>
      <c r="O18" s="356">
        <v>50540.084999999999</v>
      </c>
      <c r="P18" s="301">
        <v>0</v>
      </c>
      <c r="Q18" s="301">
        <v>0</v>
      </c>
      <c r="R18" s="301">
        <v>0</v>
      </c>
      <c r="S18" s="301">
        <v>0</v>
      </c>
      <c r="T18" s="301">
        <v>0</v>
      </c>
      <c r="U18" s="281"/>
      <c r="V18" s="281"/>
      <c r="W18" s="281"/>
      <c r="X18" s="281"/>
      <c r="Y18" s="305">
        <v>31855181.779999994</v>
      </c>
      <c r="Z18" s="281"/>
      <c r="AA18" s="281"/>
      <c r="AB18" s="281"/>
      <c r="AF18" s="347" t="s">
        <v>366</v>
      </c>
    </row>
    <row r="19" spans="1:32" ht="14.45" customHeight="1" x14ac:dyDescent="0.25">
      <c r="A19" s="281" t="str">
        <f t="shared" si="0"/>
        <v>КировскаяDDM MOS Sladkaay ZhiznTSL MOS Cheboksary</v>
      </c>
      <c r="B19" s="297" t="s">
        <v>221</v>
      </c>
      <c r="C19" s="298" t="s">
        <v>363</v>
      </c>
      <c r="D19" s="298" t="s">
        <v>364</v>
      </c>
      <c r="E19" s="299" t="s">
        <v>370</v>
      </c>
      <c r="F19" s="300" t="s">
        <v>365</v>
      </c>
      <c r="G19" s="301"/>
      <c r="H19" s="301"/>
      <c r="I19" s="301"/>
      <c r="J19" s="302"/>
      <c r="K19" s="301"/>
      <c r="L19" s="301">
        <v>0</v>
      </c>
      <c r="M19" s="301">
        <v>0</v>
      </c>
      <c r="N19" s="301">
        <v>0</v>
      </c>
      <c r="O19" s="337">
        <v>67690161.789999992</v>
      </c>
      <c r="P19" s="301">
        <v>62790437.999999993</v>
      </c>
      <c r="Q19" s="301">
        <v>5248566.2799999975</v>
      </c>
      <c r="R19" s="301">
        <v>0</v>
      </c>
      <c r="S19" s="301">
        <v>18235026.890000034</v>
      </c>
      <c r="T19" s="301">
        <v>22350700.699999999</v>
      </c>
      <c r="U19" s="281"/>
      <c r="V19" s="281"/>
      <c r="W19" s="281"/>
      <c r="X19" s="281"/>
      <c r="Y19" s="303"/>
      <c r="Z19" s="281"/>
      <c r="AA19" s="281"/>
      <c r="AB19" s="281"/>
      <c r="AF19" s="304" t="s">
        <v>372</v>
      </c>
    </row>
    <row r="20" spans="1:32" ht="14.45" customHeight="1" x14ac:dyDescent="0.25">
      <c r="A20" s="281" t="str">
        <f t="shared" si="0"/>
        <v>КировскаяDDM MOS Sladkaay ZhiznTSL MOS N.Novgorod</v>
      </c>
      <c r="B20" s="297" t="s">
        <v>221</v>
      </c>
      <c r="C20" s="298" t="s">
        <v>363</v>
      </c>
      <c r="D20" s="298" t="s">
        <v>364</v>
      </c>
      <c r="E20" s="299" t="s">
        <v>354</v>
      </c>
      <c r="F20" s="300" t="s">
        <v>365</v>
      </c>
      <c r="G20" s="301"/>
      <c r="H20" s="301"/>
      <c r="I20" s="301"/>
      <c r="J20" s="326"/>
      <c r="K20" s="356"/>
      <c r="L20" s="356">
        <v>0</v>
      </c>
      <c r="M20" s="356">
        <v>0</v>
      </c>
      <c r="N20" s="356">
        <v>0</v>
      </c>
      <c r="O20" s="356">
        <v>350.35</v>
      </c>
      <c r="P20" s="356">
        <v>0</v>
      </c>
      <c r="Q20" s="356">
        <v>53.06</v>
      </c>
      <c r="R20" s="356">
        <v>0</v>
      </c>
      <c r="S20" s="356">
        <v>2271.8300000000004</v>
      </c>
      <c r="T20" s="356">
        <v>0</v>
      </c>
      <c r="U20" s="281"/>
      <c r="V20" s="281"/>
      <c r="W20" s="281"/>
      <c r="X20" s="281"/>
      <c r="Y20" s="305"/>
      <c r="Z20" s="281"/>
      <c r="AA20" s="281"/>
      <c r="AB20" s="281"/>
    </row>
    <row r="21" spans="1:32" ht="14.45" customHeight="1" x14ac:dyDescent="0.25">
      <c r="A21" s="281" t="str">
        <f t="shared" si="0"/>
        <v>КировскаяDDM MOS Sladkaay ZhiznTSL MOS Cheboksary</v>
      </c>
      <c r="B21" s="297" t="s">
        <v>221</v>
      </c>
      <c r="C21" s="298" t="s">
        <v>363</v>
      </c>
      <c r="D21" s="298" t="s">
        <v>364</v>
      </c>
      <c r="E21" s="299" t="s">
        <v>370</v>
      </c>
      <c r="F21" s="300" t="s">
        <v>365</v>
      </c>
      <c r="G21" s="301"/>
      <c r="H21" s="301"/>
      <c r="I21" s="301"/>
      <c r="J21" s="302"/>
      <c r="K21" s="301"/>
      <c r="L21" s="301">
        <v>0</v>
      </c>
      <c r="M21" s="301">
        <v>0</v>
      </c>
      <c r="N21" s="301">
        <v>0</v>
      </c>
      <c r="O21" s="356">
        <v>350.35</v>
      </c>
      <c r="P21" s="301">
        <v>0</v>
      </c>
      <c r="Q21" s="301">
        <v>53.06</v>
      </c>
      <c r="R21" s="301">
        <v>0</v>
      </c>
      <c r="S21" s="301">
        <v>2271.8300000000004</v>
      </c>
      <c r="T21" s="301">
        <v>0</v>
      </c>
      <c r="U21" s="281"/>
      <c r="V21" s="281"/>
      <c r="W21" s="281"/>
      <c r="X21" s="281"/>
      <c r="Y21" s="346">
        <v>33734181.700000025</v>
      </c>
      <c r="Z21" s="281"/>
      <c r="AA21" s="281"/>
      <c r="AB21" s="281"/>
      <c r="AF21" s="347" t="s">
        <v>366</v>
      </c>
    </row>
    <row r="22" spans="1:32" ht="14.45" customHeight="1" x14ac:dyDescent="0.25">
      <c r="A22" s="281" t="str">
        <f t="shared" si="0"/>
        <v>МордовияASM MOS Food Trade+SorsoTSL MOS SPT Moscow Play Sorso</v>
      </c>
      <c r="B22" s="297" t="s">
        <v>256</v>
      </c>
      <c r="C22" s="298" t="s">
        <v>363</v>
      </c>
      <c r="D22" s="298" t="s">
        <v>368</v>
      </c>
      <c r="E22" s="281" t="s">
        <v>359</v>
      </c>
      <c r="F22" s="300" t="s">
        <v>369</v>
      </c>
      <c r="G22" s="301"/>
      <c r="H22" s="301"/>
      <c r="I22" s="301"/>
      <c r="J22" s="302"/>
      <c r="K22" s="301"/>
      <c r="L22" s="302">
        <v>0</v>
      </c>
      <c r="M22" s="302">
        <v>0</v>
      </c>
      <c r="N22" s="302">
        <v>0</v>
      </c>
      <c r="O22" s="302">
        <v>0</v>
      </c>
      <c r="P22" s="302">
        <v>0</v>
      </c>
      <c r="Q22" s="302">
        <v>1230.3</v>
      </c>
      <c r="R22" s="302">
        <v>0</v>
      </c>
      <c r="S22" s="302">
        <v>0</v>
      </c>
      <c r="T22" s="302">
        <v>0</v>
      </c>
      <c r="U22" s="281"/>
      <c r="V22" s="281"/>
      <c r="W22" s="281"/>
      <c r="X22" s="281"/>
      <c r="Y22" s="305"/>
      <c r="Z22" s="281"/>
      <c r="AA22" s="281"/>
      <c r="AB22" s="281"/>
    </row>
    <row r="23" spans="1:32" ht="14.45" customHeight="1" x14ac:dyDescent="0.25">
      <c r="A23" s="281" t="str">
        <f t="shared" si="0"/>
        <v>МордовияDDM MOS Sladkaay ZhiznTSL MOS Cheboksary</v>
      </c>
      <c r="B23" s="297" t="s">
        <v>256</v>
      </c>
      <c r="C23" s="298" t="s">
        <v>363</v>
      </c>
      <c r="D23" s="298" t="s">
        <v>364</v>
      </c>
      <c r="E23" s="299" t="s">
        <v>370</v>
      </c>
      <c r="F23" s="300" t="s">
        <v>365</v>
      </c>
      <c r="G23" s="301"/>
      <c r="H23" s="301"/>
      <c r="I23" s="301"/>
      <c r="J23" s="302"/>
      <c r="K23" s="301"/>
      <c r="L23" s="301">
        <v>0</v>
      </c>
      <c r="M23" s="301">
        <v>0</v>
      </c>
      <c r="N23" s="301">
        <v>0</v>
      </c>
      <c r="O23" s="356"/>
      <c r="P23" s="301">
        <v>3050445.8800000004</v>
      </c>
      <c r="Q23" s="301">
        <v>5837148.3499999987</v>
      </c>
      <c r="R23" s="301">
        <v>0</v>
      </c>
      <c r="S23" s="301">
        <v>8805611.6800000109</v>
      </c>
      <c r="T23" s="301">
        <v>574056.98</v>
      </c>
      <c r="U23" s="281"/>
      <c r="V23" s="281"/>
      <c r="W23" s="281"/>
      <c r="X23" s="281"/>
      <c r="Y23" s="346">
        <v>82315096.500000089</v>
      </c>
      <c r="Z23" s="281"/>
      <c r="AA23" s="281"/>
      <c r="AB23" s="281"/>
      <c r="AF23" s="347" t="s">
        <v>366</v>
      </c>
    </row>
    <row r="24" spans="1:32" ht="14.45" customHeight="1" x14ac:dyDescent="0.25">
      <c r="A24" s="281" t="str">
        <f t="shared" si="0"/>
        <v>МордовияASM MOS Food Trade+SorsoTSL MOS SPT Moscow Play Sorso</v>
      </c>
      <c r="B24" s="297" t="s">
        <v>256</v>
      </c>
      <c r="C24" s="298" t="s">
        <v>363</v>
      </c>
      <c r="D24" s="298" t="s">
        <v>368</v>
      </c>
      <c r="E24" s="281" t="s">
        <v>359</v>
      </c>
      <c r="F24" s="300" t="s">
        <v>369</v>
      </c>
      <c r="G24" s="301"/>
      <c r="H24" s="301"/>
      <c r="I24" s="301"/>
      <c r="J24" s="302"/>
      <c r="K24" s="301"/>
      <c r="L24" s="302">
        <v>0</v>
      </c>
      <c r="M24" s="302">
        <v>0</v>
      </c>
      <c r="N24" s="302">
        <v>0</v>
      </c>
      <c r="O24" s="302">
        <v>0</v>
      </c>
      <c r="P24" s="302">
        <v>0</v>
      </c>
      <c r="Q24" s="302">
        <v>8612.1</v>
      </c>
      <c r="R24" s="302">
        <v>0</v>
      </c>
      <c r="S24" s="302">
        <v>0</v>
      </c>
      <c r="T24" s="302">
        <v>0</v>
      </c>
      <c r="U24" s="281"/>
      <c r="V24" s="281"/>
      <c r="W24" s="281"/>
      <c r="X24" s="281"/>
      <c r="Y24" s="305"/>
      <c r="Z24" s="281"/>
      <c r="AA24" s="281"/>
      <c r="AB24" s="281"/>
    </row>
    <row r="25" spans="1:32" ht="14.45" customHeight="1" x14ac:dyDescent="0.25">
      <c r="A25" s="281" t="str">
        <f t="shared" si="0"/>
        <v>МордовияDDM MOS Sladkaay ZhiznTSL MOS N.Novgorod</v>
      </c>
      <c r="B25" s="297" t="s">
        <v>256</v>
      </c>
      <c r="C25" s="298" t="s">
        <v>363</v>
      </c>
      <c r="D25" s="298" t="s">
        <v>364</v>
      </c>
      <c r="E25" s="299" t="s">
        <v>354</v>
      </c>
      <c r="F25" s="300" t="s">
        <v>365</v>
      </c>
      <c r="G25" s="301"/>
      <c r="H25" s="301"/>
      <c r="I25" s="301"/>
      <c r="J25" s="326"/>
      <c r="K25" s="356"/>
      <c r="L25" s="356">
        <v>0</v>
      </c>
      <c r="M25" s="356">
        <v>0</v>
      </c>
      <c r="N25" s="356">
        <v>0</v>
      </c>
      <c r="O25" s="356">
        <v>0</v>
      </c>
      <c r="P25" s="356">
        <v>0</v>
      </c>
      <c r="Q25" s="356">
        <v>0</v>
      </c>
      <c r="R25" s="356">
        <v>0</v>
      </c>
      <c r="S25" s="356">
        <v>938</v>
      </c>
      <c r="T25" s="356">
        <v>0</v>
      </c>
      <c r="U25" s="281"/>
      <c r="V25" s="281"/>
      <c r="W25" s="281"/>
      <c r="X25" s="281"/>
      <c r="Y25" s="305"/>
      <c r="Z25" s="281"/>
      <c r="AA25" s="281"/>
      <c r="AB25" s="281"/>
    </row>
    <row r="26" spans="1:32" ht="14.45" customHeight="1" x14ac:dyDescent="0.25">
      <c r="A26" s="281" t="str">
        <f t="shared" si="0"/>
        <v>МордовияDDM MOS Sladkaay ZhiznTSL MOS Cheboksary</v>
      </c>
      <c r="B26" s="297" t="s">
        <v>256</v>
      </c>
      <c r="C26" s="298" t="s">
        <v>363</v>
      </c>
      <c r="D26" s="298" t="s">
        <v>364</v>
      </c>
      <c r="E26" s="299" t="s">
        <v>370</v>
      </c>
      <c r="F26" s="300" t="s">
        <v>365</v>
      </c>
      <c r="G26" s="301"/>
      <c r="H26" s="301"/>
      <c r="I26" s="301"/>
      <c r="J26" s="302"/>
      <c r="K26" s="301"/>
      <c r="L26" s="301">
        <v>0</v>
      </c>
      <c r="M26" s="301">
        <v>0</v>
      </c>
      <c r="N26" s="301">
        <v>0</v>
      </c>
      <c r="O26" s="356">
        <v>0</v>
      </c>
      <c r="P26" s="301">
        <v>0</v>
      </c>
      <c r="Q26" s="301">
        <v>0</v>
      </c>
      <c r="R26" s="301">
        <v>0</v>
      </c>
      <c r="S26" s="301">
        <v>938</v>
      </c>
      <c r="T26" s="301">
        <v>0</v>
      </c>
      <c r="U26" s="281"/>
      <c r="V26" s="281"/>
      <c r="W26" s="281"/>
      <c r="X26" s="281"/>
      <c r="Y26" s="305"/>
      <c r="Z26" s="281"/>
      <c r="AA26" s="281"/>
      <c r="AB26" s="281"/>
    </row>
    <row r="27" spans="1:32" ht="14.45" customHeight="1" x14ac:dyDescent="0.25">
      <c r="A27" s="281" t="str">
        <f t="shared" si="0"/>
        <v>МоскваASM MOS Food Trade+SorsoTSL MOS SPT Moscow Play Sorso</v>
      </c>
      <c r="B27" s="297" t="s">
        <v>257</v>
      </c>
      <c r="C27" s="298" t="s">
        <v>363</v>
      </c>
      <c r="D27" s="298" t="s">
        <v>368</v>
      </c>
      <c r="E27" s="281" t="s">
        <v>359</v>
      </c>
      <c r="F27" s="300" t="s">
        <v>369</v>
      </c>
      <c r="G27" s="301">
        <v>1</v>
      </c>
      <c r="H27" s="301"/>
      <c r="I27" s="301"/>
      <c r="J27" s="302"/>
      <c r="K27" s="301"/>
      <c r="L27" s="302">
        <v>0</v>
      </c>
      <c r="M27" s="302">
        <v>0</v>
      </c>
      <c r="N27" s="302">
        <v>0</v>
      </c>
      <c r="O27" s="302">
        <v>0</v>
      </c>
      <c r="P27" s="302">
        <v>0</v>
      </c>
      <c r="Q27" s="302">
        <v>3934548.4099999992</v>
      </c>
      <c r="R27" s="302">
        <v>0</v>
      </c>
      <c r="S27" s="302">
        <v>0</v>
      </c>
      <c r="T27" s="302">
        <v>0</v>
      </c>
      <c r="U27" s="281"/>
      <c r="V27" s="281"/>
      <c r="W27" s="281"/>
      <c r="X27" s="281"/>
      <c r="Y27" s="303">
        <v>51488847.459999874</v>
      </c>
      <c r="Z27" s="281"/>
      <c r="AA27" s="281"/>
      <c r="AB27" s="281"/>
      <c r="AF27" s="304" t="s">
        <v>375</v>
      </c>
    </row>
    <row r="28" spans="1:32" ht="14.45" customHeight="1" x14ac:dyDescent="0.25">
      <c r="A28" s="281" t="str">
        <f t="shared" si="0"/>
        <v>МоскваASM MOS Food Trade+SorsoTSL MOS SPT Moscow Play Sorso</v>
      </c>
      <c r="B28" s="297" t="s">
        <v>257</v>
      </c>
      <c r="C28" s="298" t="s">
        <v>363</v>
      </c>
      <c r="D28" s="298" t="s">
        <v>368</v>
      </c>
      <c r="E28" s="281" t="s">
        <v>359</v>
      </c>
      <c r="F28" s="300" t="s">
        <v>369</v>
      </c>
      <c r="G28" s="301">
        <v>1</v>
      </c>
      <c r="H28" s="301"/>
      <c r="I28" s="301"/>
      <c r="J28" s="302"/>
      <c r="K28" s="301"/>
      <c r="L28" s="302">
        <v>0</v>
      </c>
      <c r="M28" s="302">
        <v>0</v>
      </c>
      <c r="N28" s="302">
        <v>0</v>
      </c>
      <c r="O28" s="302">
        <v>0</v>
      </c>
      <c r="P28" s="302">
        <v>8744.36</v>
      </c>
      <c r="Q28" s="302">
        <v>22026506.790000029</v>
      </c>
      <c r="R28" s="302">
        <v>4165317.63</v>
      </c>
      <c r="S28" s="302">
        <v>40472.51</v>
      </c>
      <c r="T28" s="302">
        <v>0</v>
      </c>
      <c r="U28" s="281"/>
      <c r="V28" s="281"/>
      <c r="W28" s="281"/>
      <c r="X28" s="281"/>
      <c r="Y28" s="305"/>
      <c r="Z28" s="281"/>
      <c r="AA28" s="281"/>
      <c r="AB28" s="281"/>
    </row>
    <row r="29" spans="1:32" ht="14.45" customHeight="1" x14ac:dyDescent="0.25">
      <c r="A29" s="281" t="str">
        <f t="shared" si="0"/>
        <v>МоскваASM MOS Food Trade+SorsoTSL MOS Grocery Mos Obl AS-Market</v>
      </c>
      <c r="B29" s="297" t="s">
        <v>257</v>
      </c>
      <c r="C29" s="298" t="s">
        <v>363</v>
      </c>
      <c r="D29" s="298" t="s">
        <v>368</v>
      </c>
      <c r="E29" s="299" t="s">
        <v>373</v>
      </c>
      <c r="F29" s="300" t="s">
        <v>374</v>
      </c>
      <c r="G29" s="301"/>
      <c r="H29" s="301"/>
      <c r="I29" s="301"/>
      <c r="J29" s="302"/>
      <c r="K29" s="356"/>
      <c r="L29" s="356">
        <v>0</v>
      </c>
      <c r="M29" s="356">
        <v>0</v>
      </c>
      <c r="N29" s="356">
        <v>0</v>
      </c>
      <c r="O29" s="356">
        <v>26286175.709999982</v>
      </c>
      <c r="P29" s="356">
        <v>5754256.379999999</v>
      </c>
      <c r="Q29" s="356">
        <v>5267491.8899999987</v>
      </c>
      <c r="R29" s="356">
        <v>0</v>
      </c>
      <c r="S29" s="356">
        <v>0</v>
      </c>
      <c r="T29" s="356">
        <v>0</v>
      </c>
      <c r="U29" s="357"/>
      <c r="V29" s="357"/>
      <c r="W29" s="357"/>
      <c r="X29" s="357"/>
      <c r="Z29" s="357"/>
      <c r="AA29" s="357"/>
      <c r="AB29" s="357"/>
    </row>
    <row r="30" spans="1:32" ht="14.45" customHeight="1" x14ac:dyDescent="0.25">
      <c r="A30" s="281" t="str">
        <f t="shared" si="0"/>
        <v>МоскваASM MOS Food Trade+SorsoTSL MOS SPT Moscow Play Sorso</v>
      </c>
      <c r="B30" s="297" t="s">
        <v>257</v>
      </c>
      <c r="C30" s="298" t="s">
        <v>363</v>
      </c>
      <c r="D30" s="298" t="s">
        <v>368</v>
      </c>
      <c r="E30" s="281" t="s">
        <v>359</v>
      </c>
      <c r="F30" s="300" t="s">
        <v>369</v>
      </c>
      <c r="G30" s="301"/>
      <c r="H30" s="301"/>
      <c r="I30" s="301"/>
      <c r="J30" s="302"/>
      <c r="K30" s="301"/>
      <c r="L30" s="302">
        <v>0</v>
      </c>
      <c r="M30" s="302">
        <v>0</v>
      </c>
      <c r="N30" s="302">
        <v>0</v>
      </c>
      <c r="O30" s="302">
        <v>0</v>
      </c>
      <c r="P30" s="302">
        <v>109458.56000000001</v>
      </c>
      <c r="Q30" s="302">
        <v>261712.53</v>
      </c>
      <c r="R30" s="302">
        <v>0</v>
      </c>
      <c r="S30" s="302">
        <v>0</v>
      </c>
      <c r="T30" s="302">
        <v>0</v>
      </c>
      <c r="U30" s="281"/>
      <c r="V30" s="281"/>
      <c r="W30" s="281"/>
      <c r="X30" s="281"/>
      <c r="Y30" s="305"/>
      <c r="Z30" s="281"/>
      <c r="AA30" s="281"/>
      <c r="AB30" s="281"/>
    </row>
    <row r="31" spans="1:32" ht="14.45" customHeight="1" x14ac:dyDescent="0.25">
      <c r="A31" s="281" t="str">
        <f t="shared" si="0"/>
        <v>МоскваASM MOS Food Trade+SorsoTSL MOS SPT Moscow Play Sorso</v>
      </c>
      <c r="B31" s="297" t="s">
        <v>257</v>
      </c>
      <c r="C31" s="298" t="s">
        <v>363</v>
      </c>
      <c r="D31" s="298" t="s">
        <v>368</v>
      </c>
      <c r="E31" s="281" t="s">
        <v>359</v>
      </c>
      <c r="F31" s="300" t="s">
        <v>369</v>
      </c>
      <c r="G31" s="301"/>
      <c r="H31" s="301"/>
      <c r="I31" s="301"/>
      <c r="J31" s="302"/>
      <c r="K31" s="301"/>
      <c r="L31" s="302">
        <v>0</v>
      </c>
      <c r="M31" s="302">
        <v>0</v>
      </c>
      <c r="N31" s="302">
        <v>0</v>
      </c>
      <c r="O31" s="302">
        <v>0</v>
      </c>
      <c r="P31" s="302">
        <v>0</v>
      </c>
      <c r="Q31" s="302">
        <v>47580.24</v>
      </c>
      <c r="R31" s="302">
        <v>0</v>
      </c>
      <c r="S31" s="302">
        <v>0</v>
      </c>
      <c r="T31" s="302">
        <v>0</v>
      </c>
      <c r="U31" s="281"/>
      <c r="V31" s="281"/>
      <c r="W31" s="281"/>
      <c r="X31" s="281"/>
      <c r="Y31" s="305"/>
      <c r="Z31" s="281"/>
      <c r="AA31" s="281"/>
      <c r="AB31" s="281"/>
    </row>
    <row r="32" spans="1:32" ht="14.45" customHeight="1" x14ac:dyDescent="0.25">
      <c r="A32" s="281" t="str">
        <f t="shared" si="0"/>
        <v>МоскваASM MOS Food Trade+SorsoTSL MOS SPT Moscow Play Sorso</v>
      </c>
      <c r="B32" s="297" t="s">
        <v>257</v>
      </c>
      <c r="C32" s="298" t="s">
        <v>363</v>
      </c>
      <c r="D32" s="298" t="s">
        <v>368</v>
      </c>
      <c r="E32" s="299" t="s">
        <v>359</v>
      </c>
      <c r="F32" s="300" t="s">
        <v>367</v>
      </c>
      <c r="G32" s="301">
        <v>1</v>
      </c>
      <c r="H32" s="301"/>
      <c r="I32" s="301"/>
      <c r="J32" s="302"/>
      <c r="K32" s="301"/>
      <c r="L32" s="301">
        <v>0</v>
      </c>
      <c r="M32" s="301">
        <v>0</v>
      </c>
      <c r="N32" s="301">
        <v>0</v>
      </c>
      <c r="O32" s="301">
        <v>87719.900000000009</v>
      </c>
      <c r="P32" s="301">
        <v>13654.369999999999</v>
      </c>
      <c r="Q32" s="301">
        <v>49983.75</v>
      </c>
      <c r="R32" s="301">
        <v>0</v>
      </c>
      <c r="S32" s="301">
        <v>4788.42</v>
      </c>
      <c r="T32" s="301">
        <v>0</v>
      </c>
      <c r="U32" s="281"/>
      <c r="V32" s="281"/>
      <c r="W32" s="281"/>
      <c r="X32" s="281"/>
      <c r="Y32" s="305"/>
      <c r="Z32" s="281"/>
      <c r="AA32" s="281"/>
      <c r="AB32" s="281"/>
    </row>
    <row r="33" spans="1:32" ht="14.45" customHeight="1" x14ac:dyDescent="0.25">
      <c r="A33" s="281" t="str">
        <f t="shared" si="0"/>
        <v>МоскваASM MOS Food Trade+SorsoTSL MOS SPT Moscow Play Sorso</v>
      </c>
      <c r="B33" s="297" t="s">
        <v>257</v>
      </c>
      <c r="C33" s="298" t="s">
        <v>363</v>
      </c>
      <c r="D33" s="298" t="s">
        <v>368</v>
      </c>
      <c r="E33" s="281" t="s">
        <v>359</v>
      </c>
      <c r="F33" s="300" t="s">
        <v>369</v>
      </c>
      <c r="G33" s="301"/>
      <c r="H33" s="301"/>
      <c r="I33" s="301"/>
      <c r="J33" s="302"/>
      <c r="K33" s="301"/>
      <c r="L33" s="302">
        <v>0</v>
      </c>
      <c r="M33" s="302">
        <v>0</v>
      </c>
      <c r="N33" s="302">
        <v>0</v>
      </c>
      <c r="O33" s="302">
        <v>0</v>
      </c>
      <c r="P33" s="302">
        <v>0</v>
      </c>
      <c r="Q33" s="302">
        <v>54846.799999999996</v>
      </c>
      <c r="R33" s="302">
        <v>0</v>
      </c>
      <c r="S33" s="302">
        <v>0</v>
      </c>
      <c r="T33" s="302">
        <v>0</v>
      </c>
      <c r="U33" s="281"/>
      <c r="V33" s="281"/>
      <c r="W33" s="281"/>
      <c r="X33" s="281"/>
      <c r="Y33" s="305"/>
      <c r="Z33" s="281"/>
      <c r="AA33" s="281"/>
      <c r="AB33" s="281"/>
    </row>
    <row r="34" spans="1:32" ht="14.45" customHeight="1" x14ac:dyDescent="0.25">
      <c r="A34" s="281" t="str">
        <f t="shared" si="0"/>
        <v>МоскваASM MOS Food Trade+SorsoTSL MOS Grocery Mos Obl AS-Market</v>
      </c>
      <c r="B34" s="297" t="s">
        <v>257</v>
      </c>
      <c r="C34" s="298" t="s">
        <v>363</v>
      </c>
      <c r="D34" s="298" t="s">
        <v>368</v>
      </c>
      <c r="E34" s="299" t="s">
        <v>373</v>
      </c>
      <c r="F34" s="300" t="s">
        <v>374</v>
      </c>
      <c r="G34" s="301"/>
      <c r="H34" s="301"/>
      <c r="I34" s="301"/>
      <c r="J34" s="302"/>
      <c r="K34" s="356"/>
      <c r="L34" s="356">
        <v>0</v>
      </c>
      <c r="M34" s="356">
        <v>0</v>
      </c>
      <c r="N34" s="356">
        <v>0</v>
      </c>
      <c r="O34" s="356">
        <v>705614.96000000008</v>
      </c>
      <c r="P34" s="356">
        <v>11128858.729999993</v>
      </c>
      <c r="Q34" s="356">
        <v>5446135.0799999991</v>
      </c>
      <c r="R34" s="356">
        <v>0</v>
      </c>
      <c r="S34" s="356">
        <v>1874576.2400000005</v>
      </c>
      <c r="T34" s="356">
        <v>0</v>
      </c>
      <c r="U34" s="357"/>
      <c r="V34" s="357"/>
      <c r="W34" s="357"/>
      <c r="X34" s="357"/>
      <c r="Z34" s="357"/>
      <c r="AA34" s="357"/>
      <c r="AB34" s="357"/>
    </row>
    <row r="35" spans="1:32" ht="14.45" customHeight="1" x14ac:dyDescent="0.25">
      <c r="A35" s="281" t="str">
        <f t="shared" si="0"/>
        <v>МоскваASM MOS Food Trade+SorsoTSL MOS Grocery Mos Obl AS-Market</v>
      </c>
      <c r="B35" s="297" t="s">
        <v>257</v>
      </c>
      <c r="C35" s="298" t="s">
        <v>363</v>
      </c>
      <c r="D35" s="298" t="s">
        <v>368</v>
      </c>
      <c r="E35" s="299" t="s">
        <v>373</v>
      </c>
      <c r="F35" s="300" t="s">
        <v>374</v>
      </c>
      <c r="G35" s="301"/>
      <c r="H35" s="301"/>
      <c r="I35" s="301"/>
      <c r="J35" s="302"/>
      <c r="K35" s="356"/>
      <c r="L35" s="356">
        <v>0</v>
      </c>
      <c r="M35" s="356">
        <v>0</v>
      </c>
      <c r="N35" s="356">
        <v>0</v>
      </c>
      <c r="O35" s="356">
        <v>304618.33</v>
      </c>
      <c r="P35" s="356">
        <v>342266.64999999997</v>
      </c>
      <c r="Q35" s="356">
        <v>4906200.0500000007</v>
      </c>
      <c r="R35" s="356">
        <v>1611618.38</v>
      </c>
      <c r="S35" s="356">
        <v>380185.84000000008</v>
      </c>
      <c r="T35" s="356">
        <v>63459601.280000009</v>
      </c>
      <c r="U35" s="357"/>
      <c r="V35" s="357"/>
      <c r="W35" s="357"/>
      <c r="X35" s="357"/>
      <c r="Z35" s="357"/>
      <c r="AA35" s="357"/>
      <c r="AB35" s="357"/>
    </row>
    <row r="36" spans="1:32" ht="14.45" customHeight="1" x14ac:dyDescent="0.25">
      <c r="A36" s="281" t="str">
        <f t="shared" si="0"/>
        <v>МоскваASM MOS Food Trade+SorsoTSL MOS SPT Moscow Play Sorso</v>
      </c>
      <c r="B36" s="297" t="s">
        <v>257</v>
      </c>
      <c r="C36" s="298" t="s">
        <v>363</v>
      </c>
      <c r="D36" s="298" t="s">
        <v>368</v>
      </c>
      <c r="E36" s="281" t="s">
        <v>359</v>
      </c>
      <c r="F36" s="300" t="s">
        <v>369</v>
      </c>
      <c r="G36" s="301"/>
      <c r="H36" s="301"/>
      <c r="I36" s="301"/>
      <c r="J36" s="302"/>
      <c r="K36" s="301"/>
      <c r="L36" s="302">
        <v>0</v>
      </c>
      <c r="M36" s="302">
        <v>0</v>
      </c>
      <c r="N36" s="302">
        <v>0</v>
      </c>
      <c r="O36" s="302">
        <v>0</v>
      </c>
      <c r="P36" s="302">
        <v>449616.58000000019</v>
      </c>
      <c r="Q36" s="302">
        <v>844392.20000000019</v>
      </c>
      <c r="R36" s="302">
        <v>221309.68</v>
      </c>
      <c r="S36" s="302">
        <v>4921.2</v>
      </c>
      <c r="T36" s="302">
        <v>0</v>
      </c>
      <c r="U36" s="281"/>
      <c r="V36" s="281"/>
      <c r="W36" s="281"/>
      <c r="X36" s="281"/>
      <c r="Y36" s="305"/>
      <c r="Z36" s="281"/>
      <c r="AA36" s="281"/>
      <c r="AB36" s="281"/>
    </row>
    <row r="37" spans="1:32" ht="14.45" customHeight="1" x14ac:dyDescent="0.25">
      <c r="A37" s="281" t="str">
        <f t="shared" si="0"/>
        <v>МоскваASM MOS Food Trade+SorsoTSL MOS SPT Moscow Play Sorso</v>
      </c>
      <c r="B37" s="297" t="s">
        <v>257</v>
      </c>
      <c r="C37" s="298" t="s">
        <v>363</v>
      </c>
      <c r="D37" s="298" t="s">
        <v>368</v>
      </c>
      <c r="E37" s="281" t="s">
        <v>359</v>
      </c>
      <c r="F37" s="300" t="s">
        <v>369</v>
      </c>
      <c r="G37" s="301"/>
      <c r="H37" s="301"/>
      <c r="I37" s="301"/>
      <c r="J37" s="302"/>
      <c r="K37" s="301"/>
      <c r="L37" s="302">
        <v>0</v>
      </c>
      <c r="M37" s="302">
        <v>0</v>
      </c>
      <c r="N37" s="302">
        <v>0</v>
      </c>
      <c r="O37" s="302">
        <v>0</v>
      </c>
      <c r="P37" s="302">
        <v>120182.07000000002</v>
      </c>
      <c r="Q37" s="302">
        <v>1560963.9799999993</v>
      </c>
      <c r="R37" s="302">
        <v>6789638.8999999985</v>
      </c>
      <c r="S37" s="302">
        <v>0</v>
      </c>
      <c r="T37" s="302">
        <v>0</v>
      </c>
      <c r="U37" s="281"/>
      <c r="V37" s="281"/>
      <c r="W37" s="281"/>
      <c r="X37" s="281"/>
      <c r="Y37" s="305"/>
      <c r="Z37" s="281"/>
      <c r="AA37" s="281"/>
      <c r="AB37" s="281"/>
    </row>
    <row r="38" spans="1:32" ht="14.45" customHeight="1" x14ac:dyDescent="0.25">
      <c r="A38" s="281" t="str">
        <f t="shared" si="0"/>
        <v>МоскваASM MOS Food Trade+SorsoTSL MOS SPT Moscow Play Sorso</v>
      </c>
      <c r="B38" s="297" t="s">
        <v>257</v>
      </c>
      <c r="C38" s="298" t="s">
        <v>363</v>
      </c>
      <c r="D38" s="298" t="s">
        <v>368</v>
      </c>
      <c r="E38" s="281" t="s">
        <v>359</v>
      </c>
      <c r="F38" s="300" t="s">
        <v>369</v>
      </c>
      <c r="G38" s="301"/>
      <c r="H38" s="301"/>
      <c r="I38" s="301"/>
      <c r="J38" s="302"/>
      <c r="K38" s="301"/>
      <c r="L38" s="302">
        <v>0</v>
      </c>
      <c r="M38" s="302">
        <v>0</v>
      </c>
      <c r="N38" s="302">
        <v>0</v>
      </c>
      <c r="O38" s="302">
        <v>0</v>
      </c>
      <c r="P38" s="302">
        <v>0</v>
      </c>
      <c r="Q38" s="302">
        <v>74381.34</v>
      </c>
      <c r="R38" s="302">
        <v>0</v>
      </c>
      <c r="S38" s="302">
        <v>0</v>
      </c>
      <c r="T38" s="302">
        <v>0</v>
      </c>
      <c r="U38" s="281"/>
      <c r="V38" s="281"/>
      <c r="W38" s="281"/>
      <c r="X38" s="281"/>
      <c r="Y38" s="305"/>
      <c r="Z38" s="281"/>
      <c r="AA38" s="281"/>
      <c r="AB38" s="281"/>
    </row>
    <row r="39" spans="1:32" ht="14.45" customHeight="1" x14ac:dyDescent="0.25">
      <c r="A39" s="281" t="str">
        <f t="shared" si="0"/>
        <v>МоскваDDM MOS Sladkaay ZhiznTSL MOS  Moscow 2 Sladkaya Zhizn</v>
      </c>
      <c r="B39" s="297" t="s">
        <v>257</v>
      </c>
      <c r="C39" s="298" t="s">
        <v>363</v>
      </c>
      <c r="D39" s="298" t="s">
        <v>364</v>
      </c>
      <c r="E39" s="299" t="s">
        <v>371</v>
      </c>
      <c r="F39" s="300" t="s">
        <v>367</v>
      </c>
      <c r="G39" s="301"/>
      <c r="H39" s="301"/>
      <c r="I39" s="301"/>
      <c r="J39" s="302"/>
      <c r="K39" s="301"/>
      <c r="L39" s="301">
        <v>0</v>
      </c>
      <c r="M39" s="301">
        <v>2268781.3500000006</v>
      </c>
      <c r="N39" s="301">
        <v>0</v>
      </c>
      <c r="O39" s="356"/>
      <c r="P39" s="301">
        <v>8588247.9499999974</v>
      </c>
      <c r="Q39" s="301">
        <v>20423780.23</v>
      </c>
      <c r="R39" s="301">
        <v>7231411.2700000023</v>
      </c>
      <c r="S39" s="301">
        <v>4680397.2199999988</v>
      </c>
      <c r="T39" s="301">
        <v>635550.9</v>
      </c>
      <c r="U39" s="281"/>
      <c r="V39" s="281"/>
      <c r="W39" s="281"/>
      <c r="X39" s="281"/>
      <c r="Y39" s="356">
        <v>109321797.52999994</v>
      </c>
      <c r="Z39" s="281"/>
      <c r="AA39" s="281"/>
      <c r="AB39" s="281"/>
      <c r="AF39" s="347" t="s">
        <v>366</v>
      </c>
    </row>
    <row r="40" spans="1:32" ht="14.45" customHeight="1" x14ac:dyDescent="0.25">
      <c r="A40" s="281" t="str">
        <f t="shared" si="0"/>
        <v>МоскваASM MOS Food Trade+SorsoTSL MOS SPT Moscow Play Sorso</v>
      </c>
      <c r="B40" s="297" t="s">
        <v>257</v>
      </c>
      <c r="C40" s="298" t="s">
        <v>363</v>
      </c>
      <c r="D40" s="298" t="s">
        <v>368</v>
      </c>
      <c r="E40" s="281" t="s">
        <v>359</v>
      </c>
      <c r="F40" s="300" t="s">
        <v>369</v>
      </c>
      <c r="G40" s="301"/>
      <c r="H40" s="301"/>
      <c r="I40" s="301"/>
      <c r="J40" s="302"/>
      <c r="K40" s="301"/>
      <c r="L40" s="302">
        <v>0</v>
      </c>
      <c r="M40" s="302">
        <v>0</v>
      </c>
      <c r="N40" s="302">
        <v>0</v>
      </c>
      <c r="O40" s="302">
        <v>0</v>
      </c>
      <c r="P40" s="302">
        <v>0</v>
      </c>
      <c r="Q40" s="302">
        <v>7381.7999999999993</v>
      </c>
      <c r="R40" s="302">
        <v>0</v>
      </c>
      <c r="S40" s="302">
        <v>0</v>
      </c>
      <c r="T40" s="302">
        <v>0</v>
      </c>
      <c r="U40" s="281"/>
      <c r="V40" s="281"/>
      <c r="W40" s="281"/>
      <c r="X40" s="281"/>
      <c r="Y40" s="305"/>
      <c r="Z40" s="281"/>
      <c r="AA40" s="281"/>
      <c r="AB40" s="281"/>
    </row>
    <row r="41" spans="1:32" ht="14.45" customHeight="1" x14ac:dyDescent="0.25">
      <c r="A41" s="281" t="str">
        <f t="shared" si="0"/>
        <v>МоскваASM MOS Food Trade+SorsoTSL MOS Grocery Mos Obl AS-Market</v>
      </c>
      <c r="B41" s="297" t="s">
        <v>257</v>
      </c>
      <c r="C41" s="298" t="s">
        <v>363</v>
      </c>
      <c r="D41" s="298" t="s">
        <v>368</v>
      </c>
      <c r="E41" s="299" t="s">
        <v>373</v>
      </c>
      <c r="F41" s="300" t="s">
        <v>374</v>
      </c>
      <c r="G41" s="301"/>
      <c r="H41" s="301"/>
      <c r="I41" s="301"/>
      <c r="J41" s="302"/>
      <c r="K41" s="356"/>
      <c r="L41" s="358">
        <v>16865038.440000001</v>
      </c>
      <c r="M41" s="356">
        <v>0</v>
      </c>
      <c r="N41" s="356">
        <v>0</v>
      </c>
      <c r="O41" s="356">
        <v>886166.9800000001</v>
      </c>
      <c r="P41" s="356">
        <v>121304.76000000001</v>
      </c>
      <c r="Q41" s="356">
        <v>0</v>
      </c>
      <c r="R41" s="356">
        <v>0</v>
      </c>
      <c r="S41" s="356">
        <v>3733.62</v>
      </c>
      <c r="T41" s="356">
        <v>0</v>
      </c>
      <c r="U41" s="357"/>
      <c r="V41" s="357"/>
      <c r="W41" s="357"/>
      <c r="X41" s="357"/>
      <c r="Z41" s="357"/>
      <c r="AA41" s="357"/>
      <c r="AB41" s="357"/>
    </row>
    <row r="42" spans="1:32" ht="14.45" customHeight="1" x14ac:dyDescent="0.25">
      <c r="A42" s="281" t="str">
        <f t="shared" si="0"/>
        <v>МоскваDDM MOS Sladkaay ZhiznTSL MOS  Moscow 2 Sladkaya Zhizn</v>
      </c>
      <c r="B42" s="297" t="s">
        <v>257</v>
      </c>
      <c r="C42" s="298" t="s">
        <v>363</v>
      </c>
      <c r="D42" s="298" t="s">
        <v>364</v>
      </c>
      <c r="E42" s="299" t="s">
        <v>371</v>
      </c>
      <c r="F42" s="300" t="s">
        <v>367</v>
      </c>
      <c r="G42" s="301"/>
      <c r="H42" s="301"/>
      <c r="I42" s="301"/>
      <c r="J42" s="302"/>
      <c r="K42" s="301"/>
      <c r="L42" s="301">
        <v>0</v>
      </c>
      <c r="M42" s="301">
        <v>0</v>
      </c>
      <c r="N42" s="301">
        <v>0</v>
      </c>
      <c r="P42" s="301">
        <v>0</v>
      </c>
      <c r="Q42" s="301">
        <v>7915.5</v>
      </c>
      <c r="R42" s="301">
        <v>0</v>
      </c>
      <c r="S42" s="301">
        <v>31262.159999999993</v>
      </c>
      <c r="T42" s="301">
        <v>2533045.62</v>
      </c>
      <c r="U42" s="281"/>
      <c r="V42" s="281"/>
      <c r="W42" s="281"/>
      <c r="X42" s="281"/>
      <c r="Y42" s="224">
        <v>85074102.199999973</v>
      </c>
      <c r="Z42" s="281"/>
      <c r="AA42" s="281"/>
      <c r="AB42" s="281"/>
      <c r="AF42" s="347" t="s">
        <v>366</v>
      </c>
    </row>
    <row r="43" spans="1:32" ht="14.45" customHeight="1" x14ac:dyDescent="0.25">
      <c r="A43" s="281" t="str">
        <f t="shared" si="0"/>
        <v>МоскваDDM MOS Sladkaay ZhiznTSL MOS  Moscow 1 Sladkaya Zhizn</v>
      </c>
      <c r="B43" s="297" t="s">
        <v>257</v>
      </c>
      <c r="C43" s="298" t="s">
        <v>363</v>
      </c>
      <c r="D43" s="298" t="s">
        <v>364</v>
      </c>
      <c r="E43" s="299" t="s">
        <v>355</v>
      </c>
      <c r="F43" s="300" t="s">
        <v>367</v>
      </c>
      <c r="G43" s="301"/>
      <c r="H43" s="301"/>
      <c r="I43" s="301"/>
      <c r="J43" s="302"/>
      <c r="K43" s="301"/>
      <c r="L43" s="301">
        <v>0</v>
      </c>
      <c r="M43" s="301">
        <v>0</v>
      </c>
      <c r="N43" s="301">
        <v>0</v>
      </c>
      <c r="O43" s="356"/>
      <c r="P43" s="301">
        <v>0</v>
      </c>
      <c r="Q43" s="301">
        <v>7915.5</v>
      </c>
      <c r="R43" s="301">
        <v>0</v>
      </c>
      <c r="S43" s="301">
        <v>31262.159999999993</v>
      </c>
      <c r="T43" s="301">
        <v>2533045.62</v>
      </c>
      <c r="U43" s="281"/>
      <c r="V43" s="281"/>
      <c r="W43" s="281"/>
      <c r="X43" s="281"/>
      <c r="Y43" s="356">
        <v>67792885.019999981</v>
      </c>
      <c r="Z43" s="281"/>
      <c r="AA43" s="281"/>
      <c r="AB43" s="281"/>
      <c r="AF43" s="347" t="s">
        <v>366</v>
      </c>
    </row>
    <row r="44" spans="1:32" ht="14.45" customHeight="1" x14ac:dyDescent="0.25">
      <c r="A44" s="281" t="str">
        <f t="shared" si="0"/>
        <v>МоскваASM MOS Food Trade+SorsoTSL MOS SPT Moscow Play Sorso</v>
      </c>
      <c r="B44" s="297" t="s">
        <v>257</v>
      </c>
      <c r="C44" s="298" t="s">
        <v>363</v>
      </c>
      <c r="D44" s="298" t="s">
        <v>368</v>
      </c>
      <c r="E44" s="281" t="s">
        <v>359</v>
      </c>
      <c r="F44" s="300" t="s">
        <v>369</v>
      </c>
      <c r="G44" s="301"/>
      <c r="H44" s="301"/>
      <c r="I44" s="301"/>
      <c r="J44" s="302"/>
      <c r="K44" s="301"/>
      <c r="L44" s="302">
        <v>0</v>
      </c>
      <c r="M44" s="302">
        <v>0</v>
      </c>
      <c r="N44" s="302">
        <v>0</v>
      </c>
      <c r="O44" s="302">
        <v>0</v>
      </c>
      <c r="P44" s="302">
        <v>0</v>
      </c>
      <c r="Q44" s="302">
        <v>113749.7</v>
      </c>
      <c r="R44" s="302">
        <v>0</v>
      </c>
      <c r="S44" s="302">
        <v>0</v>
      </c>
      <c r="T44" s="302">
        <v>0</v>
      </c>
      <c r="U44" s="281"/>
      <c r="V44" s="281"/>
      <c r="W44" s="281"/>
      <c r="X44" s="281"/>
      <c r="Y44" s="305"/>
      <c r="Z44" s="281"/>
      <c r="AA44" s="281"/>
      <c r="AB44" s="281"/>
    </row>
    <row r="45" spans="1:32" ht="14.45" customHeight="1" x14ac:dyDescent="0.25">
      <c r="A45" s="281" t="str">
        <f t="shared" si="0"/>
        <v>МоскваASM MOS Food Trade+SorsoTSL MOS SPT Moscow Play Sorso</v>
      </c>
      <c r="B45" s="297" t="s">
        <v>257</v>
      </c>
      <c r="C45" s="298" t="s">
        <v>363</v>
      </c>
      <c r="D45" s="298" t="s">
        <v>368</v>
      </c>
      <c r="E45" s="281" t="s">
        <v>359</v>
      </c>
      <c r="F45" s="300" t="s">
        <v>369</v>
      </c>
      <c r="G45" s="301"/>
      <c r="H45" s="301"/>
      <c r="I45" s="301"/>
      <c r="J45" s="302"/>
      <c r="K45" s="301"/>
      <c r="L45" s="302">
        <v>0</v>
      </c>
      <c r="M45" s="302">
        <v>0</v>
      </c>
      <c r="N45" s="302">
        <v>0</v>
      </c>
      <c r="O45" s="302">
        <v>0</v>
      </c>
      <c r="P45" s="302">
        <v>0</v>
      </c>
      <c r="Q45" s="302">
        <v>2460.6</v>
      </c>
      <c r="R45" s="302">
        <v>0</v>
      </c>
      <c r="S45" s="302">
        <v>0</v>
      </c>
      <c r="T45" s="302">
        <v>0</v>
      </c>
      <c r="U45" s="281"/>
      <c r="V45" s="281"/>
      <c r="W45" s="281"/>
      <c r="X45" s="281"/>
      <c r="Y45" s="305"/>
      <c r="Z45" s="281"/>
      <c r="AA45" s="281"/>
      <c r="AB45" s="281"/>
    </row>
    <row r="46" spans="1:32" ht="14.45" customHeight="1" x14ac:dyDescent="0.25">
      <c r="A46" s="281" t="str">
        <f t="shared" si="0"/>
        <v>МоскваASM MOS Food Trade+SorsoTSL MOS Grocery Mos Obl AS-Market</v>
      </c>
      <c r="B46" s="297" t="s">
        <v>257</v>
      </c>
      <c r="C46" s="298" t="s">
        <v>363</v>
      </c>
      <c r="D46" s="298" t="s">
        <v>368</v>
      </c>
      <c r="E46" s="299" t="s">
        <v>373</v>
      </c>
      <c r="F46" s="300" t="s">
        <v>374</v>
      </c>
      <c r="G46" s="301">
        <v>1</v>
      </c>
      <c r="H46" s="301"/>
      <c r="I46" s="301"/>
      <c r="J46" s="302"/>
      <c r="K46" s="356"/>
      <c r="L46" s="356">
        <v>0</v>
      </c>
      <c r="M46" s="356">
        <v>0</v>
      </c>
      <c r="N46" s="356">
        <v>0</v>
      </c>
      <c r="O46" s="356">
        <v>0</v>
      </c>
      <c r="P46" s="356">
        <v>0</v>
      </c>
      <c r="Q46" s="356">
        <v>1531398.9</v>
      </c>
      <c r="R46" s="356">
        <v>0</v>
      </c>
      <c r="S46" s="356">
        <v>0</v>
      </c>
      <c r="T46" s="356">
        <v>0</v>
      </c>
      <c r="U46" s="357"/>
      <c r="V46" s="357"/>
      <c r="W46" s="357"/>
      <c r="X46" s="357"/>
      <c r="Z46" s="357">
        <f>246824.9517*13</f>
        <v>3208724.3721000003</v>
      </c>
      <c r="AA46" s="357"/>
      <c r="AB46" s="357"/>
    </row>
    <row r="47" spans="1:32" ht="14.45" customHeight="1" x14ac:dyDescent="0.25">
      <c r="A47" s="281" t="str">
        <f t="shared" si="0"/>
        <v>МоскваASM MOS Food Trade+SorsoTSL MOS SPT Moscow Play Sorso</v>
      </c>
      <c r="B47" s="297" t="s">
        <v>257</v>
      </c>
      <c r="C47" s="298" t="s">
        <v>363</v>
      </c>
      <c r="D47" s="298" t="s">
        <v>368</v>
      </c>
      <c r="E47" s="281" t="s">
        <v>359</v>
      </c>
      <c r="F47" s="300" t="s">
        <v>369</v>
      </c>
      <c r="G47" s="301"/>
      <c r="H47" s="301"/>
      <c r="I47" s="301"/>
      <c r="J47" s="302"/>
      <c r="K47" s="301"/>
      <c r="L47" s="302">
        <v>35998.819999999992</v>
      </c>
      <c r="M47" s="302">
        <v>0</v>
      </c>
      <c r="N47" s="302">
        <v>0</v>
      </c>
      <c r="O47" s="302">
        <v>0</v>
      </c>
      <c r="P47" s="302">
        <v>0</v>
      </c>
      <c r="Q47" s="302">
        <v>9500000</v>
      </c>
      <c r="R47" s="302">
        <v>0</v>
      </c>
      <c r="S47" s="302">
        <v>0</v>
      </c>
      <c r="T47" s="302">
        <v>0</v>
      </c>
      <c r="U47" s="281"/>
      <c r="V47" s="281"/>
      <c r="W47" s="281"/>
      <c r="X47" s="281"/>
      <c r="Y47" s="305"/>
      <c r="Z47" s="281"/>
      <c r="AA47" s="281"/>
      <c r="AB47" s="281"/>
    </row>
    <row r="48" spans="1:32" ht="14.45" customHeight="1" x14ac:dyDescent="0.25">
      <c r="A48" s="281" t="str">
        <f t="shared" si="0"/>
        <v>МосковскаяASM MOS Food Trade+SorsoTSL MOS SPT Moscow Play Sorso</v>
      </c>
      <c r="B48" s="297" t="s">
        <v>229</v>
      </c>
      <c r="C48" s="298" t="s">
        <v>363</v>
      </c>
      <c r="D48" s="298" t="s">
        <v>368</v>
      </c>
      <c r="E48" s="281" t="s">
        <v>359</v>
      </c>
      <c r="F48" s="300" t="s">
        <v>369</v>
      </c>
      <c r="G48" s="301"/>
      <c r="H48" s="301"/>
      <c r="I48" s="301"/>
      <c r="J48" s="302"/>
      <c r="K48" s="301"/>
      <c r="L48" s="302">
        <v>0</v>
      </c>
      <c r="M48" s="302">
        <v>566466.16</v>
      </c>
      <c r="N48" s="302">
        <v>0</v>
      </c>
      <c r="O48" s="302">
        <v>0</v>
      </c>
      <c r="P48" s="302">
        <v>0</v>
      </c>
      <c r="Q48" s="302">
        <v>101427.09999999998</v>
      </c>
      <c r="R48" s="302">
        <v>0</v>
      </c>
      <c r="S48" s="302">
        <v>0</v>
      </c>
      <c r="T48" s="302">
        <v>0</v>
      </c>
      <c r="U48" s="281"/>
      <c r="V48" s="281"/>
      <c r="W48" s="281"/>
      <c r="X48" s="281"/>
      <c r="Y48" s="307">
        <v>4983223.1399999978</v>
      </c>
      <c r="Z48" s="281"/>
      <c r="AA48" s="281"/>
      <c r="AB48" s="281"/>
      <c r="AF48" s="304" t="s">
        <v>375</v>
      </c>
    </row>
    <row r="49" spans="1:33" ht="14.45" customHeight="1" x14ac:dyDescent="0.25">
      <c r="A49" s="281" t="str">
        <f t="shared" si="0"/>
        <v>МосковскаяASM MOS Food Trade+SorsoTSL MOS Grocery Mos Obl AS-Market</v>
      </c>
      <c r="B49" s="297" t="s">
        <v>229</v>
      </c>
      <c r="C49" s="298" t="s">
        <v>363</v>
      </c>
      <c r="D49" s="298" t="s">
        <v>368</v>
      </c>
      <c r="E49" s="299" t="s">
        <v>373</v>
      </c>
      <c r="F49" s="300" t="s">
        <v>367</v>
      </c>
      <c r="G49" s="301"/>
      <c r="H49" s="301"/>
      <c r="I49" s="301"/>
      <c r="J49" s="302"/>
      <c r="K49" s="356"/>
      <c r="L49" s="356">
        <v>0</v>
      </c>
      <c r="M49" s="356">
        <v>0</v>
      </c>
      <c r="N49" s="356">
        <v>0</v>
      </c>
      <c r="O49" s="356">
        <v>120703.57999999999</v>
      </c>
      <c r="P49" s="356">
        <v>0</v>
      </c>
      <c r="Q49" s="356">
        <v>371869.96999999991</v>
      </c>
      <c r="R49" s="356">
        <v>0</v>
      </c>
      <c r="S49" s="356">
        <v>25519.75</v>
      </c>
      <c r="T49" s="356">
        <v>0</v>
      </c>
      <c r="U49" s="357"/>
      <c r="V49" s="357"/>
      <c r="W49" s="357"/>
      <c r="X49" s="357"/>
      <c r="Z49" s="357"/>
      <c r="AA49" s="357"/>
      <c r="AB49" s="357"/>
    </row>
    <row r="50" spans="1:33" ht="14.45" customHeight="1" x14ac:dyDescent="0.25">
      <c r="A50" s="281" t="str">
        <f t="shared" si="0"/>
        <v>МосковскаяASM MOS Food Trade+SorsoTSL MOS SPT Moscow Play Sorso</v>
      </c>
      <c r="B50" s="297" t="s">
        <v>229</v>
      </c>
      <c r="C50" s="298" t="s">
        <v>363</v>
      </c>
      <c r="D50" s="298" t="s">
        <v>368</v>
      </c>
      <c r="E50" s="281" t="s">
        <v>359</v>
      </c>
      <c r="F50" s="300" t="s">
        <v>369</v>
      </c>
      <c r="G50" s="301"/>
      <c r="H50" s="301"/>
      <c r="I50" s="301"/>
      <c r="J50" s="302"/>
      <c r="K50" s="301"/>
      <c r="L50" s="302">
        <v>0</v>
      </c>
      <c r="M50" s="302">
        <v>16695851.649999999</v>
      </c>
      <c r="N50" s="302">
        <v>0</v>
      </c>
      <c r="O50" s="302">
        <v>71189.710000000021</v>
      </c>
      <c r="P50" s="302">
        <v>460812.42999999993</v>
      </c>
      <c r="Q50" s="302">
        <v>23495219.850000001</v>
      </c>
      <c r="R50" s="302">
        <v>203392.41999999998</v>
      </c>
      <c r="S50" s="302">
        <v>1253900.6299999952</v>
      </c>
      <c r="T50" s="302">
        <v>60387295.880000003</v>
      </c>
      <c r="U50" s="281"/>
      <c r="V50" s="281"/>
      <c r="W50" s="281"/>
      <c r="X50" s="281"/>
      <c r="Y50" s="305"/>
      <c r="Z50" s="281"/>
      <c r="AA50" s="281"/>
      <c r="AB50" s="281"/>
    </row>
    <row r="51" spans="1:33" ht="14.45" customHeight="1" x14ac:dyDescent="0.25">
      <c r="A51" s="281" t="str">
        <f t="shared" si="0"/>
        <v>МосковскаяASM MOS Food Trade+SorsoTSL MOS Grocery Mos Obl AS-Market</v>
      </c>
      <c r="B51" s="297" t="s">
        <v>229</v>
      </c>
      <c r="C51" s="298" t="s">
        <v>363</v>
      </c>
      <c r="D51" s="298" t="s">
        <v>368</v>
      </c>
      <c r="E51" s="299" t="s">
        <v>373</v>
      </c>
      <c r="F51" s="300" t="s">
        <v>374</v>
      </c>
      <c r="G51" s="301"/>
      <c r="H51" s="301"/>
      <c r="I51" s="301"/>
      <c r="J51" s="302"/>
      <c r="K51" s="356"/>
      <c r="L51" s="356">
        <v>0</v>
      </c>
      <c r="M51" s="356">
        <v>0</v>
      </c>
      <c r="N51" s="356">
        <v>0</v>
      </c>
      <c r="O51" s="356">
        <v>85685187.23999998</v>
      </c>
      <c r="P51" s="356">
        <v>5175767.47</v>
      </c>
      <c r="Q51" s="356">
        <v>97019.61</v>
      </c>
      <c r="R51" s="356">
        <v>0</v>
      </c>
      <c r="S51" s="356">
        <v>0</v>
      </c>
      <c r="T51" s="356">
        <v>0</v>
      </c>
      <c r="U51" s="357"/>
      <c r="V51" s="357"/>
      <c r="W51" s="357"/>
      <c r="X51" s="357"/>
      <c r="Z51" s="357"/>
      <c r="AA51" s="357"/>
      <c r="AB51" s="357"/>
      <c r="AF51" s="304" t="s">
        <v>143</v>
      </c>
      <c r="AG51" s="281" t="s">
        <v>376</v>
      </c>
    </row>
    <row r="52" spans="1:33" ht="14.45" customHeight="1" x14ac:dyDescent="0.25">
      <c r="A52" s="281" t="str">
        <f t="shared" si="0"/>
        <v>МосковскаяASM MOS Food Trade+SorsoTSL MOS SPT Moscow Play Sorso</v>
      </c>
      <c r="B52" s="297" t="s">
        <v>229</v>
      </c>
      <c r="C52" s="298" t="s">
        <v>363</v>
      </c>
      <c r="D52" s="298" t="s">
        <v>368</v>
      </c>
      <c r="E52" s="281" t="s">
        <v>359</v>
      </c>
      <c r="F52" s="300" t="s">
        <v>369</v>
      </c>
      <c r="G52" s="301"/>
      <c r="H52" s="301"/>
      <c r="I52" s="301"/>
      <c r="J52" s="302"/>
      <c r="K52" s="301"/>
      <c r="L52" s="302">
        <v>0</v>
      </c>
      <c r="M52" s="302">
        <v>0</v>
      </c>
      <c r="N52" s="302">
        <v>0</v>
      </c>
      <c r="O52" s="302">
        <v>0</v>
      </c>
      <c r="P52" s="302">
        <v>6151.5</v>
      </c>
      <c r="Q52" s="302">
        <v>159275.74999999997</v>
      </c>
      <c r="R52" s="302">
        <v>0</v>
      </c>
      <c r="S52" s="302">
        <v>0</v>
      </c>
      <c r="T52" s="302">
        <v>0</v>
      </c>
      <c r="U52" s="281"/>
      <c r="V52" s="281"/>
      <c r="W52" s="281"/>
      <c r="X52" s="281"/>
      <c r="Y52" s="305"/>
      <c r="Z52" s="281"/>
      <c r="AA52" s="281"/>
      <c r="AB52" s="281"/>
    </row>
    <row r="53" spans="1:33" ht="14.45" customHeight="1" x14ac:dyDescent="0.25">
      <c r="A53" s="281" t="str">
        <f t="shared" si="0"/>
        <v>МосковскаяDDM MOS Sladkaay ZhiznTSL MOS  Moscow 1 Sladkaya Zhizn</v>
      </c>
      <c r="B53" s="297" t="s">
        <v>229</v>
      </c>
      <c r="C53" s="298" t="s">
        <v>363</v>
      </c>
      <c r="D53" s="308" t="s">
        <v>364</v>
      </c>
      <c r="E53" s="299" t="s">
        <v>355</v>
      </c>
      <c r="F53" s="300" t="s">
        <v>367</v>
      </c>
      <c r="G53" s="301"/>
      <c r="H53" s="301"/>
      <c r="I53" s="301"/>
      <c r="J53" s="302"/>
      <c r="K53" s="301"/>
      <c r="L53" s="301">
        <v>0</v>
      </c>
      <c r="M53" s="301">
        <v>0</v>
      </c>
      <c r="N53" s="301">
        <v>0</v>
      </c>
      <c r="O53" s="326">
        <v>999864.46999999986</v>
      </c>
      <c r="P53" s="302">
        <v>63825.824999999997</v>
      </c>
      <c r="Q53" s="302">
        <v>84829.294999999998</v>
      </c>
      <c r="R53" s="302">
        <v>0</v>
      </c>
      <c r="S53" s="302">
        <v>7066.6949999999997</v>
      </c>
      <c r="T53" s="302">
        <v>0</v>
      </c>
      <c r="U53" s="281"/>
      <c r="V53" s="281"/>
      <c r="W53" s="281"/>
      <c r="X53" s="281"/>
      <c r="Y53" s="305">
        <v>7046878.6800000081</v>
      </c>
      <c r="Z53" s="281"/>
      <c r="AA53" s="281"/>
      <c r="AB53" s="281"/>
      <c r="AF53" s="347" t="s">
        <v>366</v>
      </c>
    </row>
    <row r="54" spans="1:33" ht="14.45" customHeight="1" x14ac:dyDescent="0.25">
      <c r="A54" s="281" t="str">
        <f t="shared" si="0"/>
        <v>МосковскаяASM MOS Food Trade+SorsoTSL MOS SPT Moscow Play Sorso</v>
      </c>
      <c r="B54" s="297" t="s">
        <v>229</v>
      </c>
      <c r="C54" s="298" t="s">
        <v>363</v>
      </c>
      <c r="D54" s="298" t="s">
        <v>368</v>
      </c>
      <c r="E54" s="281" t="s">
        <v>359</v>
      </c>
      <c r="F54" s="300" t="s">
        <v>369</v>
      </c>
      <c r="G54" s="301"/>
      <c r="H54" s="301"/>
      <c r="I54" s="301"/>
      <c r="J54" s="302"/>
      <c r="K54" s="301"/>
      <c r="L54" s="302">
        <v>0</v>
      </c>
      <c r="M54" s="302">
        <v>0</v>
      </c>
      <c r="N54" s="302">
        <v>0</v>
      </c>
      <c r="O54" s="302">
        <v>6943.3199999999988</v>
      </c>
      <c r="P54" s="302">
        <v>1855061.3900000018</v>
      </c>
      <c r="Q54" s="302">
        <v>8517989.4000000004</v>
      </c>
      <c r="R54" s="302">
        <v>0</v>
      </c>
      <c r="S54" s="302">
        <v>15538.850000000002</v>
      </c>
      <c r="T54" s="302">
        <v>0</v>
      </c>
      <c r="U54" s="281"/>
      <c r="V54" s="281"/>
      <c r="W54" s="281"/>
      <c r="X54" s="281"/>
      <c r="Y54" s="305"/>
      <c r="Z54" s="281"/>
      <c r="AA54" s="281"/>
      <c r="AB54" s="281"/>
    </row>
    <row r="55" spans="1:33" ht="14.45" customHeight="1" x14ac:dyDescent="0.25">
      <c r="A55" s="281" t="str">
        <f t="shared" si="0"/>
        <v>МосковскаяASM MOS Food Trade+SorsoTSL MOS SPT Moscow Play Sorso</v>
      </c>
      <c r="B55" s="297" t="s">
        <v>229</v>
      </c>
      <c r="C55" s="298" t="s">
        <v>363</v>
      </c>
      <c r="D55" s="298" t="s">
        <v>368</v>
      </c>
      <c r="E55" s="281" t="s">
        <v>359</v>
      </c>
      <c r="F55" s="300" t="s">
        <v>369</v>
      </c>
      <c r="G55" s="301"/>
      <c r="H55" s="301"/>
      <c r="I55" s="301"/>
      <c r="J55" s="302"/>
      <c r="K55" s="301"/>
      <c r="L55" s="302">
        <v>0</v>
      </c>
      <c r="M55" s="302">
        <v>0</v>
      </c>
      <c r="N55" s="302">
        <v>0</v>
      </c>
      <c r="O55" s="302">
        <v>0</v>
      </c>
      <c r="P55" s="302">
        <v>0</v>
      </c>
      <c r="Q55" s="302">
        <v>311135.37</v>
      </c>
      <c r="R55" s="302">
        <v>0</v>
      </c>
      <c r="S55" s="302">
        <v>0</v>
      </c>
      <c r="T55" s="302">
        <v>0</v>
      </c>
      <c r="U55" s="281"/>
      <c r="V55" s="281"/>
      <c r="W55" s="281"/>
      <c r="X55" s="281"/>
      <c r="Y55" s="305"/>
      <c r="Z55" s="281"/>
      <c r="AA55" s="281"/>
      <c r="AB55" s="281"/>
    </row>
    <row r="56" spans="1:33" ht="14.45" customHeight="1" x14ac:dyDescent="0.25">
      <c r="A56" s="281" t="str">
        <f t="shared" si="0"/>
        <v>МосковскаяASM MOS Food Trade+SorsoTSL MOS SPT Moscow Play Sorso</v>
      </c>
      <c r="B56" s="297" t="s">
        <v>229</v>
      </c>
      <c r="C56" s="298" t="s">
        <v>363</v>
      </c>
      <c r="D56" s="298" t="s">
        <v>368</v>
      </c>
      <c r="E56" s="299" t="s">
        <v>359</v>
      </c>
      <c r="F56" s="300" t="s">
        <v>367</v>
      </c>
      <c r="G56" s="301"/>
      <c r="H56" s="301"/>
      <c r="I56" s="301"/>
      <c r="J56" s="302"/>
      <c r="K56" s="301"/>
      <c r="L56" s="301">
        <v>0</v>
      </c>
      <c r="M56" s="301">
        <v>0</v>
      </c>
      <c r="N56" s="301">
        <v>0</v>
      </c>
      <c r="O56" s="301">
        <v>4845344.1499999985</v>
      </c>
      <c r="P56" s="301">
        <v>33984.340000000004</v>
      </c>
      <c r="Q56" s="301">
        <v>0</v>
      </c>
      <c r="R56" s="301">
        <v>0</v>
      </c>
      <c r="S56" s="301">
        <v>103191.76999999997</v>
      </c>
      <c r="T56" s="301">
        <v>0</v>
      </c>
      <c r="U56" s="281"/>
      <c r="V56" s="281"/>
      <c r="W56" s="281"/>
      <c r="X56" s="281"/>
      <c r="Y56" s="305"/>
      <c r="Z56" s="281"/>
      <c r="AA56" s="281"/>
      <c r="AB56" s="281"/>
    </row>
    <row r="57" spans="1:33" ht="14.45" customHeight="1" x14ac:dyDescent="0.25">
      <c r="A57" s="281" t="str">
        <f t="shared" si="0"/>
        <v>МосковскаяASM MOS Food Trade+SorsoTSL MOS SPT Moscow Play Sorso</v>
      </c>
      <c r="B57" s="297" t="s">
        <v>229</v>
      </c>
      <c r="C57" s="298" t="s">
        <v>363</v>
      </c>
      <c r="D57" s="298" t="s">
        <v>368</v>
      </c>
      <c r="E57" s="281" t="s">
        <v>359</v>
      </c>
      <c r="F57" s="300" t="s">
        <v>369</v>
      </c>
      <c r="G57" s="301"/>
      <c r="H57" s="301"/>
      <c r="I57" s="301"/>
      <c r="J57" s="302"/>
      <c r="K57" s="301"/>
      <c r="L57" s="302">
        <v>0</v>
      </c>
      <c r="M57" s="302">
        <v>0</v>
      </c>
      <c r="N57" s="302">
        <v>0</v>
      </c>
      <c r="O57" s="302">
        <v>0</v>
      </c>
      <c r="P57" s="302">
        <v>6093.4299999999994</v>
      </c>
      <c r="Q57" s="302">
        <v>401168.70000000013</v>
      </c>
      <c r="R57" s="302">
        <v>0</v>
      </c>
      <c r="S57" s="302">
        <v>1735.52</v>
      </c>
      <c r="T57" s="302">
        <v>0</v>
      </c>
      <c r="U57" s="281"/>
      <c r="V57" s="281"/>
      <c r="W57" s="281"/>
      <c r="X57" s="281"/>
      <c r="Y57" s="305"/>
      <c r="Z57" s="281"/>
      <c r="AA57" s="281"/>
      <c r="AB57" s="281"/>
    </row>
    <row r="58" spans="1:33" ht="14.45" customHeight="1" x14ac:dyDescent="0.25">
      <c r="A58" s="281" t="str">
        <f t="shared" si="0"/>
        <v>МосковскаяASM MOS Food Trade+SorsoTSL MOS Grocery Mos Obl AS-Market</v>
      </c>
      <c r="B58" s="297" t="s">
        <v>229</v>
      </c>
      <c r="C58" s="298" t="s">
        <v>363</v>
      </c>
      <c r="D58" s="298" t="s">
        <v>368</v>
      </c>
      <c r="E58" s="299" t="s">
        <v>373</v>
      </c>
      <c r="F58" s="300" t="s">
        <v>374</v>
      </c>
      <c r="G58" s="301"/>
      <c r="H58" s="301"/>
      <c r="I58" s="301"/>
      <c r="J58" s="302"/>
      <c r="K58" s="356"/>
      <c r="L58" s="356">
        <v>0</v>
      </c>
      <c r="M58" s="356">
        <v>0</v>
      </c>
      <c r="N58" s="356">
        <v>0</v>
      </c>
      <c r="O58" s="356">
        <v>3081161.5200000005</v>
      </c>
      <c r="P58" s="356">
        <v>28044631.830000002</v>
      </c>
      <c r="Q58" s="356">
        <v>33796351.219999991</v>
      </c>
      <c r="R58" s="356">
        <v>69634.62999999999</v>
      </c>
      <c r="S58" s="356">
        <v>7595386.3100000042</v>
      </c>
      <c r="T58" s="356">
        <v>5110012.370000001</v>
      </c>
      <c r="U58" s="357"/>
      <c r="V58" s="357"/>
      <c r="W58" s="357"/>
      <c r="X58" s="357"/>
      <c r="Z58" s="357"/>
      <c r="AA58" s="357"/>
      <c r="AB58" s="357"/>
    </row>
    <row r="59" spans="1:33" ht="14.45" customHeight="1" x14ac:dyDescent="0.25">
      <c r="A59" s="281" t="str">
        <f t="shared" si="0"/>
        <v>МосковскаяASM MOS Food Trade+SorsoTSL MOS Grocery Mos Obl AS-Market</v>
      </c>
      <c r="B59" s="297" t="s">
        <v>229</v>
      </c>
      <c r="C59" s="298" t="s">
        <v>363</v>
      </c>
      <c r="D59" s="298" t="s">
        <v>368</v>
      </c>
      <c r="E59" s="299" t="s">
        <v>373</v>
      </c>
      <c r="F59" s="300" t="s">
        <v>374</v>
      </c>
      <c r="G59" s="301"/>
      <c r="H59" s="301"/>
      <c r="I59" s="301"/>
      <c r="J59" s="302"/>
      <c r="K59" s="356"/>
      <c r="L59" s="356">
        <v>0</v>
      </c>
      <c r="M59" s="356">
        <v>25414888.32</v>
      </c>
      <c r="N59" s="356">
        <v>1440482.8600000003</v>
      </c>
      <c r="O59" s="356">
        <v>350754.54</v>
      </c>
      <c r="P59" s="356">
        <v>3676415.3499999996</v>
      </c>
      <c r="Q59" s="356"/>
      <c r="R59" s="356">
        <v>0</v>
      </c>
      <c r="S59" s="356">
        <v>2525054.6600000015</v>
      </c>
      <c r="T59" s="356">
        <v>51740454.839999996</v>
      </c>
      <c r="U59" s="357"/>
      <c r="V59" s="357"/>
      <c r="W59" s="357"/>
      <c r="X59" s="357"/>
      <c r="Z59" s="357"/>
      <c r="AA59" s="357"/>
      <c r="AB59" s="357"/>
    </row>
    <row r="60" spans="1:33" ht="14.45" customHeight="1" x14ac:dyDescent="0.25">
      <c r="A60" s="281" t="str">
        <f t="shared" si="0"/>
        <v>МосковскаяASM MOS Food Trade+SorsoTSL MOS SPT Moscow Play Sorso</v>
      </c>
      <c r="B60" s="297" t="s">
        <v>229</v>
      </c>
      <c r="C60" s="298" t="s">
        <v>363</v>
      </c>
      <c r="D60" s="298" t="s">
        <v>368</v>
      </c>
      <c r="E60" s="281" t="s">
        <v>359</v>
      </c>
      <c r="F60" s="300" t="s">
        <v>369</v>
      </c>
      <c r="G60" s="301"/>
      <c r="H60" s="301"/>
      <c r="I60" s="301"/>
      <c r="J60" s="302"/>
      <c r="K60" s="301"/>
      <c r="L60" s="302">
        <v>0</v>
      </c>
      <c r="M60" s="302">
        <v>0</v>
      </c>
      <c r="N60" s="302">
        <v>5204556.9600000037</v>
      </c>
      <c r="O60" s="302">
        <v>0</v>
      </c>
      <c r="P60" s="302">
        <v>274655.31999999995</v>
      </c>
      <c r="Q60" s="302">
        <v>10367943.239999996</v>
      </c>
      <c r="R60" s="302">
        <v>4327046.95</v>
      </c>
      <c r="S60" s="302">
        <v>0</v>
      </c>
      <c r="T60" s="302">
        <v>0</v>
      </c>
      <c r="U60" s="281"/>
      <c r="V60" s="281"/>
      <c r="W60" s="281"/>
      <c r="X60" s="281"/>
      <c r="Y60" s="305"/>
      <c r="Z60" s="281"/>
      <c r="AA60" s="281"/>
      <c r="AB60" s="281"/>
    </row>
    <row r="61" spans="1:33" ht="14.45" customHeight="1" x14ac:dyDescent="0.25">
      <c r="A61" s="281" t="str">
        <f t="shared" si="0"/>
        <v>МосковскаяASM MOS Food Trade+SorsoTSL MOS SPT Moscow Play Sorso</v>
      </c>
      <c r="B61" s="297" t="s">
        <v>229</v>
      </c>
      <c r="C61" s="298" t="s">
        <v>363</v>
      </c>
      <c r="D61" s="298" t="s">
        <v>368</v>
      </c>
      <c r="E61" s="281" t="s">
        <v>359</v>
      </c>
      <c r="F61" s="300" t="s">
        <v>369</v>
      </c>
      <c r="G61" s="301"/>
      <c r="H61" s="301"/>
      <c r="I61" s="301"/>
      <c r="J61" s="302"/>
      <c r="K61" s="301"/>
      <c r="L61" s="302">
        <v>0</v>
      </c>
      <c r="M61" s="302">
        <v>0</v>
      </c>
      <c r="N61" s="302">
        <v>0</v>
      </c>
      <c r="O61" s="302">
        <v>0</v>
      </c>
      <c r="P61" s="302">
        <v>718479.35000000009</v>
      </c>
      <c r="Q61" s="302">
        <v>10322470.740000006</v>
      </c>
      <c r="R61" s="302">
        <v>2298842.4200000009</v>
      </c>
      <c r="S61" s="302">
        <v>320162.79999999987</v>
      </c>
      <c r="T61" s="302">
        <v>135906514.19999999</v>
      </c>
      <c r="U61" s="281"/>
      <c r="V61" s="281"/>
      <c r="W61" s="281"/>
      <c r="X61" s="281"/>
      <c r="Y61" s="305"/>
      <c r="Z61" s="281"/>
      <c r="AA61" s="281"/>
      <c r="AB61" s="281"/>
    </row>
    <row r="62" spans="1:33" ht="14.45" customHeight="1" x14ac:dyDescent="0.25">
      <c r="A62" s="281" t="str">
        <f t="shared" si="0"/>
        <v>МосковскаяASM MOS Food Trade+SorsoTSL MOS SPT Moscow Play Sorso</v>
      </c>
      <c r="B62" s="297" t="s">
        <v>229</v>
      </c>
      <c r="C62" s="298" t="s">
        <v>363</v>
      </c>
      <c r="D62" s="298" t="s">
        <v>368</v>
      </c>
      <c r="E62" s="281" t="s">
        <v>359</v>
      </c>
      <c r="F62" s="300" t="s">
        <v>369</v>
      </c>
      <c r="G62" s="301"/>
      <c r="H62" s="301"/>
      <c r="I62" s="301"/>
      <c r="J62" s="302"/>
      <c r="K62" s="301"/>
      <c r="L62" s="302">
        <v>0</v>
      </c>
      <c r="M62" s="302">
        <v>0</v>
      </c>
      <c r="N62" s="302">
        <v>0</v>
      </c>
      <c r="O62" s="302">
        <v>0</v>
      </c>
      <c r="P62" s="302">
        <v>0</v>
      </c>
      <c r="Q62" s="302">
        <v>76737.759999999995</v>
      </c>
      <c r="R62" s="302">
        <v>0</v>
      </c>
      <c r="S62" s="302">
        <v>0</v>
      </c>
      <c r="T62" s="302">
        <v>0</v>
      </c>
      <c r="U62" s="281"/>
      <c r="V62" s="281"/>
      <c r="W62" s="281"/>
      <c r="X62" s="281"/>
      <c r="Y62" s="305"/>
      <c r="Z62" s="281"/>
      <c r="AA62" s="281"/>
      <c r="AB62" s="281"/>
    </row>
    <row r="63" spans="1:33" ht="14.45" customHeight="1" x14ac:dyDescent="0.25">
      <c r="A63" s="281" t="str">
        <f t="shared" si="0"/>
        <v>МосковскаяDDM MOS Sladkaay ZhiznTSL MOS  Moscow 1 Sladkaya Zhizn</v>
      </c>
      <c r="B63" s="297" t="s">
        <v>229</v>
      </c>
      <c r="C63" s="298" t="s">
        <v>363</v>
      </c>
      <c r="D63" s="298" t="s">
        <v>364</v>
      </c>
      <c r="E63" s="299" t="s">
        <v>355</v>
      </c>
      <c r="F63" s="300" t="s">
        <v>367</v>
      </c>
      <c r="G63" s="301"/>
      <c r="H63" s="301"/>
      <c r="I63" s="301"/>
      <c r="J63" s="302"/>
      <c r="K63" s="301"/>
      <c r="L63" s="301">
        <v>0</v>
      </c>
      <c r="M63" s="301">
        <v>0</v>
      </c>
      <c r="N63" s="301">
        <v>0</v>
      </c>
      <c r="O63" s="356">
        <v>744141.68999998644</v>
      </c>
      <c r="P63" s="301">
        <v>8968750.9700000044</v>
      </c>
      <c r="Q63" s="301">
        <v>38342714.520000026</v>
      </c>
      <c r="R63" s="301">
        <v>0</v>
      </c>
      <c r="S63" s="301">
        <v>21459629.389999997</v>
      </c>
      <c r="T63" s="301">
        <v>69914234.530000001</v>
      </c>
      <c r="U63" s="281"/>
      <c r="V63" s="281"/>
      <c r="W63" s="281"/>
      <c r="X63" s="281"/>
      <c r="Y63" s="303">
        <v>696849.14</v>
      </c>
      <c r="Z63" s="281"/>
      <c r="AA63" s="281"/>
      <c r="AB63" s="281"/>
      <c r="AF63" s="347" t="s">
        <v>366</v>
      </c>
    </row>
    <row r="64" spans="1:33" ht="14.45" customHeight="1" x14ac:dyDescent="0.25">
      <c r="A64" s="281" t="str">
        <f t="shared" si="0"/>
        <v>МосковскаяASM MOS Food Trade+SorsoTSL MOS SPT Moscow Play Sorso</v>
      </c>
      <c r="B64" s="297" t="s">
        <v>229</v>
      </c>
      <c r="C64" s="298" t="s">
        <v>363</v>
      </c>
      <c r="D64" s="298" t="s">
        <v>368</v>
      </c>
      <c r="E64" s="281" t="s">
        <v>359</v>
      </c>
      <c r="F64" s="300" t="s">
        <v>369</v>
      </c>
      <c r="G64" s="301"/>
      <c r="H64" s="301"/>
      <c r="I64" s="301"/>
      <c r="J64" s="302"/>
      <c r="K64" s="301"/>
      <c r="L64" s="302">
        <v>0</v>
      </c>
      <c r="M64" s="302">
        <v>0</v>
      </c>
      <c r="N64" s="302">
        <v>0</v>
      </c>
      <c r="O64" s="302">
        <v>0</v>
      </c>
      <c r="P64" s="302">
        <v>0</v>
      </c>
      <c r="Q64" s="302">
        <v>420271.38</v>
      </c>
      <c r="R64" s="302">
        <v>0</v>
      </c>
      <c r="S64" s="302">
        <v>0</v>
      </c>
      <c r="T64" s="302">
        <v>0</v>
      </c>
      <c r="U64" s="281"/>
      <c r="V64" s="281"/>
      <c r="W64" s="281"/>
      <c r="X64" s="281"/>
      <c r="Y64" s="305"/>
      <c r="Z64" s="281"/>
      <c r="AA64" s="281"/>
      <c r="AB64" s="281"/>
    </row>
    <row r="65" spans="1:32" ht="14.45" customHeight="1" x14ac:dyDescent="0.25">
      <c r="A65" s="281" t="str">
        <f t="shared" si="0"/>
        <v>МосковскаяASM MOS Food Trade+SorsoTSL MOS Grocery Mos Obl AS-Market</v>
      </c>
      <c r="B65" s="297" t="s">
        <v>229</v>
      </c>
      <c r="C65" s="298" t="s">
        <v>363</v>
      </c>
      <c r="D65" s="298" t="s">
        <v>368</v>
      </c>
      <c r="E65" s="299" t="s">
        <v>373</v>
      </c>
      <c r="F65" s="300" t="s">
        <v>374</v>
      </c>
      <c r="G65" s="301"/>
      <c r="H65" s="301"/>
      <c r="I65" s="301"/>
      <c r="J65" s="302"/>
      <c r="K65" s="356"/>
      <c r="L65" s="356">
        <v>0</v>
      </c>
      <c r="M65" s="356">
        <v>0</v>
      </c>
      <c r="N65" s="356">
        <v>0</v>
      </c>
      <c r="O65" s="356">
        <v>0</v>
      </c>
      <c r="P65" s="356">
        <v>15442.78</v>
      </c>
      <c r="Q65" s="356">
        <v>0</v>
      </c>
      <c r="R65" s="356">
        <v>0</v>
      </c>
      <c r="S65" s="356">
        <v>15118.679999999998</v>
      </c>
      <c r="T65" s="356">
        <v>0</v>
      </c>
      <c r="U65" s="357"/>
      <c r="V65" s="357"/>
      <c r="W65" s="357"/>
      <c r="X65" s="357"/>
      <c r="Z65" s="357"/>
      <c r="AA65" s="357"/>
      <c r="AB65" s="357"/>
    </row>
    <row r="66" spans="1:32" ht="14.45" customHeight="1" x14ac:dyDescent="0.25">
      <c r="A66" s="281" t="str">
        <f t="shared" si="0"/>
        <v>МосковскаяASM MOS Food Trade+SorsoTSL MOS SPT Moscow Play Sorso</v>
      </c>
      <c r="B66" s="297" t="s">
        <v>229</v>
      </c>
      <c r="C66" s="298" t="s">
        <v>363</v>
      </c>
      <c r="D66" s="298" t="s">
        <v>368</v>
      </c>
      <c r="E66" s="281" t="s">
        <v>359</v>
      </c>
      <c r="F66" s="300" t="s">
        <v>369</v>
      </c>
      <c r="G66" s="301"/>
      <c r="H66" s="301"/>
      <c r="I66" s="301"/>
      <c r="J66" s="302"/>
      <c r="K66" s="301"/>
      <c r="L66" s="302">
        <v>0</v>
      </c>
      <c r="M66" s="302">
        <v>0</v>
      </c>
      <c r="N66" s="302">
        <v>0</v>
      </c>
      <c r="O66" s="302">
        <v>0</v>
      </c>
      <c r="P66" s="302">
        <v>2366.4</v>
      </c>
      <c r="Q66" s="302">
        <v>161273.76999999999</v>
      </c>
      <c r="R66" s="302">
        <v>0</v>
      </c>
      <c r="S66" s="302">
        <v>0</v>
      </c>
      <c r="T66" s="302">
        <v>0</v>
      </c>
      <c r="U66" s="281"/>
      <c r="V66" s="281"/>
      <c r="W66" s="281"/>
      <c r="X66" s="281"/>
      <c r="Y66" s="305"/>
      <c r="Z66" s="281"/>
      <c r="AA66" s="281"/>
      <c r="AB66" s="281"/>
    </row>
    <row r="67" spans="1:32" ht="14.45" customHeight="1" x14ac:dyDescent="0.25">
      <c r="A67" s="281" t="str">
        <f t="shared" si="0"/>
        <v>МосковскаяDDM MOS Sladkaay ZhiznTSL MOS  Moscow 2 Sladkaya Zhizn</v>
      </c>
      <c r="B67" s="297" t="s">
        <v>229</v>
      </c>
      <c r="C67" s="298" t="s">
        <v>363</v>
      </c>
      <c r="D67" s="298" t="s">
        <v>364</v>
      </c>
      <c r="E67" s="299" t="s">
        <v>371</v>
      </c>
      <c r="F67" s="300" t="s">
        <v>367</v>
      </c>
      <c r="G67" s="301"/>
      <c r="H67" s="301"/>
      <c r="I67" s="301"/>
      <c r="J67" s="302"/>
      <c r="K67" s="301"/>
      <c r="L67" s="301">
        <v>0</v>
      </c>
      <c r="M67" s="301">
        <v>0</v>
      </c>
      <c r="N67" s="301">
        <v>0</v>
      </c>
      <c r="O67" s="356">
        <v>136413.45000000112</v>
      </c>
      <c r="P67" s="301">
        <v>9445533.8999999966</v>
      </c>
      <c r="Q67" s="301">
        <v>36959042.389999986</v>
      </c>
      <c r="R67" s="301">
        <v>0</v>
      </c>
      <c r="S67" s="301">
        <v>11641789.260000009</v>
      </c>
      <c r="T67" s="301">
        <v>9078192.4600000009</v>
      </c>
      <c r="U67" s="281"/>
      <c r="V67" s="281"/>
      <c r="W67" s="281"/>
      <c r="X67" s="281"/>
      <c r="Y67" s="303">
        <v>4154461.5100000035</v>
      </c>
      <c r="Z67" s="281"/>
      <c r="AA67" s="281"/>
      <c r="AB67" s="281"/>
      <c r="AF67" s="347" t="s">
        <v>366</v>
      </c>
    </row>
    <row r="68" spans="1:32" ht="14.45" customHeight="1" x14ac:dyDescent="0.25">
      <c r="A68" s="281" t="str">
        <f t="shared" ref="A68:A131" si="1">B68&amp;D68&amp;E68</f>
        <v>МосковскаяASM MOS Food Trade+SorsoTSL MOS SPT Moscow Play Sorso</v>
      </c>
      <c r="B68" s="297" t="s">
        <v>229</v>
      </c>
      <c r="C68" s="298" t="s">
        <v>363</v>
      </c>
      <c r="D68" s="298" t="s">
        <v>368</v>
      </c>
      <c r="E68" s="281" t="s">
        <v>359</v>
      </c>
      <c r="F68" s="300" t="s">
        <v>369</v>
      </c>
      <c r="G68" s="301"/>
      <c r="H68" s="301"/>
      <c r="I68" s="301"/>
      <c r="J68" s="302"/>
      <c r="K68" s="301"/>
      <c r="L68" s="302">
        <v>0</v>
      </c>
      <c r="M68" s="302">
        <v>0</v>
      </c>
      <c r="N68" s="302">
        <v>0</v>
      </c>
      <c r="O68" s="302">
        <v>835.28</v>
      </c>
      <c r="P68" s="302">
        <v>17141.679999999997</v>
      </c>
      <c r="Q68" s="302">
        <v>2460.6</v>
      </c>
      <c r="R68" s="302">
        <v>0</v>
      </c>
      <c r="S68" s="302">
        <v>58848.289999999994</v>
      </c>
      <c r="T68" s="302">
        <v>0</v>
      </c>
      <c r="U68" s="281"/>
      <c r="V68" s="281"/>
      <c r="W68" s="281"/>
      <c r="X68" s="281"/>
      <c r="Y68" s="305"/>
      <c r="Z68" s="281"/>
      <c r="AA68" s="281"/>
      <c r="AB68" s="281"/>
    </row>
    <row r="69" spans="1:32" ht="14.45" customHeight="1" x14ac:dyDescent="0.25">
      <c r="A69" s="281" t="str">
        <f t="shared" si="1"/>
        <v>МосковскаяASM MOS Food Trade+SorsoTSL MOS Grocery Mos Obl AS-Market</v>
      </c>
      <c r="B69" s="297" t="s">
        <v>229</v>
      </c>
      <c r="C69" s="298" t="s">
        <v>363</v>
      </c>
      <c r="D69" s="298" t="s">
        <v>368</v>
      </c>
      <c r="E69" s="299" t="s">
        <v>373</v>
      </c>
      <c r="F69" s="300" t="s">
        <v>374</v>
      </c>
      <c r="G69" s="301"/>
      <c r="H69" s="301"/>
      <c r="I69" s="301"/>
      <c r="J69" s="302"/>
      <c r="K69" s="356"/>
      <c r="L69" s="356">
        <v>0</v>
      </c>
      <c r="M69" s="356">
        <v>0</v>
      </c>
      <c r="N69" s="356">
        <v>0</v>
      </c>
      <c r="O69" s="356">
        <v>0</v>
      </c>
      <c r="P69" s="356">
        <v>4901756.2</v>
      </c>
      <c r="Q69" s="356">
        <v>0</v>
      </c>
      <c r="R69" s="356">
        <v>0</v>
      </c>
      <c r="S69" s="356">
        <v>1009.98</v>
      </c>
      <c r="T69" s="356">
        <v>0</v>
      </c>
      <c r="U69" s="357"/>
      <c r="V69" s="357"/>
      <c r="W69" s="357"/>
      <c r="X69" s="357"/>
      <c r="Z69" s="357"/>
      <c r="AA69" s="357"/>
      <c r="AB69" s="357"/>
    </row>
    <row r="70" spans="1:32" ht="14.45" customHeight="1" x14ac:dyDescent="0.25">
      <c r="A70" s="281" t="str">
        <f t="shared" si="1"/>
        <v>МосковскаяDDM MOS Sladkaay ZhiznTSL MOS Cheboksary</v>
      </c>
      <c r="B70" s="297" t="s">
        <v>229</v>
      </c>
      <c r="C70" s="298" t="s">
        <v>363</v>
      </c>
      <c r="D70" s="298" t="s">
        <v>364</v>
      </c>
      <c r="E70" s="299" t="s">
        <v>370</v>
      </c>
      <c r="F70" s="300" t="s">
        <v>365</v>
      </c>
      <c r="G70" s="301"/>
      <c r="H70" s="301"/>
      <c r="I70" s="301"/>
      <c r="J70" s="302"/>
      <c r="K70" s="301"/>
      <c r="L70" s="301">
        <v>0</v>
      </c>
      <c r="M70" s="301">
        <v>0</v>
      </c>
      <c r="N70" s="301">
        <v>0</v>
      </c>
      <c r="O70" s="356">
        <v>9777794.9499999974</v>
      </c>
      <c r="P70" s="301">
        <v>3077540.45</v>
      </c>
      <c r="Q70" s="301">
        <v>5828592.4799999986</v>
      </c>
      <c r="R70" s="301">
        <v>0</v>
      </c>
      <c r="S70" s="301">
        <v>9358207.4400000237</v>
      </c>
      <c r="T70" s="301">
        <v>9103619.129999999</v>
      </c>
      <c r="U70" s="281"/>
      <c r="V70" s="281"/>
      <c r="W70" s="281"/>
      <c r="X70" s="281"/>
      <c r="Y70" s="305"/>
      <c r="Z70" s="281"/>
      <c r="AA70" s="281"/>
      <c r="AB70" s="281"/>
    </row>
    <row r="71" spans="1:32" ht="14.45" customHeight="1" x14ac:dyDescent="0.25">
      <c r="A71" s="281" t="str">
        <f t="shared" si="1"/>
        <v>МосковскаяASM MOS Food Trade+SorsoTSL MOS SPT Moscow Play Sorso</v>
      </c>
      <c r="B71" s="297" t="s">
        <v>229</v>
      </c>
      <c r="C71" s="298" t="s">
        <v>363</v>
      </c>
      <c r="D71" s="298" t="s">
        <v>368</v>
      </c>
      <c r="E71" s="281" t="s">
        <v>359</v>
      </c>
      <c r="F71" s="300" t="s">
        <v>369</v>
      </c>
      <c r="G71" s="301"/>
      <c r="H71" s="301"/>
      <c r="I71" s="301"/>
      <c r="J71" s="302"/>
      <c r="K71" s="301"/>
      <c r="L71" s="302">
        <v>0</v>
      </c>
      <c r="M71" s="302">
        <v>0</v>
      </c>
      <c r="N71" s="302">
        <v>0</v>
      </c>
      <c r="O71" s="302">
        <v>0</v>
      </c>
      <c r="P71" s="302">
        <v>0</v>
      </c>
      <c r="Q71" s="302">
        <v>161081.58000000002</v>
      </c>
      <c r="R71" s="302">
        <v>0</v>
      </c>
      <c r="S71" s="302">
        <v>0</v>
      </c>
      <c r="T71" s="302">
        <v>0</v>
      </c>
      <c r="U71" s="281"/>
      <c r="V71" s="281"/>
      <c r="W71" s="281"/>
      <c r="X71" s="281"/>
      <c r="Y71" s="305"/>
      <c r="Z71" s="281"/>
      <c r="AA71" s="281"/>
      <c r="AB71" s="281"/>
    </row>
    <row r="72" spans="1:32" ht="14.45" customHeight="1" x14ac:dyDescent="0.25">
      <c r="A72" s="281" t="str">
        <f t="shared" si="1"/>
        <v>МосковскаяDDM MOS Sladkaay ZhiznTSL MOS N.Novgorod</v>
      </c>
      <c r="B72" s="297" t="s">
        <v>229</v>
      </c>
      <c r="C72" s="298" t="s">
        <v>363</v>
      </c>
      <c r="D72" s="298" t="s">
        <v>364</v>
      </c>
      <c r="E72" s="299" t="s">
        <v>354</v>
      </c>
      <c r="F72" s="300" t="s">
        <v>365</v>
      </c>
      <c r="G72" s="301"/>
      <c r="H72" s="301"/>
      <c r="I72" s="301"/>
      <c r="J72" s="326"/>
      <c r="K72" s="356"/>
      <c r="L72" s="356">
        <v>0</v>
      </c>
      <c r="M72" s="356">
        <v>0</v>
      </c>
      <c r="N72" s="356">
        <v>0</v>
      </c>
      <c r="O72" s="356">
        <v>11308710.9</v>
      </c>
      <c r="P72" s="356">
        <v>4783262.4399999985</v>
      </c>
      <c r="Q72" s="356">
        <v>17099442.07</v>
      </c>
      <c r="R72" s="356">
        <v>0</v>
      </c>
      <c r="S72" s="356">
        <v>5899611.2899999982</v>
      </c>
      <c r="T72" s="356">
        <v>6143242.3099999996</v>
      </c>
      <c r="U72" s="281"/>
      <c r="V72" s="281"/>
      <c r="W72" s="281"/>
      <c r="X72" s="281"/>
      <c r="Y72" s="305"/>
      <c r="Z72" s="281"/>
      <c r="AA72" s="281"/>
      <c r="AB72" s="281"/>
    </row>
    <row r="73" spans="1:32" ht="14.45" customHeight="1" x14ac:dyDescent="0.25">
      <c r="A73" s="281" t="str">
        <f t="shared" si="1"/>
        <v>МосковскаяASM MOS Food Trade+SorsoTSL MOS SPT Moscow Play Sorso</v>
      </c>
      <c r="B73" s="297" t="s">
        <v>229</v>
      </c>
      <c r="C73" s="298" t="s">
        <v>363</v>
      </c>
      <c r="D73" s="298" t="s">
        <v>368</v>
      </c>
      <c r="E73" s="281" t="s">
        <v>359</v>
      </c>
      <c r="F73" s="300" t="s">
        <v>369</v>
      </c>
      <c r="G73" s="301"/>
      <c r="H73" s="301"/>
      <c r="I73" s="301"/>
      <c r="J73" s="302"/>
      <c r="K73" s="301"/>
      <c r="L73" s="302">
        <v>0</v>
      </c>
      <c r="M73" s="302">
        <v>0</v>
      </c>
      <c r="N73" s="302">
        <v>0</v>
      </c>
      <c r="O73" s="302">
        <v>0</v>
      </c>
      <c r="P73" s="302">
        <v>0</v>
      </c>
      <c r="Q73" s="302">
        <v>357933.36</v>
      </c>
      <c r="R73" s="302">
        <v>0</v>
      </c>
      <c r="S73" s="302">
        <v>0</v>
      </c>
      <c r="T73" s="302">
        <v>773686.06</v>
      </c>
      <c r="U73" s="281"/>
      <c r="V73" s="281"/>
      <c r="W73" s="281"/>
      <c r="X73" s="281"/>
      <c r="Y73" s="305"/>
      <c r="Z73" s="281"/>
      <c r="AA73" s="281"/>
      <c r="AB73" s="281"/>
    </row>
    <row r="74" spans="1:32" ht="14.45" customHeight="1" x14ac:dyDescent="0.25">
      <c r="A74" s="281" t="str">
        <f t="shared" si="1"/>
        <v>МосковскаяASM MOS Food Trade+SorsoTSL MOS Grocery Mos Obl AS-Market</v>
      </c>
      <c r="B74" s="297" t="s">
        <v>229</v>
      </c>
      <c r="C74" s="298" t="s">
        <v>363</v>
      </c>
      <c r="D74" s="298" t="s">
        <v>368</v>
      </c>
      <c r="E74" s="299" t="s">
        <v>373</v>
      </c>
      <c r="F74" s="300" t="s">
        <v>374</v>
      </c>
      <c r="G74" s="301"/>
      <c r="H74" s="301"/>
      <c r="I74" s="301"/>
      <c r="J74" s="302"/>
      <c r="K74" s="356"/>
      <c r="L74" s="356">
        <v>0</v>
      </c>
      <c r="M74" s="356">
        <v>0</v>
      </c>
      <c r="N74" s="356">
        <v>0</v>
      </c>
      <c r="O74" s="356">
        <v>0</v>
      </c>
      <c r="P74" s="356">
        <v>0</v>
      </c>
      <c r="Q74" s="356">
        <v>15431.249999999998</v>
      </c>
      <c r="R74" s="356">
        <v>0</v>
      </c>
      <c r="S74" s="356">
        <v>0</v>
      </c>
      <c r="T74" s="356">
        <v>0</v>
      </c>
      <c r="U74" s="357"/>
      <c r="V74" s="357"/>
      <c r="W74" s="357"/>
      <c r="X74" s="357"/>
      <c r="Z74" s="357"/>
      <c r="AA74" s="357"/>
      <c r="AB74" s="357"/>
    </row>
    <row r="75" spans="1:32" ht="14.45" customHeight="1" x14ac:dyDescent="0.25">
      <c r="A75" s="281" t="str">
        <f t="shared" si="1"/>
        <v>МосковскаяDDM MOS Sladkaay ZhiznTSL MOS  Moscow 2 Sladkaya Zhizn</v>
      </c>
      <c r="B75" s="297" t="s">
        <v>229</v>
      </c>
      <c r="C75" s="298" t="s">
        <v>363</v>
      </c>
      <c r="D75" s="298" t="s">
        <v>364</v>
      </c>
      <c r="E75" s="299" t="s">
        <v>371</v>
      </c>
      <c r="F75" s="300" t="s">
        <v>367</v>
      </c>
      <c r="G75" s="301"/>
      <c r="H75" s="301"/>
      <c r="I75" s="301"/>
      <c r="J75" s="302"/>
      <c r="K75" s="301"/>
      <c r="L75" s="301">
        <v>0</v>
      </c>
      <c r="M75" s="301">
        <v>0</v>
      </c>
      <c r="N75" s="301">
        <v>0</v>
      </c>
      <c r="P75" s="301">
        <v>18055.189999999999</v>
      </c>
      <c r="Q75" s="301">
        <v>15345871.254999999</v>
      </c>
      <c r="R75" s="301">
        <v>0</v>
      </c>
      <c r="S75" s="301">
        <v>381023.80500000017</v>
      </c>
      <c r="T75" s="301">
        <v>59094</v>
      </c>
      <c r="U75" s="281"/>
      <c r="V75" s="281"/>
      <c r="W75" s="281"/>
      <c r="X75" s="281"/>
      <c r="Y75" s="356">
        <v>17640633.704999998</v>
      </c>
      <c r="Z75" s="281"/>
      <c r="AA75" s="281"/>
      <c r="AB75" s="281"/>
      <c r="AF75" s="347" t="s">
        <v>366</v>
      </c>
    </row>
    <row r="76" spans="1:32" ht="14.45" customHeight="1" x14ac:dyDescent="0.25">
      <c r="A76" s="281" t="str">
        <f t="shared" si="1"/>
        <v>МосковскаяDDM MOS Sladkaay ZhiznTSL MOS  Moscow 1 Sladkaya Zhizn</v>
      </c>
      <c r="B76" s="297" t="s">
        <v>229</v>
      </c>
      <c r="C76" s="298" t="s">
        <v>363</v>
      </c>
      <c r="D76" s="298" t="s">
        <v>364</v>
      </c>
      <c r="E76" s="299" t="s">
        <v>355</v>
      </c>
      <c r="F76" s="300" t="s">
        <v>367</v>
      </c>
      <c r="G76" s="301"/>
      <c r="H76" s="301"/>
      <c r="I76" s="301"/>
      <c r="J76" s="302"/>
      <c r="K76" s="301"/>
      <c r="L76" s="301">
        <v>0</v>
      </c>
      <c r="M76" s="301">
        <v>0</v>
      </c>
      <c r="N76" s="301">
        <v>0</v>
      </c>
      <c r="P76" s="301">
        <v>18055.189999999999</v>
      </c>
      <c r="Q76" s="301">
        <v>15345871.254999999</v>
      </c>
      <c r="R76" s="301">
        <v>0</v>
      </c>
      <c r="S76" s="301">
        <v>381023.80500000017</v>
      </c>
      <c r="T76" s="301">
        <v>59094</v>
      </c>
      <c r="U76" s="281"/>
      <c r="V76" s="281"/>
      <c r="W76" s="281"/>
      <c r="X76" s="281"/>
      <c r="Y76" s="356">
        <v>21115469.165000014</v>
      </c>
      <c r="Z76" s="281"/>
      <c r="AA76" s="281"/>
      <c r="AB76" s="281"/>
      <c r="AF76" s="347" t="s">
        <v>366</v>
      </c>
    </row>
    <row r="77" spans="1:32" ht="14.45" customHeight="1" x14ac:dyDescent="0.25">
      <c r="A77" s="281" t="str">
        <f t="shared" si="1"/>
        <v>МосковскаяDDM MOS Sladkaay ZhiznTSL MOS N.Novgorod</v>
      </c>
      <c r="B77" s="297" t="s">
        <v>229</v>
      </c>
      <c r="C77" s="298" t="s">
        <v>363</v>
      </c>
      <c r="D77" s="298" t="s">
        <v>364</v>
      </c>
      <c r="E77" s="299" t="s">
        <v>354</v>
      </c>
      <c r="F77" s="300" t="s">
        <v>365</v>
      </c>
      <c r="G77" s="301"/>
      <c r="H77" s="301"/>
      <c r="I77" s="301"/>
      <c r="J77" s="326"/>
      <c r="K77" s="356"/>
      <c r="L77" s="356">
        <v>0</v>
      </c>
      <c r="M77" s="356">
        <v>0</v>
      </c>
      <c r="N77" s="356">
        <v>0</v>
      </c>
      <c r="P77" s="356">
        <v>64053.525000000009</v>
      </c>
      <c r="Q77" s="356">
        <v>4049944.4199999995</v>
      </c>
      <c r="R77" s="356">
        <v>0</v>
      </c>
      <c r="S77" s="356">
        <v>1340485.9099999999</v>
      </c>
      <c r="T77" s="356">
        <v>13879352.015000001</v>
      </c>
      <c r="U77" s="281"/>
      <c r="V77" s="281"/>
      <c r="W77" s="281"/>
      <c r="X77" s="281"/>
      <c r="Y77" s="356"/>
      <c r="Z77" s="281"/>
      <c r="AA77" s="281"/>
      <c r="AB77" s="281"/>
    </row>
    <row r="78" spans="1:32" ht="14.45" customHeight="1" x14ac:dyDescent="0.25">
      <c r="A78" s="281" t="str">
        <f t="shared" si="1"/>
        <v>МосковскаяDDM MOS Sladkaay ZhiznTSL MOS Cheboksary</v>
      </c>
      <c r="B78" s="297" t="s">
        <v>229</v>
      </c>
      <c r="C78" s="298" t="s">
        <v>363</v>
      </c>
      <c r="D78" s="298" t="s">
        <v>364</v>
      </c>
      <c r="E78" s="299" t="s">
        <v>370</v>
      </c>
      <c r="F78" s="300" t="s">
        <v>365</v>
      </c>
      <c r="G78" s="301"/>
      <c r="H78" s="301"/>
      <c r="I78" s="301"/>
      <c r="J78" s="302"/>
      <c r="K78" s="301"/>
      <c r="L78" s="301">
        <v>0</v>
      </c>
      <c r="M78" s="301">
        <v>0</v>
      </c>
      <c r="N78" s="301">
        <v>0</v>
      </c>
      <c r="O78" s="356"/>
      <c r="P78" s="301">
        <v>64053.525000000009</v>
      </c>
      <c r="Q78" s="301">
        <v>4049944.4199999995</v>
      </c>
      <c r="R78" s="301">
        <v>0</v>
      </c>
      <c r="S78" s="301">
        <v>1340485.9099999999</v>
      </c>
      <c r="T78" s="301">
        <v>13879352.015000001</v>
      </c>
      <c r="U78" s="281"/>
      <c r="V78" s="281"/>
      <c r="W78" s="281"/>
      <c r="X78" s="281"/>
      <c r="Y78" s="305"/>
      <c r="Z78" s="281"/>
      <c r="AA78" s="281"/>
      <c r="AB78" s="281"/>
    </row>
    <row r="79" spans="1:32" ht="14.45" customHeight="1" x14ac:dyDescent="0.25">
      <c r="A79" s="281" t="str">
        <f t="shared" si="1"/>
        <v>МосковскаяASM MOS Food Trade+SorsoTSL MOS SPT Moscow Play Sorso</v>
      </c>
      <c r="B79" s="297" t="s">
        <v>229</v>
      </c>
      <c r="C79" s="298" t="s">
        <v>363</v>
      </c>
      <c r="D79" s="298" t="s">
        <v>368</v>
      </c>
      <c r="E79" s="281" t="s">
        <v>359</v>
      </c>
      <c r="F79" s="300" t="s">
        <v>369</v>
      </c>
      <c r="G79" s="301"/>
      <c r="H79" s="301"/>
      <c r="I79" s="301"/>
      <c r="J79" s="302"/>
      <c r="K79" s="301"/>
      <c r="L79" s="302">
        <v>0</v>
      </c>
      <c r="M79" s="302">
        <v>41072051.439999998</v>
      </c>
      <c r="N79" s="302">
        <v>0</v>
      </c>
      <c r="O79" s="302">
        <v>0</v>
      </c>
      <c r="P79" s="302">
        <v>0</v>
      </c>
      <c r="Q79" s="302">
        <v>0</v>
      </c>
      <c r="R79" s="302">
        <v>0</v>
      </c>
      <c r="S79" s="302">
        <v>0</v>
      </c>
      <c r="T79" s="302">
        <v>0</v>
      </c>
      <c r="U79" s="281"/>
      <c r="V79" s="281"/>
      <c r="W79" s="281"/>
      <c r="X79" s="281"/>
      <c r="Y79" s="305"/>
      <c r="Z79" s="281"/>
      <c r="AA79" s="281"/>
      <c r="AB79" s="281"/>
    </row>
    <row r="80" spans="1:32" ht="14.45" customHeight="1" x14ac:dyDescent="0.25">
      <c r="A80" s="281" t="str">
        <f t="shared" si="1"/>
        <v>МосковскаяASM MOS Food Trade+SorsoTSL MOS SPT Moscow Play Sorso</v>
      </c>
      <c r="B80" s="297" t="s">
        <v>229</v>
      </c>
      <c r="C80" s="298" t="s">
        <v>363</v>
      </c>
      <c r="D80" s="298" t="s">
        <v>368</v>
      </c>
      <c r="E80" s="281" t="s">
        <v>359</v>
      </c>
      <c r="F80" s="300" t="s">
        <v>369</v>
      </c>
      <c r="G80" s="301"/>
      <c r="H80" s="301"/>
      <c r="I80" s="301"/>
      <c r="J80" s="302"/>
      <c r="K80" s="301"/>
      <c r="L80" s="302">
        <v>0</v>
      </c>
      <c r="M80" s="302">
        <v>0</v>
      </c>
      <c r="N80" s="302">
        <v>0</v>
      </c>
      <c r="O80" s="302">
        <v>0</v>
      </c>
      <c r="P80" s="302">
        <v>0</v>
      </c>
      <c r="Q80" s="302">
        <v>630832.56999999995</v>
      </c>
      <c r="R80" s="302">
        <v>132392.5</v>
      </c>
      <c r="S80" s="302">
        <v>0</v>
      </c>
      <c r="T80" s="302">
        <v>0</v>
      </c>
      <c r="U80" s="281"/>
      <c r="V80" s="281"/>
      <c r="W80" s="281"/>
      <c r="X80" s="281"/>
      <c r="Y80" s="305"/>
      <c r="Z80" s="281"/>
      <c r="AA80" s="281"/>
      <c r="AB80" s="281"/>
    </row>
    <row r="81" spans="1:32" ht="14.45" customHeight="1" x14ac:dyDescent="0.25">
      <c r="A81" s="281" t="str">
        <f t="shared" si="1"/>
        <v>МосковскаяDDM MOS Sladkaay ZhiznTSL MOS  Moscow 2 Sladkaya Zhizn</v>
      </c>
      <c r="B81" s="297" t="s">
        <v>229</v>
      </c>
      <c r="C81" s="298" t="s">
        <v>363</v>
      </c>
      <c r="D81" s="308" t="s">
        <v>364</v>
      </c>
      <c r="E81" s="299" t="s">
        <v>371</v>
      </c>
      <c r="F81" s="300" t="s">
        <v>367</v>
      </c>
      <c r="G81" s="301"/>
      <c r="H81" s="301"/>
      <c r="I81" s="301"/>
      <c r="J81" s="302"/>
      <c r="K81" s="301"/>
      <c r="L81" s="301">
        <v>0</v>
      </c>
      <c r="M81" s="301">
        <v>0</v>
      </c>
      <c r="N81" s="301">
        <v>0</v>
      </c>
      <c r="P81" s="309">
        <v>63825.824999999997</v>
      </c>
      <c r="Q81" s="309">
        <v>84829.294999999998</v>
      </c>
      <c r="R81" s="309">
        <v>0</v>
      </c>
      <c r="S81" s="309">
        <v>7066.6949999999997</v>
      </c>
      <c r="T81" s="309">
        <v>0</v>
      </c>
      <c r="U81" s="281"/>
      <c r="V81" s="281"/>
      <c r="W81" s="281"/>
      <c r="X81" s="281"/>
      <c r="Y81" s="326">
        <v>3126523.5300000012</v>
      </c>
      <c r="Z81" s="281"/>
      <c r="AA81" s="281"/>
      <c r="AB81" s="281"/>
      <c r="AF81" s="347" t="s">
        <v>366</v>
      </c>
    </row>
    <row r="82" spans="1:32" ht="14.45" customHeight="1" x14ac:dyDescent="0.25">
      <c r="A82" s="281" t="str">
        <f t="shared" si="1"/>
        <v>МосковскаяASM MOS Food Trade+SorsoTSL MOS SPT Moscow Play Sorso</v>
      </c>
      <c r="B82" s="297" t="s">
        <v>229</v>
      </c>
      <c r="C82" s="298" t="s">
        <v>363</v>
      </c>
      <c r="D82" s="298" t="s">
        <v>368</v>
      </c>
      <c r="E82" s="281" t="s">
        <v>359</v>
      </c>
      <c r="F82" s="300" t="s">
        <v>369</v>
      </c>
      <c r="G82" s="301"/>
      <c r="H82" s="301"/>
      <c r="I82" s="301"/>
      <c r="J82" s="302"/>
      <c r="K82" s="301"/>
      <c r="L82" s="302">
        <v>0</v>
      </c>
      <c r="M82" s="302">
        <v>0</v>
      </c>
      <c r="N82" s="302">
        <v>0</v>
      </c>
      <c r="O82" s="302">
        <v>0</v>
      </c>
      <c r="P82" s="302">
        <v>0</v>
      </c>
      <c r="Q82" s="302">
        <v>41915.080000000009</v>
      </c>
      <c r="R82" s="302">
        <v>0</v>
      </c>
      <c r="S82" s="302">
        <v>0</v>
      </c>
      <c r="T82" s="302">
        <v>0</v>
      </c>
      <c r="U82" s="281"/>
      <c r="V82" s="281"/>
      <c r="W82" s="281"/>
      <c r="X82" s="281"/>
      <c r="Y82" s="305"/>
      <c r="Z82" s="281"/>
      <c r="AA82" s="281"/>
      <c r="AB82" s="281"/>
    </row>
    <row r="83" spans="1:32" ht="14.45" customHeight="1" x14ac:dyDescent="0.25">
      <c r="A83" s="281" t="str">
        <f t="shared" si="1"/>
        <v>МосковскаяASM MOS Food Trade+SorsoTSL MOS SPT Moscow Play Sorso</v>
      </c>
      <c r="B83" s="297" t="s">
        <v>229</v>
      </c>
      <c r="C83" s="298" t="s">
        <v>363</v>
      </c>
      <c r="D83" s="298" t="s">
        <v>368</v>
      </c>
      <c r="E83" s="281" t="s">
        <v>359</v>
      </c>
      <c r="F83" s="300" t="s">
        <v>369</v>
      </c>
      <c r="G83" s="301"/>
      <c r="H83" s="301"/>
      <c r="I83" s="301"/>
      <c r="J83" s="302"/>
      <c r="K83" s="301"/>
      <c r="L83" s="302">
        <v>14477.22</v>
      </c>
      <c r="M83" s="302">
        <v>0</v>
      </c>
      <c r="N83" s="302">
        <v>0</v>
      </c>
      <c r="O83" s="302">
        <v>0</v>
      </c>
      <c r="P83" s="302">
        <v>0</v>
      </c>
      <c r="Q83" s="302">
        <v>0</v>
      </c>
      <c r="R83" s="302">
        <v>0</v>
      </c>
      <c r="S83" s="302">
        <v>0</v>
      </c>
      <c r="T83" s="302">
        <v>0</v>
      </c>
      <c r="U83" s="281"/>
      <c r="V83" s="281"/>
      <c r="W83" s="281"/>
      <c r="X83" s="281"/>
      <c r="Y83" s="305"/>
      <c r="Z83" s="281"/>
      <c r="AA83" s="281"/>
      <c r="AB83" s="281"/>
    </row>
    <row r="84" spans="1:32" ht="14.45" customHeight="1" x14ac:dyDescent="0.25">
      <c r="A84" s="281" t="str">
        <f t="shared" si="1"/>
        <v>МосковскаяASM MOS Food Trade+SorsoTSL MOS SPT Moscow Play Sorso</v>
      </c>
      <c r="B84" s="297" t="s">
        <v>229</v>
      </c>
      <c r="C84" s="298" t="s">
        <v>363</v>
      </c>
      <c r="D84" s="298" t="s">
        <v>368</v>
      </c>
      <c r="E84" s="281" t="s">
        <v>359</v>
      </c>
      <c r="F84" s="300" t="s">
        <v>369</v>
      </c>
      <c r="G84" s="301"/>
      <c r="H84" s="301"/>
      <c r="I84" s="301"/>
      <c r="J84" s="302"/>
      <c r="K84" s="301"/>
      <c r="L84" s="302">
        <v>3549.6000000000004</v>
      </c>
      <c r="M84" s="302">
        <v>0</v>
      </c>
      <c r="N84" s="302">
        <v>0</v>
      </c>
      <c r="O84" s="302">
        <v>0</v>
      </c>
      <c r="P84" s="302">
        <v>0</v>
      </c>
      <c r="Q84" s="302">
        <v>0</v>
      </c>
      <c r="R84" s="302">
        <v>0</v>
      </c>
      <c r="S84" s="302">
        <v>0</v>
      </c>
      <c r="T84" s="302">
        <v>0</v>
      </c>
      <c r="U84" s="281"/>
      <c r="V84" s="281"/>
      <c r="W84" s="281"/>
      <c r="X84" s="281"/>
      <c r="Y84" s="305"/>
      <c r="Z84" s="281"/>
      <c r="AA84" s="281"/>
      <c r="AB84" s="281"/>
    </row>
    <row r="85" spans="1:32" ht="14.45" customHeight="1" x14ac:dyDescent="0.25">
      <c r="A85" s="281" t="str">
        <f t="shared" si="1"/>
        <v>МосковскаяASM MOS Food Trade+SorsoTSL MOS SPT Moscow Play Sorso</v>
      </c>
      <c r="B85" s="297" t="s">
        <v>229</v>
      </c>
      <c r="C85" s="298" t="s">
        <v>363</v>
      </c>
      <c r="D85" s="298" t="s">
        <v>368</v>
      </c>
      <c r="E85" s="281" t="s">
        <v>359</v>
      </c>
      <c r="F85" s="300" t="s">
        <v>369</v>
      </c>
      <c r="G85" s="301"/>
      <c r="H85" s="301"/>
      <c r="I85" s="301"/>
      <c r="J85" s="302"/>
      <c r="K85" s="301"/>
      <c r="L85" s="302">
        <v>19308</v>
      </c>
      <c r="M85" s="302">
        <v>0</v>
      </c>
      <c r="N85" s="302">
        <v>0</v>
      </c>
      <c r="O85" s="302">
        <v>0</v>
      </c>
      <c r="P85" s="302">
        <v>0</v>
      </c>
      <c r="Q85" s="302">
        <v>0</v>
      </c>
      <c r="R85" s="302">
        <v>0</v>
      </c>
      <c r="S85" s="302">
        <v>0</v>
      </c>
      <c r="T85" s="302">
        <v>0</v>
      </c>
      <c r="U85" s="281"/>
      <c r="V85" s="281"/>
      <c r="W85" s="281"/>
      <c r="X85" s="281"/>
      <c r="Y85" s="305"/>
      <c r="Z85" s="281"/>
      <c r="AA85" s="281"/>
      <c r="AB85" s="281"/>
    </row>
    <row r="86" spans="1:32" ht="14.45" customHeight="1" x14ac:dyDescent="0.25">
      <c r="A86" s="281" t="str">
        <f t="shared" si="1"/>
        <v>НижегородскаяASM MOS Food Trade+SorsoTSL MOS SPT Moscow Play Sorso</v>
      </c>
      <c r="B86" s="297" t="s">
        <v>258</v>
      </c>
      <c r="C86" s="298" t="s">
        <v>363</v>
      </c>
      <c r="D86" s="298" t="s">
        <v>368</v>
      </c>
      <c r="E86" s="281" t="s">
        <v>359</v>
      </c>
      <c r="F86" s="300" t="s">
        <v>369</v>
      </c>
      <c r="G86" s="301"/>
      <c r="H86" s="301"/>
      <c r="I86" s="301"/>
      <c r="J86" s="302"/>
      <c r="K86" s="301"/>
      <c r="L86" s="302">
        <v>0</v>
      </c>
      <c r="M86" s="302">
        <v>0</v>
      </c>
      <c r="N86" s="302">
        <v>0</v>
      </c>
      <c r="O86" s="302">
        <v>0</v>
      </c>
      <c r="P86" s="302">
        <v>129955.4</v>
      </c>
      <c r="Q86" s="302">
        <v>0</v>
      </c>
      <c r="R86" s="302">
        <v>0</v>
      </c>
      <c r="S86" s="302">
        <v>0</v>
      </c>
      <c r="T86" s="302">
        <v>0</v>
      </c>
      <c r="U86" s="281"/>
      <c r="V86" s="281"/>
      <c r="W86" s="281"/>
      <c r="X86" s="281"/>
      <c r="Y86" s="305"/>
      <c r="Z86" s="281"/>
      <c r="AA86" s="281"/>
      <c r="AB86" s="281"/>
    </row>
    <row r="87" spans="1:32" ht="14.45" customHeight="1" x14ac:dyDescent="0.25">
      <c r="A87" s="281" t="str">
        <f t="shared" si="1"/>
        <v>НижегородскаяDDM MOS Sladkaay ZhiznTSL MOS N.Novgorod</v>
      </c>
      <c r="B87" s="297" t="s">
        <v>258</v>
      </c>
      <c r="C87" s="298" t="s">
        <v>363</v>
      </c>
      <c r="D87" s="298" t="s">
        <v>364</v>
      </c>
      <c r="E87" s="299" t="s">
        <v>354</v>
      </c>
      <c r="F87" s="300" t="s">
        <v>365</v>
      </c>
      <c r="G87" s="301">
        <v>1</v>
      </c>
      <c r="H87" s="301"/>
      <c r="I87" s="301"/>
      <c r="J87" s="326"/>
      <c r="K87" s="356"/>
      <c r="L87" s="356">
        <v>0</v>
      </c>
      <c r="M87" s="356">
        <v>63562247.979999989</v>
      </c>
      <c r="N87" s="356">
        <v>0</v>
      </c>
      <c r="P87" s="356">
        <v>21238325.20000001</v>
      </c>
      <c r="Q87" s="356">
        <v>22033536.260000009</v>
      </c>
      <c r="R87" s="356">
        <v>0</v>
      </c>
      <c r="S87" s="356">
        <v>19668123.950000141</v>
      </c>
      <c r="T87" s="356">
        <v>14513449.15</v>
      </c>
      <c r="U87" s="281"/>
      <c r="V87" s="281"/>
      <c r="W87" s="281"/>
      <c r="X87" s="281"/>
      <c r="Y87" s="356">
        <v>66363320.945000082</v>
      </c>
      <c r="Z87" s="310">
        <f>50000*13</f>
        <v>650000</v>
      </c>
      <c r="AA87" s="281"/>
      <c r="AB87" s="281"/>
      <c r="AF87" s="347" t="s">
        <v>366</v>
      </c>
    </row>
    <row r="88" spans="1:32" ht="14.45" customHeight="1" x14ac:dyDescent="0.25">
      <c r="A88" s="281" t="str">
        <f t="shared" si="1"/>
        <v>НижегородскаяASM MOS Food Trade+SorsoTSL MOS SPT Moscow Play Sorso</v>
      </c>
      <c r="B88" s="297" t="s">
        <v>258</v>
      </c>
      <c r="C88" s="298" t="s">
        <v>363</v>
      </c>
      <c r="D88" s="298" t="s">
        <v>368</v>
      </c>
      <c r="E88" s="281" t="s">
        <v>359</v>
      </c>
      <c r="F88" s="300" t="s">
        <v>369</v>
      </c>
      <c r="G88" s="301"/>
      <c r="H88" s="301"/>
      <c r="I88" s="301"/>
      <c r="J88" s="302"/>
      <c r="K88" s="301"/>
      <c r="L88" s="302">
        <v>0</v>
      </c>
      <c r="M88" s="302">
        <v>0</v>
      </c>
      <c r="N88" s="302">
        <v>0</v>
      </c>
      <c r="O88" s="302">
        <v>0</v>
      </c>
      <c r="P88" s="302">
        <v>15797.939999999999</v>
      </c>
      <c r="Q88" s="302">
        <v>0</v>
      </c>
      <c r="R88" s="302">
        <v>0</v>
      </c>
      <c r="S88" s="302">
        <v>0</v>
      </c>
      <c r="T88" s="302">
        <v>0</v>
      </c>
      <c r="U88" s="281"/>
      <c r="V88" s="281"/>
      <c r="W88" s="281"/>
      <c r="X88" s="281"/>
      <c r="Y88" s="305"/>
      <c r="Z88" s="281"/>
      <c r="AA88" s="281"/>
      <c r="AB88" s="281"/>
    </row>
    <row r="89" spans="1:32" ht="14.45" customHeight="1" x14ac:dyDescent="0.25">
      <c r="A89" s="281" t="str">
        <f t="shared" si="1"/>
        <v>НижегородскаяDDM MOS Sladkaay ZhiznTSL MOS N.Novgorod</v>
      </c>
      <c r="B89" s="297" t="s">
        <v>258</v>
      </c>
      <c r="C89" s="298" t="s">
        <v>363</v>
      </c>
      <c r="D89" s="298" t="s">
        <v>364</v>
      </c>
      <c r="E89" s="299" t="s">
        <v>354</v>
      </c>
      <c r="F89" s="300" t="s">
        <v>365</v>
      </c>
      <c r="G89" s="301"/>
      <c r="H89" s="301"/>
      <c r="I89" s="301"/>
      <c r="J89" s="326"/>
      <c r="K89" s="356"/>
      <c r="L89" s="356">
        <v>0</v>
      </c>
      <c r="M89" s="356">
        <v>0</v>
      </c>
      <c r="N89" s="356">
        <v>0</v>
      </c>
      <c r="O89" s="356">
        <v>36039.75</v>
      </c>
      <c r="P89" s="356">
        <v>0</v>
      </c>
      <c r="Q89" s="356">
        <v>0</v>
      </c>
      <c r="R89" s="356">
        <v>0</v>
      </c>
      <c r="S89" s="356">
        <v>2646.7699999999995</v>
      </c>
      <c r="T89" s="356">
        <v>0</v>
      </c>
      <c r="U89" s="281"/>
      <c r="V89" s="281"/>
      <c r="W89" s="281"/>
      <c r="X89" s="281"/>
      <c r="Y89" s="305">
        <v>296596293.75999993</v>
      </c>
      <c r="Z89" s="281"/>
      <c r="AA89" s="281"/>
      <c r="AB89" s="281"/>
      <c r="AF89" s="347" t="s">
        <v>366</v>
      </c>
    </row>
    <row r="90" spans="1:32" ht="14.45" customHeight="1" x14ac:dyDescent="0.25">
      <c r="A90" s="281" t="str">
        <f t="shared" si="1"/>
        <v>НижегородскаяDDM MOS Sladkaay ZhiznTSL MOS Cheboksary</v>
      </c>
      <c r="B90" s="297" t="s">
        <v>258</v>
      </c>
      <c r="C90" s="298" t="s">
        <v>363</v>
      </c>
      <c r="D90" s="298" t="s">
        <v>364</v>
      </c>
      <c r="E90" s="299" t="s">
        <v>370</v>
      </c>
      <c r="F90" s="300" t="s">
        <v>365</v>
      </c>
      <c r="G90" s="301"/>
      <c r="H90" s="301"/>
      <c r="I90" s="301"/>
      <c r="J90" s="302"/>
      <c r="K90" s="301"/>
      <c r="L90" s="301">
        <v>0</v>
      </c>
      <c r="M90" s="301">
        <v>0</v>
      </c>
      <c r="N90" s="301">
        <v>0</v>
      </c>
      <c r="O90" s="356">
        <v>19547.75</v>
      </c>
      <c r="P90" s="301">
        <v>0</v>
      </c>
      <c r="Q90" s="301">
        <v>0</v>
      </c>
      <c r="R90" s="301">
        <v>0</v>
      </c>
      <c r="S90" s="301">
        <v>2646.7699999999995</v>
      </c>
      <c r="T90" s="301">
        <v>0</v>
      </c>
      <c r="U90" s="281"/>
      <c r="V90" s="281"/>
      <c r="W90" s="281"/>
      <c r="X90" s="281"/>
      <c r="Y90" s="305"/>
      <c r="Z90" s="281"/>
      <c r="AA90" s="281"/>
      <c r="AB90" s="281"/>
    </row>
    <row r="91" spans="1:32" ht="14.45" customHeight="1" x14ac:dyDescent="0.25">
      <c r="A91" s="281" t="str">
        <f t="shared" si="1"/>
        <v>НижегородскаяDDM MOS Sladkaay ZhiznTSL MOS N.Novgorod</v>
      </c>
      <c r="B91" s="297" t="s">
        <v>258</v>
      </c>
      <c r="C91" s="298" t="s">
        <v>363</v>
      </c>
      <c r="D91" s="298" t="s">
        <v>364</v>
      </c>
      <c r="E91" s="299" t="s">
        <v>354</v>
      </c>
      <c r="F91" s="300" t="s">
        <v>365</v>
      </c>
      <c r="G91" s="301"/>
      <c r="H91" s="301"/>
      <c r="I91" s="301"/>
      <c r="J91" s="326"/>
      <c r="K91" s="356"/>
      <c r="L91" s="356">
        <v>0</v>
      </c>
      <c r="M91" s="356">
        <v>0</v>
      </c>
      <c r="N91" s="356">
        <v>0</v>
      </c>
      <c r="O91" s="356">
        <v>266477.83</v>
      </c>
      <c r="P91" s="356">
        <v>184004.25</v>
      </c>
      <c r="Q91" s="356">
        <v>1705076.2200000002</v>
      </c>
      <c r="R91" s="356">
        <v>3525.48</v>
      </c>
      <c r="S91" s="356">
        <v>315208.13000000012</v>
      </c>
      <c r="T91" s="356">
        <v>0</v>
      </c>
      <c r="U91" s="281"/>
      <c r="V91" s="281"/>
      <c r="W91" s="281"/>
      <c r="X91" s="281"/>
      <c r="Y91" s="305"/>
      <c r="Z91" s="281"/>
      <c r="AA91" s="281"/>
      <c r="AB91" s="281"/>
    </row>
    <row r="92" spans="1:32" ht="14.45" customHeight="1" x14ac:dyDescent="0.25">
      <c r="A92" s="281" t="str">
        <f t="shared" si="1"/>
        <v>НижегородскаяASM MOS Food Trade+SorsoTSL MOS SPT Moscow Play Sorso</v>
      </c>
      <c r="B92" s="297" t="s">
        <v>258</v>
      </c>
      <c r="C92" s="298" t="s">
        <v>363</v>
      </c>
      <c r="D92" s="298" t="s">
        <v>368</v>
      </c>
      <c r="E92" s="281" t="s">
        <v>359</v>
      </c>
      <c r="F92" s="300" t="s">
        <v>369</v>
      </c>
      <c r="G92" s="301"/>
      <c r="H92" s="301"/>
      <c r="I92" s="301"/>
      <c r="J92" s="302"/>
      <c r="K92" s="301"/>
      <c r="L92" s="302">
        <v>0</v>
      </c>
      <c r="M92" s="302">
        <v>0</v>
      </c>
      <c r="N92" s="302">
        <v>0</v>
      </c>
      <c r="O92" s="302">
        <v>0</v>
      </c>
      <c r="P92" s="302">
        <v>0</v>
      </c>
      <c r="Q92" s="302">
        <v>21101.88</v>
      </c>
      <c r="R92" s="302">
        <v>0</v>
      </c>
      <c r="S92" s="302">
        <v>0</v>
      </c>
      <c r="T92" s="302">
        <v>0</v>
      </c>
      <c r="U92" s="281"/>
      <c r="V92" s="281"/>
      <c r="W92" s="281"/>
      <c r="X92" s="281"/>
      <c r="Y92" s="305"/>
      <c r="Z92" s="281"/>
      <c r="AA92" s="281"/>
      <c r="AB92" s="281"/>
    </row>
    <row r="93" spans="1:32" ht="14.45" customHeight="1" x14ac:dyDescent="0.25">
      <c r="A93" s="281" t="str">
        <f t="shared" si="1"/>
        <v>ТульскаяASM MOS Food Trade+SorsoTSL MOS SPT Moscow Play Sorso</v>
      </c>
      <c r="B93" s="297" t="s">
        <v>249</v>
      </c>
      <c r="C93" s="298" t="s">
        <v>363</v>
      </c>
      <c r="D93" s="298" t="s">
        <v>368</v>
      </c>
      <c r="E93" s="281" t="s">
        <v>359</v>
      </c>
      <c r="F93" s="300" t="s">
        <v>369</v>
      </c>
      <c r="G93" s="301"/>
      <c r="H93" s="301"/>
      <c r="I93" s="301"/>
      <c r="J93" s="302"/>
      <c r="K93" s="301"/>
      <c r="L93" s="302">
        <v>0</v>
      </c>
      <c r="M93" s="302">
        <v>0</v>
      </c>
      <c r="N93" s="302">
        <v>0</v>
      </c>
      <c r="O93" s="302">
        <v>0</v>
      </c>
      <c r="P93" s="302">
        <v>0</v>
      </c>
      <c r="Q93" s="302">
        <v>88016.4</v>
      </c>
      <c r="R93" s="302">
        <v>0</v>
      </c>
      <c r="S93" s="302">
        <v>0</v>
      </c>
      <c r="T93" s="302">
        <v>0</v>
      </c>
      <c r="U93" s="281"/>
      <c r="V93" s="281"/>
      <c r="W93" s="281"/>
      <c r="X93" s="281"/>
      <c r="Y93" s="305"/>
      <c r="Z93" s="281"/>
      <c r="AA93" s="281"/>
      <c r="AB93" s="281"/>
    </row>
    <row r="94" spans="1:32" ht="14.45" customHeight="1" x14ac:dyDescent="0.25">
      <c r="A94" s="281" t="str">
        <f t="shared" si="1"/>
        <v>ТульскаяDDM MOS Sladkaay ZhiznTSL MOS  Moscow 1 Sladkaya Zhizn</v>
      </c>
      <c r="B94" s="297" t="s">
        <v>249</v>
      </c>
      <c r="C94" s="298" t="s">
        <v>363</v>
      </c>
      <c r="D94" s="298" t="s">
        <v>364</v>
      </c>
      <c r="E94" s="299" t="s">
        <v>355</v>
      </c>
      <c r="F94" s="300" t="s">
        <v>367</v>
      </c>
      <c r="G94" s="301"/>
      <c r="H94" s="301"/>
      <c r="I94" s="301"/>
      <c r="J94" s="302"/>
      <c r="K94" s="301"/>
      <c r="L94" s="301">
        <v>0</v>
      </c>
      <c r="M94" s="301">
        <v>0</v>
      </c>
      <c r="N94" s="301">
        <v>0</v>
      </c>
      <c r="P94" s="301">
        <v>5410571.5099999998</v>
      </c>
      <c r="Q94" s="301">
        <v>13670418.780000003</v>
      </c>
      <c r="R94" s="301">
        <v>1784688.7999999998</v>
      </c>
      <c r="S94" s="301">
        <v>9804231.8200000003</v>
      </c>
      <c r="T94" s="301">
        <v>127469.93000000002</v>
      </c>
      <c r="U94" s="281"/>
      <c r="V94" s="281"/>
      <c r="W94" s="281"/>
      <c r="X94" s="281"/>
      <c r="Y94" s="281">
        <v>19446886.790000033</v>
      </c>
      <c r="Z94" s="357"/>
      <c r="AA94" s="281"/>
      <c r="AB94" s="281"/>
      <c r="AF94" s="347" t="s">
        <v>366</v>
      </c>
    </row>
    <row r="95" spans="1:32" ht="14.45" customHeight="1" x14ac:dyDescent="0.25">
      <c r="A95" s="281" t="str">
        <f t="shared" si="1"/>
        <v>ТульскаяASM MOS Food Trade+SorsoTSL MOS SPT Moscow Play Sorso</v>
      </c>
      <c r="B95" s="297" t="s">
        <v>249</v>
      </c>
      <c r="C95" s="298" t="s">
        <v>363</v>
      </c>
      <c r="D95" s="298" t="s">
        <v>368</v>
      </c>
      <c r="E95" s="281" t="s">
        <v>359</v>
      </c>
      <c r="F95" s="300" t="s">
        <v>369</v>
      </c>
      <c r="G95" s="301"/>
      <c r="H95" s="301"/>
      <c r="I95" s="301"/>
      <c r="J95" s="302"/>
      <c r="K95" s="301"/>
      <c r="L95" s="302">
        <v>0</v>
      </c>
      <c r="M95" s="302">
        <v>0</v>
      </c>
      <c r="N95" s="302">
        <v>0</v>
      </c>
      <c r="O95" s="302">
        <v>0</v>
      </c>
      <c r="P95" s="302">
        <v>0</v>
      </c>
      <c r="Q95" s="302">
        <v>1850878.62</v>
      </c>
      <c r="R95" s="302">
        <v>0</v>
      </c>
      <c r="S95" s="302">
        <v>0</v>
      </c>
      <c r="T95" s="302">
        <v>0</v>
      </c>
      <c r="U95" s="281"/>
      <c r="V95" s="281"/>
      <c r="W95" s="281"/>
      <c r="X95" s="281"/>
      <c r="Y95" s="305"/>
      <c r="Z95" s="281"/>
      <c r="AA95" s="281"/>
      <c r="AB95" s="281"/>
    </row>
    <row r="96" spans="1:32" ht="14.45" customHeight="1" x14ac:dyDescent="0.25">
      <c r="A96" s="281" t="str">
        <f t="shared" si="1"/>
        <v>ТульскаяASM MOS Food Trade+SorsoTSL MOS Grocery Mos Obl AS-Market</v>
      </c>
      <c r="B96" s="297" t="s">
        <v>249</v>
      </c>
      <c r="C96" s="298" t="s">
        <v>363</v>
      </c>
      <c r="D96" s="298" t="s">
        <v>368</v>
      </c>
      <c r="E96" s="299" t="s">
        <v>373</v>
      </c>
      <c r="F96" s="300" t="s">
        <v>374</v>
      </c>
      <c r="G96" s="301"/>
      <c r="H96" s="301"/>
      <c r="I96" s="301"/>
      <c r="J96" s="302"/>
      <c r="K96" s="356"/>
      <c r="L96" s="356">
        <v>0</v>
      </c>
      <c r="M96" s="356">
        <v>0</v>
      </c>
      <c r="N96" s="356">
        <v>0</v>
      </c>
      <c r="O96" s="356">
        <v>0</v>
      </c>
      <c r="P96" s="356">
        <v>0</v>
      </c>
      <c r="Q96" s="356">
        <v>0</v>
      </c>
      <c r="R96" s="356">
        <v>0</v>
      </c>
      <c r="S96" s="356">
        <v>31905.269999999997</v>
      </c>
      <c r="T96" s="356">
        <v>0</v>
      </c>
      <c r="U96" s="357"/>
      <c r="V96" s="357"/>
      <c r="W96" s="357"/>
      <c r="X96" s="357"/>
      <c r="Z96" s="357"/>
      <c r="AA96" s="357"/>
      <c r="AB96" s="357"/>
    </row>
    <row r="97" spans="1:34" ht="14.45" customHeight="1" x14ac:dyDescent="0.25">
      <c r="A97" s="281" t="str">
        <f t="shared" si="1"/>
        <v>ТульскаяDDM MOS Sladkaay ZhiznTSL MOS  Moscow 2 Sladkaya Zhizn</v>
      </c>
      <c r="B97" s="297" t="s">
        <v>249</v>
      </c>
      <c r="C97" s="298" t="s">
        <v>363</v>
      </c>
      <c r="D97" s="298" t="s">
        <v>364</v>
      </c>
      <c r="E97" s="299" t="s">
        <v>371</v>
      </c>
      <c r="F97" s="300" t="s">
        <v>367</v>
      </c>
      <c r="G97" s="301"/>
      <c r="H97" s="301"/>
      <c r="I97" s="301"/>
      <c r="J97" s="302"/>
      <c r="K97" s="301"/>
      <c r="L97" s="301">
        <v>0</v>
      </c>
      <c r="M97" s="301">
        <v>0</v>
      </c>
      <c r="N97" s="301">
        <v>0</v>
      </c>
      <c r="P97" s="301">
        <v>0</v>
      </c>
      <c r="Q97" s="301">
        <v>0</v>
      </c>
      <c r="R97" s="301">
        <v>0</v>
      </c>
      <c r="S97" s="301">
        <v>2274.2749999999996</v>
      </c>
      <c r="T97" s="301">
        <v>0</v>
      </c>
      <c r="U97" s="281"/>
      <c r="V97" s="281"/>
      <c r="W97" s="281"/>
      <c r="X97" s="281"/>
      <c r="Y97" s="356"/>
      <c r="Z97" s="281"/>
      <c r="AA97" s="281"/>
      <c r="AB97" s="281"/>
    </row>
    <row r="98" spans="1:34" ht="14.45" customHeight="1" x14ac:dyDescent="0.25">
      <c r="A98" s="281" t="str">
        <f t="shared" si="1"/>
        <v>ТульскаяDDM MOS Sladkaay ZhiznTSL MOS  Moscow 1 Sladkaya Zhizn</v>
      </c>
      <c r="B98" s="297" t="s">
        <v>249</v>
      </c>
      <c r="C98" s="298" t="s">
        <v>363</v>
      </c>
      <c r="D98" s="298" t="s">
        <v>364</v>
      </c>
      <c r="E98" s="299" t="s">
        <v>355</v>
      </c>
      <c r="F98" s="300" t="s">
        <v>367</v>
      </c>
      <c r="G98" s="301"/>
      <c r="H98" s="301"/>
      <c r="I98" s="301"/>
      <c r="J98" s="302"/>
      <c r="K98" s="301"/>
      <c r="L98" s="301">
        <v>0</v>
      </c>
      <c r="M98" s="301">
        <v>0</v>
      </c>
      <c r="N98" s="301">
        <v>0</v>
      </c>
      <c r="P98" s="301">
        <v>0</v>
      </c>
      <c r="Q98" s="301">
        <v>0</v>
      </c>
      <c r="R98" s="301">
        <v>0</v>
      </c>
      <c r="S98" s="301">
        <v>2274.2749999999996</v>
      </c>
      <c r="T98" s="301">
        <v>0</v>
      </c>
      <c r="U98" s="281"/>
      <c r="V98" s="281"/>
      <c r="W98" s="281"/>
      <c r="X98" s="281"/>
      <c r="Y98" s="356"/>
      <c r="Z98" s="281"/>
      <c r="AA98" s="281"/>
      <c r="AB98" s="281"/>
    </row>
    <row r="99" spans="1:34" ht="14.45" customHeight="1" x14ac:dyDescent="0.25">
      <c r="A99" s="281" t="str">
        <f t="shared" si="1"/>
        <v>Чувашская Республика -DDM MOS Sladkaay ZhiznTSL MOS Cheboksary</v>
      </c>
      <c r="B99" s="297" t="s">
        <v>250</v>
      </c>
      <c r="C99" s="298" t="s">
        <v>363</v>
      </c>
      <c r="D99" s="298" t="s">
        <v>364</v>
      </c>
      <c r="E99" s="299" t="s">
        <v>370</v>
      </c>
      <c r="F99" s="300" t="s">
        <v>365</v>
      </c>
      <c r="G99" s="301"/>
      <c r="H99" s="301"/>
      <c r="I99" s="301"/>
      <c r="J99" s="302"/>
      <c r="K99" s="301"/>
      <c r="L99" s="301">
        <v>0</v>
      </c>
      <c r="M99" s="301">
        <v>0</v>
      </c>
      <c r="N99" s="301">
        <v>0</v>
      </c>
      <c r="O99" s="356"/>
      <c r="P99" s="301">
        <v>6979947.7100000028</v>
      </c>
      <c r="Q99" s="301">
        <v>10872222.310000001</v>
      </c>
      <c r="R99" s="301">
        <v>0</v>
      </c>
      <c r="S99" s="301">
        <v>9587848.3500000257</v>
      </c>
      <c r="T99" s="301">
        <v>9456225.7599999998</v>
      </c>
      <c r="U99" s="281"/>
      <c r="V99" s="281"/>
      <c r="W99" s="281"/>
      <c r="X99" s="281"/>
      <c r="Y99" s="303">
        <v>44164732.540000081</v>
      </c>
      <c r="Z99" s="281"/>
      <c r="AA99" s="281"/>
      <c r="AB99" s="281"/>
      <c r="AF99" s="347" t="s">
        <v>366</v>
      </c>
    </row>
    <row r="100" spans="1:34" ht="14.45" customHeight="1" x14ac:dyDescent="0.25">
      <c r="A100" s="281" t="str">
        <f t="shared" si="1"/>
        <v>Чувашская Республика -DDM MOS Sladkaay ZhiznTSL MOS N.Novgorod</v>
      </c>
      <c r="B100" s="297" t="s">
        <v>250</v>
      </c>
      <c r="C100" s="298" t="s">
        <v>363</v>
      </c>
      <c r="D100" s="298" t="s">
        <v>364</v>
      </c>
      <c r="E100" s="299" t="s">
        <v>354</v>
      </c>
      <c r="F100" s="300" t="s">
        <v>365</v>
      </c>
      <c r="G100" s="301"/>
      <c r="H100" s="301"/>
      <c r="I100" s="301"/>
      <c r="J100" s="326"/>
      <c r="K100" s="356"/>
      <c r="L100" s="356">
        <v>0</v>
      </c>
      <c r="M100" s="356">
        <v>0</v>
      </c>
      <c r="N100" s="356">
        <v>0</v>
      </c>
      <c r="O100" s="356">
        <v>0</v>
      </c>
      <c r="P100" s="356">
        <v>0</v>
      </c>
      <c r="Q100" s="356">
        <v>0</v>
      </c>
      <c r="R100" s="356">
        <v>0</v>
      </c>
      <c r="S100" s="356">
        <v>14279.89</v>
      </c>
      <c r="T100" s="356">
        <v>52049.599999999999</v>
      </c>
      <c r="U100" s="281"/>
      <c r="V100" s="281"/>
      <c r="W100" s="281"/>
      <c r="X100" s="281"/>
      <c r="Y100" s="305"/>
      <c r="Z100" s="281"/>
      <c r="AA100" s="281"/>
      <c r="AB100" s="281"/>
    </row>
    <row r="101" spans="1:34" ht="14.45" customHeight="1" x14ac:dyDescent="0.25">
      <c r="A101" s="281" t="str">
        <f t="shared" si="1"/>
        <v>Чувашская Республика -DDM MOS Sladkaay ZhiznTSL MOS Cheboksary</v>
      </c>
      <c r="B101" s="297" t="s">
        <v>250</v>
      </c>
      <c r="C101" s="298" t="s">
        <v>363</v>
      </c>
      <c r="D101" s="298" t="s">
        <v>364</v>
      </c>
      <c r="E101" s="299" t="s">
        <v>370</v>
      </c>
      <c r="F101" s="300" t="s">
        <v>365</v>
      </c>
      <c r="G101" s="301"/>
      <c r="H101" s="301"/>
      <c r="I101" s="301"/>
      <c r="J101" s="302"/>
      <c r="K101" s="301"/>
      <c r="L101" s="301">
        <v>0</v>
      </c>
      <c r="M101" s="301">
        <v>0</v>
      </c>
      <c r="N101" s="301">
        <v>0</v>
      </c>
      <c r="O101" s="356">
        <v>0</v>
      </c>
      <c r="P101" s="301">
        <v>0</v>
      </c>
      <c r="Q101" s="301">
        <v>0</v>
      </c>
      <c r="R101" s="301">
        <v>0</v>
      </c>
      <c r="S101" s="301">
        <v>14279.89</v>
      </c>
      <c r="T101" s="301">
        <v>52049.599999999999</v>
      </c>
      <c r="U101" s="281"/>
      <c r="V101" s="281"/>
      <c r="W101" s="281"/>
      <c r="X101" s="281"/>
      <c r="Y101" s="305"/>
      <c r="Z101" s="281"/>
      <c r="AA101" s="281"/>
      <c r="AB101" s="281"/>
    </row>
    <row r="102" spans="1:34" x14ac:dyDescent="0.25">
      <c r="A102" s="281" t="str">
        <f t="shared" si="1"/>
        <v>АдыгеяRADM MoscowRAL MOS SPT RKA</v>
      </c>
      <c r="B102" s="281" t="s">
        <v>195</v>
      </c>
      <c r="C102" s="298" t="s">
        <v>363</v>
      </c>
      <c r="D102" s="298" t="s">
        <v>42</v>
      </c>
      <c r="E102" s="281" t="s">
        <v>377</v>
      </c>
      <c r="F102" s="311" t="s">
        <v>378</v>
      </c>
      <c r="K102" s="281">
        <v>740866.42488330521</v>
      </c>
      <c r="L102" s="281"/>
      <c r="M102" s="281"/>
      <c r="N102" s="281"/>
      <c r="O102" s="281"/>
      <c r="P102" s="281"/>
      <c r="Q102" s="281"/>
      <c r="R102" s="281"/>
      <c r="S102" s="281"/>
      <c r="T102" s="281"/>
      <c r="U102" s="281"/>
      <c r="V102" s="281"/>
      <c r="W102" s="281"/>
      <c r="X102" s="281"/>
      <c r="Y102" s="305"/>
      <c r="Z102" s="357"/>
      <c r="AA102" s="281"/>
      <c r="AB102" s="281"/>
      <c r="AF102" s="281" t="s">
        <v>379</v>
      </c>
    </row>
    <row r="103" spans="1:34" x14ac:dyDescent="0.25">
      <c r="A103" s="281" t="str">
        <f t="shared" si="1"/>
        <v>АрхангельскаяRADM MoscowRAL MOS SPT RKA</v>
      </c>
      <c r="B103" s="281" t="s">
        <v>200</v>
      </c>
      <c r="C103" s="298" t="s">
        <v>363</v>
      </c>
      <c r="D103" s="298" t="s">
        <v>42</v>
      </c>
      <c r="E103" s="281" t="s">
        <v>377</v>
      </c>
      <c r="F103" s="311" t="s">
        <v>378</v>
      </c>
      <c r="K103" s="281">
        <v>2222599.2746499158</v>
      </c>
      <c r="L103" s="281"/>
      <c r="M103" s="281"/>
      <c r="N103" s="281"/>
      <c r="O103" s="281"/>
      <c r="P103" s="281"/>
      <c r="Q103" s="281"/>
      <c r="R103" s="281"/>
      <c r="S103" s="281"/>
      <c r="T103" s="281"/>
      <c r="U103" s="281"/>
      <c r="V103" s="281"/>
      <c r="W103" s="281"/>
      <c r="X103" s="281"/>
      <c r="Y103" s="305"/>
      <c r="Z103" s="357"/>
      <c r="AA103" s="281"/>
      <c r="AB103" s="281"/>
      <c r="AF103" s="281" t="s">
        <v>379</v>
      </c>
    </row>
    <row r="104" spans="1:34" x14ac:dyDescent="0.25">
      <c r="A104" s="281" t="str">
        <f t="shared" si="1"/>
        <v>АстраханскаяRADM MoscowRAL MOS SPT RKA</v>
      </c>
      <c r="B104" s="281" t="s">
        <v>203</v>
      </c>
      <c r="C104" s="298" t="s">
        <v>363</v>
      </c>
      <c r="D104" s="298" t="s">
        <v>42</v>
      </c>
      <c r="E104" s="281" t="s">
        <v>377</v>
      </c>
      <c r="F104" s="311" t="s">
        <v>378</v>
      </c>
      <c r="K104" s="281">
        <v>1481732.8497666104</v>
      </c>
      <c r="L104" s="281"/>
      <c r="M104" s="281"/>
      <c r="N104" s="281"/>
      <c r="O104" s="281"/>
      <c r="P104" s="281"/>
      <c r="Q104" s="281"/>
      <c r="R104" s="281"/>
      <c r="S104" s="281"/>
      <c r="T104" s="281"/>
      <c r="U104" s="281"/>
      <c r="V104" s="281"/>
      <c r="W104" s="281"/>
      <c r="X104" s="281"/>
      <c r="Y104" s="305"/>
      <c r="Z104" s="357"/>
      <c r="AA104" s="281"/>
      <c r="AB104" s="281"/>
      <c r="AF104" s="281" t="s">
        <v>379</v>
      </c>
    </row>
    <row r="105" spans="1:34" x14ac:dyDescent="0.25">
      <c r="A105" s="281" t="str">
        <f t="shared" si="1"/>
        <v>БелгородскаяRADM MoscowRAL MOS SPT RKA</v>
      </c>
      <c r="B105" s="281" t="s">
        <v>204</v>
      </c>
      <c r="C105" s="298" t="s">
        <v>363</v>
      </c>
      <c r="D105" s="298" t="s">
        <v>42</v>
      </c>
      <c r="E105" s="281" t="s">
        <v>377</v>
      </c>
      <c r="F105" s="311" t="s">
        <v>378</v>
      </c>
      <c r="K105" s="281">
        <v>1481732.8497666104</v>
      </c>
      <c r="L105" s="281"/>
      <c r="M105" s="281"/>
      <c r="N105" s="281"/>
      <c r="O105" s="281"/>
      <c r="P105" s="281"/>
      <c r="Q105" s="281"/>
      <c r="R105" s="281"/>
      <c r="S105" s="281"/>
      <c r="T105" s="281"/>
      <c r="U105" s="281"/>
      <c r="V105" s="281"/>
      <c r="W105" s="281"/>
      <c r="X105" s="281"/>
      <c r="Y105" s="305"/>
      <c r="Z105" s="357"/>
      <c r="AA105" s="281"/>
      <c r="AB105" s="281"/>
      <c r="AF105" s="281" t="s">
        <v>379</v>
      </c>
    </row>
    <row r="106" spans="1:34" x14ac:dyDescent="0.25">
      <c r="A106" s="281" t="str">
        <f t="shared" si="1"/>
        <v>ВладимирскаяRADM MoscowRAL MOS SPT RKA</v>
      </c>
      <c r="B106" s="281" t="s">
        <v>253</v>
      </c>
      <c r="C106" s="298" t="s">
        <v>363</v>
      </c>
      <c r="D106" s="298" t="s">
        <v>42</v>
      </c>
      <c r="E106" s="281" t="s">
        <v>377</v>
      </c>
      <c r="F106" s="311" t="s">
        <v>378</v>
      </c>
      <c r="I106" s="281" t="s">
        <v>51</v>
      </c>
      <c r="K106" s="281">
        <v>4445198.5492998315</v>
      </c>
      <c r="L106" s="281"/>
      <c r="M106" s="281"/>
      <c r="N106" s="281"/>
      <c r="O106" s="281"/>
      <c r="P106" s="281"/>
      <c r="Q106" s="281"/>
      <c r="R106" s="281"/>
      <c r="S106" s="281"/>
      <c r="T106" s="281"/>
      <c r="U106" s="281"/>
      <c r="V106" s="281"/>
      <c r="W106" s="281"/>
      <c r="X106" s="281"/>
      <c r="Y106" s="305"/>
      <c r="Z106" s="357"/>
      <c r="AA106" s="281"/>
      <c r="AB106" s="281"/>
      <c r="AF106" s="281" t="s">
        <v>379</v>
      </c>
      <c r="AH106" s="310">
        <v>3640000</v>
      </c>
    </row>
    <row r="107" spans="1:34" x14ac:dyDescent="0.25">
      <c r="A107" s="281" t="str">
        <f t="shared" si="1"/>
        <v>ВолгоградскаяRADM MoscowRAL MOS SPT RKA</v>
      </c>
      <c r="B107" s="281" t="s">
        <v>208</v>
      </c>
      <c r="C107" s="298" t="s">
        <v>363</v>
      </c>
      <c r="D107" s="298" t="s">
        <v>42</v>
      </c>
      <c r="E107" s="281" t="s">
        <v>377</v>
      </c>
      <c r="F107" s="311" t="s">
        <v>378</v>
      </c>
      <c r="I107" s="281" t="s">
        <v>51</v>
      </c>
      <c r="K107" s="281">
        <v>5926931.3990664417</v>
      </c>
      <c r="L107" s="281"/>
      <c r="M107" s="281"/>
      <c r="N107" s="281"/>
      <c r="O107" s="281"/>
      <c r="P107" s="281"/>
      <c r="Q107" s="281"/>
      <c r="R107" s="281"/>
      <c r="S107" s="281"/>
      <c r="T107" s="281"/>
      <c r="U107" s="281"/>
      <c r="V107" s="281"/>
      <c r="W107" s="281"/>
      <c r="X107" s="281"/>
      <c r="Y107" s="305"/>
      <c r="Z107" s="357"/>
      <c r="AA107" s="281"/>
      <c r="AB107" s="281"/>
      <c r="AF107" s="281" t="s">
        <v>379</v>
      </c>
    </row>
    <row r="108" spans="1:34" x14ac:dyDescent="0.25">
      <c r="A108" s="281" t="str">
        <f t="shared" si="1"/>
        <v>ВологодскаяRADM MoscowRAL MOS SPT RKA</v>
      </c>
      <c r="B108" s="281" t="s">
        <v>209</v>
      </c>
      <c r="C108" s="298" t="s">
        <v>363</v>
      </c>
      <c r="D108" s="298" t="s">
        <v>42</v>
      </c>
      <c r="E108" s="281" t="s">
        <v>377</v>
      </c>
      <c r="F108" s="311" t="s">
        <v>378</v>
      </c>
      <c r="K108" s="281">
        <v>740866.42488330521</v>
      </c>
      <c r="L108" s="281"/>
      <c r="M108" s="281"/>
      <c r="N108" s="281"/>
      <c r="O108" s="281"/>
      <c r="P108" s="281"/>
      <c r="Q108" s="281"/>
      <c r="R108" s="281"/>
      <c r="S108" s="281"/>
      <c r="T108" s="281"/>
      <c r="U108" s="281"/>
      <c r="V108" s="281"/>
      <c r="W108" s="281"/>
      <c r="X108" s="281"/>
      <c r="Y108" s="305"/>
      <c r="Z108" s="357"/>
      <c r="AA108" s="281"/>
      <c r="AB108" s="281"/>
      <c r="AF108" s="281" t="s">
        <v>379</v>
      </c>
    </row>
    <row r="109" spans="1:34" x14ac:dyDescent="0.25">
      <c r="A109" s="281" t="str">
        <f t="shared" si="1"/>
        <v>ВоронежскаяRADM MoscowRAL MOS SPT RKA</v>
      </c>
      <c r="B109" s="281" t="s">
        <v>210</v>
      </c>
      <c r="C109" s="298" t="s">
        <v>363</v>
      </c>
      <c r="D109" s="298" t="s">
        <v>42</v>
      </c>
      <c r="E109" s="281" t="s">
        <v>377</v>
      </c>
      <c r="F109" s="311" t="s">
        <v>378</v>
      </c>
      <c r="I109" s="281" t="s">
        <v>51</v>
      </c>
      <c r="K109" s="281">
        <v>8890397.098599663</v>
      </c>
      <c r="L109" s="281"/>
      <c r="M109" s="281"/>
      <c r="N109" s="281"/>
      <c r="O109" s="281"/>
      <c r="P109" s="281"/>
      <c r="Q109" s="281"/>
      <c r="R109" s="281"/>
      <c r="S109" s="281"/>
      <c r="T109" s="281"/>
      <c r="U109" s="281"/>
      <c r="V109" s="281"/>
      <c r="W109" s="281"/>
      <c r="X109" s="281"/>
      <c r="Y109" s="305"/>
      <c r="Z109" s="357"/>
      <c r="AA109" s="281"/>
      <c r="AB109" s="281"/>
      <c r="AF109" s="281" t="s">
        <v>379</v>
      </c>
    </row>
    <row r="110" spans="1:34" x14ac:dyDescent="0.25">
      <c r="A110" s="281" t="str">
        <f t="shared" si="1"/>
        <v>ИвановскаяRADM MoscowRAL MOS SPT RKA</v>
      </c>
      <c r="B110" s="281" t="s">
        <v>212</v>
      </c>
      <c r="C110" s="298" t="s">
        <v>363</v>
      </c>
      <c r="D110" s="298" t="s">
        <v>42</v>
      </c>
      <c r="E110" s="281" t="s">
        <v>377</v>
      </c>
      <c r="F110" s="311" t="s">
        <v>378</v>
      </c>
      <c r="I110" s="281" t="s">
        <v>51</v>
      </c>
      <c r="K110" s="281">
        <v>2963465.6995332208</v>
      </c>
      <c r="L110" s="281"/>
      <c r="M110" s="281"/>
      <c r="N110" s="281"/>
      <c r="O110" s="281"/>
      <c r="P110" s="281"/>
      <c r="Q110" s="281"/>
      <c r="R110" s="281"/>
      <c r="S110" s="281"/>
      <c r="T110" s="281"/>
      <c r="U110" s="281"/>
      <c r="V110" s="281"/>
      <c r="W110" s="281"/>
      <c r="X110" s="281"/>
      <c r="Y110" s="305"/>
      <c r="Z110" s="357"/>
      <c r="AA110" s="281"/>
      <c r="AB110" s="281"/>
      <c r="AF110" s="281" t="s">
        <v>379</v>
      </c>
    </row>
    <row r="111" spans="1:34" x14ac:dyDescent="0.25">
      <c r="A111" s="281" t="str">
        <f t="shared" si="1"/>
        <v>КалужскаяRADM MoscowRAL MOS SPT RKA</v>
      </c>
      <c r="B111" s="281" t="s">
        <v>215</v>
      </c>
      <c r="C111" s="298" t="s">
        <v>363</v>
      </c>
      <c r="D111" s="298" t="s">
        <v>42</v>
      </c>
      <c r="E111" s="281" t="s">
        <v>377</v>
      </c>
      <c r="F111" s="311" t="s">
        <v>378</v>
      </c>
      <c r="I111" s="281" t="s">
        <v>49</v>
      </c>
      <c r="K111" s="281">
        <v>5186064.9741831366</v>
      </c>
      <c r="L111" s="281"/>
      <c r="M111" s="281"/>
      <c r="N111" s="281"/>
      <c r="O111" s="281"/>
      <c r="P111" s="281"/>
      <c r="Q111" s="281"/>
      <c r="R111" s="281"/>
      <c r="S111" s="281"/>
      <c r="T111" s="281"/>
      <c r="U111" s="281"/>
      <c r="V111" s="281"/>
      <c r="W111" s="281"/>
      <c r="X111" s="281"/>
      <c r="Y111" s="305"/>
      <c r="Z111" s="357"/>
      <c r="AA111" s="281"/>
      <c r="AB111" s="281"/>
      <c r="AF111" s="281" t="s">
        <v>379</v>
      </c>
      <c r="AH111" s="310">
        <v>5460000</v>
      </c>
    </row>
    <row r="112" spans="1:34" x14ac:dyDescent="0.25">
      <c r="A112" s="281" t="str">
        <f t="shared" si="1"/>
        <v>Кемеровская область - КузбассRADM MoscowRAL MOS SPT RKA</v>
      </c>
      <c r="B112" s="281" t="s">
        <v>219</v>
      </c>
      <c r="C112" s="298" t="s">
        <v>363</v>
      </c>
      <c r="D112" s="298" t="s">
        <v>42</v>
      </c>
      <c r="E112" s="281" t="s">
        <v>377</v>
      </c>
      <c r="F112" s="311" t="s">
        <v>378</v>
      </c>
      <c r="K112" s="281">
        <v>1481732.8497666104</v>
      </c>
      <c r="L112" s="281"/>
      <c r="M112" s="281"/>
      <c r="N112" s="281"/>
      <c r="O112" s="281"/>
      <c r="P112" s="281"/>
      <c r="Q112" s="281"/>
      <c r="R112" s="281"/>
      <c r="S112" s="281"/>
      <c r="T112" s="281"/>
      <c r="U112" s="281"/>
      <c r="V112" s="281"/>
      <c r="W112" s="281"/>
      <c r="X112" s="281"/>
      <c r="Y112" s="305"/>
      <c r="Z112" s="357"/>
      <c r="AA112" s="281"/>
      <c r="AB112" s="281"/>
      <c r="AF112" s="281" t="s">
        <v>379</v>
      </c>
    </row>
    <row r="113" spans="1:34" x14ac:dyDescent="0.25">
      <c r="A113" s="281" t="str">
        <f t="shared" si="1"/>
        <v>КостромскаяRADM MoscowRAL MOS SPT RKA</v>
      </c>
      <c r="B113" s="281" t="s">
        <v>224</v>
      </c>
      <c r="C113" s="298" t="s">
        <v>363</v>
      </c>
      <c r="D113" s="298" t="s">
        <v>42</v>
      </c>
      <c r="E113" s="281" t="s">
        <v>377</v>
      </c>
      <c r="F113" s="311" t="s">
        <v>378</v>
      </c>
      <c r="I113" s="281" t="s">
        <v>51</v>
      </c>
      <c r="K113" s="281">
        <v>2222599.2746499158</v>
      </c>
      <c r="L113" s="281"/>
      <c r="M113" s="281"/>
      <c r="N113" s="281"/>
      <c r="O113" s="281"/>
      <c r="P113" s="281"/>
      <c r="Q113" s="281"/>
      <c r="R113" s="281"/>
      <c r="S113" s="281"/>
      <c r="T113" s="281"/>
      <c r="U113" s="281"/>
      <c r="V113" s="281"/>
      <c r="W113" s="281"/>
      <c r="X113" s="281"/>
      <c r="Y113" s="305"/>
      <c r="Z113" s="357"/>
      <c r="AA113" s="281"/>
      <c r="AB113" s="281"/>
      <c r="AF113" s="281" t="s">
        <v>379</v>
      </c>
    </row>
    <row r="114" spans="1:34" x14ac:dyDescent="0.25">
      <c r="A114" s="281" t="str">
        <f t="shared" si="1"/>
        <v>КраснодарскийRADM MoscowRAL MOS SPT RKA</v>
      </c>
      <c r="B114" s="281" t="s">
        <v>225</v>
      </c>
      <c r="C114" s="298" t="s">
        <v>363</v>
      </c>
      <c r="D114" s="298" t="s">
        <v>42</v>
      </c>
      <c r="E114" s="281" t="s">
        <v>377</v>
      </c>
      <c r="F114" s="311" t="s">
        <v>378</v>
      </c>
      <c r="K114" s="281">
        <v>6667797.8239497459</v>
      </c>
      <c r="L114" s="281"/>
      <c r="M114" s="281"/>
      <c r="N114" s="281"/>
      <c r="O114" s="281"/>
      <c r="P114" s="281"/>
      <c r="Q114" s="281"/>
      <c r="R114" s="281"/>
      <c r="S114" s="281"/>
      <c r="T114" s="281"/>
      <c r="U114" s="281"/>
      <c r="V114" s="281"/>
      <c r="W114" s="281"/>
      <c r="X114" s="281"/>
      <c r="Y114" s="305"/>
      <c r="Z114" s="357"/>
      <c r="AA114" s="281"/>
      <c r="AB114" s="281"/>
      <c r="AF114" s="281" t="s">
        <v>379</v>
      </c>
    </row>
    <row r="115" spans="1:34" x14ac:dyDescent="0.25">
      <c r="A115" s="281" t="str">
        <f t="shared" si="1"/>
        <v>КурскаяRADM MoscowRAL MOS SPT RKA</v>
      </c>
      <c r="B115" s="281" t="s">
        <v>255</v>
      </c>
      <c r="C115" s="298" t="s">
        <v>363</v>
      </c>
      <c r="D115" s="298" t="s">
        <v>42</v>
      </c>
      <c r="E115" s="281" t="s">
        <v>377</v>
      </c>
      <c r="F115" s="311" t="s">
        <v>378</v>
      </c>
      <c r="I115" s="281" t="s">
        <v>51</v>
      </c>
      <c r="K115" s="281">
        <v>2222599.2746499158</v>
      </c>
      <c r="L115" s="281"/>
      <c r="M115" s="281"/>
      <c r="N115" s="281"/>
      <c r="O115" s="281"/>
      <c r="P115" s="281"/>
      <c r="Q115" s="281"/>
      <c r="R115" s="281"/>
      <c r="S115" s="281"/>
      <c r="T115" s="281"/>
      <c r="U115" s="281"/>
      <c r="V115" s="281"/>
      <c r="W115" s="281"/>
      <c r="X115" s="281"/>
      <c r="Y115" s="305"/>
      <c r="Z115" s="357"/>
      <c r="AA115" s="281"/>
      <c r="AB115" s="281"/>
      <c r="AF115" s="281" t="s">
        <v>379</v>
      </c>
    </row>
    <row r="116" spans="1:34" x14ac:dyDescent="0.25">
      <c r="A116" s="281" t="str">
        <f t="shared" si="1"/>
        <v>ЛенинградскаяRADM MoscowRAL MOS SPT RKA</v>
      </c>
      <c r="B116" s="281" t="s">
        <v>227</v>
      </c>
      <c r="C116" s="298" t="s">
        <v>363</v>
      </c>
      <c r="D116" s="298" t="s">
        <v>42</v>
      </c>
      <c r="E116" s="281" t="s">
        <v>377</v>
      </c>
      <c r="F116" s="311" t="s">
        <v>378</v>
      </c>
      <c r="K116" s="281">
        <v>2963465.6995332208</v>
      </c>
      <c r="L116" s="281"/>
      <c r="M116" s="281"/>
      <c r="N116" s="281"/>
      <c r="O116" s="281"/>
      <c r="P116" s="281"/>
      <c r="Q116" s="281"/>
      <c r="R116" s="281"/>
      <c r="S116" s="281"/>
      <c r="T116" s="281"/>
      <c r="U116" s="281"/>
      <c r="V116" s="281"/>
      <c r="W116" s="281"/>
      <c r="X116" s="281"/>
      <c r="Y116" s="305"/>
      <c r="Z116" s="357"/>
      <c r="AA116" s="281"/>
      <c r="AB116" s="281"/>
      <c r="AF116" s="281" t="s">
        <v>379</v>
      </c>
    </row>
    <row r="117" spans="1:34" x14ac:dyDescent="0.25">
      <c r="A117" s="281" t="str">
        <f t="shared" si="1"/>
        <v>ЛипецкаяRADM MoscowRAL MOS SPT RKA</v>
      </c>
      <c r="B117" s="281" t="s">
        <v>228</v>
      </c>
      <c r="C117" s="298" t="s">
        <v>363</v>
      </c>
      <c r="D117" s="298" t="s">
        <v>42</v>
      </c>
      <c r="E117" s="281" t="s">
        <v>377</v>
      </c>
      <c r="F117" s="311" t="s">
        <v>378</v>
      </c>
      <c r="I117" s="281" t="s">
        <v>51</v>
      </c>
      <c r="K117" s="281">
        <v>4445198.5492998315</v>
      </c>
      <c r="L117" s="281"/>
      <c r="M117" s="281"/>
      <c r="N117" s="281"/>
      <c r="O117" s="281"/>
      <c r="P117" s="281"/>
      <c r="Q117" s="281"/>
      <c r="R117" s="281"/>
      <c r="S117" s="281"/>
      <c r="T117" s="281"/>
      <c r="U117" s="281"/>
      <c r="V117" s="281"/>
      <c r="W117" s="281"/>
      <c r="X117" s="281"/>
      <c r="Y117" s="305"/>
      <c r="Z117" s="357"/>
      <c r="AA117" s="281"/>
      <c r="AB117" s="281"/>
      <c r="AF117" s="281" t="s">
        <v>379</v>
      </c>
    </row>
    <row r="118" spans="1:34" x14ac:dyDescent="0.25">
      <c r="A118" s="281" t="str">
        <f t="shared" si="1"/>
        <v>МоскваRADM MoscowRAL MOS SPT RKA</v>
      </c>
      <c r="B118" s="281" t="s">
        <v>257</v>
      </c>
      <c r="C118" s="298" t="s">
        <v>363</v>
      </c>
      <c r="D118" s="298" t="s">
        <v>42</v>
      </c>
      <c r="E118" s="281" t="s">
        <v>377</v>
      </c>
      <c r="F118" s="311" t="s">
        <v>378</v>
      </c>
      <c r="H118" s="281">
        <v>1</v>
      </c>
      <c r="I118" s="281" t="s">
        <v>49</v>
      </c>
      <c r="K118" s="281">
        <v>160027147.77479389</v>
      </c>
      <c r="L118" s="281"/>
      <c r="M118" s="281"/>
      <c r="N118" s="281"/>
      <c r="O118" s="281"/>
      <c r="P118" s="281"/>
      <c r="Q118" s="281"/>
      <c r="R118" s="281"/>
      <c r="S118" s="281"/>
      <c r="T118" s="281"/>
      <c r="U118" s="281"/>
      <c r="V118" s="281"/>
      <c r="W118" s="281"/>
      <c r="X118" s="281"/>
      <c r="Y118" s="305"/>
      <c r="Z118" s="357">
        <v>202930000</v>
      </c>
      <c r="AA118" s="281"/>
      <c r="AB118" s="281"/>
      <c r="AF118" s="281" t="s">
        <v>379</v>
      </c>
    </row>
    <row r="119" spans="1:34" x14ac:dyDescent="0.25">
      <c r="A119" s="281" t="str">
        <f t="shared" si="1"/>
        <v>МосковскаяRADM MoscowRAL MOS SPT RKA</v>
      </c>
      <c r="B119" s="281" t="s">
        <v>229</v>
      </c>
      <c r="C119" s="298" t="s">
        <v>363</v>
      </c>
      <c r="D119" s="298" t="s">
        <v>42</v>
      </c>
      <c r="E119" s="281" t="s">
        <v>377</v>
      </c>
      <c r="F119" s="311" t="s">
        <v>378</v>
      </c>
      <c r="I119" s="281" t="s">
        <v>49</v>
      </c>
      <c r="K119" s="281">
        <v>98535234.509479582</v>
      </c>
      <c r="L119" s="281"/>
      <c r="M119" s="281"/>
      <c r="N119" s="281"/>
      <c r="O119" s="281"/>
      <c r="P119" s="281"/>
      <c r="Q119" s="281"/>
      <c r="R119" s="281"/>
      <c r="S119" s="281"/>
      <c r="T119" s="281"/>
      <c r="U119" s="281"/>
      <c r="V119" s="281"/>
      <c r="W119" s="281"/>
      <c r="X119" s="281"/>
      <c r="Y119" s="305"/>
      <c r="Z119" s="357">
        <v>158080000</v>
      </c>
      <c r="AA119" s="281"/>
      <c r="AB119" s="281"/>
      <c r="AF119" s="281" t="s">
        <v>379</v>
      </c>
    </row>
    <row r="120" spans="1:34" x14ac:dyDescent="0.25">
      <c r="A120" s="281" t="str">
        <f t="shared" si="1"/>
        <v>МурманскаяRADM MoscowRAL MOS SPT RKA</v>
      </c>
      <c r="B120" s="281" t="s">
        <v>230</v>
      </c>
      <c r="C120" s="298" t="s">
        <v>363</v>
      </c>
      <c r="D120" s="298" t="s">
        <v>42</v>
      </c>
      <c r="E120" s="281" t="s">
        <v>377</v>
      </c>
      <c r="F120" s="311" t="s">
        <v>378</v>
      </c>
      <c r="K120" s="281">
        <v>1481732.8497666104</v>
      </c>
      <c r="L120" s="281"/>
      <c r="M120" s="281"/>
      <c r="N120" s="281"/>
      <c r="O120" s="281"/>
      <c r="P120" s="281"/>
      <c r="Q120" s="281"/>
      <c r="R120" s="281"/>
      <c r="S120" s="281"/>
      <c r="T120" s="281"/>
      <c r="U120" s="281"/>
      <c r="V120" s="281"/>
      <c r="W120" s="281"/>
      <c r="X120" s="281"/>
      <c r="Y120" s="305"/>
      <c r="Z120" s="357"/>
      <c r="AA120" s="281"/>
      <c r="AB120" s="281"/>
      <c r="AF120" s="281" t="s">
        <v>379</v>
      </c>
    </row>
    <row r="121" spans="1:34" x14ac:dyDescent="0.25">
      <c r="A121" s="281" t="str">
        <f t="shared" si="1"/>
        <v>НижегородскаяRADM MoscowRAL MOS SPT RKA</v>
      </c>
      <c r="B121" s="281" t="s">
        <v>258</v>
      </c>
      <c r="C121" s="298" t="s">
        <v>363</v>
      </c>
      <c r="D121" s="298" t="s">
        <v>42</v>
      </c>
      <c r="E121" s="281" t="s">
        <v>377</v>
      </c>
      <c r="F121" s="311" t="s">
        <v>378</v>
      </c>
      <c r="I121" s="281" t="s">
        <v>51</v>
      </c>
      <c r="K121" s="281">
        <v>7408664.2488330519</v>
      </c>
      <c r="L121" s="281"/>
      <c r="M121" s="281"/>
      <c r="N121" s="281"/>
      <c r="O121" s="281"/>
      <c r="P121" s="281"/>
      <c r="Q121" s="281"/>
      <c r="R121" s="281"/>
      <c r="S121" s="281"/>
      <c r="T121" s="281"/>
      <c r="U121" s="281"/>
      <c r="V121" s="281"/>
      <c r="W121" s="281"/>
      <c r="X121" s="281"/>
      <c r="Y121" s="305"/>
      <c r="Z121" s="357"/>
      <c r="AA121" s="281"/>
      <c r="AB121" s="281"/>
      <c r="AF121" s="281" t="s">
        <v>379</v>
      </c>
      <c r="AH121" s="310">
        <v>6370000</v>
      </c>
    </row>
    <row r="122" spans="1:34" x14ac:dyDescent="0.25">
      <c r="A122" s="281" t="str">
        <f t="shared" si="1"/>
        <v>ОмскаяRADM MoscowRAL MOS SPT RKA</v>
      </c>
      <c r="B122" s="281" t="s">
        <v>233</v>
      </c>
      <c r="C122" s="298" t="s">
        <v>363</v>
      </c>
      <c r="D122" s="298" t="s">
        <v>42</v>
      </c>
      <c r="E122" s="281" t="s">
        <v>377</v>
      </c>
      <c r="F122" s="311" t="s">
        <v>378</v>
      </c>
      <c r="K122" s="281">
        <v>2222599.2746499158</v>
      </c>
      <c r="L122" s="281"/>
      <c r="M122" s="281"/>
      <c r="N122" s="281"/>
      <c r="O122" s="281"/>
      <c r="P122" s="281"/>
      <c r="Q122" s="281"/>
      <c r="R122" s="281"/>
      <c r="S122" s="281"/>
      <c r="T122" s="281"/>
      <c r="U122" s="281"/>
      <c r="V122" s="281"/>
      <c r="W122" s="281"/>
      <c r="X122" s="281"/>
      <c r="Y122" s="305"/>
      <c r="Z122" s="357"/>
      <c r="AA122" s="281"/>
      <c r="AB122" s="281"/>
      <c r="AF122" s="281" t="s">
        <v>379</v>
      </c>
    </row>
    <row r="123" spans="1:34" x14ac:dyDescent="0.25">
      <c r="A123" s="281" t="str">
        <f t="shared" si="1"/>
        <v>ОрловскаяRADM MoscowRAL MOS SPT RKA</v>
      </c>
      <c r="B123" s="281" t="s">
        <v>235</v>
      </c>
      <c r="C123" s="298" t="s">
        <v>363</v>
      </c>
      <c r="D123" s="298" t="s">
        <v>42</v>
      </c>
      <c r="E123" s="281" t="s">
        <v>377</v>
      </c>
      <c r="F123" s="311" t="s">
        <v>378</v>
      </c>
      <c r="I123" s="281" t="s">
        <v>51</v>
      </c>
      <c r="K123" s="281">
        <v>740866.42488330521</v>
      </c>
      <c r="L123" s="281"/>
      <c r="M123" s="281"/>
      <c r="N123" s="281"/>
      <c r="O123" s="281"/>
      <c r="P123" s="281"/>
      <c r="Q123" s="281"/>
      <c r="R123" s="281"/>
      <c r="S123" s="281"/>
      <c r="T123" s="281"/>
      <c r="U123" s="281"/>
      <c r="V123" s="281"/>
      <c r="W123" s="281"/>
      <c r="X123" s="281"/>
      <c r="Y123" s="305"/>
      <c r="Z123" s="357"/>
      <c r="AA123" s="281"/>
      <c r="AB123" s="281"/>
      <c r="AF123" s="281" t="s">
        <v>379</v>
      </c>
    </row>
    <row r="124" spans="1:34" x14ac:dyDescent="0.25">
      <c r="A124" s="281" t="str">
        <f t="shared" si="1"/>
        <v>ПермскийRADM MoscowRAL MOS SPT RKA</v>
      </c>
      <c r="B124" s="281" t="s">
        <v>171</v>
      </c>
      <c r="C124" s="298" t="s">
        <v>363</v>
      </c>
      <c r="D124" s="298" t="s">
        <v>42</v>
      </c>
      <c r="E124" s="281" t="s">
        <v>377</v>
      </c>
      <c r="F124" s="311" t="s">
        <v>378</v>
      </c>
      <c r="K124" s="281">
        <v>1481732.8497666104</v>
      </c>
      <c r="L124" s="281"/>
      <c r="M124" s="281"/>
      <c r="N124" s="281"/>
      <c r="O124" s="281"/>
      <c r="P124" s="281"/>
      <c r="Q124" s="281"/>
      <c r="R124" s="281"/>
      <c r="S124" s="281"/>
      <c r="T124" s="281"/>
      <c r="U124" s="281"/>
      <c r="V124" s="281"/>
      <c r="W124" s="281"/>
      <c r="X124" s="281"/>
      <c r="Y124" s="305"/>
      <c r="Z124" s="357"/>
      <c r="AA124" s="281"/>
      <c r="AB124" s="281"/>
      <c r="AF124" s="281" t="s">
        <v>379</v>
      </c>
    </row>
    <row r="125" spans="1:34" x14ac:dyDescent="0.25">
      <c r="A125" s="281" t="str">
        <f t="shared" si="1"/>
        <v>ПсковскаяRADM MoscowRAL MOS SPT RKA</v>
      </c>
      <c r="B125" s="281" t="s">
        <v>238</v>
      </c>
      <c r="C125" s="298" t="s">
        <v>363</v>
      </c>
      <c r="D125" s="298" t="s">
        <v>42</v>
      </c>
      <c r="E125" s="281" t="s">
        <v>377</v>
      </c>
      <c r="F125" s="311" t="s">
        <v>378</v>
      </c>
      <c r="K125" s="281">
        <v>740866.42488330521</v>
      </c>
      <c r="L125" s="281"/>
      <c r="M125" s="281"/>
      <c r="N125" s="281"/>
      <c r="O125" s="281"/>
      <c r="P125" s="281"/>
      <c r="Q125" s="281"/>
      <c r="R125" s="281"/>
      <c r="S125" s="281"/>
      <c r="T125" s="281"/>
      <c r="U125" s="281"/>
      <c r="V125" s="281"/>
      <c r="W125" s="281"/>
      <c r="X125" s="281"/>
      <c r="Y125" s="305"/>
      <c r="Z125" s="357"/>
      <c r="AA125" s="281"/>
      <c r="AB125" s="281"/>
      <c r="AF125" s="281" t="s">
        <v>379</v>
      </c>
    </row>
    <row r="126" spans="1:34" x14ac:dyDescent="0.25">
      <c r="A126" s="281" t="str">
        <f t="shared" si="1"/>
        <v>РостовскаяRADM MoscowRAL MOS SPT RKA</v>
      </c>
      <c r="B126" s="281" t="s">
        <v>239</v>
      </c>
      <c r="C126" s="298" t="s">
        <v>363</v>
      </c>
      <c r="D126" s="298" t="s">
        <v>42</v>
      </c>
      <c r="E126" s="281" t="s">
        <v>377</v>
      </c>
      <c r="F126" s="311" t="s">
        <v>378</v>
      </c>
      <c r="K126" s="281">
        <v>2963465.6995332208</v>
      </c>
      <c r="L126" s="281"/>
      <c r="M126" s="281"/>
      <c r="N126" s="281"/>
      <c r="O126" s="281"/>
      <c r="P126" s="281"/>
      <c r="Q126" s="281"/>
      <c r="R126" s="281"/>
      <c r="S126" s="281"/>
      <c r="T126" s="281"/>
      <c r="U126" s="281"/>
      <c r="V126" s="281"/>
      <c r="W126" s="281"/>
      <c r="X126" s="281"/>
      <c r="Y126" s="305"/>
      <c r="Z126" s="357"/>
      <c r="AA126" s="281"/>
      <c r="AB126" s="281"/>
      <c r="AF126" s="281" t="s">
        <v>379</v>
      </c>
    </row>
    <row r="127" spans="1:34" x14ac:dyDescent="0.25">
      <c r="A127" s="281" t="str">
        <f t="shared" si="1"/>
        <v>РязанскаяRADM MoscowRAL MOS SPT RKA</v>
      </c>
      <c r="B127" s="281" t="s">
        <v>241</v>
      </c>
      <c r="C127" s="298" t="s">
        <v>363</v>
      </c>
      <c r="D127" s="298" t="s">
        <v>42</v>
      </c>
      <c r="E127" s="281" t="s">
        <v>377</v>
      </c>
      <c r="F127" s="311" t="s">
        <v>378</v>
      </c>
      <c r="I127" s="281" t="s">
        <v>49</v>
      </c>
      <c r="K127" s="281">
        <v>2963465.6995332208</v>
      </c>
      <c r="L127" s="281"/>
      <c r="M127" s="281"/>
      <c r="N127" s="281"/>
      <c r="O127" s="281"/>
      <c r="P127" s="281"/>
      <c r="Q127" s="281"/>
      <c r="R127" s="281"/>
      <c r="S127" s="281"/>
      <c r="T127" s="281"/>
      <c r="U127" s="281"/>
      <c r="V127" s="281"/>
      <c r="W127" s="281"/>
      <c r="X127" s="281"/>
      <c r="Y127" s="305"/>
      <c r="Z127" s="357"/>
      <c r="AA127" s="281"/>
      <c r="AB127" s="281"/>
      <c r="AF127" s="281" t="s">
        <v>379</v>
      </c>
      <c r="AH127" s="310">
        <v>2730000</v>
      </c>
    </row>
    <row r="128" spans="1:34" x14ac:dyDescent="0.25">
      <c r="A128" s="281" t="str">
        <f t="shared" si="1"/>
        <v>СамарскаяRADM MoscowRAL MOS SPT RKA</v>
      </c>
      <c r="B128" s="281" t="s">
        <v>174</v>
      </c>
      <c r="C128" s="298" t="s">
        <v>363</v>
      </c>
      <c r="D128" s="298" t="s">
        <v>42</v>
      </c>
      <c r="E128" s="281" t="s">
        <v>377</v>
      </c>
      <c r="F128" s="311" t="s">
        <v>378</v>
      </c>
      <c r="K128" s="281">
        <v>3704332.1244165259</v>
      </c>
      <c r="L128" s="281"/>
      <c r="M128" s="281"/>
      <c r="N128" s="281"/>
      <c r="O128" s="281"/>
      <c r="P128" s="281"/>
      <c r="Q128" s="281"/>
      <c r="R128" s="281"/>
      <c r="S128" s="281"/>
      <c r="T128" s="281"/>
      <c r="U128" s="281"/>
      <c r="V128" s="281"/>
      <c r="W128" s="281"/>
      <c r="X128" s="281"/>
      <c r="Y128" s="305"/>
      <c r="Z128" s="357"/>
      <c r="AA128" s="281"/>
      <c r="AB128" s="281"/>
      <c r="AF128" s="281" t="s">
        <v>379</v>
      </c>
    </row>
    <row r="129" spans="1:34" x14ac:dyDescent="0.25">
      <c r="A129" s="281" t="str">
        <f t="shared" si="1"/>
        <v>Санкт-ПетербургRADM MoscowRAL MOS SPT RKA</v>
      </c>
      <c r="B129" s="281" t="s">
        <v>242</v>
      </c>
      <c r="C129" s="298" t="s">
        <v>363</v>
      </c>
      <c r="D129" s="298" t="s">
        <v>42</v>
      </c>
      <c r="E129" s="281" t="s">
        <v>377</v>
      </c>
      <c r="F129" s="311" t="s">
        <v>378</v>
      </c>
      <c r="I129" s="281" t="s">
        <v>51</v>
      </c>
      <c r="K129" s="281">
        <v>34820721.969515346</v>
      </c>
      <c r="L129" s="281"/>
      <c r="M129" s="281"/>
      <c r="N129" s="281"/>
      <c r="O129" s="281"/>
      <c r="P129" s="281"/>
      <c r="Q129" s="281"/>
      <c r="R129" s="281"/>
      <c r="S129" s="281"/>
      <c r="T129" s="281"/>
      <c r="U129" s="281"/>
      <c r="V129" s="281"/>
      <c r="W129" s="281"/>
      <c r="X129" s="281"/>
      <c r="Y129" s="305"/>
      <c r="Z129" s="357"/>
      <c r="AA129" s="281"/>
      <c r="AB129" s="281"/>
      <c r="AF129" s="281" t="s">
        <v>379</v>
      </c>
    </row>
    <row r="130" spans="1:34" x14ac:dyDescent="0.25">
      <c r="A130" s="281" t="str">
        <f t="shared" si="1"/>
        <v>СаратовскаяRADM MoscowRAL MOS SPT RKA</v>
      </c>
      <c r="B130" s="281" t="s">
        <v>243</v>
      </c>
      <c r="C130" s="298" t="s">
        <v>363</v>
      </c>
      <c r="D130" s="298" t="s">
        <v>42</v>
      </c>
      <c r="E130" s="281" t="s">
        <v>377</v>
      </c>
      <c r="F130" s="311" t="s">
        <v>378</v>
      </c>
      <c r="K130" s="281">
        <v>2222599.2746499158</v>
      </c>
      <c r="L130" s="281"/>
      <c r="M130" s="281"/>
      <c r="N130" s="281"/>
      <c r="O130" s="281"/>
      <c r="P130" s="281"/>
      <c r="Q130" s="281"/>
      <c r="R130" s="281"/>
      <c r="S130" s="281"/>
      <c r="T130" s="281"/>
      <c r="U130" s="281"/>
      <c r="V130" s="281"/>
      <c r="W130" s="281"/>
      <c r="X130" s="281"/>
      <c r="Y130" s="305"/>
      <c r="Z130" s="357"/>
      <c r="AA130" s="281"/>
      <c r="AB130" s="281"/>
      <c r="AF130" s="281" t="s">
        <v>379</v>
      </c>
    </row>
    <row r="131" spans="1:34" x14ac:dyDescent="0.25">
      <c r="A131" s="281" t="str">
        <f t="shared" si="1"/>
        <v>СвердловскаяRADM MoscowRAL MOS SPT RKA</v>
      </c>
      <c r="B131" s="281" t="s">
        <v>168</v>
      </c>
      <c r="C131" s="298" t="s">
        <v>363</v>
      </c>
      <c r="D131" s="298" t="s">
        <v>42</v>
      </c>
      <c r="E131" s="281" t="s">
        <v>377</v>
      </c>
      <c r="F131" s="311" t="s">
        <v>378</v>
      </c>
      <c r="I131" s="281" t="s">
        <v>49</v>
      </c>
      <c r="K131" s="281">
        <v>6667797.8239497459</v>
      </c>
      <c r="L131" s="281"/>
      <c r="M131" s="281"/>
      <c r="N131" s="281"/>
      <c r="O131" s="281"/>
      <c r="P131" s="281"/>
      <c r="Q131" s="281"/>
      <c r="R131" s="281"/>
      <c r="S131" s="281"/>
      <c r="T131" s="281"/>
      <c r="U131" s="281"/>
      <c r="V131" s="281"/>
      <c r="W131" s="281"/>
      <c r="X131" s="281"/>
      <c r="Y131" s="305"/>
      <c r="Z131" s="357"/>
      <c r="AA131" s="281"/>
      <c r="AB131" s="281"/>
      <c r="AF131" s="281" t="s">
        <v>379</v>
      </c>
    </row>
    <row r="132" spans="1:34" x14ac:dyDescent="0.25">
      <c r="A132" s="281" t="str">
        <f t="shared" ref="A132:A195" si="2">B132&amp;D132&amp;E132</f>
        <v>ТамбовскаяRADM MoscowRAL MOS SPT RKA</v>
      </c>
      <c r="B132" s="281" t="s">
        <v>247</v>
      </c>
      <c r="C132" s="298" t="s">
        <v>363</v>
      </c>
      <c r="D132" s="298" t="s">
        <v>42</v>
      </c>
      <c r="E132" s="281" t="s">
        <v>377</v>
      </c>
      <c r="F132" s="311" t="s">
        <v>378</v>
      </c>
      <c r="K132" s="281">
        <v>740866.42488330521</v>
      </c>
      <c r="L132" s="281"/>
      <c r="M132" s="281"/>
      <c r="N132" s="281"/>
      <c r="O132" s="281"/>
      <c r="P132" s="281"/>
      <c r="Q132" s="281"/>
      <c r="R132" s="281"/>
      <c r="S132" s="281"/>
      <c r="T132" s="281"/>
      <c r="U132" s="281"/>
      <c r="V132" s="281"/>
      <c r="W132" s="281"/>
      <c r="X132" s="281"/>
      <c r="Y132" s="305"/>
      <c r="Z132" s="357"/>
      <c r="AA132" s="281"/>
      <c r="AB132" s="281"/>
      <c r="AF132" s="281" t="s">
        <v>379</v>
      </c>
    </row>
    <row r="133" spans="1:34" x14ac:dyDescent="0.25">
      <c r="A133" s="281" t="str">
        <f t="shared" si="2"/>
        <v>ТатарстанRADM MoscowRAL MOS SPT RKA</v>
      </c>
      <c r="B133" s="281" t="s">
        <v>164</v>
      </c>
      <c r="C133" s="298" t="s">
        <v>363</v>
      </c>
      <c r="D133" s="298" t="s">
        <v>42</v>
      </c>
      <c r="E133" s="281" t="s">
        <v>377</v>
      </c>
      <c r="F133" s="311" t="s">
        <v>378</v>
      </c>
      <c r="I133" t="s">
        <v>49</v>
      </c>
      <c r="K133" s="281">
        <v>5186064.9741831366</v>
      </c>
      <c r="L133" s="281"/>
      <c r="M133" s="281"/>
      <c r="N133" s="281"/>
      <c r="O133" s="281"/>
      <c r="P133" s="281"/>
      <c r="Q133" s="281"/>
      <c r="R133" s="281"/>
      <c r="S133" s="281"/>
      <c r="T133" s="281"/>
      <c r="U133" s="281"/>
      <c r="V133" s="281"/>
      <c r="W133" s="281"/>
      <c r="X133" s="281"/>
      <c r="Y133" s="305"/>
      <c r="Z133" s="357"/>
      <c r="AA133" s="281"/>
      <c r="AB133" s="281"/>
      <c r="AF133" s="281" t="s">
        <v>379</v>
      </c>
    </row>
    <row r="134" spans="1:34" x14ac:dyDescent="0.25">
      <c r="A134" s="281" t="str">
        <f t="shared" si="2"/>
        <v>ТверскаяRADM MoscowRAL MOS SPT RKA</v>
      </c>
      <c r="B134" s="281" t="s">
        <v>248</v>
      </c>
      <c r="C134" s="298" t="s">
        <v>363</v>
      </c>
      <c r="D134" s="298" t="s">
        <v>42</v>
      </c>
      <c r="E134" s="281" t="s">
        <v>377</v>
      </c>
      <c r="F134" s="311" t="s">
        <v>378</v>
      </c>
      <c r="I134" s="281" t="s">
        <v>51</v>
      </c>
      <c r="K134" s="281">
        <v>2222599.2746499158</v>
      </c>
      <c r="L134" s="281"/>
      <c r="M134" s="281"/>
      <c r="N134" s="281"/>
      <c r="O134" s="281"/>
      <c r="P134" s="281"/>
      <c r="Q134" s="281"/>
      <c r="R134" s="281"/>
      <c r="S134" s="281"/>
      <c r="T134" s="281"/>
      <c r="U134" s="281"/>
      <c r="V134" s="281"/>
      <c r="W134" s="281"/>
      <c r="X134" s="281"/>
      <c r="Y134" s="305"/>
      <c r="Z134" s="357"/>
      <c r="AA134" s="281"/>
      <c r="AB134" s="281"/>
      <c r="AF134" s="281" t="s">
        <v>379</v>
      </c>
    </row>
    <row r="135" spans="1:34" x14ac:dyDescent="0.25">
      <c r="A135" s="281" t="str">
        <f t="shared" si="2"/>
        <v>ТульскаяRADM MoscowRAL MOS SPT RKA</v>
      </c>
      <c r="B135" s="281" t="s">
        <v>249</v>
      </c>
      <c r="C135" s="298" t="s">
        <v>363</v>
      </c>
      <c r="D135" s="298" t="s">
        <v>42</v>
      </c>
      <c r="E135" s="281" t="s">
        <v>377</v>
      </c>
      <c r="F135" s="311" t="s">
        <v>378</v>
      </c>
      <c r="I135" s="281" t="s">
        <v>49</v>
      </c>
      <c r="K135" s="281">
        <v>8149530.673716356</v>
      </c>
      <c r="L135" s="281"/>
      <c r="M135" s="281"/>
      <c r="N135" s="281"/>
      <c r="O135" s="281"/>
      <c r="P135" s="281"/>
      <c r="Q135" s="281"/>
      <c r="R135" s="281"/>
      <c r="S135" s="281"/>
      <c r="T135" s="281"/>
      <c r="U135" s="281"/>
      <c r="V135" s="281"/>
      <c r="W135" s="281"/>
      <c r="X135" s="281"/>
      <c r="Y135" s="305"/>
      <c r="Z135" s="357"/>
      <c r="AA135" s="281"/>
      <c r="AB135" s="281"/>
      <c r="AF135" s="281" t="s">
        <v>379</v>
      </c>
      <c r="AH135" s="310">
        <v>6370000</v>
      </c>
    </row>
    <row r="136" spans="1:34" x14ac:dyDescent="0.25">
      <c r="A136" s="281" t="str">
        <f t="shared" si="2"/>
        <v>ТюменскаяRADM MoscowRAL MOS SPT RKA</v>
      </c>
      <c r="B136" s="281" t="s">
        <v>156</v>
      </c>
      <c r="C136" s="298" t="s">
        <v>363</v>
      </c>
      <c r="D136" s="298" t="s">
        <v>42</v>
      </c>
      <c r="E136" s="281" t="s">
        <v>377</v>
      </c>
      <c r="F136" s="311" t="s">
        <v>378</v>
      </c>
      <c r="I136" s="281" t="s">
        <v>49</v>
      </c>
      <c r="K136" s="281">
        <v>3704332.1244165259</v>
      </c>
      <c r="L136" s="281"/>
      <c r="M136" s="281"/>
      <c r="N136" s="281"/>
      <c r="O136" s="281"/>
      <c r="P136" s="281"/>
      <c r="Q136" s="281"/>
      <c r="R136" s="281"/>
      <c r="S136" s="281"/>
      <c r="T136" s="281"/>
      <c r="U136" s="281"/>
      <c r="V136" s="281"/>
      <c r="W136" s="281"/>
      <c r="X136" s="281"/>
      <c r="Y136" s="305"/>
      <c r="Z136" s="357"/>
      <c r="AA136" s="281"/>
      <c r="AB136" s="281"/>
      <c r="AF136" s="281" t="s">
        <v>379</v>
      </c>
    </row>
    <row r="137" spans="1:34" x14ac:dyDescent="0.25">
      <c r="A137" s="281" t="str">
        <f t="shared" si="2"/>
        <v>УльяновскаяRADM MoscowRAL MOS SPT RKA</v>
      </c>
      <c r="B137" s="281" t="s">
        <v>160</v>
      </c>
      <c r="C137" s="298" t="s">
        <v>363</v>
      </c>
      <c r="D137" s="298" t="s">
        <v>42</v>
      </c>
      <c r="E137" s="281" t="s">
        <v>377</v>
      </c>
      <c r="F137" s="311" t="s">
        <v>378</v>
      </c>
      <c r="K137" s="281">
        <v>740866.42488330521</v>
      </c>
      <c r="L137" s="281"/>
      <c r="M137" s="281"/>
      <c r="N137" s="281"/>
      <c r="O137" s="281"/>
      <c r="P137" s="281"/>
      <c r="Q137" s="281"/>
      <c r="R137" s="281"/>
      <c r="S137" s="281"/>
      <c r="T137" s="281"/>
      <c r="U137" s="281"/>
      <c r="V137" s="281"/>
      <c r="W137" s="281"/>
      <c r="X137" s="281"/>
      <c r="Y137" s="305"/>
      <c r="Z137" s="357"/>
      <c r="AA137" s="281"/>
      <c r="AB137" s="281"/>
      <c r="AF137" s="281" t="s">
        <v>379</v>
      </c>
    </row>
    <row r="138" spans="1:34" x14ac:dyDescent="0.25">
      <c r="A138" s="281" t="str">
        <f t="shared" si="2"/>
        <v>Ханты-Мансийский Автономный округ - ЮграRADM MoscowRAL MOS SPT RKA</v>
      </c>
      <c r="B138" s="281" t="s">
        <v>187</v>
      </c>
      <c r="C138" s="298" t="s">
        <v>363</v>
      </c>
      <c r="D138" s="298" t="s">
        <v>42</v>
      </c>
      <c r="E138" s="281" t="s">
        <v>377</v>
      </c>
      <c r="F138" s="311" t="s">
        <v>378</v>
      </c>
      <c r="K138" s="281">
        <v>3704332.1244165259</v>
      </c>
      <c r="L138" s="281"/>
      <c r="M138" s="281"/>
      <c r="N138" s="281"/>
      <c r="O138" s="281"/>
      <c r="P138" s="281"/>
      <c r="Q138" s="281"/>
      <c r="R138" s="281"/>
      <c r="S138" s="281"/>
      <c r="T138" s="281"/>
      <c r="U138" s="281"/>
      <c r="V138" s="281"/>
      <c r="W138" s="281"/>
      <c r="X138" s="281"/>
      <c r="Y138" s="305"/>
      <c r="Z138" s="357"/>
      <c r="AA138" s="281"/>
      <c r="AB138" s="281"/>
      <c r="AF138" s="281" t="s">
        <v>379</v>
      </c>
    </row>
    <row r="139" spans="1:34" x14ac:dyDescent="0.25">
      <c r="A139" s="281" t="str">
        <f t="shared" si="2"/>
        <v>ЧелябинскаяRADM MoscowRAL MOS SPT RKA</v>
      </c>
      <c r="B139" s="281" t="s">
        <v>165</v>
      </c>
      <c r="C139" s="298" t="s">
        <v>363</v>
      </c>
      <c r="D139" s="298" t="s">
        <v>42</v>
      </c>
      <c r="E139" s="281" t="s">
        <v>377</v>
      </c>
      <c r="F139" s="311" t="s">
        <v>378</v>
      </c>
      <c r="K139" s="281">
        <v>2963465.6995332208</v>
      </c>
      <c r="L139" s="281"/>
      <c r="M139" s="281"/>
      <c r="N139" s="281"/>
      <c r="O139" s="281"/>
      <c r="P139" s="281"/>
      <c r="Q139" s="281"/>
      <c r="R139" s="281"/>
      <c r="S139" s="281"/>
      <c r="T139" s="281"/>
      <c r="U139" s="281"/>
      <c r="V139" s="281"/>
      <c r="W139" s="281"/>
      <c r="X139" s="281"/>
      <c r="Y139" s="305"/>
      <c r="Z139" s="357"/>
      <c r="AA139" s="281"/>
      <c r="AB139" s="281"/>
      <c r="AF139" s="281" t="s">
        <v>379</v>
      </c>
    </row>
    <row r="140" spans="1:34" x14ac:dyDescent="0.25">
      <c r="A140" s="281" t="str">
        <f t="shared" si="2"/>
        <v>ЯрославскаяRADM MoscowRAL MOS SPT RKA</v>
      </c>
      <c r="B140" s="281" t="s">
        <v>251</v>
      </c>
      <c r="C140" s="298" t="s">
        <v>363</v>
      </c>
      <c r="D140" s="298" t="s">
        <v>42</v>
      </c>
      <c r="E140" s="281" t="s">
        <v>377</v>
      </c>
      <c r="F140" s="311" t="s">
        <v>378</v>
      </c>
      <c r="I140" s="281" t="s">
        <v>51</v>
      </c>
      <c r="K140" s="281">
        <v>5186064.9741831366</v>
      </c>
      <c r="L140" s="281"/>
      <c r="M140" s="281"/>
      <c r="N140" s="281"/>
      <c r="O140" s="281"/>
      <c r="P140" s="281"/>
      <c r="Q140" s="281"/>
      <c r="R140" s="281"/>
      <c r="S140" s="281"/>
      <c r="T140" s="281"/>
      <c r="U140" s="281"/>
      <c r="V140" s="281"/>
      <c r="W140" s="281"/>
      <c r="X140" s="281"/>
      <c r="Y140" s="305"/>
      <c r="Z140" s="357"/>
      <c r="AA140" s="281"/>
      <c r="AB140" s="281"/>
      <c r="AF140" s="281" t="s">
        <v>379</v>
      </c>
    </row>
    <row r="141" spans="1:34" x14ac:dyDescent="0.25">
      <c r="A141" s="281" t="str">
        <f t="shared" si="2"/>
        <v>НижегородскаяRADM MoscowRAL MOS N.Novgorod</v>
      </c>
      <c r="B141" s="308" t="s">
        <v>258</v>
      </c>
      <c r="C141" s="298" t="s">
        <v>363</v>
      </c>
      <c r="D141" s="298" t="s">
        <v>42</v>
      </c>
      <c r="E141" s="281" t="s">
        <v>380</v>
      </c>
      <c r="F141" s="308" t="s">
        <v>365</v>
      </c>
      <c r="H141" s="281">
        <v>2</v>
      </c>
      <c r="J141" s="305">
        <v>4133704.7500000019</v>
      </c>
      <c r="K141" s="281"/>
      <c r="L141" s="281"/>
      <c r="M141" s="281"/>
      <c r="N141" s="281"/>
      <c r="O141" s="281"/>
      <c r="P141" s="281"/>
      <c r="Q141" s="281"/>
      <c r="R141" s="281"/>
      <c r="S141" s="281"/>
      <c r="T141" s="281"/>
      <c r="U141" s="281"/>
      <c r="V141" s="281"/>
      <c r="W141" s="281"/>
      <c r="X141" s="281"/>
      <c r="Y141" s="305"/>
      <c r="Z141" s="281"/>
      <c r="AA141" s="281"/>
      <c r="AB141" s="281"/>
      <c r="AF141" s="310" t="s">
        <v>381</v>
      </c>
    </row>
    <row r="142" spans="1:34" x14ac:dyDescent="0.25">
      <c r="A142" s="281" t="str">
        <f t="shared" si="2"/>
        <v>ВладимирскаяRADM MoscowRAL MOS N.Novgorod</v>
      </c>
      <c r="B142" s="308" t="s">
        <v>253</v>
      </c>
      <c r="C142" s="298" t="s">
        <v>363</v>
      </c>
      <c r="D142" s="298" t="s">
        <v>42</v>
      </c>
      <c r="E142" s="281" t="s">
        <v>380</v>
      </c>
      <c r="F142" s="308" t="s">
        <v>365</v>
      </c>
      <c r="J142" s="305">
        <v>106329968.9599999</v>
      </c>
      <c r="K142" s="281"/>
      <c r="L142" s="281"/>
      <c r="M142" s="281"/>
      <c r="N142" s="281"/>
      <c r="O142" s="281"/>
      <c r="P142" s="281"/>
      <c r="Q142" s="281"/>
      <c r="R142" s="281"/>
      <c r="S142" s="281"/>
      <c r="T142" s="281"/>
      <c r="U142" s="281"/>
      <c r="V142" s="281"/>
      <c r="W142" s="281"/>
      <c r="X142" s="281"/>
      <c r="Y142" s="305"/>
      <c r="Z142" s="281"/>
      <c r="AA142" s="281"/>
      <c r="AB142" s="281"/>
      <c r="AF142" s="310" t="s">
        <v>381</v>
      </c>
    </row>
    <row r="143" spans="1:34" x14ac:dyDescent="0.25">
      <c r="A143" s="281" t="str">
        <f t="shared" si="2"/>
        <v>ИвановскаяRADM MoscowRAL MOS N.Novgorod</v>
      </c>
      <c r="B143" s="308" t="s">
        <v>212</v>
      </c>
      <c r="C143" s="298" t="s">
        <v>363</v>
      </c>
      <c r="D143" s="298" t="s">
        <v>42</v>
      </c>
      <c r="E143" s="281" t="s">
        <v>380</v>
      </c>
      <c r="F143" s="308" t="s">
        <v>365</v>
      </c>
      <c r="J143" s="305">
        <v>33638771.900000058</v>
      </c>
      <c r="K143" s="281"/>
      <c r="L143" s="281"/>
      <c r="M143" s="281"/>
      <c r="N143" s="281"/>
      <c r="O143" s="281"/>
      <c r="P143" s="281"/>
      <c r="Q143" s="281"/>
      <c r="R143" s="281"/>
      <c r="S143" s="281"/>
      <c r="T143" s="281"/>
      <c r="U143" s="281"/>
      <c r="V143" s="281"/>
      <c r="W143" s="281"/>
      <c r="X143" s="281"/>
      <c r="Y143" s="305"/>
      <c r="Z143" s="281"/>
      <c r="AA143" s="281"/>
      <c r="AB143" s="281"/>
      <c r="AF143" s="310" t="s">
        <v>381</v>
      </c>
    </row>
    <row r="144" spans="1:34" x14ac:dyDescent="0.25">
      <c r="A144" s="281" t="str">
        <f t="shared" si="2"/>
        <v>КировскаяRADM MoscowRAL MOS N.Novgorod</v>
      </c>
      <c r="B144" s="308" t="s">
        <v>221</v>
      </c>
      <c r="C144" s="298" t="s">
        <v>363</v>
      </c>
      <c r="D144" s="298" t="s">
        <v>42</v>
      </c>
      <c r="E144" s="281" t="s">
        <v>380</v>
      </c>
      <c r="F144" s="308" t="s">
        <v>365</v>
      </c>
      <c r="J144" s="305">
        <v>17735235.059999984</v>
      </c>
      <c r="K144" s="281"/>
      <c r="L144" s="281"/>
      <c r="M144" s="281"/>
      <c r="N144" s="281"/>
      <c r="O144" s="281"/>
      <c r="P144" s="281"/>
      <c r="Q144" s="281"/>
      <c r="R144" s="281"/>
      <c r="S144" s="281"/>
      <c r="T144" s="281"/>
      <c r="U144" s="281"/>
      <c r="V144" s="281"/>
      <c r="W144" s="281"/>
      <c r="X144" s="281"/>
      <c r="Y144" s="305"/>
      <c r="Z144" s="281"/>
      <c r="AA144" s="281"/>
      <c r="AB144" s="281"/>
      <c r="AF144" s="310" t="s">
        <v>381</v>
      </c>
    </row>
    <row r="145" spans="1:32" x14ac:dyDescent="0.25">
      <c r="A145" s="281" t="str">
        <f t="shared" si="2"/>
        <v>КостромскаяRADM MoscowRAL MOS N.Novgorod</v>
      </c>
      <c r="B145" s="308" t="s">
        <v>224</v>
      </c>
      <c r="C145" s="298" t="s">
        <v>363</v>
      </c>
      <c r="D145" s="298" t="s">
        <v>42</v>
      </c>
      <c r="E145" s="281" t="s">
        <v>380</v>
      </c>
      <c r="F145" s="308" t="s">
        <v>365</v>
      </c>
      <c r="J145" s="305">
        <v>37869.070000000007</v>
      </c>
      <c r="K145" s="281"/>
      <c r="L145" s="281"/>
      <c r="M145" s="281"/>
      <c r="N145" s="281"/>
      <c r="O145" s="281"/>
      <c r="P145" s="281"/>
      <c r="Q145" s="281"/>
      <c r="R145" s="281"/>
      <c r="S145" s="281"/>
      <c r="T145" s="281"/>
      <c r="U145" s="281"/>
      <c r="V145" s="281"/>
      <c r="W145" s="281"/>
      <c r="X145" s="281"/>
      <c r="Y145" s="305"/>
      <c r="Z145" s="281"/>
      <c r="AA145" s="281"/>
      <c r="AB145" s="281"/>
      <c r="AF145" s="310" t="s">
        <v>381</v>
      </c>
    </row>
    <row r="146" spans="1:32" x14ac:dyDescent="0.25">
      <c r="A146" s="281" t="str">
        <f t="shared" si="2"/>
        <v>Марий ЭлRADM MoscowRAL MOS N.Novgorod</v>
      </c>
      <c r="B146" s="308" t="s">
        <v>152</v>
      </c>
      <c r="C146" s="298" t="s">
        <v>363</v>
      </c>
      <c r="D146" s="298" t="s">
        <v>42</v>
      </c>
      <c r="E146" s="281" t="s">
        <v>380</v>
      </c>
      <c r="F146" s="308" t="s">
        <v>365</v>
      </c>
      <c r="J146" s="305">
        <v>38645289.219999984</v>
      </c>
      <c r="K146" s="281"/>
      <c r="L146" s="281"/>
      <c r="M146" s="281"/>
      <c r="N146" s="281"/>
      <c r="O146" s="281"/>
      <c r="P146" s="281"/>
      <c r="Q146" s="281"/>
      <c r="R146" s="281"/>
      <c r="S146" s="281"/>
      <c r="T146" s="281"/>
      <c r="U146" s="281"/>
      <c r="V146" s="281"/>
      <c r="W146" s="281"/>
      <c r="X146" s="281"/>
      <c r="Y146" s="305"/>
      <c r="Z146" s="281"/>
      <c r="AA146" s="281"/>
      <c r="AB146" s="281"/>
      <c r="AF146" s="310" t="s">
        <v>381</v>
      </c>
    </row>
    <row r="147" spans="1:32" x14ac:dyDescent="0.25">
      <c r="A147" s="281" t="str">
        <f t="shared" si="2"/>
        <v>МордовияRADM MoscowRAL MOS N.Novgorod</v>
      </c>
      <c r="B147" s="308" t="s">
        <v>256</v>
      </c>
      <c r="C147" s="298" t="s">
        <v>363</v>
      </c>
      <c r="D147" s="298" t="s">
        <v>42</v>
      </c>
      <c r="E147" s="281" t="s">
        <v>380</v>
      </c>
      <c r="F147" s="308" t="s">
        <v>365</v>
      </c>
      <c r="J147" s="305">
        <v>47237007.010000035</v>
      </c>
      <c r="K147" s="281"/>
      <c r="L147" s="281"/>
      <c r="M147" s="281"/>
      <c r="N147" s="281"/>
      <c r="O147" s="281"/>
      <c r="P147" s="281"/>
      <c r="Q147" s="281"/>
      <c r="R147" s="281"/>
      <c r="S147" s="281"/>
      <c r="T147" s="281"/>
      <c r="U147" s="281"/>
      <c r="V147" s="281"/>
      <c r="W147" s="281"/>
      <c r="X147" s="281"/>
      <c r="Y147" s="305"/>
      <c r="Z147" s="281"/>
      <c r="AA147" s="281"/>
      <c r="AB147" s="281"/>
      <c r="AF147" s="310" t="s">
        <v>381</v>
      </c>
    </row>
    <row r="148" spans="1:32" x14ac:dyDescent="0.25">
      <c r="A148" s="281" t="str">
        <f t="shared" si="2"/>
        <v>НижегородскаяRADM MoscowRAL MOS N.Novgorod</v>
      </c>
      <c r="B148" s="308" t="s">
        <v>258</v>
      </c>
      <c r="C148" s="298" t="s">
        <v>363</v>
      </c>
      <c r="D148" s="298" t="s">
        <v>42</v>
      </c>
      <c r="E148" s="281" t="s">
        <v>380</v>
      </c>
      <c r="F148" s="308" t="s">
        <v>365</v>
      </c>
      <c r="J148" s="305">
        <v>536814012.13001424</v>
      </c>
      <c r="K148" s="281"/>
      <c r="L148" s="281"/>
      <c r="M148" s="281"/>
      <c r="N148" s="281"/>
      <c r="O148" s="281"/>
      <c r="P148" s="281"/>
      <c r="Q148" s="281"/>
      <c r="R148" s="281"/>
      <c r="S148" s="281"/>
      <c r="T148" s="281"/>
      <c r="U148" s="281"/>
      <c r="V148" s="281"/>
      <c r="W148" s="281"/>
      <c r="X148" s="281"/>
      <c r="Y148" s="305"/>
      <c r="Z148" s="281"/>
      <c r="AA148" s="281"/>
      <c r="AB148" s="281"/>
      <c r="AF148" s="310" t="s">
        <v>381</v>
      </c>
    </row>
    <row r="149" spans="1:32" x14ac:dyDescent="0.25">
      <c r="A149" s="281" t="str">
        <f t="shared" si="2"/>
        <v>ПензенскаяRADM MoscowRAL MOS N.Novgorod</v>
      </c>
      <c r="B149" s="308" t="s">
        <v>236</v>
      </c>
      <c r="C149" s="298" t="s">
        <v>363</v>
      </c>
      <c r="D149" s="298" t="s">
        <v>42</v>
      </c>
      <c r="E149" s="281" t="s">
        <v>380</v>
      </c>
      <c r="F149" s="308" t="s">
        <v>365</v>
      </c>
      <c r="J149" s="305">
        <v>13739359.569999987</v>
      </c>
      <c r="K149" s="281"/>
      <c r="L149" s="281"/>
      <c r="M149" s="281"/>
      <c r="N149" s="281"/>
      <c r="O149" s="281"/>
      <c r="P149" s="281"/>
      <c r="Q149" s="281"/>
      <c r="R149" s="281"/>
      <c r="S149" s="281"/>
      <c r="T149" s="281"/>
      <c r="U149" s="281"/>
      <c r="V149" s="281"/>
      <c r="W149" s="281"/>
      <c r="X149" s="281"/>
      <c r="Y149" s="305"/>
      <c r="Z149" s="281"/>
      <c r="AA149" s="281"/>
      <c r="AB149" s="281"/>
      <c r="AF149" s="310" t="s">
        <v>381</v>
      </c>
    </row>
    <row r="150" spans="1:32" x14ac:dyDescent="0.25">
      <c r="A150" s="281" t="str">
        <f t="shared" si="2"/>
        <v>РязанскаяRADM MoscowRAL MOS N.Novgorod</v>
      </c>
      <c r="B150" s="308" t="s">
        <v>241</v>
      </c>
      <c r="C150" s="298" t="s">
        <v>363</v>
      </c>
      <c r="D150" s="298" t="s">
        <v>42</v>
      </c>
      <c r="E150" s="281" t="s">
        <v>380</v>
      </c>
      <c r="F150" s="308" t="s">
        <v>365</v>
      </c>
      <c r="J150" s="305">
        <v>8153129.5399999972</v>
      </c>
      <c r="K150" s="281"/>
      <c r="L150" s="281"/>
      <c r="M150" s="281"/>
      <c r="N150" s="281"/>
      <c r="O150" s="281"/>
      <c r="P150" s="281"/>
      <c r="Q150" s="281"/>
      <c r="R150" s="281"/>
      <c r="S150" s="281"/>
      <c r="T150" s="281"/>
      <c r="U150" s="281"/>
      <c r="V150" s="281"/>
      <c r="W150" s="281"/>
      <c r="X150" s="281"/>
      <c r="Y150" s="305"/>
      <c r="Z150" s="281"/>
      <c r="AA150" s="281"/>
      <c r="AB150" s="281"/>
      <c r="AF150" s="310" t="s">
        <v>381</v>
      </c>
    </row>
    <row r="151" spans="1:32" x14ac:dyDescent="0.25">
      <c r="A151" s="281" t="str">
        <f t="shared" si="2"/>
        <v>ТатарстанRADM MoscowRAL MOS N.Novgorod</v>
      </c>
      <c r="B151" s="308" t="s">
        <v>164</v>
      </c>
      <c r="C151" s="298" t="s">
        <v>363</v>
      </c>
      <c r="D151" s="298" t="s">
        <v>42</v>
      </c>
      <c r="E151" s="281" t="s">
        <v>380</v>
      </c>
      <c r="F151" s="308" t="s">
        <v>365</v>
      </c>
      <c r="J151" s="305">
        <v>22475823.93999996</v>
      </c>
      <c r="K151" s="281"/>
      <c r="L151" s="281"/>
      <c r="M151" s="281"/>
      <c r="N151" s="281"/>
      <c r="O151" s="281"/>
      <c r="P151" s="281"/>
      <c r="Q151" s="281"/>
      <c r="R151" s="281"/>
      <c r="S151" s="281"/>
      <c r="T151" s="281"/>
      <c r="U151" s="281"/>
      <c r="V151" s="281"/>
      <c r="W151" s="281"/>
      <c r="X151" s="281"/>
      <c r="Y151" s="305"/>
      <c r="Z151" s="281"/>
      <c r="AA151" s="281"/>
      <c r="AB151" s="281"/>
      <c r="AF151" s="310" t="s">
        <v>381</v>
      </c>
    </row>
    <row r="152" spans="1:32" x14ac:dyDescent="0.25">
      <c r="A152" s="281" t="str">
        <f t="shared" si="2"/>
        <v>Чувашская Республика -RADM MoscowRAL MOS N.Novgorod</v>
      </c>
      <c r="B152" s="308" t="s">
        <v>250</v>
      </c>
      <c r="C152" s="298" t="s">
        <v>363</v>
      </c>
      <c r="D152" s="298" t="s">
        <v>42</v>
      </c>
      <c r="E152" s="281" t="s">
        <v>380</v>
      </c>
      <c r="F152" s="308" t="s">
        <v>365</v>
      </c>
      <c r="J152" s="305">
        <v>27729672.150000017</v>
      </c>
      <c r="K152" s="281"/>
      <c r="L152" s="281"/>
      <c r="M152" s="281"/>
      <c r="N152" s="281"/>
      <c r="O152" s="281"/>
      <c r="P152" s="281"/>
      <c r="Q152" s="281"/>
      <c r="R152" s="281"/>
      <c r="S152" s="281"/>
      <c r="T152" s="281"/>
      <c r="U152" s="281"/>
      <c r="V152" s="281"/>
      <c r="W152" s="281"/>
      <c r="X152" s="281"/>
      <c r="Y152" s="305"/>
      <c r="Z152" s="281"/>
      <c r="AA152" s="281"/>
      <c r="AB152" s="281"/>
      <c r="AF152" s="310" t="s">
        <v>381</v>
      </c>
    </row>
    <row r="153" spans="1:32" x14ac:dyDescent="0.25">
      <c r="A153" s="281" t="str">
        <f t="shared" si="2"/>
        <v>ЯрославскаяRADM MoscowRAL MOS N.Novgorod</v>
      </c>
      <c r="B153" s="308" t="s">
        <v>251</v>
      </c>
      <c r="C153" s="298" t="s">
        <v>363</v>
      </c>
      <c r="D153" s="298" t="s">
        <v>42</v>
      </c>
      <c r="E153" s="281" t="s">
        <v>380</v>
      </c>
      <c r="F153" s="312" t="s">
        <v>365</v>
      </c>
      <c r="J153" s="305">
        <v>12720317.61999999</v>
      </c>
      <c r="K153" s="281"/>
      <c r="L153" s="281"/>
      <c r="M153" s="281"/>
      <c r="N153" s="281"/>
      <c r="O153" s="281"/>
      <c r="P153" s="281"/>
      <c r="Q153" s="281"/>
      <c r="R153" s="281"/>
      <c r="S153" s="281"/>
      <c r="T153" s="281"/>
      <c r="U153" s="281"/>
      <c r="V153" s="281"/>
      <c r="W153" s="281"/>
      <c r="X153" s="281"/>
      <c r="Y153" s="305"/>
      <c r="Z153" s="281"/>
      <c r="AA153" s="281"/>
      <c r="AB153" s="281"/>
      <c r="AF153" s="310" t="s">
        <v>381</v>
      </c>
    </row>
    <row r="154" spans="1:32" x14ac:dyDescent="0.25">
      <c r="A154" s="281" t="str">
        <f t="shared" si="2"/>
        <v>НижегородскаяRADM MoscowRAL MOS N.Novgorod</v>
      </c>
      <c r="B154" s="308" t="s">
        <v>258</v>
      </c>
      <c r="C154" s="298" t="s">
        <v>363</v>
      </c>
      <c r="D154" s="298" t="s">
        <v>42</v>
      </c>
      <c r="E154" s="281" t="s">
        <v>380</v>
      </c>
      <c r="F154" s="308" t="s">
        <v>367</v>
      </c>
      <c r="J154" s="305">
        <v>4173924.4899999993</v>
      </c>
      <c r="K154" s="281"/>
      <c r="L154" s="281"/>
      <c r="M154" s="281"/>
      <c r="N154" s="281"/>
      <c r="O154" s="281"/>
      <c r="P154" s="281"/>
      <c r="Q154" s="281"/>
      <c r="R154" s="281"/>
      <c r="S154" s="281"/>
      <c r="T154" s="281"/>
      <c r="U154" s="281"/>
      <c r="V154" s="281"/>
      <c r="W154" s="281"/>
      <c r="X154" s="281"/>
      <c r="Y154" s="305"/>
      <c r="Z154" s="281"/>
      <c r="AA154" s="281"/>
      <c r="AB154" s="281"/>
      <c r="AF154" s="310" t="s">
        <v>381</v>
      </c>
    </row>
    <row r="155" spans="1:32" x14ac:dyDescent="0.25">
      <c r="A155" s="281" t="str">
        <f t="shared" si="2"/>
        <v>ВладимирскаяRADM MoscowRAL MOS N.Novgorod</v>
      </c>
      <c r="B155" s="308" t="s">
        <v>253</v>
      </c>
      <c r="C155" s="298" t="s">
        <v>363</v>
      </c>
      <c r="D155" s="298" t="s">
        <v>42</v>
      </c>
      <c r="E155" s="281" t="s">
        <v>380</v>
      </c>
      <c r="F155" s="308" t="s">
        <v>367</v>
      </c>
      <c r="J155" s="305">
        <v>11023567.570000023</v>
      </c>
      <c r="K155" s="281"/>
      <c r="L155" s="281"/>
      <c r="M155" s="281"/>
      <c r="N155" s="281"/>
      <c r="O155" s="281"/>
      <c r="P155" s="281"/>
      <c r="Q155" s="281"/>
      <c r="R155" s="281"/>
      <c r="S155" s="281"/>
      <c r="T155" s="281"/>
      <c r="U155" s="281"/>
      <c r="V155" s="281"/>
      <c r="W155" s="281"/>
      <c r="X155" s="281"/>
      <c r="Y155" s="305"/>
      <c r="Z155" s="281"/>
      <c r="AA155" s="281"/>
      <c r="AB155" s="281"/>
      <c r="AF155" s="310" t="s">
        <v>381</v>
      </c>
    </row>
    <row r="156" spans="1:32" x14ac:dyDescent="0.25">
      <c r="A156" s="281" t="str">
        <f t="shared" si="2"/>
        <v>КалужскаяRADM MoscowRAL MOS N.Novgorod</v>
      </c>
      <c r="B156" s="308" t="s">
        <v>215</v>
      </c>
      <c r="C156" s="298" t="s">
        <v>363</v>
      </c>
      <c r="D156" s="298" t="s">
        <v>42</v>
      </c>
      <c r="E156" s="281" t="s">
        <v>380</v>
      </c>
      <c r="F156" s="308" t="s">
        <v>367</v>
      </c>
      <c r="J156" s="305">
        <v>23926032.889999863</v>
      </c>
      <c r="K156" s="281"/>
      <c r="L156" s="281"/>
      <c r="M156" s="281"/>
      <c r="N156" s="281"/>
      <c r="O156" s="281"/>
      <c r="P156" s="281"/>
      <c r="Q156" s="281"/>
      <c r="R156" s="281"/>
      <c r="S156" s="281"/>
      <c r="T156" s="281"/>
      <c r="U156" s="281"/>
      <c r="V156" s="281"/>
      <c r="W156" s="281"/>
      <c r="X156" s="281"/>
      <c r="Y156" s="305"/>
      <c r="Z156" s="281"/>
      <c r="AA156" s="281"/>
      <c r="AB156" s="281"/>
      <c r="AF156" s="310" t="s">
        <v>381</v>
      </c>
    </row>
    <row r="157" spans="1:32" x14ac:dyDescent="0.25">
      <c r="A157" s="281" t="str">
        <f t="shared" si="2"/>
        <v>ЛенинградскаяRADM MoscowRAL MOS N.Novgorod</v>
      </c>
      <c r="B157" s="308" t="s">
        <v>227</v>
      </c>
      <c r="C157" s="298" t="s">
        <v>363</v>
      </c>
      <c r="D157" s="298" t="s">
        <v>42</v>
      </c>
      <c r="E157" s="281" t="s">
        <v>380</v>
      </c>
      <c r="F157" s="308" t="s">
        <v>367</v>
      </c>
      <c r="J157" s="305">
        <v>123535.67</v>
      </c>
      <c r="K157" s="281"/>
      <c r="L157" s="281"/>
      <c r="M157" s="281"/>
      <c r="N157" s="281"/>
      <c r="O157" s="281"/>
      <c r="P157" s="281"/>
      <c r="Q157" s="281"/>
      <c r="R157" s="281"/>
      <c r="S157" s="281"/>
      <c r="T157" s="281"/>
      <c r="U157" s="281"/>
      <c r="V157" s="281"/>
      <c r="W157" s="281"/>
      <c r="X157" s="281"/>
      <c r="Y157" s="305"/>
      <c r="Z157" s="281"/>
      <c r="AA157" s="281"/>
      <c r="AB157" s="281"/>
      <c r="AF157" s="310" t="s">
        <v>381</v>
      </c>
    </row>
    <row r="158" spans="1:32" x14ac:dyDescent="0.25">
      <c r="A158" s="281" t="str">
        <f t="shared" si="2"/>
        <v>МоскваRADM MoscowRAL MOS N.Novgorod</v>
      </c>
      <c r="B158" s="308" t="s">
        <v>257</v>
      </c>
      <c r="C158" s="298" t="s">
        <v>363</v>
      </c>
      <c r="D158" s="298" t="s">
        <v>42</v>
      </c>
      <c r="E158" s="281" t="s">
        <v>380</v>
      </c>
      <c r="F158" s="308" t="s">
        <v>367</v>
      </c>
      <c r="J158" s="305">
        <v>107010419.06999928</v>
      </c>
      <c r="K158" s="281"/>
      <c r="L158" s="281"/>
      <c r="M158" s="281"/>
      <c r="N158" s="281"/>
      <c r="O158" s="281"/>
      <c r="P158" s="281"/>
      <c r="Q158" s="281"/>
      <c r="R158" s="281"/>
      <c r="S158" s="281"/>
      <c r="T158" s="281"/>
      <c r="U158" s="281"/>
      <c r="V158" s="281"/>
      <c r="W158" s="281"/>
      <c r="X158" s="281"/>
      <c r="Y158" s="305"/>
      <c r="Z158" s="281"/>
      <c r="AA158" s="281"/>
      <c r="AB158" s="281"/>
      <c r="AF158" s="310" t="s">
        <v>381</v>
      </c>
    </row>
    <row r="159" spans="1:32" x14ac:dyDescent="0.25">
      <c r="A159" s="281" t="str">
        <f t="shared" si="2"/>
        <v>МосковскаяRADM MoscowRAL MOS N.Novgorod</v>
      </c>
      <c r="B159" s="308" t="s">
        <v>229</v>
      </c>
      <c r="C159" s="298" t="s">
        <v>363</v>
      </c>
      <c r="D159" s="298" t="s">
        <v>42</v>
      </c>
      <c r="E159" s="281" t="s">
        <v>380</v>
      </c>
      <c r="F159" s="308" t="s">
        <v>367</v>
      </c>
      <c r="J159" s="305">
        <v>154799260.07999986</v>
      </c>
      <c r="K159" s="281"/>
      <c r="L159" s="281"/>
      <c r="M159" s="281"/>
      <c r="N159" s="281"/>
      <c r="O159" s="281"/>
      <c r="P159" s="281"/>
      <c r="Q159" s="281"/>
      <c r="R159" s="281"/>
      <c r="S159" s="281"/>
      <c r="T159" s="281"/>
      <c r="U159" s="281"/>
      <c r="V159" s="281"/>
      <c r="W159" s="281"/>
      <c r="X159" s="281"/>
      <c r="Y159" s="305"/>
      <c r="Z159" s="281"/>
      <c r="AA159" s="281"/>
      <c r="AB159" s="281"/>
      <c r="AF159" s="310" t="s">
        <v>381</v>
      </c>
    </row>
    <row r="160" spans="1:32" x14ac:dyDescent="0.25">
      <c r="A160" s="281" t="str">
        <f t="shared" si="2"/>
        <v>Санкт-ПетербургRADM MoscowRAL MOS N.Novgorod</v>
      </c>
      <c r="B160" s="308" t="s">
        <v>242</v>
      </c>
      <c r="C160" s="298" t="s">
        <v>363</v>
      </c>
      <c r="D160" s="298" t="s">
        <v>42</v>
      </c>
      <c r="E160" s="281" t="s">
        <v>380</v>
      </c>
      <c r="F160" s="308" t="s">
        <v>367</v>
      </c>
      <c r="J160" s="305">
        <v>7796925.8200000012</v>
      </c>
      <c r="K160" s="281"/>
      <c r="L160" s="281"/>
      <c r="M160" s="281"/>
      <c r="N160" s="281"/>
      <c r="O160" s="281"/>
      <c r="P160" s="281"/>
      <c r="Q160" s="281"/>
      <c r="R160" s="281"/>
      <c r="S160" s="281"/>
      <c r="T160" s="281"/>
      <c r="U160" s="281"/>
      <c r="V160" s="281"/>
      <c r="W160" s="281"/>
      <c r="X160" s="281"/>
      <c r="Y160" s="305"/>
      <c r="Z160" s="281"/>
      <c r="AA160" s="281"/>
      <c r="AB160" s="281"/>
      <c r="AF160" s="310" t="s">
        <v>381</v>
      </c>
    </row>
    <row r="161" spans="1:32" x14ac:dyDescent="0.25">
      <c r="A161" s="281" t="str">
        <f t="shared" si="2"/>
        <v>ТверскаяRADM MoscowRAL MOS N.Novgorod</v>
      </c>
      <c r="B161" s="308" t="s">
        <v>248</v>
      </c>
      <c r="C161" s="298" t="s">
        <v>363</v>
      </c>
      <c r="D161" s="298" t="s">
        <v>42</v>
      </c>
      <c r="E161" s="281" t="s">
        <v>380</v>
      </c>
      <c r="F161" s="308" t="s">
        <v>367</v>
      </c>
      <c r="J161" s="305">
        <v>2517045.3900000011</v>
      </c>
      <c r="K161" s="281"/>
      <c r="L161" s="281"/>
      <c r="M161" s="281"/>
      <c r="N161" s="281"/>
      <c r="O161" s="281"/>
      <c r="P161" s="281"/>
      <c r="Q161" s="281"/>
      <c r="R161" s="281"/>
      <c r="S161" s="281"/>
      <c r="T161" s="281"/>
      <c r="U161" s="281"/>
      <c r="V161" s="281"/>
      <c r="W161" s="281"/>
      <c r="X161" s="281"/>
      <c r="Y161" s="305"/>
      <c r="Z161" s="281"/>
      <c r="AA161" s="281"/>
      <c r="AB161" s="281"/>
      <c r="AF161" s="310" t="s">
        <v>381</v>
      </c>
    </row>
    <row r="162" spans="1:32" x14ac:dyDescent="0.25">
      <c r="A162" s="281" t="str">
        <f t="shared" si="2"/>
        <v>ЯрославскаяRADM MoscowRAL MOS N.Novgorod</v>
      </c>
      <c r="B162" s="308" t="s">
        <v>251</v>
      </c>
      <c r="C162" s="298" t="s">
        <v>363</v>
      </c>
      <c r="D162" s="298" t="s">
        <v>42</v>
      </c>
      <c r="E162" s="281" t="s">
        <v>380</v>
      </c>
      <c r="F162" s="312" t="s">
        <v>367</v>
      </c>
      <c r="J162" s="305">
        <v>445154.67000000004</v>
      </c>
      <c r="K162" s="281"/>
      <c r="L162" s="281"/>
      <c r="M162" s="281"/>
      <c r="N162" s="281"/>
      <c r="O162" s="281"/>
      <c r="P162" s="281"/>
      <c r="Q162" s="281"/>
      <c r="R162" s="281"/>
      <c r="S162" s="281"/>
      <c r="T162" s="281"/>
      <c r="U162" s="281"/>
      <c r="V162" s="281"/>
      <c r="W162" s="281"/>
      <c r="X162" s="281"/>
      <c r="Y162" s="305"/>
      <c r="Z162" s="281"/>
      <c r="AA162" s="281"/>
      <c r="AB162" s="281"/>
      <c r="AF162" s="310" t="s">
        <v>381</v>
      </c>
    </row>
    <row r="163" spans="1:32" x14ac:dyDescent="0.25">
      <c r="A163" s="281" t="str">
        <f t="shared" si="2"/>
        <v>ЛенинградскаяDDM MOS Sladkaay ZhiznTSL MOS N.Novgorod</v>
      </c>
      <c r="B163" s="308" t="s">
        <v>227</v>
      </c>
      <c r="C163" s="298" t="s">
        <v>363</v>
      </c>
      <c r="D163" s="308" t="s">
        <v>364</v>
      </c>
      <c r="E163" s="281" t="s">
        <v>354</v>
      </c>
      <c r="F163" s="308" t="s">
        <v>218</v>
      </c>
      <c r="K163" s="305">
        <v>5423625.7199999932</v>
      </c>
      <c r="L163" s="281"/>
      <c r="M163" s="281"/>
      <c r="N163" s="281"/>
      <c r="O163" s="281"/>
      <c r="P163" s="281"/>
      <c r="Q163" s="281"/>
      <c r="R163" s="281"/>
      <c r="S163" s="281"/>
      <c r="T163" s="281"/>
      <c r="U163" s="281"/>
      <c r="V163" s="281"/>
      <c r="W163" s="281"/>
      <c r="X163" s="281"/>
      <c r="Y163" s="305"/>
      <c r="Z163" s="281"/>
      <c r="AA163" s="281"/>
      <c r="AB163" s="281"/>
      <c r="AF163" s="310" t="s">
        <v>382</v>
      </c>
    </row>
    <row r="164" spans="1:32" x14ac:dyDescent="0.25">
      <c r="A164" s="281" t="str">
        <f t="shared" si="2"/>
        <v>МурманскаяDDM MOS Sladkaay ZhiznTSL MOS N.Novgorod</v>
      </c>
      <c r="B164" s="308" t="s">
        <v>230</v>
      </c>
      <c r="C164" s="298" t="s">
        <v>363</v>
      </c>
      <c r="D164" s="308" t="s">
        <v>364</v>
      </c>
      <c r="E164" s="281" t="s">
        <v>354</v>
      </c>
      <c r="F164" s="308" t="s">
        <v>218</v>
      </c>
      <c r="K164" s="305">
        <v>1456400.8099999996</v>
      </c>
      <c r="L164" s="281"/>
      <c r="M164" s="281"/>
      <c r="N164" s="281"/>
      <c r="O164" s="281"/>
      <c r="P164" s="281"/>
      <c r="Q164" s="281"/>
      <c r="R164" s="281"/>
      <c r="S164" s="281"/>
      <c r="T164" s="281"/>
      <c r="U164" s="281"/>
      <c r="V164" s="281"/>
      <c r="W164" s="281"/>
      <c r="X164" s="281"/>
      <c r="Y164" s="305"/>
      <c r="Z164" s="281"/>
      <c r="AA164" s="281"/>
      <c r="AB164" s="281"/>
      <c r="AF164" s="310" t="s">
        <v>382</v>
      </c>
    </row>
    <row r="165" spans="1:32" x14ac:dyDescent="0.25">
      <c r="A165" s="281" t="str">
        <f t="shared" si="2"/>
        <v>Санкт-ПетербургDDM MOS Sladkaay ZhiznTSL MOS N.Novgorod</v>
      </c>
      <c r="B165" s="308" t="s">
        <v>242</v>
      </c>
      <c r="C165" s="298" t="s">
        <v>363</v>
      </c>
      <c r="D165" s="308" t="s">
        <v>364</v>
      </c>
      <c r="E165" s="281" t="s">
        <v>354</v>
      </c>
      <c r="F165" s="312" t="s">
        <v>218</v>
      </c>
      <c r="H165" s="281">
        <v>1</v>
      </c>
      <c r="K165" s="305">
        <v>54851077.389999077</v>
      </c>
      <c r="L165" s="281"/>
      <c r="M165" s="281"/>
      <c r="N165" s="281"/>
      <c r="O165" s="281"/>
      <c r="P165" s="281"/>
      <c r="Q165" s="281"/>
      <c r="R165" s="281"/>
      <c r="S165" s="281"/>
      <c r="T165" s="281"/>
      <c r="U165" s="281"/>
      <c r="V165" s="281"/>
      <c r="W165" s="281"/>
      <c r="X165" s="281"/>
      <c r="Y165" s="305"/>
      <c r="Z165" s="281"/>
      <c r="AA165" s="281"/>
      <c r="AB165" s="281"/>
      <c r="AF165" s="310" t="s">
        <v>382</v>
      </c>
    </row>
    <row r="166" spans="1:32" x14ac:dyDescent="0.25">
      <c r="A166" s="281" t="str">
        <f t="shared" si="2"/>
        <v>БашкортостанDDM MOS Sladkaay ZhiznTSL MOS N.Novgorod</v>
      </c>
      <c r="B166" s="308" t="s">
        <v>176</v>
      </c>
      <c r="C166" s="298" t="s">
        <v>363</v>
      </c>
      <c r="D166" s="308" t="s">
        <v>364</v>
      </c>
      <c r="E166" s="281" t="s">
        <v>354</v>
      </c>
      <c r="F166" s="300" t="s">
        <v>369</v>
      </c>
      <c r="K166" s="305">
        <v>25370.440000000002</v>
      </c>
      <c r="L166" s="281"/>
      <c r="M166" s="281"/>
      <c r="N166" s="281"/>
      <c r="O166" s="281"/>
      <c r="P166" s="281"/>
      <c r="Q166" s="281"/>
      <c r="R166" s="281"/>
      <c r="S166" s="281"/>
      <c r="T166" s="281"/>
      <c r="U166" s="281"/>
      <c r="V166" s="281"/>
      <c r="W166" s="281"/>
      <c r="X166" s="281"/>
      <c r="Y166" s="305"/>
      <c r="Z166" s="281"/>
      <c r="AA166" s="281"/>
      <c r="AB166" s="281"/>
      <c r="AF166" s="310" t="s">
        <v>382</v>
      </c>
    </row>
    <row r="167" spans="1:32" x14ac:dyDescent="0.25">
      <c r="A167" s="281" t="str">
        <f t="shared" si="2"/>
        <v>ВладимирскаяDDM MOS Sladkaay ZhiznTSL MOS N.Novgorod</v>
      </c>
      <c r="B167" s="308" t="s">
        <v>253</v>
      </c>
      <c r="C167" s="298" t="s">
        <v>363</v>
      </c>
      <c r="D167" s="308" t="s">
        <v>364</v>
      </c>
      <c r="E167" s="281" t="s">
        <v>354</v>
      </c>
      <c r="F167" s="300" t="s">
        <v>369</v>
      </c>
      <c r="K167" s="310">
        <v>18648.36</v>
      </c>
      <c r="L167" s="357"/>
      <c r="M167" s="357"/>
      <c r="N167" s="357"/>
      <c r="O167" s="357"/>
      <c r="P167" s="357"/>
      <c r="Q167" s="357"/>
      <c r="R167" s="357"/>
      <c r="S167" s="357"/>
      <c r="T167" s="357"/>
      <c r="U167" s="281"/>
      <c r="V167" s="281"/>
      <c r="W167" s="281"/>
      <c r="X167" s="281"/>
      <c r="Y167" s="305"/>
      <c r="Z167" s="281"/>
      <c r="AA167" s="281"/>
      <c r="AB167" s="281"/>
      <c r="AF167" s="310" t="s">
        <v>382</v>
      </c>
    </row>
    <row r="168" spans="1:32" x14ac:dyDescent="0.25">
      <c r="A168" s="281" t="str">
        <f t="shared" si="2"/>
        <v>ВоронежскаяDDM MOS Sladkaay ZhiznTSL MOS N.Novgorod</v>
      </c>
      <c r="B168" s="308" t="s">
        <v>210</v>
      </c>
      <c r="C168" s="298" t="s">
        <v>363</v>
      </c>
      <c r="D168" s="308" t="s">
        <v>364</v>
      </c>
      <c r="E168" s="281" t="s">
        <v>354</v>
      </c>
      <c r="F168" s="300" t="s">
        <v>369</v>
      </c>
      <c r="K168" s="305">
        <v>2366.4</v>
      </c>
      <c r="L168" s="281"/>
      <c r="M168" s="281"/>
      <c r="N168" s="281"/>
      <c r="O168" s="281"/>
      <c r="P168" s="281"/>
      <c r="Q168" s="281"/>
      <c r="R168" s="281"/>
      <c r="S168" s="281"/>
      <c r="T168" s="281"/>
      <c r="U168" s="281"/>
      <c r="V168" s="281"/>
      <c r="W168" s="281"/>
      <c r="X168" s="281"/>
      <c r="Y168" s="305"/>
      <c r="Z168" s="281"/>
      <c r="AA168" s="281"/>
      <c r="AB168" s="281"/>
      <c r="AF168" s="310" t="s">
        <v>382</v>
      </c>
    </row>
    <row r="169" spans="1:32" x14ac:dyDescent="0.25">
      <c r="A169" s="281" t="str">
        <f t="shared" si="2"/>
        <v>МоскваDDM MOS Sladkaay ZhiznTSL MOS N.Novgorod</v>
      </c>
      <c r="B169" s="308" t="s">
        <v>257</v>
      </c>
      <c r="C169" s="298" t="s">
        <v>363</v>
      </c>
      <c r="D169" s="308" t="s">
        <v>364</v>
      </c>
      <c r="E169" s="281" t="s">
        <v>354</v>
      </c>
      <c r="F169" s="300" t="s">
        <v>369</v>
      </c>
      <c r="K169" s="310">
        <v>37065.72</v>
      </c>
      <c r="L169" s="281"/>
      <c r="M169" s="281"/>
      <c r="N169" s="281"/>
      <c r="O169" s="281"/>
      <c r="P169" s="281"/>
      <c r="Q169" s="281"/>
      <c r="R169" s="281"/>
      <c r="S169" s="281"/>
      <c r="T169" s="281"/>
      <c r="U169" s="281"/>
      <c r="V169" s="281"/>
      <c r="W169" s="281"/>
      <c r="X169" s="281"/>
      <c r="Y169" s="305"/>
      <c r="Z169" s="281"/>
      <c r="AA169" s="281"/>
      <c r="AB169" s="281"/>
      <c r="AF169" s="310" t="s">
        <v>382</v>
      </c>
    </row>
    <row r="170" spans="1:32" x14ac:dyDescent="0.25">
      <c r="A170" s="281" t="str">
        <f t="shared" si="2"/>
        <v>МосковскаяDDM MOS Sladkaay ZhiznTSL MOS N.Novgorod</v>
      </c>
      <c r="B170" s="308" t="s">
        <v>229</v>
      </c>
      <c r="C170" s="298" t="s">
        <v>363</v>
      </c>
      <c r="D170" s="308" t="s">
        <v>364</v>
      </c>
      <c r="E170" s="281" t="s">
        <v>354</v>
      </c>
      <c r="F170" s="300" t="s">
        <v>369</v>
      </c>
      <c r="K170" s="310">
        <v>7905.2800000000007</v>
      </c>
      <c r="L170" s="281"/>
      <c r="M170" s="281"/>
      <c r="N170" s="281"/>
      <c r="O170" s="281"/>
      <c r="P170" s="281"/>
      <c r="Q170" s="281"/>
      <c r="R170" s="281"/>
      <c r="S170" s="281"/>
      <c r="T170" s="281"/>
      <c r="U170" s="281"/>
      <c r="V170" s="281"/>
      <c r="W170" s="281"/>
      <c r="X170" s="281"/>
      <c r="Y170" s="305"/>
      <c r="Z170" s="281"/>
      <c r="AA170" s="281"/>
      <c r="AB170" s="281"/>
      <c r="AF170" s="310" t="s">
        <v>382</v>
      </c>
    </row>
    <row r="171" spans="1:32" x14ac:dyDescent="0.25">
      <c r="A171" s="281" t="str">
        <f t="shared" si="2"/>
        <v>НовосибирскаяDDM MOS Sladkaay ZhiznTSL MOS N.Novgorod</v>
      </c>
      <c r="B171" s="308" t="s">
        <v>232</v>
      </c>
      <c r="C171" s="298" t="s">
        <v>363</v>
      </c>
      <c r="D171" s="308" t="s">
        <v>364</v>
      </c>
      <c r="E171" s="281" t="s">
        <v>354</v>
      </c>
      <c r="F171" s="300" t="s">
        <v>369</v>
      </c>
      <c r="K171" s="305">
        <v>8188.1200000000008</v>
      </c>
      <c r="L171" s="281"/>
      <c r="M171" s="281"/>
      <c r="N171" s="281"/>
      <c r="O171" s="281"/>
      <c r="P171" s="281"/>
      <c r="Q171" s="281"/>
      <c r="R171" s="281"/>
      <c r="S171" s="281"/>
      <c r="T171" s="281"/>
      <c r="U171" s="281"/>
      <c r="V171" s="281"/>
      <c r="W171" s="281"/>
      <c r="X171" s="281"/>
      <c r="Y171" s="305"/>
      <c r="Z171" s="281"/>
      <c r="AA171" s="281"/>
      <c r="AB171" s="281"/>
      <c r="AF171" s="310" t="s">
        <v>382</v>
      </c>
    </row>
    <row r="172" spans="1:32" x14ac:dyDescent="0.25">
      <c r="A172" s="281" t="str">
        <f t="shared" si="2"/>
        <v>ПермскийDDM MOS Sladkaay ZhiznTSL MOS N.Novgorod</v>
      </c>
      <c r="B172" s="308" t="s">
        <v>171</v>
      </c>
      <c r="C172" s="298" t="s">
        <v>363</v>
      </c>
      <c r="D172" s="308" t="s">
        <v>364</v>
      </c>
      <c r="E172" s="281" t="s">
        <v>354</v>
      </c>
      <c r="F172" s="300" t="s">
        <v>369</v>
      </c>
      <c r="K172" s="305">
        <v>16376.24</v>
      </c>
      <c r="L172" s="281"/>
      <c r="M172" s="281"/>
      <c r="N172" s="281"/>
      <c r="O172" s="281"/>
      <c r="P172" s="281"/>
      <c r="Q172" s="281"/>
      <c r="R172" s="281"/>
      <c r="S172" s="281"/>
      <c r="T172" s="281"/>
      <c r="U172" s="281"/>
      <c r="V172" s="281"/>
      <c r="W172" s="281"/>
      <c r="X172" s="281"/>
      <c r="Y172" s="305"/>
      <c r="Z172" s="281"/>
      <c r="AA172" s="281"/>
      <c r="AB172" s="281"/>
      <c r="AF172" s="310" t="s">
        <v>382</v>
      </c>
    </row>
    <row r="173" spans="1:32" x14ac:dyDescent="0.25">
      <c r="A173" s="281" t="str">
        <f t="shared" si="2"/>
        <v>СамарскаяDDM MOS Sladkaay ZhiznTSL MOS N.Novgorod</v>
      </c>
      <c r="B173" s="308" t="s">
        <v>174</v>
      </c>
      <c r="C173" s="298" t="s">
        <v>363</v>
      </c>
      <c r="D173" s="308" t="s">
        <v>364</v>
      </c>
      <c r="E173" s="281" t="s">
        <v>354</v>
      </c>
      <c r="F173" s="300" t="s">
        <v>369</v>
      </c>
      <c r="K173" s="305">
        <v>21109.040000000001</v>
      </c>
      <c r="L173" s="281"/>
      <c r="M173" s="281"/>
      <c r="N173" s="281"/>
      <c r="O173" s="281"/>
      <c r="P173" s="281"/>
      <c r="Q173" s="281"/>
      <c r="R173" s="281"/>
      <c r="S173" s="281"/>
      <c r="T173" s="281"/>
      <c r="U173" s="281"/>
      <c r="V173" s="281"/>
      <c r="W173" s="281"/>
      <c r="X173" s="281"/>
      <c r="Y173" s="305"/>
      <c r="Z173" s="281"/>
      <c r="AA173" s="281"/>
      <c r="AB173" s="281"/>
      <c r="AF173" s="310" t="s">
        <v>382</v>
      </c>
    </row>
    <row r="174" spans="1:32" x14ac:dyDescent="0.25">
      <c r="A174" s="281" t="str">
        <f t="shared" si="2"/>
        <v>СаратовскаяDDM MOS Sladkaay ZhiznTSL MOS N.Novgorod</v>
      </c>
      <c r="B174" s="308" t="s">
        <v>243</v>
      </c>
      <c r="C174" s="298" t="s">
        <v>363</v>
      </c>
      <c r="D174" s="308" t="s">
        <v>364</v>
      </c>
      <c r="E174" s="281" t="s">
        <v>354</v>
      </c>
      <c r="F174" s="300" t="s">
        <v>369</v>
      </c>
      <c r="K174" s="305">
        <v>1183.2</v>
      </c>
      <c r="L174" s="281"/>
      <c r="M174" s="281"/>
      <c r="N174" s="281"/>
      <c r="O174" s="281"/>
      <c r="P174" s="281"/>
      <c r="Q174" s="281"/>
      <c r="R174" s="281"/>
      <c r="S174" s="281"/>
      <c r="T174" s="281"/>
      <c r="U174" s="281"/>
      <c r="V174" s="281"/>
      <c r="W174" s="281"/>
      <c r="X174" s="281"/>
      <c r="Y174" s="305"/>
      <c r="Z174" s="281"/>
      <c r="AA174" s="281"/>
      <c r="AB174" s="281"/>
      <c r="AF174" s="310" t="s">
        <v>382</v>
      </c>
    </row>
    <row r="175" spans="1:32" x14ac:dyDescent="0.25">
      <c r="A175" s="281" t="str">
        <f t="shared" si="2"/>
        <v>СвердловскаяDDM MOS Sladkaay ZhiznTSL MOS N.Novgorod</v>
      </c>
      <c r="B175" s="308" t="s">
        <v>168</v>
      </c>
      <c r="C175" s="298" t="s">
        <v>363</v>
      </c>
      <c r="D175" s="308" t="s">
        <v>364</v>
      </c>
      <c r="E175" s="281" t="s">
        <v>354</v>
      </c>
      <c r="F175" s="300" t="s">
        <v>369</v>
      </c>
      <c r="K175" s="305">
        <v>3549.6000000000004</v>
      </c>
      <c r="L175" s="281"/>
      <c r="M175" s="281"/>
      <c r="N175" s="281"/>
      <c r="O175" s="281"/>
      <c r="P175" s="281"/>
      <c r="Q175" s="281"/>
      <c r="R175" s="281"/>
      <c r="S175" s="281"/>
      <c r="T175" s="281"/>
      <c r="U175" s="281"/>
      <c r="V175" s="281"/>
      <c r="W175" s="281"/>
      <c r="X175" s="281"/>
      <c r="Y175" s="305"/>
      <c r="Z175" s="281"/>
      <c r="AA175" s="281"/>
      <c r="AB175" s="281"/>
      <c r="AF175" s="310" t="s">
        <v>382</v>
      </c>
    </row>
    <row r="176" spans="1:32" x14ac:dyDescent="0.25">
      <c r="A176" s="281" t="str">
        <f t="shared" si="2"/>
        <v>РостовскаяDDM MOS Sladkaay ZhiznTSL MOS N.Novgorod</v>
      </c>
      <c r="B176" s="308" t="s">
        <v>239</v>
      </c>
      <c r="C176" s="298" t="s">
        <v>363</v>
      </c>
      <c r="D176" s="308" t="s">
        <v>364</v>
      </c>
      <c r="E176" s="281" t="s">
        <v>354</v>
      </c>
      <c r="F176" s="312" t="s">
        <v>240</v>
      </c>
      <c r="K176" s="305">
        <v>921680.2300000001</v>
      </c>
      <c r="L176" s="281"/>
      <c r="M176" s="281"/>
      <c r="N176" s="281"/>
      <c r="O176" s="281"/>
      <c r="P176" s="281"/>
      <c r="Q176" s="281"/>
      <c r="R176" s="281"/>
      <c r="S176" s="281"/>
      <c r="T176" s="281"/>
      <c r="U176" s="281"/>
      <c r="V176" s="281"/>
      <c r="W176" s="281"/>
      <c r="X176" s="281"/>
      <c r="Y176" s="305"/>
      <c r="Z176" s="281"/>
      <c r="AA176" s="281"/>
      <c r="AB176" s="281"/>
      <c r="AF176" s="310" t="s">
        <v>382</v>
      </c>
    </row>
    <row r="177" spans="1:32" x14ac:dyDescent="0.25">
      <c r="A177" s="281" t="str">
        <f t="shared" si="2"/>
        <v>НовосибирскаяDDM MOS Sladkaay ZhiznTSL MOS N.Novgorod</v>
      </c>
      <c r="B177" s="308" t="s">
        <v>232</v>
      </c>
      <c r="C177" s="298" t="s">
        <v>363</v>
      </c>
      <c r="D177" s="308" t="s">
        <v>364</v>
      </c>
      <c r="E177" s="281" t="s">
        <v>354</v>
      </c>
      <c r="F177" s="312" t="s">
        <v>194</v>
      </c>
      <c r="K177" s="305">
        <v>5926665.4000000013</v>
      </c>
      <c r="L177" s="281"/>
      <c r="M177" s="281"/>
      <c r="N177" s="281"/>
      <c r="O177" s="281"/>
      <c r="P177" s="281"/>
      <c r="Q177" s="281"/>
      <c r="R177" s="281"/>
      <c r="S177" s="281"/>
      <c r="T177" s="281"/>
      <c r="U177" s="281"/>
      <c r="V177" s="281"/>
      <c r="W177" s="281"/>
      <c r="X177" s="281"/>
      <c r="Y177" s="305"/>
      <c r="Z177" s="281"/>
      <c r="AA177" s="281"/>
      <c r="AB177" s="281"/>
      <c r="AF177" s="310" t="s">
        <v>382</v>
      </c>
    </row>
    <row r="178" spans="1:32" x14ac:dyDescent="0.25">
      <c r="A178" s="281" t="str">
        <f t="shared" si="2"/>
        <v>ВладимирскаяDDM MOS Sladkaay ZhiznTSL MOS N.Novgorod</v>
      </c>
      <c r="B178" s="308" t="s">
        <v>253</v>
      </c>
      <c r="C178" s="298" t="s">
        <v>363</v>
      </c>
      <c r="D178" s="298" t="s">
        <v>364</v>
      </c>
      <c r="E178" s="299" t="s">
        <v>354</v>
      </c>
      <c r="F178" s="308" t="s">
        <v>365</v>
      </c>
      <c r="K178" s="310">
        <v>5086111.4299999988</v>
      </c>
      <c r="L178" s="357"/>
      <c r="M178" s="357"/>
      <c r="N178" s="357"/>
      <c r="O178" s="357"/>
      <c r="P178" s="357"/>
      <c r="Q178" s="357"/>
      <c r="R178" s="357"/>
      <c r="S178" s="357"/>
      <c r="T178" s="357"/>
      <c r="U178" s="281"/>
      <c r="V178" s="281"/>
      <c r="W178" s="281"/>
      <c r="X178" s="281"/>
      <c r="Y178" s="305"/>
      <c r="Z178" s="281"/>
      <c r="AA178" s="281"/>
      <c r="AB178" s="281"/>
      <c r="AF178" s="310" t="s">
        <v>382</v>
      </c>
    </row>
    <row r="179" spans="1:32" x14ac:dyDescent="0.25">
      <c r="A179" s="281" t="str">
        <f t="shared" si="2"/>
        <v>НижегородскаяDDM MOS Sladkaay ZhiznTSL MOS N.Novgorod</v>
      </c>
      <c r="B179" s="308" t="s">
        <v>258</v>
      </c>
      <c r="C179" s="298" t="s">
        <v>363</v>
      </c>
      <c r="D179" s="298" t="s">
        <v>364</v>
      </c>
      <c r="E179" s="299" t="s">
        <v>354</v>
      </c>
      <c r="F179" s="308" t="s">
        <v>365</v>
      </c>
      <c r="H179" s="281">
        <v>1</v>
      </c>
      <c r="K179" s="310">
        <v>26291849.469999973</v>
      </c>
      <c r="L179" s="281"/>
      <c r="M179" s="281"/>
      <c r="N179" s="281"/>
      <c r="O179" s="281"/>
      <c r="P179" s="281"/>
      <c r="Q179" s="281"/>
      <c r="R179" s="281"/>
      <c r="S179" s="281"/>
      <c r="T179" s="281"/>
      <c r="U179" s="281"/>
      <c r="V179" s="281"/>
      <c r="W179" s="281"/>
      <c r="X179" s="281"/>
      <c r="Y179" s="305"/>
      <c r="Z179" s="281"/>
      <c r="AA179" s="281"/>
      <c r="AB179" s="281"/>
      <c r="AF179" s="310" t="s">
        <v>382</v>
      </c>
    </row>
    <row r="180" spans="1:32" x14ac:dyDescent="0.25">
      <c r="A180" s="281" t="str">
        <f t="shared" si="2"/>
        <v>ТатарстанDDM MOS Sladkaay ZhiznTSL MOS N.Novgorod</v>
      </c>
      <c r="B180" s="308" t="s">
        <v>164</v>
      </c>
      <c r="C180" s="298" t="s">
        <v>363</v>
      </c>
      <c r="D180" s="298" t="s">
        <v>364</v>
      </c>
      <c r="E180" s="299" t="s">
        <v>354</v>
      </c>
      <c r="F180" s="312" t="s">
        <v>365</v>
      </c>
      <c r="K180" s="305">
        <v>22420066.279999983</v>
      </c>
      <c r="L180" s="281"/>
      <c r="M180" s="281"/>
      <c r="N180" s="281"/>
      <c r="O180" s="281"/>
      <c r="P180" s="281"/>
      <c r="Q180" s="281"/>
      <c r="R180" s="281"/>
      <c r="S180" s="281"/>
      <c r="T180" s="281"/>
      <c r="U180" s="281"/>
      <c r="V180" s="281"/>
      <c r="W180" s="281"/>
      <c r="X180" s="281"/>
      <c r="Y180" s="305"/>
      <c r="Z180" s="281"/>
      <c r="AA180" s="281"/>
      <c r="AB180" s="281"/>
      <c r="AF180" s="310" t="s">
        <v>382</v>
      </c>
    </row>
    <row r="181" spans="1:32" x14ac:dyDescent="0.25">
      <c r="A181" s="281" t="str">
        <f t="shared" si="2"/>
        <v>МоскваDDM MOS Sladkaay ZhiznTSL MOS N.Novgorod</v>
      </c>
      <c r="B181" s="308" t="s">
        <v>257</v>
      </c>
      <c r="C181" s="298" t="s">
        <v>363</v>
      </c>
      <c r="D181" s="308" t="s">
        <v>364</v>
      </c>
      <c r="E181" s="281" t="s">
        <v>354</v>
      </c>
      <c r="F181" s="308" t="s">
        <v>367</v>
      </c>
      <c r="K181" s="310">
        <v>85074102.199999839</v>
      </c>
      <c r="L181" s="281"/>
      <c r="M181" s="281"/>
      <c r="N181" s="281"/>
      <c r="O181" s="281"/>
      <c r="P181" s="281"/>
      <c r="Q181" s="281"/>
      <c r="R181" s="281"/>
      <c r="S181" s="281"/>
      <c r="T181" s="281"/>
      <c r="U181" s="281"/>
      <c r="V181" s="281"/>
      <c r="W181" s="281"/>
      <c r="X181" s="281"/>
      <c r="Y181" s="305"/>
      <c r="Z181" s="281"/>
      <c r="AA181" s="281"/>
      <c r="AB181" s="281"/>
      <c r="AF181" s="310" t="s">
        <v>382</v>
      </c>
    </row>
    <row r="182" spans="1:32" x14ac:dyDescent="0.25">
      <c r="A182" s="281" t="str">
        <f t="shared" si="2"/>
        <v>МосковскаяDDM MOS Sladkaay ZhiznTSL MOS N.Novgorod</v>
      </c>
      <c r="B182" s="308" t="s">
        <v>229</v>
      </c>
      <c r="C182" s="298" t="s">
        <v>363</v>
      </c>
      <c r="D182" s="308" t="s">
        <v>364</v>
      </c>
      <c r="E182" s="281" t="s">
        <v>354</v>
      </c>
      <c r="F182" s="312" t="s">
        <v>367</v>
      </c>
      <c r="K182" s="310">
        <v>3823372.6700000009</v>
      </c>
      <c r="L182" s="281"/>
      <c r="M182" s="281"/>
      <c r="N182" s="281"/>
      <c r="O182" s="281"/>
      <c r="P182" s="281"/>
      <c r="Q182" s="281"/>
      <c r="R182" s="281"/>
      <c r="S182" s="281"/>
      <c r="T182" s="281"/>
      <c r="U182" s="281"/>
      <c r="V182" s="281"/>
      <c r="W182" s="281"/>
      <c r="X182" s="281"/>
      <c r="Y182" s="305"/>
      <c r="Z182" s="281"/>
      <c r="AA182" s="281"/>
      <c r="AB182" s="281"/>
      <c r="AF182" s="310" t="s">
        <v>382</v>
      </c>
    </row>
    <row r="183" spans="1:32" x14ac:dyDescent="0.25">
      <c r="A183" s="281" t="str">
        <f t="shared" si="2"/>
        <v>ВоронежскаяDDM MOS Sladkaay ZhiznTSL MOS N.Novgorod</v>
      </c>
      <c r="B183" s="308" t="s">
        <v>210</v>
      </c>
      <c r="C183" s="298" t="s">
        <v>363</v>
      </c>
      <c r="D183" s="308" t="s">
        <v>364</v>
      </c>
      <c r="E183" s="281" t="s">
        <v>354</v>
      </c>
      <c r="F183" s="308" t="s">
        <v>383</v>
      </c>
      <c r="K183" s="305">
        <v>8536955.5500000007</v>
      </c>
      <c r="L183" s="281"/>
      <c r="M183" s="281"/>
      <c r="N183" s="281"/>
      <c r="O183" s="281"/>
      <c r="P183" s="281"/>
      <c r="Q183" s="281"/>
      <c r="R183" s="281"/>
      <c r="S183" s="281"/>
      <c r="T183" s="281"/>
      <c r="U183" s="281"/>
      <c r="V183" s="281"/>
      <c r="W183" s="281"/>
      <c r="X183" s="281"/>
      <c r="Y183" s="305"/>
      <c r="Z183" s="281"/>
      <c r="AA183" s="281"/>
      <c r="AB183" s="281"/>
      <c r="AF183" s="310" t="s">
        <v>382</v>
      </c>
    </row>
    <row r="184" spans="1:32" x14ac:dyDescent="0.25">
      <c r="A184" s="281" t="str">
        <f t="shared" si="2"/>
        <v>КраснодарскийDDM MOS Sladkaay ZhiznTSL MOS N.Novgorod</v>
      </c>
      <c r="B184" s="308" t="s">
        <v>225</v>
      </c>
      <c r="C184" s="298" t="s">
        <v>363</v>
      </c>
      <c r="D184" s="308" t="s">
        <v>364</v>
      </c>
      <c r="E184" s="281" t="s">
        <v>354</v>
      </c>
      <c r="F184" s="308" t="s">
        <v>383</v>
      </c>
      <c r="K184" s="305">
        <v>10671112.189999996</v>
      </c>
      <c r="L184" s="281"/>
      <c r="M184" s="281"/>
      <c r="N184" s="281"/>
      <c r="O184" s="281"/>
      <c r="P184" s="281"/>
      <c r="Q184" s="281"/>
      <c r="R184" s="281"/>
      <c r="S184" s="281"/>
      <c r="T184" s="281"/>
      <c r="U184" s="281"/>
      <c r="V184" s="281"/>
      <c r="W184" s="281"/>
      <c r="X184" s="281"/>
      <c r="Y184" s="305"/>
      <c r="Z184" s="281"/>
      <c r="AA184" s="281"/>
      <c r="AB184" s="281"/>
      <c r="AF184" s="310" t="s">
        <v>382</v>
      </c>
    </row>
    <row r="185" spans="1:32" x14ac:dyDescent="0.25">
      <c r="A185" s="281" t="str">
        <f t="shared" si="2"/>
        <v>РостовскаяDDM MOS Sladkaay ZhiznTSL MOS N.Novgorod</v>
      </c>
      <c r="B185" s="308" t="s">
        <v>239</v>
      </c>
      <c r="C185" s="298" t="s">
        <v>363</v>
      </c>
      <c r="D185" s="308" t="s">
        <v>364</v>
      </c>
      <c r="E185" s="281" t="s">
        <v>354</v>
      </c>
      <c r="F185" s="308" t="s">
        <v>383</v>
      </c>
      <c r="K185" s="305">
        <v>647650.9600000002</v>
      </c>
      <c r="L185" s="281"/>
      <c r="M185" s="281"/>
      <c r="N185" s="281"/>
      <c r="O185" s="281"/>
      <c r="P185" s="281"/>
      <c r="Q185" s="281"/>
      <c r="R185" s="281"/>
      <c r="S185" s="281"/>
      <c r="T185" s="281"/>
      <c r="U185" s="281"/>
      <c r="V185" s="281"/>
      <c r="W185" s="281"/>
      <c r="X185" s="281"/>
      <c r="Y185" s="305"/>
      <c r="Z185" s="281"/>
      <c r="AA185" s="281"/>
      <c r="AB185" s="281"/>
      <c r="AF185" s="310" t="s">
        <v>382</v>
      </c>
    </row>
    <row r="186" spans="1:32" x14ac:dyDescent="0.25">
      <c r="A186" s="281" t="str">
        <f t="shared" si="2"/>
        <v>СаратовскаяDDM MOS Sladkaay ZhiznTSL MOS N.Novgorod</v>
      </c>
      <c r="B186" s="308" t="s">
        <v>243</v>
      </c>
      <c r="C186" s="298" t="s">
        <v>363</v>
      </c>
      <c r="D186" s="308" t="s">
        <v>364</v>
      </c>
      <c r="E186" s="281" t="s">
        <v>354</v>
      </c>
      <c r="F186" s="308" t="s">
        <v>383</v>
      </c>
      <c r="K186" s="305">
        <v>4282666.66</v>
      </c>
      <c r="L186" s="281"/>
      <c r="M186" s="281"/>
      <c r="N186" s="281"/>
      <c r="O186" s="281"/>
      <c r="P186" s="281"/>
      <c r="Q186" s="281"/>
      <c r="R186" s="281"/>
      <c r="S186" s="281"/>
      <c r="T186" s="281"/>
      <c r="U186" s="281"/>
      <c r="V186" s="281"/>
      <c r="W186" s="281"/>
      <c r="X186" s="281"/>
      <c r="Y186" s="305"/>
      <c r="Z186" s="281"/>
      <c r="AA186" s="281"/>
      <c r="AB186" s="281"/>
      <c r="AF186" s="310" t="s">
        <v>382</v>
      </c>
    </row>
    <row r="187" spans="1:32" x14ac:dyDescent="0.25">
      <c r="A187" s="281" t="str">
        <f t="shared" si="2"/>
        <v>СтавропольскийDDM MOS Sladkaay ZhiznTSL MOS N.Novgorod</v>
      </c>
      <c r="B187" s="308" t="s">
        <v>246</v>
      </c>
      <c r="C187" s="298" t="s">
        <v>363</v>
      </c>
      <c r="D187" s="308" t="s">
        <v>364</v>
      </c>
      <c r="E187" s="281" t="s">
        <v>354</v>
      </c>
      <c r="F187" s="312" t="s">
        <v>383</v>
      </c>
      <c r="K187" s="305">
        <v>6853605.1999999909</v>
      </c>
      <c r="L187" s="281"/>
      <c r="M187" s="281"/>
      <c r="N187" s="281"/>
      <c r="O187" s="281"/>
      <c r="P187" s="281"/>
      <c r="Q187" s="281"/>
      <c r="R187" s="281"/>
      <c r="S187" s="281"/>
      <c r="T187" s="281"/>
      <c r="U187" s="281"/>
      <c r="V187" s="281"/>
      <c r="W187" s="281"/>
      <c r="X187" s="281"/>
      <c r="Y187" s="305"/>
      <c r="Z187" s="281"/>
      <c r="AA187" s="281"/>
      <c r="AB187" s="281"/>
      <c r="AF187" s="310" t="s">
        <v>382</v>
      </c>
    </row>
    <row r="188" spans="1:32" x14ac:dyDescent="0.25">
      <c r="A188" s="281" t="str">
        <f t="shared" si="2"/>
        <v>НовосибирскаяDDM MOS Sladkaay ZhiznTSL MOS N.Novgorod</v>
      </c>
      <c r="B188" s="308" t="s">
        <v>232</v>
      </c>
      <c r="C188" s="298" t="s">
        <v>363</v>
      </c>
      <c r="D188" s="308" t="s">
        <v>364</v>
      </c>
      <c r="E188" s="281" t="s">
        <v>354</v>
      </c>
      <c r="F188" s="312" t="s">
        <v>384</v>
      </c>
      <c r="K188" s="305">
        <v>3186751.46</v>
      </c>
      <c r="L188" s="281"/>
      <c r="M188" s="281"/>
      <c r="N188" s="281"/>
      <c r="O188" s="281"/>
      <c r="P188" s="281"/>
      <c r="Q188" s="281"/>
      <c r="R188" s="281"/>
      <c r="S188" s="281"/>
      <c r="T188" s="281"/>
      <c r="U188" s="281"/>
      <c r="V188" s="281"/>
      <c r="W188" s="281"/>
      <c r="X188" s="281"/>
      <c r="Y188" s="305"/>
      <c r="Z188" s="281"/>
      <c r="AA188" s="281"/>
      <c r="AB188" s="281"/>
      <c r="AF188" s="310" t="s">
        <v>382</v>
      </c>
    </row>
    <row r="189" spans="1:32" x14ac:dyDescent="0.25">
      <c r="A189" s="281" t="str">
        <f t="shared" si="2"/>
        <v>ПермскийDDM MOS Sladkaay ZhiznTSL MOS N.Novgorod</v>
      </c>
      <c r="B189" s="308" t="s">
        <v>171</v>
      </c>
      <c r="C189" s="298" t="s">
        <v>363</v>
      </c>
      <c r="D189" s="308" t="s">
        <v>364</v>
      </c>
      <c r="E189" s="281" t="s">
        <v>354</v>
      </c>
      <c r="F189" s="308" t="s">
        <v>385</v>
      </c>
      <c r="K189" s="305">
        <v>17566407.939999998</v>
      </c>
      <c r="L189" s="281"/>
      <c r="M189" s="281"/>
      <c r="N189" s="281"/>
      <c r="O189" s="281"/>
      <c r="P189" s="281"/>
      <c r="Q189" s="281"/>
      <c r="R189" s="281"/>
      <c r="S189" s="281"/>
      <c r="T189" s="281"/>
      <c r="U189" s="281"/>
      <c r="V189" s="281"/>
      <c r="W189" s="281"/>
      <c r="X189" s="281"/>
      <c r="Y189" s="305"/>
      <c r="Z189" s="281"/>
      <c r="AA189" s="281"/>
      <c r="AB189" s="281"/>
      <c r="AF189" s="310" t="s">
        <v>382</v>
      </c>
    </row>
    <row r="190" spans="1:32" x14ac:dyDescent="0.25">
      <c r="A190" s="281" t="str">
        <f t="shared" si="2"/>
        <v>ЧелябинскаяDDM MOS Sladkaay ZhiznTSL MOS N.Novgorod</v>
      </c>
      <c r="B190" s="308" t="s">
        <v>165</v>
      </c>
      <c r="C190" s="298" t="s">
        <v>363</v>
      </c>
      <c r="D190" s="308" t="s">
        <v>364</v>
      </c>
      <c r="E190" s="281" t="s">
        <v>354</v>
      </c>
      <c r="F190" s="312" t="s">
        <v>385</v>
      </c>
      <c r="K190" s="305">
        <v>664339.91000000038</v>
      </c>
      <c r="L190" s="281"/>
      <c r="M190" s="281"/>
      <c r="N190" s="281"/>
      <c r="O190" s="281"/>
      <c r="P190" s="281"/>
      <c r="Q190" s="281"/>
      <c r="R190" s="281"/>
      <c r="S190" s="281"/>
      <c r="T190" s="281"/>
      <c r="U190" s="281"/>
      <c r="V190" s="281"/>
      <c r="W190" s="281"/>
      <c r="X190" s="281"/>
      <c r="Y190" s="305"/>
      <c r="Z190" s="281"/>
      <c r="AA190" s="281"/>
      <c r="AB190" s="281"/>
      <c r="AF190" s="310" t="s">
        <v>382</v>
      </c>
    </row>
    <row r="191" spans="1:32" x14ac:dyDescent="0.25">
      <c r="A191" s="281" t="str">
        <f t="shared" si="2"/>
        <v>СамарскаяDDM MOS Sladkaay ZhiznTSL MOS N.Novgorod</v>
      </c>
      <c r="B191" s="308" t="s">
        <v>174</v>
      </c>
      <c r="C191" s="298" t="s">
        <v>363</v>
      </c>
      <c r="D191" s="308" t="s">
        <v>364</v>
      </c>
      <c r="E191" s="281" t="s">
        <v>354</v>
      </c>
      <c r="F191" s="312" t="s">
        <v>386</v>
      </c>
      <c r="K191" s="305">
        <v>8668249.0399999991</v>
      </c>
      <c r="L191" s="281"/>
      <c r="M191" s="281"/>
      <c r="N191" s="281"/>
      <c r="O191" s="281"/>
      <c r="P191" s="281"/>
      <c r="Q191" s="281"/>
      <c r="R191" s="281"/>
      <c r="S191" s="281"/>
      <c r="T191" s="281"/>
      <c r="U191" s="281"/>
      <c r="V191" s="281"/>
      <c r="W191" s="281"/>
      <c r="X191" s="281"/>
      <c r="Y191" s="305"/>
      <c r="Z191" s="281"/>
      <c r="AA191" s="281"/>
      <c r="AB191" s="281"/>
      <c r="AF191" s="310" t="s">
        <v>382</v>
      </c>
    </row>
    <row r="192" spans="1:32" x14ac:dyDescent="0.25">
      <c r="A192" s="281" t="str">
        <f t="shared" si="2"/>
        <v>СвердловскаяDDM MOS Sladkaay ZhiznTSL MOS N.Novgorod</v>
      </c>
      <c r="B192" s="308" t="s">
        <v>168</v>
      </c>
      <c r="C192" s="298" t="s">
        <v>363</v>
      </c>
      <c r="D192" s="308" t="s">
        <v>364</v>
      </c>
      <c r="E192" s="281" t="s">
        <v>354</v>
      </c>
      <c r="F192" s="312" t="s">
        <v>182</v>
      </c>
      <c r="K192" s="305">
        <v>20660.689999999999</v>
      </c>
      <c r="L192" s="281"/>
      <c r="M192" s="281"/>
      <c r="N192" s="281"/>
      <c r="O192" s="281"/>
      <c r="P192" s="281"/>
      <c r="Q192" s="281"/>
      <c r="R192" s="281"/>
      <c r="S192" s="281"/>
      <c r="T192" s="281"/>
      <c r="U192" s="281"/>
      <c r="V192" s="281"/>
      <c r="W192" s="281"/>
      <c r="X192" s="281"/>
      <c r="Y192" s="305"/>
      <c r="Z192" s="281"/>
      <c r="AA192" s="281"/>
      <c r="AB192" s="281"/>
      <c r="AF192" s="310" t="s">
        <v>382</v>
      </c>
    </row>
    <row r="193" spans="1:32" x14ac:dyDescent="0.25">
      <c r="A193" s="281" t="str">
        <f t="shared" si="2"/>
        <v>БелгородскаяRADM MoscowRAL MOS SPT RKA</v>
      </c>
      <c r="B193" s="312" t="s">
        <v>204</v>
      </c>
      <c r="C193" s="298" t="s">
        <v>363</v>
      </c>
      <c r="D193" s="298" t="s">
        <v>42</v>
      </c>
      <c r="E193" s="281" t="s">
        <v>377</v>
      </c>
      <c r="F193" s="300" t="s">
        <v>369</v>
      </c>
      <c r="K193" s="310">
        <v>43742.18</v>
      </c>
      <c r="L193" s="281"/>
      <c r="M193" s="281"/>
      <c r="N193" s="281"/>
      <c r="O193" s="281"/>
      <c r="P193" s="281"/>
      <c r="Q193" s="281"/>
      <c r="R193" s="281"/>
      <c r="S193" s="281"/>
      <c r="T193" s="281"/>
      <c r="U193" s="281"/>
      <c r="V193" s="281"/>
      <c r="W193" s="281"/>
      <c r="X193" s="281"/>
      <c r="Y193" s="305"/>
      <c r="Z193" s="357"/>
      <c r="AA193" s="281"/>
      <c r="AB193" s="281"/>
      <c r="AF193" s="308" t="s">
        <v>387</v>
      </c>
    </row>
    <row r="194" spans="1:32" x14ac:dyDescent="0.25">
      <c r="A194" s="281" t="str">
        <f t="shared" si="2"/>
        <v>МоскваRADM MoscowRAL MOS SPT RKA</v>
      </c>
      <c r="B194" s="312" t="s">
        <v>257</v>
      </c>
      <c r="C194" s="298" t="s">
        <v>363</v>
      </c>
      <c r="D194" s="298" t="s">
        <v>42</v>
      </c>
      <c r="E194" s="281" t="s">
        <v>377</v>
      </c>
      <c r="F194" s="300" t="s">
        <v>369</v>
      </c>
      <c r="H194" s="281">
        <v>1</v>
      </c>
      <c r="K194" s="310">
        <v>51488847.459999874</v>
      </c>
      <c r="L194" s="281"/>
      <c r="M194" s="281"/>
      <c r="N194" s="281"/>
      <c r="O194" s="281"/>
      <c r="P194" s="281"/>
      <c r="Q194" s="281"/>
      <c r="R194" s="281"/>
      <c r="S194" s="281"/>
      <c r="T194" s="281"/>
      <c r="U194" s="281"/>
      <c r="V194" s="281"/>
      <c r="W194" s="281"/>
      <c r="X194" s="281"/>
      <c r="Y194" s="305"/>
      <c r="Z194" s="357"/>
      <c r="AA194" s="281"/>
      <c r="AB194" s="281"/>
      <c r="AF194" s="308" t="s">
        <v>387</v>
      </c>
    </row>
    <row r="195" spans="1:32" x14ac:dyDescent="0.25">
      <c r="A195" s="281" t="str">
        <f t="shared" si="2"/>
        <v>МосковскаяRADM MoscowRAL MOS SPT RKA</v>
      </c>
      <c r="B195" s="312" t="s">
        <v>229</v>
      </c>
      <c r="C195" s="298" t="s">
        <v>363</v>
      </c>
      <c r="D195" s="298" t="s">
        <v>42</v>
      </c>
      <c r="E195" s="281" t="s">
        <v>377</v>
      </c>
      <c r="F195" s="300" t="s">
        <v>369</v>
      </c>
      <c r="K195" s="310">
        <v>4983223.1399999978</v>
      </c>
      <c r="L195" s="281"/>
      <c r="M195" s="281"/>
      <c r="N195" s="281"/>
      <c r="O195" s="281"/>
      <c r="P195" s="281"/>
      <c r="Q195" s="281"/>
      <c r="R195" s="281"/>
      <c r="S195" s="281"/>
      <c r="T195" s="281"/>
      <c r="U195" s="281"/>
      <c r="V195" s="281"/>
      <c r="W195" s="281"/>
      <c r="X195" s="281"/>
      <c r="Y195" s="305"/>
      <c r="Z195" s="357"/>
      <c r="AA195" s="281"/>
      <c r="AB195" s="281"/>
      <c r="AF195" s="308" t="s">
        <v>387</v>
      </c>
    </row>
    <row r="196" spans="1:32" x14ac:dyDescent="0.25">
      <c r="A196" s="281" t="str">
        <f t="shared" ref="A196:A259" si="3">B196&amp;D196&amp;E196</f>
        <v>СамарскаяRADM MoscowRAL MOS SPT RKA</v>
      </c>
      <c r="B196" s="312" t="s">
        <v>174</v>
      </c>
      <c r="C196" s="298" t="s">
        <v>363</v>
      </c>
      <c r="D196" s="298" t="s">
        <v>42</v>
      </c>
      <c r="E196" s="281" t="s">
        <v>377</v>
      </c>
      <c r="F196" s="300" t="s">
        <v>369</v>
      </c>
      <c r="K196" s="310">
        <v>28707.439999999991</v>
      </c>
      <c r="L196" s="281"/>
      <c r="M196" s="281"/>
      <c r="N196" s="281"/>
      <c r="O196" s="281"/>
      <c r="P196" s="281"/>
      <c r="Q196" s="281"/>
      <c r="R196" s="281"/>
      <c r="S196" s="281"/>
      <c r="T196" s="281"/>
      <c r="U196" s="281"/>
      <c r="V196" s="281"/>
      <c r="W196" s="281"/>
      <c r="X196" s="281"/>
      <c r="Y196" s="305"/>
      <c r="Z196" s="357"/>
      <c r="AA196" s="281"/>
      <c r="AB196" s="281"/>
      <c r="AF196" s="308" t="s">
        <v>387</v>
      </c>
    </row>
    <row r="197" spans="1:32" x14ac:dyDescent="0.25">
      <c r="A197" s="281" t="str">
        <f t="shared" si="3"/>
        <v>Санкт-ПетербургRADM MoscowRAL MOS SPT RKA</v>
      </c>
      <c r="B197" s="312" t="s">
        <v>242</v>
      </c>
      <c r="C197" s="298" t="s">
        <v>363</v>
      </c>
      <c r="D197" s="298" t="s">
        <v>42</v>
      </c>
      <c r="E197" s="281" t="s">
        <v>377</v>
      </c>
      <c r="F197" s="300" t="s">
        <v>369</v>
      </c>
      <c r="K197" s="310">
        <v>904834.39000000013</v>
      </c>
      <c r="L197" s="281"/>
      <c r="M197" s="281"/>
      <c r="N197" s="281"/>
      <c r="O197" s="281"/>
      <c r="P197" s="281"/>
      <c r="Q197" s="281"/>
      <c r="R197" s="281"/>
      <c r="S197" s="281"/>
      <c r="T197" s="281"/>
      <c r="U197" s="281"/>
      <c r="V197" s="281"/>
      <c r="W197" s="281"/>
      <c r="X197" s="281"/>
      <c r="Y197" s="305"/>
      <c r="Z197" s="357"/>
      <c r="AA197" s="281"/>
      <c r="AB197" s="281"/>
      <c r="AF197" s="308" t="s">
        <v>387</v>
      </c>
    </row>
    <row r="198" spans="1:32" x14ac:dyDescent="0.25">
      <c r="A198" s="281" t="str">
        <f t="shared" si="3"/>
        <v>ВладимирскаяTDM MOS Grocery RKA+NA Moscow NorthKADL MOS NA Vladimir</v>
      </c>
      <c r="B198" s="312" t="s">
        <v>253</v>
      </c>
      <c r="C198" s="298" t="s">
        <v>363</v>
      </c>
      <c r="D198" s="308" t="s">
        <v>388</v>
      </c>
      <c r="E198" s="281" t="s">
        <v>389</v>
      </c>
      <c r="I198" s="281" t="s">
        <v>51</v>
      </c>
      <c r="K198" s="281"/>
      <c r="L198" s="281"/>
      <c r="M198" s="281"/>
      <c r="N198" s="281"/>
      <c r="O198" s="281"/>
      <c r="P198" s="281"/>
      <c r="Q198" s="281"/>
      <c r="R198" s="281"/>
      <c r="S198" s="281"/>
      <c r="T198" s="281"/>
      <c r="U198" s="313">
        <v>678438040.08997214</v>
      </c>
      <c r="V198" s="313">
        <v>526018131.46046066</v>
      </c>
      <c r="W198" s="313">
        <v>370249262.35000122</v>
      </c>
      <c r="X198" s="313">
        <v>102728614.69999996</v>
      </c>
      <c r="Y198" s="305"/>
      <c r="Z198" s="357">
        <v>850113432.71010005</v>
      </c>
      <c r="AA198" s="316"/>
      <c r="AB198" s="314"/>
    </row>
    <row r="199" spans="1:32" x14ac:dyDescent="0.25">
      <c r="A199" s="281" t="str">
        <f t="shared" si="3"/>
        <v>КалужскаяTDM MOS Grocery RKA+NA Moscow SouthKADL MOS Grocery RKA+NA Tula+Ryazan-Kaluga</v>
      </c>
      <c r="B199" s="312" t="s">
        <v>215</v>
      </c>
      <c r="C199" s="298" t="s">
        <v>363</v>
      </c>
      <c r="D199" s="308" t="s">
        <v>390</v>
      </c>
      <c r="E199" s="281" t="s">
        <v>391</v>
      </c>
      <c r="I199" s="281" t="s">
        <v>49</v>
      </c>
      <c r="K199" s="281"/>
      <c r="L199" s="281"/>
      <c r="M199" s="281"/>
      <c r="N199" s="281"/>
      <c r="O199" s="281"/>
      <c r="P199" s="281"/>
      <c r="Q199" s="281"/>
      <c r="R199" s="281"/>
      <c r="S199" s="281"/>
      <c r="T199" s="281"/>
      <c r="U199" s="313">
        <v>527389618.38998353</v>
      </c>
      <c r="V199" s="313">
        <v>395132896.1954003</v>
      </c>
      <c r="W199" s="313">
        <v>339267194.55000097</v>
      </c>
      <c r="X199" s="313">
        <v>6626195.330000001</v>
      </c>
      <c r="Y199" s="305"/>
      <c r="Z199" s="357">
        <v>662172794.79000032</v>
      </c>
      <c r="AA199" s="316"/>
      <c r="AB199" s="314"/>
    </row>
    <row r="200" spans="1:32" x14ac:dyDescent="0.25">
      <c r="A200" s="281" t="str">
        <f t="shared" si="3"/>
        <v>КировскаяTDM MOS Grocery RKA+NA Moscow NorthKADL MOS NA Vladimir</v>
      </c>
      <c r="B200" s="312" t="s">
        <v>221</v>
      </c>
      <c r="C200" s="298" t="s">
        <v>363</v>
      </c>
      <c r="D200" s="308" t="s">
        <v>388</v>
      </c>
      <c r="E200" s="281" t="s">
        <v>389</v>
      </c>
      <c r="I200" s="281" t="s">
        <v>51</v>
      </c>
      <c r="K200" s="281"/>
      <c r="L200" s="281"/>
      <c r="M200" s="281"/>
      <c r="N200" s="281"/>
      <c r="O200" s="281"/>
      <c r="P200" s="281"/>
      <c r="Q200" s="281"/>
      <c r="R200" s="281"/>
      <c r="S200" s="281"/>
      <c r="T200" s="281"/>
      <c r="U200" s="313">
        <v>349549813.68998915</v>
      </c>
      <c r="V200" s="313">
        <v>582318886.45792902</v>
      </c>
      <c r="W200" s="313">
        <v>76738061.2700001</v>
      </c>
      <c r="X200" s="313">
        <v>1904727.94</v>
      </c>
      <c r="Y200" s="305"/>
      <c r="Z200" s="357">
        <v>600256169.04110003</v>
      </c>
      <c r="AA200" s="316"/>
      <c r="AB200" s="314"/>
    </row>
    <row r="201" spans="1:32" x14ac:dyDescent="0.25">
      <c r="A201" s="281" t="str">
        <f t="shared" si="3"/>
        <v>Марий ЭлTDM MOS Grocery RKA+NA Moscow NorthKADL MOS NA N.Novgorod</v>
      </c>
      <c r="B201" s="312" t="s">
        <v>152</v>
      </c>
      <c r="C201" s="298" t="s">
        <v>363</v>
      </c>
      <c r="D201" s="308" t="s">
        <v>388</v>
      </c>
      <c r="E201" s="281" t="s">
        <v>392</v>
      </c>
      <c r="K201" s="281"/>
      <c r="L201" s="281"/>
      <c r="M201" s="281"/>
      <c r="N201" s="281"/>
      <c r="O201" s="281"/>
      <c r="P201" s="281"/>
      <c r="Q201" s="281"/>
      <c r="R201" s="281"/>
      <c r="S201" s="281"/>
      <c r="T201" s="281"/>
      <c r="U201" s="313">
        <v>182346766.06000003</v>
      </c>
      <c r="V201" s="313">
        <v>167865815.36695156</v>
      </c>
      <c r="W201" s="313">
        <v>22118489.979999982</v>
      </c>
      <c r="X201" s="313">
        <v>17529857.530000001</v>
      </c>
      <c r="Y201" s="305"/>
      <c r="Z201" s="357">
        <v>241381462.22059995</v>
      </c>
      <c r="AA201" s="316"/>
      <c r="AB201" s="314"/>
      <c r="AD201" s="305">
        <v>6817750437.9784079</v>
      </c>
      <c r="AF201" s="281" t="s">
        <v>393</v>
      </c>
    </row>
    <row r="202" spans="1:32" x14ac:dyDescent="0.25">
      <c r="A202" s="281" t="str">
        <f t="shared" si="3"/>
        <v>МордовияTDM MOS Grocery RKA+NA Moscow NorthKADL MOS NA Vladimir</v>
      </c>
      <c r="B202" s="312" t="s">
        <v>256</v>
      </c>
      <c r="C202" s="298" t="s">
        <v>363</v>
      </c>
      <c r="D202" s="308" t="s">
        <v>388</v>
      </c>
      <c r="E202" s="281" t="s">
        <v>389</v>
      </c>
      <c r="I202" s="281" t="s">
        <v>394</v>
      </c>
      <c r="K202" s="281"/>
      <c r="L202" s="281"/>
      <c r="M202" s="281"/>
      <c r="N202" s="281"/>
      <c r="O202" s="281"/>
      <c r="P202" s="281"/>
      <c r="Q202" s="281"/>
      <c r="R202" s="281"/>
      <c r="S202" s="281"/>
      <c r="T202" s="281"/>
      <c r="U202" s="313">
        <v>122073888.85000151</v>
      </c>
      <c r="V202" s="313">
        <v>231384018.69262016</v>
      </c>
      <c r="W202" s="313">
        <v>10450737.210000031</v>
      </c>
      <c r="X202" s="313">
        <v>7764070.8000000035</v>
      </c>
      <c r="Y202" s="305"/>
      <c r="Z202" s="357">
        <v>118931747.26550004</v>
      </c>
      <c r="AA202" s="316"/>
      <c r="AB202" s="314"/>
    </row>
    <row r="203" spans="1:32" x14ac:dyDescent="0.25">
      <c r="A203" s="281" t="str">
        <f t="shared" si="3"/>
        <v>МоскваTDM MOS Grocery RKA+NA Moscow NorthKADL MOS Grocery RKA+NA DiscSuper Mos Obl North 2</v>
      </c>
      <c r="B203" s="308" t="s">
        <v>257</v>
      </c>
      <c r="C203" s="298" t="s">
        <v>363</v>
      </c>
      <c r="D203" s="308" t="s">
        <v>388</v>
      </c>
      <c r="E203" s="281" t="s">
        <v>395</v>
      </c>
      <c r="I203" s="281" t="s">
        <v>51</v>
      </c>
      <c r="K203" s="281"/>
      <c r="L203" s="281"/>
      <c r="M203" s="281"/>
      <c r="N203" s="281"/>
      <c r="O203" s="281"/>
      <c r="P203" s="281"/>
      <c r="Q203" s="281"/>
      <c r="R203" s="281"/>
      <c r="S203" s="281"/>
      <c r="T203" s="281"/>
      <c r="U203" s="313">
        <v>465540732.66266191</v>
      </c>
      <c r="V203" s="313">
        <v>144203765.25396419</v>
      </c>
      <c r="W203" s="313">
        <v>426724272.15251094</v>
      </c>
      <c r="X203" s="313">
        <v>66553933.090000004</v>
      </c>
      <c r="Y203" s="305"/>
      <c r="Z203" s="357">
        <v>657929607.73280001</v>
      </c>
      <c r="AA203" s="316"/>
      <c r="AB203" s="314"/>
    </row>
    <row r="204" spans="1:32" x14ac:dyDescent="0.25">
      <c r="A204" s="281" t="str">
        <f t="shared" si="3"/>
        <v>МоскваTDM MOS Grocery RKA+NA Moscow NorthKADL MOS Grocery RKA+NA DiscSuper Moscow East</v>
      </c>
      <c r="B204" s="308" t="s">
        <v>257</v>
      </c>
      <c r="C204" s="298" t="s">
        <v>363</v>
      </c>
      <c r="D204" s="308" t="s">
        <v>388</v>
      </c>
      <c r="E204" s="281" t="s">
        <v>396</v>
      </c>
      <c r="I204" s="281" t="s">
        <v>51</v>
      </c>
      <c r="K204" s="281"/>
      <c r="L204" s="281"/>
      <c r="M204" s="281"/>
      <c r="N204" s="281"/>
      <c r="O204" s="281"/>
      <c r="P204" s="281"/>
      <c r="Q204" s="281"/>
      <c r="R204" s="281"/>
      <c r="S204" s="281"/>
      <c r="T204" s="281"/>
      <c r="U204" s="313">
        <v>324178349.08697456</v>
      </c>
      <c r="V204" s="313">
        <v>90020535.327285334</v>
      </c>
      <c r="W204" s="313">
        <v>381204233.88632697</v>
      </c>
      <c r="X204" s="313">
        <v>18514567.340000004</v>
      </c>
      <c r="Y204" s="305"/>
      <c r="Z204" s="357">
        <v>680999942.92850018</v>
      </c>
      <c r="AA204" s="316"/>
      <c r="AB204" s="314"/>
    </row>
    <row r="205" spans="1:32" x14ac:dyDescent="0.25">
      <c r="A205" s="281" t="str">
        <f t="shared" si="3"/>
        <v>МоскваTDM MOS Grocery RKA+NA Moscow NorthKADL MOS Grocery RKA+NA Hyper Moscow North</v>
      </c>
      <c r="B205" s="308" t="s">
        <v>257</v>
      </c>
      <c r="C205" s="298" t="s">
        <v>363</v>
      </c>
      <c r="D205" s="308" t="s">
        <v>388</v>
      </c>
      <c r="E205" s="281" t="s">
        <v>397</v>
      </c>
      <c r="I205" s="281" t="s">
        <v>51</v>
      </c>
      <c r="K205" s="281"/>
      <c r="L205" s="281"/>
      <c r="M205" s="281"/>
      <c r="N205" s="281"/>
      <c r="O205" s="281"/>
      <c r="P205" s="281"/>
      <c r="Q205" s="281"/>
      <c r="R205" s="281"/>
      <c r="S205" s="281"/>
      <c r="T205" s="281"/>
      <c r="U205" s="313">
        <v>678418859.55294251</v>
      </c>
      <c r="V205" s="313">
        <v>216905781.21951029</v>
      </c>
      <c r="W205" s="313">
        <v>619826219.97001421</v>
      </c>
      <c r="X205" s="313">
        <v>115336058.25999995</v>
      </c>
      <c r="Y205" s="305"/>
      <c r="Z205" s="357">
        <v>1000410897.2363987</v>
      </c>
      <c r="AA205" s="316"/>
      <c r="AB205" s="314"/>
    </row>
    <row r="206" spans="1:32" x14ac:dyDescent="0.25">
      <c r="A206" s="281" t="str">
        <f t="shared" si="3"/>
        <v>МоскваTDM MOS Grocery RKA+NA Moscow SouthKADL MOS Grocery Dixy ( вакансия)</v>
      </c>
      <c r="B206" s="308" t="s">
        <v>257</v>
      </c>
      <c r="C206" s="298" t="s">
        <v>363</v>
      </c>
      <c r="D206" s="308" t="s">
        <v>390</v>
      </c>
      <c r="E206" s="281" t="s">
        <v>398</v>
      </c>
      <c r="I206" s="281" t="s">
        <v>49</v>
      </c>
      <c r="K206" s="281"/>
      <c r="L206" s="281"/>
      <c r="M206" s="281"/>
      <c r="N206" s="281"/>
      <c r="O206" s="281"/>
      <c r="P206" s="281"/>
      <c r="Q206" s="281"/>
      <c r="R206" s="281"/>
      <c r="S206" s="281"/>
      <c r="T206" s="281"/>
      <c r="U206" s="313">
        <v>394373422.19329673</v>
      </c>
      <c r="V206" s="313">
        <v>97253700.064874455</v>
      </c>
      <c r="W206" s="313">
        <v>465670982.71440059</v>
      </c>
      <c r="X206" s="313">
        <v>57686817.789999984</v>
      </c>
      <c r="Y206" s="305"/>
      <c r="Z206" s="357">
        <v>647372110.11980021</v>
      </c>
      <c r="AA206" s="316"/>
      <c r="AB206" s="314"/>
    </row>
    <row r="207" spans="1:32" x14ac:dyDescent="0.25">
      <c r="A207" s="281" t="str">
        <f t="shared" si="3"/>
        <v>МоскваTDM MOS Grocery RKA+NA Moscow SouthKADL MOS Grocery Tander South</v>
      </c>
      <c r="B207" s="312" t="s">
        <v>257</v>
      </c>
      <c r="C207" s="298" t="s">
        <v>363</v>
      </c>
      <c r="D207" s="308" t="s">
        <v>390</v>
      </c>
      <c r="E207" s="281" t="s">
        <v>399</v>
      </c>
      <c r="I207" s="281" t="s">
        <v>49</v>
      </c>
      <c r="K207" s="281"/>
      <c r="L207" s="281"/>
      <c r="M207" s="281"/>
      <c r="N207" s="281"/>
      <c r="O207" s="281"/>
      <c r="P207" s="281"/>
      <c r="Q207" s="281"/>
      <c r="R207" s="281"/>
      <c r="S207" s="281"/>
      <c r="T207" s="281"/>
      <c r="U207" s="313">
        <v>537892417.89402521</v>
      </c>
      <c r="V207" s="313">
        <v>126016039.0647274</v>
      </c>
      <c r="W207" s="313">
        <v>1166230003.8067346</v>
      </c>
      <c r="X207" s="313">
        <v>70400224.169999972</v>
      </c>
      <c r="Y207" s="305"/>
      <c r="Z207" s="357">
        <v>1033839503.4343996</v>
      </c>
      <c r="AA207" s="316"/>
      <c r="AB207" s="314"/>
    </row>
    <row r="208" spans="1:32" x14ac:dyDescent="0.25">
      <c r="A208" s="281" t="str">
        <f t="shared" si="3"/>
        <v>МосковскаяTDM MOS Grocery RKA+NA Moscow NorthKADL MOS Grocery RKA+NA DiscSuper Mos Obl North 2</v>
      </c>
      <c r="B208" s="308" t="s">
        <v>229</v>
      </c>
      <c r="C208" s="298" t="s">
        <v>363</v>
      </c>
      <c r="D208" s="308" t="s">
        <v>388</v>
      </c>
      <c r="E208" s="281" t="s">
        <v>395</v>
      </c>
      <c r="I208" s="281" t="s">
        <v>51</v>
      </c>
      <c r="K208" s="281"/>
      <c r="L208" s="281"/>
      <c r="M208" s="281"/>
      <c r="N208" s="281"/>
      <c r="O208" s="281"/>
      <c r="P208" s="281"/>
      <c r="Q208" s="281"/>
      <c r="R208" s="281"/>
      <c r="S208" s="281"/>
      <c r="T208" s="281"/>
      <c r="U208" s="313">
        <v>831474836.10060978</v>
      </c>
      <c r="V208" s="313">
        <v>351347611.42868149</v>
      </c>
      <c r="W208" s="313">
        <v>962333158.76289189</v>
      </c>
      <c r="X208" s="313">
        <v>196830557.36999971</v>
      </c>
      <c r="Y208" s="305"/>
      <c r="Z208" s="357">
        <v>1183794628.9130003</v>
      </c>
      <c r="AA208" s="316"/>
      <c r="AB208" s="314"/>
    </row>
    <row r="209" spans="1:34" x14ac:dyDescent="0.25">
      <c r="A209" s="281" t="str">
        <f t="shared" si="3"/>
        <v>МосковскаяTDM MOS Grocery RKA+NA Moscow NorthKADL MOS Grocery RKA+NA DiscSuper Moscow East</v>
      </c>
      <c r="B209" s="308" t="s">
        <v>229</v>
      </c>
      <c r="C209" s="298" t="s">
        <v>363</v>
      </c>
      <c r="D209" s="308" t="s">
        <v>388</v>
      </c>
      <c r="E209" s="281" t="s">
        <v>396</v>
      </c>
      <c r="I209" s="281" t="s">
        <v>51</v>
      </c>
      <c r="K209" s="281"/>
      <c r="L209" s="281"/>
      <c r="M209" s="281"/>
      <c r="N209" s="281"/>
      <c r="O209" s="281"/>
      <c r="P209" s="281"/>
      <c r="Q209" s="281"/>
      <c r="R209" s="281"/>
      <c r="S209" s="281"/>
      <c r="T209" s="281"/>
      <c r="U209" s="313">
        <v>511318499.99989861</v>
      </c>
      <c r="V209" s="313">
        <v>225669171.78091267</v>
      </c>
      <c r="W209" s="313">
        <v>636198461.74652195</v>
      </c>
      <c r="X209" s="313">
        <v>114335881.62999998</v>
      </c>
      <c r="Y209" s="305"/>
      <c r="Z209" s="357">
        <v>679826351.63689983</v>
      </c>
      <c r="AA209" s="316"/>
      <c r="AB209" s="314"/>
    </row>
    <row r="210" spans="1:34" x14ac:dyDescent="0.25">
      <c r="A210" s="281" t="str">
        <f t="shared" si="3"/>
        <v>МосковскаяTDM MOS Grocery RKA+NA Moscow NorthKADL MOS Grocery RKA+NA Hyper Moscow North</v>
      </c>
      <c r="B210" s="308" t="s">
        <v>229</v>
      </c>
      <c r="C210" s="298" t="s">
        <v>363</v>
      </c>
      <c r="D210" s="308" t="s">
        <v>388</v>
      </c>
      <c r="E210" s="281" t="s">
        <v>397</v>
      </c>
      <c r="I210" s="281" t="s">
        <v>51</v>
      </c>
      <c r="K210" s="281"/>
      <c r="L210" s="281"/>
      <c r="M210" s="281"/>
      <c r="N210" s="281"/>
      <c r="O210" s="281"/>
      <c r="P210" s="281"/>
      <c r="Q210" s="281"/>
      <c r="R210" s="281"/>
      <c r="S210" s="281"/>
      <c r="T210" s="281"/>
      <c r="U210" s="313">
        <v>712543615.09525537</v>
      </c>
      <c r="V210" s="313">
        <v>373375719.28500658</v>
      </c>
      <c r="W210" s="313">
        <v>596962887.32475233</v>
      </c>
      <c r="X210" s="313">
        <v>197474993.87000009</v>
      </c>
      <c r="Y210" s="305"/>
      <c r="Z210" s="357">
        <v>815322183.05460024</v>
      </c>
      <c r="AA210" s="316"/>
      <c r="AB210" s="314"/>
    </row>
    <row r="211" spans="1:34" x14ac:dyDescent="0.25">
      <c r="A211" s="281" t="str">
        <f t="shared" si="3"/>
        <v>МосковскаяTDM MOS Grocery RKA+NA Moscow SouthKADL MOS Grocery Dixy ( вакансия)</v>
      </c>
      <c r="B211" s="308" t="s">
        <v>229</v>
      </c>
      <c r="C211" s="298" t="s">
        <v>363</v>
      </c>
      <c r="D211" s="308" t="s">
        <v>390</v>
      </c>
      <c r="E211" s="281" t="s">
        <v>398</v>
      </c>
      <c r="I211" s="281" t="s">
        <v>49</v>
      </c>
      <c r="K211" s="281"/>
      <c r="L211" s="281"/>
      <c r="M211" s="281"/>
      <c r="N211" s="281"/>
      <c r="O211" s="281"/>
      <c r="P211" s="281"/>
      <c r="Q211" s="281"/>
      <c r="R211" s="281"/>
      <c r="S211" s="281"/>
      <c r="T211" s="281"/>
      <c r="U211" s="313">
        <v>991569343.23612261</v>
      </c>
      <c r="V211" s="313">
        <v>599357210.44890904</v>
      </c>
      <c r="W211" s="313">
        <v>865506715.6452229</v>
      </c>
      <c r="X211" s="313">
        <v>177607220.12999988</v>
      </c>
      <c r="Y211" s="305"/>
      <c r="Z211" s="357">
        <v>1229216756.1869001</v>
      </c>
      <c r="AA211" s="316"/>
      <c r="AB211" s="314"/>
    </row>
    <row r="212" spans="1:34" x14ac:dyDescent="0.25">
      <c r="A212" s="281" t="str">
        <f t="shared" si="3"/>
        <v>МосковскаяTDM MOS Grocery RKA+NA Moscow SouthKADL MOS Grocery Tander South</v>
      </c>
      <c r="B212" s="312" t="s">
        <v>229</v>
      </c>
      <c r="C212" s="298" t="s">
        <v>363</v>
      </c>
      <c r="D212" s="308" t="s">
        <v>390</v>
      </c>
      <c r="E212" s="281" t="s">
        <v>399</v>
      </c>
      <c r="I212" s="281" t="s">
        <v>49</v>
      </c>
      <c r="K212" s="281"/>
      <c r="L212" s="281"/>
      <c r="M212" s="281"/>
      <c r="N212" s="281"/>
      <c r="O212" s="281"/>
      <c r="P212" s="281"/>
      <c r="Q212" s="281"/>
      <c r="R212" s="281"/>
      <c r="S212" s="281"/>
      <c r="T212" s="281"/>
      <c r="U212" s="313">
        <v>1037182468.147874</v>
      </c>
      <c r="V212" s="313">
        <v>551826914.40820706</v>
      </c>
      <c r="W212" s="313">
        <v>1385544064.640552</v>
      </c>
      <c r="X212" s="313">
        <v>284347953.18000025</v>
      </c>
      <c r="Y212" s="305"/>
      <c r="Z212" s="357">
        <v>1516192695.7996001</v>
      </c>
      <c r="AA212" s="316"/>
      <c r="AB212" s="314"/>
    </row>
    <row r="213" spans="1:34" x14ac:dyDescent="0.25">
      <c r="A213" s="281" t="str">
        <f t="shared" si="3"/>
        <v>НижегородскаяTDM MOS Grocery RKA+NA Moscow NorthKADL MOS NA Vladimir</v>
      </c>
      <c r="B213" s="308" t="s">
        <v>258</v>
      </c>
      <c r="C213" s="298" t="s">
        <v>363</v>
      </c>
      <c r="D213" s="308" t="s">
        <v>388</v>
      </c>
      <c r="E213" s="281" t="s">
        <v>389</v>
      </c>
      <c r="I213" s="281" t="s">
        <v>51</v>
      </c>
      <c r="K213" s="281"/>
      <c r="L213" s="281"/>
      <c r="M213" s="281"/>
      <c r="N213" s="281"/>
      <c r="O213" s="281"/>
      <c r="P213" s="281"/>
      <c r="Q213" s="281"/>
      <c r="R213" s="281"/>
      <c r="S213" s="281"/>
      <c r="T213" s="281"/>
      <c r="U213" s="313">
        <v>540611305.32998252</v>
      </c>
      <c r="V213" s="313">
        <v>345351095.60157597</v>
      </c>
      <c r="W213" s="313">
        <v>155719176.13000017</v>
      </c>
      <c r="X213" s="313">
        <v>122456893.96000002</v>
      </c>
      <c r="Y213" s="305"/>
      <c r="Z213" s="357">
        <v>651264436.76190007</v>
      </c>
      <c r="AA213" s="316"/>
      <c r="AB213" s="314"/>
    </row>
    <row r="214" spans="1:34" x14ac:dyDescent="0.25">
      <c r="A214" s="281" t="str">
        <f t="shared" si="3"/>
        <v>НижегородскаяTDM MOS Grocery RKA+NA Moscow NorthKADL MOS NA N.Novgorod</v>
      </c>
      <c r="B214" s="312" t="s">
        <v>258</v>
      </c>
      <c r="C214" s="298" t="s">
        <v>363</v>
      </c>
      <c r="D214" s="308" t="s">
        <v>388</v>
      </c>
      <c r="E214" s="281" t="s">
        <v>392</v>
      </c>
      <c r="I214" s="281" t="s">
        <v>51</v>
      </c>
      <c r="K214" s="281"/>
      <c r="L214" s="281"/>
      <c r="M214" s="281"/>
      <c r="N214" s="281"/>
      <c r="O214" s="281"/>
      <c r="P214" s="281"/>
      <c r="Q214" s="281"/>
      <c r="R214" s="281"/>
      <c r="S214" s="281"/>
      <c r="T214" s="281"/>
      <c r="U214" s="313">
        <v>988414284.19993234</v>
      </c>
      <c r="V214" s="313">
        <v>629508014.34943664</v>
      </c>
      <c r="W214" s="313">
        <v>147343411.26999986</v>
      </c>
      <c r="X214" s="313">
        <v>132219886.2</v>
      </c>
      <c r="Y214" s="305"/>
      <c r="Z214" s="357">
        <v>978077545.10700023</v>
      </c>
      <c r="AA214" s="316"/>
      <c r="AB214" s="314"/>
    </row>
    <row r="215" spans="1:34" x14ac:dyDescent="0.25">
      <c r="A215" s="281" t="str">
        <f t="shared" si="3"/>
        <v>РязанскаяTDM MOS Grocery RKA+NA Moscow SouthKADL MOS Grocery RKA+NA Tula+Ryazan-Kaluga</v>
      </c>
      <c r="B215" s="312" t="s">
        <v>241</v>
      </c>
      <c r="C215" s="298" t="s">
        <v>363</v>
      </c>
      <c r="D215" s="308" t="s">
        <v>390</v>
      </c>
      <c r="E215" s="281" t="s">
        <v>391</v>
      </c>
      <c r="I215" s="281" t="s">
        <v>49</v>
      </c>
      <c r="K215" s="281"/>
      <c r="L215" s="281"/>
      <c r="M215" s="281"/>
      <c r="N215" s="281"/>
      <c r="O215" s="281"/>
      <c r="P215" s="281"/>
      <c r="Q215" s="281"/>
      <c r="R215" s="281"/>
      <c r="S215" s="281"/>
      <c r="T215" s="281"/>
      <c r="U215" s="313">
        <v>507455147.54997963</v>
      </c>
      <c r="V215" s="313">
        <v>294422244.72833872</v>
      </c>
      <c r="W215" s="313">
        <v>236737044.37000024</v>
      </c>
      <c r="X215" s="313">
        <v>40707434.009999976</v>
      </c>
      <c r="Y215" s="305"/>
      <c r="Z215" s="357">
        <v>480428274.77450013</v>
      </c>
      <c r="AA215" s="316"/>
      <c r="AB215" s="314"/>
    </row>
    <row r="216" spans="1:34" x14ac:dyDescent="0.25">
      <c r="A216" s="281" t="str">
        <f t="shared" si="3"/>
        <v>ТульскаяTDM MOS Grocery RKA+NA Moscow SouthKADL MOS Grocery RKA+NA Tula+Ryazan-Kaluga</v>
      </c>
      <c r="B216" s="312" t="s">
        <v>249</v>
      </c>
      <c r="C216" s="298" t="s">
        <v>363</v>
      </c>
      <c r="D216" s="308" t="s">
        <v>390</v>
      </c>
      <c r="E216" s="281" t="s">
        <v>391</v>
      </c>
      <c r="I216" s="281" t="s">
        <v>49</v>
      </c>
      <c r="K216" s="281"/>
      <c r="L216" s="281"/>
      <c r="M216" s="281"/>
      <c r="N216" s="281"/>
      <c r="O216" s="281"/>
      <c r="P216" s="281"/>
      <c r="Q216" s="281"/>
      <c r="R216" s="281"/>
      <c r="S216" s="281"/>
      <c r="T216" s="281"/>
      <c r="U216" s="313">
        <v>662088823.75997436</v>
      </c>
      <c r="V216" s="313">
        <v>536696592.08571398</v>
      </c>
      <c r="W216" s="313">
        <v>428766509.63999921</v>
      </c>
      <c r="X216" s="313">
        <v>99891083.720000029</v>
      </c>
      <c r="Y216" s="305"/>
      <c r="Z216" s="357">
        <v>741268860.08500016</v>
      </c>
      <c r="AA216" s="316"/>
      <c r="AB216" s="314"/>
    </row>
    <row r="217" spans="1:34" x14ac:dyDescent="0.25">
      <c r="A217" s="281" t="str">
        <f t="shared" si="3"/>
        <v>Чувашская Республика -TDM MOS Grocery RKA+NA Moscow NorthKADL MOS NA N.Novgorod</v>
      </c>
      <c r="B217" s="312" t="s">
        <v>250</v>
      </c>
      <c r="C217" s="298" t="s">
        <v>363</v>
      </c>
      <c r="D217" s="308" t="s">
        <v>388</v>
      </c>
      <c r="E217" s="281" t="s">
        <v>392</v>
      </c>
      <c r="I217" s="281" t="s">
        <v>51</v>
      </c>
      <c r="K217" s="281"/>
      <c r="L217" s="281"/>
      <c r="M217" s="281"/>
      <c r="N217" s="281"/>
      <c r="O217" s="281"/>
      <c r="P217" s="281"/>
      <c r="Q217" s="281"/>
      <c r="R217" s="281"/>
      <c r="S217" s="281"/>
      <c r="T217" s="281"/>
      <c r="U217" s="313">
        <v>271899901.41999817</v>
      </c>
      <c r="V217" s="313">
        <v>333077940.63791049</v>
      </c>
      <c r="W217" s="313">
        <v>61683596</v>
      </c>
      <c r="X217" s="313">
        <v>26624441.639999993</v>
      </c>
      <c r="Y217" s="305"/>
      <c r="Z217" s="357">
        <v>409132633.48490024</v>
      </c>
      <c r="AA217" s="316"/>
      <c r="AB217" s="314"/>
    </row>
    <row r="218" spans="1:34" x14ac:dyDescent="0.25">
      <c r="A218" s="281" t="str">
        <f t="shared" si="3"/>
        <v>МосковскаяRADM MoscowJRAM Verniy</v>
      </c>
      <c r="B218" s="281" t="s">
        <v>229</v>
      </c>
      <c r="C218" s="298" t="s">
        <v>363</v>
      </c>
      <c r="D218" s="308" t="s">
        <v>42</v>
      </c>
      <c r="E218" s="308" t="s">
        <v>400</v>
      </c>
      <c r="I218" s="354" t="s">
        <v>401</v>
      </c>
      <c r="J218" s="305">
        <v>283124.17999999993</v>
      </c>
      <c r="K218" s="281"/>
      <c r="L218" s="281"/>
      <c r="M218" s="281"/>
      <c r="N218" s="281"/>
      <c r="O218" s="281"/>
      <c r="P218" s="281"/>
      <c r="Q218" s="281"/>
      <c r="R218" s="281"/>
      <c r="S218" s="281"/>
      <c r="T218" s="281"/>
      <c r="U218" s="281"/>
      <c r="V218" s="281"/>
      <c r="W218" s="281"/>
      <c r="X218" s="281"/>
      <c r="Y218" s="305"/>
      <c r="Z218" s="357"/>
      <c r="AA218" s="281"/>
      <c r="AB218" s="281"/>
      <c r="AG218" s="355" t="s">
        <v>402</v>
      </c>
      <c r="AH218" s="359">
        <v>516389977.08349985</v>
      </c>
    </row>
    <row r="219" spans="1:34" x14ac:dyDescent="0.25">
      <c r="A219" s="281" t="str">
        <f t="shared" si="3"/>
        <v>ВладимирскаяRADM MoscowJRAM Verniy</v>
      </c>
      <c r="B219" s="281" t="s">
        <v>253</v>
      </c>
      <c r="C219" s="298" t="s">
        <v>363</v>
      </c>
      <c r="D219" s="308" t="s">
        <v>42</v>
      </c>
      <c r="E219" s="308" t="s">
        <v>400</v>
      </c>
      <c r="I219" s="317" t="s">
        <v>178</v>
      </c>
      <c r="J219" s="305">
        <v>105566381.88999967</v>
      </c>
      <c r="K219" s="281"/>
      <c r="L219" s="281"/>
      <c r="M219" s="281"/>
      <c r="N219" s="281"/>
      <c r="O219" s="314"/>
      <c r="P219" s="314"/>
      <c r="Q219" s="314"/>
      <c r="R219" s="314"/>
      <c r="S219" s="314"/>
      <c r="T219" s="314"/>
      <c r="U219" s="281"/>
      <c r="V219" s="281"/>
      <c r="W219" s="281"/>
      <c r="X219" s="281"/>
      <c r="Y219" s="305"/>
      <c r="Z219" s="357"/>
      <c r="AA219" s="281"/>
      <c r="AB219" s="281"/>
      <c r="AG219" s="355"/>
      <c r="AH219" s="359">
        <v>106533326.64000003</v>
      </c>
    </row>
    <row r="220" spans="1:34" x14ac:dyDescent="0.25">
      <c r="A220" s="281" t="str">
        <f t="shared" si="3"/>
        <v>КалужскаяRADM MoscowJRAM Verniy</v>
      </c>
      <c r="B220" s="281" t="s">
        <v>215</v>
      </c>
      <c r="C220" s="298" t="s">
        <v>363</v>
      </c>
      <c r="D220" s="308" t="s">
        <v>42</v>
      </c>
      <c r="E220" s="308" t="s">
        <v>400</v>
      </c>
      <c r="I220" s="317" t="s">
        <v>49</v>
      </c>
      <c r="J220" s="305">
        <v>64720074.180000171</v>
      </c>
      <c r="K220" s="281"/>
      <c r="L220" s="281"/>
      <c r="M220" s="281"/>
      <c r="N220" s="281"/>
      <c r="O220" s="281"/>
      <c r="P220" s="281"/>
      <c r="Q220" s="281"/>
      <c r="R220" s="281"/>
      <c r="S220" s="281"/>
      <c r="T220" s="281"/>
      <c r="U220" s="281"/>
      <c r="V220" s="281"/>
      <c r="W220" s="281"/>
      <c r="X220" s="281"/>
      <c r="Y220" s="305"/>
      <c r="Z220" s="357"/>
      <c r="AA220" s="281"/>
      <c r="AB220" s="281"/>
      <c r="AH220" s="359">
        <v>64622264.329999983</v>
      </c>
    </row>
    <row r="221" spans="1:34" x14ac:dyDescent="0.25">
      <c r="A221" s="281" t="str">
        <f t="shared" si="3"/>
        <v>ЛенинградскаяRADM MoscowJRAM Verniy</v>
      </c>
      <c r="B221" s="281" t="s">
        <v>227</v>
      </c>
      <c r="C221" s="298" t="s">
        <v>363</v>
      </c>
      <c r="D221" s="308" t="s">
        <v>42</v>
      </c>
      <c r="E221" s="308" t="s">
        <v>400</v>
      </c>
      <c r="I221" s="317" t="s">
        <v>178</v>
      </c>
      <c r="J221" s="305">
        <v>121614441.35999963</v>
      </c>
      <c r="K221" s="281"/>
      <c r="L221" s="281"/>
      <c r="M221" s="281"/>
      <c r="N221" s="281"/>
      <c r="O221" s="314"/>
      <c r="P221" s="314"/>
      <c r="Q221" s="314"/>
      <c r="R221" s="314"/>
      <c r="S221" s="314"/>
      <c r="T221" s="314"/>
      <c r="U221" s="281"/>
      <c r="V221" s="281"/>
      <c r="W221" s="281"/>
      <c r="X221" s="281"/>
      <c r="Y221" s="305"/>
      <c r="Z221" s="357"/>
      <c r="AA221" s="281"/>
      <c r="AB221" s="281"/>
      <c r="AH221" s="359">
        <v>122941078.97369997</v>
      </c>
    </row>
    <row r="222" spans="1:34" x14ac:dyDescent="0.25">
      <c r="A222" s="281" t="str">
        <f t="shared" si="3"/>
        <v>МоскваRADM MoscowJRAM Verniy</v>
      </c>
      <c r="B222" s="281" t="s">
        <v>257</v>
      </c>
      <c r="C222" s="298" t="s">
        <v>363</v>
      </c>
      <c r="D222" s="308" t="s">
        <v>42</v>
      </c>
      <c r="E222" s="308" t="s">
        <v>400</v>
      </c>
      <c r="H222" s="281">
        <v>1</v>
      </c>
      <c r="I222" s="354" t="s">
        <v>401</v>
      </c>
      <c r="J222" s="305">
        <v>112033790.56999968</v>
      </c>
      <c r="K222" s="281"/>
      <c r="L222" s="281"/>
      <c r="M222" s="281"/>
      <c r="N222" s="281"/>
      <c r="O222" s="281"/>
      <c r="P222" s="281"/>
      <c r="Q222" s="281"/>
      <c r="R222" s="281"/>
      <c r="S222" s="281"/>
      <c r="T222" s="281"/>
      <c r="U222" s="281"/>
      <c r="V222" s="281"/>
      <c r="W222" s="281"/>
      <c r="X222" s="281"/>
      <c r="Y222" s="305"/>
      <c r="Z222" s="357"/>
      <c r="AA222" s="281"/>
      <c r="AB222" s="281"/>
      <c r="AH222" s="359">
        <v>102195583.09480006</v>
      </c>
    </row>
    <row r="223" spans="1:34" x14ac:dyDescent="0.25">
      <c r="A223" s="281" t="str">
        <f t="shared" si="3"/>
        <v>МосковскаяRADM MoscowJRAM Verniy</v>
      </c>
      <c r="B223" s="281" t="s">
        <v>229</v>
      </c>
      <c r="C223" s="298" t="s">
        <v>363</v>
      </c>
      <c r="D223" s="308" t="s">
        <v>42</v>
      </c>
      <c r="E223" s="308" t="s">
        <v>400</v>
      </c>
      <c r="I223" s="354" t="s">
        <v>401</v>
      </c>
      <c r="J223" s="305">
        <v>526009540.95000339</v>
      </c>
      <c r="K223" s="281"/>
      <c r="L223" s="281"/>
      <c r="M223" s="281"/>
      <c r="N223" s="281"/>
      <c r="O223" s="281"/>
      <c r="P223" s="281"/>
      <c r="Q223" s="281"/>
      <c r="R223" s="281"/>
      <c r="S223" s="281"/>
      <c r="T223" s="281"/>
      <c r="U223" s="281"/>
      <c r="V223" s="281"/>
      <c r="W223" s="281"/>
      <c r="X223" s="281"/>
      <c r="Y223" s="305"/>
      <c r="Z223" s="357"/>
      <c r="AA223" s="281"/>
      <c r="AB223" s="281"/>
      <c r="AH223" s="359"/>
    </row>
    <row r="224" spans="1:34" x14ac:dyDescent="0.25">
      <c r="A224" s="281" t="str">
        <f t="shared" si="3"/>
        <v>НовгородскаяRADM MoscowJRAM Verniy</v>
      </c>
      <c r="B224" s="281" t="s">
        <v>231</v>
      </c>
      <c r="C224" s="298" t="s">
        <v>363</v>
      </c>
      <c r="D224" s="308" t="s">
        <v>42</v>
      </c>
      <c r="E224" s="308" t="s">
        <v>400</v>
      </c>
      <c r="I224" s="317" t="s">
        <v>178</v>
      </c>
      <c r="J224" s="305">
        <v>29237977.820000004</v>
      </c>
      <c r="K224" s="281"/>
      <c r="L224" s="281"/>
      <c r="M224" s="281"/>
      <c r="N224" s="281"/>
      <c r="O224" s="281"/>
      <c r="P224" s="281"/>
      <c r="Q224" s="281"/>
      <c r="R224" s="281"/>
      <c r="S224" s="281"/>
      <c r="T224" s="281"/>
      <c r="U224" s="281"/>
      <c r="V224" s="281"/>
      <c r="W224" s="281"/>
      <c r="X224" s="281"/>
      <c r="Y224" s="305"/>
      <c r="Z224" s="357"/>
      <c r="AA224" s="281"/>
      <c r="AB224" s="281"/>
      <c r="AH224" s="359">
        <v>29371032.3413</v>
      </c>
    </row>
    <row r="225" spans="1:34" x14ac:dyDescent="0.25">
      <c r="A225" s="281" t="str">
        <f t="shared" si="3"/>
        <v>Санкт-ПетербургRADM MoscowJRAM Verniy</v>
      </c>
      <c r="B225" s="281" t="s">
        <v>242</v>
      </c>
      <c r="C225" s="298" t="s">
        <v>363</v>
      </c>
      <c r="D225" s="308" t="s">
        <v>42</v>
      </c>
      <c r="E225" s="308" t="s">
        <v>400</v>
      </c>
      <c r="I225" s="317" t="s">
        <v>178</v>
      </c>
      <c r="J225" s="305">
        <v>75479434.529999688</v>
      </c>
      <c r="K225" s="281"/>
      <c r="L225" s="281"/>
      <c r="M225" s="281"/>
      <c r="N225" s="281"/>
      <c r="O225" s="281"/>
      <c r="P225" s="281"/>
      <c r="Q225" s="281"/>
      <c r="R225" s="281"/>
      <c r="S225" s="281"/>
      <c r="T225" s="281"/>
      <c r="U225" s="281"/>
      <c r="V225" s="281"/>
      <c r="W225" s="281"/>
      <c r="X225" s="281"/>
      <c r="Y225" s="305"/>
      <c r="Z225" s="357"/>
      <c r="AA225" s="281"/>
      <c r="AB225" s="281"/>
      <c r="AH225" s="359">
        <v>71871073.864199966</v>
      </c>
    </row>
    <row r="226" spans="1:34" x14ac:dyDescent="0.25">
      <c r="A226" s="281" t="str">
        <f t="shared" si="3"/>
        <v>СвердловскаяRADM MoscowJRAM Verniy</v>
      </c>
      <c r="B226" s="281" t="s">
        <v>168</v>
      </c>
      <c r="C226" s="298" t="s">
        <v>363</v>
      </c>
      <c r="D226" s="308" t="s">
        <v>42</v>
      </c>
      <c r="E226" s="308" t="s">
        <v>400</v>
      </c>
      <c r="I226" s="317" t="s">
        <v>49</v>
      </c>
      <c r="J226" s="305">
        <v>148975561.0899995</v>
      </c>
      <c r="K226" s="281"/>
      <c r="L226" s="281"/>
      <c r="M226" s="281"/>
      <c r="N226" s="281"/>
      <c r="O226" s="281"/>
      <c r="P226" s="281"/>
      <c r="Q226" s="281"/>
      <c r="R226" s="281"/>
      <c r="S226" s="281"/>
      <c r="T226" s="281"/>
      <c r="U226" s="281"/>
      <c r="V226" s="281"/>
      <c r="W226" s="281"/>
      <c r="X226" s="281"/>
      <c r="Y226" s="305"/>
      <c r="Z226" s="357"/>
      <c r="AA226" s="281"/>
      <c r="AB226" s="281"/>
      <c r="AH226" s="359">
        <v>137989138.02179998</v>
      </c>
    </row>
    <row r="227" spans="1:34" x14ac:dyDescent="0.25">
      <c r="A227" s="281" t="str">
        <f t="shared" si="3"/>
        <v>ТатарстанRADM MoscowJRAM Verniy</v>
      </c>
      <c r="B227" s="281" t="s">
        <v>164</v>
      </c>
      <c r="C227" s="298" t="s">
        <v>363</v>
      </c>
      <c r="D227" s="308" t="s">
        <v>42</v>
      </c>
      <c r="E227" s="308" t="s">
        <v>400</v>
      </c>
      <c r="I227" s="317" t="s">
        <v>49</v>
      </c>
      <c r="J227" s="305">
        <v>69785619.640000135</v>
      </c>
      <c r="K227" s="281"/>
      <c r="L227" s="281"/>
      <c r="M227" s="281"/>
      <c r="N227" s="281"/>
      <c r="O227" s="281"/>
      <c r="P227" s="281"/>
      <c r="Q227" s="281"/>
      <c r="R227" s="281"/>
      <c r="S227" s="281"/>
      <c r="T227" s="281"/>
      <c r="U227" s="281"/>
      <c r="V227" s="281"/>
      <c r="W227" s="281"/>
      <c r="X227" s="281"/>
      <c r="Y227" s="305"/>
      <c r="Z227" s="357"/>
      <c r="AA227" s="281"/>
      <c r="AB227" s="281"/>
      <c r="AH227" s="359">
        <v>68020541.41610001</v>
      </c>
    </row>
    <row r="228" spans="1:34" x14ac:dyDescent="0.25">
      <c r="A228" s="281" t="str">
        <f t="shared" si="3"/>
        <v>ТверскаяRADM MoscowJRAM Verniy</v>
      </c>
      <c r="B228" s="281" t="s">
        <v>248</v>
      </c>
      <c r="C228" s="298" t="s">
        <v>363</v>
      </c>
      <c r="D228" s="308" t="s">
        <v>42</v>
      </c>
      <c r="E228" s="308" t="s">
        <v>400</v>
      </c>
      <c r="I228" s="317" t="s">
        <v>178</v>
      </c>
      <c r="J228" s="305">
        <v>31075214.729999986</v>
      </c>
      <c r="K228" s="281"/>
      <c r="L228" s="281"/>
      <c r="M228" s="281"/>
      <c r="N228" s="281"/>
      <c r="O228" s="281"/>
      <c r="P228" s="281"/>
      <c r="Q228" s="281"/>
      <c r="R228" s="281"/>
      <c r="S228" s="281"/>
      <c r="T228" s="281"/>
      <c r="U228" s="281"/>
      <c r="V228" s="281"/>
      <c r="W228" s="281"/>
      <c r="X228" s="281"/>
      <c r="Y228" s="305"/>
      <c r="Z228" s="357"/>
      <c r="AA228" s="281"/>
      <c r="AB228" s="281"/>
      <c r="AH228" s="359">
        <v>29297090.464200005</v>
      </c>
    </row>
    <row r="229" spans="1:34" x14ac:dyDescent="0.25">
      <c r="A229" s="281" t="str">
        <f t="shared" si="3"/>
        <v>ТульскаяRADM MoscowJRAM Verniy</v>
      </c>
      <c r="B229" s="281" t="s">
        <v>249</v>
      </c>
      <c r="C229" s="298" t="s">
        <v>363</v>
      </c>
      <c r="D229" s="308" t="s">
        <v>42</v>
      </c>
      <c r="E229" s="308" t="s">
        <v>400</v>
      </c>
      <c r="I229" s="317" t="s">
        <v>49</v>
      </c>
      <c r="J229" s="305">
        <v>77073871.469999909</v>
      </c>
      <c r="K229" s="281"/>
      <c r="L229" s="281"/>
      <c r="M229" s="281"/>
      <c r="N229" s="281"/>
      <c r="O229" s="281"/>
      <c r="P229" s="281"/>
      <c r="Q229" s="281"/>
      <c r="R229" s="281"/>
      <c r="S229" s="281"/>
      <c r="T229" s="281"/>
      <c r="U229" s="281"/>
      <c r="V229" s="281"/>
      <c r="W229" s="281"/>
      <c r="X229" s="281"/>
      <c r="Y229" s="305"/>
      <c r="Z229" s="357"/>
      <c r="AA229" s="281"/>
      <c r="AB229" s="281"/>
      <c r="AH229" s="359">
        <v>75920595.749699965</v>
      </c>
    </row>
    <row r="230" spans="1:34" x14ac:dyDescent="0.25">
      <c r="A230" s="281" t="str">
        <f t="shared" si="3"/>
        <v>ЯрославскаяRADM MoscowJRAM Verniy</v>
      </c>
      <c r="B230" s="281" t="s">
        <v>251</v>
      </c>
      <c r="C230" s="298" t="s">
        <v>363</v>
      </c>
      <c r="D230" s="308" t="s">
        <v>42</v>
      </c>
      <c r="E230" s="308" t="s">
        <v>400</v>
      </c>
      <c r="I230" s="317" t="s">
        <v>178</v>
      </c>
      <c r="J230" s="305">
        <v>35515056.810000002</v>
      </c>
      <c r="K230" s="281"/>
      <c r="L230" s="281"/>
      <c r="M230" s="281"/>
      <c r="N230" s="281"/>
      <c r="O230" s="281"/>
      <c r="P230" s="281"/>
      <c r="Q230" s="281"/>
      <c r="R230" s="281"/>
      <c r="S230" s="281"/>
      <c r="T230" s="281"/>
      <c r="U230" s="281"/>
      <c r="V230" s="281"/>
      <c r="W230" s="281"/>
      <c r="X230" s="281"/>
      <c r="Y230" s="305"/>
      <c r="Z230" s="357"/>
      <c r="AA230" s="281"/>
      <c r="AB230" s="281"/>
      <c r="AH230" s="359">
        <v>35040462.035800003</v>
      </c>
    </row>
    <row r="231" spans="1:34" x14ac:dyDescent="0.25">
      <c r="A231" s="281" t="str">
        <f t="shared" si="3"/>
        <v>МоскваASM MOS Food Trade+SorsoTSL MOS SPT Moscow Play Sorso</v>
      </c>
      <c r="B231" s="312" t="s">
        <v>257</v>
      </c>
      <c r="C231" s="298" t="s">
        <v>363</v>
      </c>
      <c r="D231" s="298" t="s">
        <v>368</v>
      </c>
      <c r="E231" s="281" t="s">
        <v>359</v>
      </c>
      <c r="F231" s="312" t="s">
        <v>403</v>
      </c>
      <c r="H231" s="281">
        <v>1</v>
      </c>
      <c r="I231" s="281" t="s">
        <v>404</v>
      </c>
      <c r="K231" s="310">
        <v>75907049.919999987</v>
      </c>
      <c r="L231" s="281"/>
      <c r="M231" s="281"/>
      <c r="N231" s="281"/>
      <c r="O231" s="281"/>
      <c r="P231" s="281"/>
      <c r="Q231" s="281"/>
      <c r="R231" s="281"/>
      <c r="S231" s="281"/>
      <c r="T231" s="281"/>
      <c r="U231" s="281"/>
      <c r="V231" s="281"/>
      <c r="W231" s="281"/>
      <c r="X231" s="281"/>
      <c r="Y231" s="305"/>
      <c r="Z231" s="281"/>
      <c r="AA231" s="281"/>
      <c r="AB231" s="281"/>
    </row>
    <row r="232" spans="1:34" x14ac:dyDescent="0.25">
      <c r="A232" s="281" t="str">
        <f t="shared" si="3"/>
        <v>Марий Эл DDM MOS Sladkaay ZhiznTSL MOS Cheboksary</v>
      </c>
      <c r="B232" s="308" t="s">
        <v>405</v>
      </c>
      <c r="C232" s="298" t="s">
        <v>363</v>
      </c>
      <c r="D232" s="298" t="s">
        <v>364</v>
      </c>
      <c r="E232" s="299" t="s">
        <v>370</v>
      </c>
      <c r="F232" s="308" t="s">
        <v>365</v>
      </c>
      <c r="K232" s="281"/>
      <c r="L232" s="281">
        <v>0</v>
      </c>
      <c r="M232" s="281">
        <v>0</v>
      </c>
      <c r="N232" s="281">
        <v>0</v>
      </c>
      <c r="O232" s="281"/>
      <c r="P232" s="281">
        <v>3077540.45</v>
      </c>
      <c r="Q232" s="281">
        <v>5828592.4799999986</v>
      </c>
      <c r="R232" s="281">
        <v>0</v>
      </c>
      <c r="S232" s="281">
        <v>9821309.0800000243</v>
      </c>
      <c r="T232" s="281">
        <v>9103619.129999999</v>
      </c>
      <c r="U232" s="281"/>
      <c r="V232" s="281"/>
      <c r="W232" s="281"/>
      <c r="X232" s="281"/>
      <c r="Y232" s="346">
        <v>49094726.479999989</v>
      </c>
      <c r="Z232" s="281"/>
      <c r="AA232" s="281"/>
      <c r="AB232" s="281"/>
      <c r="AF232" s="347" t="s">
        <v>366</v>
      </c>
    </row>
    <row r="233" spans="1:34" ht="30" x14ac:dyDescent="0.25">
      <c r="A233" s="281" t="str">
        <f t="shared" si="3"/>
        <v>НижегородскаяDDM MOS Sladkaay ZhiznTSL MOS  Moscow 1 Sladkaya Zhizn</v>
      </c>
      <c r="B233" s="297" t="s">
        <v>258</v>
      </c>
      <c r="C233" s="298" t="s">
        <v>363</v>
      </c>
      <c r="D233" s="298" t="s">
        <v>364</v>
      </c>
      <c r="E233" s="299" t="s">
        <v>355</v>
      </c>
      <c r="F233" s="300" t="s">
        <v>367</v>
      </c>
      <c r="K233" s="281"/>
      <c r="L233" s="281"/>
      <c r="M233" s="281"/>
      <c r="N233" s="281"/>
      <c r="O233" s="281"/>
      <c r="P233" s="281"/>
      <c r="Q233" s="281"/>
      <c r="R233" s="281"/>
      <c r="S233" s="281"/>
      <c r="T233" s="281"/>
      <c r="U233" s="281"/>
      <c r="V233" s="281"/>
      <c r="W233" s="281"/>
      <c r="X233" s="281"/>
      <c r="Y233"/>
      <c r="Z233" s="281"/>
      <c r="AA233" s="281"/>
      <c r="AB233" s="281"/>
      <c r="AF233" s="304" t="s">
        <v>372</v>
      </c>
    </row>
    <row r="234" spans="1:34" x14ac:dyDescent="0.25">
      <c r="C234" s="298" t="s">
        <v>363</v>
      </c>
      <c r="D234" s="308" t="s">
        <v>390</v>
      </c>
      <c r="E234" s="281" t="s">
        <v>406</v>
      </c>
      <c r="K234" s="281"/>
      <c r="L234" s="281"/>
      <c r="M234" s="281"/>
      <c r="N234" s="281"/>
      <c r="O234" s="281"/>
      <c r="P234" s="281"/>
      <c r="Q234" s="281"/>
      <c r="R234" s="281"/>
      <c r="S234" s="281"/>
      <c r="T234" s="281"/>
      <c r="U234" s="281"/>
      <c r="V234" s="281"/>
      <c r="W234" s="281"/>
      <c r="X234" s="281"/>
      <c r="Y234" s="305"/>
      <c r="Z234" s="281"/>
      <c r="AA234" s="281"/>
      <c r="AB234" s="281"/>
      <c r="AC234" s="357">
        <v>11314707530.999416</v>
      </c>
      <c r="AF234" s="281" t="s">
        <v>407</v>
      </c>
    </row>
    <row r="235" spans="1:34" s="328" customFormat="1" x14ac:dyDescent="0.25">
      <c r="A235" s="328" t="str">
        <f t="shared" si="3"/>
        <v>АлтайскийDDM MOS Sladkaay ZhiznTSL MOS Cheboksary</v>
      </c>
      <c r="B235" s="329" t="s">
        <v>197</v>
      </c>
      <c r="C235" s="298" t="s">
        <v>363</v>
      </c>
      <c r="D235" s="330" t="s">
        <v>364</v>
      </c>
      <c r="E235" s="331" t="s">
        <v>370</v>
      </c>
      <c r="F235" s="332" t="s">
        <v>365</v>
      </c>
      <c r="J235" s="333"/>
      <c r="K235" s="333">
        <v>16492.399999999998</v>
      </c>
      <c r="L235" s="334"/>
      <c r="M235" s="334"/>
      <c r="N235" s="334"/>
      <c r="O235" s="334"/>
      <c r="P235" s="334"/>
      <c r="Q235" s="334"/>
      <c r="R235" s="334"/>
      <c r="S235" s="334"/>
      <c r="T235" s="334"/>
      <c r="Y235" s="333"/>
      <c r="Z235" s="360"/>
      <c r="AF235" s="335" t="s">
        <v>408</v>
      </c>
    </row>
    <row r="236" spans="1:34" s="328" customFormat="1" x14ac:dyDescent="0.25">
      <c r="A236" s="328" t="str">
        <f t="shared" si="3"/>
        <v>БашкортостанDDM MOS Sladkaay ZhiznTSL MOS Cheboksary</v>
      </c>
      <c r="B236" s="329" t="s">
        <v>176</v>
      </c>
      <c r="C236" s="298" t="s">
        <v>363</v>
      </c>
      <c r="D236" s="330" t="s">
        <v>364</v>
      </c>
      <c r="E236" s="331" t="s">
        <v>370</v>
      </c>
      <c r="F236" s="332" t="s">
        <v>365</v>
      </c>
      <c r="J236" s="333"/>
      <c r="K236" s="333">
        <v>4318141.4600000009</v>
      </c>
      <c r="L236" s="334"/>
      <c r="M236" s="334"/>
      <c r="N236" s="334"/>
      <c r="O236" s="334"/>
      <c r="P236" s="334"/>
      <c r="Q236" s="334"/>
      <c r="R236" s="334"/>
      <c r="S236" s="334"/>
      <c r="T236" s="334"/>
      <c r="Y236" s="333"/>
      <c r="Z236" s="360"/>
      <c r="AF236" s="335" t="s">
        <v>408</v>
      </c>
    </row>
    <row r="237" spans="1:34" s="328" customFormat="1" x14ac:dyDescent="0.25">
      <c r="A237" s="328" t="str">
        <f t="shared" si="3"/>
        <v>ВладимирскаяDDM MOS Sladkaay ZhiznTSL MOS Cheboksary</v>
      </c>
      <c r="B237" s="329" t="s">
        <v>253</v>
      </c>
      <c r="C237" s="298" t="s">
        <v>363</v>
      </c>
      <c r="D237" s="330" t="s">
        <v>364</v>
      </c>
      <c r="E237" s="331" t="s">
        <v>370</v>
      </c>
      <c r="F237" s="332" t="s">
        <v>365</v>
      </c>
      <c r="J237" s="333"/>
      <c r="K237" s="333">
        <v>21819448.430000007</v>
      </c>
      <c r="L237" s="334"/>
      <c r="M237" s="334"/>
      <c r="N237" s="334"/>
      <c r="O237" s="334"/>
      <c r="P237" s="334"/>
      <c r="Q237" s="334"/>
      <c r="R237" s="334"/>
      <c r="S237" s="334"/>
      <c r="T237" s="334"/>
      <c r="Y237" s="333"/>
      <c r="Z237" s="360"/>
      <c r="AF237" s="335" t="s">
        <v>408</v>
      </c>
    </row>
    <row r="238" spans="1:34" s="328" customFormat="1" x14ac:dyDescent="0.25">
      <c r="A238" s="328" t="str">
        <f t="shared" si="3"/>
        <v>ИвановскаяDDM MOS Sladkaay ZhiznTSL MOS Cheboksary</v>
      </c>
      <c r="B238" s="329" t="s">
        <v>212</v>
      </c>
      <c r="C238" s="298" t="s">
        <v>363</v>
      </c>
      <c r="D238" s="330" t="s">
        <v>364</v>
      </c>
      <c r="E238" s="331" t="s">
        <v>370</v>
      </c>
      <c r="F238" s="332" t="s">
        <v>365</v>
      </c>
      <c r="J238" s="333"/>
      <c r="K238" s="333">
        <v>9185746.0500000063</v>
      </c>
      <c r="L238" s="334"/>
      <c r="M238" s="334"/>
      <c r="N238" s="334"/>
      <c r="O238" s="334"/>
      <c r="P238" s="334"/>
      <c r="Q238" s="334"/>
      <c r="R238" s="334"/>
      <c r="S238" s="334"/>
      <c r="T238" s="334"/>
      <c r="Y238" s="333"/>
      <c r="Z238" s="360"/>
      <c r="AF238" s="335" t="s">
        <v>408</v>
      </c>
    </row>
    <row r="239" spans="1:34" s="328" customFormat="1" x14ac:dyDescent="0.25">
      <c r="A239" s="328" t="str">
        <f t="shared" si="3"/>
        <v>ИркутскаяDDM MOS Sladkaay ZhiznTSL MOS Cheboksary</v>
      </c>
      <c r="B239" s="329" t="s">
        <v>214</v>
      </c>
      <c r="C239" s="298" t="s">
        <v>363</v>
      </c>
      <c r="D239" s="330" t="s">
        <v>364</v>
      </c>
      <c r="E239" s="331" t="s">
        <v>370</v>
      </c>
      <c r="F239" s="332" t="s">
        <v>365</v>
      </c>
      <c r="J239" s="333"/>
      <c r="K239" s="333">
        <v>78932.240000000005</v>
      </c>
      <c r="L239" s="334"/>
      <c r="M239" s="334"/>
      <c r="N239" s="334"/>
      <c r="O239" s="334"/>
      <c r="P239" s="334"/>
      <c r="Q239" s="334"/>
      <c r="R239" s="334"/>
      <c r="S239" s="334"/>
      <c r="T239" s="334"/>
      <c r="Y239" s="333"/>
      <c r="Z239" s="360"/>
      <c r="AF239" s="335" t="s">
        <v>408</v>
      </c>
    </row>
    <row r="240" spans="1:34" s="328" customFormat="1" x14ac:dyDescent="0.25">
      <c r="A240" s="328" t="str">
        <f t="shared" si="3"/>
        <v>КалужскаяDDM MOS Sladkaay ZhiznTSL MOS Cheboksary</v>
      </c>
      <c r="B240" s="336" t="s">
        <v>215</v>
      </c>
      <c r="C240" s="298" t="s">
        <v>363</v>
      </c>
      <c r="D240" s="330" t="s">
        <v>364</v>
      </c>
      <c r="E240" s="331" t="s">
        <v>370</v>
      </c>
      <c r="F240" s="332" t="s">
        <v>365</v>
      </c>
      <c r="J240" s="333"/>
      <c r="K240" s="333">
        <v>152696.55999999997</v>
      </c>
      <c r="L240" s="334"/>
      <c r="M240" s="334"/>
      <c r="N240" s="334"/>
      <c r="O240" s="334"/>
      <c r="P240" s="334"/>
      <c r="Q240" s="334"/>
      <c r="R240" s="334"/>
      <c r="S240" s="334"/>
      <c r="T240" s="334"/>
      <c r="Y240" s="333"/>
      <c r="Z240" s="360"/>
      <c r="AF240" s="335" t="s">
        <v>408</v>
      </c>
    </row>
    <row r="241" spans="1:32" s="328" customFormat="1" x14ac:dyDescent="0.25">
      <c r="A241" s="328" t="str">
        <f t="shared" si="3"/>
        <v>КалужскаяDDM MOS Sladkaay ZhiznTSL MOS Cheboksary</v>
      </c>
      <c r="B241" s="329" t="s">
        <v>215</v>
      </c>
      <c r="C241" s="298" t="s">
        <v>363</v>
      </c>
      <c r="D241" s="330" t="s">
        <v>364</v>
      </c>
      <c r="E241" s="331" t="s">
        <v>370</v>
      </c>
      <c r="F241" s="332" t="s">
        <v>367</v>
      </c>
      <c r="J241" s="333"/>
      <c r="K241" s="333">
        <v>12786581.08999995</v>
      </c>
      <c r="L241" s="334"/>
      <c r="M241" s="334"/>
      <c r="N241" s="334"/>
      <c r="O241" s="334"/>
      <c r="P241" s="334"/>
      <c r="Q241" s="334"/>
      <c r="R241" s="334"/>
      <c r="S241" s="334"/>
      <c r="T241" s="334"/>
      <c r="Y241" s="333"/>
      <c r="Z241" s="360"/>
      <c r="AF241" s="335" t="s">
        <v>408</v>
      </c>
    </row>
    <row r="242" spans="1:32" s="328" customFormat="1" x14ac:dyDescent="0.25">
      <c r="A242" s="328" t="str">
        <f t="shared" si="3"/>
        <v>КировскаяDDM MOS Sladkaay ZhiznTSL MOS Cheboksary</v>
      </c>
      <c r="B242" s="329" t="s">
        <v>221</v>
      </c>
      <c r="C242" s="298" t="s">
        <v>363</v>
      </c>
      <c r="D242" s="330" t="s">
        <v>364</v>
      </c>
      <c r="E242" s="331" t="s">
        <v>370</v>
      </c>
      <c r="F242" s="332" t="s">
        <v>365</v>
      </c>
      <c r="J242" s="333"/>
      <c r="K242" s="333">
        <v>25568610.759999935</v>
      </c>
      <c r="L242" s="334"/>
      <c r="M242" s="334"/>
      <c r="N242" s="334"/>
      <c r="O242" s="334"/>
      <c r="P242" s="334"/>
      <c r="Q242" s="334"/>
      <c r="R242" s="334"/>
      <c r="S242" s="334"/>
      <c r="T242" s="334"/>
      <c r="Y242" s="333"/>
      <c r="Z242" s="360"/>
      <c r="AF242" s="335" t="s">
        <v>408</v>
      </c>
    </row>
    <row r="243" spans="1:32" s="328" customFormat="1" x14ac:dyDescent="0.25">
      <c r="A243" s="328" t="str">
        <f t="shared" si="3"/>
        <v>КостромскаяDDM MOS Sladkaay ZhiznTSL MOS Cheboksary</v>
      </c>
      <c r="B243" s="329" t="s">
        <v>224</v>
      </c>
      <c r="C243" s="298" t="s">
        <v>363</v>
      </c>
      <c r="D243" s="330" t="s">
        <v>364</v>
      </c>
      <c r="E243" s="331" t="s">
        <v>370</v>
      </c>
      <c r="F243" s="332" t="s">
        <v>365</v>
      </c>
      <c r="J243" s="333"/>
      <c r="K243" s="333">
        <v>2964846.8800000008</v>
      </c>
      <c r="L243" s="334"/>
      <c r="M243" s="334"/>
      <c r="N243" s="334"/>
      <c r="O243" s="334"/>
      <c r="P243" s="334"/>
      <c r="Q243" s="334"/>
      <c r="R243" s="334"/>
      <c r="S243" s="334"/>
      <c r="T243" s="334"/>
      <c r="Y243" s="333"/>
      <c r="Z243" s="360"/>
      <c r="AF243" s="335" t="s">
        <v>408</v>
      </c>
    </row>
    <row r="244" spans="1:32" s="328" customFormat="1" x14ac:dyDescent="0.25">
      <c r="A244" s="328" t="str">
        <f t="shared" si="3"/>
        <v>Марий ЭлDDM MOS Sladkaay ZhiznTSL MOS Cheboksary</v>
      </c>
      <c r="B244" s="329" t="s">
        <v>152</v>
      </c>
      <c r="C244" s="298" t="s">
        <v>363</v>
      </c>
      <c r="D244" s="330" t="s">
        <v>364</v>
      </c>
      <c r="E244" s="331" t="s">
        <v>370</v>
      </c>
      <c r="F244" s="332" t="s">
        <v>365</v>
      </c>
      <c r="J244" s="333"/>
      <c r="K244" s="333">
        <v>11122562.409999976</v>
      </c>
      <c r="L244" s="334"/>
      <c r="M244" s="334"/>
      <c r="N244" s="334"/>
      <c r="O244" s="334"/>
      <c r="P244" s="334"/>
      <c r="Q244" s="334"/>
      <c r="R244" s="334"/>
      <c r="S244" s="334"/>
      <c r="T244" s="334"/>
      <c r="Y244" s="333"/>
      <c r="Z244" s="360"/>
      <c r="AF244" s="335" t="s">
        <v>408</v>
      </c>
    </row>
    <row r="245" spans="1:32" s="328" customFormat="1" x14ac:dyDescent="0.25">
      <c r="A245" s="328" t="str">
        <f t="shared" si="3"/>
        <v>МордовияDDM MOS Sladkaay ZhiznTSL MOS Cheboksary</v>
      </c>
      <c r="B245" s="329" t="s">
        <v>256</v>
      </c>
      <c r="C245" s="298" t="s">
        <v>363</v>
      </c>
      <c r="D245" s="330" t="s">
        <v>364</v>
      </c>
      <c r="E245" s="331" t="s">
        <v>370</v>
      </c>
      <c r="F245" s="332" t="s">
        <v>365</v>
      </c>
      <c r="J245" s="333"/>
      <c r="K245" s="333">
        <v>5516975.6900000079</v>
      </c>
      <c r="L245" s="334"/>
      <c r="M245" s="334"/>
      <c r="N245" s="334"/>
      <c r="O245" s="334"/>
      <c r="P245" s="334"/>
      <c r="Q245" s="334"/>
      <c r="R245" s="334"/>
      <c r="S245" s="334"/>
      <c r="T245" s="334"/>
      <c r="Y245" s="333"/>
      <c r="Z245" s="360"/>
      <c r="AF245" s="335" t="s">
        <v>408</v>
      </c>
    </row>
    <row r="246" spans="1:32" s="328" customFormat="1" x14ac:dyDescent="0.25">
      <c r="A246" s="328" t="str">
        <f t="shared" si="3"/>
        <v>МоскваDDM MOS Sladkaay ZhiznTSL MOS Cheboksary</v>
      </c>
      <c r="B246" s="336" t="s">
        <v>257</v>
      </c>
      <c r="C246" s="298" t="s">
        <v>363</v>
      </c>
      <c r="D246" s="330" t="s">
        <v>364</v>
      </c>
      <c r="E246" s="331" t="s">
        <v>370</v>
      </c>
      <c r="F246" s="332" t="s">
        <v>365</v>
      </c>
      <c r="J246" s="333"/>
      <c r="K246" s="333">
        <v>597781.92999999993</v>
      </c>
      <c r="L246" s="334"/>
      <c r="M246" s="334"/>
      <c r="N246" s="334"/>
      <c r="O246" s="334"/>
      <c r="P246" s="334"/>
      <c r="Q246" s="334"/>
      <c r="R246" s="334"/>
      <c r="S246" s="334"/>
      <c r="T246" s="334"/>
      <c r="Y246" s="333"/>
      <c r="Z246" s="360"/>
      <c r="AF246" s="335" t="s">
        <v>408</v>
      </c>
    </row>
    <row r="247" spans="1:32" s="328" customFormat="1" x14ac:dyDescent="0.25">
      <c r="A247" s="328" t="str">
        <f t="shared" si="3"/>
        <v>МоскваDDM MOS Sladkaay ZhiznTSL MOS Cheboksary</v>
      </c>
      <c r="B247" s="329" t="s">
        <v>257</v>
      </c>
      <c r="C247" s="298" t="s">
        <v>363</v>
      </c>
      <c r="D247" s="330" t="s">
        <v>364</v>
      </c>
      <c r="E247" s="331" t="s">
        <v>370</v>
      </c>
      <c r="F247" s="332" t="s">
        <v>367</v>
      </c>
      <c r="J247" s="333"/>
      <c r="K247" s="333">
        <v>8503970.8899999987</v>
      </c>
      <c r="L247" s="334"/>
      <c r="M247" s="334"/>
      <c r="N247" s="334"/>
      <c r="O247" s="334"/>
      <c r="P247" s="334"/>
      <c r="Q247" s="334"/>
      <c r="R247" s="334"/>
      <c r="S247" s="334"/>
      <c r="T247" s="334"/>
      <c r="Y247" s="333"/>
      <c r="Z247" s="360"/>
      <c r="AF247" s="335" t="s">
        <v>408</v>
      </c>
    </row>
    <row r="248" spans="1:32" s="328" customFormat="1" x14ac:dyDescent="0.25">
      <c r="A248" s="328" t="str">
        <f t="shared" si="3"/>
        <v>МосковскаяDDM MOS Sladkaay ZhiznTSL MOS Cheboksary</v>
      </c>
      <c r="B248" s="329" t="s">
        <v>229</v>
      </c>
      <c r="C248" s="298" t="s">
        <v>363</v>
      </c>
      <c r="D248" s="330" t="s">
        <v>364</v>
      </c>
      <c r="E248" s="331" t="s">
        <v>370</v>
      </c>
      <c r="F248" s="332" t="s">
        <v>367</v>
      </c>
      <c r="J248" s="333"/>
      <c r="K248" s="333">
        <v>38756102.86999961</v>
      </c>
      <c r="L248" s="334"/>
      <c r="M248" s="334"/>
      <c r="N248" s="334"/>
      <c r="O248" s="334"/>
      <c r="P248" s="334"/>
      <c r="Q248" s="334"/>
      <c r="R248" s="334"/>
      <c r="S248" s="334"/>
      <c r="T248" s="334"/>
      <c r="Y248" s="333"/>
      <c r="Z248" s="360"/>
      <c r="AF248" s="335" t="s">
        <v>408</v>
      </c>
    </row>
    <row r="249" spans="1:32" s="328" customFormat="1" x14ac:dyDescent="0.25">
      <c r="A249" s="328" t="str">
        <f t="shared" si="3"/>
        <v>НижегородскаяDDM MOS Sladkaay ZhiznTSL MOS Cheboksary</v>
      </c>
      <c r="B249" s="329" t="s">
        <v>258</v>
      </c>
      <c r="C249" s="298" t="s">
        <v>363</v>
      </c>
      <c r="D249" s="330" t="s">
        <v>364</v>
      </c>
      <c r="E249" s="331" t="s">
        <v>370</v>
      </c>
      <c r="F249" s="332" t="s">
        <v>365</v>
      </c>
      <c r="J249" s="333"/>
      <c r="K249" s="333">
        <v>40099952.099999592</v>
      </c>
      <c r="L249" s="334"/>
      <c r="M249" s="334"/>
      <c r="N249" s="334"/>
      <c r="O249" s="334"/>
      <c r="P249" s="334"/>
      <c r="Q249" s="334"/>
      <c r="R249" s="334"/>
      <c r="S249" s="334"/>
      <c r="T249" s="334"/>
      <c r="Y249" s="333"/>
      <c r="Z249" s="360"/>
      <c r="AF249" s="335" t="s">
        <v>408</v>
      </c>
    </row>
    <row r="250" spans="1:32" s="328" customFormat="1" x14ac:dyDescent="0.25">
      <c r="A250" s="328" t="str">
        <f t="shared" si="3"/>
        <v>ПензенскаяDDM MOS Sladkaay ZhiznTSL MOS Cheboksary</v>
      </c>
      <c r="B250" s="329" t="s">
        <v>236</v>
      </c>
      <c r="C250" s="298" t="s">
        <v>363</v>
      </c>
      <c r="D250" s="330" t="s">
        <v>364</v>
      </c>
      <c r="E250" s="331" t="s">
        <v>370</v>
      </c>
      <c r="F250" s="332" t="s">
        <v>365</v>
      </c>
      <c r="J250" s="333"/>
      <c r="K250" s="333">
        <v>6101533.7600000193</v>
      </c>
      <c r="L250" s="334"/>
      <c r="M250" s="334"/>
      <c r="N250" s="334"/>
      <c r="O250" s="334"/>
      <c r="P250" s="334"/>
      <c r="Q250" s="334"/>
      <c r="R250" s="334"/>
      <c r="S250" s="334"/>
      <c r="T250" s="334"/>
      <c r="Y250" s="333"/>
      <c r="Z250" s="360"/>
      <c r="AF250" s="335" t="s">
        <v>408</v>
      </c>
    </row>
    <row r="251" spans="1:32" s="328" customFormat="1" x14ac:dyDescent="0.25">
      <c r="A251" s="328" t="str">
        <f t="shared" si="3"/>
        <v>РязанскаяDDM MOS Sladkaay ZhiznTSL MOS Cheboksary</v>
      </c>
      <c r="B251" s="329" t="s">
        <v>241</v>
      </c>
      <c r="C251" s="298" t="s">
        <v>363</v>
      </c>
      <c r="D251" s="330" t="s">
        <v>364</v>
      </c>
      <c r="E251" s="331" t="s">
        <v>370</v>
      </c>
      <c r="F251" s="332" t="s">
        <v>365</v>
      </c>
      <c r="J251" s="333"/>
      <c r="K251" s="333">
        <v>11308710.899999972</v>
      </c>
      <c r="L251" s="334"/>
      <c r="M251" s="334"/>
      <c r="N251" s="334"/>
      <c r="O251" s="334"/>
      <c r="P251" s="334"/>
      <c r="Q251" s="334"/>
      <c r="R251" s="334"/>
      <c r="S251" s="334"/>
      <c r="T251" s="334"/>
      <c r="Y251" s="333"/>
      <c r="Z251" s="360"/>
      <c r="AF251" s="335" t="s">
        <v>408</v>
      </c>
    </row>
    <row r="252" spans="1:32" s="328" customFormat="1" x14ac:dyDescent="0.25">
      <c r="A252" s="328" t="str">
        <f t="shared" si="3"/>
        <v>СамарскаяDDM MOS Sladkaay ZhiznTSL MOS Cheboksary</v>
      </c>
      <c r="B252" s="329" t="s">
        <v>174</v>
      </c>
      <c r="C252" s="298" t="s">
        <v>363</v>
      </c>
      <c r="D252" s="330" t="s">
        <v>364</v>
      </c>
      <c r="E252" s="331" t="s">
        <v>370</v>
      </c>
      <c r="F252" s="332" t="s">
        <v>365</v>
      </c>
      <c r="J252" s="333"/>
      <c r="K252" s="333">
        <v>286145.93999999994</v>
      </c>
      <c r="L252" s="334"/>
      <c r="M252" s="334"/>
      <c r="N252" s="334"/>
      <c r="O252" s="334"/>
      <c r="P252" s="334"/>
      <c r="Q252" s="334"/>
      <c r="R252" s="334"/>
      <c r="S252" s="334"/>
      <c r="T252" s="334"/>
      <c r="Y252" s="333"/>
      <c r="Z252" s="360"/>
      <c r="AF252" s="335" t="s">
        <v>408</v>
      </c>
    </row>
    <row r="253" spans="1:32" s="328" customFormat="1" x14ac:dyDescent="0.25">
      <c r="A253" s="328" t="str">
        <f t="shared" si="3"/>
        <v>ТатарстанDDM MOS Sladkaay ZhiznTSL MOS Cheboksary</v>
      </c>
      <c r="B253" s="329" t="s">
        <v>164</v>
      </c>
      <c r="C253" s="298" t="s">
        <v>363</v>
      </c>
      <c r="D253" s="330" t="s">
        <v>364</v>
      </c>
      <c r="E253" s="331" t="s">
        <v>370</v>
      </c>
      <c r="F253" s="332" t="s">
        <v>365</v>
      </c>
      <c r="J253" s="333"/>
      <c r="K253" s="333">
        <v>17912428.459999882</v>
      </c>
      <c r="L253" s="334"/>
      <c r="M253" s="334"/>
      <c r="N253" s="334"/>
      <c r="O253" s="334"/>
      <c r="P253" s="334"/>
      <c r="Q253" s="334"/>
      <c r="R253" s="334"/>
      <c r="S253" s="334"/>
      <c r="T253" s="334"/>
      <c r="Y253" s="333"/>
      <c r="Z253" s="360"/>
      <c r="AF253" s="335" t="s">
        <v>408</v>
      </c>
    </row>
    <row r="254" spans="1:32" s="328" customFormat="1" x14ac:dyDescent="0.25">
      <c r="A254" s="328" t="str">
        <f t="shared" si="3"/>
        <v>ТверскаяDDM MOS Sladkaay ZhiznTSL MOS Cheboksary</v>
      </c>
      <c r="B254" s="329" t="s">
        <v>248</v>
      </c>
      <c r="C254" s="298" t="s">
        <v>363</v>
      </c>
      <c r="D254" s="330" t="s">
        <v>364</v>
      </c>
      <c r="E254" s="331" t="s">
        <v>370</v>
      </c>
      <c r="F254" s="332" t="s">
        <v>367</v>
      </c>
      <c r="J254" s="333"/>
      <c r="K254" s="333">
        <v>5842546.7000000197</v>
      </c>
      <c r="L254" s="334"/>
      <c r="M254" s="334"/>
      <c r="N254" s="334"/>
      <c r="O254" s="334"/>
      <c r="P254" s="334"/>
      <c r="Q254" s="334"/>
      <c r="R254" s="334"/>
      <c r="S254" s="334"/>
      <c r="T254" s="334"/>
      <c r="Y254" s="333"/>
      <c r="Z254" s="360"/>
      <c r="AF254" s="335" t="s">
        <v>408</v>
      </c>
    </row>
    <row r="255" spans="1:32" s="328" customFormat="1" x14ac:dyDescent="0.25">
      <c r="A255" s="328" t="str">
        <f t="shared" si="3"/>
        <v>ТульскаяDDM MOS Sladkaay ZhiznTSL MOS Cheboksary</v>
      </c>
      <c r="B255" s="329" t="s">
        <v>249</v>
      </c>
      <c r="C255" s="298" t="s">
        <v>363</v>
      </c>
      <c r="D255" s="330" t="s">
        <v>364</v>
      </c>
      <c r="E255" s="331" t="s">
        <v>370</v>
      </c>
      <c r="F255" s="332" t="s">
        <v>367</v>
      </c>
      <c r="J255" s="333"/>
      <c r="K255" s="333">
        <v>19446886.789999954</v>
      </c>
      <c r="L255" s="334"/>
      <c r="M255" s="334"/>
      <c r="N255" s="334"/>
      <c r="O255" s="334"/>
      <c r="P255" s="334"/>
      <c r="Q255" s="334"/>
      <c r="R255" s="334"/>
      <c r="S255" s="334"/>
      <c r="T255" s="334"/>
      <c r="Y255" s="333"/>
      <c r="Z255" s="360"/>
      <c r="AF255" s="335" t="s">
        <v>408</v>
      </c>
    </row>
    <row r="256" spans="1:32" s="328" customFormat="1" x14ac:dyDescent="0.25">
      <c r="A256" s="328" t="str">
        <f t="shared" si="3"/>
        <v>УдмуртскаяDDM MOS Sladkaay ZhiznTSL MOS Cheboksary</v>
      </c>
      <c r="B256" s="329" t="s">
        <v>173</v>
      </c>
      <c r="C256" s="298" t="s">
        <v>363</v>
      </c>
      <c r="D256" s="330" t="s">
        <v>364</v>
      </c>
      <c r="E256" s="331" t="s">
        <v>370</v>
      </c>
      <c r="F256" s="332" t="s">
        <v>365</v>
      </c>
      <c r="J256" s="333"/>
      <c r="K256" s="333">
        <v>7878247.5200000014</v>
      </c>
      <c r="L256" s="334"/>
      <c r="M256" s="334"/>
      <c r="N256" s="334"/>
      <c r="O256" s="334"/>
      <c r="P256" s="334"/>
      <c r="Q256" s="334"/>
      <c r="R256" s="334"/>
      <c r="S256" s="334"/>
      <c r="T256" s="334"/>
      <c r="Y256" s="333"/>
      <c r="Z256" s="360"/>
      <c r="AF256" s="335" t="s">
        <v>408</v>
      </c>
    </row>
    <row r="257" spans="1:32" s="328" customFormat="1" x14ac:dyDescent="0.25">
      <c r="A257" s="328" t="str">
        <f t="shared" si="3"/>
        <v>УльяновскаяDDM MOS Sladkaay ZhiznTSL MOS Cheboksary</v>
      </c>
      <c r="B257" s="329" t="s">
        <v>160</v>
      </c>
      <c r="C257" s="298" t="s">
        <v>363</v>
      </c>
      <c r="D257" s="330" t="s">
        <v>364</v>
      </c>
      <c r="E257" s="331" t="s">
        <v>370</v>
      </c>
      <c r="F257" s="332" t="s">
        <v>365</v>
      </c>
      <c r="J257" s="333"/>
      <c r="K257" s="333">
        <v>459590.29</v>
      </c>
      <c r="L257" s="334"/>
      <c r="M257" s="334"/>
      <c r="N257" s="334"/>
      <c r="O257" s="334"/>
      <c r="P257" s="334"/>
      <c r="Q257" s="334"/>
      <c r="R257" s="334"/>
      <c r="S257" s="334"/>
      <c r="T257" s="334"/>
      <c r="Y257" s="333"/>
      <c r="Z257" s="360"/>
      <c r="AF257" s="335" t="s">
        <v>408</v>
      </c>
    </row>
    <row r="258" spans="1:32" s="328" customFormat="1" x14ac:dyDescent="0.25">
      <c r="A258" s="328" t="str">
        <f t="shared" si="3"/>
        <v>Чувашская Республика -DDM MOS Sladkaay ZhiznTSL MOS Cheboksary</v>
      </c>
      <c r="B258" s="329" t="s">
        <v>250</v>
      </c>
      <c r="C258" s="298" t="s">
        <v>363</v>
      </c>
      <c r="D258" s="330" t="s">
        <v>364</v>
      </c>
      <c r="E258" s="331" t="s">
        <v>370</v>
      </c>
      <c r="F258" s="332" t="s">
        <v>365</v>
      </c>
      <c r="J258" s="333"/>
      <c r="K258" s="333">
        <v>11608457.909999993</v>
      </c>
      <c r="L258" s="334"/>
      <c r="M258" s="334"/>
      <c r="N258" s="334"/>
      <c r="O258" s="334"/>
      <c r="P258" s="334"/>
      <c r="Q258" s="334"/>
      <c r="R258" s="334"/>
      <c r="S258" s="334"/>
      <c r="T258" s="334"/>
      <c r="Y258" s="333"/>
      <c r="Z258" s="360"/>
      <c r="AF258" s="335" t="s">
        <v>408</v>
      </c>
    </row>
    <row r="259" spans="1:32" s="328" customFormat="1" x14ac:dyDescent="0.25">
      <c r="A259" s="328" t="str">
        <f t="shared" si="3"/>
        <v>ЯрославскаяDDM MOS Sladkaay ZhiznTSL MOS Cheboksary</v>
      </c>
      <c r="B259" s="336" t="s">
        <v>251</v>
      </c>
      <c r="C259" s="298" t="s">
        <v>363</v>
      </c>
      <c r="D259" s="330" t="s">
        <v>364</v>
      </c>
      <c r="E259" s="331" t="s">
        <v>370</v>
      </c>
      <c r="F259" s="332" t="s">
        <v>365</v>
      </c>
      <c r="J259" s="333"/>
      <c r="K259" s="333">
        <v>2743343.1599999988</v>
      </c>
      <c r="L259" s="334"/>
      <c r="M259" s="334"/>
      <c r="N259" s="334"/>
      <c r="O259" s="334"/>
      <c r="P259" s="334"/>
      <c r="Q259" s="334"/>
      <c r="R259" s="334"/>
      <c r="S259" s="334"/>
      <c r="T259" s="334"/>
      <c r="Y259" s="333"/>
      <c r="Z259" s="360"/>
      <c r="AF259" s="335" t="s">
        <v>408</v>
      </c>
    </row>
    <row r="260" spans="1:32" s="328" customFormat="1" x14ac:dyDescent="0.25">
      <c r="A260" s="328" t="str">
        <f t="shared" ref="A260:A261" si="4">B260&amp;D260&amp;E260</f>
        <v>ЯрославскаяDDM MOS Sladkaay ZhiznTSL MOS Cheboksary</v>
      </c>
      <c r="B260" s="329" t="s">
        <v>251</v>
      </c>
      <c r="C260" s="298" t="s">
        <v>363</v>
      </c>
      <c r="D260" s="330" t="s">
        <v>364</v>
      </c>
      <c r="E260" s="331" t="s">
        <v>370</v>
      </c>
      <c r="F260" s="332" t="s">
        <v>367</v>
      </c>
      <c r="J260" s="333"/>
      <c r="K260" s="333">
        <v>377880.25999999989</v>
      </c>
      <c r="L260" s="334"/>
      <c r="M260" s="334"/>
      <c r="N260" s="334"/>
      <c r="O260" s="334"/>
      <c r="P260" s="334"/>
      <c r="Q260" s="334"/>
      <c r="R260" s="334"/>
      <c r="S260" s="334"/>
      <c r="T260" s="334"/>
      <c r="Y260" s="333"/>
      <c r="Z260" s="360"/>
      <c r="AF260" s="335" t="s">
        <v>408</v>
      </c>
    </row>
    <row r="261" spans="1:32" x14ac:dyDescent="0.25">
      <c r="A261" s="328" t="str">
        <f t="shared" si="4"/>
        <v>РязанскаяDDM MOS Sladkaay ZhiznTSL MOS N.Novgorod</v>
      </c>
      <c r="B261" s="329" t="s">
        <v>241</v>
      </c>
      <c r="C261" s="298" t="s">
        <v>363</v>
      </c>
      <c r="D261" s="330" t="s">
        <v>364</v>
      </c>
      <c r="E261" t="s">
        <v>354</v>
      </c>
      <c r="F261" s="332" t="s">
        <v>365</v>
      </c>
      <c r="K261" s="305"/>
      <c r="U261" s="281"/>
      <c r="V261" s="281"/>
      <c r="W261" s="281"/>
      <c r="X261" s="281"/>
      <c r="Y261" s="305">
        <v>11308710.900000002</v>
      </c>
      <c r="Z261" s="357"/>
      <c r="AA261" s="281"/>
      <c r="AB261" s="281"/>
      <c r="AF261" s="347" t="s">
        <v>366</v>
      </c>
    </row>
  </sheetData>
  <autoFilter ref="A3:AG261" xr:uid="{14B78800-1EE8-4823-9747-33876C8399FB}"/>
  <mergeCells count="5">
    <mergeCell ref="J1:T1"/>
    <mergeCell ref="U1:AE1"/>
    <mergeCell ref="J2:K2"/>
    <mergeCell ref="U2:AB2"/>
    <mergeCell ref="AC2:AE2"/>
  </mergeCells>
  <conditionalFormatting sqref="B218:B230">
    <cfRule type="duplicateValues" dxfId="2" priority="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6FA1-89DA-4AC1-B737-788FCBE916F6}">
  <dimension ref="A1:AI71"/>
  <sheetViews>
    <sheetView topLeftCell="P1" zoomScaleNormal="100" workbookViewId="0">
      <pane ySplit="6" topLeftCell="A7" activePane="bottomLeft" state="frozen"/>
      <selection pane="bottomLeft" activeCell="AC7" sqref="AC7:AC70"/>
    </sheetView>
  </sheetViews>
  <sheetFormatPr defaultRowHeight="15" x14ac:dyDescent="0.25"/>
  <cols>
    <col min="1" max="1" width="60.42578125" bestFit="1" customWidth="1"/>
    <col min="3" max="3" width="33.140625" bestFit="1" customWidth="1"/>
    <col min="4" max="4" width="32" bestFit="1" customWidth="1"/>
    <col min="5" max="5" width="23" customWidth="1"/>
    <col min="6" max="7" width="8.85546875" customWidth="1"/>
    <col min="8" max="8" width="22.140625" customWidth="1"/>
    <col min="9" max="9" width="15.140625" style="226" customWidth="1"/>
    <col min="10" max="10" width="15.140625" customWidth="1"/>
    <col min="11" max="11" width="15.5703125" bestFit="1" customWidth="1"/>
    <col min="12" max="12" width="16.5703125" bestFit="1" customWidth="1"/>
    <col min="13" max="13" width="15.140625" customWidth="1"/>
    <col min="14" max="14" width="8.85546875" customWidth="1"/>
    <col min="15" max="15" width="13.85546875" style="226" bestFit="1" customWidth="1"/>
    <col min="16" max="16" width="14.85546875" bestFit="1" customWidth="1"/>
    <col min="17" max="17" width="13.85546875" bestFit="1" customWidth="1"/>
    <col min="18" max="18" width="16.140625" bestFit="1" customWidth="1"/>
    <col min="19" max="20" width="14.85546875" bestFit="1" customWidth="1"/>
    <col min="21" max="21" width="12.5703125" bestFit="1" customWidth="1"/>
    <col min="22" max="22" width="14.5703125" bestFit="1" customWidth="1"/>
    <col min="23" max="23" width="14.85546875" style="244" bestFit="1" customWidth="1"/>
    <col min="24" max="24" width="16.140625" bestFit="1" customWidth="1"/>
    <col min="25" max="25" width="14.5703125" customWidth="1"/>
    <col min="26" max="26" width="14.42578125" customWidth="1"/>
    <col min="27" max="27" width="14.5703125" style="239" customWidth="1"/>
    <col min="28" max="28" width="12.5703125" customWidth="1"/>
    <col min="29" max="29" width="22.5703125" customWidth="1"/>
    <col min="30" max="31" width="8.85546875" customWidth="1"/>
    <col min="32" max="32" width="14.5703125" customWidth="1"/>
    <col min="33" max="33" width="21.42578125" customWidth="1"/>
    <col min="34" max="34" width="15.42578125" customWidth="1"/>
    <col min="35" max="35" width="15.5703125" customWidth="1"/>
  </cols>
  <sheetData>
    <row r="1" spans="1:35" x14ac:dyDescent="0.25">
      <c r="I1" s="218">
        <f>I2-I3</f>
        <v>0</v>
      </c>
      <c r="J1" s="218">
        <f t="shared" ref="J1:AD1" si="0">J2-J3</f>
        <v>0</v>
      </c>
      <c r="K1" s="218">
        <f t="shared" si="0"/>
        <v>0</v>
      </c>
      <c r="L1" s="218">
        <f t="shared" si="0"/>
        <v>0</v>
      </c>
      <c r="M1" s="218">
        <f t="shared" si="0"/>
        <v>0</v>
      </c>
      <c r="N1" s="218">
        <f t="shared" si="0"/>
        <v>0</v>
      </c>
      <c r="O1" s="218">
        <f t="shared" si="0"/>
        <v>-32130992.899999991</v>
      </c>
      <c r="P1" s="218">
        <f t="shared" si="0"/>
        <v>-499620615.19</v>
      </c>
      <c r="Q1" s="218">
        <f t="shared" si="0"/>
        <v>-20618081.770000041</v>
      </c>
      <c r="R1" s="218">
        <f t="shared" si="0"/>
        <v>-1050622588.87</v>
      </c>
      <c r="S1" s="218">
        <f t="shared" si="0"/>
        <v>-312939994.84000009</v>
      </c>
      <c r="T1" s="218">
        <f t="shared" si="0"/>
        <v>-195617978.21999994</v>
      </c>
      <c r="U1" s="218">
        <f t="shared" si="0"/>
        <v>-5368272.2699999996</v>
      </c>
      <c r="V1" s="218">
        <f t="shared" si="0"/>
        <v>-251676040.94999984</v>
      </c>
      <c r="W1" s="218">
        <f t="shared" si="0"/>
        <v>-717961041.55999994</v>
      </c>
      <c r="X1" s="218">
        <f t="shared" si="0"/>
        <v>0</v>
      </c>
      <c r="Y1" s="218">
        <f t="shared" si="0"/>
        <v>0</v>
      </c>
      <c r="Z1" s="218">
        <f t="shared" si="0"/>
        <v>0</v>
      </c>
      <c r="AA1" s="218">
        <f t="shared" si="0"/>
        <v>-345493939.51999992</v>
      </c>
      <c r="AB1" s="218">
        <f t="shared" si="0"/>
        <v>-30151158.260957617</v>
      </c>
      <c r="AC1" s="218">
        <f t="shared" si="0"/>
        <v>-11783683785.322798</v>
      </c>
      <c r="AD1" s="218">
        <f t="shared" si="0"/>
        <v>0</v>
      </c>
    </row>
    <row r="2" spans="1:35" x14ac:dyDescent="0.25">
      <c r="A2" s="219" t="s">
        <v>409</v>
      </c>
      <c r="I2" s="220">
        <v>157972401.19000003</v>
      </c>
      <c r="J2" s="218">
        <v>297672884.89999998</v>
      </c>
      <c r="K2" s="218">
        <v>35898789.299999997</v>
      </c>
      <c r="L2" s="218">
        <v>61731103.919999972</v>
      </c>
      <c r="M2" s="218">
        <v>941042670.03000021</v>
      </c>
      <c r="N2" s="218"/>
      <c r="O2" s="221">
        <v>27449.14</v>
      </c>
      <c r="P2" s="221">
        <v>60264816.920000024</v>
      </c>
      <c r="Q2" s="221">
        <v>0</v>
      </c>
      <c r="R2" s="221">
        <v>328947972.70999992</v>
      </c>
      <c r="S2" s="221">
        <v>61672835.789999977</v>
      </c>
      <c r="T2" s="221">
        <v>24477918.220000006</v>
      </c>
      <c r="U2" s="221">
        <v>469307.57</v>
      </c>
      <c r="V2" s="221">
        <v>18237950.089999996</v>
      </c>
      <c r="W2" s="221">
        <v>20708129.16</v>
      </c>
      <c r="X2" s="221">
        <f>SUBTOTAL(9,X6:X1048574)</f>
        <v>6072986475.019742</v>
      </c>
      <c r="Y2" s="221">
        <f>SUBTOTAL(9,Y6:Y1048574)</f>
        <v>6719346137.1695738</v>
      </c>
      <c r="Z2" s="221">
        <f>SUBTOTAL(9,Z6:Z1048574)</f>
        <v>4246903776.6099396</v>
      </c>
      <c r="AA2" s="221">
        <v>0</v>
      </c>
      <c r="AB2" s="221">
        <v>0</v>
      </c>
      <c r="AC2" s="221">
        <v>133214900</v>
      </c>
      <c r="AD2" s="221">
        <f>SUBTOTAL(9,AD6:AD1048573)</f>
        <v>0</v>
      </c>
      <c r="AE2" s="221">
        <f>SUBTOTAL(9,AE6:AE1048573)</f>
        <v>0</v>
      </c>
    </row>
    <row r="3" spans="1:35" x14ac:dyDescent="0.25">
      <c r="I3" s="222">
        <v>157972401.19000003</v>
      </c>
      <c r="J3" s="223">
        <v>297672884.89999998</v>
      </c>
      <c r="K3" s="223">
        <v>35898789.299999997</v>
      </c>
      <c r="L3" s="223">
        <v>61731103.919999972</v>
      </c>
      <c r="M3" s="223">
        <v>941042670.03000021</v>
      </c>
      <c r="N3" s="220"/>
      <c r="O3" s="221">
        <f t="shared" ref="O3:AH3" si="1">SUBTOTAL(9,O7:O1048576)</f>
        <v>32158442.039999992</v>
      </c>
      <c r="P3" s="221">
        <f t="shared" si="1"/>
        <v>559885432.11000001</v>
      </c>
      <c r="Q3" s="221">
        <f t="shared" si="1"/>
        <v>20618081.770000041</v>
      </c>
      <c r="R3" s="221">
        <f t="shared" si="1"/>
        <v>1379570561.5799999</v>
      </c>
      <c r="S3" s="221">
        <f t="shared" si="1"/>
        <v>374612830.63000005</v>
      </c>
      <c r="T3" s="221">
        <f t="shared" si="1"/>
        <v>220095896.43999994</v>
      </c>
      <c r="U3" s="221">
        <f t="shared" si="1"/>
        <v>5837579.8399999999</v>
      </c>
      <c r="V3" s="221">
        <f t="shared" si="1"/>
        <v>269913991.03999984</v>
      </c>
      <c r="W3" s="221">
        <f t="shared" si="1"/>
        <v>738669170.71999991</v>
      </c>
      <c r="X3" s="221">
        <f t="shared" si="1"/>
        <v>6072986475.019742</v>
      </c>
      <c r="Y3" s="221">
        <f t="shared" si="1"/>
        <v>6719346137.1695738</v>
      </c>
      <c r="Z3" s="221">
        <f t="shared" si="1"/>
        <v>4246903776.6099396</v>
      </c>
      <c r="AA3" s="221">
        <f t="shared" si="1"/>
        <v>345493939.51999992</v>
      </c>
      <c r="AB3" s="221">
        <f t="shared" si="1"/>
        <v>30151158.260957617</v>
      </c>
      <c r="AC3" s="221">
        <f t="shared" si="1"/>
        <v>11916898685.322798</v>
      </c>
      <c r="AD3" s="221">
        <f t="shared" si="1"/>
        <v>0</v>
      </c>
      <c r="AE3" s="221">
        <f t="shared" si="1"/>
        <v>0</v>
      </c>
      <c r="AF3" s="221">
        <f t="shared" si="1"/>
        <v>6303087651.7899857</v>
      </c>
      <c r="AG3" s="221">
        <f t="shared" si="1"/>
        <v>6719346137.1697178</v>
      </c>
      <c r="AH3" s="225">
        <f t="shared" si="1"/>
        <v>4872325047.3099613</v>
      </c>
    </row>
    <row r="4" spans="1:35" ht="15.75" thickBot="1" x14ac:dyDescent="0.3">
      <c r="A4" s="45" t="s">
        <v>0</v>
      </c>
      <c r="B4" s="1"/>
      <c r="C4" s="1"/>
      <c r="E4" s="1"/>
      <c r="F4" s="2"/>
      <c r="G4" s="2"/>
      <c r="H4" s="1"/>
      <c r="J4" s="1"/>
      <c r="K4" s="1"/>
      <c r="L4" s="1"/>
      <c r="M4" s="398" t="s">
        <v>1</v>
      </c>
      <c r="N4" s="398"/>
      <c r="O4" s="398"/>
      <c r="P4" s="398"/>
      <c r="Q4" s="398"/>
      <c r="R4" s="398"/>
      <c r="S4" s="398"/>
      <c r="T4" s="398"/>
      <c r="U4" s="398"/>
      <c r="V4" s="398"/>
      <c r="W4" s="398"/>
      <c r="X4" s="361" t="s">
        <v>2</v>
      </c>
      <c r="Y4" s="361"/>
      <c r="Z4" s="361"/>
      <c r="AA4" s="361"/>
      <c r="AB4" s="361"/>
      <c r="AC4" s="361"/>
      <c r="AD4" s="361"/>
      <c r="AE4" s="361"/>
      <c r="AF4" s="361"/>
      <c r="AG4" s="361"/>
      <c r="AH4" s="361"/>
    </row>
    <row r="5" spans="1:35" ht="58.5" customHeight="1" thickBot="1" x14ac:dyDescent="0.3">
      <c r="A5" s="3"/>
      <c r="B5" s="3"/>
      <c r="C5" s="3"/>
      <c r="D5" s="3"/>
      <c r="E5" s="3"/>
      <c r="F5" s="3"/>
      <c r="G5" s="3"/>
      <c r="H5" s="3"/>
      <c r="I5" s="399" t="s">
        <v>3</v>
      </c>
      <c r="J5" s="399"/>
      <c r="K5" s="399"/>
      <c r="L5" s="399"/>
      <c r="M5" s="399"/>
      <c r="N5" s="399"/>
      <c r="O5" s="227" t="s">
        <v>4</v>
      </c>
      <c r="P5" s="3" t="s">
        <v>4</v>
      </c>
      <c r="Q5" s="5" t="s">
        <v>4</v>
      </c>
      <c r="R5" s="3" t="s">
        <v>5</v>
      </c>
      <c r="S5" s="3" t="s">
        <v>5</v>
      </c>
      <c r="T5" s="3" t="s">
        <v>5</v>
      </c>
      <c r="U5" s="3" t="s">
        <v>5</v>
      </c>
      <c r="V5" s="3" t="s">
        <v>5</v>
      </c>
      <c r="W5" s="228" t="s">
        <v>5</v>
      </c>
      <c r="X5" s="364" t="s">
        <v>6</v>
      </c>
      <c r="Y5" s="364"/>
      <c r="Z5" s="364"/>
      <c r="AA5" s="364"/>
      <c r="AB5" s="364"/>
      <c r="AC5" s="364"/>
      <c r="AD5" s="364"/>
      <c r="AE5" s="364"/>
      <c r="AF5" s="364" t="s">
        <v>7</v>
      </c>
      <c r="AG5" s="364"/>
      <c r="AH5" s="364"/>
    </row>
    <row r="6" spans="1:35" ht="45.6" customHeight="1" thickBot="1" x14ac:dyDescent="0.3">
      <c r="A6" s="10" t="s">
        <v>8</v>
      </c>
      <c r="B6" s="11" t="s">
        <v>9</v>
      </c>
      <c r="C6" s="11" t="s">
        <v>10</v>
      </c>
      <c r="D6" s="12" t="s">
        <v>11</v>
      </c>
      <c r="E6" s="10" t="s">
        <v>12</v>
      </c>
      <c r="F6" s="12" t="s">
        <v>13</v>
      </c>
      <c r="G6" s="48" t="s">
        <v>14</v>
      </c>
      <c r="H6" s="10" t="s">
        <v>15</v>
      </c>
      <c r="I6" s="229" t="s">
        <v>410</v>
      </c>
      <c r="J6" s="230" t="s">
        <v>411</v>
      </c>
      <c r="K6" s="230" t="s">
        <v>143</v>
      </c>
      <c r="L6" s="230" t="s">
        <v>382</v>
      </c>
      <c r="M6" s="230" t="s">
        <v>16</v>
      </c>
      <c r="N6" s="231" t="s">
        <v>17</v>
      </c>
      <c r="O6" s="232" t="s">
        <v>18</v>
      </c>
      <c r="P6" s="11" t="s">
        <v>19</v>
      </c>
      <c r="Q6" s="12" t="s">
        <v>20</v>
      </c>
      <c r="R6" s="11" t="s">
        <v>21</v>
      </c>
      <c r="S6" s="11" t="s">
        <v>22</v>
      </c>
      <c r="T6" s="11" t="s">
        <v>23</v>
      </c>
      <c r="U6" s="11" t="s">
        <v>24</v>
      </c>
      <c r="V6" s="11" t="s">
        <v>25</v>
      </c>
      <c r="W6" s="233" t="s">
        <v>26</v>
      </c>
      <c r="X6" s="11" t="s">
        <v>27</v>
      </c>
      <c r="Y6" s="11" t="s">
        <v>28</v>
      </c>
      <c r="Z6" s="11" t="s">
        <v>29</v>
      </c>
      <c r="AA6" s="234" t="s">
        <v>30</v>
      </c>
      <c r="AB6" s="11" t="s">
        <v>31</v>
      </c>
      <c r="AC6" s="10" t="s">
        <v>32</v>
      </c>
      <c r="AD6" s="10" t="s">
        <v>33</v>
      </c>
      <c r="AE6" s="12" t="s">
        <v>34</v>
      </c>
      <c r="AF6" s="10" t="s">
        <v>27</v>
      </c>
      <c r="AG6" s="11" t="s">
        <v>28</v>
      </c>
      <c r="AH6" s="12" t="s">
        <v>35</v>
      </c>
      <c r="AI6" s="13"/>
    </row>
    <row r="7" spans="1:35" x14ac:dyDescent="0.25">
      <c r="A7" t="s">
        <v>412</v>
      </c>
      <c r="B7" t="s">
        <v>413</v>
      </c>
      <c r="C7" t="s">
        <v>414</v>
      </c>
      <c r="D7" t="s">
        <v>415</v>
      </c>
      <c r="E7" t="s">
        <v>202</v>
      </c>
      <c r="I7" s="235">
        <v>0</v>
      </c>
      <c r="J7" s="235">
        <v>0</v>
      </c>
      <c r="K7" s="235">
        <v>6208890.4699999997</v>
      </c>
      <c r="L7" s="224">
        <v>0</v>
      </c>
      <c r="M7" s="224">
        <v>98053376.850000009</v>
      </c>
      <c r="O7" s="236">
        <v>0</v>
      </c>
      <c r="P7" s="237">
        <v>0</v>
      </c>
      <c r="Q7" s="237">
        <v>0</v>
      </c>
      <c r="R7" s="237">
        <v>0</v>
      </c>
      <c r="S7" s="237">
        <v>47806808.620000005</v>
      </c>
      <c r="T7" s="237">
        <v>3692435.3200000003</v>
      </c>
      <c r="U7" s="237">
        <v>0</v>
      </c>
      <c r="V7" s="237">
        <v>43354021.339999989</v>
      </c>
      <c r="W7" s="238">
        <v>29957806.869999997</v>
      </c>
      <c r="Y7">
        <v>0</v>
      </c>
      <c r="AB7" s="224">
        <v>0</v>
      </c>
      <c r="AC7" s="239">
        <v>1119300</v>
      </c>
      <c r="AH7" s="224"/>
      <c r="AI7" s="218"/>
    </row>
    <row r="8" spans="1:35" x14ac:dyDescent="0.25">
      <c r="A8" t="s">
        <v>412</v>
      </c>
      <c r="B8" t="s">
        <v>413</v>
      </c>
      <c r="C8" t="s">
        <v>416</v>
      </c>
      <c r="D8" t="s">
        <v>417</v>
      </c>
      <c r="E8" t="s">
        <v>218</v>
      </c>
      <c r="I8" s="235">
        <v>0</v>
      </c>
      <c r="J8" s="235">
        <v>0</v>
      </c>
      <c r="K8" s="235">
        <v>0</v>
      </c>
      <c r="L8" s="224">
        <v>0</v>
      </c>
      <c r="M8" s="224">
        <v>0</v>
      </c>
      <c r="O8" s="236">
        <v>0</v>
      </c>
      <c r="P8" s="237">
        <v>0</v>
      </c>
      <c r="Q8" s="237">
        <v>0</v>
      </c>
      <c r="R8" s="237">
        <v>323974269.37999994</v>
      </c>
      <c r="S8" s="237">
        <v>0</v>
      </c>
      <c r="T8" s="237">
        <v>0</v>
      </c>
      <c r="U8" s="237">
        <v>0</v>
      </c>
      <c r="V8" s="237">
        <v>0</v>
      </c>
      <c r="W8" s="238">
        <v>163844.40999999997</v>
      </c>
      <c r="Y8">
        <v>0</v>
      </c>
      <c r="Z8" s="224"/>
      <c r="AB8" s="224">
        <v>0</v>
      </c>
      <c r="AC8" s="239">
        <v>0</v>
      </c>
      <c r="AF8" s="224"/>
      <c r="AH8" s="224"/>
      <c r="AI8" s="218"/>
    </row>
    <row r="9" spans="1:35" x14ac:dyDescent="0.25">
      <c r="A9" t="s">
        <v>418</v>
      </c>
      <c r="B9" t="s">
        <v>413</v>
      </c>
      <c r="C9" t="s">
        <v>414</v>
      </c>
      <c r="D9" t="s">
        <v>419</v>
      </c>
      <c r="E9" t="s">
        <v>213</v>
      </c>
      <c r="I9" s="235">
        <v>0</v>
      </c>
      <c r="J9" s="235">
        <v>0</v>
      </c>
      <c r="K9" s="235">
        <v>0</v>
      </c>
      <c r="L9" s="224">
        <v>0</v>
      </c>
      <c r="M9" s="224">
        <v>0</v>
      </c>
      <c r="O9" s="236">
        <v>0</v>
      </c>
      <c r="P9" s="237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29118.399999999994</v>
      </c>
      <c r="W9" s="327">
        <v>0</v>
      </c>
      <c r="Y9">
        <v>0</v>
      </c>
      <c r="Z9" s="224"/>
      <c r="AB9" s="224">
        <v>0</v>
      </c>
      <c r="AC9" s="239">
        <v>0</v>
      </c>
      <c r="AF9" s="224"/>
      <c r="AH9" s="224"/>
      <c r="AI9" s="218"/>
    </row>
    <row r="10" spans="1:35" x14ac:dyDescent="0.25">
      <c r="A10" t="s">
        <v>420</v>
      </c>
      <c r="B10" t="s">
        <v>413</v>
      </c>
      <c r="C10" t="s">
        <v>414</v>
      </c>
      <c r="D10" t="s">
        <v>419</v>
      </c>
      <c r="E10" t="s">
        <v>213</v>
      </c>
      <c r="I10" s="235">
        <v>0</v>
      </c>
      <c r="J10" s="235">
        <v>0</v>
      </c>
      <c r="K10" s="235">
        <v>0</v>
      </c>
      <c r="L10" s="224">
        <v>0</v>
      </c>
      <c r="M10" s="224">
        <v>0</v>
      </c>
      <c r="O10" s="236">
        <v>0</v>
      </c>
      <c r="P10" s="237">
        <v>0</v>
      </c>
      <c r="Q10" s="224">
        <v>0</v>
      </c>
      <c r="R10" s="224">
        <v>0</v>
      </c>
      <c r="S10" s="224">
        <v>0</v>
      </c>
      <c r="T10" s="224">
        <v>0</v>
      </c>
      <c r="U10" s="224">
        <v>0</v>
      </c>
      <c r="V10" s="224">
        <v>0</v>
      </c>
      <c r="W10" s="327">
        <v>1899221.75</v>
      </c>
      <c r="Y10">
        <v>0</v>
      </c>
      <c r="Z10" s="224"/>
      <c r="AB10" s="224">
        <v>0</v>
      </c>
      <c r="AC10" s="239">
        <v>0</v>
      </c>
      <c r="AF10" s="224"/>
      <c r="AH10" s="224"/>
      <c r="AI10" s="218"/>
    </row>
    <row r="11" spans="1:35" x14ac:dyDescent="0.25">
      <c r="A11" t="s">
        <v>421</v>
      </c>
      <c r="B11" t="s">
        <v>413</v>
      </c>
      <c r="C11" t="s">
        <v>414</v>
      </c>
      <c r="D11" t="s">
        <v>419</v>
      </c>
      <c r="E11" t="s">
        <v>213</v>
      </c>
      <c r="I11" s="235">
        <v>0</v>
      </c>
      <c r="J11" s="235">
        <v>0</v>
      </c>
      <c r="K11" s="235">
        <v>0</v>
      </c>
      <c r="L11" s="224">
        <v>0</v>
      </c>
      <c r="M11" s="224">
        <v>0</v>
      </c>
      <c r="O11" s="236">
        <v>0</v>
      </c>
      <c r="P11" s="237">
        <v>0</v>
      </c>
      <c r="Q11" s="224">
        <v>0</v>
      </c>
      <c r="R11" s="224">
        <v>0</v>
      </c>
      <c r="S11" s="224">
        <v>0</v>
      </c>
      <c r="T11" s="224">
        <v>0</v>
      </c>
      <c r="U11" s="224">
        <v>0</v>
      </c>
      <c r="V11" s="224">
        <v>0</v>
      </c>
      <c r="W11" s="327">
        <v>152530.80999999997</v>
      </c>
      <c r="Y11">
        <v>0</v>
      </c>
      <c r="Z11" s="224"/>
      <c r="AB11" s="224">
        <v>0</v>
      </c>
      <c r="AC11" s="239">
        <v>0</v>
      </c>
      <c r="AF11" s="224"/>
      <c r="AH11" s="224"/>
      <c r="AI11" s="218"/>
    </row>
    <row r="12" spans="1:35" x14ac:dyDescent="0.25">
      <c r="A12" t="s">
        <v>421</v>
      </c>
      <c r="B12" t="s">
        <v>413</v>
      </c>
      <c r="C12" t="s">
        <v>414</v>
      </c>
      <c r="D12" t="s">
        <v>415</v>
      </c>
      <c r="E12" t="s">
        <v>202</v>
      </c>
      <c r="F12">
        <v>1</v>
      </c>
      <c r="G12">
        <v>1</v>
      </c>
      <c r="I12" s="235">
        <v>0</v>
      </c>
      <c r="J12" s="235">
        <v>0</v>
      </c>
      <c r="K12" s="235">
        <v>1833537.3800000001</v>
      </c>
      <c r="L12" s="224">
        <v>0</v>
      </c>
      <c r="M12" s="224">
        <v>248808684.2100001</v>
      </c>
      <c r="O12" s="236">
        <v>0</v>
      </c>
      <c r="P12" s="237">
        <v>0</v>
      </c>
      <c r="Q12" s="237">
        <v>0</v>
      </c>
      <c r="R12" s="237">
        <v>0</v>
      </c>
      <c r="S12" s="237">
        <v>21138983.989999995</v>
      </c>
      <c r="T12" s="237">
        <v>8989394.3900000006</v>
      </c>
      <c r="U12" s="237">
        <v>0</v>
      </c>
      <c r="V12" s="237">
        <v>72940423.49999997</v>
      </c>
      <c r="W12" s="238">
        <v>167532807.77000001</v>
      </c>
      <c r="Y12">
        <v>0</v>
      </c>
      <c r="Z12" s="224"/>
      <c r="AB12" s="224">
        <v>0</v>
      </c>
      <c r="AC12" s="239">
        <v>0</v>
      </c>
      <c r="AF12" s="224"/>
      <c r="AH12" s="224"/>
      <c r="AI12" s="218"/>
    </row>
    <row r="13" spans="1:35" x14ac:dyDescent="0.25">
      <c r="A13" t="s">
        <v>420</v>
      </c>
      <c r="B13" t="s">
        <v>413</v>
      </c>
      <c r="C13" t="s">
        <v>414</v>
      </c>
      <c r="D13" t="s">
        <v>422</v>
      </c>
      <c r="E13" t="s">
        <v>213</v>
      </c>
      <c r="F13">
        <v>1</v>
      </c>
      <c r="I13" s="240">
        <v>0</v>
      </c>
      <c r="J13" s="240">
        <v>0</v>
      </c>
      <c r="K13" s="240">
        <v>715825.47</v>
      </c>
      <c r="L13" s="239">
        <v>0</v>
      </c>
      <c r="M13" s="239">
        <v>0</v>
      </c>
      <c r="O13" s="241">
        <v>0</v>
      </c>
      <c r="P13" s="242">
        <v>0</v>
      </c>
      <c r="Q13" s="242">
        <v>13392689.480000038</v>
      </c>
      <c r="R13" s="242">
        <v>26769822.289999992</v>
      </c>
      <c r="S13" s="242">
        <v>54215.92</v>
      </c>
      <c r="T13" s="242">
        <v>2933110.3699999987</v>
      </c>
      <c r="U13" s="242">
        <v>393499.19</v>
      </c>
      <c r="V13" s="242">
        <v>705521.0399999998</v>
      </c>
      <c r="W13" s="243">
        <v>15140153.76</v>
      </c>
      <c r="Y13">
        <v>0</v>
      </c>
      <c r="Z13" s="239"/>
      <c r="AB13" s="239">
        <v>0</v>
      </c>
      <c r="AC13" s="239">
        <v>0</v>
      </c>
      <c r="AF13" s="239"/>
      <c r="AH13" s="239"/>
      <c r="AI13" s="218"/>
    </row>
    <row r="14" spans="1:35" x14ac:dyDescent="0.25">
      <c r="A14" t="s">
        <v>423</v>
      </c>
      <c r="B14" t="s">
        <v>413</v>
      </c>
      <c r="C14" t="s">
        <v>416</v>
      </c>
      <c r="D14" t="s">
        <v>424</v>
      </c>
      <c r="E14" t="s">
        <v>425</v>
      </c>
      <c r="F14">
        <v>1</v>
      </c>
      <c r="I14" s="240">
        <v>157953206.75000003</v>
      </c>
      <c r="J14" s="240">
        <v>297672884.89999998</v>
      </c>
      <c r="K14" s="240">
        <v>0</v>
      </c>
      <c r="L14" s="239">
        <v>0</v>
      </c>
      <c r="M14" s="239">
        <v>0</v>
      </c>
      <c r="O14" s="241">
        <v>32130992.899999991</v>
      </c>
      <c r="P14" s="242">
        <v>208438222.84000003</v>
      </c>
      <c r="Q14" s="242">
        <v>0</v>
      </c>
      <c r="R14" s="242">
        <v>130862903.00999998</v>
      </c>
      <c r="S14" s="242">
        <v>160869953.44000009</v>
      </c>
      <c r="T14" s="242">
        <v>123373222.61999996</v>
      </c>
      <c r="U14" s="242">
        <v>0</v>
      </c>
      <c r="V14" s="242">
        <v>67965030.059999958</v>
      </c>
      <c r="W14" s="243">
        <v>0</v>
      </c>
      <c r="X14" s="239"/>
      <c r="Y14">
        <v>0</v>
      </c>
      <c r="Z14" s="239"/>
      <c r="AB14" s="239">
        <v>0</v>
      </c>
      <c r="AC14" s="239">
        <v>398605680.44700003</v>
      </c>
      <c r="AF14" s="239"/>
      <c r="AH14" s="239"/>
      <c r="AI14" s="218"/>
    </row>
    <row r="15" spans="1:35" s="239" customFormat="1" x14ac:dyDescent="0.25">
      <c r="A15" t="s">
        <v>426</v>
      </c>
      <c r="B15" t="s">
        <v>413</v>
      </c>
      <c r="C15" t="s">
        <v>416</v>
      </c>
      <c r="D15" t="s">
        <v>417</v>
      </c>
      <c r="E15" t="s">
        <v>218</v>
      </c>
      <c r="F15"/>
      <c r="G15"/>
      <c r="H15"/>
      <c r="I15" s="235">
        <v>0</v>
      </c>
      <c r="J15" s="235">
        <v>0</v>
      </c>
      <c r="K15" s="235">
        <v>0</v>
      </c>
      <c r="L15" s="224">
        <v>0</v>
      </c>
      <c r="M15" s="224">
        <v>0</v>
      </c>
      <c r="N15"/>
      <c r="O15" s="236">
        <v>5204.96</v>
      </c>
      <c r="P15" s="237">
        <v>0</v>
      </c>
      <c r="Q15" s="237">
        <v>0</v>
      </c>
      <c r="R15" s="237">
        <v>0</v>
      </c>
      <c r="S15" s="237">
        <v>0</v>
      </c>
      <c r="T15" s="237">
        <v>0</v>
      </c>
      <c r="U15" s="237">
        <v>0</v>
      </c>
      <c r="V15" s="237">
        <v>0</v>
      </c>
      <c r="W15" s="238">
        <v>0</v>
      </c>
      <c r="X15"/>
      <c r="Y15">
        <v>0</v>
      </c>
      <c r="Z15" s="224"/>
      <c r="AB15" s="224">
        <v>0</v>
      </c>
      <c r="AC15" s="239">
        <v>0</v>
      </c>
      <c r="AD15"/>
      <c r="AE15"/>
      <c r="AF15" s="224"/>
      <c r="AG15"/>
      <c r="AH15" s="224"/>
      <c r="AI15" s="218"/>
    </row>
    <row r="16" spans="1:35" s="239" customFormat="1" x14ac:dyDescent="0.25">
      <c r="A16" t="s">
        <v>426</v>
      </c>
      <c r="B16" t="s">
        <v>413</v>
      </c>
      <c r="C16" t="s">
        <v>416</v>
      </c>
      <c r="D16" t="s">
        <v>427</v>
      </c>
      <c r="E16" t="s">
        <v>218</v>
      </c>
      <c r="F16"/>
      <c r="G16"/>
      <c r="H16"/>
      <c r="I16" s="235">
        <v>0</v>
      </c>
      <c r="J16" s="235">
        <v>0</v>
      </c>
      <c r="K16" s="235">
        <v>3642683.0799999996</v>
      </c>
      <c r="L16" s="224">
        <v>0</v>
      </c>
      <c r="M16" s="224">
        <v>0</v>
      </c>
      <c r="N16"/>
      <c r="O16" s="236">
        <v>0</v>
      </c>
      <c r="P16" s="237">
        <v>0</v>
      </c>
      <c r="Q16" s="237">
        <v>0</v>
      </c>
      <c r="R16" s="237">
        <v>33326363.230000008</v>
      </c>
      <c r="S16" s="237">
        <v>31259059.450000007</v>
      </c>
      <c r="T16" s="237">
        <v>1861477.1000000015</v>
      </c>
      <c r="U16" s="237">
        <v>0</v>
      </c>
      <c r="V16" s="237">
        <v>6508356.5799999945</v>
      </c>
      <c r="W16" s="238">
        <v>4355419.16</v>
      </c>
      <c r="X16"/>
      <c r="Y16">
        <v>0</v>
      </c>
      <c r="Z16" s="224"/>
      <c r="AB16" s="224">
        <v>0</v>
      </c>
      <c r="AC16" s="239">
        <v>0</v>
      </c>
      <c r="AD16"/>
      <c r="AE16"/>
      <c r="AF16" s="224"/>
      <c r="AG16"/>
      <c r="AH16" s="224"/>
      <c r="AI16" s="218"/>
    </row>
    <row r="17" spans="1:35" s="239" customFormat="1" x14ac:dyDescent="0.25">
      <c r="A17" t="s">
        <v>428</v>
      </c>
      <c r="B17" t="s">
        <v>413</v>
      </c>
      <c r="C17" t="s">
        <v>414</v>
      </c>
      <c r="D17" t="s">
        <v>415</v>
      </c>
      <c r="E17" t="s">
        <v>223</v>
      </c>
      <c r="F17">
        <v>1</v>
      </c>
      <c r="G17"/>
      <c r="H17"/>
      <c r="I17" s="235">
        <v>0</v>
      </c>
      <c r="J17" s="235">
        <v>0</v>
      </c>
      <c r="K17" s="235">
        <v>497928.87999999995</v>
      </c>
      <c r="L17" s="224">
        <v>0</v>
      </c>
      <c r="M17" s="224">
        <v>0</v>
      </c>
      <c r="N17"/>
      <c r="O17" s="236">
        <v>0</v>
      </c>
      <c r="P17" s="237">
        <v>0</v>
      </c>
      <c r="Q17" s="237">
        <v>0</v>
      </c>
      <c r="R17" s="237">
        <v>0</v>
      </c>
      <c r="S17" s="237">
        <v>12766857.32</v>
      </c>
      <c r="T17" s="237">
        <v>3340101.2799999989</v>
      </c>
      <c r="U17" s="237">
        <v>0</v>
      </c>
      <c r="V17" s="237">
        <v>18481056.06000001</v>
      </c>
      <c r="W17" s="238">
        <v>21871809.579999998</v>
      </c>
      <c r="X17"/>
      <c r="Y17">
        <v>0</v>
      </c>
      <c r="Z17" s="224"/>
      <c r="AB17" s="224">
        <v>0</v>
      </c>
      <c r="AC17" s="239">
        <v>0</v>
      </c>
      <c r="AD17"/>
      <c r="AE17"/>
      <c r="AF17" s="224"/>
      <c r="AG17"/>
      <c r="AH17" s="224"/>
      <c r="AI17" s="218"/>
    </row>
    <row r="18" spans="1:35" s="239" customFormat="1" x14ac:dyDescent="0.25">
      <c r="A18" t="s">
        <v>429</v>
      </c>
      <c r="B18" t="s">
        <v>413</v>
      </c>
      <c r="C18" t="s">
        <v>414</v>
      </c>
      <c r="D18" t="s">
        <v>419</v>
      </c>
      <c r="E18" t="s">
        <v>213</v>
      </c>
      <c r="F18"/>
      <c r="G18"/>
      <c r="H18"/>
      <c r="I18" s="235">
        <v>0</v>
      </c>
      <c r="J18" s="235">
        <v>0</v>
      </c>
      <c r="K18" s="235">
        <v>0</v>
      </c>
      <c r="L18" s="224">
        <v>0</v>
      </c>
      <c r="M18" s="224">
        <v>0</v>
      </c>
      <c r="N18"/>
      <c r="O18" s="236">
        <v>0</v>
      </c>
      <c r="P18" s="237">
        <v>0</v>
      </c>
      <c r="Q18" s="224">
        <v>0</v>
      </c>
      <c r="R18" s="224">
        <v>132750834.23999995</v>
      </c>
      <c r="S18" s="224">
        <v>0</v>
      </c>
      <c r="T18" s="224">
        <v>0</v>
      </c>
      <c r="U18" s="224">
        <v>0</v>
      </c>
      <c r="V18" s="224">
        <v>0</v>
      </c>
      <c r="W18" s="327">
        <v>0</v>
      </c>
      <c r="X18"/>
      <c r="Y18">
        <v>0</v>
      </c>
      <c r="Z18" s="224"/>
      <c r="AB18" s="224">
        <v>0</v>
      </c>
      <c r="AC18" s="239">
        <v>0</v>
      </c>
      <c r="AD18"/>
      <c r="AE18"/>
      <c r="AF18" s="224"/>
      <c r="AG18"/>
      <c r="AH18" s="224"/>
      <c r="AI18" s="218"/>
    </row>
    <row r="19" spans="1:35" s="239" customFormat="1" x14ac:dyDescent="0.25">
      <c r="A19" t="s">
        <v>429</v>
      </c>
      <c r="B19" t="s">
        <v>413</v>
      </c>
      <c r="C19" t="s">
        <v>414</v>
      </c>
      <c r="D19" t="s">
        <v>422</v>
      </c>
      <c r="E19" t="s">
        <v>213</v>
      </c>
      <c r="F19"/>
      <c r="G19"/>
      <c r="H19"/>
      <c r="I19" s="235">
        <v>0</v>
      </c>
      <c r="J19" s="235">
        <v>0</v>
      </c>
      <c r="K19" s="235">
        <v>217936.43</v>
      </c>
      <c r="L19" s="224">
        <v>0</v>
      </c>
      <c r="M19" s="224">
        <v>0</v>
      </c>
      <c r="N19"/>
      <c r="O19" s="236">
        <v>0</v>
      </c>
      <c r="P19" s="237">
        <v>0</v>
      </c>
      <c r="Q19" s="237">
        <v>0</v>
      </c>
      <c r="R19" s="237">
        <v>199150953.43999991</v>
      </c>
      <c r="S19" s="237">
        <v>4737852.46</v>
      </c>
      <c r="T19" s="237">
        <v>7110226.0100000044</v>
      </c>
      <c r="U19" s="237">
        <v>0</v>
      </c>
      <c r="V19" s="237">
        <v>3895503.6500000008</v>
      </c>
      <c r="W19" s="238">
        <v>10082446.940000001</v>
      </c>
      <c r="X19"/>
      <c r="Y19">
        <v>0</v>
      </c>
      <c r="Z19" s="224"/>
      <c r="AB19" s="224">
        <v>0</v>
      </c>
      <c r="AC19" s="239">
        <v>0</v>
      </c>
      <c r="AD19"/>
      <c r="AE19"/>
      <c r="AF19" s="224"/>
      <c r="AG19"/>
      <c r="AH19" s="224"/>
      <c r="AI19" s="218"/>
    </row>
    <row r="20" spans="1:35" s="239" customFormat="1" x14ac:dyDescent="0.25">
      <c r="A20" t="s">
        <v>430</v>
      </c>
      <c r="B20" t="s">
        <v>413</v>
      </c>
      <c r="C20" t="s">
        <v>416</v>
      </c>
      <c r="D20" t="s">
        <v>417</v>
      </c>
      <c r="E20" t="s">
        <v>218</v>
      </c>
      <c r="F20"/>
      <c r="G20"/>
      <c r="H20"/>
      <c r="I20" s="235">
        <v>0</v>
      </c>
      <c r="J20" s="235">
        <v>0</v>
      </c>
      <c r="K20" s="235">
        <v>0</v>
      </c>
      <c r="L20" s="224">
        <v>0</v>
      </c>
      <c r="M20" s="224">
        <v>0</v>
      </c>
      <c r="N20"/>
      <c r="O20" s="236">
        <v>0</v>
      </c>
      <c r="P20" s="237">
        <v>3967429.6400000006</v>
      </c>
      <c r="Q20" s="237">
        <v>0</v>
      </c>
      <c r="R20" s="237">
        <v>0</v>
      </c>
      <c r="S20" s="237">
        <v>6679026.9800000014</v>
      </c>
      <c r="T20" s="237">
        <v>3095355.8499999987</v>
      </c>
      <c r="U20" s="237">
        <v>170571.09000000003</v>
      </c>
      <c r="V20" s="237">
        <v>3718944.3999999994</v>
      </c>
      <c r="W20" s="238">
        <v>2790411.54</v>
      </c>
      <c r="X20"/>
      <c r="Y20">
        <v>0</v>
      </c>
      <c r="Z20" s="224"/>
      <c r="AB20" s="224">
        <v>0</v>
      </c>
      <c r="AC20" s="239">
        <v>0</v>
      </c>
      <c r="AD20"/>
      <c r="AE20"/>
      <c r="AF20" s="224"/>
      <c r="AG20"/>
      <c r="AH20" s="224"/>
      <c r="AI20" s="218"/>
    </row>
    <row r="21" spans="1:35" s="239" customFormat="1" x14ac:dyDescent="0.25">
      <c r="A21" t="s">
        <v>430</v>
      </c>
      <c r="B21" t="s">
        <v>413</v>
      </c>
      <c r="C21" t="s">
        <v>416</v>
      </c>
      <c r="D21" t="s">
        <v>427</v>
      </c>
      <c r="E21" t="s">
        <v>218</v>
      </c>
      <c r="F21"/>
      <c r="G21"/>
      <c r="H21"/>
      <c r="I21" s="235">
        <v>0</v>
      </c>
      <c r="J21" s="235">
        <v>0</v>
      </c>
      <c r="K21" s="235">
        <v>8843623.5499999989</v>
      </c>
      <c r="L21" s="224">
        <v>5423625.7199999988</v>
      </c>
      <c r="M21" s="224">
        <v>0</v>
      </c>
      <c r="N21"/>
      <c r="O21" s="236">
        <v>0</v>
      </c>
      <c r="P21" s="237">
        <v>0</v>
      </c>
      <c r="Q21" s="237">
        <v>0</v>
      </c>
      <c r="R21" s="237">
        <v>577223.67999999993</v>
      </c>
      <c r="S21" s="237">
        <v>5970005.3599999985</v>
      </c>
      <c r="T21" s="237">
        <v>12196472.760000004</v>
      </c>
      <c r="U21" s="237">
        <v>0</v>
      </c>
      <c r="V21" s="237">
        <v>12394475.329999981</v>
      </c>
      <c r="W21" s="238">
        <v>21507171.450000003</v>
      </c>
      <c r="X21"/>
      <c r="Y21">
        <v>0</v>
      </c>
      <c r="Z21" s="224"/>
      <c r="AB21" s="224">
        <v>0</v>
      </c>
      <c r="AC21" s="239">
        <v>14550900</v>
      </c>
      <c r="AD21"/>
      <c r="AE21"/>
      <c r="AF21" s="224"/>
      <c r="AG21"/>
      <c r="AH21" s="224"/>
      <c r="AI21" s="218"/>
    </row>
    <row r="22" spans="1:35" s="239" customFormat="1" x14ac:dyDescent="0.25">
      <c r="A22" t="s">
        <v>430</v>
      </c>
      <c r="B22" t="s">
        <v>413</v>
      </c>
      <c r="C22" t="s">
        <v>416</v>
      </c>
      <c r="D22" t="s">
        <v>431</v>
      </c>
      <c r="E22" t="s">
        <v>218</v>
      </c>
      <c r="F22"/>
      <c r="G22"/>
      <c r="H22"/>
      <c r="I22" s="235">
        <v>0</v>
      </c>
      <c r="J22" s="235">
        <v>0</v>
      </c>
      <c r="K22" s="235">
        <v>0</v>
      </c>
      <c r="L22" s="224">
        <v>0</v>
      </c>
      <c r="M22" s="224">
        <v>164492870.23000002</v>
      </c>
      <c r="N22"/>
      <c r="O22" s="236">
        <v>0</v>
      </c>
      <c r="P22" s="237">
        <v>0</v>
      </c>
      <c r="Q22" s="237">
        <v>0</v>
      </c>
      <c r="R22" s="237">
        <v>0</v>
      </c>
      <c r="S22" s="237">
        <v>0</v>
      </c>
      <c r="T22" s="237">
        <v>0</v>
      </c>
      <c r="U22" s="237">
        <v>0</v>
      </c>
      <c r="V22" s="237">
        <v>1102.44</v>
      </c>
      <c r="W22" s="238">
        <v>0</v>
      </c>
      <c r="X22"/>
      <c r="Y22">
        <v>0</v>
      </c>
      <c r="Z22" s="224"/>
      <c r="AB22" s="224">
        <v>0</v>
      </c>
      <c r="AC22" s="239">
        <v>0</v>
      </c>
      <c r="AD22"/>
      <c r="AE22"/>
      <c r="AF22" s="224"/>
      <c r="AG22"/>
      <c r="AH22" s="224"/>
      <c r="AI22" s="218"/>
    </row>
    <row r="23" spans="1:35" s="239" customFormat="1" x14ac:dyDescent="0.25">
      <c r="A23" t="s">
        <v>432</v>
      </c>
      <c r="B23" t="s">
        <v>413</v>
      </c>
      <c r="C23" t="s">
        <v>414</v>
      </c>
      <c r="D23" t="s">
        <v>419</v>
      </c>
      <c r="E23" t="s">
        <v>213</v>
      </c>
      <c r="F23"/>
      <c r="G23"/>
      <c r="H23"/>
      <c r="I23" s="235">
        <v>0</v>
      </c>
      <c r="J23" s="235">
        <v>0</v>
      </c>
      <c r="K23" s="235">
        <v>0</v>
      </c>
      <c r="L23" s="224">
        <v>0</v>
      </c>
      <c r="M23" s="224">
        <v>0</v>
      </c>
      <c r="N23"/>
      <c r="O23" s="236">
        <v>0</v>
      </c>
      <c r="P23" s="237">
        <v>0</v>
      </c>
      <c r="Q23" s="224"/>
      <c r="R23" s="224">
        <v>0</v>
      </c>
      <c r="S23" s="224">
        <v>0</v>
      </c>
      <c r="T23" s="224">
        <v>0</v>
      </c>
      <c r="U23" s="224">
        <v>226.72</v>
      </c>
      <c r="V23" s="224">
        <v>0</v>
      </c>
      <c r="W23" s="327">
        <v>0</v>
      </c>
      <c r="X23"/>
      <c r="Y23">
        <v>0</v>
      </c>
      <c r="Z23" s="224"/>
      <c r="AB23" s="224">
        <v>0</v>
      </c>
      <c r="AC23" s="239">
        <v>0</v>
      </c>
      <c r="AD23"/>
      <c r="AE23"/>
      <c r="AF23" s="224"/>
      <c r="AG23"/>
      <c r="AH23" s="224"/>
      <c r="AI23" s="218"/>
    </row>
    <row r="24" spans="1:35" s="239" customFormat="1" x14ac:dyDescent="0.25">
      <c r="A24" t="s">
        <v>432</v>
      </c>
      <c r="B24" t="s">
        <v>413</v>
      </c>
      <c r="C24" t="s">
        <v>414</v>
      </c>
      <c r="D24" t="s">
        <v>422</v>
      </c>
      <c r="E24" t="s">
        <v>213</v>
      </c>
      <c r="F24"/>
      <c r="G24"/>
      <c r="H24"/>
      <c r="I24" s="240">
        <v>0</v>
      </c>
      <c r="J24" s="240">
        <v>0</v>
      </c>
      <c r="K24" s="240">
        <v>0</v>
      </c>
      <c r="L24" s="239">
        <v>0</v>
      </c>
      <c r="M24" s="239">
        <v>0</v>
      </c>
      <c r="N24"/>
      <c r="O24" s="241">
        <v>0</v>
      </c>
      <c r="P24" s="242">
        <v>0</v>
      </c>
      <c r="Q24" s="242">
        <v>7225392.2900000028</v>
      </c>
      <c r="R24" s="242">
        <v>0</v>
      </c>
      <c r="S24" s="242">
        <v>0</v>
      </c>
      <c r="T24" s="242">
        <v>0</v>
      </c>
      <c r="U24" s="242">
        <v>18155.52</v>
      </c>
      <c r="V24" s="242">
        <v>0</v>
      </c>
      <c r="W24" s="243">
        <v>0</v>
      </c>
      <c r="X24"/>
      <c r="Y24">
        <v>0</v>
      </c>
      <c r="AB24" s="239">
        <v>0</v>
      </c>
      <c r="AC24" s="239">
        <v>0</v>
      </c>
      <c r="AD24"/>
      <c r="AE24"/>
      <c r="AG24"/>
      <c r="AI24" s="218"/>
    </row>
    <row r="25" spans="1:35" s="239" customFormat="1" x14ac:dyDescent="0.25">
      <c r="A25" t="s">
        <v>432</v>
      </c>
      <c r="B25" t="s">
        <v>413</v>
      </c>
      <c r="C25" t="s">
        <v>416</v>
      </c>
      <c r="D25" t="s">
        <v>431</v>
      </c>
      <c r="E25" t="s">
        <v>218</v>
      </c>
      <c r="F25"/>
      <c r="G25"/>
      <c r="H25"/>
      <c r="I25" s="235">
        <v>0</v>
      </c>
      <c r="J25" s="235">
        <v>0</v>
      </c>
      <c r="K25" s="235">
        <v>0</v>
      </c>
      <c r="L25" s="224">
        <v>0</v>
      </c>
      <c r="M25" s="224">
        <v>0</v>
      </c>
      <c r="N25"/>
      <c r="O25" s="236">
        <v>0</v>
      </c>
      <c r="P25" s="237">
        <v>0</v>
      </c>
      <c r="Q25" s="237">
        <v>0</v>
      </c>
      <c r="R25" s="237">
        <v>2886118.4000000004</v>
      </c>
      <c r="S25" s="237">
        <v>0</v>
      </c>
      <c r="T25" s="237">
        <v>0</v>
      </c>
      <c r="U25" s="237">
        <v>0</v>
      </c>
      <c r="V25" s="237">
        <v>0</v>
      </c>
      <c r="W25" s="238">
        <v>0</v>
      </c>
      <c r="X25"/>
      <c r="Y25">
        <v>0</v>
      </c>
      <c r="Z25" s="224"/>
      <c r="AB25" s="224">
        <v>0</v>
      </c>
      <c r="AC25" s="239">
        <v>0</v>
      </c>
      <c r="AD25"/>
      <c r="AE25"/>
      <c r="AF25" s="224"/>
      <c r="AG25"/>
      <c r="AH25" s="224"/>
      <c r="AI25" s="218"/>
    </row>
    <row r="26" spans="1:35" s="239" customFormat="1" x14ac:dyDescent="0.25">
      <c r="A26" t="s">
        <v>432</v>
      </c>
      <c r="B26" t="s">
        <v>413</v>
      </c>
      <c r="C26" t="s">
        <v>414</v>
      </c>
      <c r="D26" t="s">
        <v>419</v>
      </c>
      <c r="E26" t="s">
        <v>213</v>
      </c>
      <c r="F26"/>
      <c r="G26"/>
      <c r="H26"/>
      <c r="I26" s="235">
        <v>0</v>
      </c>
      <c r="J26" s="235">
        <v>0</v>
      </c>
      <c r="K26" s="235">
        <v>0</v>
      </c>
      <c r="L26" s="224">
        <v>0</v>
      </c>
      <c r="M26" s="224">
        <v>0</v>
      </c>
      <c r="N26"/>
      <c r="O26" s="236">
        <v>0</v>
      </c>
      <c r="P26" s="237">
        <v>0</v>
      </c>
      <c r="Q26" s="224"/>
      <c r="R26" s="224">
        <v>0</v>
      </c>
      <c r="S26" s="224">
        <v>0</v>
      </c>
      <c r="T26" s="224">
        <v>0</v>
      </c>
      <c r="U26" s="224">
        <v>0</v>
      </c>
      <c r="V26" s="224">
        <v>2602.48</v>
      </c>
      <c r="W26" s="327">
        <v>0</v>
      </c>
      <c r="X26"/>
      <c r="Y26">
        <v>0</v>
      </c>
      <c r="Z26" s="224"/>
      <c r="AB26" s="224">
        <v>0</v>
      </c>
      <c r="AC26" s="239">
        <v>0</v>
      </c>
      <c r="AD26"/>
      <c r="AE26"/>
      <c r="AF26" s="224"/>
      <c r="AG26"/>
      <c r="AH26" s="224"/>
      <c r="AI26" s="218"/>
    </row>
    <row r="27" spans="1:35" s="239" customFormat="1" x14ac:dyDescent="0.25">
      <c r="A27" t="s">
        <v>432</v>
      </c>
      <c r="B27" t="s">
        <v>413</v>
      </c>
      <c r="C27" t="s">
        <v>414</v>
      </c>
      <c r="D27" t="s">
        <v>422</v>
      </c>
      <c r="E27" t="s">
        <v>213</v>
      </c>
      <c r="F27"/>
      <c r="G27"/>
      <c r="H27"/>
      <c r="I27" s="235">
        <v>0</v>
      </c>
      <c r="J27" s="235">
        <v>0</v>
      </c>
      <c r="K27" s="235">
        <v>0</v>
      </c>
      <c r="L27" s="224">
        <v>0</v>
      </c>
      <c r="M27" s="224">
        <v>0</v>
      </c>
      <c r="N27"/>
      <c r="O27" s="236">
        <v>0</v>
      </c>
      <c r="P27" s="237">
        <v>0</v>
      </c>
      <c r="Q27" s="237">
        <v>0</v>
      </c>
      <c r="R27" s="237">
        <v>2602.48</v>
      </c>
      <c r="S27" s="237">
        <v>1836.38</v>
      </c>
      <c r="T27" s="237">
        <v>16131.84</v>
      </c>
      <c r="U27" s="237">
        <v>0</v>
      </c>
      <c r="V27" s="237">
        <v>3785.5099999999998</v>
      </c>
      <c r="W27" s="238">
        <v>0</v>
      </c>
      <c r="X27"/>
      <c r="Y27">
        <v>0</v>
      </c>
      <c r="Z27" s="224"/>
      <c r="AB27" s="224">
        <v>0</v>
      </c>
      <c r="AC27" s="239">
        <v>0</v>
      </c>
      <c r="AD27"/>
      <c r="AE27"/>
      <c r="AF27" s="224"/>
      <c r="AG27"/>
      <c r="AH27" s="224"/>
      <c r="AI27" s="218"/>
    </row>
    <row r="28" spans="1:35" s="239" customFormat="1" x14ac:dyDescent="0.25">
      <c r="A28" t="s">
        <v>433</v>
      </c>
      <c r="B28" t="s">
        <v>413</v>
      </c>
      <c r="C28" t="s">
        <v>416</v>
      </c>
      <c r="D28" t="s">
        <v>417</v>
      </c>
      <c r="E28" t="s">
        <v>218</v>
      </c>
      <c r="F28"/>
      <c r="G28"/>
      <c r="H28"/>
      <c r="I28" s="235">
        <v>0</v>
      </c>
      <c r="J28" s="235">
        <v>0</v>
      </c>
      <c r="K28" s="235">
        <v>0</v>
      </c>
      <c r="L28" s="224">
        <v>0</v>
      </c>
      <c r="M28" s="224">
        <v>0</v>
      </c>
      <c r="N28"/>
      <c r="O28" s="236">
        <v>0</v>
      </c>
      <c r="P28" s="237">
        <v>0</v>
      </c>
      <c r="Q28" s="237">
        <v>0</v>
      </c>
      <c r="R28" s="237">
        <v>577223.67999999993</v>
      </c>
      <c r="S28" s="237">
        <v>0</v>
      </c>
      <c r="T28" s="237">
        <v>0</v>
      </c>
      <c r="U28" s="237">
        <v>0</v>
      </c>
      <c r="V28" s="237">
        <v>0</v>
      </c>
      <c r="W28" s="238">
        <v>0</v>
      </c>
      <c r="X28"/>
      <c r="Y28">
        <v>0</v>
      </c>
      <c r="Z28" s="224"/>
      <c r="AB28" s="224">
        <v>0</v>
      </c>
      <c r="AC28" s="239">
        <v>0</v>
      </c>
      <c r="AD28"/>
      <c r="AE28"/>
      <c r="AF28" s="224"/>
      <c r="AG28"/>
      <c r="AH28" s="224"/>
      <c r="AI28" s="218"/>
    </row>
    <row r="29" spans="1:35" s="239" customFormat="1" x14ac:dyDescent="0.25">
      <c r="A29" t="s">
        <v>433</v>
      </c>
      <c r="B29" t="s">
        <v>413</v>
      </c>
      <c r="C29" t="s">
        <v>416</v>
      </c>
      <c r="D29" t="s">
        <v>431</v>
      </c>
      <c r="E29" t="s">
        <v>218</v>
      </c>
      <c r="F29"/>
      <c r="G29"/>
      <c r="H29"/>
      <c r="I29" s="235">
        <v>0</v>
      </c>
      <c r="J29" s="235">
        <v>0</v>
      </c>
      <c r="K29" s="235">
        <v>0</v>
      </c>
      <c r="L29" s="224">
        <v>0</v>
      </c>
      <c r="M29" s="224">
        <v>0</v>
      </c>
      <c r="N29"/>
      <c r="O29" s="236">
        <v>0</v>
      </c>
      <c r="P29" s="237">
        <v>0</v>
      </c>
      <c r="Q29" s="237">
        <v>0</v>
      </c>
      <c r="R29" s="237">
        <v>5772236.169999999</v>
      </c>
      <c r="S29" s="237">
        <v>0</v>
      </c>
      <c r="T29" s="237">
        <v>0</v>
      </c>
      <c r="U29" s="237">
        <v>0</v>
      </c>
      <c r="V29" s="237">
        <v>0</v>
      </c>
      <c r="W29" s="238">
        <v>0</v>
      </c>
      <c r="X29"/>
      <c r="Y29">
        <v>0</v>
      </c>
      <c r="Z29" s="224"/>
      <c r="AB29" s="224">
        <v>0</v>
      </c>
      <c r="AC29" s="239">
        <v>0</v>
      </c>
      <c r="AD29"/>
      <c r="AE29"/>
      <c r="AF29" s="224"/>
      <c r="AG29"/>
      <c r="AH29" s="224"/>
      <c r="AI29" s="218"/>
    </row>
    <row r="30" spans="1:35" s="239" customFormat="1" x14ac:dyDescent="0.25">
      <c r="A30" t="s">
        <v>434</v>
      </c>
      <c r="B30" t="s">
        <v>413</v>
      </c>
      <c r="C30" t="s">
        <v>416</v>
      </c>
      <c r="D30" t="s">
        <v>417</v>
      </c>
      <c r="E30" t="s">
        <v>218</v>
      </c>
      <c r="F30"/>
      <c r="G30"/>
      <c r="H30"/>
      <c r="I30" s="235">
        <v>0</v>
      </c>
      <c r="J30" s="235">
        <v>0</v>
      </c>
      <c r="K30" s="235">
        <v>2126298.5900000003</v>
      </c>
      <c r="L30" s="224">
        <v>0</v>
      </c>
      <c r="M30" s="224">
        <v>0</v>
      </c>
      <c r="N30"/>
      <c r="O30" s="236">
        <v>22244.18</v>
      </c>
      <c r="P30" s="237">
        <v>0</v>
      </c>
      <c r="Q30" s="237">
        <v>0</v>
      </c>
      <c r="R30" s="237">
        <v>0</v>
      </c>
      <c r="S30" s="237">
        <v>2292256.4500000002</v>
      </c>
      <c r="T30" s="237">
        <v>9002093.4400000013</v>
      </c>
      <c r="U30" s="237">
        <v>0</v>
      </c>
      <c r="V30" s="237">
        <v>4839809.5299999965</v>
      </c>
      <c r="W30" s="238">
        <v>4314164</v>
      </c>
      <c r="X30"/>
      <c r="Y30">
        <v>0</v>
      </c>
      <c r="Z30" s="224"/>
      <c r="AB30" s="224">
        <v>0</v>
      </c>
      <c r="AC30" s="239">
        <v>1119300</v>
      </c>
      <c r="AD30"/>
      <c r="AE30"/>
      <c r="AF30" s="224"/>
      <c r="AG30"/>
      <c r="AH30" s="224"/>
      <c r="AI30" s="218"/>
    </row>
    <row r="31" spans="1:35" s="239" customFormat="1" x14ac:dyDescent="0.25">
      <c r="A31" t="s">
        <v>435</v>
      </c>
      <c r="B31" t="s">
        <v>413</v>
      </c>
      <c r="C31" t="s">
        <v>414</v>
      </c>
      <c r="D31" t="s">
        <v>415</v>
      </c>
      <c r="E31" t="s">
        <v>202</v>
      </c>
      <c r="F31"/>
      <c r="G31"/>
      <c r="H31"/>
      <c r="I31" s="235">
        <v>0</v>
      </c>
      <c r="J31" s="235">
        <v>0</v>
      </c>
      <c r="K31" s="235">
        <v>0</v>
      </c>
      <c r="L31" s="224">
        <v>0</v>
      </c>
      <c r="M31" s="224">
        <v>0</v>
      </c>
      <c r="N31"/>
      <c r="O31" s="236">
        <v>0</v>
      </c>
      <c r="P31" s="237">
        <v>0</v>
      </c>
      <c r="Q31" s="237">
        <v>0</v>
      </c>
      <c r="R31" s="237">
        <v>0</v>
      </c>
      <c r="S31" s="237">
        <v>4934210.29</v>
      </c>
      <c r="T31" s="237">
        <v>996660.8600000001</v>
      </c>
      <c r="U31" s="237">
        <v>0</v>
      </c>
      <c r="V31" s="237">
        <v>0</v>
      </c>
      <c r="W31" s="238">
        <v>0</v>
      </c>
      <c r="X31"/>
      <c r="Y31">
        <v>0</v>
      </c>
      <c r="Z31" s="224"/>
      <c r="AB31" s="224">
        <v>0</v>
      </c>
      <c r="AC31" s="239">
        <v>0</v>
      </c>
      <c r="AD31"/>
      <c r="AE31"/>
      <c r="AF31" s="224"/>
      <c r="AG31"/>
      <c r="AH31" s="224"/>
      <c r="AI31" s="218"/>
    </row>
    <row r="32" spans="1:35" s="239" customFormat="1" x14ac:dyDescent="0.25">
      <c r="A32" t="s">
        <v>435</v>
      </c>
      <c r="B32" t="s">
        <v>413</v>
      </c>
      <c r="C32" t="s">
        <v>414</v>
      </c>
      <c r="D32" t="s">
        <v>415</v>
      </c>
      <c r="E32" t="s">
        <v>223</v>
      </c>
      <c r="F32"/>
      <c r="G32"/>
      <c r="H32"/>
      <c r="I32" s="235">
        <v>0</v>
      </c>
      <c r="J32" s="235">
        <v>0</v>
      </c>
      <c r="K32" s="235">
        <v>0</v>
      </c>
      <c r="L32" s="224">
        <v>0</v>
      </c>
      <c r="M32" s="224">
        <v>0</v>
      </c>
      <c r="N32"/>
      <c r="O32" s="236">
        <v>0</v>
      </c>
      <c r="P32" s="237">
        <v>0</v>
      </c>
      <c r="Q32" s="237">
        <v>0</v>
      </c>
      <c r="R32" s="237">
        <v>154394419.58000001</v>
      </c>
      <c r="S32" s="237">
        <v>0</v>
      </c>
      <c r="T32" s="237">
        <v>0</v>
      </c>
      <c r="U32" s="237">
        <v>0</v>
      </c>
      <c r="V32" s="237">
        <v>11272.92</v>
      </c>
      <c r="W32" s="238">
        <v>0</v>
      </c>
      <c r="X32"/>
      <c r="Y32">
        <v>0</v>
      </c>
      <c r="Z32" s="224"/>
      <c r="AB32" s="224">
        <v>0</v>
      </c>
      <c r="AC32" s="239">
        <v>0</v>
      </c>
      <c r="AD32"/>
      <c r="AE32"/>
      <c r="AF32" s="224"/>
      <c r="AG32"/>
      <c r="AH32" s="224"/>
      <c r="AI32" s="218"/>
    </row>
    <row r="33" spans="1:35" s="239" customFormat="1" x14ac:dyDescent="0.25">
      <c r="A33" t="s">
        <v>436</v>
      </c>
      <c r="B33" t="s">
        <v>413</v>
      </c>
      <c r="C33" t="s">
        <v>416</v>
      </c>
      <c r="D33" t="s">
        <v>417</v>
      </c>
      <c r="E33" t="s">
        <v>218</v>
      </c>
      <c r="F33"/>
      <c r="G33"/>
      <c r="H33"/>
      <c r="I33" s="235">
        <v>0</v>
      </c>
      <c r="J33" s="235">
        <v>0</v>
      </c>
      <c r="K33" s="235">
        <v>2711752.3</v>
      </c>
      <c r="L33" s="224">
        <v>0</v>
      </c>
      <c r="M33" s="224">
        <v>0</v>
      </c>
      <c r="N33"/>
      <c r="O33" s="236">
        <v>0</v>
      </c>
      <c r="P33" s="237">
        <v>55984167.090000026</v>
      </c>
      <c r="Q33" s="237">
        <v>0</v>
      </c>
      <c r="R33" s="237">
        <v>3463342.0800000001</v>
      </c>
      <c r="S33" s="237">
        <v>31181225.699999992</v>
      </c>
      <c r="T33" s="237">
        <v>6572897.5600000015</v>
      </c>
      <c r="U33" s="237">
        <v>0</v>
      </c>
      <c r="V33" s="237">
        <v>7074711.4099999983</v>
      </c>
      <c r="W33" s="238">
        <v>5278218.46</v>
      </c>
      <c r="X33"/>
      <c r="Y33">
        <v>0</v>
      </c>
      <c r="Z33" s="224"/>
      <c r="AB33" s="224">
        <v>0</v>
      </c>
      <c r="AC33" s="239">
        <v>0</v>
      </c>
      <c r="AD33"/>
      <c r="AE33"/>
      <c r="AF33" s="224"/>
      <c r="AG33"/>
      <c r="AH33" s="224"/>
      <c r="AI33" s="218"/>
    </row>
    <row r="34" spans="1:35" s="239" customFormat="1" x14ac:dyDescent="0.25">
      <c r="A34" t="s">
        <v>433</v>
      </c>
      <c r="B34" t="s">
        <v>413</v>
      </c>
      <c r="C34" t="s">
        <v>414</v>
      </c>
      <c r="D34" t="s">
        <v>419</v>
      </c>
      <c r="E34" t="s">
        <v>213</v>
      </c>
      <c r="F34"/>
      <c r="G34"/>
      <c r="H34"/>
      <c r="I34" s="235">
        <v>0</v>
      </c>
      <c r="J34" s="235">
        <v>0</v>
      </c>
      <c r="K34" s="235">
        <v>0</v>
      </c>
      <c r="L34" s="224">
        <v>0</v>
      </c>
      <c r="M34" s="224">
        <v>0</v>
      </c>
      <c r="N34"/>
      <c r="O34" s="236">
        <v>0</v>
      </c>
      <c r="P34" s="237">
        <v>0</v>
      </c>
      <c r="Q34" s="224">
        <v>0</v>
      </c>
      <c r="R34" s="224">
        <v>1706.04</v>
      </c>
      <c r="S34" s="224">
        <v>0</v>
      </c>
      <c r="T34" s="224">
        <v>0</v>
      </c>
      <c r="U34" s="224">
        <v>0</v>
      </c>
      <c r="V34" s="224">
        <v>0</v>
      </c>
      <c r="W34" s="327">
        <v>0</v>
      </c>
      <c r="X34"/>
      <c r="Y34">
        <v>0</v>
      </c>
      <c r="Z34" s="224"/>
      <c r="AB34" s="224">
        <v>0</v>
      </c>
      <c r="AC34" s="239">
        <v>0</v>
      </c>
      <c r="AD34"/>
      <c r="AE34"/>
      <c r="AF34" s="224"/>
      <c r="AG34"/>
      <c r="AH34" s="224"/>
      <c r="AI34" s="218"/>
    </row>
    <row r="35" spans="1:35" s="239" customFormat="1" x14ac:dyDescent="0.25">
      <c r="A35" t="s">
        <v>433</v>
      </c>
      <c r="B35" t="s">
        <v>413</v>
      </c>
      <c r="C35" t="s">
        <v>416</v>
      </c>
      <c r="D35" t="s">
        <v>431</v>
      </c>
      <c r="E35" t="s">
        <v>218</v>
      </c>
      <c r="F35"/>
      <c r="G35"/>
      <c r="H35"/>
      <c r="I35" s="235">
        <v>0</v>
      </c>
      <c r="J35" s="235">
        <v>0</v>
      </c>
      <c r="K35" s="235"/>
      <c r="L35" s="224"/>
      <c r="M35" s="224"/>
      <c r="N35"/>
      <c r="O35" s="236"/>
      <c r="P35" s="237"/>
      <c r="Q35" s="237"/>
      <c r="R35" s="237"/>
      <c r="S35" s="237"/>
      <c r="T35" s="237"/>
      <c r="U35" s="237"/>
      <c r="V35" s="237"/>
      <c r="W35" s="238"/>
      <c r="X35"/>
      <c r="Y35">
        <v>0</v>
      </c>
      <c r="Z35" s="224"/>
      <c r="AB35" s="224">
        <v>0</v>
      </c>
      <c r="AC35" s="239">
        <v>0</v>
      </c>
      <c r="AD35"/>
      <c r="AE35"/>
      <c r="AF35" s="224"/>
      <c r="AG35"/>
      <c r="AH35" s="224"/>
      <c r="AI35" s="218"/>
    </row>
    <row r="36" spans="1:35" s="239" customFormat="1" x14ac:dyDescent="0.25">
      <c r="A36" t="s">
        <v>242</v>
      </c>
      <c r="B36" t="s">
        <v>413</v>
      </c>
      <c r="C36" t="s">
        <v>416</v>
      </c>
      <c r="D36" t="s">
        <v>417</v>
      </c>
      <c r="E36" t="s">
        <v>218</v>
      </c>
      <c r="F36">
        <v>1</v>
      </c>
      <c r="G36"/>
      <c r="H36"/>
      <c r="I36" s="235">
        <v>0</v>
      </c>
      <c r="J36" s="235">
        <v>0</v>
      </c>
      <c r="K36" s="235">
        <v>0</v>
      </c>
      <c r="L36" s="224">
        <v>32080224.779999994</v>
      </c>
      <c r="M36" s="224">
        <v>0</v>
      </c>
      <c r="N36"/>
      <c r="O36" s="236">
        <v>0</v>
      </c>
      <c r="P36" s="237">
        <v>313220.19000000006</v>
      </c>
      <c r="Q36" s="237">
        <v>0</v>
      </c>
      <c r="R36" s="237">
        <v>933137.57000000007</v>
      </c>
      <c r="S36" s="237">
        <v>21520326.659999985</v>
      </c>
      <c r="T36" s="237">
        <v>5807571.3700000048</v>
      </c>
      <c r="U36" s="237">
        <v>298736.48</v>
      </c>
      <c r="V36" s="237">
        <v>2604484.7500000033</v>
      </c>
      <c r="W36" s="238">
        <v>8161490.7499999991</v>
      </c>
      <c r="X36"/>
      <c r="Y36">
        <v>0</v>
      </c>
      <c r="Z36" s="224"/>
      <c r="AB36" s="224">
        <v>0</v>
      </c>
      <c r="AC36" s="239">
        <v>66047800</v>
      </c>
      <c r="AD36"/>
      <c r="AE36"/>
      <c r="AF36" s="224"/>
      <c r="AG36"/>
      <c r="AH36" s="224"/>
      <c r="AI36" s="218"/>
    </row>
    <row r="37" spans="1:35" s="239" customFormat="1" x14ac:dyDescent="0.25">
      <c r="A37" t="s">
        <v>242</v>
      </c>
      <c r="B37" t="s">
        <v>413</v>
      </c>
      <c r="C37" t="s">
        <v>416</v>
      </c>
      <c r="D37" t="s">
        <v>427</v>
      </c>
      <c r="E37" t="s">
        <v>218</v>
      </c>
      <c r="F37">
        <v>1</v>
      </c>
      <c r="G37"/>
      <c r="H37"/>
      <c r="I37" s="240">
        <v>0</v>
      </c>
      <c r="J37" s="240">
        <v>0</v>
      </c>
      <c r="K37" s="240">
        <v>7408200.6200000001</v>
      </c>
      <c r="L37" s="239">
        <v>2181375.5599999996</v>
      </c>
      <c r="M37" s="239">
        <v>0</v>
      </c>
      <c r="N37"/>
      <c r="O37" s="241">
        <v>0</v>
      </c>
      <c r="P37" s="242">
        <v>287104264.08999997</v>
      </c>
      <c r="Q37" s="242">
        <v>0</v>
      </c>
      <c r="R37" s="242">
        <v>52911435.689999998</v>
      </c>
      <c r="S37" s="242">
        <v>15202566.340000002</v>
      </c>
      <c r="T37" s="242">
        <v>16819915.75999999</v>
      </c>
      <c r="U37" s="242">
        <v>4956390.84</v>
      </c>
      <c r="V37" s="242">
        <v>12128769.540000005</v>
      </c>
      <c r="W37" s="243">
        <v>9739957.6300000008</v>
      </c>
      <c r="X37"/>
      <c r="Y37">
        <v>0</v>
      </c>
      <c r="AB37" s="239">
        <v>0</v>
      </c>
      <c r="AC37" s="239">
        <v>11475100</v>
      </c>
      <c r="AD37"/>
      <c r="AE37"/>
      <c r="AG37"/>
      <c r="AI37" s="218"/>
    </row>
    <row r="38" spans="1:35" s="239" customFormat="1" x14ac:dyDescent="0.25">
      <c r="A38" t="s">
        <v>242</v>
      </c>
      <c r="B38" t="s">
        <v>413</v>
      </c>
      <c r="C38" t="s">
        <v>416</v>
      </c>
      <c r="D38" t="s">
        <v>431</v>
      </c>
      <c r="E38" t="s">
        <v>218</v>
      </c>
      <c r="F38">
        <v>1</v>
      </c>
      <c r="G38">
        <v>1</v>
      </c>
      <c r="H38"/>
      <c r="I38" s="240">
        <v>0</v>
      </c>
      <c r="J38" s="240">
        <v>0</v>
      </c>
      <c r="K38" s="240">
        <v>0</v>
      </c>
      <c r="L38" s="239">
        <v>20589477.049999982</v>
      </c>
      <c r="M38" s="239">
        <v>386058892.07000017</v>
      </c>
      <c r="N38"/>
      <c r="O38" s="241"/>
      <c r="P38" s="242"/>
      <c r="Q38" s="242"/>
      <c r="R38" s="242"/>
      <c r="S38" s="242"/>
      <c r="T38" s="242"/>
      <c r="U38" s="242"/>
      <c r="V38" s="242"/>
      <c r="W38" s="243"/>
      <c r="X38"/>
      <c r="Y38">
        <v>0</v>
      </c>
      <c r="AB38" s="239">
        <v>0</v>
      </c>
      <c r="AC38" s="239">
        <v>41486900</v>
      </c>
      <c r="AD38"/>
      <c r="AE38"/>
      <c r="AG38"/>
      <c r="AI38" s="218"/>
    </row>
    <row r="39" spans="1:35" s="239" customFormat="1" x14ac:dyDescent="0.25">
      <c r="A39" t="s">
        <v>418</v>
      </c>
      <c r="B39" t="s">
        <v>413</v>
      </c>
      <c r="C39" t="s">
        <v>414</v>
      </c>
      <c r="D39" t="s">
        <v>419</v>
      </c>
      <c r="E39" t="s">
        <v>213</v>
      </c>
      <c r="F39"/>
      <c r="G39"/>
      <c r="H39"/>
      <c r="I39" s="235">
        <v>0</v>
      </c>
      <c r="J39" s="235">
        <v>0</v>
      </c>
      <c r="K39" s="235">
        <v>0</v>
      </c>
      <c r="L39" s="224">
        <v>0</v>
      </c>
      <c r="M39" s="224">
        <v>0</v>
      </c>
      <c r="N39"/>
      <c r="O39" s="236">
        <v>0</v>
      </c>
      <c r="P39" s="237">
        <v>0</v>
      </c>
      <c r="Q39" s="224">
        <v>0</v>
      </c>
      <c r="R39" s="224">
        <v>291668161.47000003</v>
      </c>
      <c r="S39" s="224">
        <v>1770631.5299999996</v>
      </c>
      <c r="T39" s="224">
        <v>1182591.97</v>
      </c>
      <c r="U39" s="224">
        <v>0</v>
      </c>
      <c r="V39" s="224"/>
      <c r="W39" s="327"/>
      <c r="X39"/>
      <c r="Y39">
        <v>0</v>
      </c>
      <c r="Z39" s="224"/>
      <c r="AB39" s="224">
        <v>0</v>
      </c>
      <c r="AC39" s="239">
        <v>0</v>
      </c>
      <c r="AD39"/>
      <c r="AE39"/>
      <c r="AF39" s="224"/>
      <c r="AG39"/>
      <c r="AH39" s="224"/>
      <c r="AI39" s="218"/>
    </row>
    <row r="40" spans="1:35" s="239" customFormat="1" x14ac:dyDescent="0.25">
      <c r="A40" t="s">
        <v>432</v>
      </c>
      <c r="B40" t="s">
        <v>413</v>
      </c>
      <c r="C40" t="s">
        <v>414</v>
      </c>
      <c r="D40" t="s">
        <v>422</v>
      </c>
      <c r="E40" t="s">
        <v>213</v>
      </c>
      <c r="F40"/>
      <c r="G40"/>
      <c r="H40" t="s">
        <v>178</v>
      </c>
      <c r="I40" s="240">
        <v>0</v>
      </c>
      <c r="J40" s="240">
        <v>0</v>
      </c>
      <c r="K40" s="240">
        <v>372200.5</v>
      </c>
      <c r="L40" s="239">
        <v>0</v>
      </c>
      <c r="M40" s="239">
        <v>0</v>
      </c>
      <c r="N40"/>
      <c r="O40" s="241">
        <v>0</v>
      </c>
      <c r="P40" s="242">
        <v>0</v>
      </c>
      <c r="Q40" s="242">
        <v>0</v>
      </c>
      <c r="R40" s="242">
        <v>57536.499999999993</v>
      </c>
      <c r="S40" s="242">
        <v>1551255.2400000002</v>
      </c>
      <c r="T40" s="242">
        <v>359545.38</v>
      </c>
      <c r="U40" s="242">
        <v>0</v>
      </c>
      <c r="V40" s="242">
        <v>6502202.7199999979</v>
      </c>
      <c r="W40" s="243">
        <v>82747810.989999995</v>
      </c>
      <c r="X40"/>
      <c r="AB40" s="239">
        <v>0</v>
      </c>
      <c r="AC40" s="239">
        <v>0</v>
      </c>
      <c r="AD40"/>
      <c r="AE40"/>
      <c r="AG40"/>
      <c r="AI40" s="218"/>
    </row>
    <row r="41" spans="1:35" s="239" customFormat="1" x14ac:dyDescent="0.25">
      <c r="A41" t="s">
        <v>432</v>
      </c>
      <c r="B41" t="s">
        <v>413</v>
      </c>
      <c r="C41" t="s">
        <v>416</v>
      </c>
      <c r="D41" t="s">
        <v>427</v>
      </c>
      <c r="E41" t="s">
        <v>218</v>
      </c>
      <c r="F41"/>
      <c r="G41"/>
      <c r="H41"/>
      <c r="I41" s="235">
        <v>0</v>
      </c>
      <c r="J41" s="235">
        <v>0</v>
      </c>
      <c r="K41" s="235">
        <v>0</v>
      </c>
      <c r="L41" s="224">
        <v>0</v>
      </c>
      <c r="M41" s="224">
        <v>0</v>
      </c>
      <c r="N41"/>
      <c r="O41" s="236">
        <v>0</v>
      </c>
      <c r="P41" s="237">
        <v>4078128.26</v>
      </c>
      <c r="Q41" s="237">
        <v>0</v>
      </c>
      <c r="R41" s="237">
        <v>17222382.179999996</v>
      </c>
      <c r="S41" s="237">
        <v>193304.51</v>
      </c>
      <c r="T41" s="237">
        <v>38176.720000000001</v>
      </c>
      <c r="U41" s="237">
        <v>0</v>
      </c>
      <c r="V41" s="237">
        <v>0</v>
      </c>
      <c r="W41" s="238">
        <v>0</v>
      </c>
      <c r="X41"/>
      <c r="Y41">
        <v>0</v>
      </c>
      <c r="Z41" s="224"/>
      <c r="AB41" s="224">
        <v>0</v>
      </c>
      <c r="AC41" s="239">
        <v>0</v>
      </c>
      <c r="AD41"/>
      <c r="AE41"/>
      <c r="AF41" s="224"/>
      <c r="AG41"/>
      <c r="AH41" s="224"/>
      <c r="AI41" s="218"/>
    </row>
    <row r="42" spans="1:35" s="239" customFormat="1" x14ac:dyDescent="0.25">
      <c r="A42" t="s">
        <v>191</v>
      </c>
      <c r="B42" t="s">
        <v>413</v>
      </c>
      <c r="C42" t="s">
        <v>414</v>
      </c>
      <c r="D42" t="s">
        <v>415</v>
      </c>
      <c r="E42" t="s">
        <v>223</v>
      </c>
      <c r="F42"/>
      <c r="G42"/>
      <c r="H42"/>
      <c r="I42" s="235">
        <v>0</v>
      </c>
      <c r="J42" s="235">
        <v>0</v>
      </c>
      <c r="K42" s="235">
        <v>0</v>
      </c>
      <c r="L42" s="224">
        <v>0</v>
      </c>
      <c r="M42" s="224">
        <v>0</v>
      </c>
      <c r="N42"/>
      <c r="O42" s="236">
        <v>0</v>
      </c>
      <c r="P42" s="237">
        <v>0</v>
      </c>
      <c r="Q42" s="237">
        <v>0</v>
      </c>
      <c r="R42" s="237">
        <v>0</v>
      </c>
      <c r="S42" s="237">
        <v>444084.55000000005</v>
      </c>
      <c r="T42" s="237">
        <v>6179097.5899999999</v>
      </c>
      <c r="U42" s="237">
        <v>0</v>
      </c>
      <c r="V42" s="237">
        <v>3264769.54</v>
      </c>
      <c r="W42" s="238">
        <v>340282552.43000001</v>
      </c>
      <c r="X42"/>
      <c r="Y42">
        <v>0</v>
      </c>
      <c r="Z42" s="224"/>
      <c r="AB42" s="224">
        <v>0</v>
      </c>
      <c r="AC42" s="239">
        <v>0</v>
      </c>
      <c r="AD42"/>
      <c r="AE42"/>
      <c r="AF42" s="224"/>
      <c r="AG42"/>
      <c r="AH42" s="224"/>
      <c r="AI42" s="218"/>
    </row>
    <row r="43" spans="1:35" x14ac:dyDescent="0.25">
      <c r="A43" t="s">
        <v>437</v>
      </c>
      <c r="B43" t="s">
        <v>413</v>
      </c>
      <c r="C43" t="s">
        <v>414</v>
      </c>
      <c r="D43" t="s">
        <v>415</v>
      </c>
      <c r="E43" t="s">
        <v>223</v>
      </c>
      <c r="I43" s="235">
        <v>0</v>
      </c>
      <c r="J43" s="235">
        <v>0</v>
      </c>
      <c r="K43" s="235">
        <v>0</v>
      </c>
      <c r="L43" s="224">
        <v>0</v>
      </c>
      <c r="M43" s="224">
        <v>0</v>
      </c>
      <c r="O43" s="236">
        <v>0</v>
      </c>
      <c r="P43" s="237">
        <v>0</v>
      </c>
      <c r="Q43" s="237">
        <v>0</v>
      </c>
      <c r="R43" s="237">
        <v>0</v>
      </c>
      <c r="S43" s="237">
        <v>0</v>
      </c>
      <c r="T43" s="237">
        <v>0</v>
      </c>
      <c r="U43" s="237">
        <v>0</v>
      </c>
      <c r="V43" s="237">
        <v>72525.900000000009</v>
      </c>
      <c r="W43" s="238">
        <v>0</v>
      </c>
      <c r="Y43">
        <v>0</v>
      </c>
      <c r="Z43" s="224"/>
      <c r="AB43" s="224">
        <v>0</v>
      </c>
      <c r="AC43" s="239">
        <v>0</v>
      </c>
      <c r="AF43" s="224"/>
      <c r="AH43" s="224"/>
      <c r="AI43" s="218"/>
    </row>
    <row r="44" spans="1:35" x14ac:dyDescent="0.25">
      <c r="A44" t="s">
        <v>438</v>
      </c>
      <c r="B44" t="s">
        <v>413</v>
      </c>
      <c r="C44" t="s">
        <v>414</v>
      </c>
      <c r="D44" t="s">
        <v>419</v>
      </c>
      <c r="E44" t="s">
        <v>213</v>
      </c>
      <c r="I44" s="235">
        <v>0</v>
      </c>
      <c r="J44" s="235">
        <v>0</v>
      </c>
      <c r="K44" s="235">
        <v>0</v>
      </c>
      <c r="L44" s="224">
        <v>0</v>
      </c>
      <c r="M44" s="224">
        <v>0</v>
      </c>
      <c r="O44" s="236">
        <v>0</v>
      </c>
      <c r="P44" s="237">
        <v>0</v>
      </c>
      <c r="Q44" s="224">
        <v>0</v>
      </c>
      <c r="R44" s="224">
        <v>2267890.4699999997</v>
      </c>
      <c r="S44" s="224">
        <v>0</v>
      </c>
      <c r="T44" s="224">
        <v>0</v>
      </c>
      <c r="U44" s="224">
        <v>0</v>
      </c>
      <c r="V44" s="224">
        <v>0</v>
      </c>
      <c r="W44" s="327">
        <v>0</v>
      </c>
      <c r="Y44">
        <v>0</v>
      </c>
      <c r="Z44" s="224"/>
      <c r="AB44" s="224">
        <v>0</v>
      </c>
      <c r="AC44" s="239">
        <v>0</v>
      </c>
      <c r="AF44" s="224"/>
      <c r="AH44" s="224"/>
      <c r="AI44" s="218"/>
    </row>
    <row r="45" spans="1:35" x14ac:dyDescent="0.25">
      <c r="A45" t="s">
        <v>438</v>
      </c>
      <c r="B45" t="s">
        <v>413</v>
      </c>
      <c r="C45" t="s">
        <v>414</v>
      </c>
      <c r="D45" t="s">
        <v>422</v>
      </c>
      <c r="E45" t="s">
        <v>213</v>
      </c>
      <c r="I45" s="240">
        <v>0</v>
      </c>
      <c r="J45" s="240">
        <v>0</v>
      </c>
      <c r="K45" s="240">
        <v>1319912.03</v>
      </c>
      <c r="L45" s="239">
        <v>0</v>
      </c>
      <c r="M45" s="239">
        <v>0</v>
      </c>
      <c r="O45" s="241">
        <v>0</v>
      </c>
      <c r="P45" s="242">
        <v>0</v>
      </c>
      <c r="Q45" s="242">
        <v>0</v>
      </c>
      <c r="R45" s="242">
        <v>0</v>
      </c>
      <c r="S45" s="242">
        <v>4238369.4399999985</v>
      </c>
      <c r="T45" s="242">
        <v>6529418.2500000047</v>
      </c>
      <c r="U45" s="242">
        <v>0</v>
      </c>
      <c r="V45" s="242">
        <v>3415503.9399999985</v>
      </c>
      <c r="W45" s="243">
        <v>12691352.42</v>
      </c>
      <c r="Y45">
        <v>0</v>
      </c>
      <c r="Z45" s="239"/>
      <c r="AB45" s="239">
        <v>0</v>
      </c>
      <c r="AC45" s="239">
        <v>0</v>
      </c>
      <c r="AF45" s="239"/>
      <c r="AH45" s="239"/>
      <c r="AI45" s="218"/>
    </row>
    <row r="46" spans="1:35" x14ac:dyDescent="0.25">
      <c r="A46" t="s">
        <v>412</v>
      </c>
      <c r="B46" t="s">
        <v>413</v>
      </c>
      <c r="C46" t="s">
        <v>439</v>
      </c>
      <c r="D46" t="s">
        <v>440</v>
      </c>
      <c r="H46" t="s">
        <v>178</v>
      </c>
      <c r="I46" s="235">
        <v>0</v>
      </c>
      <c r="J46" s="235">
        <v>0</v>
      </c>
      <c r="K46" s="235">
        <v>0</v>
      </c>
      <c r="L46" s="224">
        <v>0</v>
      </c>
      <c r="M46" s="224">
        <v>0</v>
      </c>
      <c r="X46" s="239">
        <v>247305072.95999762</v>
      </c>
      <c r="Y46" s="239">
        <v>503783834.83709246</v>
      </c>
      <c r="Z46" s="239">
        <v>85640665.380000025</v>
      </c>
      <c r="AB46" s="224">
        <v>0</v>
      </c>
      <c r="AC46" s="239">
        <v>473767979.99310005</v>
      </c>
      <c r="AF46" s="224"/>
      <c r="AH46" s="224">
        <v>797692429.12999988</v>
      </c>
      <c r="AI46" s="218"/>
    </row>
    <row r="47" spans="1:35" x14ac:dyDescent="0.25">
      <c r="A47" t="s">
        <v>421</v>
      </c>
      <c r="B47" t="s">
        <v>413</v>
      </c>
      <c r="C47" t="s">
        <v>439</v>
      </c>
      <c r="D47" t="s">
        <v>441</v>
      </c>
      <c r="H47" t="s">
        <v>178</v>
      </c>
      <c r="I47" s="235">
        <v>0</v>
      </c>
      <c r="J47" s="235">
        <v>0</v>
      </c>
      <c r="K47" s="235">
        <v>0</v>
      </c>
      <c r="L47" s="224">
        <v>0</v>
      </c>
      <c r="M47" s="224">
        <v>0</v>
      </c>
      <c r="X47" s="224">
        <v>335000188.86999112</v>
      </c>
      <c r="Y47" s="237">
        <v>452467116.17482156</v>
      </c>
      <c r="Z47" s="224">
        <v>88521769.470000029</v>
      </c>
      <c r="AB47" s="224">
        <v>0</v>
      </c>
      <c r="AC47" s="239">
        <v>464654798.07890016</v>
      </c>
      <c r="AF47" s="224"/>
      <c r="AH47" s="224"/>
      <c r="AI47" s="218"/>
    </row>
    <row r="48" spans="1:35" x14ac:dyDescent="0.25">
      <c r="A48" t="s">
        <v>420</v>
      </c>
      <c r="B48" t="s">
        <v>413</v>
      </c>
      <c r="C48" t="s">
        <v>439</v>
      </c>
      <c r="D48" t="s">
        <v>440</v>
      </c>
      <c r="H48" t="s">
        <v>178</v>
      </c>
      <c r="I48" s="235">
        <v>0</v>
      </c>
      <c r="J48" s="235">
        <v>0</v>
      </c>
      <c r="K48" s="235">
        <v>0</v>
      </c>
      <c r="L48" s="224">
        <v>0</v>
      </c>
      <c r="M48" s="224">
        <v>0</v>
      </c>
      <c r="X48" s="224">
        <v>327858052.19999248</v>
      </c>
      <c r="Y48" s="237">
        <v>464562158.48653579</v>
      </c>
      <c r="Z48" s="224">
        <v>180261047.33000004</v>
      </c>
      <c r="AA48" s="239">
        <v>94815880.11999999</v>
      </c>
      <c r="AB48" s="224">
        <v>0</v>
      </c>
      <c r="AC48" s="239">
        <v>0</v>
      </c>
      <c r="AF48" s="224"/>
      <c r="AH48" s="224">
        <v>441584308.78997934</v>
      </c>
      <c r="AI48" s="218"/>
    </row>
    <row r="49" spans="1:35" x14ac:dyDescent="0.25">
      <c r="A49" t="s">
        <v>429</v>
      </c>
      <c r="B49" t="s">
        <v>413</v>
      </c>
      <c r="C49" t="s">
        <v>439</v>
      </c>
      <c r="D49" t="s">
        <v>442</v>
      </c>
      <c r="H49" t="s">
        <v>178</v>
      </c>
      <c r="I49" s="235">
        <v>0</v>
      </c>
      <c r="J49" s="235">
        <v>0</v>
      </c>
      <c r="K49" s="235">
        <v>0</v>
      </c>
      <c r="L49" s="224">
        <v>0</v>
      </c>
      <c r="M49" s="224">
        <v>0</v>
      </c>
      <c r="X49" s="224">
        <v>168158943.18000051</v>
      </c>
      <c r="Y49" s="237">
        <v>189751569.22079641</v>
      </c>
      <c r="Z49" s="224">
        <v>53939151.619999968</v>
      </c>
      <c r="AA49" s="239">
        <v>44545705.969999999</v>
      </c>
      <c r="AB49" s="224">
        <v>0</v>
      </c>
      <c r="AC49" s="239">
        <v>201456929.39970002</v>
      </c>
      <c r="AF49" s="224"/>
      <c r="AH49" s="224"/>
      <c r="AI49" s="218"/>
    </row>
    <row r="50" spans="1:35" x14ac:dyDescent="0.25">
      <c r="A50" t="s">
        <v>430</v>
      </c>
      <c r="B50" t="s">
        <v>413</v>
      </c>
      <c r="C50" t="s">
        <v>443</v>
      </c>
      <c r="D50" t="s">
        <v>444</v>
      </c>
      <c r="H50" t="s">
        <v>178</v>
      </c>
      <c r="I50" s="235">
        <v>0</v>
      </c>
      <c r="J50" s="235">
        <v>0</v>
      </c>
      <c r="K50" s="235">
        <v>0</v>
      </c>
      <c r="L50" s="224">
        <v>0</v>
      </c>
      <c r="M50" s="224">
        <v>0</v>
      </c>
      <c r="X50" s="224">
        <v>861184868.71993637</v>
      </c>
      <c r="Y50" s="237">
        <v>0</v>
      </c>
      <c r="Z50" s="224">
        <v>27667156.770000115</v>
      </c>
      <c r="AB50" s="224">
        <v>0</v>
      </c>
      <c r="AC50" s="239">
        <v>543043386.05659974</v>
      </c>
      <c r="AF50" s="224">
        <v>6303087651.7899857</v>
      </c>
      <c r="AH50" s="224">
        <v>678400252.71000004</v>
      </c>
      <c r="AI50" s="218"/>
    </row>
    <row r="51" spans="1:35" x14ac:dyDescent="0.25">
      <c r="A51" t="s">
        <v>430</v>
      </c>
      <c r="B51" t="s">
        <v>413</v>
      </c>
      <c r="C51" t="s">
        <v>443</v>
      </c>
      <c r="D51" t="s">
        <v>445</v>
      </c>
      <c r="H51" t="s">
        <v>178</v>
      </c>
      <c r="I51" s="235">
        <v>0</v>
      </c>
      <c r="J51" s="235">
        <v>0</v>
      </c>
      <c r="K51" s="235">
        <v>0</v>
      </c>
      <c r="L51" s="224">
        <v>0</v>
      </c>
      <c r="M51" s="224">
        <v>0</v>
      </c>
      <c r="X51" s="224">
        <v>171392421.51000053</v>
      </c>
      <c r="Y51" s="237">
        <v>168647758.31386948</v>
      </c>
      <c r="Z51" s="224">
        <v>327850130.53999865</v>
      </c>
      <c r="AB51" s="224">
        <v>1006884.1399999999</v>
      </c>
      <c r="AC51" s="239">
        <v>567872517.65789998</v>
      </c>
      <c r="AF51" s="224"/>
      <c r="AH51" s="224">
        <v>1812890091.9499843</v>
      </c>
      <c r="AI51" s="218"/>
    </row>
    <row r="52" spans="1:35" x14ac:dyDescent="0.25">
      <c r="A52" t="s">
        <v>434</v>
      </c>
      <c r="B52" t="s">
        <v>413</v>
      </c>
      <c r="C52" t="s">
        <v>439</v>
      </c>
      <c r="D52" t="s">
        <v>440</v>
      </c>
      <c r="H52" t="s">
        <v>178</v>
      </c>
      <c r="I52" s="235">
        <v>0</v>
      </c>
      <c r="J52" s="235">
        <v>0</v>
      </c>
      <c r="K52" s="235">
        <v>0</v>
      </c>
      <c r="L52" s="224">
        <v>0</v>
      </c>
      <c r="M52" s="224">
        <v>0</v>
      </c>
      <c r="X52" s="224">
        <v>272076777.15999776</v>
      </c>
      <c r="Y52" s="237">
        <v>325771274.38220084</v>
      </c>
      <c r="Z52" s="224">
        <v>91928891.25</v>
      </c>
      <c r="AB52" s="224">
        <v>0</v>
      </c>
      <c r="AC52" s="239">
        <v>534932683.48779994</v>
      </c>
      <c r="AF52" s="224"/>
      <c r="AH52" s="224"/>
      <c r="AI52" s="218"/>
    </row>
    <row r="53" spans="1:35" x14ac:dyDescent="0.25">
      <c r="A53" t="s">
        <v>434</v>
      </c>
      <c r="B53" t="s">
        <v>413</v>
      </c>
      <c r="C53" t="s">
        <v>443</v>
      </c>
      <c r="D53" t="s">
        <v>444</v>
      </c>
      <c r="H53" t="s">
        <v>178</v>
      </c>
      <c r="I53" s="235">
        <v>0</v>
      </c>
      <c r="J53" s="235">
        <v>0</v>
      </c>
      <c r="K53" s="235">
        <v>0</v>
      </c>
      <c r="L53" s="224">
        <v>0</v>
      </c>
      <c r="M53" s="224">
        <v>0</v>
      </c>
      <c r="X53" s="224">
        <v>0</v>
      </c>
      <c r="Y53" s="237">
        <v>0</v>
      </c>
      <c r="Z53" s="224"/>
      <c r="AB53" s="224">
        <v>0</v>
      </c>
      <c r="AC53" s="239">
        <v>1785014.0099999998</v>
      </c>
      <c r="AF53" s="224"/>
      <c r="AH53" s="224"/>
      <c r="AI53" s="218"/>
    </row>
    <row r="54" spans="1:35" x14ac:dyDescent="0.25">
      <c r="A54" t="s">
        <v>436</v>
      </c>
      <c r="B54" t="s">
        <v>413</v>
      </c>
      <c r="C54" t="s">
        <v>443</v>
      </c>
      <c r="D54" t="s">
        <v>445</v>
      </c>
      <c r="H54" t="s">
        <v>178</v>
      </c>
      <c r="I54" s="235">
        <v>0</v>
      </c>
      <c r="J54" s="235">
        <v>0</v>
      </c>
      <c r="K54" s="235">
        <v>0</v>
      </c>
      <c r="L54" s="224">
        <v>0</v>
      </c>
      <c r="M54" s="224">
        <v>0</v>
      </c>
      <c r="X54" s="224">
        <v>263014630.07999805</v>
      </c>
      <c r="Y54" s="237">
        <v>381032146.97869897</v>
      </c>
      <c r="Z54" s="224">
        <v>158178557.2100001</v>
      </c>
      <c r="AB54" s="224">
        <v>0</v>
      </c>
      <c r="AC54" s="239">
        <v>607576306.9467001</v>
      </c>
      <c r="AF54" s="224"/>
      <c r="AH54" s="224"/>
      <c r="AI54" s="218"/>
    </row>
    <row r="55" spans="1:35" x14ac:dyDescent="0.25">
      <c r="A55" t="s">
        <v>433</v>
      </c>
      <c r="B55" t="s">
        <v>413</v>
      </c>
      <c r="C55" t="s">
        <v>443</v>
      </c>
      <c r="D55" t="s">
        <v>445</v>
      </c>
      <c r="H55" t="s">
        <v>178</v>
      </c>
      <c r="I55" s="235">
        <v>0</v>
      </c>
      <c r="J55" s="235">
        <v>0</v>
      </c>
      <c r="K55" s="235">
        <v>0</v>
      </c>
      <c r="L55" s="224">
        <v>0</v>
      </c>
      <c r="M55" s="224">
        <v>0</v>
      </c>
      <c r="X55" s="224">
        <v>318947610.75999486</v>
      </c>
      <c r="Y55" s="237">
        <v>413642670.97659457</v>
      </c>
      <c r="Z55" s="224">
        <v>65133619.999999963</v>
      </c>
      <c r="AB55" s="224">
        <v>0</v>
      </c>
      <c r="AC55" s="239">
        <v>489575548.97810006</v>
      </c>
      <c r="AF55" s="224"/>
      <c r="AH55" s="224"/>
      <c r="AI55" s="218"/>
    </row>
    <row r="56" spans="1:35" x14ac:dyDescent="0.25">
      <c r="A56" t="s">
        <v>426</v>
      </c>
      <c r="B56" t="s">
        <v>413</v>
      </c>
      <c r="C56" t="s">
        <v>439</v>
      </c>
      <c r="D56" t="s">
        <v>441</v>
      </c>
      <c r="H56" t="s">
        <v>178</v>
      </c>
      <c r="I56" s="235">
        <v>0</v>
      </c>
      <c r="J56" s="235">
        <v>0</v>
      </c>
      <c r="K56" s="235">
        <v>0</v>
      </c>
      <c r="L56" s="224">
        <v>0</v>
      </c>
      <c r="M56" s="224">
        <v>0</v>
      </c>
      <c r="X56" s="224">
        <v>243106637.13999912</v>
      </c>
      <c r="Y56" s="237">
        <v>349866227.91759664</v>
      </c>
      <c r="Z56" s="224">
        <v>62439194.240000017</v>
      </c>
      <c r="AB56" s="224">
        <v>0</v>
      </c>
      <c r="AC56" s="239">
        <v>371177128.75099981</v>
      </c>
      <c r="AF56" s="224"/>
      <c r="AH56" s="224"/>
      <c r="AI56" s="218"/>
    </row>
    <row r="57" spans="1:35" x14ac:dyDescent="0.25">
      <c r="A57" t="s">
        <v>428</v>
      </c>
      <c r="B57" t="s">
        <v>413</v>
      </c>
      <c r="C57" t="s">
        <v>439</v>
      </c>
      <c r="D57" t="s">
        <v>441</v>
      </c>
      <c r="H57" t="s">
        <v>178</v>
      </c>
      <c r="I57" s="235">
        <v>0</v>
      </c>
      <c r="J57" s="235">
        <v>0</v>
      </c>
      <c r="K57" s="235">
        <v>0</v>
      </c>
      <c r="L57" s="224">
        <v>0</v>
      </c>
      <c r="M57" s="224">
        <v>0</v>
      </c>
      <c r="X57" s="224">
        <v>198526735.4500002</v>
      </c>
      <c r="Y57" s="237">
        <v>420186509.03882891</v>
      </c>
      <c r="Z57" s="224">
        <v>39368382.909999989</v>
      </c>
      <c r="AB57" s="224">
        <v>0</v>
      </c>
      <c r="AC57" s="239">
        <v>340990386.10000014</v>
      </c>
      <c r="AF57" s="224"/>
      <c r="AG57" s="224"/>
      <c r="AH57" s="224"/>
      <c r="AI57" s="218"/>
    </row>
    <row r="58" spans="1:35" x14ac:dyDescent="0.25">
      <c r="A58" t="s">
        <v>242</v>
      </c>
      <c r="B58" t="s">
        <v>413</v>
      </c>
      <c r="C58" t="s">
        <v>443</v>
      </c>
      <c r="D58" t="s">
        <v>444</v>
      </c>
      <c r="H58" t="s">
        <v>178</v>
      </c>
      <c r="I58" s="235">
        <v>0</v>
      </c>
      <c r="J58" s="235">
        <v>0</v>
      </c>
      <c r="K58" s="235">
        <v>0</v>
      </c>
      <c r="L58" s="224">
        <v>0</v>
      </c>
      <c r="M58" s="224">
        <v>0</v>
      </c>
      <c r="X58" s="224">
        <v>1125179209.9998896</v>
      </c>
      <c r="Y58" s="237">
        <v>0</v>
      </c>
      <c r="Z58" s="224">
        <v>223060835.94999215</v>
      </c>
      <c r="AB58" s="224">
        <v>0</v>
      </c>
      <c r="AC58" s="239">
        <v>1256610687.3800988</v>
      </c>
      <c r="AF58" s="224"/>
      <c r="AH58" s="224"/>
      <c r="AI58" s="218"/>
    </row>
    <row r="59" spans="1:35" x14ac:dyDescent="0.25">
      <c r="A59" t="s">
        <v>418</v>
      </c>
      <c r="B59" t="s">
        <v>413</v>
      </c>
      <c r="C59" t="s">
        <v>439</v>
      </c>
      <c r="D59" t="s">
        <v>446</v>
      </c>
      <c r="H59" t="s">
        <v>178</v>
      </c>
      <c r="I59" s="235">
        <v>0</v>
      </c>
      <c r="J59" s="235">
        <v>0</v>
      </c>
      <c r="K59" s="235">
        <v>0</v>
      </c>
      <c r="L59" s="224">
        <v>0</v>
      </c>
      <c r="M59" s="224">
        <v>0</v>
      </c>
      <c r="X59" s="224">
        <v>371076146.47998959</v>
      </c>
      <c r="Y59" s="237">
        <v>482310646.0837146</v>
      </c>
      <c r="Z59" s="224">
        <v>199384797.59000024</v>
      </c>
      <c r="AB59" s="224">
        <v>0</v>
      </c>
      <c r="AC59" s="239">
        <v>638591919.81389999</v>
      </c>
      <c r="AF59" s="224"/>
      <c r="AH59" s="224"/>
      <c r="AI59" s="218"/>
    </row>
    <row r="60" spans="1:35" x14ac:dyDescent="0.25">
      <c r="A60" t="s">
        <v>432</v>
      </c>
      <c r="B60" t="s">
        <v>413</v>
      </c>
      <c r="C60" t="s">
        <v>439</v>
      </c>
      <c r="D60" t="s">
        <v>446</v>
      </c>
      <c r="H60" t="s">
        <v>178</v>
      </c>
      <c r="I60" s="235">
        <v>0</v>
      </c>
      <c r="J60" s="235">
        <v>0</v>
      </c>
      <c r="K60" s="235">
        <v>0</v>
      </c>
      <c r="L60" s="224">
        <v>0</v>
      </c>
      <c r="M60" s="224">
        <v>0</v>
      </c>
      <c r="X60" s="239">
        <v>657559626.91997981</v>
      </c>
      <c r="Y60" s="242">
        <v>578638019.38634253</v>
      </c>
      <c r="Z60" s="239">
        <v>274497147.76000029</v>
      </c>
      <c r="AA60" s="239">
        <v>110649503.47999999</v>
      </c>
      <c r="AB60" s="224">
        <v>0</v>
      </c>
      <c r="AC60" s="239">
        <v>970857482.53520048</v>
      </c>
      <c r="AF60" s="224"/>
      <c r="AH60" s="224"/>
      <c r="AI60" s="218"/>
    </row>
    <row r="61" spans="1:35" x14ac:dyDescent="0.25">
      <c r="A61" t="s">
        <v>438</v>
      </c>
      <c r="B61" t="s">
        <v>413</v>
      </c>
      <c r="C61" t="s">
        <v>439</v>
      </c>
      <c r="D61" t="s">
        <v>442</v>
      </c>
      <c r="H61" t="s">
        <v>178</v>
      </c>
      <c r="I61" s="235">
        <v>0</v>
      </c>
      <c r="J61" s="235">
        <v>0</v>
      </c>
      <c r="K61" s="235">
        <v>0</v>
      </c>
      <c r="L61" s="224">
        <v>0</v>
      </c>
      <c r="M61" s="224">
        <v>0</v>
      </c>
      <c r="X61" s="239">
        <v>512599553.58997375</v>
      </c>
      <c r="Y61" s="242">
        <v>574209887.24720383</v>
      </c>
      <c r="Z61" s="239">
        <v>430110605.31999576</v>
      </c>
      <c r="AA61" s="239">
        <v>87805182.109999955</v>
      </c>
      <c r="AB61" s="224">
        <v>27130505.840957616</v>
      </c>
      <c r="AC61" s="239">
        <v>1097746765.7857997</v>
      </c>
      <c r="AF61" s="224"/>
      <c r="AH61" s="224"/>
      <c r="AI61" s="218"/>
    </row>
    <row r="62" spans="1:35" x14ac:dyDescent="0.25">
      <c r="A62" t="s">
        <v>430</v>
      </c>
      <c r="B62" t="s">
        <v>413</v>
      </c>
      <c r="C62" t="s">
        <v>443</v>
      </c>
      <c r="D62" t="s">
        <v>447</v>
      </c>
      <c r="H62" t="s">
        <v>178</v>
      </c>
      <c r="I62" s="235">
        <v>0</v>
      </c>
      <c r="J62" s="235">
        <v>0</v>
      </c>
      <c r="K62" s="235">
        <v>0</v>
      </c>
      <c r="L62" s="224">
        <v>0</v>
      </c>
      <c r="M62" s="224">
        <v>0</v>
      </c>
      <c r="Y62" s="237">
        <v>713715427.75432146</v>
      </c>
      <c r="Z62" s="224">
        <v>333368249.4799943</v>
      </c>
      <c r="AB62" s="224">
        <v>0</v>
      </c>
      <c r="AC62" s="239">
        <v>561781057.31280017</v>
      </c>
      <c r="AF62" s="224"/>
      <c r="AG62" s="224">
        <v>6719346137.1697178</v>
      </c>
      <c r="AH62" s="224">
        <v>1141757964.7299979</v>
      </c>
      <c r="AI62" s="218"/>
    </row>
    <row r="63" spans="1:35" x14ac:dyDescent="0.25">
      <c r="A63" t="s">
        <v>242</v>
      </c>
      <c r="B63" t="s">
        <v>413</v>
      </c>
      <c r="C63" t="s">
        <v>443</v>
      </c>
      <c r="D63" t="s">
        <v>447</v>
      </c>
      <c r="H63" t="s">
        <v>178</v>
      </c>
      <c r="I63" s="235">
        <v>0</v>
      </c>
      <c r="J63" s="235">
        <v>0</v>
      </c>
      <c r="K63" s="235">
        <v>0</v>
      </c>
      <c r="L63" s="224">
        <v>0</v>
      </c>
      <c r="M63" s="224">
        <v>0</v>
      </c>
      <c r="Y63" s="237">
        <v>681205009.59095716</v>
      </c>
      <c r="Z63" s="224">
        <v>517084809.93997043</v>
      </c>
      <c r="AB63" s="224">
        <v>0</v>
      </c>
      <c r="AC63" s="239">
        <v>705518663.33519995</v>
      </c>
      <c r="AF63" s="224"/>
      <c r="AG63" s="245"/>
      <c r="AH63" s="224"/>
      <c r="AI63" s="218"/>
    </row>
    <row r="64" spans="1:35" x14ac:dyDescent="0.25">
      <c r="A64" t="s">
        <v>432</v>
      </c>
      <c r="B64" t="s">
        <v>413</v>
      </c>
      <c r="C64" t="s">
        <v>439</v>
      </c>
      <c r="D64" t="s">
        <v>442</v>
      </c>
      <c r="H64" t="s">
        <v>178</v>
      </c>
      <c r="I64" s="240">
        <v>0</v>
      </c>
      <c r="J64" s="240">
        <v>0</v>
      </c>
      <c r="K64" s="240">
        <v>0</v>
      </c>
      <c r="L64" s="239">
        <v>0</v>
      </c>
      <c r="M64" s="239">
        <v>0</v>
      </c>
      <c r="Y64" s="242">
        <v>19555880.780000001</v>
      </c>
      <c r="Z64" s="239">
        <v>18987565.710000012</v>
      </c>
      <c r="AB64" s="239">
        <v>0</v>
      </c>
      <c r="AC64" s="239">
        <v>0</v>
      </c>
      <c r="AF64" s="239"/>
      <c r="AH64" s="239"/>
      <c r="AI64" s="218"/>
    </row>
    <row r="65" spans="1:35" x14ac:dyDescent="0.25">
      <c r="A65" t="s">
        <v>242</v>
      </c>
      <c r="B65" t="s">
        <v>413</v>
      </c>
      <c r="C65" t="s">
        <v>443</v>
      </c>
      <c r="D65" t="s">
        <v>445</v>
      </c>
      <c r="H65" t="s">
        <v>178</v>
      </c>
      <c r="I65" s="235">
        <v>0</v>
      </c>
      <c r="J65" s="235">
        <v>0</v>
      </c>
      <c r="K65" s="235">
        <v>0</v>
      </c>
      <c r="L65" s="224">
        <v>0</v>
      </c>
      <c r="M65" s="224">
        <v>0</v>
      </c>
      <c r="Y65">
        <v>0</v>
      </c>
      <c r="Z65" s="224">
        <v>1069481198.1399873</v>
      </c>
      <c r="AB65" s="224">
        <v>2013768.2799999998</v>
      </c>
      <c r="AC65" s="239">
        <v>886176641.00030017</v>
      </c>
      <c r="AF65" s="224"/>
      <c r="AH65" s="224"/>
      <c r="AI65" s="218"/>
    </row>
    <row r="66" spans="1:35" x14ac:dyDescent="0.25">
      <c r="A66" t="s">
        <v>420</v>
      </c>
      <c r="B66" t="s">
        <v>413</v>
      </c>
      <c r="C66" t="s">
        <v>439</v>
      </c>
      <c r="D66" t="s">
        <v>446</v>
      </c>
      <c r="I66" s="235">
        <v>0</v>
      </c>
      <c r="J66" s="235">
        <v>0</v>
      </c>
      <c r="K66" s="235">
        <v>0</v>
      </c>
      <c r="L66" s="224">
        <v>0</v>
      </c>
      <c r="M66" s="224">
        <v>0</v>
      </c>
      <c r="Y66">
        <v>0</v>
      </c>
      <c r="AB66" s="224">
        <v>0</v>
      </c>
      <c r="AC66" s="239">
        <v>0</v>
      </c>
      <c r="AF66" s="224"/>
      <c r="AH66" s="224"/>
      <c r="AI66" s="218"/>
    </row>
    <row r="67" spans="1:35" x14ac:dyDescent="0.25">
      <c r="A67" t="s">
        <v>421</v>
      </c>
      <c r="B67" t="s">
        <v>413</v>
      </c>
      <c r="C67" t="s">
        <v>414</v>
      </c>
      <c r="D67" t="s">
        <v>415</v>
      </c>
      <c r="I67" s="235">
        <v>0</v>
      </c>
      <c r="J67" s="235">
        <v>0</v>
      </c>
      <c r="K67" s="235">
        <v>0</v>
      </c>
      <c r="L67" s="224">
        <v>0</v>
      </c>
      <c r="M67" s="224">
        <v>16316055.810000001</v>
      </c>
      <c r="Y67">
        <v>0</v>
      </c>
      <c r="AA67" s="239">
        <v>7677667.8400000026</v>
      </c>
      <c r="AB67" s="224">
        <v>0</v>
      </c>
      <c r="AC67" s="239">
        <v>0</v>
      </c>
      <c r="AF67" s="224"/>
      <c r="AH67" s="224"/>
      <c r="AI67" s="218"/>
    </row>
    <row r="68" spans="1:35" x14ac:dyDescent="0.25">
      <c r="A68" t="s">
        <v>438</v>
      </c>
      <c r="B68" t="s">
        <v>413</v>
      </c>
      <c r="C68" t="s">
        <v>414</v>
      </c>
      <c r="D68" t="s">
        <v>415</v>
      </c>
      <c r="I68" s="235">
        <v>0</v>
      </c>
      <c r="J68" s="235">
        <v>0</v>
      </c>
      <c r="K68" s="235">
        <v>0</v>
      </c>
      <c r="L68" s="224">
        <v>0</v>
      </c>
      <c r="M68" s="224">
        <v>27312790.859999999</v>
      </c>
      <c r="Y68">
        <v>0</v>
      </c>
      <c r="AB68" s="224">
        <v>0</v>
      </c>
      <c r="AC68" s="239">
        <v>0</v>
      </c>
      <c r="AF68" s="224"/>
      <c r="AH68" s="224"/>
      <c r="AI68" s="218"/>
    </row>
    <row r="69" spans="1:35" x14ac:dyDescent="0.25">
      <c r="A69" t="s">
        <v>434</v>
      </c>
      <c r="B69" t="s">
        <v>413</v>
      </c>
      <c r="C69" t="s">
        <v>416</v>
      </c>
      <c r="D69" t="s">
        <v>431</v>
      </c>
      <c r="E69" t="s">
        <v>218</v>
      </c>
      <c r="I69" s="220">
        <v>0</v>
      </c>
      <c r="J69" s="220">
        <v>0</v>
      </c>
      <c r="K69" s="220">
        <v>0</v>
      </c>
      <c r="L69" s="220">
        <v>1456400.8099999996</v>
      </c>
      <c r="M69" s="220">
        <v>0</v>
      </c>
      <c r="O69"/>
      <c r="W69"/>
      <c r="Y69">
        <v>0</v>
      </c>
      <c r="AA69" s="278"/>
      <c r="AB69" s="220">
        <v>0</v>
      </c>
      <c r="AC69" s="239">
        <v>0</v>
      </c>
      <c r="AF69" s="220"/>
      <c r="AH69" s="220"/>
      <c r="AI69" s="218"/>
    </row>
    <row r="70" spans="1:35" s="246" customFormat="1" x14ac:dyDescent="0.25">
      <c r="A70" s="246" t="s">
        <v>420</v>
      </c>
      <c r="B70" s="246" t="s">
        <v>413</v>
      </c>
      <c r="C70" s="246" t="s">
        <v>439</v>
      </c>
      <c r="D70" s="246" t="s">
        <v>442</v>
      </c>
      <c r="H70" t="s">
        <v>178</v>
      </c>
      <c r="I70" s="249"/>
      <c r="O70" s="249"/>
      <c r="Q70" s="248"/>
      <c r="R70" s="248"/>
      <c r="S70" s="248"/>
      <c r="T70" s="248"/>
      <c r="U70" s="248"/>
      <c r="V70" s="248"/>
      <c r="W70" s="348"/>
      <c r="AA70" s="251"/>
      <c r="AC70" s="239">
        <v>668377808.25270033</v>
      </c>
    </row>
    <row r="71" spans="1:35" x14ac:dyDescent="0.25">
      <c r="Q71" s="224"/>
      <c r="R71" s="224"/>
      <c r="S71" s="224"/>
      <c r="T71" s="224"/>
      <c r="U71" s="224"/>
      <c r="V71" s="224"/>
      <c r="W71" s="327"/>
    </row>
  </sheetData>
  <autoFilter ref="A6:AH70" xr:uid="{F4E271B0-9BC6-43A9-829F-67EBEF38B757}"/>
  <mergeCells count="5">
    <mergeCell ref="M4:W4"/>
    <mergeCell ref="X4:AH4"/>
    <mergeCell ref="I5:N5"/>
    <mergeCell ref="X5:AE5"/>
    <mergeCell ref="AF5:AH5"/>
  </mergeCells>
  <conditionalFormatting sqref="I7:AH7 I8:AB69 AD8:AH69 AC8:AC70">
    <cfRule type="expression" dxfId="1" priority="2">
      <formula>$D7=$D$4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CE706-FAD7-4CD7-B4ED-991E63946BE0}">
  <sheetPr filterMode="1"/>
  <dimension ref="A1:AX68"/>
  <sheetViews>
    <sheetView zoomScale="70" zoomScaleNormal="70" workbookViewId="0">
      <selection activeCell="A3" sqref="A3:E13"/>
    </sheetView>
  </sheetViews>
  <sheetFormatPr defaultRowHeight="15" x14ac:dyDescent="0.25"/>
  <cols>
    <col min="1" max="1" width="25" bestFit="1" customWidth="1"/>
    <col min="3" max="3" width="33.140625" bestFit="1" customWidth="1"/>
    <col min="4" max="4" width="32" bestFit="1" customWidth="1"/>
    <col min="5" max="5" width="23" customWidth="1"/>
    <col min="6" max="7" width="8.85546875" customWidth="1"/>
    <col min="8" max="8" width="19.42578125" bestFit="1" customWidth="1"/>
    <col min="9" max="16" width="22.140625" customWidth="1"/>
    <col min="17" max="17" width="15.140625" style="226" customWidth="1"/>
    <col min="18" max="18" width="15.140625" customWidth="1"/>
    <col min="19" max="19" width="15.5703125" bestFit="1" customWidth="1"/>
    <col min="20" max="20" width="16.5703125" bestFit="1" customWidth="1"/>
    <col min="21" max="21" width="15.140625" customWidth="1"/>
    <col min="22" max="22" width="8.85546875" customWidth="1"/>
    <col min="23" max="23" width="13.85546875" style="226" bestFit="1" customWidth="1"/>
    <col min="24" max="24" width="14.85546875" bestFit="1" customWidth="1"/>
    <col min="25" max="25" width="13.85546875" bestFit="1" customWidth="1"/>
    <col min="26" max="26" width="16.140625" bestFit="1" customWidth="1"/>
    <col min="27" max="28" width="14.85546875" bestFit="1" customWidth="1"/>
    <col min="29" max="29" width="12.5703125" bestFit="1" customWidth="1"/>
    <col min="30" max="30" width="14.5703125" bestFit="1" customWidth="1"/>
    <col min="31" max="31" width="14.85546875" style="244" bestFit="1" customWidth="1"/>
    <col min="32" max="32" width="16.140625" bestFit="1" customWidth="1"/>
    <col min="33" max="33" width="14.5703125" customWidth="1"/>
    <col min="34" max="34" width="14.42578125" customWidth="1"/>
    <col min="35" max="35" width="14.5703125" style="239" customWidth="1"/>
    <col min="36" max="36" width="12.5703125" customWidth="1"/>
    <col min="37" max="37" width="22.5703125" customWidth="1"/>
    <col min="38" max="39" width="8.85546875" customWidth="1"/>
    <col min="40" max="40" width="14.5703125" customWidth="1"/>
    <col min="41" max="41" width="21.42578125" customWidth="1"/>
    <col min="42" max="42" width="15.42578125" customWidth="1"/>
    <col min="43" max="43" width="15.5703125" customWidth="1"/>
    <col min="46" max="46" width="12.5703125" bestFit="1" customWidth="1"/>
    <col min="49" max="49" width="12.5703125" bestFit="1" customWidth="1"/>
  </cols>
  <sheetData>
    <row r="1" spans="1:50" ht="15.75" thickBot="1" x14ac:dyDescent="0.3">
      <c r="A1" s="45" t="s">
        <v>0</v>
      </c>
      <c r="B1" s="1"/>
      <c r="C1" s="1"/>
      <c r="E1" s="1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R1" s="1"/>
      <c r="S1" s="1"/>
      <c r="T1" s="1"/>
      <c r="U1" s="398" t="s">
        <v>1</v>
      </c>
      <c r="V1" s="401"/>
      <c r="W1" s="362"/>
      <c r="X1" s="362"/>
      <c r="Y1" s="362"/>
      <c r="Z1" s="362"/>
      <c r="AA1" s="362"/>
      <c r="AB1" s="362"/>
      <c r="AC1" s="362"/>
      <c r="AD1" s="362"/>
      <c r="AE1" s="363"/>
      <c r="AF1" s="361" t="s">
        <v>2</v>
      </c>
      <c r="AG1" s="362"/>
      <c r="AH1" s="362"/>
      <c r="AI1" s="402"/>
      <c r="AJ1" s="362"/>
      <c r="AK1" s="362"/>
      <c r="AL1" s="362"/>
      <c r="AM1" s="362"/>
      <c r="AN1" s="362"/>
      <c r="AO1" s="362"/>
      <c r="AP1" s="363"/>
    </row>
    <row r="2" spans="1:50" ht="58.5" customHeight="1" thickBot="1" x14ac:dyDescent="0.3">
      <c r="A2" s="3"/>
      <c r="B2" s="3"/>
      <c r="C2" s="3"/>
      <c r="D2" s="3"/>
      <c r="E2" s="3"/>
      <c r="F2" s="3"/>
      <c r="G2" s="3"/>
      <c r="H2" s="3"/>
      <c r="I2" s="13" t="s">
        <v>448</v>
      </c>
      <c r="J2" s="400" t="s">
        <v>449</v>
      </c>
      <c r="K2" s="400"/>
      <c r="L2" s="400" t="s">
        <v>450</v>
      </c>
      <c r="M2" s="400"/>
      <c r="N2" s="400"/>
      <c r="O2" s="400"/>
      <c r="P2" s="406"/>
      <c r="Q2" s="399" t="s">
        <v>3</v>
      </c>
      <c r="R2" s="403"/>
      <c r="S2" s="403"/>
      <c r="T2" s="403"/>
      <c r="U2" s="403"/>
      <c r="V2" s="404"/>
      <c r="W2" s="227" t="s">
        <v>4</v>
      </c>
      <c r="X2" s="3" t="s">
        <v>4</v>
      </c>
      <c r="Y2" s="5" t="s">
        <v>4</v>
      </c>
      <c r="Z2" s="3" t="s">
        <v>5</v>
      </c>
      <c r="AA2" s="3" t="s">
        <v>5</v>
      </c>
      <c r="AB2" s="3" t="s">
        <v>5</v>
      </c>
      <c r="AC2" s="3" t="s">
        <v>5</v>
      </c>
      <c r="AD2" s="3" t="s">
        <v>5</v>
      </c>
      <c r="AE2" s="228" t="s">
        <v>5</v>
      </c>
      <c r="AF2" s="364" t="s">
        <v>6</v>
      </c>
      <c r="AG2" s="366"/>
      <c r="AH2" s="366"/>
      <c r="AI2" s="405"/>
      <c r="AJ2" s="366"/>
      <c r="AK2" s="366"/>
      <c r="AL2" s="366"/>
      <c r="AM2" s="365"/>
      <c r="AN2" s="364" t="s">
        <v>7</v>
      </c>
      <c r="AO2" s="366"/>
      <c r="AP2" s="365"/>
      <c r="AQ2" s="13" t="s">
        <v>448</v>
      </c>
      <c r="AR2" s="400" t="s">
        <v>449</v>
      </c>
      <c r="AS2" s="400"/>
      <c r="AT2" s="400" t="s">
        <v>450</v>
      </c>
      <c r="AU2" s="400"/>
      <c r="AV2" s="400"/>
      <c r="AW2" s="400"/>
      <c r="AX2" s="406"/>
    </row>
    <row r="3" spans="1:50" ht="45.6" customHeight="1" thickBot="1" x14ac:dyDescent="0.3">
      <c r="A3" s="10" t="s">
        <v>8</v>
      </c>
      <c r="B3" s="11" t="s">
        <v>9</v>
      </c>
      <c r="C3" s="11" t="s">
        <v>10</v>
      </c>
      <c r="D3" s="12" t="s">
        <v>11</v>
      </c>
      <c r="E3" s="10" t="s">
        <v>12</v>
      </c>
      <c r="F3" s="12" t="s">
        <v>13</v>
      </c>
      <c r="G3" s="48" t="s">
        <v>14</v>
      </c>
      <c r="H3" s="10" t="s">
        <v>15</v>
      </c>
      <c r="I3" s="279" t="s">
        <v>448</v>
      </c>
      <c r="J3" s="279" t="s">
        <v>451</v>
      </c>
      <c r="K3" s="279" t="s">
        <v>452</v>
      </c>
      <c r="L3" s="279" t="s">
        <v>453</v>
      </c>
      <c r="M3" s="279" t="s">
        <v>454</v>
      </c>
      <c r="N3" s="279" t="s">
        <v>455</v>
      </c>
      <c r="O3" s="279" t="s">
        <v>456</v>
      </c>
      <c r="P3" s="279" t="s">
        <v>457</v>
      </c>
      <c r="Q3" s="231" t="s">
        <v>410</v>
      </c>
      <c r="R3" s="230" t="s">
        <v>411</v>
      </c>
      <c r="S3" s="230" t="s">
        <v>143</v>
      </c>
      <c r="T3" s="230" t="s">
        <v>382</v>
      </c>
      <c r="U3" s="230" t="s">
        <v>16</v>
      </c>
      <c r="V3" s="231" t="s">
        <v>17</v>
      </c>
      <c r="W3" s="232" t="s">
        <v>18</v>
      </c>
      <c r="X3" s="11" t="s">
        <v>19</v>
      </c>
      <c r="Y3" s="12" t="s">
        <v>20</v>
      </c>
      <c r="Z3" s="11" t="s">
        <v>21</v>
      </c>
      <c r="AA3" s="11" t="s">
        <v>22</v>
      </c>
      <c r="AB3" s="11" t="s">
        <v>23</v>
      </c>
      <c r="AC3" s="11" t="s">
        <v>24</v>
      </c>
      <c r="AD3" s="11" t="s">
        <v>25</v>
      </c>
      <c r="AE3" s="233" t="s">
        <v>26</v>
      </c>
      <c r="AF3" s="11" t="s">
        <v>27</v>
      </c>
      <c r="AG3" s="11" t="s">
        <v>28</v>
      </c>
      <c r="AH3" s="11" t="s">
        <v>29</v>
      </c>
      <c r="AI3" s="234" t="s">
        <v>30</v>
      </c>
      <c r="AJ3" s="11" t="s">
        <v>31</v>
      </c>
      <c r="AK3" s="10" t="s">
        <v>32</v>
      </c>
      <c r="AL3" s="10" t="s">
        <v>33</v>
      </c>
      <c r="AM3" s="12" t="s">
        <v>34</v>
      </c>
      <c r="AN3" s="10" t="s">
        <v>27</v>
      </c>
      <c r="AO3" s="11" t="s">
        <v>28</v>
      </c>
      <c r="AP3" s="12" t="s">
        <v>35</v>
      </c>
      <c r="AQ3" s="279" t="s">
        <v>458</v>
      </c>
      <c r="AR3" s="279" t="s">
        <v>459</v>
      </c>
      <c r="AS3" s="279" t="s">
        <v>460</v>
      </c>
      <c r="AT3" s="279" t="s">
        <v>461</v>
      </c>
      <c r="AU3" s="279" t="s">
        <v>462</v>
      </c>
      <c r="AV3" s="279" t="s">
        <v>463</v>
      </c>
      <c r="AW3" s="279" t="s">
        <v>464</v>
      </c>
      <c r="AX3" s="279" t="s">
        <v>465</v>
      </c>
    </row>
    <row r="4" spans="1:50" hidden="1" x14ac:dyDescent="0.25">
      <c r="A4" t="s">
        <v>412</v>
      </c>
      <c r="B4" t="s">
        <v>413</v>
      </c>
      <c r="C4" t="s">
        <v>414</v>
      </c>
      <c r="D4" t="s">
        <v>415</v>
      </c>
      <c r="E4" t="s">
        <v>202</v>
      </c>
      <c r="I4" s="266">
        <f>SUM(Q4:R4,U4:V4)</f>
        <v>98053376.850000009</v>
      </c>
      <c r="J4" s="266">
        <f>SUM(S4:T4,W4:Y4)</f>
        <v>6208890.4699999997</v>
      </c>
      <c r="K4" s="280">
        <f>SUM(Z4:AE4)</f>
        <v>124811072.15000001</v>
      </c>
      <c r="L4" s="171">
        <f>SUM(AF4:AH4)</f>
        <v>0</v>
      </c>
      <c r="M4" s="266">
        <f>AJ4</f>
        <v>0</v>
      </c>
      <c r="N4" s="266">
        <f>AK4</f>
        <v>1119300</v>
      </c>
      <c r="O4" s="171">
        <f>SUM(AN4:AP4)</f>
        <v>0</v>
      </c>
      <c r="P4" s="171"/>
      <c r="Q4" s="220">
        <v>0</v>
      </c>
      <c r="R4" s="235">
        <v>0</v>
      </c>
      <c r="S4" s="235">
        <v>6208890.4699999997</v>
      </c>
      <c r="T4" s="224">
        <v>0</v>
      </c>
      <c r="U4" s="224">
        <v>98053376.850000009</v>
      </c>
      <c r="W4" s="236">
        <v>0</v>
      </c>
      <c r="X4" s="237">
        <v>0</v>
      </c>
      <c r="Y4" s="237">
        <v>0</v>
      </c>
      <c r="Z4" s="237">
        <v>0</v>
      </c>
      <c r="AA4" s="237">
        <v>47806808.620000005</v>
      </c>
      <c r="AB4" s="237">
        <v>3692435.3200000003</v>
      </c>
      <c r="AC4" s="237">
        <v>0</v>
      </c>
      <c r="AD4" s="237">
        <v>43354021.339999989</v>
      </c>
      <c r="AE4" s="238">
        <v>29957806.869999997</v>
      </c>
      <c r="AG4">
        <v>0</v>
      </c>
      <c r="AJ4" s="224">
        <v>0</v>
      </c>
      <c r="AK4" s="239">
        <v>1119300</v>
      </c>
      <c r="AP4" s="224"/>
      <c r="AQ4" s="218">
        <f>AVERAGE(I:I)</f>
        <v>21487211.718153846</v>
      </c>
      <c r="AR4">
        <f>AVERAGE(J:J)</f>
        <v>10927566.909846151</v>
      </c>
      <c r="AS4">
        <f>AVERAGE(K:K)</f>
        <v>45980000.465384625</v>
      </c>
      <c r="AT4">
        <f>AVERAGE(L:L)</f>
        <v>262142098.28921932</v>
      </c>
      <c r="AU4">
        <f>AVERAGE(M:M)</f>
        <v>463863.97324550181</v>
      </c>
      <c r="AV4">
        <f>AVERAGE(M:M)</f>
        <v>463863.97324550181</v>
      </c>
      <c r="AW4">
        <f>AVERAGE(O:O)</f>
        <v>275303982.09645641</v>
      </c>
      <c r="AX4" t="e">
        <f>AVERAGE(P:P)</f>
        <v>#DIV/0!</v>
      </c>
    </row>
    <row r="5" spans="1:50" x14ac:dyDescent="0.25">
      <c r="A5" t="s">
        <v>412</v>
      </c>
      <c r="B5" t="s">
        <v>413</v>
      </c>
      <c r="C5" t="s">
        <v>416</v>
      </c>
      <c r="D5" t="s">
        <v>417</v>
      </c>
      <c r="E5" t="s">
        <v>218</v>
      </c>
      <c r="I5" s="266">
        <f t="shared" ref="I5:I68" si="0">SUM(Q5:R5,U5:V5)</f>
        <v>0</v>
      </c>
      <c r="J5" s="266">
        <f t="shared" ref="J5:J68" si="1">SUM(S5:T5,W5:Y5)</f>
        <v>0</v>
      </c>
      <c r="K5" s="280">
        <f t="shared" ref="K5:K68" si="2">SUM(Z5:AE5)</f>
        <v>324138113.78999996</v>
      </c>
      <c r="L5" s="171">
        <f t="shared" ref="L5:L68" si="3">SUM(AF5:AH5)</f>
        <v>0</v>
      </c>
      <c r="M5" s="266">
        <f t="shared" ref="M5:M68" si="4">AJ5</f>
        <v>0</v>
      </c>
      <c r="N5" s="266">
        <f t="shared" ref="N5:N68" si="5">AK5</f>
        <v>0</v>
      </c>
      <c r="O5" s="171">
        <f t="shared" ref="O5:O68" si="6">SUM(AN5:AP5)</f>
        <v>0</v>
      </c>
      <c r="P5" s="171"/>
      <c r="Q5" s="220">
        <v>0</v>
      </c>
      <c r="R5" s="235">
        <v>0</v>
      </c>
      <c r="S5" s="235">
        <v>0</v>
      </c>
      <c r="T5" s="224">
        <v>0</v>
      </c>
      <c r="U5" s="224">
        <v>0</v>
      </c>
      <c r="W5" s="236">
        <v>0</v>
      </c>
      <c r="X5" s="237">
        <v>0</v>
      </c>
      <c r="Y5" s="237">
        <v>0</v>
      </c>
      <c r="Z5" s="237">
        <v>323974269.37999994</v>
      </c>
      <c r="AA5" s="237">
        <v>0</v>
      </c>
      <c r="AB5" s="237">
        <v>0</v>
      </c>
      <c r="AC5" s="237">
        <v>0</v>
      </c>
      <c r="AD5" s="237">
        <v>0</v>
      </c>
      <c r="AE5" s="238">
        <v>163844.40999999997</v>
      </c>
      <c r="AG5">
        <v>0</v>
      </c>
      <c r="AH5" s="224"/>
      <c r="AJ5" s="224">
        <v>0</v>
      </c>
      <c r="AK5" s="239">
        <v>0</v>
      </c>
      <c r="AN5" s="224"/>
      <c r="AP5" s="224"/>
      <c r="AQ5" s="218"/>
    </row>
    <row r="6" spans="1:50" hidden="1" x14ac:dyDescent="0.25">
      <c r="A6" t="s">
        <v>418</v>
      </c>
      <c r="B6" t="s">
        <v>413</v>
      </c>
      <c r="C6" t="s">
        <v>414</v>
      </c>
      <c r="D6" t="s">
        <v>419</v>
      </c>
      <c r="E6" t="s">
        <v>213</v>
      </c>
      <c r="I6" s="266">
        <f t="shared" si="0"/>
        <v>0</v>
      </c>
      <c r="J6" s="266">
        <f t="shared" si="1"/>
        <v>0</v>
      </c>
      <c r="K6" s="280">
        <f t="shared" si="2"/>
        <v>29118.399999999994</v>
      </c>
      <c r="L6" s="171">
        <f t="shared" si="3"/>
        <v>0</v>
      </c>
      <c r="M6" s="266">
        <f t="shared" si="4"/>
        <v>0</v>
      </c>
      <c r="N6" s="266">
        <f t="shared" si="5"/>
        <v>0</v>
      </c>
      <c r="O6" s="171">
        <f t="shared" si="6"/>
        <v>0</v>
      </c>
      <c r="P6" s="171"/>
      <c r="Q6" s="220">
        <v>0</v>
      </c>
      <c r="R6" s="235">
        <v>0</v>
      </c>
      <c r="S6" s="235">
        <v>0</v>
      </c>
      <c r="T6" s="224">
        <v>0</v>
      </c>
      <c r="U6" s="224">
        <v>0</v>
      </c>
      <c r="W6" s="236">
        <v>0</v>
      </c>
      <c r="X6" s="237">
        <v>0</v>
      </c>
      <c r="Y6" s="237">
        <v>0</v>
      </c>
      <c r="Z6" s="237">
        <v>0</v>
      </c>
      <c r="AA6" s="237">
        <v>0</v>
      </c>
      <c r="AB6" s="237">
        <v>0</v>
      </c>
      <c r="AC6" s="237">
        <v>0</v>
      </c>
      <c r="AD6" s="237">
        <v>29118.399999999994</v>
      </c>
      <c r="AE6" s="238">
        <v>0</v>
      </c>
      <c r="AG6">
        <v>0</v>
      </c>
      <c r="AH6" s="224"/>
      <c r="AJ6" s="224">
        <v>0</v>
      </c>
      <c r="AK6" s="239">
        <v>0</v>
      </c>
      <c r="AN6" s="224"/>
      <c r="AP6" s="224"/>
      <c r="AQ6" s="218"/>
    </row>
    <row r="7" spans="1:50" hidden="1" x14ac:dyDescent="0.25">
      <c r="A7" t="s">
        <v>420</v>
      </c>
      <c r="B7" t="s">
        <v>413</v>
      </c>
      <c r="C7" t="s">
        <v>414</v>
      </c>
      <c r="D7" t="s">
        <v>419</v>
      </c>
      <c r="E7" t="s">
        <v>213</v>
      </c>
      <c r="I7" s="266">
        <f t="shared" si="0"/>
        <v>0</v>
      </c>
      <c r="J7" s="266">
        <f t="shared" si="1"/>
        <v>0</v>
      </c>
      <c r="K7" s="280">
        <f t="shared" si="2"/>
        <v>1899221.75</v>
      </c>
      <c r="L7" s="171">
        <f t="shared" si="3"/>
        <v>0</v>
      </c>
      <c r="M7" s="266">
        <f t="shared" si="4"/>
        <v>0</v>
      </c>
      <c r="N7" s="266">
        <f t="shared" si="5"/>
        <v>0</v>
      </c>
      <c r="O7" s="171">
        <f t="shared" si="6"/>
        <v>0</v>
      </c>
      <c r="P7" s="171"/>
      <c r="Q7" s="220">
        <v>0</v>
      </c>
      <c r="R7" s="235">
        <v>0</v>
      </c>
      <c r="S7" s="235">
        <v>0</v>
      </c>
      <c r="T7" s="224">
        <v>0</v>
      </c>
      <c r="U7" s="224">
        <v>0</v>
      </c>
      <c r="W7" s="236">
        <v>0</v>
      </c>
      <c r="X7" s="237">
        <v>0</v>
      </c>
      <c r="Y7" s="237">
        <v>0</v>
      </c>
      <c r="Z7" s="237">
        <v>0</v>
      </c>
      <c r="AA7" s="237">
        <v>0</v>
      </c>
      <c r="AB7" s="237">
        <v>0</v>
      </c>
      <c r="AC7" s="237">
        <v>0</v>
      </c>
      <c r="AD7" s="237">
        <v>0</v>
      </c>
      <c r="AE7" s="238">
        <v>1899221.75</v>
      </c>
      <c r="AG7">
        <v>0</v>
      </c>
      <c r="AH7" s="224"/>
      <c r="AJ7" s="224">
        <v>0</v>
      </c>
      <c r="AK7" s="239">
        <v>0</v>
      </c>
      <c r="AN7" s="224"/>
      <c r="AP7" s="224"/>
      <c r="AQ7" s="218"/>
    </row>
    <row r="8" spans="1:50" hidden="1" x14ac:dyDescent="0.25">
      <c r="A8" t="s">
        <v>421</v>
      </c>
      <c r="B8" t="s">
        <v>413</v>
      </c>
      <c r="C8" t="s">
        <v>414</v>
      </c>
      <c r="D8" t="s">
        <v>419</v>
      </c>
      <c r="E8" t="s">
        <v>213</v>
      </c>
      <c r="I8" s="266">
        <f t="shared" si="0"/>
        <v>0</v>
      </c>
      <c r="J8" s="266">
        <f t="shared" si="1"/>
        <v>0</v>
      </c>
      <c r="K8" s="280">
        <f t="shared" si="2"/>
        <v>152530.80999999997</v>
      </c>
      <c r="L8" s="171">
        <f t="shared" si="3"/>
        <v>0</v>
      </c>
      <c r="M8" s="266">
        <f t="shared" si="4"/>
        <v>0</v>
      </c>
      <c r="N8" s="266">
        <f t="shared" si="5"/>
        <v>0</v>
      </c>
      <c r="O8" s="171">
        <f t="shared" si="6"/>
        <v>0</v>
      </c>
      <c r="P8" s="171"/>
      <c r="Q8" s="220">
        <v>0</v>
      </c>
      <c r="R8" s="235">
        <v>0</v>
      </c>
      <c r="S8" s="235">
        <v>0</v>
      </c>
      <c r="T8" s="224">
        <v>0</v>
      </c>
      <c r="U8" s="224">
        <v>0</v>
      </c>
      <c r="W8" s="236">
        <v>0</v>
      </c>
      <c r="X8" s="237">
        <v>0</v>
      </c>
      <c r="Y8" s="237">
        <v>0</v>
      </c>
      <c r="Z8" s="237">
        <v>0</v>
      </c>
      <c r="AA8" s="237">
        <v>0</v>
      </c>
      <c r="AB8" s="237">
        <v>0</v>
      </c>
      <c r="AC8" s="237">
        <v>0</v>
      </c>
      <c r="AD8" s="237">
        <v>0</v>
      </c>
      <c r="AE8" s="238">
        <v>152530.80999999997</v>
      </c>
      <c r="AG8">
        <v>0</v>
      </c>
      <c r="AH8" s="224"/>
      <c r="AJ8" s="224">
        <v>0</v>
      </c>
      <c r="AK8" s="239">
        <v>0</v>
      </c>
      <c r="AN8" s="224"/>
      <c r="AP8" s="224"/>
      <c r="AQ8" s="218"/>
    </row>
    <row r="9" spans="1:50" hidden="1" x14ac:dyDescent="0.25">
      <c r="A9" t="s">
        <v>421</v>
      </c>
      <c r="B9" t="s">
        <v>413</v>
      </c>
      <c r="C9" t="s">
        <v>414</v>
      </c>
      <c r="D9" t="s">
        <v>415</v>
      </c>
      <c r="E9" t="s">
        <v>202</v>
      </c>
      <c r="F9">
        <v>1</v>
      </c>
      <c r="G9">
        <v>1</v>
      </c>
      <c r="I9" s="266">
        <f t="shared" si="0"/>
        <v>248808684.2100001</v>
      </c>
      <c r="J9" s="266">
        <f t="shared" si="1"/>
        <v>1833537.3800000001</v>
      </c>
      <c r="K9" s="280">
        <f t="shared" si="2"/>
        <v>270601609.64999998</v>
      </c>
      <c r="L9" s="171">
        <f t="shared" si="3"/>
        <v>0</v>
      </c>
      <c r="M9" s="266">
        <f t="shared" si="4"/>
        <v>0</v>
      </c>
      <c r="N9" s="266">
        <f t="shared" si="5"/>
        <v>0</v>
      </c>
      <c r="O9" s="171">
        <f t="shared" si="6"/>
        <v>0</v>
      </c>
      <c r="P9" s="171"/>
      <c r="Q9" s="220">
        <v>0</v>
      </c>
      <c r="R9" s="235">
        <v>0</v>
      </c>
      <c r="S9" s="235">
        <v>1833537.3800000001</v>
      </c>
      <c r="T9" s="224">
        <v>0</v>
      </c>
      <c r="U9" s="224">
        <v>248808684.2100001</v>
      </c>
      <c r="W9" s="236">
        <v>0</v>
      </c>
      <c r="X9" s="237">
        <v>0</v>
      </c>
      <c r="Y9" s="237">
        <v>0</v>
      </c>
      <c r="Z9" s="237">
        <v>0</v>
      </c>
      <c r="AA9" s="237">
        <v>21138983.989999995</v>
      </c>
      <c r="AB9" s="237">
        <v>8989394.3900000006</v>
      </c>
      <c r="AC9" s="237">
        <v>0</v>
      </c>
      <c r="AD9" s="237">
        <v>72940423.49999997</v>
      </c>
      <c r="AE9" s="238">
        <v>167532807.77000001</v>
      </c>
      <c r="AG9">
        <v>0</v>
      </c>
      <c r="AH9" s="224"/>
      <c r="AJ9" s="224">
        <v>0</v>
      </c>
      <c r="AK9" s="239">
        <v>0</v>
      </c>
      <c r="AN9" s="224"/>
      <c r="AP9" s="224"/>
      <c r="AQ9" s="218"/>
    </row>
    <row r="10" spans="1:50" hidden="1" x14ac:dyDescent="0.25">
      <c r="A10" t="s">
        <v>420</v>
      </c>
      <c r="B10" t="s">
        <v>413</v>
      </c>
      <c r="C10" t="s">
        <v>414</v>
      </c>
      <c r="D10" t="s">
        <v>422</v>
      </c>
      <c r="E10" t="s">
        <v>213</v>
      </c>
      <c r="F10">
        <v>1</v>
      </c>
      <c r="I10" s="266">
        <f t="shared" si="0"/>
        <v>0</v>
      </c>
      <c r="J10" s="266">
        <f t="shared" si="1"/>
        <v>14108514.950000038</v>
      </c>
      <c r="K10" s="280">
        <f t="shared" si="2"/>
        <v>45996322.569999993</v>
      </c>
      <c r="L10" s="171">
        <f t="shared" si="3"/>
        <v>0</v>
      </c>
      <c r="M10" s="266">
        <f t="shared" si="4"/>
        <v>0</v>
      </c>
      <c r="N10" s="266">
        <f t="shared" si="5"/>
        <v>0</v>
      </c>
      <c r="O10" s="171">
        <f t="shared" si="6"/>
        <v>0</v>
      </c>
      <c r="P10" s="171"/>
      <c r="Q10" s="278">
        <v>0</v>
      </c>
      <c r="R10" s="240">
        <v>0</v>
      </c>
      <c r="S10" s="240">
        <v>715825.47</v>
      </c>
      <c r="T10" s="239">
        <v>0</v>
      </c>
      <c r="U10" s="239">
        <v>0</v>
      </c>
      <c r="W10" s="241">
        <v>0</v>
      </c>
      <c r="X10" s="242">
        <v>0</v>
      </c>
      <c r="Y10" s="242">
        <v>13392689.480000038</v>
      </c>
      <c r="Z10" s="242">
        <v>26769822.289999992</v>
      </c>
      <c r="AA10" s="242">
        <v>54215.92</v>
      </c>
      <c r="AB10" s="242">
        <v>2933110.3699999987</v>
      </c>
      <c r="AC10" s="242">
        <v>393499.19</v>
      </c>
      <c r="AD10" s="242">
        <v>705521.0399999998</v>
      </c>
      <c r="AE10" s="243">
        <v>15140153.76</v>
      </c>
      <c r="AG10">
        <v>0</v>
      </c>
      <c r="AH10" s="239"/>
      <c r="AJ10" s="239">
        <v>0</v>
      </c>
      <c r="AK10" s="239">
        <v>0</v>
      </c>
      <c r="AN10" s="239"/>
      <c r="AP10" s="239"/>
      <c r="AQ10" s="218"/>
    </row>
    <row r="11" spans="1:50" hidden="1" x14ac:dyDescent="0.25">
      <c r="A11" t="s">
        <v>423</v>
      </c>
      <c r="B11" t="s">
        <v>413</v>
      </c>
      <c r="C11" t="s">
        <v>416</v>
      </c>
      <c r="D11" t="s">
        <v>424</v>
      </c>
      <c r="E11" t="s">
        <v>425</v>
      </c>
      <c r="F11">
        <v>1</v>
      </c>
      <c r="I11" s="266">
        <f t="shared" si="0"/>
        <v>455626091.64999998</v>
      </c>
      <c r="J11" s="266">
        <f t="shared" si="1"/>
        <v>240569215.74000001</v>
      </c>
      <c r="K11" s="280">
        <f t="shared" si="2"/>
        <v>483071109.12999994</v>
      </c>
      <c r="L11" s="171">
        <f t="shared" si="3"/>
        <v>0</v>
      </c>
      <c r="M11" s="266">
        <f t="shared" si="4"/>
        <v>0</v>
      </c>
      <c r="N11" s="266">
        <f t="shared" si="5"/>
        <v>516585329.57459992</v>
      </c>
      <c r="O11" s="171">
        <f t="shared" si="6"/>
        <v>0</v>
      </c>
      <c r="P11" s="171"/>
      <c r="Q11" s="278">
        <v>157953206.75000003</v>
      </c>
      <c r="R11" s="240">
        <v>297672884.89999998</v>
      </c>
      <c r="S11" s="240">
        <v>0</v>
      </c>
      <c r="T11" s="239">
        <v>0</v>
      </c>
      <c r="U11" s="239">
        <v>0</v>
      </c>
      <c r="W11" s="241">
        <v>32130992.899999991</v>
      </c>
      <c r="X11" s="242">
        <v>208438222.84000003</v>
      </c>
      <c r="Y11" s="242">
        <v>0</v>
      </c>
      <c r="Z11" s="242">
        <v>130862903.00999998</v>
      </c>
      <c r="AA11" s="242">
        <v>160869953.44000009</v>
      </c>
      <c r="AB11" s="242">
        <v>123373222.61999996</v>
      </c>
      <c r="AC11" s="242">
        <v>0</v>
      </c>
      <c r="AD11" s="242">
        <v>67965030.059999958</v>
      </c>
      <c r="AE11" s="243">
        <v>0</v>
      </c>
      <c r="AF11" s="239"/>
      <c r="AG11">
        <v>0</v>
      </c>
      <c r="AH11" s="239"/>
      <c r="AJ11" s="239">
        <v>0</v>
      </c>
      <c r="AK11" s="239">
        <v>516585329.57459992</v>
      </c>
      <c r="AN11" s="239"/>
      <c r="AP11" s="239"/>
      <c r="AQ11" s="218"/>
    </row>
    <row r="12" spans="1:50" s="239" customFormat="1" x14ac:dyDescent="0.25">
      <c r="A12" t="s">
        <v>426</v>
      </c>
      <c r="B12" t="s">
        <v>413</v>
      </c>
      <c r="C12" t="s">
        <v>416</v>
      </c>
      <c r="D12" t="s">
        <v>417</v>
      </c>
      <c r="E12" t="s">
        <v>218</v>
      </c>
      <c r="F12"/>
      <c r="G12"/>
      <c r="H12"/>
      <c r="I12" s="266">
        <f t="shared" si="0"/>
        <v>0</v>
      </c>
      <c r="J12" s="266">
        <f t="shared" si="1"/>
        <v>5204.96</v>
      </c>
      <c r="K12" s="280">
        <f t="shared" si="2"/>
        <v>0</v>
      </c>
      <c r="L12" s="171">
        <f t="shared" si="3"/>
        <v>0</v>
      </c>
      <c r="M12" s="266">
        <f t="shared" si="4"/>
        <v>0</v>
      </c>
      <c r="N12" s="266">
        <f t="shared" si="5"/>
        <v>0</v>
      </c>
      <c r="O12" s="171">
        <f t="shared" si="6"/>
        <v>0</v>
      </c>
      <c r="P12" s="171"/>
      <c r="Q12" s="220">
        <v>0</v>
      </c>
      <c r="R12" s="235">
        <v>0</v>
      </c>
      <c r="S12" s="235">
        <v>0</v>
      </c>
      <c r="T12" s="224">
        <v>0</v>
      </c>
      <c r="U12" s="224">
        <v>0</v>
      </c>
      <c r="V12"/>
      <c r="W12" s="236">
        <v>5204.96</v>
      </c>
      <c r="X12" s="237">
        <v>0</v>
      </c>
      <c r="Y12" s="237">
        <v>0</v>
      </c>
      <c r="Z12" s="237">
        <v>0</v>
      </c>
      <c r="AA12" s="237">
        <v>0</v>
      </c>
      <c r="AB12" s="237">
        <v>0</v>
      </c>
      <c r="AC12" s="237">
        <v>0</v>
      </c>
      <c r="AD12" s="237">
        <v>0</v>
      </c>
      <c r="AE12" s="238">
        <v>0</v>
      </c>
      <c r="AF12"/>
      <c r="AG12">
        <v>0</v>
      </c>
      <c r="AH12" s="224"/>
      <c r="AJ12" s="224">
        <v>0</v>
      </c>
      <c r="AK12" s="239">
        <v>0</v>
      </c>
      <c r="AL12"/>
      <c r="AM12"/>
      <c r="AN12" s="224"/>
      <c r="AO12"/>
      <c r="AP12" s="224"/>
      <c r="AQ12" s="218"/>
    </row>
    <row r="13" spans="1:50" s="239" customFormat="1" x14ac:dyDescent="0.25">
      <c r="A13" t="s">
        <v>426</v>
      </c>
      <c r="B13" t="s">
        <v>413</v>
      </c>
      <c r="C13" t="s">
        <v>416</v>
      </c>
      <c r="D13" t="s">
        <v>427</v>
      </c>
      <c r="E13" t="s">
        <v>218</v>
      </c>
      <c r="F13"/>
      <c r="G13"/>
      <c r="H13"/>
      <c r="I13" s="266">
        <f t="shared" si="0"/>
        <v>0</v>
      </c>
      <c r="J13" s="266">
        <f t="shared" si="1"/>
        <v>3642683.0799999996</v>
      </c>
      <c r="K13" s="280">
        <f t="shared" si="2"/>
        <v>77310675.520000011</v>
      </c>
      <c r="L13" s="171">
        <f t="shared" si="3"/>
        <v>0</v>
      </c>
      <c r="M13" s="266">
        <f t="shared" si="4"/>
        <v>0</v>
      </c>
      <c r="N13" s="266">
        <f t="shared" si="5"/>
        <v>0</v>
      </c>
      <c r="O13" s="171">
        <f t="shared" si="6"/>
        <v>0</v>
      </c>
      <c r="P13" s="171"/>
      <c r="Q13" s="220">
        <v>0</v>
      </c>
      <c r="R13" s="235">
        <v>0</v>
      </c>
      <c r="S13" s="235">
        <v>3642683.0799999996</v>
      </c>
      <c r="T13" s="224">
        <v>0</v>
      </c>
      <c r="U13" s="224">
        <v>0</v>
      </c>
      <c r="V13"/>
      <c r="W13" s="236">
        <v>0</v>
      </c>
      <c r="X13" s="237">
        <v>0</v>
      </c>
      <c r="Y13" s="237">
        <v>0</v>
      </c>
      <c r="Z13" s="237">
        <v>33326363.230000008</v>
      </c>
      <c r="AA13" s="237">
        <v>31259059.450000007</v>
      </c>
      <c r="AB13" s="237">
        <v>1861477.1000000015</v>
      </c>
      <c r="AC13" s="237">
        <v>0</v>
      </c>
      <c r="AD13" s="237">
        <v>6508356.5799999945</v>
      </c>
      <c r="AE13" s="238">
        <v>4355419.16</v>
      </c>
      <c r="AF13"/>
      <c r="AG13">
        <v>0</v>
      </c>
      <c r="AH13" s="224"/>
      <c r="AJ13" s="224">
        <v>0</v>
      </c>
      <c r="AK13" s="239">
        <v>0</v>
      </c>
      <c r="AL13"/>
      <c r="AM13"/>
      <c r="AN13" s="224"/>
      <c r="AO13"/>
      <c r="AP13" s="224"/>
      <c r="AQ13" s="218"/>
    </row>
    <row r="14" spans="1:50" s="239" customFormat="1" hidden="1" x14ac:dyDescent="0.25">
      <c r="A14" t="s">
        <v>428</v>
      </c>
      <c r="B14" t="s">
        <v>413</v>
      </c>
      <c r="C14" t="s">
        <v>414</v>
      </c>
      <c r="D14" t="s">
        <v>415</v>
      </c>
      <c r="E14" t="s">
        <v>223</v>
      </c>
      <c r="F14">
        <v>1</v>
      </c>
      <c r="G14"/>
      <c r="H14"/>
      <c r="I14" s="266">
        <f t="shared" si="0"/>
        <v>0</v>
      </c>
      <c r="J14" s="266">
        <f t="shared" si="1"/>
        <v>497928.87999999995</v>
      </c>
      <c r="K14" s="280">
        <f t="shared" si="2"/>
        <v>56459824.24000001</v>
      </c>
      <c r="L14" s="171">
        <f t="shared" si="3"/>
        <v>0</v>
      </c>
      <c r="M14" s="266">
        <f t="shared" si="4"/>
        <v>0</v>
      </c>
      <c r="N14" s="266">
        <f t="shared" si="5"/>
        <v>0</v>
      </c>
      <c r="O14" s="171">
        <f t="shared" si="6"/>
        <v>0</v>
      </c>
      <c r="P14" s="171"/>
      <c r="Q14" s="220">
        <v>0</v>
      </c>
      <c r="R14" s="235">
        <v>0</v>
      </c>
      <c r="S14" s="235">
        <v>497928.87999999995</v>
      </c>
      <c r="T14" s="224">
        <v>0</v>
      </c>
      <c r="U14" s="224">
        <v>0</v>
      </c>
      <c r="V14"/>
      <c r="W14" s="236">
        <v>0</v>
      </c>
      <c r="X14" s="237">
        <v>0</v>
      </c>
      <c r="Y14" s="237">
        <v>0</v>
      </c>
      <c r="Z14" s="237">
        <v>0</v>
      </c>
      <c r="AA14" s="237">
        <v>12766857.32</v>
      </c>
      <c r="AB14" s="237">
        <v>3340101.2799999989</v>
      </c>
      <c r="AC14" s="237">
        <v>0</v>
      </c>
      <c r="AD14" s="237">
        <v>18481056.06000001</v>
      </c>
      <c r="AE14" s="238">
        <v>21871809.579999998</v>
      </c>
      <c r="AF14"/>
      <c r="AG14">
        <v>0</v>
      </c>
      <c r="AH14" s="224"/>
      <c r="AJ14" s="224">
        <v>0</v>
      </c>
      <c r="AK14" s="239">
        <v>0</v>
      </c>
      <c r="AL14"/>
      <c r="AM14"/>
      <c r="AN14" s="224"/>
      <c r="AO14"/>
      <c r="AP14" s="224"/>
      <c r="AQ14" s="218"/>
    </row>
    <row r="15" spans="1:50" s="239" customFormat="1" hidden="1" x14ac:dyDescent="0.25">
      <c r="A15" t="s">
        <v>429</v>
      </c>
      <c r="B15" t="s">
        <v>413</v>
      </c>
      <c r="C15" t="s">
        <v>414</v>
      </c>
      <c r="D15" t="s">
        <v>419</v>
      </c>
      <c r="E15" t="s">
        <v>213</v>
      </c>
      <c r="F15"/>
      <c r="G15"/>
      <c r="H15"/>
      <c r="I15" s="266">
        <f t="shared" si="0"/>
        <v>0</v>
      </c>
      <c r="J15" s="266">
        <f t="shared" si="1"/>
        <v>0</v>
      </c>
      <c r="K15" s="280">
        <f t="shared" si="2"/>
        <v>132750834.23999995</v>
      </c>
      <c r="L15" s="171">
        <f t="shared" si="3"/>
        <v>0</v>
      </c>
      <c r="M15" s="266">
        <f t="shared" si="4"/>
        <v>0</v>
      </c>
      <c r="N15" s="266">
        <f t="shared" si="5"/>
        <v>0</v>
      </c>
      <c r="O15" s="171">
        <f t="shared" si="6"/>
        <v>0</v>
      </c>
      <c r="P15" s="171"/>
      <c r="Q15" s="220">
        <v>0</v>
      </c>
      <c r="R15" s="235">
        <v>0</v>
      </c>
      <c r="S15" s="235">
        <v>0</v>
      </c>
      <c r="T15" s="224">
        <v>0</v>
      </c>
      <c r="U15" s="224">
        <v>0</v>
      </c>
      <c r="V15"/>
      <c r="W15" s="236">
        <v>0</v>
      </c>
      <c r="X15" s="237">
        <v>0</v>
      </c>
      <c r="Y15" s="237">
        <v>0</v>
      </c>
      <c r="Z15" s="237">
        <v>132750834.23999995</v>
      </c>
      <c r="AA15" s="237">
        <v>0</v>
      </c>
      <c r="AB15" s="237">
        <v>0</v>
      </c>
      <c r="AC15" s="237">
        <v>0</v>
      </c>
      <c r="AD15" s="237">
        <v>0</v>
      </c>
      <c r="AE15" s="238">
        <v>0</v>
      </c>
      <c r="AF15"/>
      <c r="AG15">
        <v>0</v>
      </c>
      <c r="AH15" s="224"/>
      <c r="AJ15" s="224">
        <v>0</v>
      </c>
      <c r="AK15" s="239">
        <v>0</v>
      </c>
      <c r="AL15"/>
      <c r="AM15"/>
      <c r="AN15" s="224"/>
      <c r="AO15"/>
      <c r="AP15" s="224"/>
      <c r="AQ15" s="218"/>
    </row>
    <row r="16" spans="1:50" s="239" customFormat="1" hidden="1" x14ac:dyDescent="0.25">
      <c r="A16" t="s">
        <v>429</v>
      </c>
      <c r="B16" t="s">
        <v>413</v>
      </c>
      <c r="C16" t="s">
        <v>414</v>
      </c>
      <c r="D16" t="s">
        <v>422</v>
      </c>
      <c r="E16" t="s">
        <v>213</v>
      </c>
      <c r="F16"/>
      <c r="G16"/>
      <c r="H16"/>
      <c r="I16" s="266">
        <f t="shared" si="0"/>
        <v>0</v>
      </c>
      <c r="J16" s="266">
        <f t="shared" si="1"/>
        <v>217936.43</v>
      </c>
      <c r="K16" s="280">
        <f t="shared" si="2"/>
        <v>224976982.49999991</v>
      </c>
      <c r="L16" s="171">
        <f t="shared" si="3"/>
        <v>0</v>
      </c>
      <c r="M16" s="266">
        <f t="shared" si="4"/>
        <v>0</v>
      </c>
      <c r="N16" s="266">
        <f t="shared" si="5"/>
        <v>0</v>
      </c>
      <c r="O16" s="171">
        <f t="shared" si="6"/>
        <v>0</v>
      </c>
      <c r="P16" s="171"/>
      <c r="Q16" s="220">
        <v>0</v>
      </c>
      <c r="R16" s="235">
        <v>0</v>
      </c>
      <c r="S16" s="235">
        <v>217936.43</v>
      </c>
      <c r="T16" s="224">
        <v>0</v>
      </c>
      <c r="U16" s="224">
        <v>0</v>
      </c>
      <c r="V16"/>
      <c r="W16" s="236">
        <v>0</v>
      </c>
      <c r="X16" s="237">
        <v>0</v>
      </c>
      <c r="Y16" s="237">
        <v>0</v>
      </c>
      <c r="Z16" s="237">
        <v>199150953.43999991</v>
      </c>
      <c r="AA16" s="237">
        <v>4737852.46</v>
      </c>
      <c r="AB16" s="237">
        <v>7110226.0100000044</v>
      </c>
      <c r="AC16" s="237">
        <v>0</v>
      </c>
      <c r="AD16" s="237">
        <v>3895503.6500000008</v>
      </c>
      <c r="AE16" s="238">
        <v>10082446.940000001</v>
      </c>
      <c r="AF16"/>
      <c r="AG16">
        <v>0</v>
      </c>
      <c r="AH16" s="224"/>
      <c r="AJ16" s="224">
        <v>0</v>
      </c>
      <c r="AK16" s="239">
        <v>0</v>
      </c>
      <c r="AL16"/>
      <c r="AM16"/>
      <c r="AN16" s="224"/>
      <c r="AO16"/>
      <c r="AP16" s="224"/>
      <c r="AQ16" s="218"/>
    </row>
    <row r="17" spans="1:43" s="239" customFormat="1" x14ac:dyDescent="0.25">
      <c r="A17" t="s">
        <v>430</v>
      </c>
      <c r="B17" t="s">
        <v>413</v>
      </c>
      <c r="C17" t="s">
        <v>416</v>
      </c>
      <c r="D17" t="s">
        <v>417</v>
      </c>
      <c r="E17" t="s">
        <v>218</v>
      </c>
      <c r="F17"/>
      <c r="G17"/>
      <c r="H17"/>
      <c r="I17" s="266">
        <f t="shared" si="0"/>
        <v>0</v>
      </c>
      <c r="J17" s="266">
        <f t="shared" si="1"/>
        <v>3967429.6400000006</v>
      </c>
      <c r="K17" s="280">
        <f t="shared" si="2"/>
        <v>16454309.859999999</v>
      </c>
      <c r="L17" s="171">
        <f t="shared" si="3"/>
        <v>0</v>
      </c>
      <c r="M17" s="266">
        <f t="shared" si="4"/>
        <v>0</v>
      </c>
      <c r="N17" s="266">
        <f t="shared" si="5"/>
        <v>0</v>
      </c>
      <c r="O17" s="171">
        <f t="shared" si="6"/>
        <v>0</v>
      </c>
      <c r="P17" s="171"/>
      <c r="Q17" s="220">
        <v>0</v>
      </c>
      <c r="R17" s="235">
        <v>0</v>
      </c>
      <c r="S17" s="235">
        <v>0</v>
      </c>
      <c r="T17" s="224">
        <v>0</v>
      </c>
      <c r="U17" s="224">
        <v>0</v>
      </c>
      <c r="V17"/>
      <c r="W17" s="236">
        <v>0</v>
      </c>
      <c r="X17" s="237">
        <v>3967429.6400000006</v>
      </c>
      <c r="Y17" s="237">
        <v>0</v>
      </c>
      <c r="Z17" s="237">
        <v>0</v>
      </c>
      <c r="AA17" s="237">
        <v>6679026.9800000014</v>
      </c>
      <c r="AB17" s="237">
        <v>3095355.8499999987</v>
      </c>
      <c r="AC17" s="237">
        <v>170571.09000000003</v>
      </c>
      <c r="AD17" s="237">
        <v>3718944.3999999994</v>
      </c>
      <c r="AE17" s="238">
        <v>2790411.54</v>
      </c>
      <c r="AF17"/>
      <c r="AG17">
        <v>0</v>
      </c>
      <c r="AH17" s="224"/>
      <c r="AJ17" s="224">
        <v>0</v>
      </c>
      <c r="AK17" s="239">
        <v>0</v>
      </c>
      <c r="AL17"/>
      <c r="AM17"/>
      <c r="AN17" s="224"/>
      <c r="AO17"/>
      <c r="AP17" s="224"/>
      <c r="AQ17" s="218"/>
    </row>
    <row r="18" spans="1:43" s="239" customFormat="1" x14ac:dyDescent="0.25">
      <c r="A18" t="s">
        <v>430</v>
      </c>
      <c r="B18" t="s">
        <v>413</v>
      </c>
      <c r="C18" t="s">
        <v>416</v>
      </c>
      <c r="D18" t="s">
        <v>427</v>
      </c>
      <c r="E18" t="s">
        <v>218</v>
      </c>
      <c r="F18"/>
      <c r="G18"/>
      <c r="H18"/>
      <c r="I18" s="266">
        <f t="shared" si="0"/>
        <v>0</v>
      </c>
      <c r="J18" s="266">
        <f t="shared" si="1"/>
        <v>14267249.269999998</v>
      </c>
      <c r="K18" s="280">
        <f t="shared" si="2"/>
        <v>52645348.579999983</v>
      </c>
      <c r="L18" s="171">
        <f t="shared" si="3"/>
        <v>0</v>
      </c>
      <c r="M18" s="266">
        <f t="shared" si="4"/>
        <v>0</v>
      </c>
      <c r="N18" s="266">
        <f t="shared" si="5"/>
        <v>17908800</v>
      </c>
      <c r="O18" s="171">
        <f t="shared" si="6"/>
        <v>0</v>
      </c>
      <c r="P18" s="171"/>
      <c r="Q18" s="220">
        <v>0</v>
      </c>
      <c r="R18" s="235">
        <v>0</v>
      </c>
      <c r="S18" s="235">
        <v>8843623.5499999989</v>
      </c>
      <c r="T18" s="224">
        <v>5423625.7199999988</v>
      </c>
      <c r="U18" s="224">
        <v>0</v>
      </c>
      <c r="V18"/>
      <c r="W18" s="236">
        <v>0</v>
      </c>
      <c r="X18" s="237">
        <v>0</v>
      </c>
      <c r="Y18" s="237">
        <v>0</v>
      </c>
      <c r="Z18" s="237">
        <v>577223.67999999993</v>
      </c>
      <c r="AA18" s="237">
        <v>5970005.3599999985</v>
      </c>
      <c r="AB18" s="237">
        <v>12196472.760000004</v>
      </c>
      <c r="AC18" s="237">
        <v>0</v>
      </c>
      <c r="AD18" s="237">
        <v>12394475.329999981</v>
      </c>
      <c r="AE18" s="238">
        <v>21507171.450000003</v>
      </c>
      <c r="AF18"/>
      <c r="AG18">
        <v>0</v>
      </c>
      <c r="AH18" s="224"/>
      <c r="AJ18" s="224">
        <v>0</v>
      </c>
      <c r="AK18" s="239">
        <v>17908800</v>
      </c>
      <c r="AL18"/>
      <c r="AM18"/>
      <c r="AN18" s="224"/>
      <c r="AO18"/>
      <c r="AP18" s="224"/>
      <c r="AQ18" s="218"/>
    </row>
    <row r="19" spans="1:43" s="239" customFormat="1" hidden="1" x14ac:dyDescent="0.25">
      <c r="A19" t="s">
        <v>430</v>
      </c>
      <c r="B19" t="s">
        <v>413</v>
      </c>
      <c r="C19" t="s">
        <v>416</v>
      </c>
      <c r="D19" t="s">
        <v>431</v>
      </c>
      <c r="E19" t="s">
        <v>218</v>
      </c>
      <c r="F19"/>
      <c r="G19"/>
      <c r="H19"/>
      <c r="I19" s="266">
        <f t="shared" si="0"/>
        <v>164492870.23000002</v>
      </c>
      <c r="J19" s="266">
        <f t="shared" si="1"/>
        <v>0</v>
      </c>
      <c r="K19" s="280">
        <f t="shared" si="2"/>
        <v>1102.44</v>
      </c>
      <c r="L19" s="171">
        <f t="shared" si="3"/>
        <v>0</v>
      </c>
      <c r="M19" s="266">
        <f t="shared" si="4"/>
        <v>0</v>
      </c>
      <c r="N19" s="266">
        <f t="shared" si="5"/>
        <v>0</v>
      </c>
      <c r="O19" s="171">
        <f t="shared" si="6"/>
        <v>0</v>
      </c>
      <c r="P19" s="171"/>
      <c r="Q19" s="220">
        <v>0</v>
      </c>
      <c r="R19" s="235">
        <v>0</v>
      </c>
      <c r="S19" s="235">
        <v>0</v>
      </c>
      <c r="T19" s="224">
        <v>0</v>
      </c>
      <c r="U19" s="224">
        <v>164492870.23000002</v>
      </c>
      <c r="V19"/>
      <c r="W19" s="236">
        <v>0</v>
      </c>
      <c r="X19" s="237">
        <v>0</v>
      </c>
      <c r="Y19" s="237">
        <v>0</v>
      </c>
      <c r="Z19" s="237">
        <v>0</v>
      </c>
      <c r="AA19" s="237">
        <v>0</v>
      </c>
      <c r="AB19" s="237">
        <v>0</v>
      </c>
      <c r="AC19" s="237">
        <v>0</v>
      </c>
      <c r="AD19" s="237">
        <v>1102.44</v>
      </c>
      <c r="AE19" s="238">
        <v>0</v>
      </c>
      <c r="AF19"/>
      <c r="AG19">
        <v>0</v>
      </c>
      <c r="AH19" s="224"/>
      <c r="AJ19" s="224">
        <v>0</v>
      </c>
      <c r="AK19" s="239">
        <v>0</v>
      </c>
      <c r="AL19"/>
      <c r="AM19"/>
      <c r="AN19" s="224"/>
      <c r="AO19"/>
      <c r="AP19" s="224"/>
      <c r="AQ19" s="218"/>
    </row>
    <row r="20" spans="1:43" s="239" customFormat="1" hidden="1" x14ac:dyDescent="0.25">
      <c r="A20" t="s">
        <v>432</v>
      </c>
      <c r="B20" t="s">
        <v>413</v>
      </c>
      <c r="C20" t="s">
        <v>414</v>
      </c>
      <c r="D20" t="s">
        <v>419</v>
      </c>
      <c r="E20" t="s">
        <v>213</v>
      </c>
      <c r="F20"/>
      <c r="G20"/>
      <c r="H20"/>
      <c r="I20" s="266">
        <f t="shared" si="0"/>
        <v>0</v>
      </c>
      <c r="J20" s="266">
        <f t="shared" si="1"/>
        <v>0</v>
      </c>
      <c r="K20" s="280">
        <f t="shared" si="2"/>
        <v>226.72</v>
      </c>
      <c r="L20" s="171">
        <f t="shared" si="3"/>
        <v>0</v>
      </c>
      <c r="M20" s="266">
        <f t="shared" si="4"/>
        <v>0</v>
      </c>
      <c r="N20" s="266">
        <f t="shared" si="5"/>
        <v>0</v>
      </c>
      <c r="O20" s="171">
        <f t="shared" si="6"/>
        <v>0</v>
      </c>
      <c r="P20" s="171"/>
      <c r="Q20" s="220">
        <v>0</v>
      </c>
      <c r="R20" s="235">
        <v>0</v>
      </c>
      <c r="S20" s="235">
        <v>0</v>
      </c>
      <c r="T20" s="224">
        <v>0</v>
      </c>
      <c r="U20" s="224">
        <v>0</v>
      </c>
      <c r="V20"/>
      <c r="W20" s="236">
        <v>0</v>
      </c>
      <c r="X20" s="237">
        <v>0</v>
      </c>
      <c r="Y20" s="237"/>
      <c r="Z20" s="237">
        <v>0</v>
      </c>
      <c r="AA20" s="237">
        <v>0</v>
      </c>
      <c r="AB20" s="237">
        <v>0</v>
      </c>
      <c r="AC20" s="237">
        <v>226.72</v>
      </c>
      <c r="AD20" s="237">
        <v>0</v>
      </c>
      <c r="AE20" s="238">
        <v>0</v>
      </c>
      <c r="AF20"/>
      <c r="AG20">
        <v>0</v>
      </c>
      <c r="AH20" s="224"/>
      <c r="AJ20" s="224">
        <v>0</v>
      </c>
      <c r="AK20" s="239">
        <v>0</v>
      </c>
      <c r="AL20"/>
      <c r="AM20"/>
      <c r="AN20" s="224"/>
      <c r="AO20"/>
      <c r="AP20" s="224"/>
      <c r="AQ20" s="218"/>
    </row>
    <row r="21" spans="1:43" s="239" customFormat="1" hidden="1" x14ac:dyDescent="0.25">
      <c r="A21" t="s">
        <v>432</v>
      </c>
      <c r="B21" t="s">
        <v>413</v>
      </c>
      <c r="C21" t="s">
        <v>414</v>
      </c>
      <c r="D21" t="s">
        <v>422</v>
      </c>
      <c r="E21" t="s">
        <v>213</v>
      </c>
      <c r="F21"/>
      <c r="G21"/>
      <c r="H21"/>
      <c r="I21" s="266">
        <f t="shared" si="0"/>
        <v>0</v>
      </c>
      <c r="J21" s="266">
        <f t="shared" si="1"/>
        <v>7225392.2900000028</v>
      </c>
      <c r="K21" s="280">
        <f t="shared" si="2"/>
        <v>18155.52</v>
      </c>
      <c r="L21" s="171">
        <f t="shared" si="3"/>
        <v>0</v>
      </c>
      <c r="M21" s="266">
        <f t="shared" si="4"/>
        <v>0</v>
      </c>
      <c r="N21" s="266">
        <f t="shared" si="5"/>
        <v>0</v>
      </c>
      <c r="O21" s="171">
        <f t="shared" si="6"/>
        <v>0</v>
      </c>
      <c r="P21" s="171"/>
      <c r="Q21" s="278">
        <v>0</v>
      </c>
      <c r="R21" s="240">
        <v>0</v>
      </c>
      <c r="S21" s="240">
        <v>0</v>
      </c>
      <c r="T21" s="239">
        <v>0</v>
      </c>
      <c r="U21" s="239">
        <v>0</v>
      </c>
      <c r="V21"/>
      <c r="W21" s="241">
        <v>0</v>
      </c>
      <c r="X21" s="242">
        <v>0</v>
      </c>
      <c r="Y21" s="242">
        <v>7225392.2900000028</v>
      </c>
      <c r="Z21" s="242">
        <v>0</v>
      </c>
      <c r="AA21" s="242">
        <v>0</v>
      </c>
      <c r="AB21" s="242">
        <v>0</v>
      </c>
      <c r="AC21" s="242">
        <v>18155.52</v>
      </c>
      <c r="AD21" s="242">
        <v>0</v>
      </c>
      <c r="AE21" s="243">
        <v>0</v>
      </c>
      <c r="AF21"/>
      <c r="AG21">
        <v>0</v>
      </c>
      <c r="AJ21" s="239">
        <v>0</v>
      </c>
      <c r="AK21" s="239">
        <v>0</v>
      </c>
      <c r="AL21"/>
      <c r="AM21"/>
      <c r="AO21"/>
      <c r="AQ21" s="218"/>
    </row>
    <row r="22" spans="1:43" s="239" customFormat="1" hidden="1" x14ac:dyDescent="0.25">
      <c r="A22" t="s">
        <v>432</v>
      </c>
      <c r="B22" t="s">
        <v>413</v>
      </c>
      <c r="C22" t="s">
        <v>416</v>
      </c>
      <c r="D22" t="s">
        <v>431</v>
      </c>
      <c r="E22" t="s">
        <v>218</v>
      </c>
      <c r="F22"/>
      <c r="G22"/>
      <c r="H22"/>
      <c r="I22" s="266">
        <f t="shared" si="0"/>
        <v>0</v>
      </c>
      <c r="J22" s="266">
        <f t="shared" si="1"/>
        <v>0</v>
      </c>
      <c r="K22" s="280">
        <f t="shared" si="2"/>
        <v>2886118.4000000004</v>
      </c>
      <c r="L22" s="171">
        <f t="shared" si="3"/>
        <v>0</v>
      </c>
      <c r="M22" s="266">
        <f t="shared" si="4"/>
        <v>0</v>
      </c>
      <c r="N22" s="266">
        <f t="shared" si="5"/>
        <v>0</v>
      </c>
      <c r="O22" s="171">
        <f t="shared" si="6"/>
        <v>0</v>
      </c>
      <c r="P22" s="171"/>
      <c r="Q22" s="220">
        <v>0</v>
      </c>
      <c r="R22" s="235">
        <v>0</v>
      </c>
      <c r="S22" s="235">
        <v>0</v>
      </c>
      <c r="T22" s="224">
        <v>0</v>
      </c>
      <c r="U22" s="224">
        <v>0</v>
      </c>
      <c r="V22"/>
      <c r="W22" s="236">
        <v>0</v>
      </c>
      <c r="X22" s="237">
        <v>0</v>
      </c>
      <c r="Y22" s="237">
        <v>0</v>
      </c>
      <c r="Z22" s="237">
        <v>2886118.4000000004</v>
      </c>
      <c r="AA22" s="237">
        <v>0</v>
      </c>
      <c r="AB22" s="237">
        <v>0</v>
      </c>
      <c r="AC22" s="237">
        <v>0</v>
      </c>
      <c r="AD22" s="237">
        <v>0</v>
      </c>
      <c r="AE22" s="238">
        <v>0</v>
      </c>
      <c r="AF22"/>
      <c r="AG22">
        <v>0</v>
      </c>
      <c r="AH22" s="224"/>
      <c r="AJ22" s="224">
        <v>0</v>
      </c>
      <c r="AK22" s="239">
        <v>0</v>
      </c>
      <c r="AL22"/>
      <c r="AM22"/>
      <c r="AN22" s="224"/>
      <c r="AO22"/>
      <c r="AP22" s="224"/>
      <c r="AQ22" s="218"/>
    </row>
    <row r="23" spans="1:43" s="239" customFormat="1" hidden="1" x14ac:dyDescent="0.25">
      <c r="A23" t="s">
        <v>432</v>
      </c>
      <c r="B23" t="s">
        <v>413</v>
      </c>
      <c r="C23" t="s">
        <v>414</v>
      </c>
      <c r="D23" t="s">
        <v>419</v>
      </c>
      <c r="E23" t="s">
        <v>213</v>
      </c>
      <c r="F23"/>
      <c r="G23"/>
      <c r="H23"/>
      <c r="I23" s="266">
        <f t="shared" si="0"/>
        <v>0</v>
      </c>
      <c r="J23" s="266">
        <f t="shared" si="1"/>
        <v>0</v>
      </c>
      <c r="K23" s="280">
        <f t="shared" si="2"/>
        <v>2602.48</v>
      </c>
      <c r="L23" s="171">
        <f t="shared" si="3"/>
        <v>0</v>
      </c>
      <c r="M23" s="266">
        <f t="shared" si="4"/>
        <v>0</v>
      </c>
      <c r="N23" s="266">
        <f t="shared" si="5"/>
        <v>0</v>
      </c>
      <c r="O23" s="171">
        <f t="shared" si="6"/>
        <v>0</v>
      </c>
      <c r="P23" s="171"/>
      <c r="Q23" s="220">
        <v>0</v>
      </c>
      <c r="R23" s="235">
        <v>0</v>
      </c>
      <c r="S23" s="235">
        <v>0</v>
      </c>
      <c r="T23" s="224">
        <v>0</v>
      </c>
      <c r="U23" s="224">
        <v>0</v>
      </c>
      <c r="V23"/>
      <c r="W23" s="236">
        <v>0</v>
      </c>
      <c r="X23" s="237">
        <v>0</v>
      </c>
      <c r="Y23" s="237"/>
      <c r="Z23" s="237">
        <v>0</v>
      </c>
      <c r="AA23" s="237">
        <v>0</v>
      </c>
      <c r="AB23" s="237">
        <v>0</v>
      </c>
      <c r="AC23" s="237">
        <v>0</v>
      </c>
      <c r="AD23" s="237">
        <v>2602.48</v>
      </c>
      <c r="AE23" s="238">
        <v>0</v>
      </c>
      <c r="AF23"/>
      <c r="AG23">
        <v>0</v>
      </c>
      <c r="AH23" s="224"/>
      <c r="AJ23" s="224">
        <v>0</v>
      </c>
      <c r="AK23" s="239">
        <v>0</v>
      </c>
      <c r="AL23"/>
      <c r="AM23"/>
      <c r="AN23" s="224"/>
      <c r="AO23"/>
      <c r="AP23" s="224"/>
      <c r="AQ23" s="218"/>
    </row>
    <row r="24" spans="1:43" s="239" customFormat="1" hidden="1" x14ac:dyDescent="0.25">
      <c r="A24" t="s">
        <v>432</v>
      </c>
      <c r="B24" t="s">
        <v>413</v>
      </c>
      <c r="C24" t="s">
        <v>414</v>
      </c>
      <c r="D24" t="s">
        <v>422</v>
      </c>
      <c r="E24" t="s">
        <v>213</v>
      </c>
      <c r="F24"/>
      <c r="G24"/>
      <c r="H24"/>
      <c r="I24" s="266">
        <f t="shared" si="0"/>
        <v>0</v>
      </c>
      <c r="J24" s="266">
        <f t="shared" si="1"/>
        <v>0</v>
      </c>
      <c r="K24" s="280">
        <f t="shared" si="2"/>
        <v>24356.21</v>
      </c>
      <c r="L24" s="171">
        <f t="shared" si="3"/>
        <v>0</v>
      </c>
      <c r="M24" s="266">
        <f t="shared" si="4"/>
        <v>0</v>
      </c>
      <c r="N24" s="266">
        <f t="shared" si="5"/>
        <v>0</v>
      </c>
      <c r="O24" s="171">
        <f t="shared" si="6"/>
        <v>0</v>
      </c>
      <c r="P24" s="171"/>
      <c r="Q24" s="220">
        <v>0</v>
      </c>
      <c r="R24" s="235">
        <v>0</v>
      </c>
      <c r="S24" s="235">
        <v>0</v>
      </c>
      <c r="T24" s="224">
        <v>0</v>
      </c>
      <c r="U24" s="224">
        <v>0</v>
      </c>
      <c r="V24"/>
      <c r="W24" s="236">
        <v>0</v>
      </c>
      <c r="X24" s="237">
        <v>0</v>
      </c>
      <c r="Y24" s="237">
        <v>0</v>
      </c>
      <c r="Z24" s="237">
        <v>2602.48</v>
      </c>
      <c r="AA24" s="237">
        <v>1836.38</v>
      </c>
      <c r="AB24" s="237">
        <v>16131.84</v>
      </c>
      <c r="AC24" s="237">
        <v>0</v>
      </c>
      <c r="AD24" s="237">
        <v>3785.5099999999998</v>
      </c>
      <c r="AE24" s="238">
        <v>0</v>
      </c>
      <c r="AF24"/>
      <c r="AG24">
        <v>0</v>
      </c>
      <c r="AH24" s="224"/>
      <c r="AJ24" s="224">
        <v>0</v>
      </c>
      <c r="AK24" s="239">
        <v>0</v>
      </c>
      <c r="AL24"/>
      <c r="AM24"/>
      <c r="AN24" s="224"/>
      <c r="AO24"/>
      <c r="AP24" s="224"/>
      <c r="AQ24" s="218"/>
    </row>
    <row r="25" spans="1:43" s="239" customFormat="1" x14ac:dyDescent="0.25">
      <c r="A25" t="s">
        <v>433</v>
      </c>
      <c r="B25" t="s">
        <v>413</v>
      </c>
      <c r="C25" t="s">
        <v>416</v>
      </c>
      <c r="D25" t="s">
        <v>417</v>
      </c>
      <c r="E25" t="s">
        <v>218</v>
      </c>
      <c r="F25"/>
      <c r="G25"/>
      <c r="H25"/>
      <c r="I25" s="266">
        <f t="shared" si="0"/>
        <v>0</v>
      </c>
      <c r="J25" s="266">
        <f t="shared" si="1"/>
        <v>0</v>
      </c>
      <c r="K25" s="280">
        <f t="shared" si="2"/>
        <v>577223.67999999993</v>
      </c>
      <c r="L25" s="171">
        <f t="shared" si="3"/>
        <v>0</v>
      </c>
      <c r="M25" s="266">
        <f t="shared" si="4"/>
        <v>0</v>
      </c>
      <c r="N25" s="266">
        <f t="shared" si="5"/>
        <v>0</v>
      </c>
      <c r="O25" s="171">
        <f t="shared" si="6"/>
        <v>0</v>
      </c>
      <c r="P25" s="171"/>
      <c r="Q25" s="220">
        <v>0</v>
      </c>
      <c r="R25" s="235">
        <v>0</v>
      </c>
      <c r="S25" s="235">
        <v>0</v>
      </c>
      <c r="T25" s="224">
        <v>0</v>
      </c>
      <c r="U25" s="224">
        <v>0</v>
      </c>
      <c r="V25"/>
      <c r="W25" s="236">
        <v>0</v>
      </c>
      <c r="X25" s="237">
        <v>0</v>
      </c>
      <c r="Y25" s="237">
        <v>0</v>
      </c>
      <c r="Z25" s="237">
        <v>577223.67999999993</v>
      </c>
      <c r="AA25" s="237">
        <v>0</v>
      </c>
      <c r="AB25" s="237">
        <v>0</v>
      </c>
      <c r="AC25" s="237">
        <v>0</v>
      </c>
      <c r="AD25" s="237">
        <v>0</v>
      </c>
      <c r="AE25" s="238">
        <v>0</v>
      </c>
      <c r="AF25"/>
      <c r="AG25">
        <v>0</v>
      </c>
      <c r="AH25" s="224"/>
      <c r="AJ25" s="224">
        <v>0</v>
      </c>
      <c r="AK25" s="239">
        <v>0</v>
      </c>
      <c r="AL25"/>
      <c r="AM25"/>
      <c r="AN25" s="224"/>
      <c r="AO25"/>
      <c r="AP25" s="224"/>
      <c r="AQ25" s="218"/>
    </row>
    <row r="26" spans="1:43" s="239" customFormat="1" hidden="1" x14ac:dyDescent="0.25">
      <c r="A26" t="s">
        <v>433</v>
      </c>
      <c r="B26" t="s">
        <v>413</v>
      </c>
      <c r="C26" t="s">
        <v>416</v>
      </c>
      <c r="D26" t="s">
        <v>431</v>
      </c>
      <c r="E26" t="s">
        <v>218</v>
      </c>
      <c r="F26"/>
      <c r="G26"/>
      <c r="H26"/>
      <c r="I26" s="266">
        <f t="shared" si="0"/>
        <v>0</v>
      </c>
      <c r="J26" s="266">
        <f t="shared" si="1"/>
        <v>0</v>
      </c>
      <c r="K26" s="280">
        <f t="shared" si="2"/>
        <v>5772236.169999999</v>
      </c>
      <c r="L26" s="171">
        <f t="shared" si="3"/>
        <v>0</v>
      </c>
      <c r="M26" s="266">
        <f t="shared" si="4"/>
        <v>0</v>
      </c>
      <c r="N26" s="266">
        <f t="shared" si="5"/>
        <v>0</v>
      </c>
      <c r="O26" s="171">
        <f t="shared" si="6"/>
        <v>0</v>
      </c>
      <c r="P26" s="171"/>
      <c r="Q26" s="220">
        <v>0</v>
      </c>
      <c r="R26" s="235">
        <v>0</v>
      </c>
      <c r="S26" s="235">
        <v>0</v>
      </c>
      <c r="T26" s="224">
        <v>0</v>
      </c>
      <c r="U26" s="224">
        <v>0</v>
      </c>
      <c r="V26"/>
      <c r="W26" s="236">
        <v>0</v>
      </c>
      <c r="X26" s="237">
        <v>0</v>
      </c>
      <c r="Y26" s="237">
        <v>0</v>
      </c>
      <c r="Z26" s="237">
        <v>5772236.169999999</v>
      </c>
      <c r="AA26" s="237">
        <v>0</v>
      </c>
      <c r="AB26" s="237">
        <v>0</v>
      </c>
      <c r="AC26" s="237">
        <v>0</v>
      </c>
      <c r="AD26" s="237">
        <v>0</v>
      </c>
      <c r="AE26" s="238">
        <v>0</v>
      </c>
      <c r="AF26"/>
      <c r="AG26">
        <v>0</v>
      </c>
      <c r="AH26" s="224"/>
      <c r="AJ26" s="224">
        <v>0</v>
      </c>
      <c r="AK26" s="239">
        <v>0</v>
      </c>
      <c r="AL26"/>
      <c r="AM26"/>
      <c r="AN26" s="224"/>
      <c r="AO26"/>
      <c r="AP26" s="224"/>
      <c r="AQ26" s="218"/>
    </row>
    <row r="27" spans="1:43" s="239" customFormat="1" x14ac:dyDescent="0.25">
      <c r="A27" t="s">
        <v>434</v>
      </c>
      <c r="B27" t="s">
        <v>413</v>
      </c>
      <c r="C27" t="s">
        <v>416</v>
      </c>
      <c r="D27" t="s">
        <v>417</v>
      </c>
      <c r="E27" t="s">
        <v>218</v>
      </c>
      <c r="F27"/>
      <c r="G27"/>
      <c r="H27"/>
      <c r="I27" s="266">
        <f t="shared" si="0"/>
        <v>0</v>
      </c>
      <c r="J27" s="266">
        <f t="shared" si="1"/>
        <v>2148542.7700000005</v>
      </c>
      <c r="K27" s="280">
        <f t="shared" si="2"/>
        <v>20448323.419999998</v>
      </c>
      <c r="L27" s="171">
        <f t="shared" si="3"/>
        <v>0</v>
      </c>
      <c r="M27" s="266">
        <f t="shared" si="4"/>
        <v>0</v>
      </c>
      <c r="N27" s="266">
        <f t="shared" si="5"/>
        <v>0</v>
      </c>
      <c r="O27" s="171">
        <f t="shared" si="6"/>
        <v>0</v>
      </c>
      <c r="P27" s="171"/>
      <c r="Q27" s="220">
        <v>0</v>
      </c>
      <c r="R27" s="235">
        <v>0</v>
      </c>
      <c r="S27" s="235">
        <v>2126298.5900000003</v>
      </c>
      <c r="T27" s="224">
        <v>0</v>
      </c>
      <c r="U27" s="224">
        <v>0</v>
      </c>
      <c r="V27"/>
      <c r="W27" s="236">
        <v>22244.18</v>
      </c>
      <c r="X27" s="237">
        <v>0</v>
      </c>
      <c r="Y27" s="237">
        <v>0</v>
      </c>
      <c r="Z27" s="237">
        <v>0</v>
      </c>
      <c r="AA27" s="237">
        <v>2292256.4500000002</v>
      </c>
      <c r="AB27" s="237">
        <v>9002093.4400000013</v>
      </c>
      <c r="AC27" s="237">
        <v>0</v>
      </c>
      <c r="AD27" s="237">
        <v>4839809.5299999965</v>
      </c>
      <c r="AE27" s="238">
        <v>4314164</v>
      </c>
      <c r="AF27"/>
      <c r="AG27">
        <v>0</v>
      </c>
      <c r="AH27" s="224"/>
      <c r="AJ27" s="224">
        <v>0</v>
      </c>
      <c r="AK27" s="239">
        <v>0</v>
      </c>
      <c r="AL27"/>
      <c r="AM27"/>
      <c r="AN27" s="224"/>
      <c r="AO27"/>
      <c r="AP27" s="224"/>
      <c r="AQ27" s="218"/>
    </row>
    <row r="28" spans="1:43" s="239" customFormat="1" hidden="1" x14ac:dyDescent="0.25">
      <c r="A28" t="s">
        <v>435</v>
      </c>
      <c r="B28" t="s">
        <v>413</v>
      </c>
      <c r="C28" t="s">
        <v>414</v>
      </c>
      <c r="D28" t="s">
        <v>415</v>
      </c>
      <c r="E28" t="s">
        <v>202</v>
      </c>
      <c r="F28"/>
      <c r="G28"/>
      <c r="H28"/>
      <c r="I28" s="266">
        <f t="shared" si="0"/>
        <v>0</v>
      </c>
      <c r="J28" s="266">
        <f t="shared" si="1"/>
        <v>0</v>
      </c>
      <c r="K28" s="280">
        <f t="shared" si="2"/>
        <v>5930871.1500000004</v>
      </c>
      <c r="L28" s="171">
        <f t="shared" si="3"/>
        <v>0</v>
      </c>
      <c r="M28" s="266">
        <f t="shared" si="4"/>
        <v>0</v>
      </c>
      <c r="N28" s="266">
        <f t="shared" si="5"/>
        <v>0</v>
      </c>
      <c r="O28" s="171">
        <f t="shared" si="6"/>
        <v>0</v>
      </c>
      <c r="P28" s="171"/>
      <c r="Q28" s="220">
        <v>0</v>
      </c>
      <c r="R28" s="235">
        <v>0</v>
      </c>
      <c r="S28" s="235">
        <v>0</v>
      </c>
      <c r="T28" s="224">
        <v>0</v>
      </c>
      <c r="U28" s="224">
        <v>0</v>
      </c>
      <c r="V28"/>
      <c r="W28" s="236">
        <v>0</v>
      </c>
      <c r="X28" s="237">
        <v>0</v>
      </c>
      <c r="Y28" s="237">
        <v>0</v>
      </c>
      <c r="Z28" s="237">
        <v>0</v>
      </c>
      <c r="AA28" s="237">
        <v>4934210.29</v>
      </c>
      <c r="AB28" s="237">
        <v>996660.8600000001</v>
      </c>
      <c r="AC28" s="237">
        <v>0</v>
      </c>
      <c r="AD28" s="237">
        <v>0</v>
      </c>
      <c r="AE28" s="238">
        <v>0</v>
      </c>
      <c r="AF28"/>
      <c r="AG28">
        <v>0</v>
      </c>
      <c r="AH28" s="224"/>
      <c r="AJ28" s="224">
        <v>0</v>
      </c>
      <c r="AK28" s="239">
        <v>0</v>
      </c>
      <c r="AL28"/>
      <c r="AM28"/>
      <c r="AN28" s="224"/>
      <c r="AO28"/>
      <c r="AP28" s="224"/>
      <c r="AQ28" s="218"/>
    </row>
    <row r="29" spans="1:43" s="239" customFormat="1" hidden="1" x14ac:dyDescent="0.25">
      <c r="A29" t="s">
        <v>435</v>
      </c>
      <c r="B29" t="s">
        <v>413</v>
      </c>
      <c r="C29" t="s">
        <v>414</v>
      </c>
      <c r="D29" t="s">
        <v>415</v>
      </c>
      <c r="E29" t="s">
        <v>223</v>
      </c>
      <c r="F29"/>
      <c r="G29"/>
      <c r="H29"/>
      <c r="I29" s="266">
        <f t="shared" si="0"/>
        <v>0</v>
      </c>
      <c r="J29" s="266">
        <f t="shared" si="1"/>
        <v>0</v>
      </c>
      <c r="K29" s="280">
        <f t="shared" si="2"/>
        <v>154405692.5</v>
      </c>
      <c r="L29" s="171">
        <f t="shared" si="3"/>
        <v>0</v>
      </c>
      <c r="M29" s="266">
        <f t="shared" si="4"/>
        <v>0</v>
      </c>
      <c r="N29" s="266">
        <f t="shared" si="5"/>
        <v>0</v>
      </c>
      <c r="O29" s="171">
        <f t="shared" si="6"/>
        <v>0</v>
      </c>
      <c r="P29" s="171"/>
      <c r="Q29" s="220">
        <v>0</v>
      </c>
      <c r="R29" s="235">
        <v>0</v>
      </c>
      <c r="S29" s="235">
        <v>0</v>
      </c>
      <c r="T29" s="224">
        <v>0</v>
      </c>
      <c r="U29" s="224">
        <v>0</v>
      </c>
      <c r="V29"/>
      <c r="W29" s="236">
        <v>0</v>
      </c>
      <c r="X29" s="237">
        <v>0</v>
      </c>
      <c r="Y29" s="237">
        <v>0</v>
      </c>
      <c r="Z29" s="237">
        <v>154394419.58000001</v>
      </c>
      <c r="AA29" s="237">
        <v>0</v>
      </c>
      <c r="AB29" s="237">
        <v>0</v>
      </c>
      <c r="AC29" s="237">
        <v>0</v>
      </c>
      <c r="AD29" s="237">
        <v>11272.92</v>
      </c>
      <c r="AE29" s="238">
        <v>0</v>
      </c>
      <c r="AF29"/>
      <c r="AG29">
        <v>0</v>
      </c>
      <c r="AH29" s="224"/>
      <c r="AJ29" s="224">
        <v>0</v>
      </c>
      <c r="AK29" s="239">
        <v>0</v>
      </c>
      <c r="AL29"/>
      <c r="AM29"/>
      <c r="AN29" s="224"/>
      <c r="AO29"/>
      <c r="AP29" s="224"/>
      <c r="AQ29" s="218"/>
    </row>
    <row r="30" spans="1:43" s="239" customFormat="1" x14ac:dyDescent="0.25">
      <c r="A30" t="s">
        <v>436</v>
      </c>
      <c r="B30" t="s">
        <v>413</v>
      </c>
      <c r="C30" t="s">
        <v>416</v>
      </c>
      <c r="D30" t="s">
        <v>417</v>
      </c>
      <c r="E30" t="s">
        <v>218</v>
      </c>
      <c r="F30"/>
      <c r="G30"/>
      <c r="H30"/>
      <c r="I30" s="266">
        <f t="shared" si="0"/>
        <v>0</v>
      </c>
      <c r="J30" s="266">
        <f t="shared" si="1"/>
        <v>58695919.390000023</v>
      </c>
      <c r="K30" s="280">
        <f t="shared" si="2"/>
        <v>53570395.209999993</v>
      </c>
      <c r="L30" s="171">
        <f t="shared" si="3"/>
        <v>0</v>
      </c>
      <c r="M30" s="266">
        <f t="shared" si="4"/>
        <v>0</v>
      </c>
      <c r="N30" s="266">
        <f t="shared" si="5"/>
        <v>0</v>
      </c>
      <c r="O30" s="171">
        <f t="shared" si="6"/>
        <v>0</v>
      </c>
      <c r="P30" s="171"/>
      <c r="Q30" s="220">
        <v>0</v>
      </c>
      <c r="R30" s="235">
        <v>0</v>
      </c>
      <c r="S30" s="235">
        <v>2711752.3</v>
      </c>
      <c r="T30" s="224">
        <v>0</v>
      </c>
      <c r="U30" s="224">
        <v>0</v>
      </c>
      <c r="V30"/>
      <c r="W30" s="236">
        <v>0</v>
      </c>
      <c r="X30" s="237">
        <v>55984167.090000026</v>
      </c>
      <c r="Y30" s="237">
        <v>0</v>
      </c>
      <c r="Z30" s="237">
        <v>3463342.0800000001</v>
      </c>
      <c r="AA30" s="237">
        <v>31181225.699999992</v>
      </c>
      <c r="AB30" s="237">
        <v>6572897.5600000015</v>
      </c>
      <c r="AC30" s="237">
        <v>0</v>
      </c>
      <c r="AD30" s="237">
        <v>7074711.4099999983</v>
      </c>
      <c r="AE30" s="238">
        <v>5278218.46</v>
      </c>
      <c r="AF30"/>
      <c r="AG30">
        <v>0</v>
      </c>
      <c r="AH30" s="224"/>
      <c r="AJ30" s="224">
        <v>0</v>
      </c>
      <c r="AK30" s="239">
        <v>0</v>
      </c>
      <c r="AL30"/>
      <c r="AM30"/>
      <c r="AN30" s="224"/>
      <c r="AO30"/>
      <c r="AP30" s="224"/>
      <c r="AQ30" s="218"/>
    </row>
    <row r="31" spans="1:43" s="239" customFormat="1" hidden="1" x14ac:dyDescent="0.25">
      <c r="A31" t="s">
        <v>433</v>
      </c>
      <c r="B31" t="s">
        <v>413</v>
      </c>
      <c r="C31" t="s">
        <v>414</v>
      </c>
      <c r="D31" t="s">
        <v>419</v>
      </c>
      <c r="E31" t="s">
        <v>213</v>
      </c>
      <c r="F31"/>
      <c r="G31"/>
      <c r="H31"/>
      <c r="I31" s="266">
        <f t="shared" si="0"/>
        <v>0</v>
      </c>
      <c r="J31" s="266">
        <f t="shared" si="1"/>
        <v>0</v>
      </c>
      <c r="K31" s="280">
        <f t="shared" si="2"/>
        <v>1706.04</v>
      </c>
      <c r="L31" s="171">
        <f t="shared" si="3"/>
        <v>0</v>
      </c>
      <c r="M31" s="266">
        <f t="shared" si="4"/>
        <v>0</v>
      </c>
      <c r="N31" s="266">
        <f t="shared" si="5"/>
        <v>0</v>
      </c>
      <c r="O31" s="171">
        <f t="shared" si="6"/>
        <v>0</v>
      </c>
      <c r="P31" s="171"/>
      <c r="Q31" s="220">
        <v>0</v>
      </c>
      <c r="R31" s="235">
        <v>0</v>
      </c>
      <c r="S31" s="235">
        <v>0</v>
      </c>
      <c r="T31" s="224">
        <v>0</v>
      </c>
      <c r="U31" s="224">
        <v>0</v>
      </c>
      <c r="V31"/>
      <c r="W31" s="236">
        <v>0</v>
      </c>
      <c r="X31" s="237">
        <v>0</v>
      </c>
      <c r="Y31" s="237">
        <v>0</v>
      </c>
      <c r="Z31" s="237">
        <v>1706.04</v>
      </c>
      <c r="AA31" s="237">
        <v>0</v>
      </c>
      <c r="AB31" s="237">
        <v>0</v>
      </c>
      <c r="AC31" s="237">
        <v>0</v>
      </c>
      <c r="AD31" s="237">
        <v>0</v>
      </c>
      <c r="AE31" s="238">
        <v>0</v>
      </c>
      <c r="AF31"/>
      <c r="AG31">
        <v>0</v>
      </c>
      <c r="AH31" s="224"/>
      <c r="AJ31" s="224">
        <v>0</v>
      </c>
      <c r="AK31" s="239">
        <v>0</v>
      </c>
      <c r="AL31"/>
      <c r="AM31"/>
      <c r="AN31" s="224"/>
      <c r="AO31"/>
      <c r="AP31" s="224"/>
      <c r="AQ31" s="218"/>
    </row>
    <row r="32" spans="1:43" s="239" customFormat="1" hidden="1" x14ac:dyDescent="0.25">
      <c r="A32" t="s">
        <v>433</v>
      </c>
      <c r="B32" t="s">
        <v>413</v>
      </c>
      <c r="C32" t="s">
        <v>416</v>
      </c>
      <c r="D32" t="s">
        <v>431</v>
      </c>
      <c r="E32" t="s">
        <v>218</v>
      </c>
      <c r="F32"/>
      <c r="G32"/>
      <c r="H32"/>
      <c r="I32" s="266">
        <f t="shared" si="0"/>
        <v>0</v>
      </c>
      <c r="J32" s="266">
        <f t="shared" si="1"/>
        <v>0</v>
      </c>
      <c r="K32" s="280">
        <f t="shared" si="2"/>
        <v>0</v>
      </c>
      <c r="L32" s="171">
        <f t="shared" si="3"/>
        <v>0</v>
      </c>
      <c r="M32" s="266">
        <f t="shared" si="4"/>
        <v>0</v>
      </c>
      <c r="N32" s="266">
        <f t="shared" si="5"/>
        <v>0</v>
      </c>
      <c r="O32" s="171">
        <f t="shared" si="6"/>
        <v>0</v>
      </c>
      <c r="P32" s="171"/>
      <c r="Q32" s="220">
        <v>0</v>
      </c>
      <c r="R32" s="235">
        <v>0</v>
      </c>
      <c r="S32" s="235"/>
      <c r="T32" s="224"/>
      <c r="U32" s="224"/>
      <c r="V32"/>
      <c r="W32" s="236"/>
      <c r="X32" s="237"/>
      <c r="Y32" s="237"/>
      <c r="Z32" s="237"/>
      <c r="AA32" s="237"/>
      <c r="AB32" s="237"/>
      <c r="AC32" s="237"/>
      <c r="AD32" s="237"/>
      <c r="AE32" s="238"/>
      <c r="AF32"/>
      <c r="AG32">
        <v>0</v>
      </c>
      <c r="AH32" s="224"/>
      <c r="AJ32" s="224">
        <v>0</v>
      </c>
      <c r="AK32" s="239">
        <v>0</v>
      </c>
      <c r="AL32"/>
      <c r="AM32"/>
      <c r="AN32" s="224"/>
      <c r="AO32"/>
      <c r="AP32" s="224"/>
      <c r="AQ32" s="218"/>
    </row>
    <row r="33" spans="1:43" s="239" customFormat="1" x14ac:dyDescent="0.25">
      <c r="A33" t="s">
        <v>242</v>
      </c>
      <c r="B33" t="s">
        <v>413</v>
      </c>
      <c r="C33" t="s">
        <v>416</v>
      </c>
      <c r="D33" t="s">
        <v>417</v>
      </c>
      <c r="E33" t="s">
        <v>218</v>
      </c>
      <c r="F33">
        <v>1</v>
      </c>
      <c r="G33"/>
      <c r="H33"/>
      <c r="I33" s="266">
        <f t="shared" si="0"/>
        <v>0</v>
      </c>
      <c r="J33" s="266">
        <f t="shared" si="1"/>
        <v>32393444.969999995</v>
      </c>
      <c r="K33" s="280">
        <f t="shared" si="2"/>
        <v>39325747.579999991</v>
      </c>
      <c r="L33" s="171">
        <f t="shared" si="3"/>
        <v>0</v>
      </c>
      <c r="M33" s="266">
        <f t="shared" si="4"/>
        <v>0</v>
      </c>
      <c r="N33" s="266">
        <f t="shared" si="5"/>
        <v>0</v>
      </c>
      <c r="O33" s="171">
        <f t="shared" si="6"/>
        <v>0</v>
      </c>
      <c r="P33" s="171"/>
      <c r="Q33" s="220">
        <v>0</v>
      </c>
      <c r="R33" s="235">
        <v>0</v>
      </c>
      <c r="S33" s="235">
        <v>0</v>
      </c>
      <c r="T33" s="224">
        <v>32080224.779999994</v>
      </c>
      <c r="U33" s="224">
        <v>0</v>
      </c>
      <c r="V33"/>
      <c r="W33" s="236">
        <v>0</v>
      </c>
      <c r="X33" s="237">
        <v>313220.19000000006</v>
      </c>
      <c r="Y33" s="237">
        <v>0</v>
      </c>
      <c r="Z33" s="237">
        <v>933137.57000000007</v>
      </c>
      <c r="AA33" s="237">
        <v>21520326.659999985</v>
      </c>
      <c r="AB33" s="237">
        <v>5807571.3700000048</v>
      </c>
      <c r="AC33" s="237">
        <v>298736.48</v>
      </c>
      <c r="AD33" s="237">
        <v>2604484.7500000033</v>
      </c>
      <c r="AE33" s="238">
        <v>8161490.7499999991</v>
      </c>
      <c r="AF33"/>
      <c r="AG33">
        <v>0</v>
      </c>
      <c r="AH33" s="224"/>
      <c r="AJ33" s="224">
        <v>0</v>
      </c>
      <c r="AK33" s="239">
        <v>0</v>
      </c>
      <c r="AL33"/>
      <c r="AM33"/>
      <c r="AN33" s="224"/>
      <c r="AO33"/>
      <c r="AP33" s="224"/>
      <c r="AQ33" s="218"/>
    </row>
    <row r="34" spans="1:43" s="239" customFormat="1" x14ac:dyDescent="0.25">
      <c r="A34" t="s">
        <v>242</v>
      </c>
      <c r="B34" t="s">
        <v>413</v>
      </c>
      <c r="C34" t="s">
        <v>416</v>
      </c>
      <c r="D34" t="s">
        <v>427</v>
      </c>
      <c r="E34" t="s">
        <v>218</v>
      </c>
      <c r="F34">
        <v>1</v>
      </c>
      <c r="G34"/>
      <c r="H34"/>
      <c r="I34" s="266">
        <f t="shared" si="0"/>
        <v>0</v>
      </c>
      <c r="J34" s="266">
        <f t="shared" si="1"/>
        <v>296693840.26999998</v>
      </c>
      <c r="K34" s="280">
        <f t="shared" si="2"/>
        <v>111759035.8</v>
      </c>
      <c r="L34" s="171">
        <f t="shared" si="3"/>
        <v>0</v>
      </c>
      <c r="M34" s="266">
        <f t="shared" si="4"/>
        <v>0</v>
      </c>
      <c r="N34" s="266">
        <f t="shared" si="5"/>
        <v>11475100</v>
      </c>
      <c r="O34" s="171">
        <f t="shared" si="6"/>
        <v>0</v>
      </c>
      <c r="P34" s="171"/>
      <c r="Q34" s="278">
        <v>0</v>
      </c>
      <c r="R34" s="240">
        <v>0</v>
      </c>
      <c r="S34" s="240">
        <v>7408200.6200000001</v>
      </c>
      <c r="T34" s="239">
        <v>2181375.5599999996</v>
      </c>
      <c r="U34" s="239">
        <v>0</v>
      </c>
      <c r="V34"/>
      <c r="W34" s="241">
        <v>0</v>
      </c>
      <c r="X34" s="242">
        <v>287104264.08999997</v>
      </c>
      <c r="Y34" s="242">
        <v>0</v>
      </c>
      <c r="Z34" s="242">
        <v>52911435.689999998</v>
      </c>
      <c r="AA34" s="242">
        <v>15202566.340000002</v>
      </c>
      <c r="AB34" s="242">
        <v>16819915.75999999</v>
      </c>
      <c r="AC34" s="242">
        <v>4956390.84</v>
      </c>
      <c r="AD34" s="242">
        <v>12128769.540000005</v>
      </c>
      <c r="AE34" s="243">
        <v>9739957.6300000008</v>
      </c>
      <c r="AF34"/>
      <c r="AG34">
        <v>0</v>
      </c>
      <c r="AJ34" s="239">
        <v>0</v>
      </c>
      <c r="AK34" s="239">
        <v>11475100</v>
      </c>
      <c r="AL34"/>
      <c r="AM34"/>
      <c r="AO34"/>
      <c r="AQ34" s="218"/>
    </row>
    <row r="35" spans="1:43" s="239" customFormat="1" hidden="1" x14ac:dyDescent="0.25">
      <c r="A35" t="s">
        <v>242</v>
      </c>
      <c r="B35" t="s">
        <v>413</v>
      </c>
      <c r="C35" t="s">
        <v>416</v>
      </c>
      <c r="D35" t="s">
        <v>431</v>
      </c>
      <c r="E35" t="s">
        <v>218</v>
      </c>
      <c r="F35">
        <v>1</v>
      </c>
      <c r="G35">
        <v>1</v>
      </c>
      <c r="H35"/>
      <c r="I35" s="266">
        <f t="shared" si="0"/>
        <v>386058892.07000017</v>
      </c>
      <c r="J35" s="266">
        <f t="shared" si="1"/>
        <v>20589477.049999982</v>
      </c>
      <c r="K35" s="280">
        <f t="shared" si="2"/>
        <v>0</v>
      </c>
      <c r="L35" s="171">
        <f t="shared" si="3"/>
        <v>0</v>
      </c>
      <c r="M35" s="266">
        <f t="shared" si="4"/>
        <v>0</v>
      </c>
      <c r="N35" s="266">
        <f t="shared" si="5"/>
        <v>50514100</v>
      </c>
      <c r="O35" s="171">
        <f t="shared" si="6"/>
        <v>0</v>
      </c>
      <c r="P35" s="171"/>
      <c r="Q35" s="278">
        <v>0</v>
      </c>
      <c r="R35" s="240">
        <v>0</v>
      </c>
      <c r="S35" s="240">
        <v>0</v>
      </c>
      <c r="T35" s="239">
        <v>20589477.049999982</v>
      </c>
      <c r="U35" s="239">
        <v>386058892.07000017</v>
      </c>
      <c r="V35"/>
      <c r="W35" s="241"/>
      <c r="X35" s="242"/>
      <c r="Y35" s="242"/>
      <c r="Z35" s="242"/>
      <c r="AA35" s="242"/>
      <c r="AB35" s="242"/>
      <c r="AC35" s="242"/>
      <c r="AD35" s="242"/>
      <c r="AE35" s="243"/>
      <c r="AF35"/>
      <c r="AG35">
        <v>0</v>
      </c>
      <c r="AJ35" s="239">
        <v>0</v>
      </c>
      <c r="AK35" s="239">
        <v>50514100</v>
      </c>
      <c r="AL35"/>
      <c r="AM35"/>
      <c r="AO35"/>
      <c r="AQ35" s="218"/>
    </row>
    <row r="36" spans="1:43" s="239" customFormat="1" hidden="1" x14ac:dyDescent="0.25">
      <c r="A36" t="s">
        <v>418</v>
      </c>
      <c r="B36" t="s">
        <v>413</v>
      </c>
      <c r="C36" t="s">
        <v>414</v>
      </c>
      <c r="D36" t="s">
        <v>419</v>
      </c>
      <c r="E36" t="s">
        <v>213</v>
      </c>
      <c r="F36"/>
      <c r="G36"/>
      <c r="H36"/>
      <c r="I36" s="266">
        <f t="shared" si="0"/>
        <v>0</v>
      </c>
      <c r="J36" s="266">
        <f t="shared" si="1"/>
        <v>0</v>
      </c>
      <c r="K36" s="280">
        <f t="shared" si="2"/>
        <v>294621384.97000003</v>
      </c>
      <c r="L36" s="171">
        <f t="shared" si="3"/>
        <v>0</v>
      </c>
      <c r="M36" s="266">
        <f t="shared" si="4"/>
        <v>0</v>
      </c>
      <c r="N36" s="266">
        <f t="shared" si="5"/>
        <v>0</v>
      </c>
      <c r="O36" s="171">
        <f t="shared" si="6"/>
        <v>0</v>
      </c>
      <c r="P36" s="171"/>
      <c r="Q36" s="220">
        <v>0</v>
      </c>
      <c r="R36" s="235">
        <v>0</v>
      </c>
      <c r="S36" s="235">
        <v>0</v>
      </c>
      <c r="T36" s="224">
        <v>0</v>
      </c>
      <c r="U36" s="224">
        <v>0</v>
      </c>
      <c r="V36"/>
      <c r="W36" s="236">
        <v>0</v>
      </c>
      <c r="X36" s="237">
        <v>0</v>
      </c>
      <c r="Y36" s="237">
        <v>0</v>
      </c>
      <c r="Z36" s="237">
        <v>291668161.47000003</v>
      </c>
      <c r="AA36" s="237">
        <v>1770631.5299999996</v>
      </c>
      <c r="AB36" s="237">
        <v>1182591.97</v>
      </c>
      <c r="AC36" s="237">
        <v>0</v>
      </c>
      <c r="AD36" s="237"/>
      <c r="AE36" s="238"/>
      <c r="AF36"/>
      <c r="AG36">
        <v>0</v>
      </c>
      <c r="AH36" s="224"/>
      <c r="AJ36" s="224">
        <v>0</v>
      </c>
      <c r="AK36" s="239">
        <v>0</v>
      </c>
      <c r="AL36"/>
      <c r="AM36"/>
      <c r="AN36" s="224"/>
      <c r="AO36"/>
      <c r="AP36" s="224"/>
      <c r="AQ36" s="218"/>
    </row>
    <row r="37" spans="1:43" s="239" customFormat="1" hidden="1" x14ac:dyDescent="0.25">
      <c r="A37" t="s">
        <v>432</v>
      </c>
      <c r="B37" t="s">
        <v>413</v>
      </c>
      <c r="C37" t="s">
        <v>414</v>
      </c>
      <c r="D37" t="s">
        <v>422</v>
      </c>
      <c r="E37" t="s">
        <v>213</v>
      </c>
      <c r="F37"/>
      <c r="G37"/>
      <c r="H37" t="s">
        <v>178</v>
      </c>
      <c r="I37" s="266">
        <f t="shared" si="0"/>
        <v>0</v>
      </c>
      <c r="J37" s="266">
        <f t="shared" si="1"/>
        <v>372200.5</v>
      </c>
      <c r="K37" s="280">
        <f t="shared" si="2"/>
        <v>91218350.829999998</v>
      </c>
      <c r="L37" s="171">
        <f t="shared" si="3"/>
        <v>0</v>
      </c>
      <c r="M37" s="266">
        <f t="shared" si="4"/>
        <v>0</v>
      </c>
      <c r="N37" s="266">
        <f t="shared" si="5"/>
        <v>0</v>
      </c>
      <c r="O37" s="171">
        <f t="shared" si="6"/>
        <v>0</v>
      </c>
      <c r="P37" s="171"/>
      <c r="Q37" s="278">
        <v>0</v>
      </c>
      <c r="R37" s="240">
        <v>0</v>
      </c>
      <c r="S37" s="240">
        <v>372200.5</v>
      </c>
      <c r="T37" s="239">
        <v>0</v>
      </c>
      <c r="U37" s="239">
        <v>0</v>
      </c>
      <c r="V37"/>
      <c r="W37" s="241">
        <v>0</v>
      </c>
      <c r="X37" s="242">
        <v>0</v>
      </c>
      <c r="Y37" s="242">
        <v>0</v>
      </c>
      <c r="Z37" s="242">
        <v>57536.499999999993</v>
      </c>
      <c r="AA37" s="242">
        <v>1551255.2400000002</v>
      </c>
      <c r="AB37" s="242">
        <v>359545.38</v>
      </c>
      <c r="AC37" s="242">
        <v>0</v>
      </c>
      <c r="AD37" s="242">
        <v>6502202.7199999979</v>
      </c>
      <c r="AE37" s="243">
        <v>82747810.989999995</v>
      </c>
      <c r="AF37"/>
      <c r="AJ37" s="239">
        <v>0</v>
      </c>
      <c r="AK37" s="239">
        <v>0</v>
      </c>
      <c r="AL37"/>
      <c r="AM37"/>
      <c r="AO37"/>
      <c r="AQ37" s="218"/>
    </row>
    <row r="38" spans="1:43" s="239" customFormat="1" x14ac:dyDescent="0.25">
      <c r="A38" t="s">
        <v>432</v>
      </c>
      <c r="B38" t="s">
        <v>413</v>
      </c>
      <c r="C38" t="s">
        <v>416</v>
      </c>
      <c r="D38" t="s">
        <v>427</v>
      </c>
      <c r="E38" t="s">
        <v>218</v>
      </c>
      <c r="F38"/>
      <c r="G38"/>
      <c r="H38"/>
      <c r="I38" s="266">
        <f t="shared" si="0"/>
        <v>0</v>
      </c>
      <c r="J38" s="266">
        <f t="shared" si="1"/>
        <v>4078128.26</v>
      </c>
      <c r="K38" s="280">
        <f t="shared" si="2"/>
        <v>17453863.409999996</v>
      </c>
      <c r="L38" s="171">
        <f t="shared" si="3"/>
        <v>0</v>
      </c>
      <c r="M38" s="266">
        <f t="shared" si="4"/>
        <v>0</v>
      </c>
      <c r="N38" s="266">
        <f t="shared" si="5"/>
        <v>0</v>
      </c>
      <c r="O38" s="171">
        <f t="shared" si="6"/>
        <v>0</v>
      </c>
      <c r="P38" s="171"/>
      <c r="Q38" s="220">
        <v>0</v>
      </c>
      <c r="R38" s="235">
        <v>0</v>
      </c>
      <c r="S38" s="235">
        <v>0</v>
      </c>
      <c r="T38" s="224">
        <v>0</v>
      </c>
      <c r="U38" s="224">
        <v>0</v>
      </c>
      <c r="V38"/>
      <c r="W38" s="236">
        <v>0</v>
      </c>
      <c r="X38" s="237">
        <v>4078128.26</v>
      </c>
      <c r="Y38" s="237">
        <v>0</v>
      </c>
      <c r="Z38" s="237">
        <v>17222382.179999996</v>
      </c>
      <c r="AA38" s="237">
        <v>193304.51</v>
      </c>
      <c r="AB38" s="237">
        <v>38176.720000000001</v>
      </c>
      <c r="AC38" s="237">
        <v>0</v>
      </c>
      <c r="AD38" s="237">
        <v>0</v>
      </c>
      <c r="AE38" s="238">
        <v>0</v>
      </c>
      <c r="AF38"/>
      <c r="AG38">
        <v>0</v>
      </c>
      <c r="AH38" s="224"/>
      <c r="AJ38" s="224">
        <v>0</v>
      </c>
      <c r="AK38" s="239">
        <v>0</v>
      </c>
      <c r="AL38"/>
      <c r="AM38"/>
      <c r="AN38" s="224"/>
      <c r="AO38"/>
      <c r="AP38" s="224"/>
      <c r="AQ38" s="218"/>
    </row>
    <row r="39" spans="1:43" s="239" customFormat="1" hidden="1" x14ac:dyDescent="0.25">
      <c r="A39" t="s">
        <v>191</v>
      </c>
      <c r="B39" t="s">
        <v>413</v>
      </c>
      <c r="C39" t="s">
        <v>414</v>
      </c>
      <c r="D39" t="s">
        <v>415</v>
      </c>
      <c r="E39" t="s">
        <v>223</v>
      </c>
      <c r="F39"/>
      <c r="G39"/>
      <c r="H39"/>
      <c r="I39" s="266">
        <f t="shared" si="0"/>
        <v>0</v>
      </c>
      <c r="J39" s="266">
        <f t="shared" si="1"/>
        <v>0</v>
      </c>
      <c r="K39" s="280">
        <f t="shared" si="2"/>
        <v>350170504.11000001</v>
      </c>
      <c r="L39" s="171">
        <f t="shared" si="3"/>
        <v>0</v>
      </c>
      <c r="M39" s="266">
        <f t="shared" si="4"/>
        <v>0</v>
      </c>
      <c r="N39" s="266">
        <f t="shared" si="5"/>
        <v>0</v>
      </c>
      <c r="O39" s="171">
        <f t="shared" si="6"/>
        <v>0</v>
      </c>
      <c r="P39" s="171"/>
      <c r="Q39" s="220">
        <v>0</v>
      </c>
      <c r="R39" s="235">
        <v>0</v>
      </c>
      <c r="S39" s="235">
        <v>0</v>
      </c>
      <c r="T39" s="224">
        <v>0</v>
      </c>
      <c r="U39" s="224">
        <v>0</v>
      </c>
      <c r="V39"/>
      <c r="W39" s="236">
        <v>0</v>
      </c>
      <c r="X39" s="237">
        <v>0</v>
      </c>
      <c r="Y39" s="237">
        <v>0</v>
      </c>
      <c r="Z39" s="237">
        <v>0</v>
      </c>
      <c r="AA39" s="237">
        <v>444084.55000000005</v>
      </c>
      <c r="AB39" s="237">
        <v>6179097.5899999999</v>
      </c>
      <c r="AC39" s="237">
        <v>0</v>
      </c>
      <c r="AD39" s="237">
        <v>3264769.54</v>
      </c>
      <c r="AE39" s="238">
        <v>340282552.43000001</v>
      </c>
      <c r="AF39"/>
      <c r="AG39">
        <v>0</v>
      </c>
      <c r="AH39" s="224"/>
      <c r="AJ39" s="224">
        <v>0</v>
      </c>
      <c r="AK39" s="239">
        <v>0</v>
      </c>
      <c r="AL39"/>
      <c r="AM39"/>
      <c r="AN39" s="224"/>
      <c r="AO39"/>
      <c r="AP39" s="224"/>
      <c r="AQ39" s="218"/>
    </row>
    <row r="40" spans="1:43" hidden="1" x14ac:dyDescent="0.25">
      <c r="A40" t="s">
        <v>191</v>
      </c>
      <c r="B40" t="s">
        <v>413</v>
      </c>
      <c r="C40" t="s">
        <v>414</v>
      </c>
      <c r="D40" t="s">
        <v>415</v>
      </c>
      <c r="E40" t="s">
        <v>223</v>
      </c>
      <c r="I40" s="266">
        <f t="shared" si="0"/>
        <v>0</v>
      </c>
      <c r="J40" s="266">
        <f t="shared" si="1"/>
        <v>0</v>
      </c>
      <c r="K40" s="280">
        <f t="shared" si="2"/>
        <v>72525.900000000009</v>
      </c>
      <c r="L40" s="171">
        <f t="shared" si="3"/>
        <v>0</v>
      </c>
      <c r="M40" s="266">
        <f t="shared" si="4"/>
        <v>0</v>
      </c>
      <c r="N40" s="266">
        <f t="shared" si="5"/>
        <v>0</v>
      </c>
      <c r="O40" s="171">
        <f t="shared" si="6"/>
        <v>0</v>
      </c>
      <c r="P40" s="171"/>
      <c r="Q40" s="220">
        <v>0</v>
      </c>
      <c r="R40" s="235">
        <v>0</v>
      </c>
      <c r="S40" s="235">
        <v>0</v>
      </c>
      <c r="T40" s="224">
        <v>0</v>
      </c>
      <c r="U40" s="224">
        <v>0</v>
      </c>
      <c r="W40" s="236">
        <v>0</v>
      </c>
      <c r="X40" s="237">
        <v>0</v>
      </c>
      <c r="Y40" s="237">
        <v>0</v>
      </c>
      <c r="Z40" s="237">
        <v>0</v>
      </c>
      <c r="AA40" s="237">
        <v>0</v>
      </c>
      <c r="AB40" s="237">
        <v>0</v>
      </c>
      <c r="AC40" s="237">
        <v>0</v>
      </c>
      <c r="AD40" s="237">
        <v>72525.900000000009</v>
      </c>
      <c r="AE40" s="238">
        <v>0</v>
      </c>
      <c r="AG40">
        <v>0</v>
      </c>
      <c r="AH40" s="224"/>
      <c r="AJ40" s="224">
        <v>0</v>
      </c>
      <c r="AK40" s="239">
        <v>0</v>
      </c>
      <c r="AN40" s="224"/>
      <c r="AP40" s="224"/>
      <c r="AQ40" s="218"/>
    </row>
    <row r="41" spans="1:43" hidden="1" x14ac:dyDescent="0.25">
      <c r="A41" t="s">
        <v>438</v>
      </c>
      <c r="B41" t="s">
        <v>413</v>
      </c>
      <c r="C41" t="s">
        <v>414</v>
      </c>
      <c r="D41" t="s">
        <v>419</v>
      </c>
      <c r="E41" t="s">
        <v>213</v>
      </c>
      <c r="I41" s="266">
        <f t="shared" si="0"/>
        <v>0</v>
      </c>
      <c r="J41" s="266">
        <f t="shared" si="1"/>
        <v>0</v>
      </c>
      <c r="K41" s="280">
        <f t="shared" si="2"/>
        <v>2267890.4699999997</v>
      </c>
      <c r="L41" s="171">
        <f t="shared" si="3"/>
        <v>0</v>
      </c>
      <c r="M41" s="266">
        <f t="shared" si="4"/>
        <v>0</v>
      </c>
      <c r="N41" s="266">
        <f t="shared" si="5"/>
        <v>0</v>
      </c>
      <c r="O41" s="171">
        <f t="shared" si="6"/>
        <v>0</v>
      </c>
      <c r="P41" s="171"/>
      <c r="Q41" s="220">
        <v>0</v>
      </c>
      <c r="R41" s="235">
        <v>0</v>
      </c>
      <c r="S41" s="235">
        <v>0</v>
      </c>
      <c r="T41" s="224">
        <v>0</v>
      </c>
      <c r="U41" s="224">
        <v>0</v>
      </c>
      <c r="W41" s="236">
        <v>0</v>
      </c>
      <c r="X41" s="237">
        <v>0</v>
      </c>
      <c r="Y41" s="237">
        <v>0</v>
      </c>
      <c r="Z41" s="237">
        <v>2267890.4699999997</v>
      </c>
      <c r="AA41" s="237">
        <v>0</v>
      </c>
      <c r="AB41" s="237">
        <v>0</v>
      </c>
      <c r="AC41" s="237">
        <v>0</v>
      </c>
      <c r="AD41" s="237">
        <v>0</v>
      </c>
      <c r="AE41" s="238">
        <v>0</v>
      </c>
      <c r="AG41">
        <v>0</v>
      </c>
      <c r="AH41" s="224"/>
      <c r="AJ41" s="224">
        <v>0</v>
      </c>
      <c r="AK41" s="239">
        <v>0</v>
      </c>
      <c r="AN41" s="224"/>
      <c r="AP41" s="224"/>
      <c r="AQ41" s="218"/>
    </row>
    <row r="42" spans="1:43" hidden="1" x14ac:dyDescent="0.25">
      <c r="A42" t="s">
        <v>438</v>
      </c>
      <c r="B42" t="s">
        <v>413</v>
      </c>
      <c r="C42" t="s">
        <v>414</v>
      </c>
      <c r="D42" t="s">
        <v>422</v>
      </c>
      <c r="E42" t="s">
        <v>213</v>
      </c>
      <c r="I42" s="266">
        <f t="shared" si="0"/>
        <v>0</v>
      </c>
      <c r="J42" s="266">
        <f t="shared" si="1"/>
        <v>1319912.03</v>
      </c>
      <c r="K42" s="280">
        <f t="shared" si="2"/>
        <v>26874644.050000004</v>
      </c>
      <c r="L42" s="171">
        <f t="shared" si="3"/>
        <v>0</v>
      </c>
      <c r="M42" s="266">
        <f t="shared" si="4"/>
        <v>0</v>
      </c>
      <c r="N42" s="266">
        <f t="shared" si="5"/>
        <v>0</v>
      </c>
      <c r="O42" s="171">
        <f t="shared" si="6"/>
        <v>0</v>
      </c>
      <c r="P42" s="171"/>
      <c r="Q42" s="278">
        <v>0</v>
      </c>
      <c r="R42" s="240">
        <v>0</v>
      </c>
      <c r="S42" s="240">
        <v>1319912.03</v>
      </c>
      <c r="T42" s="239">
        <v>0</v>
      </c>
      <c r="U42" s="239">
        <v>0</v>
      </c>
      <c r="W42" s="241">
        <v>0</v>
      </c>
      <c r="X42" s="242">
        <v>0</v>
      </c>
      <c r="Y42" s="242">
        <v>0</v>
      </c>
      <c r="Z42" s="242">
        <v>0</v>
      </c>
      <c r="AA42" s="242">
        <v>4238369.4399999985</v>
      </c>
      <c r="AB42" s="242">
        <v>6529418.2500000047</v>
      </c>
      <c r="AC42" s="242">
        <v>0</v>
      </c>
      <c r="AD42" s="242">
        <v>3415503.9399999985</v>
      </c>
      <c r="AE42" s="243">
        <v>12691352.42</v>
      </c>
      <c r="AG42">
        <v>0</v>
      </c>
      <c r="AH42" s="239"/>
      <c r="AJ42" s="239">
        <v>0</v>
      </c>
      <c r="AK42" s="239">
        <v>0</v>
      </c>
      <c r="AN42" s="239"/>
      <c r="AP42" s="239"/>
      <c r="AQ42" s="218"/>
    </row>
    <row r="43" spans="1:43" hidden="1" x14ac:dyDescent="0.25">
      <c r="A43" t="s">
        <v>412</v>
      </c>
      <c r="B43" t="s">
        <v>413</v>
      </c>
      <c r="C43" t="s">
        <v>439</v>
      </c>
      <c r="D43" t="s">
        <v>440</v>
      </c>
      <c r="H43" t="s">
        <v>178</v>
      </c>
      <c r="I43" s="266">
        <f t="shared" si="0"/>
        <v>0</v>
      </c>
      <c r="J43" s="266">
        <f t="shared" si="1"/>
        <v>0</v>
      </c>
      <c r="K43" s="280">
        <f t="shared" si="2"/>
        <v>0</v>
      </c>
      <c r="L43" s="171">
        <f t="shared" si="3"/>
        <v>836729573.17709005</v>
      </c>
      <c r="M43" s="266">
        <f t="shared" si="4"/>
        <v>0</v>
      </c>
      <c r="N43" s="266">
        <f t="shared" si="5"/>
        <v>726526400.34130025</v>
      </c>
      <c r="O43" s="171">
        <f t="shared" si="6"/>
        <v>797692429.12999988</v>
      </c>
      <c r="P43" s="171"/>
      <c r="Q43" s="220">
        <v>0</v>
      </c>
      <c r="R43" s="235">
        <v>0</v>
      </c>
      <c r="S43" s="235">
        <v>0</v>
      </c>
      <c r="T43" s="224">
        <v>0</v>
      </c>
      <c r="U43" s="224">
        <v>0</v>
      </c>
      <c r="AF43" s="239">
        <v>247305072.95999762</v>
      </c>
      <c r="AG43" s="239">
        <v>503783834.83709246</v>
      </c>
      <c r="AH43" s="239">
        <v>85640665.380000025</v>
      </c>
      <c r="AJ43" s="224">
        <v>0</v>
      </c>
      <c r="AK43" s="239">
        <v>726526400.34130025</v>
      </c>
      <c r="AN43" s="224"/>
      <c r="AP43" s="224">
        <v>797692429.12999988</v>
      </c>
      <c r="AQ43" s="218"/>
    </row>
    <row r="44" spans="1:43" hidden="1" x14ac:dyDescent="0.25">
      <c r="A44" t="s">
        <v>421</v>
      </c>
      <c r="B44" t="s">
        <v>413</v>
      </c>
      <c r="C44" t="s">
        <v>439</v>
      </c>
      <c r="D44" t="s">
        <v>441</v>
      </c>
      <c r="H44" t="s">
        <v>178</v>
      </c>
      <c r="I44" s="266">
        <f t="shared" si="0"/>
        <v>0</v>
      </c>
      <c r="J44" s="266">
        <f t="shared" si="1"/>
        <v>0</v>
      </c>
      <c r="K44" s="280">
        <f t="shared" si="2"/>
        <v>0</v>
      </c>
      <c r="L44" s="171">
        <f t="shared" si="3"/>
        <v>875989074.51481271</v>
      </c>
      <c r="M44" s="266">
        <f t="shared" si="4"/>
        <v>0</v>
      </c>
      <c r="N44" s="266">
        <f t="shared" si="5"/>
        <v>827054817.34069943</v>
      </c>
      <c r="O44" s="171">
        <f t="shared" si="6"/>
        <v>0</v>
      </c>
      <c r="P44" s="171"/>
      <c r="Q44" s="220">
        <v>0</v>
      </c>
      <c r="R44" s="235">
        <v>0</v>
      </c>
      <c r="S44" s="235">
        <v>0</v>
      </c>
      <c r="T44" s="224">
        <v>0</v>
      </c>
      <c r="U44" s="224">
        <v>0</v>
      </c>
      <c r="AF44" s="224">
        <v>335000188.86999112</v>
      </c>
      <c r="AG44" s="237">
        <v>452467116.17482156</v>
      </c>
      <c r="AH44" s="224">
        <v>88521769.470000029</v>
      </c>
      <c r="AJ44" s="224">
        <v>0</v>
      </c>
      <c r="AK44" s="239">
        <v>827054817.34069943</v>
      </c>
      <c r="AN44" s="224"/>
      <c r="AP44" s="224"/>
      <c r="AQ44" s="218"/>
    </row>
    <row r="45" spans="1:43" hidden="1" x14ac:dyDescent="0.25">
      <c r="A45" t="s">
        <v>420</v>
      </c>
      <c r="B45" t="s">
        <v>413</v>
      </c>
      <c r="C45" t="s">
        <v>439</v>
      </c>
      <c r="D45" t="s">
        <v>440</v>
      </c>
      <c r="H45" t="s">
        <v>178</v>
      </c>
      <c r="I45" s="266">
        <f t="shared" si="0"/>
        <v>0</v>
      </c>
      <c r="J45" s="266">
        <f t="shared" si="1"/>
        <v>0</v>
      </c>
      <c r="K45" s="280">
        <f t="shared" si="2"/>
        <v>0</v>
      </c>
      <c r="L45" s="171">
        <f t="shared" si="3"/>
        <v>972681258.01652825</v>
      </c>
      <c r="M45" s="266">
        <f t="shared" si="4"/>
        <v>0</v>
      </c>
      <c r="N45" s="266">
        <f t="shared" si="5"/>
        <v>967828913.29799938</v>
      </c>
      <c r="O45" s="171">
        <f t="shared" si="6"/>
        <v>441584308.78997934</v>
      </c>
      <c r="P45" s="171"/>
      <c r="Q45" s="220">
        <v>0</v>
      </c>
      <c r="R45" s="235">
        <v>0</v>
      </c>
      <c r="S45" s="235">
        <v>0</v>
      </c>
      <c r="T45" s="224">
        <v>0</v>
      </c>
      <c r="U45" s="224">
        <v>0</v>
      </c>
      <c r="AF45" s="224">
        <v>327858052.19999248</v>
      </c>
      <c r="AG45" s="237">
        <v>464562158.48653579</v>
      </c>
      <c r="AH45" s="224">
        <v>180261047.33000004</v>
      </c>
      <c r="AI45" s="239">
        <v>94815880.11999999</v>
      </c>
      <c r="AJ45" s="224">
        <v>0</v>
      </c>
      <c r="AK45" s="239">
        <v>967828913.29799938</v>
      </c>
      <c r="AN45" s="224"/>
      <c r="AP45" s="224">
        <v>441584308.78997934</v>
      </c>
      <c r="AQ45" s="218"/>
    </row>
    <row r="46" spans="1:43" hidden="1" x14ac:dyDescent="0.25">
      <c r="A46" t="s">
        <v>429</v>
      </c>
      <c r="B46" t="s">
        <v>413</v>
      </c>
      <c r="C46" t="s">
        <v>439</v>
      </c>
      <c r="D46" t="s">
        <v>442</v>
      </c>
      <c r="H46" t="s">
        <v>178</v>
      </c>
      <c r="I46" s="266">
        <f t="shared" si="0"/>
        <v>0</v>
      </c>
      <c r="J46" s="266">
        <f t="shared" si="1"/>
        <v>0</v>
      </c>
      <c r="K46" s="280">
        <f t="shared" si="2"/>
        <v>0</v>
      </c>
      <c r="L46" s="171">
        <f t="shared" si="3"/>
        <v>411849664.02079684</v>
      </c>
      <c r="M46" s="266">
        <f t="shared" si="4"/>
        <v>0</v>
      </c>
      <c r="N46" s="266">
        <f t="shared" si="5"/>
        <v>412434031.7422002</v>
      </c>
      <c r="O46" s="171">
        <f t="shared" si="6"/>
        <v>0</v>
      </c>
      <c r="P46" s="171"/>
      <c r="Q46" s="220">
        <v>0</v>
      </c>
      <c r="R46" s="235">
        <v>0</v>
      </c>
      <c r="S46" s="235">
        <v>0</v>
      </c>
      <c r="T46" s="224">
        <v>0</v>
      </c>
      <c r="U46" s="224">
        <v>0</v>
      </c>
      <c r="AF46" s="224">
        <v>168158943.18000051</v>
      </c>
      <c r="AG46" s="237">
        <v>189751569.22079641</v>
      </c>
      <c r="AH46" s="224">
        <v>53939151.619999968</v>
      </c>
      <c r="AI46" s="239">
        <v>44545705.969999999</v>
      </c>
      <c r="AJ46" s="224">
        <v>0</v>
      </c>
      <c r="AK46" s="239">
        <v>412434031.7422002</v>
      </c>
      <c r="AN46" s="224"/>
      <c r="AP46" s="224"/>
      <c r="AQ46" s="218"/>
    </row>
    <row r="47" spans="1:43" hidden="1" x14ac:dyDescent="0.25">
      <c r="A47" t="s">
        <v>430</v>
      </c>
      <c r="B47" t="s">
        <v>413</v>
      </c>
      <c r="C47" t="s">
        <v>443</v>
      </c>
      <c r="D47" t="s">
        <v>444</v>
      </c>
      <c r="H47" t="s">
        <v>178</v>
      </c>
      <c r="I47" s="266">
        <f t="shared" si="0"/>
        <v>0</v>
      </c>
      <c r="J47" s="266">
        <f t="shared" si="1"/>
        <v>0</v>
      </c>
      <c r="K47" s="280">
        <f t="shared" si="2"/>
        <v>0</v>
      </c>
      <c r="L47" s="171">
        <f t="shared" si="3"/>
        <v>888852025.48993647</v>
      </c>
      <c r="M47" s="266">
        <f t="shared" si="4"/>
        <v>0</v>
      </c>
      <c r="N47" s="266">
        <f t="shared" si="5"/>
        <v>1043628280.2361002</v>
      </c>
      <c r="O47" s="171">
        <f t="shared" si="6"/>
        <v>6981487904.4999857</v>
      </c>
      <c r="P47" s="171"/>
      <c r="Q47" s="220">
        <v>0</v>
      </c>
      <c r="R47" s="235">
        <v>0</v>
      </c>
      <c r="S47" s="235">
        <v>0</v>
      </c>
      <c r="T47" s="224">
        <v>0</v>
      </c>
      <c r="U47" s="224">
        <v>0</v>
      </c>
      <c r="AF47" s="224">
        <v>861184868.71993637</v>
      </c>
      <c r="AG47" s="237">
        <v>0</v>
      </c>
      <c r="AH47" s="224">
        <v>27667156.770000115</v>
      </c>
      <c r="AJ47" s="224">
        <v>0</v>
      </c>
      <c r="AK47" s="239">
        <v>1043628280.2361002</v>
      </c>
      <c r="AN47" s="224">
        <v>6303087651.7899857</v>
      </c>
      <c r="AP47" s="224">
        <v>678400252.71000004</v>
      </c>
      <c r="AQ47" s="218"/>
    </row>
    <row r="48" spans="1:43" hidden="1" x14ac:dyDescent="0.25">
      <c r="A48" t="s">
        <v>430</v>
      </c>
      <c r="B48" t="s">
        <v>413</v>
      </c>
      <c r="C48" t="s">
        <v>443</v>
      </c>
      <c r="D48" t="s">
        <v>445</v>
      </c>
      <c r="H48" t="s">
        <v>178</v>
      </c>
      <c r="I48" s="266">
        <f t="shared" si="0"/>
        <v>0</v>
      </c>
      <c r="J48" s="266">
        <f t="shared" si="1"/>
        <v>0</v>
      </c>
      <c r="K48" s="280">
        <f t="shared" si="2"/>
        <v>0</v>
      </c>
      <c r="L48" s="171">
        <f t="shared" si="3"/>
        <v>667890310.36386871</v>
      </c>
      <c r="M48" s="266">
        <f t="shared" si="4"/>
        <v>1006884.1399999999</v>
      </c>
      <c r="N48" s="266">
        <f t="shared" si="5"/>
        <v>678118007.69439971</v>
      </c>
      <c r="O48" s="171">
        <f t="shared" si="6"/>
        <v>1812890091.9499843</v>
      </c>
      <c r="P48" s="171"/>
      <c r="Q48" s="220">
        <v>0</v>
      </c>
      <c r="R48" s="235">
        <v>0</v>
      </c>
      <c r="S48" s="235">
        <v>0</v>
      </c>
      <c r="T48" s="224">
        <v>0</v>
      </c>
      <c r="U48" s="224">
        <v>0</v>
      </c>
      <c r="AF48" s="224">
        <v>171392421.51000053</v>
      </c>
      <c r="AG48" s="237">
        <v>168647758.31386948</v>
      </c>
      <c r="AH48" s="224">
        <v>327850130.53999865</v>
      </c>
      <c r="AJ48" s="224">
        <v>1006884.1399999999</v>
      </c>
      <c r="AK48" s="239">
        <v>678118007.69439971</v>
      </c>
      <c r="AN48" s="224"/>
      <c r="AP48" s="224">
        <v>1812890091.9499843</v>
      </c>
      <c r="AQ48" s="218"/>
    </row>
    <row r="49" spans="1:43" hidden="1" x14ac:dyDescent="0.25">
      <c r="A49" t="s">
        <v>434</v>
      </c>
      <c r="B49" t="s">
        <v>413</v>
      </c>
      <c r="C49" t="s">
        <v>439</v>
      </c>
      <c r="D49" t="s">
        <v>440</v>
      </c>
      <c r="H49" t="s">
        <v>178</v>
      </c>
      <c r="I49" s="266">
        <f t="shared" si="0"/>
        <v>0</v>
      </c>
      <c r="J49" s="266">
        <f t="shared" si="1"/>
        <v>0</v>
      </c>
      <c r="K49" s="280">
        <f t="shared" si="2"/>
        <v>0</v>
      </c>
      <c r="L49" s="171">
        <f t="shared" si="3"/>
        <v>689776942.79219866</v>
      </c>
      <c r="M49" s="266">
        <f t="shared" si="4"/>
        <v>0</v>
      </c>
      <c r="N49" s="266">
        <f t="shared" si="5"/>
        <v>677368727.94499993</v>
      </c>
      <c r="O49" s="171">
        <f t="shared" si="6"/>
        <v>0</v>
      </c>
      <c r="P49" s="171"/>
      <c r="Q49" s="220">
        <v>0</v>
      </c>
      <c r="R49" s="235">
        <v>0</v>
      </c>
      <c r="S49" s="235">
        <v>0</v>
      </c>
      <c r="T49" s="224">
        <v>0</v>
      </c>
      <c r="U49" s="224">
        <v>0</v>
      </c>
      <c r="AF49" s="224">
        <v>272076777.15999776</v>
      </c>
      <c r="AG49" s="237">
        <v>325771274.38220084</v>
      </c>
      <c r="AH49" s="224">
        <v>91928891.25</v>
      </c>
      <c r="AJ49" s="224">
        <v>0</v>
      </c>
      <c r="AK49" s="239">
        <v>677368727.94499993</v>
      </c>
      <c r="AN49" s="224"/>
      <c r="AP49" s="224"/>
      <c r="AQ49" s="218"/>
    </row>
    <row r="50" spans="1:43" hidden="1" x14ac:dyDescent="0.25">
      <c r="A50" t="s">
        <v>434</v>
      </c>
      <c r="B50" t="s">
        <v>413</v>
      </c>
      <c r="C50" t="s">
        <v>443</v>
      </c>
      <c r="D50" t="s">
        <v>444</v>
      </c>
      <c r="H50" t="s">
        <v>178</v>
      </c>
      <c r="I50" s="266">
        <f t="shared" si="0"/>
        <v>0</v>
      </c>
      <c r="J50" s="266">
        <f t="shared" si="1"/>
        <v>0</v>
      </c>
      <c r="K50" s="280">
        <f t="shared" si="2"/>
        <v>0</v>
      </c>
      <c r="L50" s="171">
        <f t="shared" si="3"/>
        <v>0</v>
      </c>
      <c r="M50" s="266">
        <f t="shared" si="4"/>
        <v>0</v>
      </c>
      <c r="N50" s="266">
        <f t="shared" si="5"/>
        <v>1785014.0099999998</v>
      </c>
      <c r="O50" s="171">
        <f t="shared" si="6"/>
        <v>0</v>
      </c>
      <c r="P50" s="171"/>
      <c r="Q50" s="220">
        <v>0</v>
      </c>
      <c r="R50" s="235">
        <v>0</v>
      </c>
      <c r="S50" s="235">
        <v>0</v>
      </c>
      <c r="T50" s="224">
        <v>0</v>
      </c>
      <c r="U50" s="224">
        <v>0</v>
      </c>
      <c r="AF50" s="224">
        <v>0</v>
      </c>
      <c r="AG50" s="237">
        <v>0</v>
      </c>
      <c r="AH50" s="224"/>
      <c r="AJ50" s="224">
        <v>0</v>
      </c>
      <c r="AK50" s="239">
        <v>1785014.0099999998</v>
      </c>
      <c r="AN50" s="224"/>
      <c r="AP50" s="224"/>
      <c r="AQ50" s="218"/>
    </row>
    <row r="51" spans="1:43" hidden="1" x14ac:dyDescent="0.25">
      <c r="A51" t="s">
        <v>436</v>
      </c>
      <c r="B51" t="s">
        <v>413</v>
      </c>
      <c r="C51" t="s">
        <v>443</v>
      </c>
      <c r="D51" t="s">
        <v>445</v>
      </c>
      <c r="H51" t="s">
        <v>178</v>
      </c>
      <c r="I51" s="266">
        <f t="shared" si="0"/>
        <v>0</v>
      </c>
      <c r="J51" s="266">
        <f t="shared" si="1"/>
        <v>0</v>
      </c>
      <c r="K51" s="280">
        <f t="shared" si="2"/>
        <v>0</v>
      </c>
      <c r="L51" s="171">
        <f t="shared" si="3"/>
        <v>802225334.26869702</v>
      </c>
      <c r="M51" s="266">
        <f t="shared" si="4"/>
        <v>0</v>
      </c>
      <c r="N51" s="266">
        <f t="shared" si="5"/>
        <v>829195529.55850017</v>
      </c>
      <c r="O51" s="171">
        <f t="shared" si="6"/>
        <v>0</v>
      </c>
      <c r="P51" s="171"/>
      <c r="Q51" s="220">
        <v>0</v>
      </c>
      <c r="R51" s="235">
        <v>0</v>
      </c>
      <c r="S51" s="235">
        <v>0</v>
      </c>
      <c r="T51" s="224">
        <v>0</v>
      </c>
      <c r="U51" s="224">
        <v>0</v>
      </c>
      <c r="AF51" s="224">
        <v>263014630.07999805</v>
      </c>
      <c r="AG51" s="237">
        <v>381032146.97869897</v>
      </c>
      <c r="AH51" s="224">
        <v>158178557.2100001</v>
      </c>
      <c r="AJ51" s="224">
        <v>0</v>
      </c>
      <c r="AK51" s="239">
        <v>829195529.55850017</v>
      </c>
      <c r="AN51" s="224"/>
      <c r="AP51" s="224"/>
      <c r="AQ51" s="218"/>
    </row>
    <row r="52" spans="1:43" hidden="1" x14ac:dyDescent="0.25">
      <c r="A52" t="s">
        <v>433</v>
      </c>
      <c r="B52" t="s">
        <v>413</v>
      </c>
      <c r="C52" t="s">
        <v>443</v>
      </c>
      <c r="D52" t="s">
        <v>445</v>
      </c>
      <c r="H52" t="s">
        <v>178</v>
      </c>
      <c r="I52" s="266">
        <f t="shared" si="0"/>
        <v>0</v>
      </c>
      <c r="J52" s="266">
        <f t="shared" si="1"/>
        <v>0</v>
      </c>
      <c r="K52" s="280">
        <f t="shared" si="2"/>
        <v>0</v>
      </c>
      <c r="L52" s="171">
        <f t="shared" si="3"/>
        <v>797723901.73658943</v>
      </c>
      <c r="M52" s="266">
        <f t="shared" si="4"/>
        <v>0</v>
      </c>
      <c r="N52" s="266">
        <f t="shared" si="5"/>
        <v>819054609.51080024</v>
      </c>
      <c r="O52" s="171">
        <f t="shared" si="6"/>
        <v>0</v>
      </c>
      <c r="P52" s="171"/>
      <c r="Q52" s="220">
        <v>0</v>
      </c>
      <c r="R52" s="235">
        <v>0</v>
      </c>
      <c r="S52" s="235">
        <v>0</v>
      </c>
      <c r="T52" s="224">
        <v>0</v>
      </c>
      <c r="U52" s="224">
        <v>0</v>
      </c>
      <c r="AF52" s="224">
        <v>318947610.75999486</v>
      </c>
      <c r="AG52" s="237">
        <v>413642670.97659457</v>
      </c>
      <c r="AH52" s="224">
        <v>65133619.999999963</v>
      </c>
      <c r="AJ52" s="224">
        <v>0</v>
      </c>
      <c r="AK52" s="239">
        <v>819054609.51080024</v>
      </c>
      <c r="AN52" s="224"/>
      <c r="AP52" s="224"/>
      <c r="AQ52" s="218"/>
    </row>
    <row r="53" spans="1:43" hidden="1" x14ac:dyDescent="0.25">
      <c r="A53" t="s">
        <v>426</v>
      </c>
      <c r="B53" t="s">
        <v>413</v>
      </c>
      <c r="C53" t="s">
        <v>439</v>
      </c>
      <c r="D53" t="s">
        <v>441</v>
      </c>
      <c r="H53" t="s">
        <v>178</v>
      </c>
      <c r="I53" s="266">
        <f t="shared" si="0"/>
        <v>0</v>
      </c>
      <c r="J53" s="266">
        <f t="shared" si="1"/>
        <v>0</v>
      </c>
      <c r="K53" s="280">
        <f t="shared" si="2"/>
        <v>0</v>
      </c>
      <c r="L53" s="171">
        <f t="shared" si="3"/>
        <v>655412059.29759574</v>
      </c>
      <c r="M53" s="266">
        <f t="shared" si="4"/>
        <v>0</v>
      </c>
      <c r="N53" s="266">
        <f t="shared" si="5"/>
        <v>671701080.65059972</v>
      </c>
      <c r="O53" s="171">
        <f t="shared" si="6"/>
        <v>0</v>
      </c>
      <c r="P53" s="171"/>
      <c r="Q53" s="220">
        <v>0</v>
      </c>
      <c r="R53" s="235">
        <v>0</v>
      </c>
      <c r="S53" s="235">
        <v>0</v>
      </c>
      <c r="T53" s="224">
        <v>0</v>
      </c>
      <c r="U53" s="224">
        <v>0</v>
      </c>
      <c r="AF53" s="224">
        <v>243106637.13999912</v>
      </c>
      <c r="AG53" s="237">
        <v>349866227.91759664</v>
      </c>
      <c r="AH53" s="224">
        <v>62439194.240000017</v>
      </c>
      <c r="AJ53" s="224">
        <v>0</v>
      </c>
      <c r="AK53" s="239">
        <v>671701080.65059972</v>
      </c>
      <c r="AN53" s="224"/>
      <c r="AP53" s="224"/>
      <c r="AQ53" s="218"/>
    </row>
    <row r="54" spans="1:43" hidden="1" x14ac:dyDescent="0.25">
      <c r="A54" t="s">
        <v>428</v>
      </c>
      <c r="B54" t="s">
        <v>413</v>
      </c>
      <c r="C54" t="s">
        <v>439</v>
      </c>
      <c r="D54" t="s">
        <v>441</v>
      </c>
      <c r="H54" t="s">
        <v>178</v>
      </c>
      <c r="I54" s="266">
        <f t="shared" si="0"/>
        <v>0</v>
      </c>
      <c r="J54" s="266">
        <f t="shared" si="1"/>
        <v>0</v>
      </c>
      <c r="K54" s="280">
        <f t="shared" si="2"/>
        <v>0</v>
      </c>
      <c r="L54" s="171">
        <f t="shared" si="3"/>
        <v>658081627.3988291</v>
      </c>
      <c r="M54" s="266">
        <f t="shared" si="4"/>
        <v>0</v>
      </c>
      <c r="N54" s="266">
        <f t="shared" si="5"/>
        <v>551509585.66729987</v>
      </c>
      <c r="O54" s="171">
        <f t="shared" si="6"/>
        <v>0</v>
      </c>
      <c r="P54" s="171"/>
      <c r="Q54" s="220">
        <v>0</v>
      </c>
      <c r="R54" s="235">
        <v>0</v>
      </c>
      <c r="S54" s="235">
        <v>0</v>
      </c>
      <c r="T54" s="224">
        <v>0</v>
      </c>
      <c r="U54" s="224">
        <v>0</v>
      </c>
      <c r="AF54" s="224">
        <v>198526735.4500002</v>
      </c>
      <c r="AG54" s="237">
        <v>420186509.03882891</v>
      </c>
      <c r="AH54" s="224">
        <v>39368382.909999989</v>
      </c>
      <c r="AJ54" s="224">
        <v>0</v>
      </c>
      <c r="AK54" s="239">
        <v>551509585.66729987</v>
      </c>
      <c r="AN54" s="224"/>
      <c r="AO54" s="224"/>
      <c r="AP54" s="224"/>
      <c r="AQ54" s="218"/>
    </row>
    <row r="55" spans="1:43" hidden="1" x14ac:dyDescent="0.25">
      <c r="A55" t="s">
        <v>242</v>
      </c>
      <c r="B55" t="s">
        <v>413</v>
      </c>
      <c r="C55" t="s">
        <v>443</v>
      </c>
      <c r="D55" t="s">
        <v>444</v>
      </c>
      <c r="H55" t="s">
        <v>178</v>
      </c>
      <c r="I55" s="266">
        <f t="shared" si="0"/>
        <v>0</v>
      </c>
      <c r="J55" s="266">
        <f t="shared" si="1"/>
        <v>0</v>
      </c>
      <c r="K55" s="280">
        <f t="shared" si="2"/>
        <v>0</v>
      </c>
      <c r="L55" s="171">
        <f t="shared" si="3"/>
        <v>1348240045.9498818</v>
      </c>
      <c r="M55" s="266">
        <f t="shared" si="4"/>
        <v>0</v>
      </c>
      <c r="N55" s="266">
        <f t="shared" si="5"/>
        <v>1446334285.0788007</v>
      </c>
      <c r="O55" s="171">
        <f t="shared" si="6"/>
        <v>0</v>
      </c>
      <c r="P55" s="171"/>
      <c r="Q55" s="220">
        <v>0</v>
      </c>
      <c r="R55" s="235">
        <v>0</v>
      </c>
      <c r="S55" s="235">
        <v>0</v>
      </c>
      <c r="T55" s="224">
        <v>0</v>
      </c>
      <c r="U55" s="224">
        <v>0</v>
      </c>
      <c r="AF55" s="224">
        <v>1125179209.9998896</v>
      </c>
      <c r="AG55" s="237">
        <v>0</v>
      </c>
      <c r="AH55" s="224">
        <v>223060835.94999215</v>
      </c>
      <c r="AJ55" s="224">
        <v>0</v>
      </c>
      <c r="AK55" s="239">
        <v>1446334285.0788007</v>
      </c>
      <c r="AN55" s="224"/>
      <c r="AP55" s="224"/>
      <c r="AQ55" s="218"/>
    </row>
    <row r="56" spans="1:43" hidden="1" x14ac:dyDescent="0.25">
      <c r="A56" t="s">
        <v>418</v>
      </c>
      <c r="B56" t="s">
        <v>413</v>
      </c>
      <c r="C56" t="s">
        <v>439</v>
      </c>
      <c r="D56" t="s">
        <v>446</v>
      </c>
      <c r="H56" t="s">
        <v>178</v>
      </c>
      <c r="I56" s="266">
        <f t="shared" si="0"/>
        <v>0</v>
      </c>
      <c r="J56" s="266">
        <f t="shared" si="1"/>
        <v>0</v>
      </c>
      <c r="K56" s="280">
        <f t="shared" si="2"/>
        <v>0</v>
      </c>
      <c r="L56" s="171">
        <f t="shared" si="3"/>
        <v>1052771590.1537045</v>
      </c>
      <c r="M56" s="266">
        <f t="shared" si="4"/>
        <v>0</v>
      </c>
      <c r="N56" s="266">
        <f t="shared" si="5"/>
        <v>1001184021.7872999</v>
      </c>
      <c r="O56" s="171">
        <f t="shared" si="6"/>
        <v>0</v>
      </c>
      <c r="P56" s="171"/>
      <c r="Q56" s="220">
        <v>0</v>
      </c>
      <c r="R56" s="235">
        <v>0</v>
      </c>
      <c r="S56" s="235">
        <v>0</v>
      </c>
      <c r="T56" s="224">
        <v>0</v>
      </c>
      <c r="U56" s="224">
        <v>0</v>
      </c>
      <c r="AF56" s="224">
        <v>371076146.47998959</v>
      </c>
      <c r="AG56" s="237">
        <v>482310646.0837146</v>
      </c>
      <c r="AH56" s="224">
        <v>199384797.59000024</v>
      </c>
      <c r="AJ56" s="224">
        <v>0</v>
      </c>
      <c r="AK56" s="239">
        <v>1001184021.7872999</v>
      </c>
      <c r="AN56" s="224"/>
      <c r="AP56" s="224"/>
      <c r="AQ56" s="218"/>
    </row>
    <row r="57" spans="1:43" hidden="1" x14ac:dyDescent="0.25">
      <c r="A57" t="s">
        <v>432</v>
      </c>
      <c r="B57" t="s">
        <v>413</v>
      </c>
      <c r="C57" t="s">
        <v>439</v>
      </c>
      <c r="D57" t="s">
        <v>446</v>
      </c>
      <c r="H57" t="s">
        <v>178</v>
      </c>
      <c r="I57" s="266">
        <f t="shared" si="0"/>
        <v>0</v>
      </c>
      <c r="J57" s="266">
        <f t="shared" si="1"/>
        <v>0</v>
      </c>
      <c r="K57" s="280">
        <f t="shared" si="2"/>
        <v>0</v>
      </c>
      <c r="L57" s="171">
        <f t="shared" si="3"/>
        <v>1510694794.0663226</v>
      </c>
      <c r="M57" s="266">
        <f t="shared" si="4"/>
        <v>0</v>
      </c>
      <c r="N57" s="266">
        <f t="shared" si="5"/>
        <v>1486875066.055598</v>
      </c>
      <c r="O57" s="171">
        <f t="shared" si="6"/>
        <v>0</v>
      </c>
      <c r="P57" s="171"/>
      <c r="Q57" s="220">
        <v>0</v>
      </c>
      <c r="R57" s="235">
        <v>0</v>
      </c>
      <c r="S57" s="235">
        <v>0</v>
      </c>
      <c r="T57" s="224">
        <v>0</v>
      </c>
      <c r="U57" s="224">
        <v>0</v>
      </c>
      <c r="AF57" s="239">
        <v>657559626.91997981</v>
      </c>
      <c r="AG57" s="242">
        <v>578638019.38634253</v>
      </c>
      <c r="AH57" s="239">
        <v>274497147.76000029</v>
      </c>
      <c r="AI57" s="239">
        <v>110649503.47999999</v>
      </c>
      <c r="AJ57" s="224">
        <v>0</v>
      </c>
      <c r="AK57" s="239">
        <v>1486875066.055598</v>
      </c>
      <c r="AN57" s="224"/>
      <c r="AP57" s="224"/>
      <c r="AQ57" s="218"/>
    </row>
    <row r="58" spans="1:43" hidden="1" x14ac:dyDescent="0.25">
      <c r="A58" t="s">
        <v>438</v>
      </c>
      <c r="B58" t="s">
        <v>413</v>
      </c>
      <c r="C58" t="s">
        <v>439</v>
      </c>
      <c r="D58" t="s">
        <v>442</v>
      </c>
      <c r="H58" t="s">
        <v>178</v>
      </c>
      <c r="I58" s="266">
        <f t="shared" si="0"/>
        <v>0</v>
      </c>
      <c r="J58" s="266">
        <f t="shared" si="1"/>
        <v>0</v>
      </c>
      <c r="K58" s="280">
        <f t="shared" si="2"/>
        <v>0</v>
      </c>
      <c r="L58" s="171">
        <f t="shared" si="3"/>
        <v>1516920046.1571732</v>
      </c>
      <c r="M58" s="266">
        <f t="shared" si="4"/>
        <v>27130505.840957616</v>
      </c>
      <c r="N58" s="266">
        <f t="shared" si="5"/>
        <v>1552903892.3060005</v>
      </c>
      <c r="O58" s="171">
        <f t="shared" si="6"/>
        <v>0</v>
      </c>
      <c r="P58" s="171"/>
      <c r="Q58" s="220">
        <v>0</v>
      </c>
      <c r="R58" s="235">
        <v>0</v>
      </c>
      <c r="S58" s="235">
        <v>0</v>
      </c>
      <c r="T58" s="224">
        <v>0</v>
      </c>
      <c r="U58" s="224">
        <v>0</v>
      </c>
      <c r="AF58" s="239">
        <v>512599553.58997375</v>
      </c>
      <c r="AG58" s="242">
        <v>574209887.24720383</v>
      </c>
      <c r="AH58" s="239">
        <v>430110605.31999576</v>
      </c>
      <c r="AI58" s="239">
        <v>87805182.109999955</v>
      </c>
      <c r="AJ58" s="224">
        <v>27130505.840957616</v>
      </c>
      <c r="AK58" s="239">
        <v>1552903892.3060005</v>
      </c>
      <c r="AN58" s="224"/>
      <c r="AP58" s="224"/>
      <c r="AQ58" s="218"/>
    </row>
    <row r="59" spans="1:43" hidden="1" x14ac:dyDescent="0.25">
      <c r="A59" t="s">
        <v>430</v>
      </c>
      <c r="B59" t="s">
        <v>413</v>
      </c>
      <c r="C59" t="s">
        <v>443</v>
      </c>
      <c r="D59" t="s">
        <v>447</v>
      </c>
      <c r="H59" t="s">
        <v>178</v>
      </c>
      <c r="I59" s="266">
        <f t="shared" si="0"/>
        <v>0</v>
      </c>
      <c r="J59" s="266">
        <f t="shared" si="1"/>
        <v>0</v>
      </c>
      <c r="K59" s="280">
        <f t="shared" si="2"/>
        <v>0</v>
      </c>
      <c r="L59" s="171">
        <f t="shared" si="3"/>
        <v>1047083677.2343158</v>
      </c>
      <c r="M59" s="266">
        <f t="shared" si="4"/>
        <v>0</v>
      </c>
      <c r="N59" s="266">
        <f t="shared" si="5"/>
        <v>1074289206.3696001</v>
      </c>
      <c r="O59" s="171">
        <f t="shared" si="6"/>
        <v>7861104101.8997154</v>
      </c>
      <c r="P59" s="171"/>
      <c r="Q59" s="220">
        <v>0</v>
      </c>
      <c r="R59" s="235">
        <v>0</v>
      </c>
      <c r="S59" s="235">
        <v>0</v>
      </c>
      <c r="T59" s="224">
        <v>0</v>
      </c>
      <c r="U59" s="224">
        <v>0</v>
      </c>
      <c r="AG59" s="237">
        <v>713715427.75432146</v>
      </c>
      <c r="AH59" s="224">
        <v>333368249.4799943</v>
      </c>
      <c r="AJ59" s="224">
        <v>0</v>
      </c>
      <c r="AK59" s="239">
        <v>1074289206.3696001</v>
      </c>
      <c r="AN59" s="224"/>
      <c r="AO59" s="224">
        <v>6719346137.1697178</v>
      </c>
      <c r="AP59" s="224">
        <v>1141757964.7299979</v>
      </c>
      <c r="AQ59" s="218"/>
    </row>
    <row r="60" spans="1:43" hidden="1" x14ac:dyDescent="0.25">
      <c r="A60" t="s">
        <v>242</v>
      </c>
      <c r="B60" t="s">
        <v>413</v>
      </c>
      <c r="C60" t="s">
        <v>443</v>
      </c>
      <c r="D60" t="s">
        <v>447</v>
      </c>
      <c r="H60" t="s">
        <v>178</v>
      </c>
      <c r="I60" s="266">
        <f t="shared" si="0"/>
        <v>0</v>
      </c>
      <c r="J60" s="266">
        <f t="shared" si="1"/>
        <v>0</v>
      </c>
      <c r="K60" s="280">
        <f t="shared" si="2"/>
        <v>0</v>
      </c>
      <c r="L60" s="171">
        <f t="shared" si="3"/>
        <v>1198289819.5309277</v>
      </c>
      <c r="M60" s="266">
        <f t="shared" si="4"/>
        <v>0</v>
      </c>
      <c r="N60" s="266">
        <f t="shared" si="5"/>
        <v>1162187908.2320011</v>
      </c>
      <c r="O60" s="171">
        <f t="shared" si="6"/>
        <v>0</v>
      </c>
      <c r="P60" s="171"/>
      <c r="Q60" s="220">
        <v>0</v>
      </c>
      <c r="R60" s="235">
        <v>0</v>
      </c>
      <c r="S60" s="235">
        <v>0</v>
      </c>
      <c r="T60" s="224">
        <v>0</v>
      </c>
      <c r="U60" s="224">
        <v>0</v>
      </c>
      <c r="AG60" s="237">
        <v>681205009.59095716</v>
      </c>
      <c r="AH60" s="224">
        <v>517084809.93997043</v>
      </c>
      <c r="AJ60" s="224">
        <v>0</v>
      </c>
      <c r="AK60" s="239">
        <v>1162187908.2320011</v>
      </c>
      <c r="AN60" s="224"/>
      <c r="AO60" s="245"/>
      <c r="AP60" s="224"/>
      <c r="AQ60" s="218"/>
    </row>
    <row r="61" spans="1:43" hidden="1" x14ac:dyDescent="0.25">
      <c r="A61" t="s">
        <v>432</v>
      </c>
      <c r="B61" t="s">
        <v>413</v>
      </c>
      <c r="C61" t="s">
        <v>439</v>
      </c>
      <c r="D61" t="s">
        <v>442</v>
      </c>
      <c r="H61" t="s">
        <v>178</v>
      </c>
      <c r="I61" s="266">
        <f t="shared" si="0"/>
        <v>0</v>
      </c>
      <c r="J61" s="266">
        <f t="shared" si="1"/>
        <v>0</v>
      </c>
      <c r="K61" s="280">
        <f t="shared" si="2"/>
        <v>0</v>
      </c>
      <c r="L61" s="171">
        <f t="shared" si="3"/>
        <v>38543446.49000001</v>
      </c>
      <c r="M61" s="266">
        <f t="shared" si="4"/>
        <v>0</v>
      </c>
      <c r="N61" s="266">
        <f t="shared" si="5"/>
        <v>23966711.555800002</v>
      </c>
      <c r="O61" s="171">
        <f t="shared" si="6"/>
        <v>0</v>
      </c>
      <c r="P61" s="171"/>
      <c r="Q61" s="278">
        <v>0</v>
      </c>
      <c r="R61" s="240">
        <v>0</v>
      </c>
      <c r="S61" s="240">
        <v>0</v>
      </c>
      <c r="T61" s="239">
        <v>0</v>
      </c>
      <c r="U61" s="239">
        <v>0</v>
      </c>
      <c r="AG61" s="242">
        <v>19555880.780000001</v>
      </c>
      <c r="AH61" s="239">
        <v>18987565.710000012</v>
      </c>
      <c r="AJ61" s="239">
        <v>0</v>
      </c>
      <c r="AK61" s="239">
        <v>23966711.555800002</v>
      </c>
      <c r="AN61" s="239"/>
      <c r="AP61" s="239"/>
      <c r="AQ61" s="218"/>
    </row>
    <row r="62" spans="1:43" hidden="1" x14ac:dyDescent="0.25">
      <c r="A62" t="s">
        <v>242</v>
      </c>
      <c r="B62" t="s">
        <v>413</v>
      </c>
      <c r="C62" t="s">
        <v>443</v>
      </c>
      <c r="D62" t="s">
        <v>445</v>
      </c>
      <c r="H62" t="s">
        <v>178</v>
      </c>
      <c r="I62" s="266">
        <f t="shared" si="0"/>
        <v>0</v>
      </c>
      <c r="J62" s="266">
        <f t="shared" si="1"/>
        <v>0</v>
      </c>
      <c r="K62" s="280">
        <f t="shared" si="2"/>
        <v>0</v>
      </c>
      <c r="L62" s="171">
        <f t="shared" si="3"/>
        <v>1069481198.1399873</v>
      </c>
      <c r="M62" s="266">
        <f t="shared" si="4"/>
        <v>2013768.2799999998</v>
      </c>
      <c r="N62" s="266">
        <f t="shared" si="5"/>
        <v>893160188.91320038</v>
      </c>
      <c r="O62" s="171">
        <f t="shared" si="6"/>
        <v>0</v>
      </c>
      <c r="P62" s="171"/>
      <c r="Q62" s="220">
        <v>0</v>
      </c>
      <c r="R62" s="235">
        <v>0</v>
      </c>
      <c r="S62" s="235">
        <v>0</v>
      </c>
      <c r="T62" s="224">
        <v>0</v>
      </c>
      <c r="U62" s="224">
        <v>0</v>
      </c>
      <c r="AG62">
        <v>0</v>
      </c>
      <c r="AH62" s="224">
        <v>1069481198.1399873</v>
      </c>
      <c r="AJ62" s="224">
        <v>2013768.2799999998</v>
      </c>
      <c r="AK62" s="239">
        <v>893160188.91320038</v>
      </c>
      <c r="AN62" s="224"/>
      <c r="AP62" s="224"/>
      <c r="AQ62" s="218"/>
    </row>
    <row r="63" spans="1:43" hidden="1" x14ac:dyDescent="0.25">
      <c r="A63" t="s">
        <v>420</v>
      </c>
      <c r="B63" t="s">
        <v>413</v>
      </c>
      <c r="C63" t="s">
        <v>439</v>
      </c>
      <c r="D63" t="s">
        <v>446</v>
      </c>
      <c r="I63" s="266">
        <f t="shared" si="0"/>
        <v>0</v>
      </c>
      <c r="J63" s="266">
        <f t="shared" si="1"/>
        <v>0</v>
      </c>
      <c r="K63" s="280">
        <f t="shared" si="2"/>
        <v>0</v>
      </c>
      <c r="L63" s="171">
        <f t="shared" si="3"/>
        <v>0</v>
      </c>
      <c r="M63" s="266">
        <f t="shared" si="4"/>
        <v>0</v>
      </c>
      <c r="N63" s="266">
        <f t="shared" si="5"/>
        <v>201969.17</v>
      </c>
      <c r="O63" s="171">
        <f t="shared" si="6"/>
        <v>0</v>
      </c>
      <c r="P63" s="171"/>
      <c r="Q63" s="220">
        <v>0</v>
      </c>
      <c r="R63" s="235">
        <v>0</v>
      </c>
      <c r="S63" s="235">
        <v>0</v>
      </c>
      <c r="T63" s="224">
        <v>0</v>
      </c>
      <c r="U63" s="224">
        <v>0</v>
      </c>
      <c r="AG63">
        <v>0</v>
      </c>
      <c r="AJ63" s="224">
        <v>0</v>
      </c>
      <c r="AK63" s="239">
        <v>201969.17</v>
      </c>
      <c r="AN63" s="224"/>
      <c r="AP63" s="224"/>
      <c r="AQ63" s="218"/>
    </row>
    <row r="64" spans="1:43" x14ac:dyDescent="0.25">
      <c r="A64" t="s">
        <v>434</v>
      </c>
      <c r="B64" t="s">
        <v>413</v>
      </c>
      <c r="C64" t="s">
        <v>416</v>
      </c>
      <c r="D64" t="s">
        <v>417</v>
      </c>
      <c r="I64" s="266">
        <f t="shared" si="0"/>
        <v>0</v>
      </c>
      <c r="J64" s="266">
        <f t="shared" si="1"/>
        <v>0</v>
      </c>
      <c r="K64" s="280">
        <f t="shared" si="2"/>
        <v>0</v>
      </c>
      <c r="L64" s="171">
        <f t="shared" si="3"/>
        <v>0</v>
      </c>
      <c r="M64" s="266">
        <f t="shared" si="4"/>
        <v>0</v>
      </c>
      <c r="N64" s="266">
        <f t="shared" si="5"/>
        <v>1119300</v>
      </c>
      <c r="O64" s="171">
        <f t="shared" si="6"/>
        <v>0</v>
      </c>
      <c r="P64" s="171"/>
      <c r="Q64" s="220">
        <v>0</v>
      </c>
      <c r="R64" s="235">
        <v>0</v>
      </c>
      <c r="S64" s="235">
        <v>0</v>
      </c>
      <c r="T64" s="224">
        <v>0</v>
      </c>
      <c r="U64" s="224">
        <v>0</v>
      </c>
      <c r="AG64">
        <v>0</v>
      </c>
      <c r="AJ64" s="224">
        <v>0</v>
      </c>
      <c r="AK64" s="239">
        <v>1119300</v>
      </c>
      <c r="AN64" s="224"/>
      <c r="AP64" s="224"/>
      <c r="AQ64" s="218"/>
    </row>
    <row r="65" spans="1:43" x14ac:dyDescent="0.25">
      <c r="A65" t="s">
        <v>242</v>
      </c>
      <c r="B65" t="s">
        <v>413</v>
      </c>
      <c r="C65" t="s">
        <v>416</v>
      </c>
      <c r="D65" t="s">
        <v>417</v>
      </c>
      <c r="I65" s="266">
        <f t="shared" si="0"/>
        <v>0</v>
      </c>
      <c r="J65" s="266">
        <f t="shared" si="1"/>
        <v>0</v>
      </c>
      <c r="K65" s="280">
        <f t="shared" si="2"/>
        <v>0</v>
      </c>
      <c r="L65" s="171">
        <f t="shared" si="3"/>
        <v>0</v>
      </c>
      <c r="M65" s="266">
        <f t="shared" si="4"/>
        <v>0</v>
      </c>
      <c r="N65" s="266">
        <f t="shared" si="5"/>
        <v>66047800</v>
      </c>
      <c r="O65" s="171">
        <f t="shared" si="6"/>
        <v>0</v>
      </c>
      <c r="P65" s="171"/>
      <c r="Q65" s="220">
        <v>0</v>
      </c>
      <c r="R65" s="235">
        <v>0</v>
      </c>
      <c r="S65" s="235">
        <v>0</v>
      </c>
      <c r="T65" s="224">
        <v>0</v>
      </c>
      <c r="U65" s="224">
        <v>0</v>
      </c>
      <c r="AG65">
        <v>0</v>
      </c>
      <c r="AJ65" s="224">
        <v>0</v>
      </c>
      <c r="AK65" s="239">
        <v>66047800</v>
      </c>
      <c r="AN65" s="224"/>
      <c r="AP65" s="224"/>
      <c r="AQ65" s="218"/>
    </row>
    <row r="66" spans="1:43" hidden="1" x14ac:dyDescent="0.25">
      <c r="A66" t="s">
        <v>421</v>
      </c>
      <c r="B66" t="s">
        <v>413</v>
      </c>
      <c r="C66" t="s">
        <v>414</v>
      </c>
      <c r="D66" t="s">
        <v>415</v>
      </c>
      <c r="I66" s="266">
        <f t="shared" si="0"/>
        <v>16316055.810000001</v>
      </c>
      <c r="J66" s="266">
        <f t="shared" si="1"/>
        <v>0</v>
      </c>
      <c r="K66" s="280">
        <f t="shared" si="2"/>
        <v>0</v>
      </c>
      <c r="L66" s="171">
        <f t="shared" si="3"/>
        <v>0</v>
      </c>
      <c r="M66" s="266">
        <f t="shared" si="4"/>
        <v>0</v>
      </c>
      <c r="N66" s="266">
        <f t="shared" si="5"/>
        <v>0</v>
      </c>
      <c r="O66" s="171">
        <f t="shared" si="6"/>
        <v>0</v>
      </c>
      <c r="P66" s="171"/>
      <c r="Q66" s="220">
        <v>0</v>
      </c>
      <c r="R66" s="235">
        <v>0</v>
      </c>
      <c r="S66" s="235">
        <v>0</v>
      </c>
      <c r="T66" s="224">
        <v>0</v>
      </c>
      <c r="U66" s="224">
        <v>16316055.810000001</v>
      </c>
      <c r="AG66">
        <v>0</v>
      </c>
      <c r="AI66" s="239">
        <v>7677667.8400000026</v>
      </c>
      <c r="AJ66" s="224">
        <v>0</v>
      </c>
      <c r="AK66" s="239">
        <v>0</v>
      </c>
      <c r="AN66" s="224"/>
      <c r="AP66" s="224"/>
      <c r="AQ66" s="218"/>
    </row>
    <row r="67" spans="1:43" hidden="1" x14ac:dyDescent="0.25">
      <c r="A67" t="s">
        <v>438</v>
      </c>
      <c r="B67" t="s">
        <v>413</v>
      </c>
      <c r="C67" t="s">
        <v>414</v>
      </c>
      <c r="D67" t="s">
        <v>415</v>
      </c>
      <c r="I67" s="266">
        <f t="shared" si="0"/>
        <v>27312790.859999999</v>
      </c>
      <c r="J67" s="266">
        <f t="shared" si="1"/>
        <v>0</v>
      </c>
      <c r="K67" s="280">
        <f t="shared" si="2"/>
        <v>0</v>
      </c>
      <c r="L67" s="171">
        <f t="shared" si="3"/>
        <v>0</v>
      </c>
      <c r="M67" s="266">
        <f t="shared" si="4"/>
        <v>0</v>
      </c>
      <c r="N67" s="266">
        <f t="shared" si="5"/>
        <v>0</v>
      </c>
      <c r="O67" s="171">
        <f t="shared" si="6"/>
        <v>0</v>
      </c>
      <c r="P67" s="171"/>
      <c r="Q67" s="220">
        <v>0</v>
      </c>
      <c r="R67" s="235">
        <v>0</v>
      </c>
      <c r="S67" s="235">
        <v>0</v>
      </c>
      <c r="T67" s="224">
        <v>0</v>
      </c>
      <c r="U67" s="224">
        <v>27312790.859999999</v>
      </c>
      <c r="AG67">
        <v>0</v>
      </c>
      <c r="AJ67" s="224">
        <v>0</v>
      </c>
      <c r="AK67" s="239">
        <v>0</v>
      </c>
      <c r="AN67" s="224"/>
      <c r="AP67" s="224"/>
      <c r="AQ67" s="218"/>
    </row>
    <row r="68" spans="1:43" s="246" customFormat="1" hidden="1" x14ac:dyDescent="0.25">
      <c r="A68" s="246" t="s">
        <v>434</v>
      </c>
      <c r="B68" s="246" t="s">
        <v>413</v>
      </c>
      <c r="C68" s="246" t="s">
        <v>416</v>
      </c>
      <c r="D68" s="246" t="s">
        <v>431</v>
      </c>
      <c r="E68" t="s">
        <v>218</v>
      </c>
      <c r="I68" s="266">
        <f t="shared" si="0"/>
        <v>0</v>
      </c>
      <c r="J68" s="266">
        <f t="shared" si="1"/>
        <v>1456400.8099999996</v>
      </c>
      <c r="K68" s="280">
        <f t="shared" si="2"/>
        <v>0</v>
      </c>
      <c r="L68" s="171">
        <f t="shared" si="3"/>
        <v>0</v>
      </c>
      <c r="M68" s="266">
        <f t="shared" si="4"/>
        <v>0</v>
      </c>
      <c r="N68" s="266">
        <f t="shared" si="5"/>
        <v>0</v>
      </c>
      <c r="O68" s="171">
        <f t="shared" si="6"/>
        <v>0</v>
      </c>
      <c r="P68" s="171"/>
      <c r="Q68" s="248">
        <v>0</v>
      </c>
      <c r="R68" s="247">
        <v>0</v>
      </c>
      <c r="S68" s="247">
        <v>0</v>
      </c>
      <c r="T68" s="248">
        <v>1456400.8099999996</v>
      </c>
      <c r="U68" s="248">
        <v>0</v>
      </c>
      <c r="W68" s="249"/>
      <c r="AE68" s="250"/>
      <c r="AG68" s="246">
        <v>0</v>
      </c>
      <c r="AI68" s="251"/>
      <c r="AJ68" s="248">
        <v>0</v>
      </c>
      <c r="AK68" s="239">
        <v>0</v>
      </c>
      <c r="AN68" s="248"/>
      <c r="AO68"/>
      <c r="AP68" s="224"/>
      <c r="AQ68" s="218"/>
    </row>
  </sheetData>
  <autoFilter ref="A3:AP68" xr:uid="{F4E271B0-9BC6-43A9-829F-67EBEF38B757}">
    <filterColumn colId="3">
      <filters>
        <filter val="TSL NOR  SPb  North- Murmansk"/>
        <filter val="TSL NOR Len Obl"/>
      </filters>
    </filterColumn>
  </autoFilter>
  <mergeCells count="9">
    <mergeCell ref="AR2:AS2"/>
    <mergeCell ref="AT2:AX2"/>
    <mergeCell ref="J2:K2"/>
    <mergeCell ref="U1:AE1"/>
    <mergeCell ref="AF1:AP1"/>
    <mergeCell ref="Q2:V2"/>
    <mergeCell ref="AF2:AM2"/>
    <mergeCell ref="AN2:AP2"/>
    <mergeCell ref="L2:P2"/>
  </mergeCells>
  <conditionalFormatting sqref="Q4:AP68">
    <cfRule type="expression" dxfId="0" priority="1">
      <formula>$D4=$D$1</formula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E372A-83AC-4940-B1CE-A6E16740C97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fc13e34-f03f-498b-982a-7cb446e25bc6}" enabled="0" method="" siteId="{2fc13e34-f03f-498b-982a-7cb446e25bc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Пример</vt:lpstr>
      <vt:lpstr>Belarus</vt:lpstr>
      <vt:lpstr>Center</vt:lpstr>
      <vt:lpstr>Far East</vt:lpstr>
      <vt:lpstr>Siberia</vt:lpstr>
      <vt:lpstr>South</vt:lpstr>
      <vt:lpstr>Moscow</vt:lpstr>
      <vt:lpstr>North </vt:lpstr>
      <vt:lpstr>Pivot</vt:lpstr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Gorbunov, Mikhail</dc:creator>
  <cp:keywords/>
  <dc:description/>
  <cp:lastModifiedBy>nikitakuvsh .</cp:lastModifiedBy>
  <cp:revision/>
  <dcterms:created xsi:type="dcterms:W3CDTF">2026-01-28T07:01:53Z</dcterms:created>
  <dcterms:modified xsi:type="dcterms:W3CDTF">2026-03-29T23:36:22Z</dcterms:modified>
  <cp:category/>
  <cp:contentStatus/>
</cp:coreProperties>
</file>